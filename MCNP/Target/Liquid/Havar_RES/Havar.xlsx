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MyWork\MCNP\Target\Liquid\Havar_RES\"/>
    </mc:Choice>
  </mc:AlternateContent>
  <xr:revisionPtr revIDLastSave="0" documentId="13_ncr:1_{02DFFC78-6FC7-4D37-A57B-F4E1D485043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Nuclides" sheetId="1" r:id="rId1"/>
    <sheet name="Havar2" sheetId="3" r:id="rId2"/>
    <sheet name="data" sheetId="4" r:id="rId3"/>
    <sheet name="New-Havar" sheetId="5" r:id="rId4"/>
    <sheet name="环评" sheetId="7" r:id="rId5"/>
    <sheet name="New-Nb-Cu" sheetId="6" r:id="rId6"/>
  </sheets>
  <externalReferences>
    <externalReference r:id="rId7"/>
  </externalReferences>
  <definedNames>
    <definedName name="_xlnm._FilterDatabase" localSheetId="1" hidden="1">Havar2!$J$1:$J$1593</definedName>
    <definedName name="_xlnm._FilterDatabase" localSheetId="3" hidden="1">'New-Havar'!$J$1:$J$1644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92" i="3" l="1"/>
  <c r="J1591" i="3"/>
  <c r="J1590" i="3"/>
  <c r="J1589" i="3"/>
  <c r="J690" i="3"/>
  <c r="J689" i="3"/>
  <c r="J688" i="3"/>
  <c r="J369" i="3"/>
  <c r="J352" i="3"/>
  <c r="J341" i="3"/>
  <c r="J339" i="3"/>
  <c r="J338" i="3"/>
  <c r="J337" i="3"/>
  <c r="J336" i="3"/>
  <c r="J324" i="3"/>
  <c r="J309" i="3"/>
  <c r="J307" i="3"/>
  <c r="J295" i="3"/>
  <c r="J281" i="3"/>
  <c r="J11" i="3"/>
  <c r="I11" i="3"/>
  <c r="I281" i="3"/>
  <c r="I295" i="3"/>
  <c r="I307" i="3"/>
  <c r="I309" i="3"/>
  <c r="I324" i="3"/>
  <c r="I336" i="3"/>
  <c r="I337" i="3"/>
  <c r="I338" i="3"/>
  <c r="I339" i="3"/>
  <c r="I341" i="3"/>
  <c r="I352" i="3"/>
  <c r="I369" i="3"/>
  <c r="I688" i="3"/>
  <c r="I689" i="3"/>
  <c r="I690" i="3"/>
  <c r="I1589" i="3"/>
  <c r="I1590" i="3"/>
  <c r="I1591" i="3"/>
  <c r="I1592" i="3"/>
  <c r="N19" i="4"/>
  <c r="N17" i="4"/>
  <c r="N16" i="4"/>
  <c r="N18" i="4"/>
  <c r="K13" i="4"/>
  <c r="O13" i="4"/>
  <c r="N13" i="4"/>
  <c r="M13" i="4"/>
  <c r="L13" i="4"/>
  <c r="J13" i="4"/>
  <c r="I13" i="4"/>
  <c r="K11" i="4"/>
  <c r="J11" i="4"/>
  <c r="I11" i="4"/>
  <c r="N1660" i="5"/>
  <c r="N1661" i="5"/>
  <c r="N1662" i="5"/>
  <c r="N1663" i="5"/>
  <c r="N1659" i="5"/>
  <c r="M1660" i="5"/>
  <c r="M1661" i="5"/>
  <c r="M1662" i="5"/>
  <c r="M1663" i="5"/>
  <c r="M1659" i="5"/>
  <c r="J1604" i="5"/>
  <c r="J1602" i="5"/>
  <c r="J1601" i="5"/>
  <c r="J1600" i="5"/>
  <c r="J1599" i="5"/>
  <c r="J1575" i="5"/>
  <c r="J1573" i="5"/>
  <c r="J700" i="5"/>
  <c r="J699" i="5"/>
  <c r="J698" i="5"/>
  <c r="Q698" i="5" s="1"/>
  <c r="J697" i="5"/>
  <c r="Q697" i="5" s="1"/>
  <c r="J684" i="5"/>
  <c r="J379" i="5"/>
  <c r="J376" i="5"/>
  <c r="J362" i="5"/>
  <c r="J360" i="5"/>
  <c r="J351" i="5"/>
  <c r="J349" i="5"/>
  <c r="J348" i="5"/>
  <c r="J347" i="5"/>
  <c r="J346" i="5"/>
  <c r="J338" i="5"/>
  <c r="J334" i="5"/>
  <c r="J319" i="5"/>
  <c r="J317" i="5"/>
  <c r="J305" i="5"/>
  <c r="J291" i="5"/>
  <c r="J21" i="5"/>
  <c r="Q684" i="5"/>
  <c r="Q379" i="5"/>
  <c r="Q376" i="5"/>
  <c r="Q362" i="5"/>
  <c r="Q360" i="5"/>
  <c r="L319" i="5"/>
  <c r="N1656" i="5"/>
  <c r="M1656" i="5"/>
  <c r="N1652" i="5"/>
  <c r="M1652" i="5"/>
  <c r="Q1604" i="5"/>
  <c r="P1604" i="5"/>
  <c r="O1604" i="5"/>
  <c r="Q1602" i="5"/>
  <c r="P1602" i="5"/>
  <c r="O1602" i="5"/>
  <c r="Q1601" i="5"/>
  <c r="P1601" i="5"/>
  <c r="O1601" i="5"/>
  <c r="Q1600" i="5"/>
  <c r="P1600" i="5"/>
  <c r="O1600" i="5"/>
  <c r="Q1599" i="5"/>
  <c r="P1599" i="5"/>
  <c r="O1599" i="5"/>
  <c r="Q1575" i="5"/>
  <c r="P1575" i="5"/>
  <c r="O1575" i="5"/>
  <c r="Q1573" i="5"/>
  <c r="P1573" i="5"/>
  <c r="O1573" i="5"/>
  <c r="Q700" i="5"/>
  <c r="P700" i="5"/>
  <c r="O700" i="5"/>
  <c r="Q699" i="5"/>
  <c r="P699" i="5"/>
  <c r="O699" i="5"/>
  <c r="P698" i="5"/>
  <c r="O698" i="5"/>
  <c r="P697" i="5"/>
  <c r="O697" i="5"/>
  <c r="P684" i="5"/>
  <c r="O684" i="5"/>
  <c r="P379" i="5"/>
  <c r="O379" i="5"/>
  <c r="P376" i="5"/>
  <c r="O376" i="5"/>
  <c r="P362" i="5"/>
  <c r="O362" i="5"/>
  <c r="P360" i="5"/>
  <c r="O360" i="5"/>
  <c r="Q351" i="5"/>
  <c r="P351" i="5"/>
  <c r="O351" i="5"/>
  <c r="Q349" i="5"/>
  <c r="P349" i="5"/>
  <c r="O349" i="5"/>
  <c r="Q348" i="5"/>
  <c r="P348" i="5"/>
  <c r="O348" i="5"/>
  <c r="Q347" i="5"/>
  <c r="P347" i="5"/>
  <c r="O347" i="5"/>
  <c r="Q346" i="5"/>
  <c r="P346" i="5"/>
  <c r="O346" i="5"/>
  <c r="Q338" i="5"/>
  <c r="P338" i="5"/>
  <c r="O338" i="5"/>
  <c r="Q334" i="5"/>
  <c r="P334" i="5"/>
  <c r="O334" i="5"/>
  <c r="Q319" i="5"/>
  <c r="P319" i="5"/>
  <c r="O319" i="5"/>
  <c r="Q317" i="5"/>
  <c r="P317" i="5"/>
  <c r="O317" i="5"/>
  <c r="Q305" i="5"/>
  <c r="P305" i="5"/>
  <c r="O305" i="5"/>
  <c r="Q291" i="5"/>
  <c r="P291" i="5"/>
  <c r="O291" i="5"/>
  <c r="Q21" i="5"/>
  <c r="P21" i="5"/>
  <c r="O21" i="5"/>
  <c r="M1650" i="5"/>
  <c r="J45" i="5"/>
  <c r="J48" i="5"/>
  <c r="J52" i="5"/>
  <c r="J53" i="5"/>
  <c r="J66" i="5"/>
  <c r="J115" i="5"/>
  <c r="J119" i="5"/>
  <c r="J121" i="5"/>
  <c r="J122" i="5"/>
  <c r="J124" i="5"/>
  <c r="J125" i="5"/>
  <c r="J128" i="5"/>
  <c r="J130" i="5"/>
  <c r="J131" i="5"/>
  <c r="J169" i="5"/>
  <c r="J188" i="5"/>
  <c r="J189" i="5"/>
  <c r="J193" i="5"/>
  <c r="J211" i="5"/>
  <c r="J235" i="5"/>
  <c r="J236" i="5"/>
  <c r="J238" i="5"/>
  <c r="J239" i="5"/>
  <c r="J242" i="5"/>
  <c r="J243" i="5"/>
  <c r="J258" i="5"/>
  <c r="J259" i="5"/>
  <c r="J284" i="5"/>
  <c r="J307" i="5"/>
  <c r="J314" i="5"/>
  <c r="J361" i="5"/>
  <c r="J364" i="5"/>
  <c r="J367" i="5"/>
  <c r="J386" i="5"/>
  <c r="J387" i="5"/>
  <c r="J412" i="5"/>
  <c r="J440" i="5"/>
  <c r="J447" i="5"/>
  <c r="J450" i="5"/>
  <c r="J495" i="5"/>
  <c r="J497" i="5"/>
  <c r="J503" i="5"/>
  <c r="J504" i="5"/>
  <c r="J546" i="5"/>
  <c r="J630" i="5"/>
  <c r="J633" i="5"/>
  <c r="E5" i="5"/>
  <c r="K5" i="5" s="1"/>
  <c r="F5" i="5"/>
  <c r="G5" i="5" s="1"/>
  <c r="E6" i="5"/>
  <c r="K6" i="5" s="1"/>
  <c r="F6" i="5"/>
  <c r="G6" i="5" s="1"/>
  <c r="E7" i="5"/>
  <c r="K7" i="5" s="1"/>
  <c r="F7" i="5"/>
  <c r="G7" i="5" s="1"/>
  <c r="E8" i="5"/>
  <c r="K8" i="5" s="1"/>
  <c r="F8" i="5"/>
  <c r="G8" i="5" s="1"/>
  <c r="E9" i="5"/>
  <c r="K9" i="5" s="1"/>
  <c r="F9" i="5"/>
  <c r="G9" i="5" s="1"/>
  <c r="E10" i="5"/>
  <c r="K10" i="5" s="1"/>
  <c r="F10" i="5"/>
  <c r="G10" i="5" s="1"/>
  <c r="E11" i="5"/>
  <c r="K11" i="5" s="1"/>
  <c r="F11" i="5"/>
  <c r="G11" i="5" s="1"/>
  <c r="E12" i="5"/>
  <c r="K12" i="5" s="1"/>
  <c r="F12" i="5"/>
  <c r="G12" i="5" s="1"/>
  <c r="E13" i="5"/>
  <c r="K13" i="5" s="1"/>
  <c r="F13" i="5"/>
  <c r="G13" i="5" s="1"/>
  <c r="E14" i="5"/>
  <c r="K14" i="5" s="1"/>
  <c r="F14" i="5"/>
  <c r="G14" i="5" s="1"/>
  <c r="E15" i="5"/>
  <c r="K15" i="5" s="1"/>
  <c r="F15" i="5"/>
  <c r="G15" i="5" s="1"/>
  <c r="E16" i="5"/>
  <c r="K16" i="5" s="1"/>
  <c r="F16" i="5"/>
  <c r="G16" i="5" s="1"/>
  <c r="E17" i="5"/>
  <c r="K17" i="5" s="1"/>
  <c r="F17" i="5"/>
  <c r="G17" i="5" s="1"/>
  <c r="E18" i="5"/>
  <c r="K18" i="5" s="1"/>
  <c r="F18" i="5"/>
  <c r="G18" i="5" s="1"/>
  <c r="E19" i="5"/>
  <c r="K19" i="5" s="1"/>
  <c r="F19" i="5"/>
  <c r="G19" i="5" s="1"/>
  <c r="E20" i="5"/>
  <c r="K20" i="5" s="1"/>
  <c r="F20" i="5"/>
  <c r="G20" i="5" s="1"/>
  <c r="E21" i="5"/>
  <c r="K21" i="5" s="1"/>
  <c r="F21" i="5"/>
  <c r="H21" i="5" s="1"/>
  <c r="I21" i="5" s="1"/>
  <c r="E22" i="5"/>
  <c r="K22" i="5" s="1"/>
  <c r="F22" i="5"/>
  <c r="E23" i="5"/>
  <c r="K23" i="5" s="1"/>
  <c r="F23" i="5"/>
  <c r="E24" i="5"/>
  <c r="F24" i="5"/>
  <c r="G24" i="5" s="1"/>
  <c r="H24" i="5"/>
  <c r="I24" i="5" s="1"/>
  <c r="J24" i="5" s="1"/>
  <c r="K24" i="5"/>
  <c r="E25" i="5"/>
  <c r="K25" i="5" s="1"/>
  <c r="F25" i="5"/>
  <c r="H25" i="5" s="1"/>
  <c r="I25" i="5" s="1"/>
  <c r="J25" i="5" s="1"/>
  <c r="E26" i="5"/>
  <c r="K26" i="5" s="1"/>
  <c r="F26" i="5"/>
  <c r="G26" i="5" s="1"/>
  <c r="E27" i="5"/>
  <c r="F27" i="5"/>
  <c r="G27" i="5" s="1"/>
  <c r="K27" i="5"/>
  <c r="E28" i="5"/>
  <c r="K28" i="5" s="1"/>
  <c r="F28" i="5"/>
  <c r="G28" i="5" s="1"/>
  <c r="E29" i="5"/>
  <c r="K29" i="5" s="1"/>
  <c r="F29" i="5"/>
  <c r="H29" i="5" s="1"/>
  <c r="I29" i="5" s="1"/>
  <c r="J29" i="5" s="1"/>
  <c r="E30" i="5"/>
  <c r="F30" i="5"/>
  <c r="G30" i="5" s="1"/>
  <c r="K30" i="5"/>
  <c r="E31" i="5"/>
  <c r="K31" i="5" s="1"/>
  <c r="F31" i="5"/>
  <c r="G31" i="5" s="1"/>
  <c r="E32" i="5"/>
  <c r="K32" i="5" s="1"/>
  <c r="F32" i="5"/>
  <c r="H32" i="5" s="1"/>
  <c r="I32" i="5" s="1"/>
  <c r="J32" i="5" s="1"/>
  <c r="E33" i="5"/>
  <c r="F33" i="5"/>
  <c r="G33" i="5" s="1"/>
  <c r="H33" i="5"/>
  <c r="I33" i="5" s="1"/>
  <c r="J33" i="5" s="1"/>
  <c r="K33" i="5"/>
  <c r="E34" i="5"/>
  <c r="K34" i="5" s="1"/>
  <c r="F34" i="5"/>
  <c r="G34" i="5" s="1"/>
  <c r="E35" i="5"/>
  <c r="K35" i="5" s="1"/>
  <c r="F35" i="5"/>
  <c r="G35" i="5" s="1"/>
  <c r="E36" i="5"/>
  <c r="F36" i="5"/>
  <c r="G36" i="5" s="1"/>
  <c r="K36" i="5"/>
  <c r="E37" i="5"/>
  <c r="K37" i="5" s="1"/>
  <c r="F37" i="5"/>
  <c r="G37" i="5" s="1"/>
  <c r="E38" i="5"/>
  <c r="K38" i="5" s="1"/>
  <c r="F38" i="5"/>
  <c r="G38" i="5" s="1"/>
  <c r="E39" i="5"/>
  <c r="K39" i="5" s="1"/>
  <c r="F39" i="5"/>
  <c r="G39" i="5" s="1"/>
  <c r="E40" i="5"/>
  <c r="K40" i="5" s="1"/>
  <c r="F40" i="5"/>
  <c r="G40" i="5" s="1"/>
  <c r="E41" i="5"/>
  <c r="K41" i="5" s="1"/>
  <c r="F41" i="5"/>
  <c r="G41" i="5" s="1"/>
  <c r="E42" i="5"/>
  <c r="K42" i="5" s="1"/>
  <c r="F42" i="5"/>
  <c r="G42" i="5" s="1"/>
  <c r="E43" i="5"/>
  <c r="K43" i="5" s="1"/>
  <c r="F43" i="5"/>
  <c r="G43" i="5" s="1"/>
  <c r="E44" i="5"/>
  <c r="K44" i="5" s="1"/>
  <c r="F44" i="5"/>
  <c r="G44" i="5" s="1"/>
  <c r="E45" i="5"/>
  <c r="F45" i="5"/>
  <c r="H45" i="5" s="1"/>
  <c r="I45" i="5" s="1"/>
  <c r="K45" i="5"/>
  <c r="E46" i="5"/>
  <c r="K46" i="5" s="1"/>
  <c r="F46" i="5"/>
  <c r="G46" i="5" s="1"/>
  <c r="E47" i="5"/>
  <c r="K47" i="5" s="1"/>
  <c r="F47" i="5"/>
  <c r="G47" i="5" s="1"/>
  <c r="E48" i="5"/>
  <c r="K48" i="5" s="1"/>
  <c r="F48" i="5"/>
  <c r="H48" i="5" s="1"/>
  <c r="I48" i="5" s="1"/>
  <c r="E49" i="5"/>
  <c r="F49" i="5"/>
  <c r="G49" i="5" s="1"/>
  <c r="K49" i="5"/>
  <c r="E50" i="5"/>
  <c r="K50" i="5" s="1"/>
  <c r="F50" i="5"/>
  <c r="G50" i="5" s="1"/>
  <c r="E51" i="5"/>
  <c r="K51" i="5" s="1"/>
  <c r="F51" i="5"/>
  <c r="G51" i="5" s="1"/>
  <c r="E52" i="5"/>
  <c r="K52" i="5" s="1"/>
  <c r="F52" i="5"/>
  <c r="H52" i="5" s="1"/>
  <c r="I52" i="5" s="1"/>
  <c r="E53" i="5"/>
  <c r="F53" i="5"/>
  <c r="H53" i="5" s="1"/>
  <c r="I53" i="5" s="1"/>
  <c r="K53" i="5"/>
  <c r="E54" i="5"/>
  <c r="K54" i="5" s="1"/>
  <c r="F54" i="5"/>
  <c r="G54" i="5" s="1"/>
  <c r="E55" i="5"/>
  <c r="K55" i="5" s="1"/>
  <c r="F55" i="5"/>
  <c r="G55" i="5" s="1"/>
  <c r="E56" i="5"/>
  <c r="F56" i="5"/>
  <c r="G56" i="5" s="1"/>
  <c r="K56" i="5"/>
  <c r="E57" i="5"/>
  <c r="K57" i="5" s="1"/>
  <c r="F57" i="5"/>
  <c r="G57" i="5" s="1"/>
  <c r="E58" i="5"/>
  <c r="K58" i="5" s="1"/>
  <c r="F58" i="5"/>
  <c r="G58" i="5" s="1"/>
  <c r="E59" i="5"/>
  <c r="K59" i="5" s="1"/>
  <c r="F59" i="5"/>
  <c r="G59" i="5" s="1"/>
  <c r="E60" i="5"/>
  <c r="K60" i="5" s="1"/>
  <c r="F60" i="5"/>
  <c r="G60" i="5" s="1"/>
  <c r="E61" i="5"/>
  <c r="K61" i="5" s="1"/>
  <c r="F61" i="5"/>
  <c r="H61" i="5" s="1"/>
  <c r="I61" i="5" s="1"/>
  <c r="J61" i="5" s="1"/>
  <c r="G61" i="5"/>
  <c r="E62" i="5"/>
  <c r="K62" i="5" s="1"/>
  <c r="F62" i="5"/>
  <c r="G62" i="5" s="1"/>
  <c r="E63" i="5"/>
  <c r="K63" i="5" s="1"/>
  <c r="F63" i="5"/>
  <c r="G63" i="5" s="1"/>
  <c r="E64" i="5"/>
  <c r="K64" i="5" s="1"/>
  <c r="F64" i="5"/>
  <c r="G64" i="5" s="1"/>
  <c r="E65" i="5"/>
  <c r="K65" i="5" s="1"/>
  <c r="F65" i="5"/>
  <c r="G65" i="5" s="1"/>
  <c r="E66" i="5"/>
  <c r="K66" i="5" s="1"/>
  <c r="F66" i="5"/>
  <c r="H66" i="5" s="1"/>
  <c r="I66" i="5" s="1"/>
  <c r="E67" i="5"/>
  <c r="K67" i="5" s="1"/>
  <c r="F67" i="5"/>
  <c r="G67" i="5" s="1"/>
  <c r="E68" i="5"/>
  <c r="K68" i="5" s="1"/>
  <c r="F68" i="5"/>
  <c r="G68" i="5" s="1"/>
  <c r="E69" i="5"/>
  <c r="F69" i="5"/>
  <c r="G69" i="5" s="1"/>
  <c r="K69" i="5"/>
  <c r="E70" i="5"/>
  <c r="F70" i="5"/>
  <c r="H70" i="5" s="1"/>
  <c r="I70" i="5" s="1"/>
  <c r="J70" i="5" s="1"/>
  <c r="K70" i="5"/>
  <c r="E71" i="5"/>
  <c r="K71" i="5" s="1"/>
  <c r="F71" i="5"/>
  <c r="H71" i="5" s="1"/>
  <c r="I71" i="5" s="1"/>
  <c r="J71" i="5" s="1"/>
  <c r="E72" i="5"/>
  <c r="K72" i="5" s="1"/>
  <c r="F72" i="5"/>
  <c r="G72" i="5" s="1"/>
  <c r="E73" i="5"/>
  <c r="K73" i="5" s="1"/>
  <c r="F73" i="5"/>
  <c r="G73" i="5" s="1"/>
  <c r="E74" i="5"/>
  <c r="K74" i="5" s="1"/>
  <c r="F74" i="5"/>
  <c r="G74" i="5" s="1"/>
  <c r="E75" i="5"/>
  <c r="F75" i="5"/>
  <c r="G75" i="5" s="1"/>
  <c r="K75" i="5"/>
  <c r="E76" i="5"/>
  <c r="K76" i="5" s="1"/>
  <c r="F76" i="5"/>
  <c r="G76" i="5" s="1"/>
  <c r="H76" i="5"/>
  <c r="I76" i="5" s="1"/>
  <c r="J76" i="5" s="1"/>
  <c r="E77" i="5"/>
  <c r="F77" i="5"/>
  <c r="G77" i="5" s="1"/>
  <c r="K77" i="5"/>
  <c r="E78" i="5"/>
  <c r="K78" i="5" s="1"/>
  <c r="F78" i="5"/>
  <c r="G78" i="5" s="1"/>
  <c r="E79" i="5"/>
  <c r="K79" i="5" s="1"/>
  <c r="F79" i="5"/>
  <c r="G79" i="5" s="1"/>
  <c r="H79" i="5"/>
  <c r="I79" i="5" s="1"/>
  <c r="J79" i="5" s="1"/>
  <c r="E80" i="5"/>
  <c r="K80" i="5" s="1"/>
  <c r="F80" i="5"/>
  <c r="G80" i="5" s="1"/>
  <c r="E81" i="5"/>
  <c r="K81" i="5" s="1"/>
  <c r="F81" i="5"/>
  <c r="G81" i="5" s="1"/>
  <c r="E82" i="5"/>
  <c r="K82" i="5" s="1"/>
  <c r="F82" i="5"/>
  <c r="G82" i="5" s="1"/>
  <c r="E83" i="5"/>
  <c r="K83" i="5" s="1"/>
  <c r="F83" i="5"/>
  <c r="G83" i="5" s="1"/>
  <c r="E84" i="5"/>
  <c r="F84" i="5"/>
  <c r="H84" i="5" s="1"/>
  <c r="I84" i="5" s="1"/>
  <c r="J84" i="5" s="1"/>
  <c r="K84" i="5"/>
  <c r="E85" i="5"/>
  <c r="K85" i="5" s="1"/>
  <c r="F85" i="5"/>
  <c r="G85" i="5" s="1"/>
  <c r="E86" i="5"/>
  <c r="K86" i="5" s="1"/>
  <c r="F86" i="5"/>
  <c r="G86" i="5" s="1"/>
  <c r="E87" i="5"/>
  <c r="K87" i="5" s="1"/>
  <c r="F87" i="5"/>
  <c r="E88" i="5"/>
  <c r="K88" i="5" s="1"/>
  <c r="F88" i="5"/>
  <c r="G88" i="5" s="1"/>
  <c r="E89" i="5"/>
  <c r="K89" i="5" s="1"/>
  <c r="F89" i="5"/>
  <c r="G89" i="5" s="1"/>
  <c r="E90" i="5"/>
  <c r="F90" i="5"/>
  <c r="G90" i="5" s="1"/>
  <c r="K90" i="5"/>
  <c r="E91" i="5"/>
  <c r="K91" i="5" s="1"/>
  <c r="F91" i="5"/>
  <c r="G91" i="5" s="1"/>
  <c r="E92" i="5"/>
  <c r="K92" i="5" s="1"/>
  <c r="F92" i="5"/>
  <c r="G92" i="5" s="1"/>
  <c r="E93" i="5"/>
  <c r="K93" i="5" s="1"/>
  <c r="F93" i="5"/>
  <c r="G93" i="5" s="1"/>
  <c r="H93" i="5"/>
  <c r="I93" i="5" s="1"/>
  <c r="J93" i="5" s="1"/>
  <c r="E94" i="5"/>
  <c r="K94" i="5" s="1"/>
  <c r="F94" i="5"/>
  <c r="H94" i="5" s="1"/>
  <c r="I94" i="5" s="1"/>
  <c r="J94" i="5" s="1"/>
  <c r="E95" i="5"/>
  <c r="K95" i="5" s="1"/>
  <c r="F95" i="5"/>
  <c r="G95" i="5" s="1"/>
  <c r="E96" i="5"/>
  <c r="K96" i="5" s="1"/>
  <c r="F96" i="5"/>
  <c r="H96" i="5" s="1"/>
  <c r="I96" i="5" s="1"/>
  <c r="J96" i="5" s="1"/>
  <c r="E97" i="5"/>
  <c r="K97" i="5" s="1"/>
  <c r="F97" i="5"/>
  <c r="G97" i="5" s="1"/>
  <c r="E98" i="5"/>
  <c r="K98" i="5" s="1"/>
  <c r="F98" i="5"/>
  <c r="H98" i="5" s="1"/>
  <c r="I98" i="5" s="1"/>
  <c r="J98" i="5" s="1"/>
  <c r="E99" i="5"/>
  <c r="K99" i="5" s="1"/>
  <c r="F99" i="5"/>
  <c r="G99" i="5" s="1"/>
  <c r="H99" i="5"/>
  <c r="I99" i="5" s="1"/>
  <c r="J99" i="5" s="1"/>
  <c r="E100" i="5"/>
  <c r="K100" i="5" s="1"/>
  <c r="F100" i="5"/>
  <c r="H100" i="5" s="1"/>
  <c r="I100" i="5" s="1"/>
  <c r="J100" i="5" s="1"/>
  <c r="E101" i="5"/>
  <c r="K101" i="5" s="1"/>
  <c r="F101" i="5"/>
  <c r="G101" i="5" s="1"/>
  <c r="E102" i="5"/>
  <c r="K102" i="5" s="1"/>
  <c r="F102" i="5"/>
  <c r="G102" i="5" s="1"/>
  <c r="E103" i="5"/>
  <c r="K103" i="5" s="1"/>
  <c r="F103" i="5"/>
  <c r="G103" i="5" s="1"/>
  <c r="E104" i="5"/>
  <c r="K104" i="5" s="1"/>
  <c r="F104" i="5"/>
  <c r="G104" i="5" s="1"/>
  <c r="E105" i="5"/>
  <c r="K105" i="5" s="1"/>
  <c r="F105" i="5"/>
  <c r="G105" i="5" s="1"/>
  <c r="E106" i="5"/>
  <c r="K106" i="5" s="1"/>
  <c r="F106" i="5"/>
  <c r="G106" i="5" s="1"/>
  <c r="E107" i="5"/>
  <c r="F107" i="5"/>
  <c r="G107" i="5" s="1"/>
  <c r="K107" i="5"/>
  <c r="E108" i="5"/>
  <c r="K108" i="5" s="1"/>
  <c r="F108" i="5"/>
  <c r="H108" i="5" s="1"/>
  <c r="I108" i="5" s="1"/>
  <c r="J108" i="5" s="1"/>
  <c r="E109" i="5"/>
  <c r="K109" i="5" s="1"/>
  <c r="F109" i="5"/>
  <c r="G109" i="5" s="1"/>
  <c r="E110" i="5"/>
  <c r="K110" i="5" s="1"/>
  <c r="F110" i="5"/>
  <c r="H110" i="5" s="1"/>
  <c r="I110" i="5" s="1"/>
  <c r="J110" i="5" s="1"/>
  <c r="E111" i="5"/>
  <c r="F111" i="5"/>
  <c r="H111" i="5" s="1"/>
  <c r="I111" i="5" s="1"/>
  <c r="J111" i="5" s="1"/>
  <c r="K111" i="5"/>
  <c r="E112" i="5"/>
  <c r="K112" i="5" s="1"/>
  <c r="F112" i="5"/>
  <c r="G112" i="5" s="1"/>
  <c r="E113" i="5"/>
  <c r="K113" i="5" s="1"/>
  <c r="F113" i="5"/>
  <c r="G113" i="5" s="1"/>
  <c r="E114" i="5"/>
  <c r="K114" i="5" s="1"/>
  <c r="F114" i="5"/>
  <c r="G114" i="5" s="1"/>
  <c r="E115" i="5"/>
  <c r="K115" i="5" s="1"/>
  <c r="F115" i="5"/>
  <c r="H115" i="5" s="1"/>
  <c r="I115" i="5" s="1"/>
  <c r="E116" i="5"/>
  <c r="K116" i="5" s="1"/>
  <c r="F116" i="5"/>
  <c r="G116" i="5" s="1"/>
  <c r="E117" i="5"/>
  <c r="K117" i="5" s="1"/>
  <c r="F117" i="5"/>
  <c r="G117" i="5" s="1"/>
  <c r="E118" i="5"/>
  <c r="K118" i="5" s="1"/>
  <c r="F118" i="5"/>
  <c r="G118" i="5" s="1"/>
  <c r="E119" i="5"/>
  <c r="K119" i="5" s="1"/>
  <c r="F119" i="5"/>
  <c r="G119" i="5"/>
  <c r="H119" i="5"/>
  <c r="I119" i="5" s="1"/>
  <c r="E120" i="5"/>
  <c r="K120" i="5" s="1"/>
  <c r="F120" i="5"/>
  <c r="G120" i="5" s="1"/>
  <c r="E121" i="5"/>
  <c r="K121" i="5" s="1"/>
  <c r="F121" i="5"/>
  <c r="H121" i="5" s="1"/>
  <c r="I121" i="5" s="1"/>
  <c r="E122" i="5"/>
  <c r="K122" i="5" s="1"/>
  <c r="F122" i="5"/>
  <c r="H122" i="5" s="1"/>
  <c r="I122" i="5" s="1"/>
  <c r="E123" i="5"/>
  <c r="K123" i="5" s="1"/>
  <c r="F123" i="5"/>
  <c r="G123" i="5" s="1"/>
  <c r="E124" i="5"/>
  <c r="F124" i="5"/>
  <c r="H124" i="5" s="1"/>
  <c r="I124" i="5" s="1"/>
  <c r="G124" i="5"/>
  <c r="K124" i="5"/>
  <c r="E125" i="5"/>
  <c r="K125" i="5" s="1"/>
  <c r="F125" i="5"/>
  <c r="H125" i="5" s="1"/>
  <c r="I125" i="5" s="1"/>
  <c r="E126" i="5"/>
  <c r="F126" i="5"/>
  <c r="G126" i="5" s="1"/>
  <c r="K126" i="5"/>
  <c r="E127" i="5"/>
  <c r="K127" i="5" s="1"/>
  <c r="F127" i="5"/>
  <c r="G127" i="5" s="1"/>
  <c r="E128" i="5"/>
  <c r="K128" i="5" s="1"/>
  <c r="F128" i="5"/>
  <c r="G128" i="5" s="1"/>
  <c r="H128" i="5"/>
  <c r="I128" i="5" s="1"/>
  <c r="E129" i="5"/>
  <c r="K129" i="5" s="1"/>
  <c r="F129" i="5"/>
  <c r="G129" i="5" s="1"/>
  <c r="E130" i="5"/>
  <c r="K130" i="5" s="1"/>
  <c r="F130" i="5"/>
  <c r="H130" i="5" s="1"/>
  <c r="I130" i="5" s="1"/>
  <c r="E131" i="5"/>
  <c r="F131" i="5"/>
  <c r="G131" i="5" s="1"/>
  <c r="H131" i="5"/>
  <c r="I131" i="5" s="1"/>
  <c r="K131" i="5"/>
  <c r="E132" i="5"/>
  <c r="K132" i="5" s="1"/>
  <c r="F132" i="5"/>
  <c r="G132" i="5" s="1"/>
  <c r="E133" i="5"/>
  <c r="K133" i="5" s="1"/>
  <c r="F133" i="5"/>
  <c r="G133" i="5" s="1"/>
  <c r="E134" i="5"/>
  <c r="K134" i="5" s="1"/>
  <c r="F134" i="5"/>
  <c r="H134" i="5" s="1"/>
  <c r="I134" i="5" s="1"/>
  <c r="J134" i="5" s="1"/>
  <c r="E135" i="5"/>
  <c r="K135" i="5" s="1"/>
  <c r="F135" i="5"/>
  <c r="G135" i="5" s="1"/>
  <c r="E136" i="5"/>
  <c r="K136" i="5" s="1"/>
  <c r="F136" i="5"/>
  <c r="H136" i="5" s="1"/>
  <c r="I136" i="5" s="1"/>
  <c r="J136" i="5" s="1"/>
  <c r="G136" i="5"/>
  <c r="E137" i="5"/>
  <c r="K137" i="5" s="1"/>
  <c r="F137" i="5"/>
  <c r="G137" i="5" s="1"/>
  <c r="E138" i="5"/>
  <c r="K138" i="5" s="1"/>
  <c r="F138" i="5"/>
  <c r="G138" i="5" s="1"/>
  <c r="E139" i="5"/>
  <c r="K139" i="5" s="1"/>
  <c r="F139" i="5"/>
  <c r="G139" i="5" s="1"/>
  <c r="E140" i="5"/>
  <c r="K140" i="5" s="1"/>
  <c r="F140" i="5"/>
  <c r="G140" i="5" s="1"/>
  <c r="E141" i="5"/>
  <c r="K141" i="5" s="1"/>
  <c r="F141" i="5"/>
  <c r="G141" i="5" s="1"/>
  <c r="H141" i="5"/>
  <c r="I141" i="5" s="1"/>
  <c r="J141" i="5" s="1"/>
  <c r="E142" i="5"/>
  <c r="K142" i="5" s="1"/>
  <c r="F142" i="5"/>
  <c r="G142" i="5" s="1"/>
  <c r="E143" i="5"/>
  <c r="F143" i="5"/>
  <c r="G143" i="5" s="1"/>
  <c r="K143" i="5"/>
  <c r="E144" i="5"/>
  <c r="K144" i="5" s="1"/>
  <c r="F144" i="5"/>
  <c r="G144" i="5" s="1"/>
  <c r="E145" i="5"/>
  <c r="F145" i="5"/>
  <c r="G145" i="5" s="1"/>
  <c r="K145" i="5"/>
  <c r="E146" i="5"/>
  <c r="K146" i="5" s="1"/>
  <c r="F146" i="5"/>
  <c r="G146" i="5" s="1"/>
  <c r="H146" i="5"/>
  <c r="I146" i="5" s="1"/>
  <c r="J146" i="5" s="1"/>
  <c r="E147" i="5"/>
  <c r="F147" i="5"/>
  <c r="G147" i="5"/>
  <c r="H147" i="5"/>
  <c r="I147" i="5" s="1"/>
  <c r="J147" i="5" s="1"/>
  <c r="K147" i="5"/>
  <c r="E148" i="5"/>
  <c r="K148" i="5" s="1"/>
  <c r="F148" i="5"/>
  <c r="G148" i="5" s="1"/>
  <c r="E149" i="5"/>
  <c r="K149" i="5" s="1"/>
  <c r="F149" i="5"/>
  <c r="H149" i="5" s="1"/>
  <c r="I149" i="5" s="1"/>
  <c r="J149" i="5" s="1"/>
  <c r="E150" i="5"/>
  <c r="K150" i="5" s="1"/>
  <c r="F150" i="5"/>
  <c r="G150" i="5" s="1"/>
  <c r="E151" i="5"/>
  <c r="K151" i="5" s="1"/>
  <c r="F151" i="5"/>
  <c r="E152" i="5"/>
  <c r="F152" i="5"/>
  <c r="G152" i="5" s="1"/>
  <c r="K152" i="5"/>
  <c r="E153" i="5"/>
  <c r="K153" i="5" s="1"/>
  <c r="F153" i="5"/>
  <c r="G153" i="5" s="1"/>
  <c r="E154" i="5"/>
  <c r="F154" i="5"/>
  <c r="G154" i="5" s="1"/>
  <c r="K154" i="5"/>
  <c r="E155" i="5"/>
  <c r="K155" i="5" s="1"/>
  <c r="F155" i="5"/>
  <c r="G155" i="5" s="1"/>
  <c r="E156" i="5"/>
  <c r="K156" i="5" s="1"/>
  <c r="F156" i="5"/>
  <c r="H156" i="5" s="1"/>
  <c r="I156" i="5" s="1"/>
  <c r="J156" i="5" s="1"/>
  <c r="E157" i="5"/>
  <c r="K157" i="5" s="1"/>
  <c r="F157" i="5"/>
  <c r="H157" i="5" s="1"/>
  <c r="I157" i="5" s="1"/>
  <c r="J157" i="5" s="1"/>
  <c r="E158" i="5"/>
  <c r="F158" i="5"/>
  <c r="G158" i="5" s="1"/>
  <c r="K158" i="5"/>
  <c r="E159" i="5"/>
  <c r="F159" i="5"/>
  <c r="G159" i="5" s="1"/>
  <c r="K159" i="5"/>
  <c r="E160" i="5"/>
  <c r="K160" i="5" s="1"/>
  <c r="F160" i="5"/>
  <c r="H160" i="5" s="1"/>
  <c r="I160" i="5" s="1"/>
  <c r="J160" i="5" s="1"/>
  <c r="E161" i="5"/>
  <c r="K161" i="5" s="1"/>
  <c r="F161" i="5"/>
  <c r="G161" i="5" s="1"/>
  <c r="E162" i="5"/>
  <c r="K162" i="5" s="1"/>
  <c r="F162" i="5"/>
  <c r="H162" i="5" s="1"/>
  <c r="I162" i="5" s="1"/>
  <c r="J162" i="5" s="1"/>
  <c r="E163" i="5"/>
  <c r="K163" i="5" s="1"/>
  <c r="F163" i="5"/>
  <c r="G163" i="5" s="1"/>
  <c r="E164" i="5"/>
  <c r="K164" i="5" s="1"/>
  <c r="F164" i="5"/>
  <c r="G164" i="5" s="1"/>
  <c r="E165" i="5"/>
  <c r="K165" i="5" s="1"/>
  <c r="F165" i="5"/>
  <c r="G165" i="5" s="1"/>
  <c r="E166" i="5"/>
  <c r="K166" i="5" s="1"/>
  <c r="F166" i="5"/>
  <c r="G166" i="5" s="1"/>
  <c r="E167" i="5"/>
  <c r="K167" i="5" s="1"/>
  <c r="F167" i="5"/>
  <c r="G167" i="5" s="1"/>
  <c r="E168" i="5"/>
  <c r="F168" i="5"/>
  <c r="G168" i="5" s="1"/>
  <c r="K168" i="5"/>
  <c r="E169" i="5"/>
  <c r="K169" i="5" s="1"/>
  <c r="F169" i="5"/>
  <c r="G169" i="5"/>
  <c r="H169" i="5"/>
  <c r="I169" i="5" s="1"/>
  <c r="E170" i="5"/>
  <c r="K170" i="5" s="1"/>
  <c r="F170" i="5"/>
  <c r="G170" i="5" s="1"/>
  <c r="E171" i="5"/>
  <c r="F171" i="5"/>
  <c r="G171" i="5" s="1"/>
  <c r="K171" i="5"/>
  <c r="E172" i="5"/>
  <c r="F172" i="5"/>
  <c r="G172" i="5" s="1"/>
  <c r="K172" i="5"/>
  <c r="E173" i="5"/>
  <c r="K173" i="5" s="1"/>
  <c r="F173" i="5"/>
  <c r="G173" i="5" s="1"/>
  <c r="E174" i="5"/>
  <c r="F174" i="5"/>
  <c r="H174" i="5" s="1"/>
  <c r="I174" i="5" s="1"/>
  <c r="J174" i="5" s="1"/>
  <c r="K174" i="5"/>
  <c r="E175" i="5"/>
  <c r="K175" i="5" s="1"/>
  <c r="F175" i="5"/>
  <c r="H175" i="5" s="1"/>
  <c r="I175" i="5" s="1"/>
  <c r="J175" i="5" s="1"/>
  <c r="G175" i="5"/>
  <c r="E176" i="5"/>
  <c r="F176" i="5"/>
  <c r="G176" i="5" s="1"/>
  <c r="K176" i="5"/>
  <c r="E177" i="5"/>
  <c r="K177" i="5" s="1"/>
  <c r="F177" i="5"/>
  <c r="G177" i="5" s="1"/>
  <c r="E178" i="5"/>
  <c r="K178" i="5" s="1"/>
  <c r="F178" i="5"/>
  <c r="G178" i="5" s="1"/>
  <c r="E179" i="5"/>
  <c r="K179" i="5" s="1"/>
  <c r="F179" i="5"/>
  <c r="H179" i="5" s="1"/>
  <c r="I179" i="5" s="1"/>
  <c r="J179" i="5" s="1"/>
  <c r="E180" i="5"/>
  <c r="F180" i="5"/>
  <c r="G180" i="5" s="1"/>
  <c r="K180" i="5"/>
  <c r="E181" i="5"/>
  <c r="K181" i="5" s="1"/>
  <c r="F181" i="5"/>
  <c r="G181" i="5" s="1"/>
  <c r="E182" i="5"/>
  <c r="F182" i="5"/>
  <c r="G182" i="5" s="1"/>
  <c r="K182" i="5"/>
  <c r="E183" i="5"/>
  <c r="K183" i="5" s="1"/>
  <c r="F183" i="5"/>
  <c r="G183" i="5" s="1"/>
  <c r="E184" i="5"/>
  <c r="K184" i="5" s="1"/>
  <c r="F184" i="5"/>
  <c r="G184" i="5" s="1"/>
  <c r="E185" i="5"/>
  <c r="K185" i="5" s="1"/>
  <c r="F185" i="5"/>
  <c r="G185" i="5" s="1"/>
  <c r="E186" i="5"/>
  <c r="K186" i="5" s="1"/>
  <c r="F186" i="5"/>
  <c r="H186" i="5" s="1"/>
  <c r="I186" i="5" s="1"/>
  <c r="J186" i="5" s="1"/>
  <c r="E187" i="5"/>
  <c r="K187" i="5" s="1"/>
  <c r="F187" i="5"/>
  <c r="G187" i="5" s="1"/>
  <c r="E188" i="5"/>
  <c r="K188" i="5" s="1"/>
  <c r="F188" i="5"/>
  <c r="H188" i="5" s="1"/>
  <c r="I188" i="5" s="1"/>
  <c r="E189" i="5"/>
  <c r="K189" i="5" s="1"/>
  <c r="F189" i="5"/>
  <c r="H189" i="5" s="1"/>
  <c r="I189" i="5" s="1"/>
  <c r="G189" i="5"/>
  <c r="E190" i="5"/>
  <c r="F190" i="5"/>
  <c r="G190" i="5" s="1"/>
  <c r="K190" i="5"/>
  <c r="E191" i="5"/>
  <c r="K191" i="5" s="1"/>
  <c r="F191" i="5"/>
  <c r="G191" i="5" s="1"/>
  <c r="E192" i="5"/>
  <c r="K192" i="5" s="1"/>
  <c r="F192" i="5"/>
  <c r="G192" i="5" s="1"/>
  <c r="E193" i="5"/>
  <c r="K193" i="5" s="1"/>
  <c r="F193" i="5"/>
  <c r="H193" i="5" s="1"/>
  <c r="I193" i="5" s="1"/>
  <c r="G193" i="5"/>
  <c r="E194" i="5"/>
  <c r="K194" i="5" s="1"/>
  <c r="F194" i="5"/>
  <c r="G194" i="5" s="1"/>
  <c r="E195" i="5"/>
  <c r="F195" i="5"/>
  <c r="G195" i="5" s="1"/>
  <c r="K195" i="5"/>
  <c r="E196" i="5"/>
  <c r="K196" i="5" s="1"/>
  <c r="F196" i="5"/>
  <c r="G196" i="5" s="1"/>
  <c r="E197" i="5"/>
  <c r="K197" i="5" s="1"/>
  <c r="F197" i="5"/>
  <c r="G197" i="5" s="1"/>
  <c r="E198" i="5"/>
  <c r="F198" i="5"/>
  <c r="G198" i="5" s="1"/>
  <c r="H198" i="5"/>
  <c r="I198" i="5" s="1"/>
  <c r="J198" i="5" s="1"/>
  <c r="K198" i="5"/>
  <c r="E199" i="5"/>
  <c r="F199" i="5"/>
  <c r="G199" i="5" s="1"/>
  <c r="K199" i="5"/>
  <c r="E200" i="5"/>
  <c r="K200" i="5" s="1"/>
  <c r="F200" i="5"/>
  <c r="G200" i="5" s="1"/>
  <c r="E201" i="5"/>
  <c r="F201" i="5"/>
  <c r="G201" i="5"/>
  <c r="H201" i="5"/>
  <c r="I201" i="5" s="1"/>
  <c r="J201" i="5" s="1"/>
  <c r="K201" i="5"/>
  <c r="E202" i="5"/>
  <c r="K202" i="5" s="1"/>
  <c r="F202" i="5"/>
  <c r="G202" i="5" s="1"/>
  <c r="E203" i="5"/>
  <c r="K203" i="5" s="1"/>
  <c r="F203" i="5"/>
  <c r="G203" i="5" s="1"/>
  <c r="E204" i="5"/>
  <c r="K204" i="5" s="1"/>
  <c r="F204" i="5"/>
  <c r="G204" i="5" s="1"/>
  <c r="E205" i="5"/>
  <c r="K205" i="5" s="1"/>
  <c r="F205" i="5"/>
  <c r="G205" i="5" s="1"/>
  <c r="E206" i="5"/>
  <c r="K206" i="5" s="1"/>
  <c r="F206" i="5"/>
  <c r="G206" i="5" s="1"/>
  <c r="E207" i="5"/>
  <c r="F207" i="5"/>
  <c r="G207" i="5" s="1"/>
  <c r="K207" i="5"/>
  <c r="E208" i="5"/>
  <c r="K208" i="5" s="1"/>
  <c r="F208" i="5"/>
  <c r="G208" i="5" s="1"/>
  <c r="E209" i="5"/>
  <c r="K209" i="5" s="1"/>
  <c r="F209" i="5"/>
  <c r="G209" i="5" s="1"/>
  <c r="E210" i="5"/>
  <c r="K210" i="5" s="1"/>
  <c r="F210" i="5"/>
  <c r="G210" i="5" s="1"/>
  <c r="E211" i="5"/>
  <c r="K211" i="5" s="1"/>
  <c r="F211" i="5"/>
  <c r="H211" i="5" s="1"/>
  <c r="I211" i="5" s="1"/>
  <c r="G211" i="5"/>
  <c r="E212" i="5"/>
  <c r="K212" i="5" s="1"/>
  <c r="F212" i="5"/>
  <c r="H212" i="5" s="1"/>
  <c r="I212" i="5" s="1"/>
  <c r="J212" i="5" s="1"/>
  <c r="G212" i="5"/>
  <c r="E213" i="5"/>
  <c r="F213" i="5"/>
  <c r="G213" i="5"/>
  <c r="H213" i="5"/>
  <c r="I213" i="5" s="1"/>
  <c r="J213" i="5" s="1"/>
  <c r="K213" i="5"/>
  <c r="E214" i="5"/>
  <c r="F214" i="5"/>
  <c r="G214" i="5" s="1"/>
  <c r="H214" i="5"/>
  <c r="I214" i="5" s="1"/>
  <c r="J214" i="5" s="1"/>
  <c r="K214" i="5"/>
  <c r="E215" i="5"/>
  <c r="K215" i="5" s="1"/>
  <c r="F215" i="5"/>
  <c r="E216" i="5"/>
  <c r="F216" i="5"/>
  <c r="G216" i="5" s="1"/>
  <c r="K216" i="5"/>
  <c r="E217" i="5"/>
  <c r="K217" i="5" s="1"/>
  <c r="F217" i="5"/>
  <c r="G217" i="5" s="1"/>
  <c r="E218" i="5"/>
  <c r="K218" i="5" s="1"/>
  <c r="F218" i="5"/>
  <c r="G218" i="5" s="1"/>
  <c r="E219" i="5"/>
  <c r="K219" i="5" s="1"/>
  <c r="F219" i="5"/>
  <c r="G219" i="5" s="1"/>
  <c r="E220" i="5"/>
  <c r="F220" i="5"/>
  <c r="G220" i="5"/>
  <c r="H220" i="5"/>
  <c r="I220" i="5" s="1"/>
  <c r="J220" i="5" s="1"/>
  <c r="K220" i="5"/>
  <c r="E221" i="5"/>
  <c r="K221" i="5" s="1"/>
  <c r="F221" i="5"/>
  <c r="G221" i="5" s="1"/>
  <c r="E222" i="5"/>
  <c r="K222" i="5" s="1"/>
  <c r="F222" i="5"/>
  <c r="H222" i="5" s="1"/>
  <c r="I222" i="5" s="1"/>
  <c r="J222" i="5" s="1"/>
  <c r="E223" i="5"/>
  <c r="K223" i="5" s="1"/>
  <c r="F223" i="5"/>
  <c r="H223" i="5" s="1"/>
  <c r="I223" i="5" s="1"/>
  <c r="J223" i="5" s="1"/>
  <c r="G223" i="5"/>
  <c r="E224" i="5"/>
  <c r="K224" i="5" s="1"/>
  <c r="F224" i="5"/>
  <c r="H224" i="5" s="1"/>
  <c r="I224" i="5" s="1"/>
  <c r="J224" i="5" s="1"/>
  <c r="E225" i="5"/>
  <c r="K225" i="5" s="1"/>
  <c r="F225" i="5"/>
  <c r="G225" i="5" s="1"/>
  <c r="E226" i="5"/>
  <c r="K226" i="5" s="1"/>
  <c r="F226" i="5"/>
  <c r="H226" i="5" s="1"/>
  <c r="I226" i="5" s="1"/>
  <c r="J226" i="5" s="1"/>
  <c r="E227" i="5"/>
  <c r="K227" i="5" s="1"/>
  <c r="F227" i="5"/>
  <c r="G227" i="5" s="1"/>
  <c r="E228" i="5"/>
  <c r="K228" i="5" s="1"/>
  <c r="F228" i="5"/>
  <c r="G228" i="5" s="1"/>
  <c r="E229" i="5"/>
  <c r="F229" i="5"/>
  <c r="G229" i="5" s="1"/>
  <c r="K229" i="5"/>
  <c r="E230" i="5"/>
  <c r="K230" i="5" s="1"/>
  <c r="F230" i="5"/>
  <c r="G230" i="5" s="1"/>
  <c r="E231" i="5"/>
  <c r="K231" i="5" s="1"/>
  <c r="F231" i="5"/>
  <c r="G231" i="5" s="1"/>
  <c r="E232" i="5"/>
  <c r="K232" i="5" s="1"/>
  <c r="F232" i="5"/>
  <c r="G232" i="5" s="1"/>
  <c r="E233" i="5"/>
  <c r="K233" i="5" s="1"/>
  <c r="F233" i="5"/>
  <c r="G233" i="5" s="1"/>
  <c r="E234" i="5"/>
  <c r="F234" i="5"/>
  <c r="G234" i="5" s="1"/>
  <c r="K234" i="5"/>
  <c r="E235" i="5"/>
  <c r="K235" i="5" s="1"/>
  <c r="F235" i="5"/>
  <c r="G235" i="5" s="1"/>
  <c r="H235" i="5"/>
  <c r="I235" i="5" s="1"/>
  <c r="E236" i="5"/>
  <c r="F236" i="5"/>
  <c r="G236" i="5" s="1"/>
  <c r="H236" i="5"/>
  <c r="I236" i="5" s="1"/>
  <c r="K236" i="5"/>
  <c r="E237" i="5"/>
  <c r="K237" i="5" s="1"/>
  <c r="F237" i="5"/>
  <c r="G237" i="5" s="1"/>
  <c r="E238" i="5"/>
  <c r="F238" i="5"/>
  <c r="H238" i="5" s="1"/>
  <c r="I238" i="5" s="1"/>
  <c r="K238" i="5"/>
  <c r="E239" i="5"/>
  <c r="K239" i="5" s="1"/>
  <c r="F239" i="5"/>
  <c r="H239" i="5" s="1"/>
  <c r="I239" i="5" s="1"/>
  <c r="E240" i="5"/>
  <c r="K240" i="5" s="1"/>
  <c r="F240" i="5"/>
  <c r="G240" i="5" s="1"/>
  <c r="E241" i="5"/>
  <c r="K241" i="5" s="1"/>
  <c r="F241" i="5"/>
  <c r="G241" i="5" s="1"/>
  <c r="E242" i="5"/>
  <c r="K242" i="5" s="1"/>
  <c r="F242" i="5"/>
  <c r="H242" i="5" s="1"/>
  <c r="I242" i="5" s="1"/>
  <c r="E243" i="5"/>
  <c r="K243" i="5" s="1"/>
  <c r="F243" i="5"/>
  <c r="H243" i="5" s="1"/>
  <c r="I243" i="5" s="1"/>
  <c r="G243" i="5"/>
  <c r="E244" i="5"/>
  <c r="K244" i="5" s="1"/>
  <c r="F244" i="5"/>
  <c r="G244" i="5" s="1"/>
  <c r="E245" i="5"/>
  <c r="K245" i="5" s="1"/>
  <c r="F245" i="5"/>
  <c r="G245" i="5" s="1"/>
  <c r="E246" i="5"/>
  <c r="K246" i="5" s="1"/>
  <c r="F246" i="5"/>
  <c r="G246" i="5" s="1"/>
  <c r="E247" i="5"/>
  <c r="F247" i="5"/>
  <c r="G247" i="5" s="1"/>
  <c r="K247" i="5"/>
  <c r="E248" i="5"/>
  <c r="K248" i="5" s="1"/>
  <c r="F248" i="5"/>
  <c r="G248" i="5" s="1"/>
  <c r="E249" i="5"/>
  <c r="K249" i="5" s="1"/>
  <c r="F249" i="5"/>
  <c r="G249" i="5" s="1"/>
  <c r="E250" i="5"/>
  <c r="K250" i="5" s="1"/>
  <c r="F250" i="5"/>
  <c r="H250" i="5" s="1"/>
  <c r="I250" i="5" s="1"/>
  <c r="J250" i="5" s="1"/>
  <c r="E251" i="5"/>
  <c r="K251" i="5" s="1"/>
  <c r="F251" i="5"/>
  <c r="H251" i="5" s="1"/>
  <c r="I251" i="5" s="1"/>
  <c r="J251" i="5" s="1"/>
  <c r="E252" i="5"/>
  <c r="F252" i="5"/>
  <c r="H252" i="5" s="1"/>
  <c r="I252" i="5" s="1"/>
  <c r="J252" i="5" s="1"/>
  <c r="G252" i="5"/>
  <c r="K252" i="5"/>
  <c r="E253" i="5"/>
  <c r="F253" i="5"/>
  <c r="G253" i="5" s="1"/>
  <c r="K253" i="5"/>
  <c r="E254" i="5"/>
  <c r="F254" i="5"/>
  <c r="G254" i="5" s="1"/>
  <c r="K254" i="5"/>
  <c r="E255" i="5"/>
  <c r="K255" i="5" s="1"/>
  <c r="F255" i="5"/>
  <c r="H255" i="5" s="1"/>
  <c r="I255" i="5" s="1"/>
  <c r="J255" i="5" s="1"/>
  <c r="E256" i="5"/>
  <c r="K256" i="5" s="1"/>
  <c r="F256" i="5"/>
  <c r="G256" i="5" s="1"/>
  <c r="E257" i="5"/>
  <c r="F257" i="5"/>
  <c r="G257" i="5" s="1"/>
  <c r="K257" i="5"/>
  <c r="E258" i="5"/>
  <c r="K258" i="5" s="1"/>
  <c r="F258" i="5"/>
  <c r="G258" i="5" s="1"/>
  <c r="H258" i="5"/>
  <c r="I258" i="5" s="1"/>
  <c r="E259" i="5"/>
  <c r="K259" i="5" s="1"/>
  <c r="F259" i="5"/>
  <c r="H259" i="5" s="1"/>
  <c r="I259" i="5" s="1"/>
  <c r="E260" i="5"/>
  <c r="F260" i="5"/>
  <c r="G260" i="5" s="1"/>
  <c r="K260" i="5"/>
  <c r="E261" i="5"/>
  <c r="K261" i="5" s="1"/>
  <c r="F261" i="5"/>
  <c r="H261" i="5" s="1"/>
  <c r="I261" i="5" s="1"/>
  <c r="J261" i="5" s="1"/>
  <c r="E262" i="5"/>
  <c r="K262" i="5" s="1"/>
  <c r="F262" i="5"/>
  <c r="G262" i="5" s="1"/>
  <c r="E263" i="5"/>
  <c r="K263" i="5" s="1"/>
  <c r="F263" i="5"/>
  <c r="H263" i="5" s="1"/>
  <c r="I263" i="5" s="1"/>
  <c r="J263" i="5" s="1"/>
  <c r="E264" i="5"/>
  <c r="K264" i="5" s="1"/>
  <c r="F264" i="5"/>
  <c r="G264" i="5" s="1"/>
  <c r="E265" i="5"/>
  <c r="F265" i="5"/>
  <c r="G265" i="5"/>
  <c r="H265" i="5"/>
  <c r="I265" i="5" s="1"/>
  <c r="J265" i="5" s="1"/>
  <c r="K265" i="5"/>
  <c r="E266" i="5"/>
  <c r="K266" i="5" s="1"/>
  <c r="F266" i="5"/>
  <c r="H266" i="5" s="1"/>
  <c r="I266" i="5" s="1"/>
  <c r="J266" i="5" s="1"/>
  <c r="E267" i="5"/>
  <c r="K267" i="5" s="1"/>
  <c r="F267" i="5"/>
  <c r="G267" i="5" s="1"/>
  <c r="E268" i="5"/>
  <c r="K268" i="5" s="1"/>
  <c r="F268" i="5"/>
  <c r="G268" i="5" s="1"/>
  <c r="E269" i="5"/>
  <c r="K269" i="5" s="1"/>
  <c r="F269" i="5"/>
  <c r="G269" i="5" s="1"/>
  <c r="E270" i="5"/>
  <c r="K270" i="5" s="1"/>
  <c r="F270" i="5"/>
  <c r="G270" i="5" s="1"/>
  <c r="E271" i="5"/>
  <c r="K271" i="5" s="1"/>
  <c r="F271" i="5"/>
  <c r="G271" i="5" s="1"/>
  <c r="E272" i="5"/>
  <c r="K272" i="5" s="1"/>
  <c r="F272" i="5"/>
  <c r="G272" i="5" s="1"/>
  <c r="E273" i="5"/>
  <c r="K273" i="5" s="1"/>
  <c r="F273" i="5"/>
  <c r="G273" i="5" s="1"/>
  <c r="E274" i="5"/>
  <c r="K274" i="5" s="1"/>
  <c r="F274" i="5"/>
  <c r="G274" i="5" s="1"/>
  <c r="E275" i="5"/>
  <c r="K275" i="5" s="1"/>
  <c r="F275" i="5"/>
  <c r="G275" i="5" s="1"/>
  <c r="E276" i="5"/>
  <c r="K276" i="5" s="1"/>
  <c r="F276" i="5"/>
  <c r="G276" i="5" s="1"/>
  <c r="E277" i="5"/>
  <c r="F277" i="5"/>
  <c r="H277" i="5" s="1"/>
  <c r="I277" i="5" s="1"/>
  <c r="J277" i="5" s="1"/>
  <c r="G277" i="5"/>
  <c r="K277" i="5"/>
  <c r="E278" i="5"/>
  <c r="K278" i="5" s="1"/>
  <c r="F278" i="5"/>
  <c r="G278" i="5" s="1"/>
  <c r="E279" i="5"/>
  <c r="K279" i="5" s="1"/>
  <c r="F279" i="5"/>
  <c r="E280" i="5"/>
  <c r="K280" i="5" s="1"/>
  <c r="F280" i="5"/>
  <c r="G280" i="5" s="1"/>
  <c r="E281" i="5"/>
  <c r="K281" i="5" s="1"/>
  <c r="F281" i="5"/>
  <c r="G281" i="5" s="1"/>
  <c r="E282" i="5"/>
  <c r="K282" i="5" s="1"/>
  <c r="F282" i="5"/>
  <c r="G282" i="5" s="1"/>
  <c r="E283" i="5"/>
  <c r="K283" i="5" s="1"/>
  <c r="F283" i="5"/>
  <c r="G283" i="5" s="1"/>
  <c r="E284" i="5"/>
  <c r="K284" i="5" s="1"/>
  <c r="F284" i="5"/>
  <c r="G284" i="5"/>
  <c r="H284" i="5"/>
  <c r="I284" i="5" s="1"/>
  <c r="E285" i="5"/>
  <c r="K285" i="5" s="1"/>
  <c r="F285" i="5"/>
  <c r="G285" i="5" s="1"/>
  <c r="E286" i="5"/>
  <c r="K286" i="5" s="1"/>
  <c r="F286" i="5"/>
  <c r="H286" i="5" s="1"/>
  <c r="I286" i="5" s="1"/>
  <c r="J286" i="5" s="1"/>
  <c r="E287" i="5"/>
  <c r="K287" i="5" s="1"/>
  <c r="F287" i="5"/>
  <c r="G287" i="5" s="1"/>
  <c r="E288" i="5"/>
  <c r="K288" i="5" s="1"/>
  <c r="F288" i="5"/>
  <c r="H288" i="5" s="1"/>
  <c r="I288" i="5" s="1"/>
  <c r="J288" i="5" s="1"/>
  <c r="E289" i="5"/>
  <c r="K289" i="5" s="1"/>
  <c r="F289" i="5"/>
  <c r="G289" i="5"/>
  <c r="H289" i="5"/>
  <c r="I289" i="5" s="1"/>
  <c r="J289" i="5" s="1"/>
  <c r="E290" i="5"/>
  <c r="K290" i="5" s="1"/>
  <c r="F290" i="5"/>
  <c r="H290" i="5" s="1"/>
  <c r="I290" i="5" s="1"/>
  <c r="J290" i="5" s="1"/>
  <c r="E291" i="5"/>
  <c r="K291" i="5" s="1"/>
  <c r="F291" i="5"/>
  <c r="G291" i="5" s="1"/>
  <c r="E292" i="5"/>
  <c r="K292" i="5" s="1"/>
  <c r="F292" i="5"/>
  <c r="H292" i="5" s="1"/>
  <c r="I292" i="5" s="1"/>
  <c r="J292" i="5" s="1"/>
  <c r="G292" i="5"/>
  <c r="E293" i="5"/>
  <c r="K293" i="5" s="1"/>
  <c r="F293" i="5"/>
  <c r="G293" i="5" s="1"/>
  <c r="E294" i="5"/>
  <c r="K294" i="5" s="1"/>
  <c r="F294" i="5"/>
  <c r="E295" i="5"/>
  <c r="K295" i="5" s="1"/>
  <c r="F295" i="5"/>
  <c r="G295" i="5" s="1"/>
  <c r="E296" i="5"/>
  <c r="K296" i="5" s="1"/>
  <c r="F296" i="5"/>
  <c r="G296" i="5" s="1"/>
  <c r="E297" i="5"/>
  <c r="K297" i="5" s="1"/>
  <c r="F297" i="5"/>
  <c r="G297" i="5" s="1"/>
  <c r="E298" i="5"/>
  <c r="K298" i="5" s="1"/>
  <c r="F298" i="5"/>
  <c r="G298" i="5" s="1"/>
  <c r="E299" i="5"/>
  <c r="K299" i="5" s="1"/>
  <c r="F299" i="5"/>
  <c r="H299" i="5" s="1"/>
  <c r="I299" i="5" s="1"/>
  <c r="J299" i="5" s="1"/>
  <c r="G299" i="5"/>
  <c r="E300" i="5"/>
  <c r="K300" i="5" s="1"/>
  <c r="F300" i="5"/>
  <c r="G300" i="5" s="1"/>
  <c r="E301" i="5"/>
  <c r="F301" i="5"/>
  <c r="G301" i="5" s="1"/>
  <c r="K301" i="5"/>
  <c r="E302" i="5"/>
  <c r="K302" i="5" s="1"/>
  <c r="F302" i="5"/>
  <c r="H302" i="5" s="1"/>
  <c r="I302" i="5" s="1"/>
  <c r="J302" i="5" s="1"/>
  <c r="E303" i="5"/>
  <c r="K303" i="5" s="1"/>
  <c r="F303" i="5"/>
  <c r="H303" i="5" s="1"/>
  <c r="I303" i="5" s="1"/>
  <c r="J303" i="5" s="1"/>
  <c r="G303" i="5"/>
  <c r="E304" i="5"/>
  <c r="K304" i="5" s="1"/>
  <c r="F304" i="5"/>
  <c r="G304" i="5" s="1"/>
  <c r="E305" i="5"/>
  <c r="K305" i="5" s="1"/>
  <c r="F305" i="5"/>
  <c r="E306" i="5"/>
  <c r="K306" i="5" s="1"/>
  <c r="F306" i="5"/>
  <c r="G306" i="5" s="1"/>
  <c r="E307" i="5"/>
  <c r="K307" i="5" s="1"/>
  <c r="F307" i="5"/>
  <c r="H307" i="5" s="1"/>
  <c r="I307" i="5" s="1"/>
  <c r="E308" i="5"/>
  <c r="K308" i="5" s="1"/>
  <c r="F308" i="5"/>
  <c r="G308" i="5" s="1"/>
  <c r="E309" i="5"/>
  <c r="K309" i="5" s="1"/>
  <c r="F309" i="5"/>
  <c r="G309" i="5" s="1"/>
  <c r="E310" i="5"/>
  <c r="F310" i="5"/>
  <c r="G310" i="5" s="1"/>
  <c r="K310" i="5"/>
  <c r="E311" i="5"/>
  <c r="K311" i="5" s="1"/>
  <c r="F311" i="5"/>
  <c r="G311" i="5" s="1"/>
  <c r="E312" i="5"/>
  <c r="K312" i="5" s="1"/>
  <c r="F312" i="5"/>
  <c r="H312" i="5" s="1"/>
  <c r="I312" i="5" s="1"/>
  <c r="J312" i="5" s="1"/>
  <c r="G312" i="5"/>
  <c r="E313" i="5"/>
  <c r="K313" i="5" s="1"/>
  <c r="F313" i="5"/>
  <c r="G313" i="5" s="1"/>
  <c r="E314" i="5"/>
  <c r="K314" i="5" s="1"/>
  <c r="F314" i="5"/>
  <c r="H314" i="5" s="1"/>
  <c r="I314" i="5" s="1"/>
  <c r="E315" i="5"/>
  <c r="K315" i="5" s="1"/>
  <c r="F315" i="5"/>
  <c r="G315" i="5" s="1"/>
  <c r="E316" i="5"/>
  <c r="K316" i="5" s="1"/>
  <c r="F316" i="5"/>
  <c r="G316" i="5" s="1"/>
  <c r="E317" i="5"/>
  <c r="K317" i="5" s="1"/>
  <c r="F317" i="5"/>
  <c r="G317" i="5" s="1"/>
  <c r="H317" i="5"/>
  <c r="I317" i="5" s="1"/>
  <c r="E318" i="5"/>
  <c r="K318" i="5" s="1"/>
  <c r="F318" i="5"/>
  <c r="G318" i="5" s="1"/>
  <c r="E319" i="5"/>
  <c r="K319" i="5" s="1"/>
  <c r="F319" i="5"/>
  <c r="H319" i="5" s="1"/>
  <c r="I319" i="5" s="1"/>
  <c r="E320" i="5"/>
  <c r="F320" i="5"/>
  <c r="G320" i="5" s="1"/>
  <c r="K320" i="5"/>
  <c r="E321" i="5"/>
  <c r="F321" i="5"/>
  <c r="G321" i="5" s="1"/>
  <c r="K321" i="5"/>
  <c r="E322" i="5"/>
  <c r="K322" i="5" s="1"/>
  <c r="F322" i="5"/>
  <c r="H322" i="5" s="1"/>
  <c r="I322" i="5" s="1"/>
  <c r="J322" i="5" s="1"/>
  <c r="E323" i="5"/>
  <c r="K323" i="5" s="1"/>
  <c r="F323" i="5"/>
  <c r="G323" i="5" s="1"/>
  <c r="E324" i="5"/>
  <c r="K324" i="5" s="1"/>
  <c r="F324" i="5"/>
  <c r="G324" i="5" s="1"/>
  <c r="E325" i="5"/>
  <c r="K325" i="5" s="1"/>
  <c r="F325" i="5"/>
  <c r="G325" i="5" s="1"/>
  <c r="E326" i="5"/>
  <c r="K326" i="5" s="1"/>
  <c r="F326" i="5"/>
  <c r="G326" i="5" s="1"/>
  <c r="E327" i="5"/>
  <c r="K327" i="5" s="1"/>
  <c r="F327" i="5"/>
  <c r="H327" i="5" s="1"/>
  <c r="I327" i="5" s="1"/>
  <c r="J327" i="5" s="1"/>
  <c r="E328" i="5"/>
  <c r="K328" i="5" s="1"/>
  <c r="F328" i="5"/>
  <c r="G328" i="5" s="1"/>
  <c r="E329" i="5"/>
  <c r="K329" i="5" s="1"/>
  <c r="F329" i="5"/>
  <c r="G329" i="5" s="1"/>
  <c r="E330" i="5"/>
  <c r="K330" i="5" s="1"/>
  <c r="F330" i="5"/>
  <c r="G330" i="5" s="1"/>
  <c r="E331" i="5"/>
  <c r="K331" i="5" s="1"/>
  <c r="F331" i="5"/>
  <c r="G331" i="5" s="1"/>
  <c r="E332" i="5"/>
  <c r="K332" i="5" s="1"/>
  <c r="F332" i="5"/>
  <c r="G332" i="5" s="1"/>
  <c r="H332" i="5"/>
  <c r="I332" i="5" s="1"/>
  <c r="J332" i="5" s="1"/>
  <c r="E333" i="5"/>
  <c r="F333" i="5"/>
  <c r="G333" i="5" s="1"/>
  <c r="K333" i="5"/>
  <c r="E334" i="5"/>
  <c r="K334" i="5" s="1"/>
  <c r="F334" i="5"/>
  <c r="G334" i="5" s="1"/>
  <c r="E335" i="5"/>
  <c r="K335" i="5" s="1"/>
  <c r="F335" i="5"/>
  <c r="H335" i="5" s="1"/>
  <c r="I335" i="5" s="1"/>
  <c r="J335" i="5" s="1"/>
  <c r="E336" i="5"/>
  <c r="K336" i="5" s="1"/>
  <c r="F336" i="5"/>
  <c r="G336" i="5" s="1"/>
  <c r="E337" i="5"/>
  <c r="K337" i="5" s="1"/>
  <c r="F337" i="5"/>
  <c r="H337" i="5" s="1"/>
  <c r="I337" i="5" s="1"/>
  <c r="J337" i="5" s="1"/>
  <c r="E338" i="5"/>
  <c r="K338" i="5" s="1"/>
  <c r="F338" i="5"/>
  <c r="G338" i="5" s="1"/>
  <c r="E339" i="5"/>
  <c r="K339" i="5" s="1"/>
  <c r="F339" i="5"/>
  <c r="G339" i="5" s="1"/>
  <c r="E340" i="5"/>
  <c r="K340" i="5" s="1"/>
  <c r="F340" i="5"/>
  <c r="H340" i="5" s="1"/>
  <c r="I340" i="5" s="1"/>
  <c r="J340" i="5" s="1"/>
  <c r="E341" i="5"/>
  <c r="F341" i="5"/>
  <c r="G341" i="5" s="1"/>
  <c r="K341" i="5"/>
  <c r="E342" i="5"/>
  <c r="K342" i="5" s="1"/>
  <c r="F342" i="5"/>
  <c r="G342" i="5" s="1"/>
  <c r="E343" i="5"/>
  <c r="K343" i="5" s="1"/>
  <c r="F343" i="5"/>
  <c r="E344" i="5"/>
  <c r="K344" i="5" s="1"/>
  <c r="F344" i="5"/>
  <c r="G344" i="5" s="1"/>
  <c r="E345" i="5"/>
  <c r="K345" i="5" s="1"/>
  <c r="F345" i="5"/>
  <c r="G345" i="5" s="1"/>
  <c r="E346" i="5"/>
  <c r="K346" i="5" s="1"/>
  <c r="F346" i="5"/>
  <c r="G346" i="5" s="1"/>
  <c r="E347" i="5"/>
  <c r="K347" i="5" s="1"/>
  <c r="F347" i="5"/>
  <c r="G347" i="5" s="1"/>
  <c r="E348" i="5"/>
  <c r="K348" i="5" s="1"/>
  <c r="F348" i="5"/>
  <c r="G348" i="5" s="1"/>
  <c r="E349" i="5"/>
  <c r="K349" i="5" s="1"/>
  <c r="F349" i="5"/>
  <c r="G349" i="5" s="1"/>
  <c r="E350" i="5"/>
  <c r="K350" i="5" s="1"/>
  <c r="F350" i="5"/>
  <c r="G350" i="5" s="1"/>
  <c r="E351" i="5"/>
  <c r="K351" i="5" s="1"/>
  <c r="F351" i="5"/>
  <c r="G351" i="5" s="1"/>
  <c r="E352" i="5"/>
  <c r="K352" i="5" s="1"/>
  <c r="F352" i="5"/>
  <c r="H352" i="5" s="1"/>
  <c r="I352" i="5" s="1"/>
  <c r="J352" i="5" s="1"/>
  <c r="E353" i="5"/>
  <c r="K353" i="5" s="1"/>
  <c r="F353" i="5"/>
  <c r="G353" i="5" s="1"/>
  <c r="E354" i="5"/>
  <c r="K354" i="5" s="1"/>
  <c r="F354" i="5"/>
  <c r="H354" i="5" s="1"/>
  <c r="I354" i="5" s="1"/>
  <c r="J354" i="5" s="1"/>
  <c r="E355" i="5"/>
  <c r="K355" i="5" s="1"/>
  <c r="F355" i="5"/>
  <c r="H355" i="5" s="1"/>
  <c r="I355" i="5" s="1"/>
  <c r="J355" i="5" s="1"/>
  <c r="E356" i="5"/>
  <c r="K356" i="5" s="1"/>
  <c r="F356" i="5"/>
  <c r="H356" i="5" s="1"/>
  <c r="I356" i="5" s="1"/>
  <c r="J356" i="5" s="1"/>
  <c r="E357" i="5"/>
  <c r="K357" i="5" s="1"/>
  <c r="F357" i="5"/>
  <c r="G357" i="5" s="1"/>
  <c r="E358" i="5"/>
  <c r="K358" i="5" s="1"/>
  <c r="F358" i="5"/>
  <c r="E359" i="5"/>
  <c r="F359" i="5"/>
  <c r="G359" i="5" s="1"/>
  <c r="K359" i="5"/>
  <c r="E360" i="5"/>
  <c r="K360" i="5" s="1"/>
  <c r="F360" i="5"/>
  <c r="G360" i="5" s="1"/>
  <c r="E361" i="5"/>
  <c r="K361" i="5" s="1"/>
  <c r="F361" i="5"/>
  <c r="G361" i="5" s="1"/>
  <c r="H361" i="5"/>
  <c r="I361" i="5" s="1"/>
  <c r="E362" i="5"/>
  <c r="K362" i="5" s="1"/>
  <c r="F362" i="5"/>
  <c r="G362" i="5" s="1"/>
  <c r="E363" i="5"/>
  <c r="K363" i="5" s="1"/>
  <c r="F363" i="5"/>
  <c r="G363" i="5" s="1"/>
  <c r="E364" i="5"/>
  <c r="F364" i="5"/>
  <c r="G364" i="5" s="1"/>
  <c r="H364" i="5"/>
  <c r="I364" i="5" s="1"/>
  <c r="K364" i="5"/>
  <c r="E365" i="5"/>
  <c r="K365" i="5" s="1"/>
  <c r="F365" i="5"/>
  <c r="G365" i="5" s="1"/>
  <c r="E366" i="5"/>
  <c r="K366" i="5" s="1"/>
  <c r="F366" i="5"/>
  <c r="G366" i="5" s="1"/>
  <c r="E367" i="5"/>
  <c r="K367" i="5" s="1"/>
  <c r="F367" i="5"/>
  <c r="H367" i="5" s="1"/>
  <c r="I367" i="5" s="1"/>
  <c r="E368" i="5"/>
  <c r="K368" i="5" s="1"/>
  <c r="F368" i="5"/>
  <c r="G368" i="5" s="1"/>
  <c r="E369" i="5"/>
  <c r="K369" i="5" s="1"/>
  <c r="F369" i="5"/>
  <c r="G369" i="5" s="1"/>
  <c r="E370" i="5"/>
  <c r="K370" i="5" s="1"/>
  <c r="F370" i="5"/>
  <c r="G370" i="5" s="1"/>
  <c r="E371" i="5"/>
  <c r="F371" i="5"/>
  <c r="H371" i="5" s="1"/>
  <c r="I371" i="5" s="1"/>
  <c r="J371" i="5" s="1"/>
  <c r="K371" i="5"/>
  <c r="E372" i="5"/>
  <c r="K372" i="5" s="1"/>
  <c r="F372" i="5"/>
  <c r="G372" i="5" s="1"/>
  <c r="E373" i="5"/>
  <c r="K373" i="5" s="1"/>
  <c r="F373" i="5"/>
  <c r="G373" i="5" s="1"/>
  <c r="E374" i="5"/>
  <c r="K374" i="5" s="1"/>
  <c r="F374" i="5"/>
  <c r="G374" i="5" s="1"/>
  <c r="E375" i="5"/>
  <c r="K375" i="5" s="1"/>
  <c r="F375" i="5"/>
  <c r="G375" i="5" s="1"/>
  <c r="E376" i="5"/>
  <c r="K376" i="5" s="1"/>
  <c r="F376" i="5"/>
  <c r="G376" i="5" s="1"/>
  <c r="E377" i="5"/>
  <c r="F377" i="5"/>
  <c r="G377" i="5" s="1"/>
  <c r="K377" i="5"/>
  <c r="E378" i="5"/>
  <c r="K378" i="5" s="1"/>
  <c r="F378" i="5"/>
  <c r="H378" i="5" s="1"/>
  <c r="I378" i="5" s="1"/>
  <c r="J378" i="5" s="1"/>
  <c r="E379" i="5"/>
  <c r="K379" i="5" s="1"/>
  <c r="F379" i="5"/>
  <c r="G379" i="5" s="1"/>
  <c r="E380" i="5"/>
  <c r="K380" i="5" s="1"/>
  <c r="F380" i="5"/>
  <c r="G380" i="5" s="1"/>
  <c r="E381" i="5"/>
  <c r="K381" i="5" s="1"/>
  <c r="F381" i="5"/>
  <c r="G381" i="5" s="1"/>
  <c r="E382" i="5"/>
  <c r="K382" i="5" s="1"/>
  <c r="F382" i="5"/>
  <c r="G382" i="5" s="1"/>
  <c r="E383" i="5"/>
  <c r="K383" i="5" s="1"/>
  <c r="F383" i="5"/>
  <c r="H383" i="5" s="1"/>
  <c r="I383" i="5" s="1"/>
  <c r="J383" i="5" s="1"/>
  <c r="E384" i="5"/>
  <c r="K384" i="5" s="1"/>
  <c r="F384" i="5"/>
  <c r="G384" i="5" s="1"/>
  <c r="E385" i="5"/>
  <c r="K385" i="5" s="1"/>
  <c r="F385" i="5"/>
  <c r="E386" i="5"/>
  <c r="K386" i="5" s="1"/>
  <c r="F386" i="5"/>
  <c r="H386" i="5" s="1"/>
  <c r="I386" i="5" s="1"/>
  <c r="E387" i="5"/>
  <c r="K387" i="5" s="1"/>
  <c r="F387" i="5"/>
  <c r="H387" i="5" s="1"/>
  <c r="I387" i="5" s="1"/>
  <c r="G387" i="5"/>
  <c r="E388" i="5"/>
  <c r="K388" i="5" s="1"/>
  <c r="F388" i="5"/>
  <c r="G388" i="5" s="1"/>
  <c r="E389" i="5"/>
  <c r="K389" i="5" s="1"/>
  <c r="F389" i="5"/>
  <c r="G389" i="5" s="1"/>
  <c r="E390" i="5"/>
  <c r="K390" i="5" s="1"/>
  <c r="F390" i="5"/>
  <c r="G390" i="5" s="1"/>
  <c r="E391" i="5"/>
  <c r="K391" i="5" s="1"/>
  <c r="F391" i="5"/>
  <c r="H391" i="5" s="1"/>
  <c r="I391" i="5" s="1"/>
  <c r="J391" i="5" s="1"/>
  <c r="E392" i="5"/>
  <c r="K392" i="5" s="1"/>
  <c r="F392" i="5"/>
  <c r="G392" i="5" s="1"/>
  <c r="E393" i="5"/>
  <c r="F393" i="5"/>
  <c r="G393" i="5" s="1"/>
  <c r="K393" i="5"/>
  <c r="E394" i="5"/>
  <c r="K394" i="5" s="1"/>
  <c r="F394" i="5"/>
  <c r="G394" i="5" s="1"/>
  <c r="E395" i="5"/>
  <c r="K395" i="5" s="1"/>
  <c r="F395" i="5"/>
  <c r="G395" i="5" s="1"/>
  <c r="E396" i="5"/>
  <c r="K396" i="5" s="1"/>
  <c r="F396" i="5"/>
  <c r="G396" i="5" s="1"/>
  <c r="E397" i="5"/>
  <c r="K397" i="5" s="1"/>
  <c r="F397" i="5"/>
  <c r="G397" i="5" s="1"/>
  <c r="E398" i="5"/>
  <c r="K398" i="5" s="1"/>
  <c r="F398" i="5"/>
  <c r="G398" i="5" s="1"/>
  <c r="H398" i="5"/>
  <c r="I398" i="5" s="1"/>
  <c r="J398" i="5" s="1"/>
  <c r="E399" i="5"/>
  <c r="K399" i="5" s="1"/>
  <c r="F399" i="5"/>
  <c r="H399" i="5" s="1"/>
  <c r="I399" i="5" s="1"/>
  <c r="J399" i="5" s="1"/>
  <c r="G399" i="5"/>
  <c r="E400" i="5"/>
  <c r="K400" i="5" s="1"/>
  <c r="F400" i="5"/>
  <c r="G400" i="5" s="1"/>
  <c r="E401" i="5"/>
  <c r="K401" i="5" s="1"/>
  <c r="F401" i="5"/>
  <c r="G401" i="5" s="1"/>
  <c r="E402" i="5"/>
  <c r="K402" i="5" s="1"/>
  <c r="F402" i="5"/>
  <c r="G402" i="5" s="1"/>
  <c r="E403" i="5"/>
  <c r="K403" i="5" s="1"/>
  <c r="F403" i="5"/>
  <c r="G403" i="5" s="1"/>
  <c r="E404" i="5"/>
  <c r="K404" i="5" s="1"/>
  <c r="F404" i="5"/>
  <c r="H404" i="5" s="1"/>
  <c r="I404" i="5" s="1"/>
  <c r="J404" i="5" s="1"/>
  <c r="E405" i="5"/>
  <c r="K405" i="5" s="1"/>
  <c r="F405" i="5"/>
  <c r="G405" i="5" s="1"/>
  <c r="E406" i="5"/>
  <c r="K406" i="5" s="1"/>
  <c r="F406" i="5"/>
  <c r="H406" i="5" s="1"/>
  <c r="I406" i="5" s="1"/>
  <c r="J406" i="5" s="1"/>
  <c r="E407" i="5"/>
  <c r="K407" i="5" s="1"/>
  <c r="F407" i="5"/>
  <c r="E408" i="5"/>
  <c r="K408" i="5" s="1"/>
  <c r="F408" i="5"/>
  <c r="G408" i="5" s="1"/>
  <c r="E409" i="5"/>
  <c r="K409" i="5" s="1"/>
  <c r="F409" i="5"/>
  <c r="G409" i="5" s="1"/>
  <c r="E410" i="5"/>
  <c r="K410" i="5" s="1"/>
  <c r="F410" i="5"/>
  <c r="G410" i="5" s="1"/>
  <c r="E411" i="5"/>
  <c r="K411" i="5" s="1"/>
  <c r="F411" i="5"/>
  <c r="G411" i="5" s="1"/>
  <c r="E412" i="5"/>
  <c r="K412" i="5" s="1"/>
  <c r="F412" i="5"/>
  <c r="H412" i="5" s="1"/>
  <c r="I412" i="5" s="1"/>
  <c r="E413" i="5"/>
  <c r="K413" i="5" s="1"/>
  <c r="F413" i="5"/>
  <c r="G413" i="5" s="1"/>
  <c r="E414" i="5"/>
  <c r="K414" i="5" s="1"/>
  <c r="F414" i="5"/>
  <c r="G414" i="5" s="1"/>
  <c r="E415" i="5"/>
  <c r="F415" i="5"/>
  <c r="G415" i="5" s="1"/>
  <c r="K415" i="5"/>
  <c r="E416" i="5"/>
  <c r="K416" i="5" s="1"/>
  <c r="F416" i="5"/>
  <c r="H416" i="5" s="1"/>
  <c r="I416" i="5" s="1"/>
  <c r="J416" i="5" s="1"/>
  <c r="E417" i="5"/>
  <c r="K417" i="5" s="1"/>
  <c r="F417" i="5"/>
  <c r="G417" i="5" s="1"/>
  <c r="E418" i="5"/>
  <c r="K418" i="5" s="1"/>
  <c r="F418" i="5"/>
  <c r="H418" i="5" s="1"/>
  <c r="I418" i="5" s="1"/>
  <c r="J418" i="5" s="1"/>
  <c r="E419" i="5"/>
  <c r="K419" i="5" s="1"/>
  <c r="F419" i="5"/>
  <c r="G419" i="5" s="1"/>
  <c r="E420" i="5"/>
  <c r="K420" i="5" s="1"/>
  <c r="F420" i="5"/>
  <c r="G420" i="5" s="1"/>
  <c r="E421" i="5"/>
  <c r="K421" i="5" s="1"/>
  <c r="F421" i="5"/>
  <c r="G421" i="5" s="1"/>
  <c r="E422" i="5"/>
  <c r="K422" i="5" s="1"/>
  <c r="F422" i="5"/>
  <c r="E423" i="5"/>
  <c r="K423" i="5" s="1"/>
  <c r="F423" i="5"/>
  <c r="G423" i="5" s="1"/>
  <c r="E424" i="5"/>
  <c r="K424" i="5" s="1"/>
  <c r="F424" i="5"/>
  <c r="G424" i="5" s="1"/>
  <c r="E425" i="5"/>
  <c r="K425" i="5" s="1"/>
  <c r="F425" i="5"/>
  <c r="G425" i="5" s="1"/>
  <c r="E426" i="5"/>
  <c r="K426" i="5" s="1"/>
  <c r="F426" i="5"/>
  <c r="G426" i="5" s="1"/>
  <c r="E427" i="5"/>
  <c r="F427" i="5"/>
  <c r="G427" i="5" s="1"/>
  <c r="K427" i="5"/>
  <c r="E428" i="5"/>
  <c r="K428" i="5" s="1"/>
  <c r="F428" i="5"/>
  <c r="G428" i="5" s="1"/>
  <c r="E429" i="5"/>
  <c r="K429" i="5" s="1"/>
  <c r="F429" i="5"/>
  <c r="G429" i="5" s="1"/>
  <c r="E430" i="5"/>
  <c r="K430" i="5" s="1"/>
  <c r="F430" i="5"/>
  <c r="G430" i="5" s="1"/>
  <c r="E431" i="5"/>
  <c r="K431" i="5" s="1"/>
  <c r="F431" i="5"/>
  <c r="H431" i="5" s="1"/>
  <c r="I431" i="5" s="1"/>
  <c r="J431" i="5" s="1"/>
  <c r="E432" i="5"/>
  <c r="K432" i="5" s="1"/>
  <c r="F432" i="5"/>
  <c r="G432" i="5" s="1"/>
  <c r="E433" i="5"/>
  <c r="K433" i="5" s="1"/>
  <c r="F433" i="5"/>
  <c r="G433" i="5" s="1"/>
  <c r="E434" i="5"/>
  <c r="K434" i="5" s="1"/>
  <c r="F434" i="5"/>
  <c r="H434" i="5" s="1"/>
  <c r="I434" i="5" s="1"/>
  <c r="J434" i="5" s="1"/>
  <c r="E435" i="5"/>
  <c r="K435" i="5" s="1"/>
  <c r="F435" i="5"/>
  <c r="H435" i="5" s="1"/>
  <c r="I435" i="5" s="1"/>
  <c r="J435" i="5" s="1"/>
  <c r="E436" i="5"/>
  <c r="K436" i="5" s="1"/>
  <c r="F436" i="5"/>
  <c r="G436" i="5" s="1"/>
  <c r="E437" i="5"/>
  <c r="K437" i="5" s="1"/>
  <c r="F437" i="5"/>
  <c r="G437" i="5" s="1"/>
  <c r="E438" i="5"/>
  <c r="K438" i="5" s="1"/>
  <c r="F438" i="5"/>
  <c r="G438" i="5" s="1"/>
  <c r="E439" i="5"/>
  <c r="K439" i="5" s="1"/>
  <c r="F439" i="5"/>
  <c r="G439" i="5" s="1"/>
  <c r="E440" i="5"/>
  <c r="K440" i="5" s="1"/>
  <c r="F440" i="5"/>
  <c r="H440" i="5" s="1"/>
  <c r="I440" i="5" s="1"/>
  <c r="E441" i="5"/>
  <c r="K441" i="5" s="1"/>
  <c r="F441" i="5"/>
  <c r="G441" i="5" s="1"/>
  <c r="E442" i="5"/>
  <c r="F442" i="5"/>
  <c r="G442" i="5" s="1"/>
  <c r="K442" i="5"/>
  <c r="E443" i="5"/>
  <c r="K443" i="5" s="1"/>
  <c r="F443" i="5"/>
  <c r="G443" i="5" s="1"/>
  <c r="E444" i="5"/>
  <c r="K444" i="5" s="1"/>
  <c r="F444" i="5"/>
  <c r="G444" i="5" s="1"/>
  <c r="E445" i="5"/>
  <c r="K445" i="5" s="1"/>
  <c r="F445" i="5"/>
  <c r="G445" i="5" s="1"/>
  <c r="E446" i="5"/>
  <c r="K446" i="5" s="1"/>
  <c r="F446" i="5"/>
  <c r="G446" i="5" s="1"/>
  <c r="E447" i="5"/>
  <c r="K447" i="5" s="1"/>
  <c r="F447" i="5"/>
  <c r="H447" i="5" s="1"/>
  <c r="I447" i="5" s="1"/>
  <c r="E448" i="5"/>
  <c r="K448" i="5" s="1"/>
  <c r="F448" i="5"/>
  <c r="G448" i="5" s="1"/>
  <c r="E449" i="5"/>
  <c r="K449" i="5" s="1"/>
  <c r="F449" i="5"/>
  <c r="G449" i="5" s="1"/>
  <c r="E450" i="5"/>
  <c r="K450" i="5" s="1"/>
  <c r="F450" i="5"/>
  <c r="H450" i="5" s="1"/>
  <c r="I450" i="5" s="1"/>
  <c r="G450" i="5"/>
  <c r="E451" i="5"/>
  <c r="K451" i="5" s="1"/>
  <c r="F451" i="5"/>
  <c r="G451" i="5" s="1"/>
  <c r="E452" i="5"/>
  <c r="K452" i="5" s="1"/>
  <c r="F452" i="5"/>
  <c r="G452" i="5" s="1"/>
  <c r="E453" i="5"/>
  <c r="K453" i="5" s="1"/>
  <c r="F453" i="5"/>
  <c r="G453" i="5" s="1"/>
  <c r="E454" i="5"/>
  <c r="K454" i="5" s="1"/>
  <c r="F454" i="5"/>
  <c r="G454" i="5" s="1"/>
  <c r="E455" i="5"/>
  <c r="K455" i="5" s="1"/>
  <c r="F455" i="5"/>
  <c r="G455" i="5" s="1"/>
  <c r="E456" i="5"/>
  <c r="K456" i="5" s="1"/>
  <c r="F456" i="5"/>
  <c r="G456" i="5" s="1"/>
  <c r="E457" i="5"/>
  <c r="K457" i="5" s="1"/>
  <c r="F457" i="5"/>
  <c r="G457" i="5" s="1"/>
  <c r="E458" i="5"/>
  <c r="K458" i="5" s="1"/>
  <c r="F458" i="5"/>
  <c r="H458" i="5" s="1"/>
  <c r="I458" i="5" s="1"/>
  <c r="J458" i="5" s="1"/>
  <c r="E459" i="5"/>
  <c r="K459" i="5" s="1"/>
  <c r="F459" i="5"/>
  <c r="E460" i="5"/>
  <c r="K460" i="5" s="1"/>
  <c r="F460" i="5"/>
  <c r="G460" i="5" s="1"/>
  <c r="E461" i="5"/>
  <c r="K461" i="5" s="1"/>
  <c r="F461" i="5"/>
  <c r="G461" i="5" s="1"/>
  <c r="E462" i="5"/>
  <c r="K462" i="5" s="1"/>
  <c r="F462" i="5"/>
  <c r="G462" i="5" s="1"/>
  <c r="E463" i="5"/>
  <c r="F463" i="5"/>
  <c r="G463" i="5" s="1"/>
  <c r="K463" i="5"/>
  <c r="E464" i="5"/>
  <c r="K464" i="5" s="1"/>
  <c r="F464" i="5"/>
  <c r="G464" i="5" s="1"/>
  <c r="E465" i="5"/>
  <c r="K465" i="5" s="1"/>
  <c r="F465" i="5"/>
  <c r="G465" i="5" s="1"/>
  <c r="E466" i="5"/>
  <c r="K466" i="5" s="1"/>
  <c r="F466" i="5"/>
  <c r="G466" i="5" s="1"/>
  <c r="E467" i="5"/>
  <c r="K467" i="5" s="1"/>
  <c r="F467" i="5"/>
  <c r="G467" i="5" s="1"/>
  <c r="E468" i="5"/>
  <c r="K468" i="5" s="1"/>
  <c r="F468" i="5"/>
  <c r="H468" i="5" s="1"/>
  <c r="I468" i="5" s="1"/>
  <c r="J468" i="5" s="1"/>
  <c r="E469" i="5"/>
  <c r="K469" i="5" s="1"/>
  <c r="F469" i="5"/>
  <c r="H469" i="5" s="1"/>
  <c r="I469" i="5" s="1"/>
  <c r="J469" i="5" s="1"/>
  <c r="E470" i="5"/>
  <c r="K470" i="5" s="1"/>
  <c r="F470" i="5"/>
  <c r="G470" i="5" s="1"/>
  <c r="E471" i="5"/>
  <c r="K471" i="5" s="1"/>
  <c r="F471" i="5"/>
  <c r="E472" i="5"/>
  <c r="K472" i="5" s="1"/>
  <c r="F472" i="5"/>
  <c r="H472" i="5" s="1"/>
  <c r="I472" i="5" s="1"/>
  <c r="J472" i="5" s="1"/>
  <c r="E473" i="5"/>
  <c r="K473" i="5" s="1"/>
  <c r="F473" i="5"/>
  <c r="G473" i="5" s="1"/>
  <c r="E474" i="5"/>
  <c r="K474" i="5" s="1"/>
  <c r="F474" i="5"/>
  <c r="H474" i="5" s="1"/>
  <c r="I474" i="5" s="1"/>
  <c r="J474" i="5" s="1"/>
  <c r="E475" i="5"/>
  <c r="K475" i="5" s="1"/>
  <c r="F475" i="5"/>
  <c r="H475" i="5" s="1"/>
  <c r="I475" i="5" s="1"/>
  <c r="J475" i="5" s="1"/>
  <c r="E476" i="5"/>
  <c r="K476" i="5" s="1"/>
  <c r="F476" i="5"/>
  <c r="G476" i="5" s="1"/>
  <c r="E477" i="5"/>
  <c r="K477" i="5" s="1"/>
  <c r="F477" i="5"/>
  <c r="G477" i="5" s="1"/>
  <c r="E478" i="5"/>
  <c r="K478" i="5" s="1"/>
  <c r="F478" i="5"/>
  <c r="G478" i="5" s="1"/>
  <c r="E479" i="5"/>
  <c r="K479" i="5" s="1"/>
  <c r="F479" i="5"/>
  <c r="G479" i="5" s="1"/>
  <c r="E480" i="5"/>
  <c r="K480" i="5" s="1"/>
  <c r="F480" i="5"/>
  <c r="H480" i="5" s="1"/>
  <c r="I480" i="5" s="1"/>
  <c r="J480" i="5" s="1"/>
  <c r="E481" i="5"/>
  <c r="K481" i="5" s="1"/>
  <c r="F481" i="5"/>
  <c r="G481" i="5" s="1"/>
  <c r="E482" i="5"/>
  <c r="K482" i="5" s="1"/>
  <c r="F482" i="5"/>
  <c r="H482" i="5" s="1"/>
  <c r="I482" i="5" s="1"/>
  <c r="J482" i="5" s="1"/>
  <c r="E483" i="5"/>
  <c r="F483" i="5"/>
  <c r="G483" i="5" s="1"/>
  <c r="K483" i="5"/>
  <c r="E484" i="5"/>
  <c r="K484" i="5" s="1"/>
  <c r="F484" i="5"/>
  <c r="G484" i="5" s="1"/>
  <c r="E485" i="5"/>
  <c r="K485" i="5" s="1"/>
  <c r="F485" i="5"/>
  <c r="H485" i="5" s="1"/>
  <c r="I485" i="5" s="1"/>
  <c r="J485" i="5" s="1"/>
  <c r="E486" i="5"/>
  <c r="K486" i="5" s="1"/>
  <c r="F486" i="5"/>
  <c r="H486" i="5" s="1"/>
  <c r="I486" i="5" s="1"/>
  <c r="J486" i="5" s="1"/>
  <c r="E487" i="5"/>
  <c r="K487" i="5" s="1"/>
  <c r="F487" i="5"/>
  <c r="G487" i="5" s="1"/>
  <c r="E488" i="5"/>
  <c r="K488" i="5" s="1"/>
  <c r="F488" i="5"/>
  <c r="G488" i="5" s="1"/>
  <c r="E489" i="5"/>
  <c r="K489" i="5" s="1"/>
  <c r="F489" i="5"/>
  <c r="G489" i="5" s="1"/>
  <c r="E490" i="5"/>
  <c r="K490" i="5" s="1"/>
  <c r="F490" i="5"/>
  <c r="G490" i="5" s="1"/>
  <c r="E491" i="5"/>
  <c r="K491" i="5" s="1"/>
  <c r="F491" i="5"/>
  <c r="G491" i="5" s="1"/>
  <c r="E492" i="5"/>
  <c r="K492" i="5" s="1"/>
  <c r="F492" i="5"/>
  <c r="G492" i="5" s="1"/>
  <c r="E493" i="5"/>
  <c r="K493" i="5" s="1"/>
  <c r="F493" i="5"/>
  <c r="G493" i="5" s="1"/>
  <c r="E494" i="5"/>
  <c r="K494" i="5" s="1"/>
  <c r="F494" i="5"/>
  <c r="G494" i="5" s="1"/>
  <c r="E495" i="5"/>
  <c r="K495" i="5" s="1"/>
  <c r="F495" i="5"/>
  <c r="H495" i="5" s="1"/>
  <c r="I495" i="5" s="1"/>
  <c r="E496" i="5"/>
  <c r="K496" i="5" s="1"/>
  <c r="F496" i="5"/>
  <c r="G496" i="5" s="1"/>
  <c r="E497" i="5"/>
  <c r="K497" i="5" s="1"/>
  <c r="F497" i="5"/>
  <c r="H497" i="5" s="1"/>
  <c r="I497" i="5" s="1"/>
  <c r="G497" i="5"/>
  <c r="E498" i="5"/>
  <c r="K498" i="5" s="1"/>
  <c r="F498" i="5"/>
  <c r="G498" i="5" s="1"/>
  <c r="E499" i="5"/>
  <c r="K499" i="5" s="1"/>
  <c r="F499" i="5"/>
  <c r="H499" i="5" s="1"/>
  <c r="I499" i="5" s="1"/>
  <c r="J499" i="5" s="1"/>
  <c r="E500" i="5"/>
  <c r="K500" i="5" s="1"/>
  <c r="F500" i="5"/>
  <c r="G500" i="5" s="1"/>
  <c r="E501" i="5"/>
  <c r="K501" i="5" s="1"/>
  <c r="F501" i="5"/>
  <c r="G501" i="5" s="1"/>
  <c r="E502" i="5"/>
  <c r="K502" i="5" s="1"/>
  <c r="F502" i="5"/>
  <c r="H502" i="5" s="1"/>
  <c r="I502" i="5" s="1"/>
  <c r="J502" i="5" s="1"/>
  <c r="E503" i="5"/>
  <c r="K503" i="5" s="1"/>
  <c r="F503" i="5"/>
  <c r="H503" i="5" s="1"/>
  <c r="I503" i="5" s="1"/>
  <c r="E504" i="5"/>
  <c r="K504" i="5" s="1"/>
  <c r="F504" i="5"/>
  <c r="H504" i="5" s="1"/>
  <c r="I504" i="5" s="1"/>
  <c r="E505" i="5"/>
  <c r="K505" i="5" s="1"/>
  <c r="F505" i="5"/>
  <c r="G505" i="5" s="1"/>
  <c r="E506" i="5"/>
  <c r="K506" i="5" s="1"/>
  <c r="F506" i="5"/>
  <c r="H506" i="5" s="1"/>
  <c r="I506" i="5" s="1"/>
  <c r="J506" i="5" s="1"/>
  <c r="E507" i="5"/>
  <c r="K507" i="5" s="1"/>
  <c r="F507" i="5"/>
  <c r="G507" i="5" s="1"/>
  <c r="E508" i="5"/>
  <c r="K508" i="5" s="1"/>
  <c r="F508" i="5"/>
  <c r="G508" i="5" s="1"/>
  <c r="E509" i="5"/>
  <c r="K509" i="5" s="1"/>
  <c r="F509" i="5"/>
  <c r="G509" i="5" s="1"/>
  <c r="E510" i="5"/>
  <c r="F510" i="5"/>
  <c r="G510" i="5" s="1"/>
  <c r="K510" i="5"/>
  <c r="E511" i="5"/>
  <c r="K511" i="5" s="1"/>
  <c r="F511" i="5"/>
  <c r="G511" i="5" s="1"/>
  <c r="E512" i="5"/>
  <c r="K512" i="5" s="1"/>
  <c r="F512" i="5"/>
  <c r="G512" i="5" s="1"/>
  <c r="E513" i="5"/>
  <c r="K513" i="5" s="1"/>
  <c r="F513" i="5"/>
  <c r="H513" i="5" s="1"/>
  <c r="I513" i="5" s="1"/>
  <c r="J513" i="5" s="1"/>
  <c r="E514" i="5"/>
  <c r="K514" i="5" s="1"/>
  <c r="F514" i="5"/>
  <c r="G514" i="5" s="1"/>
  <c r="E515" i="5"/>
  <c r="K515" i="5" s="1"/>
  <c r="F515" i="5"/>
  <c r="G515" i="5" s="1"/>
  <c r="E516" i="5"/>
  <c r="F516" i="5"/>
  <c r="G516" i="5" s="1"/>
  <c r="H516" i="5"/>
  <c r="I516" i="5" s="1"/>
  <c r="J516" i="5" s="1"/>
  <c r="K516" i="5"/>
  <c r="E517" i="5"/>
  <c r="F517" i="5"/>
  <c r="G517" i="5" s="1"/>
  <c r="K517" i="5"/>
  <c r="E518" i="5"/>
  <c r="K518" i="5" s="1"/>
  <c r="F518" i="5"/>
  <c r="H518" i="5" s="1"/>
  <c r="I518" i="5" s="1"/>
  <c r="J518" i="5" s="1"/>
  <c r="E519" i="5"/>
  <c r="K519" i="5" s="1"/>
  <c r="F519" i="5"/>
  <c r="G519" i="5" s="1"/>
  <c r="E520" i="5"/>
  <c r="F520" i="5"/>
  <c r="G520" i="5" s="1"/>
  <c r="K520" i="5"/>
  <c r="E521" i="5"/>
  <c r="K521" i="5" s="1"/>
  <c r="F521" i="5"/>
  <c r="G521" i="5" s="1"/>
  <c r="E522" i="5"/>
  <c r="K522" i="5" s="1"/>
  <c r="F522" i="5"/>
  <c r="G522" i="5" s="1"/>
  <c r="E523" i="5"/>
  <c r="K523" i="5" s="1"/>
  <c r="F523" i="5"/>
  <c r="H523" i="5" s="1"/>
  <c r="I523" i="5" s="1"/>
  <c r="J523" i="5" s="1"/>
  <c r="G523" i="5"/>
  <c r="E524" i="5"/>
  <c r="K524" i="5" s="1"/>
  <c r="F524" i="5"/>
  <c r="G524" i="5" s="1"/>
  <c r="E525" i="5"/>
  <c r="K525" i="5" s="1"/>
  <c r="F525" i="5"/>
  <c r="G525" i="5" s="1"/>
  <c r="E526" i="5"/>
  <c r="K526" i="5" s="1"/>
  <c r="F526" i="5"/>
  <c r="G526" i="5" s="1"/>
  <c r="E527" i="5"/>
  <c r="K527" i="5" s="1"/>
  <c r="F527" i="5"/>
  <c r="G527" i="5" s="1"/>
  <c r="E528" i="5"/>
  <c r="K528" i="5" s="1"/>
  <c r="F528" i="5"/>
  <c r="G528" i="5" s="1"/>
  <c r="E529" i="5"/>
  <c r="K529" i="5" s="1"/>
  <c r="F529" i="5"/>
  <c r="G529" i="5" s="1"/>
  <c r="E530" i="5"/>
  <c r="K530" i="5" s="1"/>
  <c r="F530" i="5"/>
  <c r="E531" i="5"/>
  <c r="K531" i="5" s="1"/>
  <c r="F531" i="5"/>
  <c r="G531" i="5" s="1"/>
  <c r="E532" i="5"/>
  <c r="K532" i="5" s="1"/>
  <c r="F532" i="5"/>
  <c r="G532" i="5" s="1"/>
  <c r="E533" i="5"/>
  <c r="K533" i="5" s="1"/>
  <c r="F533" i="5"/>
  <c r="G533" i="5" s="1"/>
  <c r="E534" i="5"/>
  <c r="K534" i="5" s="1"/>
  <c r="F534" i="5"/>
  <c r="G534" i="5" s="1"/>
  <c r="E535" i="5"/>
  <c r="K535" i="5" s="1"/>
  <c r="F535" i="5"/>
  <c r="E536" i="5"/>
  <c r="K536" i="5" s="1"/>
  <c r="F536" i="5"/>
  <c r="G536" i="5" s="1"/>
  <c r="E537" i="5"/>
  <c r="K537" i="5" s="1"/>
  <c r="F537" i="5"/>
  <c r="G537" i="5" s="1"/>
  <c r="E538" i="5"/>
  <c r="K538" i="5" s="1"/>
  <c r="F538" i="5"/>
  <c r="G538" i="5" s="1"/>
  <c r="H538" i="5"/>
  <c r="I538" i="5" s="1"/>
  <c r="J538" i="5" s="1"/>
  <c r="E539" i="5"/>
  <c r="K539" i="5" s="1"/>
  <c r="F539" i="5"/>
  <c r="H539" i="5" s="1"/>
  <c r="I539" i="5" s="1"/>
  <c r="J539" i="5" s="1"/>
  <c r="E540" i="5"/>
  <c r="F540" i="5"/>
  <c r="K540" i="5"/>
  <c r="E541" i="5"/>
  <c r="K541" i="5" s="1"/>
  <c r="F541" i="5"/>
  <c r="G541" i="5" s="1"/>
  <c r="E542" i="5"/>
  <c r="K542" i="5" s="1"/>
  <c r="F542" i="5"/>
  <c r="H542" i="5" s="1"/>
  <c r="I542" i="5" s="1"/>
  <c r="J542" i="5" s="1"/>
  <c r="G542" i="5"/>
  <c r="E543" i="5"/>
  <c r="K543" i="5" s="1"/>
  <c r="F543" i="5"/>
  <c r="G543" i="5" s="1"/>
  <c r="E544" i="5"/>
  <c r="K544" i="5" s="1"/>
  <c r="F544" i="5"/>
  <c r="H544" i="5" s="1"/>
  <c r="I544" i="5" s="1"/>
  <c r="J544" i="5" s="1"/>
  <c r="E545" i="5"/>
  <c r="K545" i="5" s="1"/>
  <c r="F545" i="5"/>
  <c r="G545" i="5" s="1"/>
  <c r="E546" i="5"/>
  <c r="K546" i="5" s="1"/>
  <c r="F546" i="5"/>
  <c r="H546" i="5" s="1"/>
  <c r="I546" i="5" s="1"/>
  <c r="E547" i="5"/>
  <c r="K547" i="5" s="1"/>
  <c r="F547" i="5"/>
  <c r="G547" i="5" s="1"/>
  <c r="E548" i="5"/>
  <c r="K548" i="5" s="1"/>
  <c r="F548" i="5"/>
  <c r="G548" i="5" s="1"/>
  <c r="E549" i="5"/>
  <c r="K549" i="5" s="1"/>
  <c r="F549" i="5"/>
  <c r="H549" i="5" s="1"/>
  <c r="I549" i="5" s="1"/>
  <c r="J549" i="5" s="1"/>
  <c r="E550" i="5"/>
  <c r="K550" i="5" s="1"/>
  <c r="F550" i="5"/>
  <c r="G550" i="5" s="1"/>
  <c r="E551" i="5"/>
  <c r="K551" i="5" s="1"/>
  <c r="F551" i="5"/>
  <c r="G551" i="5" s="1"/>
  <c r="E552" i="5"/>
  <c r="K552" i="5" s="1"/>
  <c r="F552" i="5"/>
  <c r="G552" i="5" s="1"/>
  <c r="E553" i="5"/>
  <c r="K553" i="5" s="1"/>
  <c r="F553" i="5"/>
  <c r="G553" i="5" s="1"/>
  <c r="E554" i="5"/>
  <c r="K554" i="5" s="1"/>
  <c r="F554" i="5"/>
  <c r="G554" i="5" s="1"/>
  <c r="E555" i="5"/>
  <c r="K555" i="5" s="1"/>
  <c r="F555" i="5"/>
  <c r="G555" i="5" s="1"/>
  <c r="E556" i="5"/>
  <c r="K556" i="5" s="1"/>
  <c r="F556" i="5"/>
  <c r="G556" i="5" s="1"/>
  <c r="E557" i="5"/>
  <c r="K557" i="5" s="1"/>
  <c r="F557" i="5"/>
  <c r="G557" i="5" s="1"/>
  <c r="E558" i="5"/>
  <c r="K558" i="5" s="1"/>
  <c r="F558" i="5"/>
  <c r="G558" i="5" s="1"/>
  <c r="E559" i="5"/>
  <c r="K559" i="5" s="1"/>
  <c r="F559" i="5"/>
  <c r="G559" i="5" s="1"/>
  <c r="E560" i="5"/>
  <c r="K560" i="5" s="1"/>
  <c r="F560" i="5"/>
  <c r="G560" i="5" s="1"/>
  <c r="E561" i="5"/>
  <c r="K561" i="5" s="1"/>
  <c r="F561" i="5"/>
  <c r="G561" i="5" s="1"/>
  <c r="E562" i="5"/>
  <c r="K562" i="5" s="1"/>
  <c r="F562" i="5"/>
  <c r="G562" i="5" s="1"/>
  <c r="E563" i="5"/>
  <c r="F563" i="5"/>
  <c r="H563" i="5" s="1"/>
  <c r="I563" i="5" s="1"/>
  <c r="J563" i="5" s="1"/>
  <c r="G563" i="5"/>
  <c r="K563" i="5"/>
  <c r="E564" i="5"/>
  <c r="K564" i="5" s="1"/>
  <c r="F564" i="5"/>
  <c r="G564" i="5" s="1"/>
  <c r="E565" i="5"/>
  <c r="K565" i="5" s="1"/>
  <c r="F565" i="5"/>
  <c r="G565" i="5" s="1"/>
  <c r="E566" i="5"/>
  <c r="K566" i="5" s="1"/>
  <c r="F566" i="5"/>
  <c r="H566" i="5" s="1"/>
  <c r="I566" i="5" s="1"/>
  <c r="J566" i="5" s="1"/>
  <c r="E567" i="5"/>
  <c r="K567" i="5" s="1"/>
  <c r="F567" i="5"/>
  <c r="G567" i="5" s="1"/>
  <c r="E568" i="5"/>
  <c r="K568" i="5" s="1"/>
  <c r="F568" i="5"/>
  <c r="G568" i="5" s="1"/>
  <c r="E569" i="5"/>
  <c r="K569" i="5" s="1"/>
  <c r="F569" i="5"/>
  <c r="G569" i="5" s="1"/>
  <c r="E570" i="5"/>
  <c r="K570" i="5" s="1"/>
  <c r="F570" i="5"/>
  <c r="G570" i="5" s="1"/>
  <c r="E571" i="5"/>
  <c r="K571" i="5" s="1"/>
  <c r="F571" i="5"/>
  <c r="H571" i="5" s="1"/>
  <c r="I571" i="5" s="1"/>
  <c r="J571" i="5" s="1"/>
  <c r="G571" i="5"/>
  <c r="E572" i="5"/>
  <c r="K572" i="5" s="1"/>
  <c r="F572" i="5"/>
  <c r="G572" i="5" s="1"/>
  <c r="E573" i="5"/>
  <c r="K573" i="5" s="1"/>
  <c r="F573" i="5"/>
  <c r="H573" i="5" s="1"/>
  <c r="I573" i="5" s="1"/>
  <c r="J573" i="5" s="1"/>
  <c r="E574" i="5"/>
  <c r="F574" i="5"/>
  <c r="G574" i="5" s="1"/>
  <c r="K574" i="5"/>
  <c r="E575" i="5"/>
  <c r="K575" i="5" s="1"/>
  <c r="F575" i="5"/>
  <c r="G575" i="5" s="1"/>
  <c r="E576" i="5"/>
  <c r="K576" i="5" s="1"/>
  <c r="F576" i="5"/>
  <c r="G576" i="5" s="1"/>
  <c r="E577" i="5"/>
  <c r="K577" i="5" s="1"/>
  <c r="F577" i="5"/>
  <c r="G577" i="5" s="1"/>
  <c r="E578" i="5"/>
  <c r="K578" i="5" s="1"/>
  <c r="F578" i="5"/>
  <c r="G578" i="5" s="1"/>
  <c r="E579" i="5"/>
  <c r="K579" i="5" s="1"/>
  <c r="F579" i="5"/>
  <c r="E580" i="5"/>
  <c r="K580" i="5" s="1"/>
  <c r="F580" i="5"/>
  <c r="G580" i="5" s="1"/>
  <c r="E581" i="5"/>
  <c r="K581" i="5" s="1"/>
  <c r="F581" i="5"/>
  <c r="G581" i="5" s="1"/>
  <c r="E582" i="5"/>
  <c r="K582" i="5" s="1"/>
  <c r="F582" i="5"/>
  <c r="H582" i="5" s="1"/>
  <c r="I582" i="5" s="1"/>
  <c r="J582" i="5" s="1"/>
  <c r="G582" i="5"/>
  <c r="E583" i="5"/>
  <c r="K583" i="5" s="1"/>
  <c r="F583" i="5"/>
  <c r="G583" i="5" s="1"/>
  <c r="E584" i="5"/>
  <c r="K584" i="5" s="1"/>
  <c r="F584" i="5"/>
  <c r="G584" i="5" s="1"/>
  <c r="E585" i="5"/>
  <c r="K585" i="5" s="1"/>
  <c r="F585" i="5"/>
  <c r="G585" i="5" s="1"/>
  <c r="E586" i="5"/>
  <c r="K586" i="5" s="1"/>
  <c r="F586" i="5"/>
  <c r="G586" i="5" s="1"/>
  <c r="H586" i="5"/>
  <c r="I586" i="5" s="1"/>
  <c r="J586" i="5" s="1"/>
  <c r="E587" i="5"/>
  <c r="F587" i="5"/>
  <c r="G587" i="5" s="1"/>
  <c r="K587" i="5"/>
  <c r="E588" i="5"/>
  <c r="K588" i="5" s="1"/>
  <c r="F588" i="5"/>
  <c r="G588" i="5" s="1"/>
  <c r="E589" i="5"/>
  <c r="K589" i="5" s="1"/>
  <c r="F589" i="5"/>
  <c r="G589" i="5" s="1"/>
  <c r="E590" i="5"/>
  <c r="K590" i="5" s="1"/>
  <c r="F590" i="5"/>
  <c r="G590" i="5" s="1"/>
  <c r="E591" i="5"/>
  <c r="K591" i="5" s="1"/>
  <c r="F591" i="5"/>
  <c r="G591" i="5" s="1"/>
  <c r="E592" i="5"/>
  <c r="K592" i="5" s="1"/>
  <c r="F592" i="5"/>
  <c r="G592" i="5" s="1"/>
  <c r="E593" i="5"/>
  <c r="K593" i="5" s="1"/>
  <c r="F593" i="5"/>
  <c r="H593" i="5" s="1"/>
  <c r="I593" i="5" s="1"/>
  <c r="J593" i="5" s="1"/>
  <c r="E594" i="5"/>
  <c r="K594" i="5" s="1"/>
  <c r="F594" i="5"/>
  <c r="G594" i="5" s="1"/>
  <c r="E595" i="5"/>
  <c r="K595" i="5" s="1"/>
  <c r="F595" i="5"/>
  <c r="G595" i="5" s="1"/>
  <c r="E596" i="5"/>
  <c r="K596" i="5" s="1"/>
  <c r="F596" i="5"/>
  <c r="E597" i="5"/>
  <c r="K597" i="5" s="1"/>
  <c r="F597" i="5"/>
  <c r="G597" i="5" s="1"/>
  <c r="E598" i="5"/>
  <c r="K598" i="5" s="1"/>
  <c r="F598" i="5"/>
  <c r="G598" i="5" s="1"/>
  <c r="E599" i="5"/>
  <c r="K599" i="5" s="1"/>
  <c r="F599" i="5"/>
  <c r="E600" i="5"/>
  <c r="K600" i="5" s="1"/>
  <c r="F600" i="5"/>
  <c r="H600" i="5" s="1"/>
  <c r="I600" i="5" s="1"/>
  <c r="J600" i="5" s="1"/>
  <c r="E601" i="5"/>
  <c r="K601" i="5" s="1"/>
  <c r="F601" i="5"/>
  <c r="E602" i="5"/>
  <c r="K602" i="5" s="1"/>
  <c r="F602" i="5"/>
  <c r="G602" i="5" s="1"/>
  <c r="E603" i="5"/>
  <c r="K603" i="5" s="1"/>
  <c r="F603" i="5"/>
  <c r="H603" i="5" s="1"/>
  <c r="I603" i="5" s="1"/>
  <c r="J603" i="5" s="1"/>
  <c r="E604" i="5"/>
  <c r="K604" i="5" s="1"/>
  <c r="F604" i="5"/>
  <c r="H604" i="5" s="1"/>
  <c r="I604" i="5" s="1"/>
  <c r="J604" i="5" s="1"/>
  <c r="E605" i="5"/>
  <c r="K605" i="5" s="1"/>
  <c r="F605" i="5"/>
  <c r="G605" i="5" s="1"/>
  <c r="E606" i="5"/>
  <c r="K606" i="5" s="1"/>
  <c r="F606" i="5"/>
  <c r="G606" i="5" s="1"/>
  <c r="E607" i="5"/>
  <c r="K607" i="5" s="1"/>
  <c r="F607" i="5"/>
  <c r="H607" i="5" s="1"/>
  <c r="I607" i="5" s="1"/>
  <c r="J607" i="5" s="1"/>
  <c r="G607" i="5"/>
  <c r="E608" i="5"/>
  <c r="K608" i="5" s="1"/>
  <c r="F608" i="5"/>
  <c r="H608" i="5" s="1"/>
  <c r="I608" i="5" s="1"/>
  <c r="J608" i="5" s="1"/>
  <c r="E609" i="5"/>
  <c r="K609" i="5" s="1"/>
  <c r="F609" i="5"/>
  <c r="G609" i="5" s="1"/>
  <c r="E610" i="5"/>
  <c r="K610" i="5" s="1"/>
  <c r="F610" i="5"/>
  <c r="H610" i="5" s="1"/>
  <c r="I610" i="5" s="1"/>
  <c r="J610" i="5" s="1"/>
  <c r="E611" i="5"/>
  <c r="K611" i="5" s="1"/>
  <c r="F611" i="5"/>
  <c r="G611" i="5" s="1"/>
  <c r="E612" i="5"/>
  <c r="K612" i="5" s="1"/>
  <c r="F612" i="5"/>
  <c r="G612" i="5" s="1"/>
  <c r="E613" i="5"/>
  <c r="K613" i="5" s="1"/>
  <c r="F613" i="5"/>
  <c r="H613" i="5" s="1"/>
  <c r="I613" i="5" s="1"/>
  <c r="J613" i="5" s="1"/>
  <c r="E614" i="5"/>
  <c r="K614" i="5" s="1"/>
  <c r="F614" i="5"/>
  <c r="G614" i="5" s="1"/>
  <c r="E615" i="5"/>
  <c r="K615" i="5" s="1"/>
  <c r="F615" i="5"/>
  <c r="E616" i="5"/>
  <c r="K616" i="5" s="1"/>
  <c r="F616" i="5"/>
  <c r="G616" i="5" s="1"/>
  <c r="E617" i="5"/>
  <c r="K617" i="5" s="1"/>
  <c r="F617" i="5"/>
  <c r="G617" i="5" s="1"/>
  <c r="E618" i="5"/>
  <c r="K618" i="5" s="1"/>
  <c r="F618" i="5"/>
  <c r="G618" i="5" s="1"/>
  <c r="E619" i="5"/>
  <c r="K619" i="5" s="1"/>
  <c r="F619" i="5"/>
  <c r="G619" i="5" s="1"/>
  <c r="E620" i="5"/>
  <c r="K620" i="5" s="1"/>
  <c r="F620" i="5"/>
  <c r="G620" i="5" s="1"/>
  <c r="E621" i="5"/>
  <c r="K621" i="5" s="1"/>
  <c r="F621" i="5"/>
  <c r="G621" i="5" s="1"/>
  <c r="E622" i="5"/>
  <c r="K622" i="5" s="1"/>
  <c r="F622" i="5"/>
  <c r="G622" i="5" s="1"/>
  <c r="E623" i="5"/>
  <c r="K623" i="5" s="1"/>
  <c r="F623" i="5"/>
  <c r="G623" i="5" s="1"/>
  <c r="E624" i="5"/>
  <c r="K624" i="5" s="1"/>
  <c r="F624" i="5"/>
  <c r="G624" i="5" s="1"/>
  <c r="E625" i="5"/>
  <c r="K625" i="5" s="1"/>
  <c r="F625" i="5"/>
  <c r="G625" i="5" s="1"/>
  <c r="E626" i="5"/>
  <c r="K626" i="5" s="1"/>
  <c r="F626" i="5"/>
  <c r="G626" i="5" s="1"/>
  <c r="E627" i="5"/>
  <c r="K627" i="5" s="1"/>
  <c r="F627" i="5"/>
  <c r="H627" i="5" s="1"/>
  <c r="I627" i="5" s="1"/>
  <c r="J627" i="5" s="1"/>
  <c r="E628" i="5"/>
  <c r="K628" i="5" s="1"/>
  <c r="F628" i="5"/>
  <c r="G628" i="5" s="1"/>
  <c r="E629" i="5"/>
  <c r="K629" i="5" s="1"/>
  <c r="F629" i="5"/>
  <c r="H629" i="5" s="1"/>
  <c r="I629" i="5" s="1"/>
  <c r="J629" i="5" s="1"/>
  <c r="E630" i="5"/>
  <c r="K630" i="5" s="1"/>
  <c r="F630" i="5"/>
  <c r="H630" i="5" s="1"/>
  <c r="I630" i="5" s="1"/>
  <c r="E631" i="5"/>
  <c r="K631" i="5" s="1"/>
  <c r="F631" i="5"/>
  <c r="G631" i="5" s="1"/>
  <c r="E632" i="5"/>
  <c r="K632" i="5" s="1"/>
  <c r="F632" i="5"/>
  <c r="G632" i="5" s="1"/>
  <c r="E633" i="5"/>
  <c r="K633" i="5" s="1"/>
  <c r="F633" i="5"/>
  <c r="H633" i="5" s="1"/>
  <c r="I633" i="5" s="1"/>
  <c r="G633" i="5"/>
  <c r="E634" i="5"/>
  <c r="K634" i="5" s="1"/>
  <c r="F634" i="5"/>
  <c r="G634" i="5" s="1"/>
  <c r="E635" i="5"/>
  <c r="K635" i="5" s="1"/>
  <c r="F635" i="5"/>
  <c r="G635" i="5" s="1"/>
  <c r="E636" i="5"/>
  <c r="K636" i="5" s="1"/>
  <c r="F636" i="5"/>
  <c r="G636" i="5" s="1"/>
  <c r="H636" i="5"/>
  <c r="I636" i="5" s="1"/>
  <c r="J636" i="5" s="1"/>
  <c r="E637" i="5"/>
  <c r="K637" i="5" s="1"/>
  <c r="F637" i="5"/>
  <c r="H637" i="5" s="1"/>
  <c r="I637" i="5" s="1"/>
  <c r="J637" i="5" s="1"/>
  <c r="E638" i="5"/>
  <c r="K638" i="5" s="1"/>
  <c r="F638" i="5"/>
  <c r="E639" i="5"/>
  <c r="K639" i="5" s="1"/>
  <c r="F639" i="5"/>
  <c r="G639" i="5" s="1"/>
  <c r="E640" i="5"/>
  <c r="K640" i="5" s="1"/>
  <c r="F640" i="5"/>
  <c r="G640" i="5" s="1"/>
  <c r="E641" i="5"/>
  <c r="K641" i="5" s="1"/>
  <c r="F641" i="5"/>
  <c r="G641" i="5" s="1"/>
  <c r="E642" i="5"/>
  <c r="K642" i="5" s="1"/>
  <c r="F642" i="5"/>
  <c r="G642" i="5" s="1"/>
  <c r="E643" i="5"/>
  <c r="K643" i="5" s="1"/>
  <c r="F643" i="5"/>
  <c r="H643" i="5" s="1"/>
  <c r="I643" i="5" s="1"/>
  <c r="J643" i="5" s="1"/>
  <c r="E644" i="5"/>
  <c r="K644" i="5" s="1"/>
  <c r="F644" i="5"/>
  <c r="G644" i="5" s="1"/>
  <c r="E645" i="5"/>
  <c r="K645" i="5" s="1"/>
  <c r="F645" i="5"/>
  <c r="E646" i="5"/>
  <c r="K646" i="5" s="1"/>
  <c r="F646" i="5"/>
  <c r="H646" i="5" s="1"/>
  <c r="I646" i="5" s="1"/>
  <c r="J646" i="5" s="1"/>
  <c r="G646" i="5"/>
  <c r="E647" i="5"/>
  <c r="K647" i="5" s="1"/>
  <c r="F647" i="5"/>
  <c r="G647" i="5" s="1"/>
  <c r="E648" i="5"/>
  <c r="F648" i="5"/>
  <c r="G648" i="5" s="1"/>
  <c r="K648" i="5"/>
  <c r="E649" i="5"/>
  <c r="K649" i="5" s="1"/>
  <c r="F649" i="5"/>
  <c r="H649" i="5" s="1"/>
  <c r="I649" i="5" s="1"/>
  <c r="J649" i="5" s="1"/>
  <c r="E650" i="5"/>
  <c r="K650" i="5" s="1"/>
  <c r="F650" i="5"/>
  <c r="H650" i="5" s="1"/>
  <c r="I650" i="5" s="1"/>
  <c r="J650" i="5" s="1"/>
  <c r="E651" i="5"/>
  <c r="K651" i="5" s="1"/>
  <c r="F651" i="5"/>
  <c r="E652" i="5"/>
  <c r="K652" i="5" s="1"/>
  <c r="F652" i="5"/>
  <c r="H652" i="5" s="1"/>
  <c r="I652" i="5" s="1"/>
  <c r="J652" i="5" s="1"/>
  <c r="E653" i="5"/>
  <c r="K653" i="5" s="1"/>
  <c r="F653" i="5"/>
  <c r="G653" i="5" s="1"/>
  <c r="E654" i="5"/>
  <c r="K654" i="5" s="1"/>
  <c r="F654" i="5"/>
  <c r="H654" i="5" s="1"/>
  <c r="I654" i="5" s="1"/>
  <c r="J654" i="5" s="1"/>
  <c r="E655" i="5"/>
  <c r="F655" i="5"/>
  <c r="G655" i="5" s="1"/>
  <c r="K655" i="5"/>
  <c r="E656" i="5"/>
  <c r="K656" i="5" s="1"/>
  <c r="F656" i="5"/>
  <c r="G656" i="5" s="1"/>
  <c r="E657" i="5"/>
  <c r="K657" i="5" s="1"/>
  <c r="F657" i="5"/>
  <c r="H657" i="5" s="1"/>
  <c r="I657" i="5" s="1"/>
  <c r="J657" i="5" s="1"/>
  <c r="G657" i="5"/>
  <c r="E658" i="5"/>
  <c r="F658" i="5"/>
  <c r="G658" i="5" s="1"/>
  <c r="K658" i="5"/>
  <c r="E659" i="5"/>
  <c r="K659" i="5" s="1"/>
  <c r="F659" i="5"/>
  <c r="G659" i="5" s="1"/>
  <c r="E660" i="5"/>
  <c r="K660" i="5" s="1"/>
  <c r="F660" i="5"/>
  <c r="H660" i="5" s="1"/>
  <c r="I660" i="5" s="1"/>
  <c r="J660" i="5" s="1"/>
  <c r="E661" i="5"/>
  <c r="K661" i="5" s="1"/>
  <c r="F661" i="5"/>
  <c r="G661" i="5" s="1"/>
  <c r="E662" i="5"/>
  <c r="K662" i="5" s="1"/>
  <c r="F662" i="5"/>
  <c r="G662" i="5" s="1"/>
  <c r="E663" i="5"/>
  <c r="K663" i="5" s="1"/>
  <c r="F663" i="5"/>
  <c r="E664" i="5"/>
  <c r="K664" i="5" s="1"/>
  <c r="F664" i="5"/>
  <c r="H664" i="5" s="1"/>
  <c r="I664" i="5" s="1"/>
  <c r="J664" i="5" s="1"/>
  <c r="E665" i="5"/>
  <c r="K665" i="5" s="1"/>
  <c r="F665" i="5"/>
  <c r="E666" i="5"/>
  <c r="K666" i="5" s="1"/>
  <c r="F666" i="5"/>
  <c r="G666" i="5" s="1"/>
  <c r="E667" i="5"/>
  <c r="K667" i="5" s="1"/>
  <c r="F667" i="5"/>
  <c r="H667" i="5" s="1"/>
  <c r="I667" i="5" s="1"/>
  <c r="J667" i="5" s="1"/>
  <c r="E668" i="5"/>
  <c r="K668" i="5" s="1"/>
  <c r="F668" i="5"/>
  <c r="H668" i="5" s="1"/>
  <c r="I668" i="5" s="1"/>
  <c r="J668" i="5" s="1"/>
  <c r="E669" i="5"/>
  <c r="K669" i="5" s="1"/>
  <c r="F669" i="5"/>
  <c r="G669" i="5" s="1"/>
  <c r="E670" i="5"/>
  <c r="K670" i="5" s="1"/>
  <c r="F670" i="5"/>
  <c r="G670" i="5" s="1"/>
  <c r="E671" i="5"/>
  <c r="K671" i="5" s="1"/>
  <c r="F671" i="5"/>
  <c r="H671" i="5" s="1"/>
  <c r="I671" i="5" s="1"/>
  <c r="J671" i="5" s="1"/>
  <c r="G671" i="5"/>
  <c r="E672" i="5"/>
  <c r="K672" i="5" s="1"/>
  <c r="F672" i="5"/>
  <c r="H672" i="5" s="1"/>
  <c r="I672" i="5"/>
  <c r="J672" i="5" s="1"/>
  <c r="E673" i="5"/>
  <c r="K673" i="5" s="1"/>
  <c r="F673" i="5"/>
  <c r="H673" i="5" s="1"/>
  <c r="I673" i="5" s="1"/>
  <c r="J673" i="5" s="1"/>
  <c r="E674" i="5"/>
  <c r="K674" i="5" s="1"/>
  <c r="F674" i="5"/>
  <c r="H674" i="5" s="1"/>
  <c r="I674" i="5" s="1"/>
  <c r="J674" i="5" s="1"/>
  <c r="E675" i="5"/>
  <c r="K675" i="5" s="1"/>
  <c r="F675" i="5"/>
  <c r="G675" i="5" s="1"/>
  <c r="E676" i="5"/>
  <c r="K676" i="5" s="1"/>
  <c r="F676" i="5"/>
  <c r="G676" i="5" s="1"/>
  <c r="E677" i="5"/>
  <c r="K677" i="5" s="1"/>
  <c r="F677" i="5"/>
  <c r="H677" i="5" s="1"/>
  <c r="I677" i="5" s="1"/>
  <c r="J677" i="5" s="1"/>
  <c r="E678" i="5"/>
  <c r="K678" i="5" s="1"/>
  <c r="F678" i="5"/>
  <c r="E679" i="5"/>
  <c r="K679" i="5" s="1"/>
  <c r="F679" i="5"/>
  <c r="H679" i="5" s="1"/>
  <c r="I679" i="5" s="1"/>
  <c r="J679" i="5" s="1"/>
  <c r="E680" i="5"/>
  <c r="F680" i="5"/>
  <c r="G680" i="5" s="1"/>
  <c r="H680" i="5"/>
  <c r="I680" i="5" s="1"/>
  <c r="J680" i="5" s="1"/>
  <c r="K680" i="5"/>
  <c r="E681" i="5"/>
  <c r="K681" i="5" s="1"/>
  <c r="F681" i="5"/>
  <c r="G681" i="5" s="1"/>
  <c r="E682" i="5"/>
  <c r="K682" i="5" s="1"/>
  <c r="F682" i="5"/>
  <c r="G682" i="5" s="1"/>
  <c r="E683" i="5"/>
  <c r="K683" i="5" s="1"/>
  <c r="F683" i="5"/>
  <c r="G683" i="5" s="1"/>
  <c r="E684" i="5"/>
  <c r="K684" i="5" s="1"/>
  <c r="F684" i="5"/>
  <c r="G684" i="5" s="1"/>
  <c r="E685" i="5"/>
  <c r="F685" i="5"/>
  <c r="G685" i="5" s="1"/>
  <c r="K685" i="5"/>
  <c r="E686" i="5"/>
  <c r="K686" i="5" s="1"/>
  <c r="F686" i="5"/>
  <c r="G686" i="5" s="1"/>
  <c r="E687" i="5"/>
  <c r="K687" i="5" s="1"/>
  <c r="F687" i="5"/>
  <c r="E688" i="5"/>
  <c r="K688" i="5" s="1"/>
  <c r="F688" i="5"/>
  <c r="H688" i="5" s="1"/>
  <c r="I688" i="5" s="1"/>
  <c r="J688" i="5" s="1"/>
  <c r="E689" i="5"/>
  <c r="K689" i="5" s="1"/>
  <c r="F689" i="5"/>
  <c r="G689" i="5" s="1"/>
  <c r="E690" i="5"/>
  <c r="K690" i="5" s="1"/>
  <c r="F690" i="5"/>
  <c r="G690" i="5" s="1"/>
  <c r="E691" i="5"/>
  <c r="K691" i="5" s="1"/>
  <c r="F691" i="5"/>
  <c r="H691" i="5" s="1"/>
  <c r="I691" i="5" s="1"/>
  <c r="J691" i="5" s="1"/>
  <c r="E692" i="5"/>
  <c r="K692" i="5" s="1"/>
  <c r="F692" i="5"/>
  <c r="G692" i="5" s="1"/>
  <c r="E693" i="5"/>
  <c r="K693" i="5" s="1"/>
  <c r="F693" i="5"/>
  <c r="G693" i="5" s="1"/>
  <c r="E694" i="5"/>
  <c r="K694" i="5" s="1"/>
  <c r="F694" i="5"/>
  <c r="H694" i="5" s="1"/>
  <c r="I694" i="5" s="1"/>
  <c r="J694" i="5" s="1"/>
  <c r="E695" i="5"/>
  <c r="K695" i="5" s="1"/>
  <c r="F695" i="5"/>
  <c r="G695" i="5" s="1"/>
  <c r="H695" i="5"/>
  <c r="I695" i="5" s="1"/>
  <c r="J695" i="5" s="1"/>
  <c r="E696" i="5"/>
  <c r="K696" i="5" s="1"/>
  <c r="F696" i="5"/>
  <c r="G696" i="5" s="1"/>
  <c r="E697" i="5"/>
  <c r="K697" i="5" s="1"/>
  <c r="F697" i="5"/>
  <c r="G697" i="5" s="1"/>
  <c r="E698" i="5"/>
  <c r="K698" i="5" s="1"/>
  <c r="F698" i="5"/>
  <c r="E699" i="5"/>
  <c r="K699" i="5" s="1"/>
  <c r="F699" i="5"/>
  <c r="H699" i="5" s="1"/>
  <c r="I699" i="5" s="1"/>
  <c r="E700" i="5"/>
  <c r="K700" i="5" s="1"/>
  <c r="F700" i="5"/>
  <c r="G700" i="5" s="1"/>
  <c r="E701" i="5"/>
  <c r="K701" i="5" s="1"/>
  <c r="F701" i="5"/>
  <c r="E702" i="5"/>
  <c r="K702" i="5" s="1"/>
  <c r="F702" i="5"/>
  <c r="E703" i="5"/>
  <c r="K703" i="5" s="1"/>
  <c r="F703" i="5"/>
  <c r="E704" i="5"/>
  <c r="K704" i="5" s="1"/>
  <c r="F704" i="5"/>
  <c r="G704" i="5" s="1"/>
  <c r="E705" i="5"/>
  <c r="F705" i="5"/>
  <c r="G705" i="5" s="1"/>
  <c r="K705" i="5"/>
  <c r="E706" i="5"/>
  <c r="F706" i="5"/>
  <c r="G706" i="5" s="1"/>
  <c r="K706" i="5"/>
  <c r="E707" i="5"/>
  <c r="F707" i="5"/>
  <c r="G707" i="5" s="1"/>
  <c r="K707" i="5"/>
  <c r="E708" i="5"/>
  <c r="F708" i="5"/>
  <c r="G708" i="5" s="1"/>
  <c r="K708" i="5"/>
  <c r="E709" i="5"/>
  <c r="K709" i="5" s="1"/>
  <c r="F709" i="5"/>
  <c r="E710" i="5"/>
  <c r="K710" i="5" s="1"/>
  <c r="F710" i="5"/>
  <c r="H710" i="5" s="1"/>
  <c r="I710" i="5" s="1"/>
  <c r="J710" i="5" s="1"/>
  <c r="E711" i="5"/>
  <c r="K711" i="5" s="1"/>
  <c r="F711" i="5"/>
  <c r="G711" i="5" s="1"/>
  <c r="E712" i="5"/>
  <c r="F712" i="5"/>
  <c r="G712" i="5" s="1"/>
  <c r="K712" i="5"/>
  <c r="E713" i="5"/>
  <c r="K713" i="5" s="1"/>
  <c r="F713" i="5"/>
  <c r="H713" i="5" s="1"/>
  <c r="I713" i="5" s="1"/>
  <c r="J713" i="5" s="1"/>
  <c r="G713" i="5"/>
  <c r="E714" i="5"/>
  <c r="K714" i="5" s="1"/>
  <c r="F714" i="5"/>
  <c r="G714" i="5" s="1"/>
  <c r="E715" i="5"/>
  <c r="K715" i="5" s="1"/>
  <c r="F715" i="5"/>
  <c r="G715" i="5" s="1"/>
  <c r="E716" i="5"/>
  <c r="K716" i="5" s="1"/>
  <c r="F716" i="5"/>
  <c r="G716" i="5" s="1"/>
  <c r="E717" i="5"/>
  <c r="K717" i="5" s="1"/>
  <c r="F717" i="5"/>
  <c r="G717" i="5" s="1"/>
  <c r="E718" i="5"/>
  <c r="K718" i="5" s="1"/>
  <c r="F718" i="5"/>
  <c r="H718" i="5" s="1"/>
  <c r="I718" i="5" s="1"/>
  <c r="J718" i="5" s="1"/>
  <c r="E719" i="5"/>
  <c r="K719" i="5" s="1"/>
  <c r="F719" i="5"/>
  <c r="G719" i="5" s="1"/>
  <c r="E720" i="5"/>
  <c r="K720" i="5" s="1"/>
  <c r="F720" i="5"/>
  <c r="G720" i="5" s="1"/>
  <c r="E721" i="5"/>
  <c r="K721" i="5" s="1"/>
  <c r="F721" i="5"/>
  <c r="G721" i="5" s="1"/>
  <c r="E722" i="5"/>
  <c r="K722" i="5" s="1"/>
  <c r="F722" i="5"/>
  <c r="G722" i="5" s="1"/>
  <c r="E723" i="5"/>
  <c r="K723" i="5" s="1"/>
  <c r="F723" i="5"/>
  <c r="G723" i="5" s="1"/>
  <c r="E724" i="5"/>
  <c r="K724" i="5" s="1"/>
  <c r="F724" i="5"/>
  <c r="G724" i="5" s="1"/>
  <c r="E725" i="5"/>
  <c r="F725" i="5"/>
  <c r="G725" i="5" s="1"/>
  <c r="K725" i="5"/>
  <c r="E726" i="5"/>
  <c r="K726" i="5" s="1"/>
  <c r="F726" i="5"/>
  <c r="G726" i="5" s="1"/>
  <c r="E727" i="5"/>
  <c r="K727" i="5" s="1"/>
  <c r="F727" i="5"/>
  <c r="G727" i="5" s="1"/>
  <c r="E728" i="5"/>
  <c r="K728" i="5" s="1"/>
  <c r="F728" i="5"/>
  <c r="G728" i="5" s="1"/>
  <c r="E729" i="5"/>
  <c r="K729" i="5" s="1"/>
  <c r="F729" i="5"/>
  <c r="E730" i="5"/>
  <c r="K730" i="5" s="1"/>
  <c r="F730" i="5"/>
  <c r="G730" i="5" s="1"/>
  <c r="E731" i="5"/>
  <c r="K731" i="5" s="1"/>
  <c r="F731" i="5"/>
  <c r="H731" i="5" s="1"/>
  <c r="I731" i="5" s="1"/>
  <c r="J731" i="5" s="1"/>
  <c r="E732" i="5"/>
  <c r="K732" i="5" s="1"/>
  <c r="F732" i="5"/>
  <c r="H732" i="5" s="1"/>
  <c r="I732" i="5" s="1"/>
  <c r="J732" i="5" s="1"/>
  <c r="E733" i="5"/>
  <c r="K733" i="5" s="1"/>
  <c r="F733" i="5"/>
  <c r="E734" i="5"/>
  <c r="K734" i="5" s="1"/>
  <c r="F734" i="5"/>
  <c r="G734" i="5" s="1"/>
  <c r="E735" i="5"/>
  <c r="K735" i="5" s="1"/>
  <c r="F735" i="5"/>
  <c r="G735" i="5" s="1"/>
  <c r="E736" i="5"/>
  <c r="K736" i="5" s="1"/>
  <c r="F736" i="5"/>
  <c r="G736" i="5" s="1"/>
  <c r="E737" i="5"/>
  <c r="K737" i="5" s="1"/>
  <c r="F737" i="5"/>
  <c r="G737" i="5" s="1"/>
  <c r="E738" i="5"/>
  <c r="K738" i="5" s="1"/>
  <c r="F738" i="5"/>
  <c r="H738" i="5" s="1"/>
  <c r="I738" i="5" s="1"/>
  <c r="J738" i="5" s="1"/>
  <c r="E739" i="5"/>
  <c r="K739" i="5" s="1"/>
  <c r="F739" i="5"/>
  <c r="G739" i="5" s="1"/>
  <c r="E740" i="5"/>
  <c r="K740" i="5" s="1"/>
  <c r="F740" i="5"/>
  <c r="G740" i="5" s="1"/>
  <c r="E741" i="5"/>
  <c r="K741" i="5" s="1"/>
  <c r="F741" i="5"/>
  <c r="G741" i="5" s="1"/>
  <c r="E742" i="5"/>
  <c r="K742" i="5" s="1"/>
  <c r="F742" i="5"/>
  <c r="E743" i="5"/>
  <c r="K743" i="5" s="1"/>
  <c r="F743" i="5"/>
  <c r="G743" i="5" s="1"/>
  <c r="E744" i="5"/>
  <c r="K744" i="5" s="1"/>
  <c r="F744" i="5"/>
  <c r="G744" i="5" s="1"/>
  <c r="E745" i="5"/>
  <c r="K745" i="5" s="1"/>
  <c r="F745" i="5"/>
  <c r="G745" i="5" s="1"/>
  <c r="E746" i="5"/>
  <c r="K746" i="5" s="1"/>
  <c r="F746" i="5"/>
  <c r="G746" i="5" s="1"/>
  <c r="E747" i="5"/>
  <c r="K747" i="5" s="1"/>
  <c r="F747" i="5"/>
  <c r="G747" i="5" s="1"/>
  <c r="E748" i="5"/>
  <c r="K748" i="5" s="1"/>
  <c r="F748" i="5"/>
  <c r="H748" i="5" s="1"/>
  <c r="I748" i="5" s="1"/>
  <c r="J748" i="5" s="1"/>
  <c r="E749" i="5"/>
  <c r="K749" i="5" s="1"/>
  <c r="F749" i="5"/>
  <c r="G749" i="5" s="1"/>
  <c r="E750" i="5"/>
  <c r="K750" i="5" s="1"/>
  <c r="F750" i="5"/>
  <c r="G750" i="5" s="1"/>
  <c r="E751" i="5"/>
  <c r="F751" i="5"/>
  <c r="G751" i="5" s="1"/>
  <c r="K751" i="5"/>
  <c r="E752" i="5"/>
  <c r="K752" i="5" s="1"/>
  <c r="F752" i="5"/>
  <c r="G752" i="5" s="1"/>
  <c r="E753" i="5"/>
  <c r="K753" i="5" s="1"/>
  <c r="F753" i="5"/>
  <c r="G753" i="5" s="1"/>
  <c r="H753" i="5"/>
  <c r="I753" i="5" s="1"/>
  <c r="J753" i="5" s="1"/>
  <c r="E754" i="5"/>
  <c r="K754" i="5" s="1"/>
  <c r="F754" i="5"/>
  <c r="G754" i="5" s="1"/>
  <c r="E755" i="5"/>
  <c r="K755" i="5" s="1"/>
  <c r="F755" i="5"/>
  <c r="E756" i="5"/>
  <c r="K756" i="5" s="1"/>
  <c r="F756" i="5"/>
  <c r="G756" i="5" s="1"/>
  <c r="E757" i="5"/>
  <c r="K757" i="5" s="1"/>
  <c r="F757" i="5"/>
  <c r="G757" i="5" s="1"/>
  <c r="E758" i="5"/>
  <c r="K758" i="5" s="1"/>
  <c r="F758" i="5"/>
  <c r="H758" i="5" s="1"/>
  <c r="I758" i="5" s="1"/>
  <c r="J758" i="5" s="1"/>
  <c r="E759" i="5"/>
  <c r="K759" i="5" s="1"/>
  <c r="F759" i="5"/>
  <c r="G759" i="5" s="1"/>
  <c r="E760" i="5"/>
  <c r="K760" i="5" s="1"/>
  <c r="F760" i="5"/>
  <c r="H760" i="5" s="1"/>
  <c r="I760" i="5" s="1"/>
  <c r="J760" i="5" s="1"/>
  <c r="E761" i="5"/>
  <c r="K761" i="5" s="1"/>
  <c r="F761" i="5"/>
  <c r="G761" i="5" s="1"/>
  <c r="E762" i="5"/>
  <c r="K762" i="5" s="1"/>
  <c r="F762" i="5"/>
  <c r="G762" i="5" s="1"/>
  <c r="E763" i="5"/>
  <c r="K763" i="5" s="1"/>
  <c r="F763" i="5"/>
  <c r="G763" i="5" s="1"/>
  <c r="E764" i="5"/>
  <c r="K764" i="5" s="1"/>
  <c r="F764" i="5"/>
  <c r="H764" i="5" s="1"/>
  <c r="I764" i="5" s="1"/>
  <c r="J764" i="5" s="1"/>
  <c r="E765" i="5"/>
  <c r="K765" i="5" s="1"/>
  <c r="F765" i="5"/>
  <c r="G765" i="5" s="1"/>
  <c r="E766" i="5"/>
  <c r="K766" i="5" s="1"/>
  <c r="F766" i="5"/>
  <c r="E767" i="5"/>
  <c r="K767" i="5" s="1"/>
  <c r="F767" i="5"/>
  <c r="G767" i="5" s="1"/>
  <c r="E768" i="5"/>
  <c r="K768" i="5" s="1"/>
  <c r="F768" i="5"/>
  <c r="G768" i="5" s="1"/>
  <c r="E769" i="5"/>
  <c r="K769" i="5" s="1"/>
  <c r="F769" i="5"/>
  <c r="G769" i="5" s="1"/>
  <c r="E770" i="5"/>
  <c r="K770" i="5" s="1"/>
  <c r="F770" i="5"/>
  <c r="G770" i="5" s="1"/>
  <c r="E771" i="5"/>
  <c r="K771" i="5" s="1"/>
  <c r="F771" i="5"/>
  <c r="G771" i="5" s="1"/>
  <c r="E772" i="5"/>
  <c r="K772" i="5" s="1"/>
  <c r="F772" i="5"/>
  <c r="G772" i="5" s="1"/>
  <c r="E773" i="5"/>
  <c r="K773" i="5" s="1"/>
  <c r="F773" i="5"/>
  <c r="G773" i="5" s="1"/>
  <c r="E774" i="5"/>
  <c r="K774" i="5" s="1"/>
  <c r="F774" i="5"/>
  <c r="G774" i="5" s="1"/>
  <c r="E775" i="5"/>
  <c r="K775" i="5" s="1"/>
  <c r="F775" i="5"/>
  <c r="G775" i="5" s="1"/>
  <c r="E776" i="5"/>
  <c r="K776" i="5" s="1"/>
  <c r="F776" i="5"/>
  <c r="G776" i="5"/>
  <c r="H776" i="5"/>
  <c r="I776" i="5" s="1"/>
  <c r="J776" i="5" s="1"/>
  <c r="E777" i="5"/>
  <c r="F777" i="5"/>
  <c r="G777" i="5" s="1"/>
  <c r="K777" i="5"/>
  <c r="E778" i="5"/>
  <c r="K778" i="5" s="1"/>
  <c r="F778" i="5"/>
  <c r="G778" i="5" s="1"/>
  <c r="E779" i="5"/>
  <c r="K779" i="5" s="1"/>
  <c r="F779" i="5"/>
  <c r="G779" i="5" s="1"/>
  <c r="E780" i="5"/>
  <c r="K780" i="5" s="1"/>
  <c r="F780" i="5"/>
  <c r="H780" i="5" s="1"/>
  <c r="I780" i="5" s="1"/>
  <c r="J780" i="5" s="1"/>
  <c r="E781" i="5"/>
  <c r="F781" i="5"/>
  <c r="G781" i="5" s="1"/>
  <c r="K781" i="5"/>
  <c r="E782" i="5"/>
  <c r="K782" i="5" s="1"/>
  <c r="F782" i="5"/>
  <c r="G782" i="5" s="1"/>
  <c r="E783" i="5"/>
  <c r="K783" i="5" s="1"/>
  <c r="F783" i="5"/>
  <c r="G783" i="5" s="1"/>
  <c r="E784" i="5"/>
  <c r="K784" i="5" s="1"/>
  <c r="F784" i="5"/>
  <c r="G784" i="5" s="1"/>
  <c r="E785" i="5"/>
  <c r="K785" i="5" s="1"/>
  <c r="F785" i="5"/>
  <c r="G785" i="5" s="1"/>
  <c r="E786" i="5"/>
  <c r="K786" i="5" s="1"/>
  <c r="F786" i="5"/>
  <c r="E787" i="5"/>
  <c r="K787" i="5" s="1"/>
  <c r="F787" i="5"/>
  <c r="H787" i="5" s="1"/>
  <c r="I787" i="5" s="1"/>
  <c r="J787" i="5" s="1"/>
  <c r="E788" i="5"/>
  <c r="K788" i="5" s="1"/>
  <c r="F788" i="5"/>
  <c r="G788" i="5" s="1"/>
  <c r="E789" i="5"/>
  <c r="K789" i="5" s="1"/>
  <c r="F789" i="5"/>
  <c r="G789" i="5" s="1"/>
  <c r="E790" i="5"/>
  <c r="K790" i="5" s="1"/>
  <c r="F790" i="5"/>
  <c r="G790" i="5" s="1"/>
  <c r="E791" i="5"/>
  <c r="K791" i="5" s="1"/>
  <c r="F791" i="5"/>
  <c r="H791" i="5" s="1"/>
  <c r="I791" i="5" s="1"/>
  <c r="J791" i="5" s="1"/>
  <c r="E792" i="5"/>
  <c r="K792" i="5" s="1"/>
  <c r="F792" i="5"/>
  <c r="G792" i="5" s="1"/>
  <c r="E793" i="5"/>
  <c r="K793" i="5" s="1"/>
  <c r="F793" i="5"/>
  <c r="E794" i="5"/>
  <c r="K794" i="5" s="1"/>
  <c r="F794" i="5"/>
  <c r="G794" i="5" s="1"/>
  <c r="E795" i="5"/>
  <c r="K795" i="5" s="1"/>
  <c r="F795" i="5"/>
  <c r="E796" i="5"/>
  <c r="K796" i="5" s="1"/>
  <c r="F796" i="5"/>
  <c r="H796" i="5" s="1"/>
  <c r="I796" i="5" s="1"/>
  <c r="J796" i="5" s="1"/>
  <c r="E797" i="5"/>
  <c r="K797" i="5" s="1"/>
  <c r="F797" i="5"/>
  <c r="H797" i="5" s="1"/>
  <c r="I797" i="5" s="1"/>
  <c r="J797" i="5" s="1"/>
  <c r="E798" i="5"/>
  <c r="K798" i="5" s="1"/>
  <c r="F798" i="5"/>
  <c r="G798" i="5" s="1"/>
  <c r="E799" i="5"/>
  <c r="K799" i="5" s="1"/>
  <c r="F799" i="5"/>
  <c r="G799" i="5" s="1"/>
  <c r="E800" i="5"/>
  <c r="K800" i="5" s="1"/>
  <c r="F800" i="5"/>
  <c r="G800" i="5"/>
  <c r="H800" i="5"/>
  <c r="I800" i="5" s="1"/>
  <c r="J800" i="5" s="1"/>
  <c r="E801" i="5"/>
  <c r="K801" i="5" s="1"/>
  <c r="F801" i="5"/>
  <c r="G801" i="5" s="1"/>
  <c r="E802" i="5"/>
  <c r="K802" i="5" s="1"/>
  <c r="F802" i="5"/>
  <c r="H802" i="5" s="1"/>
  <c r="I802" i="5" s="1"/>
  <c r="J802" i="5" s="1"/>
  <c r="E803" i="5"/>
  <c r="K803" i="5" s="1"/>
  <c r="F803" i="5"/>
  <c r="G803" i="5" s="1"/>
  <c r="E804" i="5"/>
  <c r="K804" i="5" s="1"/>
  <c r="F804" i="5"/>
  <c r="G804" i="5" s="1"/>
  <c r="E805" i="5"/>
  <c r="K805" i="5" s="1"/>
  <c r="F805" i="5"/>
  <c r="G805" i="5" s="1"/>
  <c r="E806" i="5"/>
  <c r="K806" i="5" s="1"/>
  <c r="F806" i="5"/>
  <c r="H806" i="5" s="1"/>
  <c r="I806" i="5" s="1"/>
  <c r="J806" i="5" s="1"/>
  <c r="E807" i="5"/>
  <c r="K807" i="5" s="1"/>
  <c r="F807" i="5"/>
  <c r="G807" i="5" s="1"/>
  <c r="E808" i="5"/>
  <c r="K808" i="5" s="1"/>
  <c r="F808" i="5"/>
  <c r="G808" i="5" s="1"/>
  <c r="E809" i="5"/>
  <c r="K809" i="5" s="1"/>
  <c r="F809" i="5"/>
  <c r="G809" i="5" s="1"/>
  <c r="E810" i="5"/>
  <c r="K810" i="5" s="1"/>
  <c r="F810" i="5"/>
  <c r="G810" i="5" s="1"/>
  <c r="E811" i="5"/>
  <c r="K811" i="5" s="1"/>
  <c r="F811" i="5"/>
  <c r="H811" i="5" s="1"/>
  <c r="I811" i="5" s="1"/>
  <c r="J811" i="5" s="1"/>
  <c r="E812" i="5"/>
  <c r="K812" i="5" s="1"/>
  <c r="F812" i="5"/>
  <c r="G812" i="5" s="1"/>
  <c r="E813" i="5"/>
  <c r="K813" i="5" s="1"/>
  <c r="F813" i="5"/>
  <c r="G813" i="5" s="1"/>
  <c r="E814" i="5"/>
  <c r="K814" i="5" s="1"/>
  <c r="F814" i="5"/>
  <c r="G814" i="5" s="1"/>
  <c r="E815" i="5"/>
  <c r="K815" i="5" s="1"/>
  <c r="F815" i="5"/>
  <c r="H815" i="5" s="1"/>
  <c r="I815" i="5" s="1"/>
  <c r="J815" i="5" s="1"/>
  <c r="G815" i="5"/>
  <c r="E816" i="5"/>
  <c r="K816" i="5" s="1"/>
  <c r="F816" i="5"/>
  <c r="E817" i="5"/>
  <c r="K817" i="5" s="1"/>
  <c r="F817" i="5"/>
  <c r="E818" i="5"/>
  <c r="K818" i="5" s="1"/>
  <c r="F818" i="5"/>
  <c r="G818" i="5" s="1"/>
  <c r="E819" i="5"/>
  <c r="K819" i="5" s="1"/>
  <c r="F819" i="5"/>
  <c r="H819" i="5" s="1"/>
  <c r="I819" i="5" s="1"/>
  <c r="J819" i="5" s="1"/>
  <c r="E820" i="5"/>
  <c r="K820" i="5" s="1"/>
  <c r="F820" i="5"/>
  <c r="E821" i="5"/>
  <c r="K821" i="5" s="1"/>
  <c r="F821" i="5"/>
  <c r="H821" i="5" s="1"/>
  <c r="I821" i="5" s="1"/>
  <c r="J821" i="5" s="1"/>
  <c r="E822" i="5"/>
  <c r="K822" i="5" s="1"/>
  <c r="F822" i="5"/>
  <c r="H822" i="5" s="1"/>
  <c r="I822" i="5" s="1"/>
  <c r="J822" i="5" s="1"/>
  <c r="E823" i="5"/>
  <c r="K823" i="5" s="1"/>
  <c r="F823" i="5"/>
  <c r="G823" i="5" s="1"/>
  <c r="H823" i="5"/>
  <c r="I823" i="5" s="1"/>
  <c r="J823" i="5" s="1"/>
  <c r="E824" i="5"/>
  <c r="K824" i="5" s="1"/>
  <c r="F824" i="5"/>
  <c r="E825" i="5"/>
  <c r="K825" i="5" s="1"/>
  <c r="F825" i="5"/>
  <c r="E826" i="5"/>
  <c r="K826" i="5" s="1"/>
  <c r="F826" i="5"/>
  <c r="G826" i="5" s="1"/>
  <c r="E827" i="5"/>
  <c r="K827" i="5" s="1"/>
  <c r="F827" i="5"/>
  <c r="H827" i="5" s="1"/>
  <c r="I827" i="5" s="1"/>
  <c r="J827" i="5" s="1"/>
  <c r="E828" i="5"/>
  <c r="K828" i="5" s="1"/>
  <c r="F828" i="5"/>
  <c r="G828" i="5" s="1"/>
  <c r="E829" i="5"/>
  <c r="K829" i="5" s="1"/>
  <c r="F829" i="5"/>
  <c r="G829" i="5" s="1"/>
  <c r="E830" i="5"/>
  <c r="K830" i="5" s="1"/>
  <c r="F830" i="5"/>
  <c r="G830" i="5" s="1"/>
  <c r="E831" i="5"/>
  <c r="K831" i="5" s="1"/>
  <c r="F831" i="5"/>
  <c r="G831" i="5" s="1"/>
  <c r="H831" i="5"/>
  <c r="I831" i="5" s="1"/>
  <c r="J831" i="5" s="1"/>
  <c r="E832" i="5"/>
  <c r="K832" i="5" s="1"/>
  <c r="F832" i="5"/>
  <c r="G832" i="5" s="1"/>
  <c r="E833" i="5"/>
  <c r="K833" i="5" s="1"/>
  <c r="F833" i="5"/>
  <c r="G833" i="5" s="1"/>
  <c r="H833" i="5"/>
  <c r="I833" i="5" s="1"/>
  <c r="J833" i="5" s="1"/>
  <c r="E834" i="5"/>
  <c r="K834" i="5" s="1"/>
  <c r="F834" i="5"/>
  <c r="G834" i="5" s="1"/>
  <c r="E835" i="5"/>
  <c r="K835" i="5" s="1"/>
  <c r="F835" i="5"/>
  <c r="G835" i="5" s="1"/>
  <c r="E836" i="5"/>
  <c r="K836" i="5" s="1"/>
  <c r="F836" i="5"/>
  <c r="H836" i="5" s="1"/>
  <c r="I836" i="5" s="1"/>
  <c r="J836" i="5" s="1"/>
  <c r="E837" i="5"/>
  <c r="K837" i="5" s="1"/>
  <c r="F837" i="5"/>
  <c r="G837" i="5" s="1"/>
  <c r="E838" i="5"/>
  <c r="F838" i="5"/>
  <c r="H838" i="5" s="1"/>
  <c r="I838" i="5" s="1"/>
  <c r="J838" i="5" s="1"/>
  <c r="G838" i="5"/>
  <c r="K838" i="5"/>
  <c r="E839" i="5"/>
  <c r="K839" i="5" s="1"/>
  <c r="F839" i="5"/>
  <c r="G839" i="5" s="1"/>
  <c r="E840" i="5"/>
  <c r="K840" i="5" s="1"/>
  <c r="F840" i="5"/>
  <c r="E841" i="5"/>
  <c r="K841" i="5" s="1"/>
  <c r="F841" i="5"/>
  <c r="H841" i="5" s="1"/>
  <c r="I841" i="5" s="1"/>
  <c r="J841" i="5" s="1"/>
  <c r="G841" i="5"/>
  <c r="E842" i="5"/>
  <c r="K842" i="5" s="1"/>
  <c r="F842" i="5"/>
  <c r="G842" i="5" s="1"/>
  <c r="E843" i="5"/>
  <c r="K843" i="5" s="1"/>
  <c r="F843" i="5"/>
  <c r="G843" i="5" s="1"/>
  <c r="E844" i="5"/>
  <c r="K844" i="5" s="1"/>
  <c r="F844" i="5"/>
  <c r="H844" i="5" s="1"/>
  <c r="I844" i="5" s="1"/>
  <c r="J844" i="5" s="1"/>
  <c r="E845" i="5"/>
  <c r="K845" i="5" s="1"/>
  <c r="F845" i="5"/>
  <c r="G845" i="5" s="1"/>
  <c r="E846" i="5"/>
  <c r="K846" i="5" s="1"/>
  <c r="F846" i="5"/>
  <c r="G846" i="5" s="1"/>
  <c r="E847" i="5"/>
  <c r="F847" i="5"/>
  <c r="H847" i="5" s="1"/>
  <c r="I847" i="5" s="1"/>
  <c r="J847" i="5" s="1"/>
  <c r="G847" i="5"/>
  <c r="K847" i="5"/>
  <c r="E848" i="5"/>
  <c r="K848" i="5" s="1"/>
  <c r="F848" i="5"/>
  <c r="G848" i="5" s="1"/>
  <c r="E849" i="5"/>
  <c r="K849" i="5" s="1"/>
  <c r="F849" i="5"/>
  <c r="H849" i="5" s="1"/>
  <c r="I849" i="5" s="1"/>
  <c r="J849" i="5" s="1"/>
  <c r="E850" i="5"/>
  <c r="K850" i="5" s="1"/>
  <c r="F850" i="5"/>
  <c r="G850" i="5" s="1"/>
  <c r="E851" i="5"/>
  <c r="K851" i="5" s="1"/>
  <c r="F851" i="5"/>
  <c r="G851" i="5" s="1"/>
  <c r="E852" i="5"/>
  <c r="K852" i="5" s="1"/>
  <c r="F852" i="5"/>
  <c r="G852" i="5" s="1"/>
  <c r="E853" i="5"/>
  <c r="F853" i="5"/>
  <c r="G853" i="5"/>
  <c r="H853" i="5"/>
  <c r="I853" i="5" s="1"/>
  <c r="J853" i="5" s="1"/>
  <c r="K853" i="5"/>
  <c r="E854" i="5"/>
  <c r="K854" i="5" s="1"/>
  <c r="F854" i="5"/>
  <c r="H854" i="5" s="1"/>
  <c r="I854" i="5"/>
  <c r="J854" i="5" s="1"/>
  <c r="E855" i="5"/>
  <c r="K855" i="5" s="1"/>
  <c r="F855" i="5"/>
  <c r="G855" i="5" s="1"/>
  <c r="E856" i="5"/>
  <c r="F856" i="5"/>
  <c r="G856" i="5" s="1"/>
  <c r="K856" i="5"/>
  <c r="E857" i="5"/>
  <c r="K857" i="5" s="1"/>
  <c r="F857" i="5"/>
  <c r="E858" i="5"/>
  <c r="K858" i="5" s="1"/>
  <c r="F858" i="5"/>
  <c r="G858" i="5" s="1"/>
  <c r="E859" i="5"/>
  <c r="K859" i="5" s="1"/>
  <c r="F859" i="5"/>
  <c r="H859" i="5" s="1"/>
  <c r="I859" i="5" s="1"/>
  <c r="J859" i="5" s="1"/>
  <c r="E860" i="5"/>
  <c r="K860" i="5" s="1"/>
  <c r="F860" i="5"/>
  <c r="G860" i="5" s="1"/>
  <c r="E861" i="5"/>
  <c r="K861" i="5" s="1"/>
  <c r="F861" i="5"/>
  <c r="G861" i="5" s="1"/>
  <c r="E862" i="5"/>
  <c r="K862" i="5" s="1"/>
  <c r="F862" i="5"/>
  <c r="H862" i="5" s="1"/>
  <c r="I862" i="5" s="1"/>
  <c r="J862" i="5" s="1"/>
  <c r="E863" i="5"/>
  <c r="K863" i="5" s="1"/>
  <c r="F863" i="5"/>
  <c r="G863" i="5" s="1"/>
  <c r="E864" i="5"/>
  <c r="K864" i="5" s="1"/>
  <c r="F864" i="5"/>
  <c r="G864" i="5" s="1"/>
  <c r="E865" i="5"/>
  <c r="K865" i="5" s="1"/>
  <c r="F865" i="5"/>
  <c r="H865" i="5" s="1"/>
  <c r="I865" i="5" s="1"/>
  <c r="J865" i="5" s="1"/>
  <c r="E866" i="5"/>
  <c r="F866" i="5"/>
  <c r="K866" i="5"/>
  <c r="E867" i="5"/>
  <c r="K867" i="5" s="1"/>
  <c r="F867" i="5"/>
  <c r="E868" i="5"/>
  <c r="K868" i="5" s="1"/>
  <c r="F868" i="5"/>
  <c r="G868" i="5" s="1"/>
  <c r="E869" i="5"/>
  <c r="K869" i="5" s="1"/>
  <c r="F869" i="5"/>
  <c r="G869" i="5" s="1"/>
  <c r="E870" i="5"/>
  <c r="K870" i="5" s="1"/>
  <c r="F870" i="5"/>
  <c r="H870" i="5" s="1"/>
  <c r="I870" i="5" s="1"/>
  <c r="J870" i="5" s="1"/>
  <c r="E871" i="5"/>
  <c r="K871" i="5" s="1"/>
  <c r="F871" i="5"/>
  <c r="G871" i="5" s="1"/>
  <c r="E872" i="5"/>
  <c r="F872" i="5"/>
  <c r="G872" i="5" s="1"/>
  <c r="H872" i="5"/>
  <c r="I872" i="5" s="1"/>
  <c r="J872" i="5" s="1"/>
  <c r="K872" i="5"/>
  <c r="E873" i="5"/>
  <c r="K873" i="5" s="1"/>
  <c r="F873" i="5"/>
  <c r="H873" i="5" s="1"/>
  <c r="I873" i="5" s="1"/>
  <c r="J873" i="5" s="1"/>
  <c r="E874" i="5"/>
  <c r="K874" i="5" s="1"/>
  <c r="F874" i="5"/>
  <c r="G874" i="5" s="1"/>
  <c r="H874" i="5"/>
  <c r="I874" i="5" s="1"/>
  <c r="J874" i="5" s="1"/>
  <c r="E875" i="5"/>
  <c r="K875" i="5" s="1"/>
  <c r="F875" i="5"/>
  <c r="G875" i="5" s="1"/>
  <c r="E876" i="5"/>
  <c r="K876" i="5" s="1"/>
  <c r="F876" i="5"/>
  <c r="H876" i="5" s="1"/>
  <c r="I876" i="5" s="1"/>
  <c r="J876" i="5" s="1"/>
  <c r="E877" i="5"/>
  <c r="K877" i="5" s="1"/>
  <c r="F877" i="5"/>
  <c r="E878" i="5"/>
  <c r="K878" i="5" s="1"/>
  <c r="F878" i="5"/>
  <c r="G878" i="5" s="1"/>
  <c r="E879" i="5"/>
  <c r="K879" i="5" s="1"/>
  <c r="F879" i="5"/>
  <c r="H879" i="5" s="1"/>
  <c r="I879" i="5" s="1"/>
  <c r="J879" i="5" s="1"/>
  <c r="G879" i="5"/>
  <c r="E880" i="5"/>
  <c r="K880" i="5" s="1"/>
  <c r="F880" i="5"/>
  <c r="H880" i="5" s="1"/>
  <c r="I880" i="5" s="1"/>
  <c r="J880" i="5" s="1"/>
  <c r="E881" i="5"/>
  <c r="K881" i="5" s="1"/>
  <c r="F881" i="5"/>
  <c r="G881" i="5" s="1"/>
  <c r="E882" i="5"/>
  <c r="K882" i="5" s="1"/>
  <c r="F882" i="5"/>
  <c r="G882" i="5" s="1"/>
  <c r="E883" i="5"/>
  <c r="K883" i="5" s="1"/>
  <c r="F883" i="5"/>
  <c r="G883" i="5" s="1"/>
  <c r="E884" i="5"/>
  <c r="K884" i="5" s="1"/>
  <c r="F884" i="5"/>
  <c r="G884" i="5" s="1"/>
  <c r="E885" i="5"/>
  <c r="K885" i="5" s="1"/>
  <c r="F885" i="5"/>
  <c r="G885" i="5" s="1"/>
  <c r="E886" i="5"/>
  <c r="K886" i="5" s="1"/>
  <c r="F886" i="5"/>
  <c r="H886" i="5" s="1"/>
  <c r="I886" i="5" s="1"/>
  <c r="J886" i="5" s="1"/>
  <c r="E887" i="5"/>
  <c r="K887" i="5" s="1"/>
  <c r="F887" i="5"/>
  <c r="G887" i="5" s="1"/>
  <c r="E888" i="5"/>
  <c r="K888" i="5" s="1"/>
  <c r="F888" i="5"/>
  <c r="G888" i="5" s="1"/>
  <c r="E889" i="5"/>
  <c r="K889" i="5" s="1"/>
  <c r="F889" i="5"/>
  <c r="G889" i="5" s="1"/>
  <c r="E890" i="5"/>
  <c r="K890" i="5" s="1"/>
  <c r="F890" i="5"/>
  <c r="H890" i="5" s="1"/>
  <c r="I890" i="5" s="1"/>
  <c r="J890" i="5" s="1"/>
  <c r="E891" i="5"/>
  <c r="K891" i="5" s="1"/>
  <c r="F891" i="5"/>
  <c r="H891" i="5" s="1"/>
  <c r="I891" i="5" s="1"/>
  <c r="J891" i="5" s="1"/>
  <c r="E892" i="5"/>
  <c r="K892" i="5" s="1"/>
  <c r="F892" i="5"/>
  <c r="E893" i="5"/>
  <c r="K893" i="5" s="1"/>
  <c r="F893" i="5"/>
  <c r="H893" i="5" s="1"/>
  <c r="I893" i="5" s="1"/>
  <c r="J893" i="5" s="1"/>
  <c r="E894" i="5"/>
  <c r="K894" i="5" s="1"/>
  <c r="F894" i="5"/>
  <c r="G894" i="5"/>
  <c r="H894" i="5"/>
  <c r="I894" i="5" s="1"/>
  <c r="J894" i="5" s="1"/>
  <c r="E895" i="5"/>
  <c r="K895" i="5" s="1"/>
  <c r="F895" i="5"/>
  <c r="G895" i="5" s="1"/>
  <c r="E896" i="5"/>
  <c r="K896" i="5" s="1"/>
  <c r="F896" i="5"/>
  <c r="G896" i="5" s="1"/>
  <c r="E897" i="5"/>
  <c r="F897" i="5"/>
  <c r="H897" i="5" s="1"/>
  <c r="I897" i="5" s="1"/>
  <c r="J897" i="5" s="1"/>
  <c r="K897" i="5"/>
  <c r="E898" i="5"/>
  <c r="K898" i="5" s="1"/>
  <c r="F898" i="5"/>
  <c r="H898" i="5" s="1"/>
  <c r="I898" i="5" s="1"/>
  <c r="J898" i="5" s="1"/>
  <c r="E899" i="5"/>
  <c r="K899" i="5" s="1"/>
  <c r="F899" i="5"/>
  <c r="G899" i="5" s="1"/>
  <c r="E900" i="5"/>
  <c r="K900" i="5" s="1"/>
  <c r="F900" i="5"/>
  <c r="G900" i="5" s="1"/>
  <c r="E901" i="5"/>
  <c r="K901" i="5" s="1"/>
  <c r="F901" i="5"/>
  <c r="G901" i="5" s="1"/>
  <c r="E902" i="5"/>
  <c r="K902" i="5" s="1"/>
  <c r="F902" i="5"/>
  <c r="G902" i="5" s="1"/>
  <c r="E903" i="5"/>
  <c r="K903" i="5" s="1"/>
  <c r="F903" i="5"/>
  <c r="G903" i="5" s="1"/>
  <c r="E904" i="5"/>
  <c r="K904" i="5" s="1"/>
  <c r="F904" i="5"/>
  <c r="G904" i="5" s="1"/>
  <c r="E905" i="5"/>
  <c r="K905" i="5" s="1"/>
  <c r="F905" i="5"/>
  <c r="G905" i="5" s="1"/>
  <c r="E906" i="5"/>
  <c r="K906" i="5" s="1"/>
  <c r="F906" i="5"/>
  <c r="G906" i="5" s="1"/>
  <c r="E907" i="5"/>
  <c r="K907" i="5" s="1"/>
  <c r="F907" i="5"/>
  <c r="H907" i="5" s="1"/>
  <c r="I907" i="5" s="1"/>
  <c r="J907" i="5" s="1"/>
  <c r="G907" i="5"/>
  <c r="E908" i="5"/>
  <c r="K908" i="5" s="1"/>
  <c r="F908" i="5"/>
  <c r="H908" i="5" s="1"/>
  <c r="I908" i="5" s="1"/>
  <c r="J908" i="5" s="1"/>
  <c r="G908" i="5"/>
  <c r="E909" i="5"/>
  <c r="K909" i="5" s="1"/>
  <c r="F909" i="5"/>
  <c r="G909" i="5" s="1"/>
  <c r="E910" i="5"/>
  <c r="K910" i="5" s="1"/>
  <c r="F910" i="5"/>
  <c r="H910" i="5" s="1"/>
  <c r="I910" i="5" s="1"/>
  <c r="J910" i="5" s="1"/>
  <c r="E911" i="5"/>
  <c r="K911" i="5" s="1"/>
  <c r="F911" i="5"/>
  <c r="H911" i="5" s="1"/>
  <c r="I911" i="5" s="1"/>
  <c r="J911" i="5" s="1"/>
  <c r="E912" i="5"/>
  <c r="K912" i="5" s="1"/>
  <c r="F912" i="5"/>
  <c r="G912" i="5" s="1"/>
  <c r="E913" i="5"/>
  <c r="K913" i="5" s="1"/>
  <c r="F913" i="5"/>
  <c r="H913" i="5" s="1"/>
  <c r="I913" i="5" s="1"/>
  <c r="J913" i="5" s="1"/>
  <c r="E914" i="5"/>
  <c r="K914" i="5" s="1"/>
  <c r="F914" i="5"/>
  <c r="G914" i="5" s="1"/>
  <c r="E915" i="5"/>
  <c r="K915" i="5" s="1"/>
  <c r="F915" i="5"/>
  <c r="H915" i="5" s="1"/>
  <c r="I915" i="5" s="1"/>
  <c r="J915" i="5" s="1"/>
  <c r="E916" i="5"/>
  <c r="K916" i="5" s="1"/>
  <c r="F916" i="5"/>
  <c r="E917" i="5"/>
  <c r="K917" i="5" s="1"/>
  <c r="F917" i="5"/>
  <c r="G917" i="5" s="1"/>
  <c r="E918" i="5"/>
  <c r="K918" i="5" s="1"/>
  <c r="F918" i="5"/>
  <c r="G918" i="5" s="1"/>
  <c r="E919" i="5"/>
  <c r="F919" i="5"/>
  <c r="H919" i="5" s="1"/>
  <c r="I919" i="5" s="1"/>
  <c r="J919" i="5" s="1"/>
  <c r="K919" i="5"/>
  <c r="E920" i="5"/>
  <c r="K920" i="5" s="1"/>
  <c r="F920" i="5"/>
  <c r="G920" i="5" s="1"/>
  <c r="E921" i="5"/>
  <c r="K921" i="5" s="1"/>
  <c r="F921" i="5"/>
  <c r="H921" i="5" s="1"/>
  <c r="I921" i="5" s="1"/>
  <c r="J921" i="5" s="1"/>
  <c r="E922" i="5"/>
  <c r="K922" i="5" s="1"/>
  <c r="F922" i="5"/>
  <c r="G922" i="5" s="1"/>
  <c r="E923" i="5"/>
  <c r="K923" i="5" s="1"/>
  <c r="F923" i="5"/>
  <c r="H923" i="5" s="1"/>
  <c r="I923" i="5" s="1"/>
  <c r="J923" i="5" s="1"/>
  <c r="E924" i="5"/>
  <c r="K924" i="5" s="1"/>
  <c r="F924" i="5"/>
  <c r="G924" i="5" s="1"/>
  <c r="E925" i="5"/>
  <c r="K925" i="5" s="1"/>
  <c r="F925" i="5"/>
  <c r="G925" i="5" s="1"/>
  <c r="E926" i="5"/>
  <c r="K926" i="5" s="1"/>
  <c r="F926" i="5"/>
  <c r="H926" i="5" s="1"/>
  <c r="I926" i="5" s="1"/>
  <c r="J926" i="5" s="1"/>
  <c r="E927" i="5"/>
  <c r="K927" i="5" s="1"/>
  <c r="F927" i="5"/>
  <c r="H927" i="5" s="1"/>
  <c r="I927" i="5" s="1"/>
  <c r="J927" i="5" s="1"/>
  <c r="E928" i="5"/>
  <c r="K928" i="5" s="1"/>
  <c r="F928" i="5"/>
  <c r="G928" i="5" s="1"/>
  <c r="E929" i="5"/>
  <c r="K929" i="5" s="1"/>
  <c r="F929" i="5"/>
  <c r="G929" i="5" s="1"/>
  <c r="E930" i="5"/>
  <c r="K930" i="5" s="1"/>
  <c r="F930" i="5"/>
  <c r="H930" i="5" s="1"/>
  <c r="I930" i="5" s="1"/>
  <c r="J930" i="5" s="1"/>
  <c r="E931" i="5"/>
  <c r="K931" i="5" s="1"/>
  <c r="F931" i="5"/>
  <c r="E932" i="5"/>
  <c r="K932" i="5" s="1"/>
  <c r="F932" i="5"/>
  <c r="E933" i="5"/>
  <c r="K933" i="5" s="1"/>
  <c r="F933" i="5"/>
  <c r="G933" i="5" s="1"/>
  <c r="E934" i="5"/>
  <c r="K934" i="5" s="1"/>
  <c r="F934" i="5"/>
  <c r="G934" i="5" s="1"/>
  <c r="E935" i="5"/>
  <c r="K935" i="5" s="1"/>
  <c r="F935" i="5"/>
  <c r="G935" i="5" s="1"/>
  <c r="H935" i="5"/>
  <c r="I935" i="5" s="1"/>
  <c r="J935" i="5" s="1"/>
  <c r="E936" i="5"/>
  <c r="K936" i="5" s="1"/>
  <c r="F936" i="5"/>
  <c r="E937" i="5"/>
  <c r="K937" i="5" s="1"/>
  <c r="F937" i="5"/>
  <c r="G937" i="5" s="1"/>
  <c r="E938" i="5"/>
  <c r="F938" i="5"/>
  <c r="G938" i="5" s="1"/>
  <c r="K938" i="5"/>
  <c r="E939" i="5"/>
  <c r="K939" i="5" s="1"/>
  <c r="F939" i="5"/>
  <c r="H939" i="5" s="1"/>
  <c r="I939" i="5" s="1"/>
  <c r="J939" i="5" s="1"/>
  <c r="E940" i="5"/>
  <c r="K940" i="5" s="1"/>
  <c r="F940" i="5"/>
  <c r="H940" i="5" s="1"/>
  <c r="I940" i="5" s="1"/>
  <c r="J940" i="5" s="1"/>
  <c r="E941" i="5"/>
  <c r="K941" i="5" s="1"/>
  <c r="F941" i="5"/>
  <c r="G941" i="5" s="1"/>
  <c r="E942" i="5"/>
  <c r="K942" i="5" s="1"/>
  <c r="F942" i="5"/>
  <c r="G942" i="5" s="1"/>
  <c r="E943" i="5"/>
  <c r="K943" i="5" s="1"/>
  <c r="F943" i="5"/>
  <c r="E944" i="5"/>
  <c r="K944" i="5" s="1"/>
  <c r="F944" i="5"/>
  <c r="G944" i="5" s="1"/>
  <c r="E945" i="5"/>
  <c r="K945" i="5" s="1"/>
  <c r="F945" i="5"/>
  <c r="H945" i="5" s="1"/>
  <c r="I945" i="5" s="1"/>
  <c r="J945" i="5" s="1"/>
  <c r="G945" i="5"/>
  <c r="E946" i="5"/>
  <c r="K946" i="5" s="1"/>
  <c r="F946" i="5"/>
  <c r="E947" i="5"/>
  <c r="K947" i="5" s="1"/>
  <c r="F947" i="5"/>
  <c r="G947" i="5" s="1"/>
  <c r="E948" i="5"/>
  <c r="K948" i="5" s="1"/>
  <c r="F948" i="5"/>
  <c r="G948" i="5" s="1"/>
  <c r="E949" i="5"/>
  <c r="K949" i="5" s="1"/>
  <c r="F949" i="5"/>
  <c r="G949" i="5" s="1"/>
  <c r="H949" i="5"/>
  <c r="I949" i="5" s="1"/>
  <c r="J949" i="5" s="1"/>
  <c r="E950" i="5"/>
  <c r="K950" i="5" s="1"/>
  <c r="F950" i="5"/>
  <c r="H950" i="5" s="1"/>
  <c r="I950" i="5" s="1"/>
  <c r="J950" i="5" s="1"/>
  <c r="E951" i="5"/>
  <c r="K951" i="5" s="1"/>
  <c r="F951" i="5"/>
  <c r="G951" i="5" s="1"/>
  <c r="H951" i="5"/>
  <c r="I951" i="5" s="1"/>
  <c r="J951" i="5" s="1"/>
  <c r="E952" i="5"/>
  <c r="K952" i="5" s="1"/>
  <c r="F952" i="5"/>
  <c r="G952" i="5" s="1"/>
  <c r="E953" i="5"/>
  <c r="K953" i="5" s="1"/>
  <c r="F953" i="5"/>
  <c r="G953" i="5" s="1"/>
  <c r="E954" i="5"/>
  <c r="K954" i="5" s="1"/>
  <c r="F954" i="5"/>
  <c r="G954" i="5" s="1"/>
  <c r="E955" i="5"/>
  <c r="K955" i="5" s="1"/>
  <c r="F955" i="5"/>
  <c r="G955" i="5" s="1"/>
  <c r="E956" i="5"/>
  <c r="K956" i="5" s="1"/>
  <c r="F956" i="5"/>
  <c r="E957" i="5"/>
  <c r="K957" i="5" s="1"/>
  <c r="F957" i="5"/>
  <c r="G957" i="5" s="1"/>
  <c r="E958" i="5"/>
  <c r="K958" i="5" s="1"/>
  <c r="F958" i="5"/>
  <c r="G958" i="5" s="1"/>
  <c r="E959" i="5"/>
  <c r="F959" i="5"/>
  <c r="H959" i="5" s="1"/>
  <c r="I959" i="5" s="1"/>
  <c r="J959" i="5" s="1"/>
  <c r="G959" i="5"/>
  <c r="K959" i="5"/>
  <c r="E960" i="5"/>
  <c r="K960" i="5" s="1"/>
  <c r="F960" i="5"/>
  <c r="G960" i="5" s="1"/>
  <c r="E961" i="5"/>
  <c r="K961" i="5" s="1"/>
  <c r="F961" i="5"/>
  <c r="E962" i="5"/>
  <c r="K962" i="5" s="1"/>
  <c r="F962" i="5"/>
  <c r="G962" i="5" s="1"/>
  <c r="E963" i="5"/>
  <c r="K963" i="5" s="1"/>
  <c r="F963" i="5"/>
  <c r="H963" i="5" s="1"/>
  <c r="I963" i="5" s="1"/>
  <c r="J963" i="5" s="1"/>
  <c r="G963" i="5"/>
  <c r="E964" i="5"/>
  <c r="K964" i="5" s="1"/>
  <c r="F964" i="5"/>
  <c r="G964" i="5" s="1"/>
  <c r="E965" i="5"/>
  <c r="K965" i="5" s="1"/>
  <c r="F965" i="5"/>
  <c r="G965" i="5" s="1"/>
  <c r="E966" i="5"/>
  <c r="K966" i="5" s="1"/>
  <c r="F966" i="5"/>
  <c r="G966" i="5" s="1"/>
  <c r="H966" i="5"/>
  <c r="I966" i="5" s="1"/>
  <c r="J966" i="5" s="1"/>
  <c r="E967" i="5"/>
  <c r="K967" i="5" s="1"/>
  <c r="F967" i="5"/>
  <c r="G967" i="5" s="1"/>
  <c r="H967" i="5"/>
  <c r="I967" i="5" s="1"/>
  <c r="J967" i="5" s="1"/>
  <c r="E968" i="5"/>
  <c r="K968" i="5" s="1"/>
  <c r="F968" i="5"/>
  <c r="E969" i="5"/>
  <c r="K969" i="5" s="1"/>
  <c r="F969" i="5"/>
  <c r="G969" i="5" s="1"/>
  <c r="E970" i="5"/>
  <c r="K970" i="5" s="1"/>
  <c r="F970" i="5"/>
  <c r="G970" i="5" s="1"/>
  <c r="E971" i="5"/>
  <c r="F971" i="5"/>
  <c r="H971" i="5" s="1"/>
  <c r="I971" i="5" s="1"/>
  <c r="J971" i="5" s="1"/>
  <c r="K971" i="5"/>
  <c r="E972" i="5"/>
  <c r="K972" i="5" s="1"/>
  <c r="F972" i="5"/>
  <c r="H972" i="5" s="1"/>
  <c r="I972" i="5" s="1"/>
  <c r="J972" i="5" s="1"/>
  <c r="E973" i="5"/>
  <c r="K973" i="5" s="1"/>
  <c r="F973" i="5"/>
  <c r="E974" i="5"/>
  <c r="K974" i="5" s="1"/>
  <c r="F974" i="5"/>
  <c r="G974" i="5" s="1"/>
  <c r="E975" i="5"/>
  <c r="K975" i="5" s="1"/>
  <c r="F975" i="5"/>
  <c r="G975" i="5" s="1"/>
  <c r="E976" i="5"/>
  <c r="K976" i="5" s="1"/>
  <c r="F976" i="5"/>
  <c r="G976" i="5" s="1"/>
  <c r="E977" i="5"/>
  <c r="F977" i="5"/>
  <c r="G977" i="5" s="1"/>
  <c r="K977" i="5"/>
  <c r="E978" i="5"/>
  <c r="K978" i="5" s="1"/>
  <c r="F978" i="5"/>
  <c r="E979" i="5"/>
  <c r="K979" i="5" s="1"/>
  <c r="F979" i="5"/>
  <c r="G979" i="5" s="1"/>
  <c r="E980" i="5"/>
  <c r="K980" i="5" s="1"/>
  <c r="F980" i="5"/>
  <c r="G980" i="5" s="1"/>
  <c r="E981" i="5"/>
  <c r="F981" i="5"/>
  <c r="G981" i="5" s="1"/>
  <c r="H981" i="5"/>
  <c r="I981" i="5" s="1"/>
  <c r="J981" i="5" s="1"/>
  <c r="K981" i="5"/>
  <c r="E982" i="5"/>
  <c r="F982" i="5"/>
  <c r="G982" i="5" s="1"/>
  <c r="K982" i="5"/>
  <c r="E983" i="5"/>
  <c r="K983" i="5" s="1"/>
  <c r="F983" i="5"/>
  <c r="H983" i="5" s="1"/>
  <c r="I983" i="5" s="1"/>
  <c r="J983" i="5" s="1"/>
  <c r="E984" i="5"/>
  <c r="K984" i="5" s="1"/>
  <c r="F984" i="5"/>
  <c r="H984" i="5" s="1"/>
  <c r="I984" i="5" s="1"/>
  <c r="J984" i="5" s="1"/>
  <c r="E985" i="5"/>
  <c r="K985" i="5" s="1"/>
  <c r="F985" i="5"/>
  <c r="H985" i="5" s="1"/>
  <c r="I985" i="5"/>
  <c r="J985" i="5" s="1"/>
  <c r="E986" i="5"/>
  <c r="K986" i="5" s="1"/>
  <c r="F986" i="5"/>
  <c r="G986" i="5" s="1"/>
  <c r="E987" i="5"/>
  <c r="K987" i="5" s="1"/>
  <c r="F987" i="5"/>
  <c r="H987" i="5" s="1"/>
  <c r="I987" i="5" s="1"/>
  <c r="J987" i="5" s="1"/>
  <c r="E988" i="5"/>
  <c r="K988" i="5" s="1"/>
  <c r="F988" i="5"/>
  <c r="G988" i="5" s="1"/>
  <c r="E989" i="5"/>
  <c r="K989" i="5" s="1"/>
  <c r="F989" i="5"/>
  <c r="G989" i="5" s="1"/>
  <c r="E990" i="5"/>
  <c r="F990" i="5"/>
  <c r="G990" i="5"/>
  <c r="H990" i="5"/>
  <c r="I990" i="5" s="1"/>
  <c r="J990" i="5" s="1"/>
  <c r="K990" i="5"/>
  <c r="E991" i="5"/>
  <c r="K991" i="5" s="1"/>
  <c r="F991" i="5"/>
  <c r="E992" i="5"/>
  <c r="K992" i="5" s="1"/>
  <c r="F992" i="5"/>
  <c r="G992" i="5" s="1"/>
  <c r="E993" i="5"/>
  <c r="K993" i="5" s="1"/>
  <c r="F993" i="5"/>
  <c r="G993" i="5" s="1"/>
  <c r="E994" i="5"/>
  <c r="K994" i="5" s="1"/>
  <c r="F994" i="5"/>
  <c r="G994" i="5" s="1"/>
  <c r="E995" i="5"/>
  <c r="K995" i="5" s="1"/>
  <c r="F995" i="5"/>
  <c r="E996" i="5"/>
  <c r="K996" i="5" s="1"/>
  <c r="F996" i="5"/>
  <c r="G996" i="5" s="1"/>
  <c r="E997" i="5"/>
  <c r="K997" i="5" s="1"/>
  <c r="F997" i="5"/>
  <c r="E998" i="5"/>
  <c r="F998" i="5"/>
  <c r="G998" i="5" s="1"/>
  <c r="K998" i="5"/>
  <c r="E999" i="5"/>
  <c r="K999" i="5" s="1"/>
  <c r="F999" i="5"/>
  <c r="E1000" i="5"/>
  <c r="F1000" i="5"/>
  <c r="H1000" i="5" s="1"/>
  <c r="I1000" i="5" s="1"/>
  <c r="J1000" i="5" s="1"/>
  <c r="K1000" i="5"/>
  <c r="E1001" i="5"/>
  <c r="K1001" i="5" s="1"/>
  <c r="F1001" i="5"/>
  <c r="G1001" i="5" s="1"/>
  <c r="E1002" i="5"/>
  <c r="K1002" i="5" s="1"/>
  <c r="F1002" i="5"/>
  <c r="G1002" i="5" s="1"/>
  <c r="E1003" i="5"/>
  <c r="K1003" i="5" s="1"/>
  <c r="F1003" i="5"/>
  <c r="H1003" i="5" s="1"/>
  <c r="I1003" i="5" s="1"/>
  <c r="J1003" i="5" s="1"/>
  <c r="E1004" i="5"/>
  <c r="K1004" i="5" s="1"/>
  <c r="F1004" i="5"/>
  <c r="H1004" i="5" s="1"/>
  <c r="I1004" i="5" s="1"/>
  <c r="J1004" i="5" s="1"/>
  <c r="E1005" i="5"/>
  <c r="K1005" i="5" s="1"/>
  <c r="F1005" i="5"/>
  <c r="G1005" i="5" s="1"/>
  <c r="E1006" i="5"/>
  <c r="K1006" i="5" s="1"/>
  <c r="F1006" i="5"/>
  <c r="E1007" i="5"/>
  <c r="K1007" i="5" s="1"/>
  <c r="F1007" i="5"/>
  <c r="G1007" i="5" s="1"/>
  <c r="E1008" i="5"/>
  <c r="K1008" i="5" s="1"/>
  <c r="F1008" i="5"/>
  <c r="G1008" i="5" s="1"/>
  <c r="E1009" i="5"/>
  <c r="K1009" i="5" s="1"/>
  <c r="F1009" i="5"/>
  <c r="E1010" i="5"/>
  <c r="K1010" i="5" s="1"/>
  <c r="F1010" i="5"/>
  <c r="G1010" i="5" s="1"/>
  <c r="E1011" i="5"/>
  <c r="K1011" i="5" s="1"/>
  <c r="F1011" i="5"/>
  <c r="G1011" i="5"/>
  <c r="H1011" i="5"/>
  <c r="I1011" i="5" s="1"/>
  <c r="J1011" i="5" s="1"/>
  <c r="E1012" i="5"/>
  <c r="K1012" i="5" s="1"/>
  <c r="F1012" i="5"/>
  <c r="G1012" i="5" s="1"/>
  <c r="E1013" i="5"/>
  <c r="K1013" i="5" s="1"/>
  <c r="F1013" i="5"/>
  <c r="H1013" i="5" s="1"/>
  <c r="I1013" i="5" s="1"/>
  <c r="J1013" i="5" s="1"/>
  <c r="E1014" i="5"/>
  <c r="K1014" i="5" s="1"/>
  <c r="F1014" i="5"/>
  <c r="H1014" i="5" s="1"/>
  <c r="I1014" i="5" s="1"/>
  <c r="J1014" i="5" s="1"/>
  <c r="E1015" i="5"/>
  <c r="K1015" i="5" s="1"/>
  <c r="F1015" i="5"/>
  <c r="E1016" i="5"/>
  <c r="K1016" i="5" s="1"/>
  <c r="F1016" i="5"/>
  <c r="G1016" i="5" s="1"/>
  <c r="E1017" i="5"/>
  <c r="K1017" i="5" s="1"/>
  <c r="F1017" i="5"/>
  <c r="E1018" i="5"/>
  <c r="K1018" i="5" s="1"/>
  <c r="F1018" i="5"/>
  <c r="G1018" i="5" s="1"/>
  <c r="E1019" i="5"/>
  <c r="K1019" i="5" s="1"/>
  <c r="F1019" i="5"/>
  <c r="E1020" i="5"/>
  <c r="K1020" i="5" s="1"/>
  <c r="F1020" i="5"/>
  <c r="G1020" i="5" s="1"/>
  <c r="E1021" i="5"/>
  <c r="F1021" i="5"/>
  <c r="G1021" i="5" s="1"/>
  <c r="K1021" i="5"/>
  <c r="E1022" i="5"/>
  <c r="K1022" i="5" s="1"/>
  <c r="F1022" i="5"/>
  <c r="G1022" i="5" s="1"/>
  <c r="E1023" i="5"/>
  <c r="K1023" i="5" s="1"/>
  <c r="F1023" i="5"/>
  <c r="H1023" i="5" s="1"/>
  <c r="I1023" i="5" s="1"/>
  <c r="J1023" i="5" s="1"/>
  <c r="E1024" i="5"/>
  <c r="K1024" i="5" s="1"/>
  <c r="F1024" i="5"/>
  <c r="H1024" i="5" s="1"/>
  <c r="I1024" i="5" s="1"/>
  <c r="J1024" i="5" s="1"/>
  <c r="G1024" i="5"/>
  <c r="E1025" i="5"/>
  <c r="K1025" i="5" s="1"/>
  <c r="F1025" i="5"/>
  <c r="G1025" i="5" s="1"/>
  <c r="E1026" i="5"/>
  <c r="F1026" i="5"/>
  <c r="G1026" i="5" s="1"/>
  <c r="K1026" i="5"/>
  <c r="E1027" i="5"/>
  <c r="K1027" i="5" s="1"/>
  <c r="F1027" i="5"/>
  <c r="G1027" i="5"/>
  <c r="H1027" i="5"/>
  <c r="I1027" i="5" s="1"/>
  <c r="J1027" i="5" s="1"/>
  <c r="E1028" i="5"/>
  <c r="F1028" i="5"/>
  <c r="H1028" i="5" s="1"/>
  <c r="I1028" i="5" s="1"/>
  <c r="J1028" i="5" s="1"/>
  <c r="K1028" i="5"/>
  <c r="E1029" i="5"/>
  <c r="K1029" i="5" s="1"/>
  <c r="F1029" i="5"/>
  <c r="E1030" i="5"/>
  <c r="K1030" i="5" s="1"/>
  <c r="F1030" i="5"/>
  <c r="H1030" i="5" s="1"/>
  <c r="I1030" i="5" s="1"/>
  <c r="J1030" i="5" s="1"/>
  <c r="E1031" i="5"/>
  <c r="K1031" i="5" s="1"/>
  <c r="F1031" i="5"/>
  <c r="G1031" i="5" s="1"/>
  <c r="H1031" i="5"/>
  <c r="I1031" i="5" s="1"/>
  <c r="J1031" i="5" s="1"/>
  <c r="E1032" i="5"/>
  <c r="K1032" i="5" s="1"/>
  <c r="F1032" i="5"/>
  <c r="G1032" i="5" s="1"/>
  <c r="E1033" i="5"/>
  <c r="K1033" i="5" s="1"/>
  <c r="F1033" i="5"/>
  <c r="E1034" i="5"/>
  <c r="K1034" i="5" s="1"/>
  <c r="F1034" i="5"/>
  <c r="E1035" i="5"/>
  <c r="K1035" i="5" s="1"/>
  <c r="F1035" i="5"/>
  <c r="G1035" i="5" s="1"/>
  <c r="E1036" i="5"/>
  <c r="K1036" i="5" s="1"/>
  <c r="F1036" i="5"/>
  <c r="H1036" i="5" s="1"/>
  <c r="I1036" i="5" s="1"/>
  <c r="J1036" i="5" s="1"/>
  <c r="E1037" i="5"/>
  <c r="K1037" i="5" s="1"/>
  <c r="F1037" i="5"/>
  <c r="G1037" i="5" s="1"/>
  <c r="E1038" i="5"/>
  <c r="K1038" i="5" s="1"/>
  <c r="F1038" i="5"/>
  <c r="H1038" i="5" s="1"/>
  <c r="I1038" i="5" s="1"/>
  <c r="J1038" i="5" s="1"/>
  <c r="E1039" i="5"/>
  <c r="K1039" i="5" s="1"/>
  <c r="F1039" i="5"/>
  <c r="G1039" i="5" s="1"/>
  <c r="E1040" i="5"/>
  <c r="K1040" i="5" s="1"/>
  <c r="F1040" i="5"/>
  <c r="G1040" i="5" s="1"/>
  <c r="E1041" i="5"/>
  <c r="K1041" i="5" s="1"/>
  <c r="F1041" i="5"/>
  <c r="E1042" i="5"/>
  <c r="F1042" i="5"/>
  <c r="H1042" i="5" s="1"/>
  <c r="I1042" i="5" s="1"/>
  <c r="J1042" i="5" s="1"/>
  <c r="K1042" i="5"/>
  <c r="E1043" i="5"/>
  <c r="K1043" i="5" s="1"/>
  <c r="F1043" i="5"/>
  <c r="H1043" i="5" s="1"/>
  <c r="I1043" i="5" s="1"/>
  <c r="J1043" i="5" s="1"/>
  <c r="E1044" i="5"/>
  <c r="K1044" i="5" s="1"/>
  <c r="F1044" i="5"/>
  <c r="H1044" i="5" s="1"/>
  <c r="I1044" i="5" s="1"/>
  <c r="J1044" i="5" s="1"/>
  <c r="G1044" i="5"/>
  <c r="E1045" i="5"/>
  <c r="K1045" i="5" s="1"/>
  <c r="F1045" i="5"/>
  <c r="G1045" i="5" s="1"/>
  <c r="E1046" i="5"/>
  <c r="K1046" i="5" s="1"/>
  <c r="F1046" i="5"/>
  <c r="G1046" i="5" s="1"/>
  <c r="E1047" i="5"/>
  <c r="K1047" i="5" s="1"/>
  <c r="F1047" i="5"/>
  <c r="E1048" i="5"/>
  <c r="F1048" i="5"/>
  <c r="G1048" i="5" s="1"/>
  <c r="H1048" i="5"/>
  <c r="I1048" i="5" s="1"/>
  <c r="J1048" i="5" s="1"/>
  <c r="K1048" i="5"/>
  <c r="E1049" i="5"/>
  <c r="K1049" i="5" s="1"/>
  <c r="F1049" i="5"/>
  <c r="H1049" i="5" s="1"/>
  <c r="I1049" i="5" s="1"/>
  <c r="J1049" i="5" s="1"/>
  <c r="E1050" i="5"/>
  <c r="K1050" i="5" s="1"/>
  <c r="F1050" i="5"/>
  <c r="G1050" i="5" s="1"/>
  <c r="E1051" i="5"/>
  <c r="K1051" i="5" s="1"/>
  <c r="F1051" i="5"/>
  <c r="H1051" i="5" s="1"/>
  <c r="I1051" i="5" s="1"/>
  <c r="J1051" i="5" s="1"/>
  <c r="E1052" i="5"/>
  <c r="K1052" i="5" s="1"/>
  <c r="F1052" i="5"/>
  <c r="H1052" i="5" s="1"/>
  <c r="I1052" i="5" s="1"/>
  <c r="J1052" i="5" s="1"/>
  <c r="E1053" i="5"/>
  <c r="K1053" i="5" s="1"/>
  <c r="F1053" i="5"/>
  <c r="G1053" i="5" s="1"/>
  <c r="E1054" i="5"/>
  <c r="K1054" i="5" s="1"/>
  <c r="F1054" i="5"/>
  <c r="G1054" i="5" s="1"/>
  <c r="E1055" i="5"/>
  <c r="K1055" i="5" s="1"/>
  <c r="F1055" i="5"/>
  <c r="G1055" i="5" s="1"/>
  <c r="E1056" i="5"/>
  <c r="K1056" i="5" s="1"/>
  <c r="F1056" i="5"/>
  <c r="E1057" i="5"/>
  <c r="K1057" i="5" s="1"/>
  <c r="F1057" i="5"/>
  <c r="E1058" i="5"/>
  <c r="K1058" i="5" s="1"/>
  <c r="F1058" i="5"/>
  <c r="G1058" i="5" s="1"/>
  <c r="E1059" i="5"/>
  <c r="K1059" i="5" s="1"/>
  <c r="F1059" i="5"/>
  <c r="E1060" i="5"/>
  <c r="F1060" i="5"/>
  <c r="H1060" i="5" s="1"/>
  <c r="I1060" i="5" s="1"/>
  <c r="J1060" i="5" s="1"/>
  <c r="K1060" i="5"/>
  <c r="E1061" i="5"/>
  <c r="K1061" i="5" s="1"/>
  <c r="F1061" i="5"/>
  <c r="E1062" i="5"/>
  <c r="K1062" i="5" s="1"/>
  <c r="F1062" i="5"/>
  <c r="G1062" i="5" s="1"/>
  <c r="H1062" i="5"/>
  <c r="I1062" i="5" s="1"/>
  <c r="J1062" i="5" s="1"/>
  <c r="E1063" i="5"/>
  <c r="K1063" i="5" s="1"/>
  <c r="F1063" i="5"/>
  <c r="H1063" i="5" s="1"/>
  <c r="I1063" i="5" s="1"/>
  <c r="J1063" i="5" s="1"/>
  <c r="E1064" i="5"/>
  <c r="K1064" i="5" s="1"/>
  <c r="F1064" i="5"/>
  <c r="G1064" i="5" s="1"/>
  <c r="E1065" i="5"/>
  <c r="K1065" i="5" s="1"/>
  <c r="F1065" i="5"/>
  <c r="G1065" i="5" s="1"/>
  <c r="E1066" i="5"/>
  <c r="K1066" i="5" s="1"/>
  <c r="F1066" i="5"/>
  <c r="E1067" i="5"/>
  <c r="K1067" i="5" s="1"/>
  <c r="F1067" i="5"/>
  <c r="G1067" i="5" s="1"/>
  <c r="E1068" i="5"/>
  <c r="F1068" i="5"/>
  <c r="H1068" i="5" s="1"/>
  <c r="I1068" i="5" s="1"/>
  <c r="J1068" i="5" s="1"/>
  <c r="K1068" i="5"/>
  <c r="E1069" i="5"/>
  <c r="F1069" i="5"/>
  <c r="G1069" i="5" s="1"/>
  <c r="K1069" i="5"/>
  <c r="E1070" i="5"/>
  <c r="K1070" i="5" s="1"/>
  <c r="F1070" i="5"/>
  <c r="H1070" i="5" s="1"/>
  <c r="I1070" i="5" s="1"/>
  <c r="J1070" i="5" s="1"/>
  <c r="E1071" i="5"/>
  <c r="K1071" i="5" s="1"/>
  <c r="F1071" i="5"/>
  <c r="G1071" i="5" s="1"/>
  <c r="E1072" i="5"/>
  <c r="K1072" i="5" s="1"/>
  <c r="F1072" i="5"/>
  <c r="E1073" i="5"/>
  <c r="F1073" i="5"/>
  <c r="H1073" i="5" s="1"/>
  <c r="I1073" i="5" s="1"/>
  <c r="J1073" i="5" s="1"/>
  <c r="G1073" i="5"/>
  <c r="K1073" i="5"/>
  <c r="E1074" i="5"/>
  <c r="K1074" i="5" s="1"/>
  <c r="F1074" i="5"/>
  <c r="E1075" i="5"/>
  <c r="F1075" i="5"/>
  <c r="H1075" i="5" s="1"/>
  <c r="I1075" i="5" s="1"/>
  <c r="J1075" i="5" s="1"/>
  <c r="K1075" i="5"/>
  <c r="E1076" i="5"/>
  <c r="K1076" i="5" s="1"/>
  <c r="F1076" i="5"/>
  <c r="G1076" i="5" s="1"/>
  <c r="E1077" i="5"/>
  <c r="K1077" i="5" s="1"/>
  <c r="F1077" i="5"/>
  <c r="H1077" i="5" s="1"/>
  <c r="I1077" i="5" s="1"/>
  <c r="J1077" i="5" s="1"/>
  <c r="G1077" i="5"/>
  <c r="E1078" i="5"/>
  <c r="F1078" i="5"/>
  <c r="H1078" i="5" s="1"/>
  <c r="I1078" i="5" s="1"/>
  <c r="J1078" i="5" s="1"/>
  <c r="K1078" i="5"/>
  <c r="E1079" i="5"/>
  <c r="K1079" i="5" s="1"/>
  <c r="F1079" i="5"/>
  <c r="H1079" i="5" s="1"/>
  <c r="I1079" i="5" s="1"/>
  <c r="J1079" i="5" s="1"/>
  <c r="E1080" i="5"/>
  <c r="K1080" i="5" s="1"/>
  <c r="F1080" i="5"/>
  <c r="G1080" i="5" s="1"/>
  <c r="E1081" i="5"/>
  <c r="K1081" i="5" s="1"/>
  <c r="F1081" i="5"/>
  <c r="G1081" i="5" s="1"/>
  <c r="E1082" i="5"/>
  <c r="K1082" i="5" s="1"/>
  <c r="F1082" i="5"/>
  <c r="G1082" i="5" s="1"/>
  <c r="E1083" i="5"/>
  <c r="K1083" i="5" s="1"/>
  <c r="F1083" i="5"/>
  <c r="G1083" i="5" s="1"/>
  <c r="E1084" i="5"/>
  <c r="K1084" i="5" s="1"/>
  <c r="F1084" i="5"/>
  <c r="G1084" i="5" s="1"/>
  <c r="E1085" i="5"/>
  <c r="K1085" i="5" s="1"/>
  <c r="F1085" i="5"/>
  <c r="H1085" i="5" s="1"/>
  <c r="I1085" i="5" s="1"/>
  <c r="J1085" i="5" s="1"/>
  <c r="E1086" i="5"/>
  <c r="K1086" i="5" s="1"/>
  <c r="F1086" i="5"/>
  <c r="E1087" i="5"/>
  <c r="K1087" i="5" s="1"/>
  <c r="F1087" i="5"/>
  <c r="H1087" i="5" s="1"/>
  <c r="I1087" i="5" s="1"/>
  <c r="J1087" i="5" s="1"/>
  <c r="G1087" i="5"/>
  <c r="E1088" i="5"/>
  <c r="K1088" i="5" s="1"/>
  <c r="F1088" i="5"/>
  <c r="H1088" i="5" s="1"/>
  <c r="I1088" i="5" s="1"/>
  <c r="J1088" i="5" s="1"/>
  <c r="E1089" i="5"/>
  <c r="K1089" i="5" s="1"/>
  <c r="F1089" i="5"/>
  <c r="E1090" i="5"/>
  <c r="K1090" i="5" s="1"/>
  <c r="F1090" i="5"/>
  <c r="G1090" i="5" s="1"/>
  <c r="E1091" i="5"/>
  <c r="K1091" i="5" s="1"/>
  <c r="F1091" i="5"/>
  <c r="H1091" i="5" s="1"/>
  <c r="I1091" i="5" s="1"/>
  <c r="J1091" i="5" s="1"/>
  <c r="E1092" i="5"/>
  <c r="K1092" i="5" s="1"/>
  <c r="F1092" i="5"/>
  <c r="E1093" i="5"/>
  <c r="K1093" i="5" s="1"/>
  <c r="F1093" i="5"/>
  <c r="E1094" i="5"/>
  <c r="K1094" i="5" s="1"/>
  <c r="F1094" i="5"/>
  <c r="G1094" i="5"/>
  <c r="H1094" i="5"/>
  <c r="I1094" i="5" s="1"/>
  <c r="J1094" i="5" s="1"/>
  <c r="E1095" i="5"/>
  <c r="K1095" i="5" s="1"/>
  <c r="F1095" i="5"/>
  <c r="E1096" i="5"/>
  <c r="F1096" i="5"/>
  <c r="G1096" i="5" s="1"/>
  <c r="K1096" i="5"/>
  <c r="E1097" i="5"/>
  <c r="K1097" i="5" s="1"/>
  <c r="F1097" i="5"/>
  <c r="G1097" i="5" s="1"/>
  <c r="E1098" i="5"/>
  <c r="K1098" i="5" s="1"/>
  <c r="F1098" i="5"/>
  <c r="E1099" i="5"/>
  <c r="K1099" i="5" s="1"/>
  <c r="F1099" i="5"/>
  <c r="E1100" i="5"/>
  <c r="K1100" i="5" s="1"/>
  <c r="F1100" i="5"/>
  <c r="H1100" i="5" s="1"/>
  <c r="I1100" i="5" s="1"/>
  <c r="J1100" i="5" s="1"/>
  <c r="E1101" i="5"/>
  <c r="F1101" i="5"/>
  <c r="H1101" i="5" s="1"/>
  <c r="I1101" i="5" s="1"/>
  <c r="J1101" i="5" s="1"/>
  <c r="K1101" i="5"/>
  <c r="E1102" i="5"/>
  <c r="K1102" i="5" s="1"/>
  <c r="F1102" i="5"/>
  <c r="G1102" i="5" s="1"/>
  <c r="E1103" i="5"/>
  <c r="K1103" i="5" s="1"/>
  <c r="F1103" i="5"/>
  <c r="G1103" i="5" s="1"/>
  <c r="E1104" i="5"/>
  <c r="K1104" i="5" s="1"/>
  <c r="F1104" i="5"/>
  <c r="G1104" i="5" s="1"/>
  <c r="E1105" i="5"/>
  <c r="K1105" i="5" s="1"/>
  <c r="F1105" i="5"/>
  <c r="G1105" i="5" s="1"/>
  <c r="E1106" i="5"/>
  <c r="K1106" i="5" s="1"/>
  <c r="F1106" i="5"/>
  <c r="G1106" i="5" s="1"/>
  <c r="E1107" i="5"/>
  <c r="K1107" i="5" s="1"/>
  <c r="F1107" i="5"/>
  <c r="G1107" i="5" s="1"/>
  <c r="E1108" i="5"/>
  <c r="K1108" i="5" s="1"/>
  <c r="F1108" i="5"/>
  <c r="G1108" i="5" s="1"/>
  <c r="E1109" i="5"/>
  <c r="K1109" i="5" s="1"/>
  <c r="F1109" i="5"/>
  <c r="G1109" i="5" s="1"/>
  <c r="H1109" i="5"/>
  <c r="I1109" i="5" s="1"/>
  <c r="J1109" i="5" s="1"/>
  <c r="E1110" i="5"/>
  <c r="K1110" i="5" s="1"/>
  <c r="F1110" i="5"/>
  <c r="H1110" i="5" s="1"/>
  <c r="I1110" i="5" s="1"/>
  <c r="J1110" i="5" s="1"/>
  <c r="E1111" i="5"/>
  <c r="K1111" i="5" s="1"/>
  <c r="F1111" i="5"/>
  <c r="G1111" i="5" s="1"/>
  <c r="H1111" i="5"/>
  <c r="I1111" i="5" s="1"/>
  <c r="J1111" i="5" s="1"/>
  <c r="E1112" i="5"/>
  <c r="K1112" i="5" s="1"/>
  <c r="F1112" i="5"/>
  <c r="G1112" i="5" s="1"/>
  <c r="E1113" i="5"/>
  <c r="K1113" i="5" s="1"/>
  <c r="F1113" i="5"/>
  <c r="E1114" i="5"/>
  <c r="K1114" i="5" s="1"/>
  <c r="F1114" i="5"/>
  <c r="E1115" i="5"/>
  <c r="K1115" i="5" s="1"/>
  <c r="F1115" i="5"/>
  <c r="G1115" i="5" s="1"/>
  <c r="E1116" i="5"/>
  <c r="K1116" i="5" s="1"/>
  <c r="F1116" i="5"/>
  <c r="G1116" i="5" s="1"/>
  <c r="E1117" i="5"/>
  <c r="K1117" i="5" s="1"/>
  <c r="F1117" i="5"/>
  <c r="G1117" i="5" s="1"/>
  <c r="H1117" i="5"/>
  <c r="I1117" i="5" s="1"/>
  <c r="J1117" i="5" s="1"/>
  <c r="E1118" i="5"/>
  <c r="K1118" i="5" s="1"/>
  <c r="F1118" i="5"/>
  <c r="G1118" i="5" s="1"/>
  <c r="E1119" i="5"/>
  <c r="K1119" i="5" s="1"/>
  <c r="F1119" i="5"/>
  <c r="G1119" i="5" s="1"/>
  <c r="E1120" i="5"/>
  <c r="F1120" i="5"/>
  <c r="G1120" i="5" s="1"/>
  <c r="K1120" i="5"/>
  <c r="E1121" i="5"/>
  <c r="K1121" i="5" s="1"/>
  <c r="F1121" i="5"/>
  <c r="E1122" i="5"/>
  <c r="K1122" i="5" s="1"/>
  <c r="F1122" i="5"/>
  <c r="H1122" i="5" s="1"/>
  <c r="I1122" i="5" s="1"/>
  <c r="J1122" i="5" s="1"/>
  <c r="E1123" i="5"/>
  <c r="K1123" i="5" s="1"/>
  <c r="F1123" i="5"/>
  <c r="E1124" i="5"/>
  <c r="K1124" i="5" s="1"/>
  <c r="F1124" i="5"/>
  <c r="E1125" i="5"/>
  <c r="K1125" i="5" s="1"/>
  <c r="F1125" i="5"/>
  <c r="E1126" i="5"/>
  <c r="K1126" i="5" s="1"/>
  <c r="F1126" i="5"/>
  <c r="G1126" i="5" s="1"/>
  <c r="E1127" i="5"/>
  <c r="K1127" i="5" s="1"/>
  <c r="F1127" i="5"/>
  <c r="G1127" i="5" s="1"/>
  <c r="H1127" i="5"/>
  <c r="I1127" i="5" s="1"/>
  <c r="J1127" i="5" s="1"/>
  <c r="E1128" i="5"/>
  <c r="K1128" i="5" s="1"/>
  <c r="F1128" i="5"/>
  <c r="H1128" i="5" s="1"/>
  <c r="I1128" i="5" s="1"/>
  <c r="J1128" i="5" s="1"/>
  <c r="E1129" i="5"/>
  <c r="K1129" i="5" s="1"/>
  <c r="F1129" i="5"/>
  <c r="G1129" i="5" s="1"/>
  <c r="E1130" i="5"/>
  <c r="K1130" i="5" s="1"/>
  <c r="F1130" i="5"/>
  <c r="G1130" i="5" s="1"/>
  <c r="H1130" i="5"/>
  <c r="I1130" i="5" s="1"/>
  <c r="J1130" i="5" s="1"/>
  <c r="E1131" i="5"/>
  <c r="K1131" i="5" s="1"/>
  <c r="F1131" i="5"/>
  <c r="G1131" i="5" s="1"/>
  <c r="E1132" i="5"/>
  <c r="K1132" i="5" s="1"/>
  <c r="F1132" i="5"/>
  <c r="H1132" i="5" s="1"/>
  <c r="I1132" i="5" s="1"/>
  <c r="J1132" i="5" s="1"/>
  <c r="E1133" i="5"/>
  <c r="K1133" i="5" s="1"/>
  <c r="F1133" i="5"/>
  <c r="G1133" i="5" s="1"/>
  <c r="E1134" i="5"/>
  <c r="K1134" i="5" s="1"/>
  <c r="F1134" i="5"/>
  <c r="H1134" i="5" s="1"/>
  <c r="I1134" i="5" s="1"/>
  <c r="J1134" i="5" s="1"/>
  <c r="E1135" i="5"/>
  <c r="K1135" i="5" s="1"/>
  <c r="F1135" i="5"/>
  <c r="G1135" i="5" s="1"/>
  <c r="E1136" i="5"/>
  <c r="K1136" i="5" s="1"/>
  <c r="F1136" i="5"/>
  <c r="G1136" i="5" s="1"/>
  <c r="E1137" i="5"/>
  <c r="F1137" i="5"/>
  <c r="H1137" i="5" s="1"/>
  <c r="I1137" i="5"/>
  <c r="J1137" i="5" s="1"/>
  <c r="K1137" i="5"/>
  <c r="E1138" i="5"/>
  <c r="K1138" i="5" s="1"/>
  <c r="F1138" i="5"/>
  <c r="E1139" i="5"/>
  <c r="F1139" i="5"/>
  <c r="H1139" i="5" s="1"/>
  <c r="I1139" i="5" s="1"/>
  <c r="J1139" i="5" s="1"/>
  <c r="K1139" i="5"/>
  <c r="E1140" i="5"/>
  <c r="K1140" i="5" s="1"/>
  <c r="F1140" i="5"/>
  <c r="H1140" i="5" s="1"/>
  <c r="I1140" i="5" s="1"/>
  <c r="J1140" i="5" s="1"/>
  <c r="E1141" i="5"/>
  <c r="K1141" i="5" s="1"/>
  <c r="F1141" i="5"/>
  <c r="G1141" i="5" s="1"/>
  <c r="E1142" i="5"/>
  <c r="K1142" i="5" s="1"/>
  <c r="F1142" i="5"/>
  <c r="H1142" i="5" s="1"/>
  <c r="I1142" i="5" s="1"/>
  <c r="J1142" i="5" s="1"/>
  <c r="G1142" i="5"/>
  <c r="E1143" i="5"/>
  <c r="K1143" i="5" s="1"/>
  <c r="F1143" i="5"/>
  <c r="E1144" i="5"/>
  <c r="F1144" i="5"/>
  <c r="K1144" i="5"/>
  <c r="E1145" i="5"/>
  <c r="K1145" i="5" s="1"/>
  <c r="F1145" i="5"/>
  <c r="G1145" i="5" s="1"/>
  <c r="E1146" i="5"/>
  <c r="K1146" i="5" s="1"/>
  <c r="F1146" i="5"/>
  <c r="H1146" i="5" s="1"/>
  <c r="I1146" i="5" s="1"/>
  <c r="J1146" i="5" s="1"/>
  <c r="E1147" i="5"/>
  <c r="K1147" i="5" s="1"/>
  <c r="F1147" i="5"/>
  <c r="E1148" i="5"/>
  <c r="K1148" i="5" s="1"/>
  <c r="F1148" i="5"/>
  <c r="G1148" i="5" s="1"/>
  <c r="E1149" i="5"/>
  <c r="K1149" i="5" s="1"/>
  <c r="F1149" i="5"/>
  <c r="G1149" i="5" s="1"/>
  <c r="E1150" i="5"/>
  <c r="K1150" i="5" s="1"/>
  <c r="F1150" i="5"/>
  <c r="H1150" i="5" s="1"/>
  <c r="I1150" i="5" s="1"/>
  <c r="J1150" i="5" s="1"/>
  <c r="E1151" i="5"/>
  <c r="F1151" i="5"/>
  <c r="G1151" i="5" s="1"/>
  <c r="K1151" i="5"/>
  <c r="E1152" i="5"/>
  <c r="F1152" i="5"/>
  <c r="G1152" i="5" s="1"/>
  <c r="H1152" i="5"/>
  <c r="I1152" i="5" s="1"/>
  <c r="J1152" i="5" s="1"/>
  <c r="K1152" i="5"/>
  <c r="E1153" i="5"/>
  <c r="K1153" i="5" s="1"/>
  <c r="F1153" i="5"/>
  <c r="G1153" i="5" s="1"/>
  <c r="E1154" i="5"/>
  <c r="K1154" i="5" s="1"/>
  <c r="F1154" i="5"/>
  <c r="G1154" i="5" s="1"/>
  <c r="E1155" i="5"/>
  <c r="K1155" i="5" s="1"/>
  <c r="F1155" i="5"/>
  <c r="G1155" i="5" s="1"/>
  <c r="E1156" i="5"/>
  <c r="F1156" i="5"/>
  <c r="G1156" i="5" s="1"/>
  <c r="K1156" i="5"/>
  <c r="E1157" i="5"/>
  <c r="K1157" i="5" s="1"/>
  <c r="F1157" i="5"/>
  <c r="E1158" i="5"/>
  <c r="K1158" i="5" s="1"/>
  <c r="F1158" i="5"/>
  <c r="G1158" i="5" s="1"/>
  <c r="E1159" i="5"/>
  <c r="K1159" i="5" s="1"/>
  <c r="F1159" i="5"/>
  <c r="G1159" i="5" s="1"/>
  <c r="E1160" i="5"/>
  <c r="K1160" i="5" s="1"/>
  <c r="F1160" i="5"/>
  <c r="G1160" i="5" s="1"/>
  <c r="E1161" i="5"/>
  <c r="K1161" i="5" s="1"/>
  <c r="F1161" i="5"/>
  <c r="E1162" i="5"/>
  <c r="K1162" i="5" s="1"/>
  <c r="F1162" i="5"/>
  <c r="H1162" i="5" s="1"/>
  <c r="I1162" i="5" s="1"/>
  <c r="J1162" i="5" s="1"/>
  <c r="E1163" i="5"/>
  <c r="K1163" i="5" s="1"/>
  <c r="F1163" i="5"/>
  <c r="G1163" i="5" s="1"/>
  <c r="E1164" i="5"/>
  <c r="K1164" i="5" s="1"/>
  <c r="F1164" i="5"/>
  <c r="E1165" i="5"/>
  <c r="K1165" i="5" s="1"/>
  <c r="F1165" i="5"/>
  <c r="G1165" i="5" s="1"/>
  <c r="E1166" i="5"/>
  <c r="K1166" i="5" s="1"/>
  <c r="F1166" i="5"/>
  <c r="H1166" i="5" s="1"/>
  <c r="I1166" i="5" s="1"/>
  <c r="J1166" i="5" s="1"/>
  <c r="E1167" i="5"/>
  <c r="K1167" i="5" s="1"/>
  <c r="F1167" i="5"/>
  <c r="H1167" i="5" s="1"/>
  <c r="I1167" i="5" s="1"/>
  <c r="J1167" i="5" s="1"/>
  <c r="E1168" i="5"/>
  <c r="K1168" i="5" s="1"/>
  <c r="F1168" i="5"/>
  <c r="G1168" i="5" s="1"/>
  <c r="E1169" i="5"/>
  <c r="K1169" i="5" s="1"/>
  <c r="F1169" i="5"/>
  <c r="G1169" i="5" s="1"/>
  <c r="E1170" i="5"/>
  <c r="K1170" i="5" s="1"/>
  <c r="F1170" i="5"/>
  <c r="H1170" i="5" s="1"/>
  <c r="I1170" i="5" s="1"/>
  <c r="J1170" i="5" s="1"/>
  <c r="E1171" i="5"/>
  <c r="K1171" i="5" s="1"/>
  <c r="F1171" i="5"/>
  <c r="E1172" i="5"/>
  <c r="F1172" i="5"/>
  <c r="G1172" i="5"/>
  <c r="H1172" i="5"/>
  <c r="I1172" i="5" s="1"/>
  <c r="J1172" i="5" s="1"/>
  <c r="K1172" i="5"/>
  <c r="E1173" i="5"/>
  <c r="K1173" i="5" s="1"/>
  <c r="F1173" i="5"/>
  <c r="G1173" i="5" s="1"/>
  <c r="E1174" i="5"/>
  <c r="K1174" i="5" s="1"/>
  <c r="F1174" i="5"/>
  <c r="G1174" i="5" s="1"/>
  <c r="E1175" i="5"/>
  <c r="K1175" i="5" s="1"/>
  <c r="F1175" i="5"/>
  <c r="G1175" i="5" s="1"/>
  <c r="E1176" i="5"/>
  <c r="K1176" i="5" s="1"/>
  <c r="F1176" i="5"/>
  <c r="G1176" i="5" s="1"/>
  <c r="E1177" i="5"/>
  <c r="K1177" i="5" s="1"/>
  <c r="F1177" i="5"/>
  <c r="H1177" i="5" s="1"/>
  <c r="I1177" i="5" s="1"/>
  <c r="J1177" i="5" s="1"/>
  <c r="E1178" i="5"/>
  <c r="K1178" i="5" s="1"/>
  <c r="F1178" i="5"/>
  <c r="E1179" i="5"/>
  <c r="K1179" i="5" s="1"/>
  <c r="F1179" i="5"/>
  <c r="E1180" i="5"/>
  <c r="K1180" i="5" s="1"/>
  <c r="F1180" i="5"/>
  <c r="G1180" i="5" s="1"/>
  <c r="E1181" i="5"/>
  <c r="K1181" i="5" s="1"/>
  <c r="F1181" i="5"/>
  <c r="H1181" i="5" s="1"/>
  <c r="I1181" i="5" s="1"/>
  <c r="J1181" i="5" s="1"/>
  <c r="G1181" i="5"/>
  <c r="E1182" i="5"/>
  <c r="K1182" i="5" s="1"/>
  <c r="F1182" i="5"/>
  <c r="G1182" i="5" s="1"/>
  <c r="E1183" i="5"/>
  <c r="K1183" i="5" s="1"/>
  <c r="F1183" i="5"/>
  <c r="G1183" i="5" s="1"/>
  <c r="E1184" i="5"/>
  <c r="K1184" i="5" s="1"/>
  <c r="F1184" i="5"/>
  <c r="G1184" i="5" s="1"/>
  <c r="E1185" i="5"/>
  <c r="K1185" i="5" s="1"/>
  <c r="F1185" i="5"/>
  <c r="G1185" i="5" s="1"/>
  <c r="E1186" i="5"/>
  <c r="K1186" i="5" s="1"/>
  <c r="F1186" i="5"/>
  <c r="H1186" i="5" s="1"/>
  <c r="I1186" i="5" s="1"/>
  <c r="J1186" i="5" s="1"/>
  <c r="E1187" i="5"/>
  <c r="K1187" i="5" s="1"/>
  <c r="F1187" i="5"/>
  <c r="E1188" i="5"/>
  <c r="K1188" i="5" s="1"/>
  <c r="F1188" i="5"/>
  <c r="G1188" i="5" s="1"/>
  <c r="E1189" i="5"/>
  <c r="K1189" i="5" s="1"/>
  <c r="F1189" i="5"/>
  <c r="E1190" i="5"/>
  <c r="K1190" i="5" s="1"/>
  <c r="F1190" i="5"/>
  <c r="E1191" i="5"/>
  <c r="K1191" i="5" s="1"/>
  <c r="F1191" i="5"/>
  <c r="H1191" i="5" s="1"/>
  <c r="I1191" i="5" s="1"/>
  <c r="J1191" i="5" s="1"/>
  <c r="G1191" i="5"/>
  <c r="E1192" i="5"/>
  <c r="K1192" i="5" s="1"/>
  <c r="F1192" i="5"/>
  <c r="G1192" i="5" s="1"/>
  <c r="E1193" i="5"/>
  <c r="K1193" i="5" s="1"/>
  <c r="F1193" i="5"/>
  <c r="G1193" i="5" s="1"/>
  <c r="E1194" i="5"/>
  <c r="K1194" i="5" s="1"/>
  <c r="F1194" i="5"/>
  <c r="H1194" i="5" s="1"/>
  <c r="I1194" i="5" s="1"/>
  <c r="J1194" i="5" s="1"/>
  <c r="E1195" i="5"/>
  <c r="K1195" i="5" s="1"/>
  <c r="F1195" i="5"/>
  <c r="G1195" i="5" s="1"/>
  <c r="E1196" i="5"/>
  <c r="K1196" i="5" s="1"/>
  <c r="F1196" i="5"/>
  <c r="H1196" i="5" s="1"/>
  <c r="I1196" i="5" s="1"/>
  <c r="J1196" i="5" s="1"/>
  <c r="E1197" i="5"/>
  <c r="F1197" i="5"/>
  <c r="G1197" i="5" s="1"/>
  <c r="H1197" i="5"/>
  <c r="I1197" i="5" s="1"/>
  <c r="J1197" i="5" s="1"/>
  <c r="K1197" i="5"/>
  <c r="E1198" i="5"/>
  <c r="F1198" i="5"/>
  <c r="G1198" i="5" s="1"/>
  <c r="K1198" i="5"/>
  <c r="E1199" i="5"/>
  <c r="F1199" i="5"/>
  <c r="G1199" i="5" s="1"/>
  <c r="K1199" i="5"/>
  <c r="E1200" i="5"/>
  <c r="K1200" i="5" s="1"/>
  <c r="F1200" i="5"/>
  <c r="H1200" i="5" s="1"/>
  <c r="I1200" i="5" s="1"/>
  <c r="J1200" i="5" s="1"/>
  <c r="E1201" i="5"/>
  <c r="K1201" i="5" s="1"/>
  <c r="F1201" i="5"/>
  <c r="G1201" i="5" s="1"/>
  <c r="E1202" i="5"/>
  <c r="K1202" i="5" s="1"/>
  <c r="F1202" i="5"/>
  <c r="G1202" i="5" s="1"/>
  <c r="E1203" i="5"/>
  <c r="K1203" i="5" s="1"/>
  <c r="F1203" i="5"/>
  <c r="G1203" i="5" s="1"/>
  <c r="E1204" i="5"/>
  <c r="F1204" i="5"/>
  <c r="H1204" i="5" s="1"/>
  <c r="I1204" i="5" s="1"/>
  <c r="J1204" i="5" s="1"/>
  <c r="G1204" i="5"/>
  <c r="K1204" i="5"/>
  <c r="E1205" i="5"/>
  <c r="K1205" i="5" s="1"/>
  <c r="F1205" i="5"/>
  <c r="G1205" i="5" s="1"/>
  <c r="E1206" i="5"/>
  <c r="K1206" i="5" s="1"/>
  <c r="F1206" i="5"/>
  <c r="G1206" i="5" s="1"/>
  <c r="E1207" i="5"/>
  <c r="K1207" i="5" s="1"/>
  <c r="F1207" i="5"/>
  <c r="G1207" i="5" s="1"/>
  <c r="E1208" i="5"/>
  <c r="K1208" i="5" s="1"/>
  <c r="F1208" i="5"/>
  <c r="H1208" i="5" s="1"/>
  <c r="I1208" i="5" s="1"/>
  <c r="J1208" i="5" s="1"/>
  <c r="G1208" i="5"/>
  <c r="E1209" i="5"/>
  <c r="K1209" i="5" s="1"/>
  <c r="F1209" i="5"/>
  <c r="G1209" i="5" s="1"/>
  <c r="E1210" i="5"/>
  <c r="K1210" i="5" s="1"/>
  <c r="F1210" i="5"/>
  <c r="H1210" i="5" s="1"/>
  <c r="I1210" i="5" s="1"/>
  <c r="J1210" i="5" s="1"/>
  <c r="E1211" i="5"/>
  <c r="K1211" i="5" s="1"/>
  <c r="F1211" i="5"/>
  <c r="E1212" i="5"/>
  <c r="K1212" i="5" s="1"/>
  <c r="F1212" i="5"/>
  <c r="G1212" i="5" s="1"/>
  <c r="E1213" i="5"/>
  <c r="K1213" i="5" s="1"/>
  <c r="F1213" i="5"/>
  <c r="G1213" i="5" s="1"/>
  <c r="E1214" i="5"/>
  <c r="K1214" i="5" s="1"/>
  <c r="F1214" i="5"/>
  <c r="H1214" i="5" s="1"/>
  <c r="I1214" i="5" s="1"/>
  <c r="J1214" i="5" s="1"/>
  <c r="E1215" i="5"/>
  <c r="K1215" i="5" s="1"/>
  <c r="F1215" i="5"/>
  <c r="G1215" i="5" s="1"/>
  <c r="E1216" i="5"/>
  <c r="K1216" i="5" s="1"/>
  <c r="F1216" i="5"/>
  <c r="E1217" i="5"/>
  <c r="F1217" i="5"/>
  <c r="H1217" i="5" s="1"/>
  <c r="I1217" i="5" s="1"/>
  <c r="J1217" i="5" s="1"/>
  <c r="G1217" i="5"/>
  <c r="K1217" i="5"/>
  <c r="E1218" i="5"/>
  <c r="K1218" i="5" s="1"/>
  <c r="F1218" i="5"/>
  <c r="H1218" i="5" s="1"/>
  <c r="I1218" i="5" s="1"/>
  <c r="J1218" i="5" s="1"/>
  <c r="G1218" i="5"/>
  <c r="E1219" i="5"/>
  <c r="K1219" i="5" s="1"/>
  <c r="F1219" i="5"/>
  <c r="G1219" i="5" s="1"/>
  <c r="E1220" i="5"/>
  <c r="K1220" i="5" s="1"/>
  <c r="F1220" i="5"/>
  <c r="E1221" i="5"/>
  <c r="K1221" i="5" s="1"/>
  <c r="F1221" i="5"/>
  <c r="G1221" i="5" s="1"/>
  <c r="E1222" i="5"/>
  <c r="K1222" i="5" s="1"/>
  <c r="F1222" i="5"/>
  <c r="G1222" i="5" s="1"/>
  <c r="E1223" i="5"/>
  <c r="K1223" i="5" s="1"/>
  <c r="F1223" i="5"/>
  <c r="G1223" i="5" s="1"/>
  <c r="E1224" i="5"/>
  <c r="K1224" i="5" s="1"/>
  <c r="F1224" i="5"/>
  <c r="E1225" i="5"/>
  <c r="K1225" i="5" s="1"/>
  <c r="F1225" i="5"/>
  <c r="H1225" i="5" s="1"/>
  <c r="I1225" i="5" s="1"/>
  <c r="J1225" i="5" s="1"/>
  <c r="G1225" i="5"/>
  <c r="E1226" i="5"/>
  <c r="K1226" i="5" s="1"/>
  <c r="F1226" i="5"/>
  <c r="E1227" i="5"/>
  <c r="K1227" i="5" s="1"/>
  <c r="F1227" i="5"/>
  <c r="H1227" i="5" s="1"/>
  <c r="I1227" i="5" s="1"/>
  <c r="J1227" i="5" s="1"/>
  <c r="E1228" i="5"/>
  <c r="F1228" i="5"/>
  <c r="G1228" i="5" s="1"/>
  <c r="K1228" i="5"/>
  <c r="E1229" i="5"/>
  <c r="K1229" i="5" s="1"/>
  <c r="F1229" i="5"/>
  <c r="E1230" i="5"/>
  <c r="F1230" i="5"/>
  <c r="H1230" i="5" s="1"/>
  <c r="I1230" i="5" s="1"/>
  <c r="J1230" i="5" s="1"/>
  <c r="K1230" i="5"/>
  <c r="E1231" i="5"/>
  <c r="F1231" i="5"/>
  <c r="G1231" i="5" s="1"/>
  <c r="K1231" i="5"/>
  <c r="E1232" i="5"/>
  <c r="K1232" i="5" s="1"/>
  <c r="F1232" i="5"/>
  <c r="H1232" i="5" s="1"/>
  <c r="I1232" i="5" s="1"/>
  <c r="J1232" i="5" s="1"/>
  <c r="G1232" i="5"/>
  <c r="E1233" i="5"/>
  <c r="K1233" i="5" s="1"/>
  <c r="F1233" i="5"/>
  <c r="G1233" i="5" s="1"/>
  <c r="E1234" i="5"/>
  <c r="K1234" i="5" s="1"/>
  <c r="F1234" i="5"/>
  <c r="G1234" i="5" s="1"/>
  <c r="E1235" i="5"/>
  <c r="K1235" i="5" s="1"/>
  <c r="F1235" i="5"/>
  <c r="H1235" i="5" s="1"/>
  <c r="I1235" i="5" s="1"/>
  <c r="J1235" i="5" s="1"/>
  <c r="E1236" i="5"/>
  <c r="K1236" i="5" s="1"/>
  <c r="F1236" i="5"/>
  <c r="G1236" i="5" s="1"/>
  <c r="E1237" i="5"/>
  <c r="K1237" i="5" s="1"/>
  <c r="F1237" i="5"/>
  <c r="H1237" i="5" s="1"/>
  <c r="I1237" i="5" s="1"/>
  <c r="J1237" i="5" s="1"/>
  <c r="E1238" i="5"/>
  <c r="F1238" i="5"/>
  <c r="G1238" i="5" s="1"/>
  <c r="K1238" i="5"/>
  <c r="E1239" i="5"/>
  <c r="F1239" i="5"/>
  <c r="G1239" i="5" s="1"/>
  <c r="K1239" i="5"/>
  <c r="E1240" i="5"/>
  <c r="K1240" i="5" s="1"/>
  <c r="F1240" i="5"/>
  <c r="E1241" i="5"/>
  <c r="K1241" i="5" s="1"/>
  <c r="F1241" i="5"/>
  <c r="H1241" i="5" s="1"/>
  <c r="I1241" i="5" s="1"/>
  <c r="J1241" i="5" s="1"/>
  <c r="E1242" i="5"/>
  <c r="K1242" i="5" s="1"/>
  <c r="F1242" i="5"/>
  <c r="G1242" i="5" s="1"/>
  <c r="E1243" i="5"/>
  <c r="K1243" i="5" s="1"/>
  <c r="F1243" i="5"/>
  <c r="H1243" i="5" s="1"/>
  <c r="I1243" i="5" s="1"/>
  <c r="J1243" i="5" s="1"/>
  <c r="E1244" i="5"/>
  <c r="K1244" i="5" s="1"/>
  <c r="F1244" i="5"/>
  <c r="G1244" i="5" s="1"/>
  <c r="E1245" i="5"/>
  <c r="K1245" i="5" s="1"/>
  <c r="F1245" i="5"/>
  <c r="H1245" i="5" s="1"/>
  <c r="I1245" i="5" s="1"/>
  <c r="J1245" i="5" s="1"/>
  <c r="E1246" i="5"/>
  <c r="K1246" i="5" s="1"/>
  <c r="F1246" i="5"/>
  <c r="G1246" i="5" s="1"/>
  <c r="E1247" i="5"/>
  <c r="K1247" i="5" s="1"/>
  <c r="F1247" i="5"/>
  <c r="G1247" i="5" s="1"/>
  <c r="E1248" i="5"/>
  <c r="K1248" i="5" s="1"/>
  <c r="F1248" i="5"/>
  <c r="G1248" i="5"/>
  <c r="H1248" i="5"/>
  <c r="I1248" i="5" s="1"/>
  <c r="J1248" i="5" s="1"/>
  <c r="E1249" i="5"/>
  <c r="K1249" i="5" s="1"/>
  <c r="F1249" i="5"/>
  <c r="G1249" i="5" s="1"/>
  <c r="H1249" i="5"/>
  <c r="I1249" i="5" s="1"/>
  <c r="J1249" i="5" s="1"/>
  <c r="E1250" i="5"/>
  <c r="K1250" i="5" s="1"/>
  <c r="F1250" i="5"/>
  <c r="G1250" i="5" s="1"/>
  <c r="E1251" i="5"/>
  <c r="K1251" i="5" s="1"/>
  <c r="F1251" i="5"/>
  <c r="E1252" i="5"/>
  <c r="F1252" i="5"/>
  <c r="G1252" i="5" s="1"/>
  <c r="K1252" i="5"/>
  <c r="E1253" i="5"/>
  <c r="K1253" i="5" s="1"/>
  <c r="F1253" i="5"/>
  <c r="G1253" i="5" s="1"/>
  <c r="E1254" i="5"/>
  <c r="K1254" i="5" s="1"/>
  <c r="F1254" i="5"/>
  <c r="G1254" i="5" s="1"/>
  <c r="E1255" i="5"/>
  <c r="K1255" i="5" s="1"/>
  <c r="F1255" i="5"/>
  <c r="E1256" i="5"/>
  <c r="K1256" i="5" s="1"/>
  <c r="F1256" i="5"/>
  <c r="E1257" i="5"/>
  <c r="K1257" i="5" s="1"/>
  <c r="F1257" i="5"/>
  <c r="H1257" i="5" s="1"/>
  <c r="I1257" i="5" s="1"/>
  <c r="J1257" i="5" s="1"/>
  <c r="E1258" i="5"/>
  <c r="K1258" i="5" s="1"/>
  <c r="F1258" i="5"/>
  <c r="E1259" i="5"/>
  <c r="K1259" i="5" s="1"/>
  <c r="F1259" i="5"/>
  <c r="G1259" i="5" s="1"/>
  <c r="E1260" i="5"/>
  <c r="K1260" i="5" s="1"/>
  <c r="F1260" i="5"/>
  <c r="H1260" i="5" s="1"/>
  <c r="I1260" i="5" s="1"/>
  <c r="J1260" i="5" s="1"/>
  <c r="E1261" i="5"/>
  <c r="K1261" i="5" s="1"/>
  <c r="F1261" i="5"/>
  <c r="G1261" i="5" s="1"/>
  <c r="E1262" i="5"/>
  <c r="K1262" i="5" s="1"/>
  <c r="F1262" i="5"/>
  <c r="H1262" i="5" s="1"/>
  <c r="I1262" i="5" s="1"/>
  <c r="J1262" i="5" s="1"/>
  <c r="G1262" i="5"/>
  <c r="E1263" i="5"/>
  <c r="F1263" i="5"/>
  <c r="G1263" i="5" s="1"/>
  <c r="K1263" i="5"/>
  <c r="E1264" i="5"/>
  <c r="K1264" i="5" s="1"/>
  <c r="F1264" i="5"/>
  <c r="G1264" i="5" s="1"/>
  <c r="E1265" i="5"/>
  <c r="K1265" i="5" s="1"/>
  <c r="F1265" i="5"/>
  <c r="G1265" i="5" s="1"/>
  <c r="E1266" i="5"/>
  <c r="K1266" i="5" s="1"/>
  <c r="F1266" i="5"/>
  <c r="G1266" i="5" s="1"/>
  <c r="E1267" i="5"/>
  <c r="K1267" i="5" s="1"/>
  <c r="F1267" i="5"/>
  <c r="G1267" i="5" s="1"/>
  <c r="E1268" i="5"/>
  <c r="K1268" i="5" s="1"/>
  <c r="F1268" i="5"/>
  <c r="G1268" i="5"/>
  <c r="H1268" i="5"/>
  <c r="I1268" i="5" s="1"/>
  <c r="J1268" i="5" s="1"/>
  <c r="E1269" i="5"/>
  <c r="K1269" i="5" s="1"/>
  <c r="F1269" i="5"/>
  <c r="H1269" i="5" s="1"/>
  <c r="I1269" i="5" s="1"/>
  <c r="J1269" i="5" s="1"/>
  <c r="E1270" i="5"/>
  <c r="K1270" i="5" s="1"/>
  <c r="F1270" i="5"/>
  <c r="G1270" i="5" s="1"/>
  <c r="E1271" i="5"/>
  <c r="K1271" i="5" s="1"/>
  <c r="F1271" i="5"/>
  <c r="G1271" i="5" s="1"/>
  <c r="E1272" i="5"/>
  <c r="K1272" i="5" s="1"/>
  <c r="F1272" i="5"/>
  <c r="E1273" i="5"/>
  <c r="K1273" i="5" s="1"/>
  <c r="F1273" i="5"/>
  <c r="E1274" i="5"/>
  <c r="K1274" i="5" s="1"/>
  <c r="F1274" i="5"/>
  <c r="G1274" i="5" s="1"/>
  <c r="E1275" i="5"/>
  <c r="K1275" i="5" s="1"/>
  <c r="F1275" i="5"/>
  <c r="G1275" i="5" s="1"/>
  <c r="E1276" i="5"/>
  <c r="K1276" i="5" s="1"/>
  <c r="F1276" i="5"/>
  <c r="E1277" i="5"/>
  <c r="K1277" i="5" s="1"/>
  <c r="F1277" i="5"/>
  <c r="G1277" i="5" s="1"/>
  <c r="E1278" i="5"/>
  <c r="K1278" i="5" s="1"/>
  <c r="F1278" i="5"/>
  <c r="H1278" i="5" s="1"/>
  <c r="I1278" i="5" s="1"/>
  <c r="J1278" i="5" s="1"/>
  <c r="E1279" i="5"/>
  <c r="K1279" i="5" s="1"/>
  <c r="F1279" i="5"/>
  <c r="G1279" i="5" s="1"/>
  <c r="E1280" i="5"/>
  <c r="K1280" i="5" s="1"/>
  <c r="F1280" i="5"/>
  <c r="E1281" i="5"/>
  <c r="K1281" i="5" s="1"/>
  <c r="F1281" i="5"/>
  <c r="G1281" i="5" s="1"/>
  <c r="E1282" i="5"/>
  <c r="K1282" i="5" s="1"/>
  <c r="F1282" i="5"/>
  <c r="G1282" i="5" s="1"/>
  <c r="E1283" i="5"/>
  <c r="F1283" i="5"/>
  <c r="G1283" i="5" s="1"/>
  <c r="K1283" i="5"/>
  <c r="E1284" i="5"/>
  <c r="K1284" i="5" s="1"/>
  <c r="F1284" i="5"/>
  <c r="G1284" i="5" s="1"/>
  <c r="E1285" i="5"/>
  <c r="K1285" i="5" s="1"/>
  <c r="F1285" i="5"/>
  <c r="G1285" i="5" s="1"/>
  <c r="E1286" i="5"/>
  <c r="K1286" i="5" s="1"/>
  <c r="F1286" i="5"/>
  <c r="G1286" i="5" s="1"/>
  <c r="E1287" i="5"/>
  <c r="K1287" i="5" s="1"/>
  <c r="F1287" i="5"/>
  <c r="G1287" i="5" s="1"/>
  <c r="E1288" i="5"/>
  <c r="K1288" i="5" s="1"/>
  <c r="F1288" i="5"/>
  <c r="G1288" i="5" s="1"/>
  <c r="E1289" i="5"/>
  <c r="K1289" i="5" s="1"/>
  <c r="F1289" i="5"/>
  <c r="H1289" i="5" s="1"/>
  <c r="I1289" i="5" s="1"/>
  <c r="J1289" i="5" s="1"/>
  <c r="E1290" i="5"/>
  <c r="K1290" i="5" s="1"/>
  <c r="F1290" i="5"/>
  <c r="E1291" i="5"/>
  <c r="K1291" i="5" s="1"/>
  <c r="F1291" i="5"/>
  <c r="G1291" i="5" s="1"/>
  <c r="E1292" i="5"/>
  <c r="K1292" i="5" s="1"/>
  <c r="F1292" i="5"/>
  <c r="G1292" i="5" s="1"/>
  <c r="E1293" i="5"/>
  <c r="K1293" i="5" s="1"/>
  <c r="F1293" i="5"/>
  <c r="E1294" i="5"/>
  <c r="K1294" i="5" s="1"/>
  <c r="F1294" i="5"/>
  <c r="G1294" i="5" s="1"/>
  <c r="E1295" i="5"/>
  <c r="K1295" i="5" s="1"/>
  <c r="F1295" i="5"/>
  <c r="E1296" i="5"/>
  <c r="K1296" i="5" s="1"/>
  <c r="F1296" i="5"/>
  <c r="G1296" i="5" s="1"/>
  <c r="E1297" i="5"/>
  <c r="K1297" i="5" s="1"/>
  <c r="F1297" i="5"/>
  <c r="G1297" i="5" s="1"/>
  <c r="E1298" i="5"/>
  <c r="K1298" i="5" s="1"/>
  <c r="F1298" i="5"/>
  <c r="G1298" i="5" s="1"/>
  <c r="E1299" i="5"/>
  <c r="K1299" i="5" s="1"/>
  <c r="F1299" i="5"/>
  <c r="H1299" i="5" s="1"/>
  <c r="I1299" i="5" s="1"/>
  <c r="J1299" i="5" s="1"/>
  <c r="G1299" i="5"/>
  <c r="E1300" i="5"/>
  <c r="K1300" i="5" s="1"/>
  <c r="F1300" i="5"/>
  <c r="G1300" i="5" s="1"/>
  <c r="E1301" i="5"/>
  <c r="F1301" i="5"/>
  <c r="H1301" i="5" s="1"/>
  <c r="I1301" i="5" s="1"/>
  <c r="J1301" i="5" s="1"/>
  <c r="K1301" i="5"/>
  <c r="E1302" i="5"/>
  <c r="K1302" i="5" s="1"/>
  <c r="F1302" i="5"/>
  <c r="G1302" i="5" s="1"/>
  <c r="E1303" i="5"/>
  <c r="K1303" i="5" s="1"/>
  <c r="F1303" i="5"/>
  <c r="G1303" i="5" s="1"/>
  <c r="E1304" i="5"/>
  <c r="K1304" i="5" s="1"/>
  <c r="F1304" i="5"/>
  <c r="H1304" i="5" s="1"/>
  <c r="I1304" i="5" s="1"/>
  <c r="J1304" i="5" s="1"/>
  <c r="E1305" i="5"/>
  <c r="F1305" i="5"/>
  <c r="G1305" i="5" s="1"/>
  <c r="K1305" i="5"/>
  <c r="E1306" i="5"/>
  <c r="K1306" i="5" s="1"/>
  <c r="F1306" i="5"/>
  <c r="G1306" i="5" s="1"/>
  <c r="H1306" i="5"/>
  <c r="I1306" i="5" s="1"/>
  <c r="J1306" i="5" s="1"/>
  <c r="E1307" i="5"/>
  <c r="K1307" i="5" s="1"/>
  <c r="F1307" i="5"/>
  <c r="G1307" i="5" s="1"/>
  <c r="E1308" i="5"/>
  <c r="K1308" i="5" s="1"/>
  <c r="F1308" i="5"/>
  <c r="G1308" i="5"/>
  <c r="H1308" i="5"/>
  <c r="I1308" i="5" s="1"/>
  <c r="J1308" i="5" s="1"/>
  <c r="E1309" i="5"/>
  <c r="K1309" i="5" s="1"/>
  <c r="F1309" i="5"/>
  <c r="H1309" i="5" s="1"/>
  <c r="I1309" i="5" s="1"/>
  <c r="J1309" i="5" s="1"/>
  <c r="G1309" i="5"/>
  <c r="E1310" i="5"/>
  <c r="K1310" i="5" s="1"/>
  <c r="F1310" i="5"/>
  <c r="G1310" i="5" s="1"/>
  <c r="E1311" i="5"/>
  <c r="K1311" i="5" s="1"/>
  <c r="F1311" i="5"/>
  <c r="G1311" i="5" s="1"/>
  <c r="E1312" i="5"/>
  <c r="K1312" i="5" s="1"/>
  <c r="F1312" i="5"/>
  <c r="H1312" i="5" s="1"/>
  <c r="I1312" i="5" s="1"/>
  <c r="J1312" i="5" s="1"/>
  <c r="E1313" i="5"/>
  <c r="K1313" i="5" s="1"/>
  <c r="F1313" i="5"/>
  <c r="G1313" i="5" s="1"/>
  <c r="E1314" i="5"/>
  <c r="K1314" i="5" s="1"/>
  <c r="F1314" i="5"/>
  <c r="G1314" i="5" s="1"/>
  <c r="E1315" i="5"/>
  <c r="K1315" i="5" s="1"/>
  <c r="F1315" i="5"/>
  <c r="E1316" i="5"/>
  <c r="K1316" i="5" s="1"/>
  <c r="F1316" i="5"/>
  <c r="G1316" i="5" s="1"/>
  <c r="E1317" i="5"/>
  <c r="K1317" i="5" s="1"/>
  <c r="F1317" i="5"/>
  <c r="G1317" i="5" s="1"/>
  <c r="E1318" i="5"/>
  <c r="K1318" i="5" s="1"/>
  <c r="F1318" i="5"/>
  <c r="H1318" i="5" s="1"/>
  <c r="I1318" i="5" s="1"/>
  <c r="J1318" i="5" s="1"/>
  <c r="E1319" i="5"/>
  <c r="K1319" i="5" s="1"/>
  <c r="F1319" i="5"/>
  <c r="G1319" i="5" s="1"/>
  <c r="E1320" i="5"/>
  <c r="K1320" i="5" s="1"/>
  <c r="F1320" i="5"/>
  <c r="G1320" i="5" s="1"/>
  <c r="E1321" i="5"/>
  <c r="K1321" i="5" s="1"/>
  <c r="F1321" i="5"/>
  <c r="G1321" i="5" s="1"/>
  <c r="E1322" i="5"/>
  <c r="K1322" i="5" s="1"/>
  <c r="F1322" i="5"/>
  <c r="H1322" i="5" s="1"/>
  <c r="I1322" i="5" s="1"/>
  <c r="J1322" i="5" s="1"/>
  <c r="E1323" i="5"/>
  <c r="K1323" i="5" s="1"/>
  <c r="F1323" i="5"/>
  <c r="G1323" i="5" s="1"/>
  <c r="E1324" i="5"/>
  <c r="K1324" i="5" s="1"/>
  <c r="F1324" i="5"/>
  <c r="H1324" i="5" s="1"/>
  <c r="I1324" i="5" s="1"/>
  <c r="J1324" i="5" s="1"/>
  <c r="E1325" i="5"/>
  <c r="K1325" i="5" s="1"/>
  <c r="F1325" i="5"/>
  <c r="G1325" i="5" s="1"/>
  <c r="E1326" i="5"/>
  <c r="K1326" i="5" s="1"/>
  <c r="F1326" i="5"/>
  <c r="G1326" i="5" s="1"/>
  <c r="E1327" i="5"/>
  <c r="K1327" i="5" s="1"/>
  <c r="F1327" i="5"/>
  <c r="H1327" i="5" s="1"/>
  <c r="I1327" i="5" s="1"/>
  <c r="J1327" i="5" s="1"/>
  <c r="E1328" i="5"/>
  <c r="K1328" i="5" s="1"/>
  <c r="F1328" i="5"/>
  <c r="G1328" i="5" s="1"/>
  <c r="H1328" i="5"/>
  <c r="I1328" i="5" s="1"/>
  <c r="J1328" i="5" s="1"/>
  <c r="E1329" i="5"/>
  <c r="F1329" i="5"/>
  <c r="G1329" i="5" s="1"/>
  <c r="K1329" i="5"/>
  <c r="E1330" i="5"/>
  <c r="F1330" i="5"/>
  <c r="G1330" i="5" s="1"/>
  <c r="K1330" i="5"/>
  <c r="E1331" i="5"/>
  <c r="K1331" i="5" s="1"/>
  <c r="F1331" i="5"/>
  <c r="G1331" i="5" s="1"/>
  <c r="E1332" i="5"/>
  <c r="F1332" i="5"/>
  <c r="H1332" i="5" s="1"/>
  <c r="I1332" i="5" s="1"/>
  <c r="J1332" i="5" s="1"/>
  <c r="G1332" i="5"/>
  <c r="K1332" i="5"/>
  <c r="E1333" i="5"/>
  <c r="K1333" i="5" s="1"/>
  <c r="F1333" i="5"/>
  <c r="G1333" i="5" s="1"/>
  <c r="E1334" i="5"/>
  <c r="K1334" i="5" s="1"/>
  <c r="F1334" i="5"/>
  <c r="G1334" i="5" s="1"/>
  <c r="E1335" i="5"/>
  <c r="K1335" i="5" s="1"/>
  <c r="F1335" i="5"/>
  <c r="G1335" i="5" s="1"/>
  <c r="E1336" i="5"/>
  <c r="K1336" i="5" s="1"/>
  <c r="F1336" i="5"/>
  <c r="G1336" i="5" s="1"/>
  <c r="E1337" i="5"/>
  <c r="K1337" i="5" s="1"/>
  <c r="F1337" i="5"/>
  <c r="G1337" i="5" s="1"/>
  <c r="E1338" i="5"/>
  <c r="K1338" i="5" s="1"/>
  <c r="F1338" i="5"/>
  <c r="G1338" i="5" s="1"/>
  <c r="E1339" i="5"/>
  <c r="K1339" i="5" s="1"/>
  <c r="F1339" i="5"/>
  <c r="G1339" i="5" s="1"/>
  <c r="E1340" i="5"/>
  <c r="K1340" i="5" s="1"/>
  <c r="F1340" i="5"/>
  <c r="G1340" i="5" s="1"/>
  <c r="E1341" i="5"/>
  <c r="K1341" i="5" s="1"/>
  <c r="F1341" i="5"/>
  <c r="E1342" i="5"/>
  <c r="K1342" i="5" s="1"/>
  <c r="F1342" i="5"/>
  <c r="G1342" i="5" s="1"/>
  <c r="E1343" i="5"/>
  <c r="K1343" i="5" s="1"/>
  <c r="F1343" i="5"/>
  <c r="E1344" i="5"/>
  <c r="K1344" i="5" s="1"/>
  <c r="F1344" i="5"/>
  <c r="E1345" i="5"/>
  <c r="F1345" i="5"/>
  <c r="H1345" i="5" s="1"/>
  <c r="I1345" i="5" s="1"/>
  <c r="J1345" i="5" s="1"/>
  <c r="G1345" i="5"/>
  <c r="K1345" i="5"/>
  <c r="E1346" i="5"/>
  <c r="K1346" i="5" s="1"/>
  <c r="F1346" i="5"/>
  <c r="G1346" i="5" s="1"/>
  <c r="E1347" i="5"/>
  <c r="K1347" i="5" s="1"/>
  <c r="F1347" i="5"/>
  <c r="G1347" i="5" s="1"/>
  <c r="E1348" i="5"/>
  <c r="F1348" i="5"/>
  <c r="G1348" i="5" s="1"/>
  <c r="K1348" i="5"/>
  <c r="E1349" i="5"/>
  <c r="K1349" i="5" s="1"/>
  <c r="F1349" i="5"/>
  <c r="G1349" i="5" s="1"/>
  <c r="E1350" i="5"/>
  <c r="K1350" i="5" s="1"/>
  <c r="F1350" i="5"/>
  <c r="G1350" i="5"/>
  <c r="H1350" i="5"/>
  <c r="I1350" i="5" s="1"/>
  <c r="J1350" i="5" s="1"/>
  <c r="E1351" i="5"/>
  <c r="K1351" i="5" s="1"/>
  <c r="F1351" i="5"/>
  <c r="H1351" i="5" s="1"/>
  <c r="I1351" i="5" s="1"/>
  <c r="J1351" i="5" s="1"/>
  <c r="G1351" i="5"/>
  <c r="E1352" i="5"/>
  <c r="K1352" i="5" s="1"/>
  <c r="F1352" i="5"/>
  <c r="H1352" i="5" s="1"/>
  <c r="I1352" i="5" s="1"/>
  <c r="J1352" i="5" s="1"/>
  <c r="E1353" i="5"/>
  <c r="K1353" i="5" s="1"/>
  <c r="F1353" i="5"/>
  <c r="H1353" i="5" s="1"/>
  <c r="I1353" i="5" s="1"/>
  <c r="J1353" i="5" s="1"/>
  <c r="E1354" i="5"/>
  <c r="F1354" i="5"/>
  <c r="K1354" i="5"/>
  <c r="E1355" i="5"/>
  <c r="K1355" i="5" s="1"/>
  <c r="F1355" i="5"/>
  <c r="G1355" i="5" s="1"/>
  <c r="E1356" i="5"/>
  <c r="K1356" i="5" s="1"/>
  <c r="F1356" i="5"/>
  <c r="G1356" i="5" s="1"/>
  <c r="E1357" i="5"/>
  <c r="K1357" i="5" s="1"/>
  <c r="F1357" i="5"/>
  <c r="G1357" i="5" s="1"/>
  <c r="E1358" i="5"/>
  <c r="K1358" i="5" s="1"/>
  <c r="F1358" i="5"/>
  <c r="G1358" i="5" s="1"/>
  <c r="E1359" i="5"/>
  <c r="K1359" i="5" s="1"/>
  <c r="F1359" i="5"/>
  <c r="G1359" i="5" s="1"/>
  <c r="E1360" i="5"/>
  <c r="K1360" i="5" s="1"/>
  <c r="F1360" i="5"/>
  <c r="H1360" i="5" s="1"/>
  <c r="I1360" i="5" s="1"/>
  <c r="J1360" i="5" s="1"/>
  <c r="E1361" i="5"/>
  <c r="K1361" i="5" s="1"/>
  <c r="F1361" i="5"/>
  <c r="G1361" i="5" s="1"/>
  <c r="E1362" i="5"/>
  <c r="K1362" i="5" s="1"/>
  <c r="F1362" i="5"/>
  <c r="G1362" i="5" s="1"/>
  <c r="E1363" i="5"/>
  <c r="K1363" i="5" s="1"/>
  <c r="F1363" i="5"/>
  <c r="H1363" i="5" s="1"/>
  <c r="I1363" i="5" s="1"/>
  <c r="J1363" i="5" s="1"/>
  <c r="E1364" i="5"/>
  <c r="K1364" i="5" s="1"/>
  <c r="F1364" i="5"/>
  <c r="G1364" i="5" s="1"/>
  <c r="H1364" i="5"/>
  <c r="I1364" i="5" s="1"/>
  <c r="J1364" i="5" s="1"/>
  <c r="E1365" i="5"/>
  <c r="K1365" i="5" s="1"/>
  <c r="F1365" i="5"/>
  <c r="G1365" i="5" s="1"/>
  <c r="E1366" i="5"/>
  <c r="K1366" i="5" s="1"/>
  <c r="F1366" i="5"/>
  <c r="G1366" i="5" s="1"/>
  <c r="E1367" i="5"/>
  <c r="K1367" i="5" s="1"/>
  <c r="F1367" i="5"/>
  <c r="H1367" i="5" s="1"/>
  <c r="I1367" i="5" s="1"/>
  <c r="J1367" i="5" s="1"/>
  <c r="E1368" i="5"/>
  <c r="K1368" i="5" s="1"/>
  <c r="F1368" i="5"/>
  <c r="H1368" i="5" s="1"/>
  <c r="I1368" i="5" s="1"/>
  <c r="J1368" i="5" s="1"/>
  <c r="E1369" i="5"/>
  <c r="K1369" i="5" s="1"/>
  <c r="F1369" i="5"/>
  <c r="H1369" i="5" s="1"/>
  <c r="I1369" i="5" s="1"/>
  <c r="J1369" i="5" s="1"/>
  <c r="E1370" i="5"/>
  <c r="K1370" i="5" s="1"/>
  <c r="F1370" i="5"/>
  <c r="H1370" i="5" s="1"/>
  <c r="I1370" i="5" s="1"/>
  <c r="J1370" i="5" s="1"/>
  <c r="E1371" i="5"/>
  <c r="F1371" i="5"/>
  <c r="H1371" i="5" s="1"/>
  <c r="I1371" i="5" s="1"/>
  <c r="J1371" i="5" s="1"/>
  <c r="K1371" i="5"/>
  <c r="E1372" i="5"/>
  <c r="K1372" i="5" s="1"/>
  <c r="F1372" i="5"/>
  <c r="H1372" i="5" s="1"/>
  <c r="I1372" i="5" s="1"/>
  <c r="J1372" i="5" s="1"/>
  <c r="E1373" i="5"/>
  <c r="K1373" i="5" s="1"/>
  <c r="F1373" i="5"/>
  <c r="G1373" i="5" s="1"/>
  <c r="E1374" i="5"/>
  <c r="K1374" i="5" s="1"/>
  <c r="F1374" i="5"/>
  <c r="G1374" i="5" s="1"/>
  <c r="E1375" i="5"/>
  <c r="K1375" i="5" s="1"/>
  <c r="F1375" i="5"/>
  <c r="G1375" i="5" s="1"/>
  <c r="E1376" i="5"/>
  <c r="F1376" i="5"/>
  <c r="G1376" i="5" s="1"/>
  <c r="K1376" i="5"/>
  <c r="E1377" i="5"/>
  <c r="K1377" i="5" s="1"/>
  <c r="F1377" i="5"/>
  <c r="H1377" i="5" s="1"/>
  <c r="I1377" i="5" s="1"/>
  <c r="J1377" i="5" s="1"/>
  <c r="E1378" i="5"/>
  <c r="K1378" i="5" s="1"/>
  <c r="F1378" i="5"/>
  <c r="G1378" i="5" s="1"/>
  <c r="E1379" i="5"/>
  <c r="K1379" i="5" s="1"/>
  <c r="F1379" i="5"/>
  <c r="E1380" i="5"/>
  <c r="K1380" i="5" s="1"/>
  <c r="F1380" i="5"/>
  <c r="H1380" i="5" s="1"/>
  <c r="I1380" i="5" s="1"/>
  <c r="J1380" i="5" s="1"/>
  <c r="E1381" i="5"/>
  <c r="F1381" i="5"/>
  <c r="G1381" i="5" s="1"/>
  <c r="K1381" i="5"/>
  <c r="E1382" i="5"/>
  <c r="K1382" i="5" s="1"/>
  <c r="F1382" i="5"/>
  <c r="H1382" i="5" s="1"/>
  <c r="I1382" i="5" s="1"/>
  <c r="J1382" i="5" s="1"/>
  <c r="E1383" i="5"/>
  <c r="K1383" i="5" s="1"/>
  <c r="F1383" i="5"/>
  <c r="G1383" i="5" s="1"/>
  <c r="E1384" i="5"/>
  <c r="F1384" i="5"/>
  <c r="H1384" i="5" s="1"/>
  <c r="I1384" i="5" s="1"/>
  <c r="J1384" i="5" s="1"/>
  <c r="G1384" i="5"/>
  <c r="K1384" i="5"/>
  <c r="E1385" i="5"/>
  <c r="K1385" i="5" s="1"/>
  <c r="F1385" i="5"/>
  <c r="H1385" i="5" s="1"/>
  <c r="I1385" i="5" s="1"/>
  <c r="J1385" i="5" s="1"/>
  <c r="E1386" i="5"/>
  <c r="K1386" i="5" s="1"/>
  <c r="F1386" i="5"/>
  <c r="H1386" i="5" s="1"/>
  <c r="I1386" i="5" s="1"/>
  <c r="J1386" i="5" s="1"/>
  <c r="E1387" i="5"/>
  <c r="K1387" i="5" s="1"/>
  <c r="F1387" i="5"/>
  <c r="G1387" i="5" s="1"/>
  <c r="E1388" i="5"/>
  <c r="K1388" i="5" s="1"/>
  <c r="F1388" i="5"/>
  <c r="E1389" i="5"/>
  <c r="K1389" i="5" s="1"/>
  <c r="F1389" i="5"/>
  <c r="G1389" i="5" s="1"/>
  <c r="H1389" i="5"/>
  <c r="I1389" i="5"/>
  <c r="J1389" i="5" s="1"/>
  <c r="E1390" i="5"/>
  <c r="K1390" i="5" s="1"/>
  <c r="F1390" i="5"/>
  <c r="H1390" i="5" s="1"/>
  <c r="I1390" i="5" s="1"/>
  <c r="J1390" i="5" s="1"/>
  <c r="E1391" i="5"/>
  <c r="K1391" i="5" s="1"/>
  <c r="F1391" i="5"/>
  <c r="G1391" i="5" s="1"/>
  <c r="E1392" i="5"/>
  <c r="K1392" i="5" s="1"/>
  <c r="F1392" i="5"/>
  <c r="G1392" i="5" s="1"/>
  <c r="E1393" i="5"/>
  <c r="K1393" i="5" s="1"/>
  <c r="F1393" i="5"/>
  <c r="H1393" i="5" s="1"/>
  <c r="I1393" i="5" s="1"/>
  <c r="J1393" i="5" s="1"/>
  <c r="E1394" i="5"/>
  <c r="K1394" i="5" s="1"/>
  <c r="F1394" i="5"/>
  <c r="H1394" i="5" s="1"/>
  <c r="I1394" i="5" s="1"/>
  <c r="J1394" i="5" s="1"/>
  <c r="E1395" i="5"/>
  <c r="K1395" i="5" s="1"/>
  <c r="F1395" i="5"/>
  <c r="G1395" i="5" s="1"/>
  <c r="E1396" i="5"/>
  <c r="K1396" i="5" s="1"/>
  <c r="F1396" i="5"/>
  <c r="G1396" i="5" s="1"/>
  <c r="E1397" i="5"/>
  <c r="K1397" i="5" s="1"/>
  <c r="F1397" i="5"/>
  <c r="G1397" i="5" s="1"/>
  <c r="E1398" i="5"/>
  <c r="K1398" i="5" s="1"/>
  <c r="F1398" i="5"/>
  <c r="E1399" i="5"/>
  <c r="K1399" i="5" s="1"/>
  <c r="F1399" i="5"/>
  <c r="G1399" i="5" s="1"/>
  <c r="E1400" i="5"/>
  <c r="K1400" i="5" s="1"/>
  <c r="F1400" i="5"/>
  <c r="G1400" i="5" s="1"/>
  <c r="H1400" i="5"/>
  <c r="I1400" i="5" s="1"/>
  <c r="J1400" i="5" s="1"/>
  <c r="E1401" i="5"/>
  <c r="K1401" i="5" s="1"/>
  <c r="F1401" i="5"/>
  <c r="H1401" i="5" s="1"/>
  <c r="I1401" i="5" s="1"/>
  <c r="J1401" i="5" s="1"/>
  <c r="G1401" i="5"/>
  <c r="E1402" i="5"/>
  <c r="K1402" i="5" s="1"/>
  <c r="F1402" i="5"/>
  <c r="G1402" i="5" s="1"/>
  <c r="E1403" i="5"/>
  <c r="K1403" i="5" s="1"/>
  <c r="F1403" i="5"/>
  <c r="G1403" i="5" s="1"/>
  <c r="E1404" i="5"/>
  <c r="K1404" i="5" s="1"/>
  <c r="F1404" i="5"/>
  <c r="G1404" i="5" s="1"/>
  <c r="E1405" i="5"/>
  <c r="K1405" i="5" s="1"/>
  <c r="F1405" i="5"/>
  <c r="G1405" i="5" s="1"/>
  <c r="E1406" i="5"/>
  <c r="K1406" i="5" s="1"/>
  <c r="F1406" i="5"/>
  <c r="G1406" i="5" s="1"/>
  <c r="E1407" i="5"/>
  <c r="K1407" i="5" s="1"/>
  <c r="F1407" i="5"/>
  <c r="H1407" i="5" s="1"/>
  <c r="I1407" i="5" s="1"/>
  <c r="J1407" i="5" s="1"/>
  <c r="E1408" i="5"/>
  <c r="K1408" i="5" s="1"/>
  <c r="F1408" i="5"/>
  <c r="E1409" i="5"/>
  <c r="K1409" i="5" s="1"/>
  <c r="F1409" i="5"/>
  <c r="G1409" i="5" s="1"/>
  <c r="E1410" i="5"/>
  <c r="K1410" i="5" s="1"/>
  <c r="F1410" i="5"/>
  <c r="G1410" i="5" s="1"/>
  <c r="E1411" i="5"/>
  <c r="K1411" i="5" s="1"/>
  <c r="F1411" i="5"/>
  <c r="G1411" i="5" s="1"/>
  <c r="E1412" i="5"/>
  <c r="K1412" i="5" s="1"/>
  <c r="F1412" i="5"/>
  <c r="G1412" i="5" s="1"/>
  <c r="E1413" i="5"/>
  <c r="F1413" i="5"/>
  <c r="G1413" i="5" s="1"/>
  <c r="K1413" i="5"/>
  <c r="E1414" i="5"/>
  <c r="F1414" i="5"/>
  <c r="G1414" i="5" s="1"/>
  <c r="H1414" i="5"/>
  <c r="I1414" i="5" s="1"/>
  <c r="J1414" i="5" s="1"/>
  <c r="K1414" i="5"/>
  <c r="E1415" i="5"/>
  <c r="K1415" i="5" s="1"/>
  <c r="F1415" i="5"/>
  <c r="H1415" i="5" s="1"/>
  <c r="I1415" i="5" s="1"/>
  <c r="J1415" i="5" s="1"/>
  <c r="E1416" i="5"/>
  <c r="K1416" i="5" s="1"/>
  <c r="F1416" i="5"/>
  <c r="H1416" i="5" s="1"/>
  <c r="I1416" i="5" s="1"/>
  <c r="J1416" i="5" s="1"/>
  <c r="E1417" i="5"/>
  <c r="K1417" i="5" s="1"/>
  <c r="F1417" i="5"/>
  <c r="H1417" i="5" s="1"/>
  <c r="I1417" i="5" s="1"/>
  <c r="J1417" i="5" s="1"/>
  <c r="E1418" i="5"/>
  <c r="K1418" i="5" s="1"/>
  <c r="F1418" i="5"/>
  <c r="E1419" i="5"/>
  <c r="K1419" i="5" s="1"/>
  <c r="F1419" i="5"/>
  <c r="H1419" i="5" s="1"/>
  <c r="I1419" i="5" s="1"/>
  <c r="J1419" i="5" s="1"/>
  <c r="E1420" i="5"/>
  <c r="K1420" i="5" s="1"/>
  <c r="F1420" i="5"/>
  <c r="H1420" i="5" s="1"/>
  <c r="I1420" i="5" s="1"/>
  <c r="J1420" i="5" s="1"/>
  <c r="G1420" i="5"/>
  <c r="E1421" i="5"/>
  <c r="K1421" i="5" s="1"/>
  <c r="F1421" i="5"/>
  <c r="G1421" i="5" s="1"/>
  <c r="E1422" i="5"/>
  <c r="K1422" i="5" s="1"/>
  <c r="F1422" i="5"/>
  <c r="G1422" i="5" s="1"/>
  <c r="E1423" i="5"/>
  <c r="K1423" i="5" s="1"/>
  <c r="F1423" i="5"/>
  <c r="G1423" i="5" s="1"/>
  <c r="E1424" i="5"/>
  <c r="K1424" i="5" s="1"/>
  <c r="F1424" i="5"/>
  <c r="G1424" i="5" s="1"/>
  <c r="H1424" i="5"/>
  <c r="I1424" i="5" s="1"/>
  <c r="J1424" i="5" s="1"/>
  <c r="E1425" i="5"/>
  <c r="K1425" i="5" s="1"/>
  <c r="F1425" i="5"/>
  <c r="H1425" i="5" s="1"/>
  <c r="I1425" i="5" s="1"/>
  <c r="J1425" i="5" s="1"/>
  <c r="G1425" i="5"/>
  <c r="E1426" i="5"/>
  <c r="K1426" i="5" s="1"/>
  <c r="F1426" i="5"/>
  <c r="G1426" i="5" s="1"/>
  <c r="H1426" i="5"/>
  <c r="I1426" i="5" s="1"/>
  <c r="J1426" i="5" s="1"/>
  <c r="E1427" i="5"/>
  <c r="K1427" i="5" s="1"/>
  <c r="F1427" i="5"/>
  <c r="H1427" i="5" s="1"/>
  <c r="I1427" i="5" s="1"/>
  <c r="J1427" i="5" s="1"/>
  <c r="E1428" i="5"/>
  <c r="K1428" i="5" s="1"/>
  <c r="F1428" i="5"/>
  <c r="G1428" i="5" s="1"/>
  <c r="E1429" i="5"/>
  <c r="K1429" i="5" s="1"/>
  <c r="F1429" i="5"/>
  <c r="G1429" i="5" s="1"/>
  <c r="E1430" i="5"/>
  <c r="K1430" i="5" s="1"/>
  <c r="F1430" i="5"/>
  <c r="G1430" i="5" s="1"/>
  <c r="E1431" i="5"/>
  <c r="K1431" i="5" s="1"/>
  <c r="F1431" i="5"/>
  <c r="H1431" i="5" s="1"/>
  <c r="I1431" i="5" s="1"/>
  <c r="J1431" i="5" s="1"/>
  <c r="G1431" i="5"/>
  <c r="E1432" i="5"/>
  <c r="K1432" i="5" s="1"/>
  <c r="F1432" i="5"/>
  <c r="H1432" i="5" s="1"/>
  <c r="I1432" i="5" s="1"/>
  <c r="J1432" i="5" s="1"/>
  <c r="G1432" i="5"/>
  <c r="E1433" i="5"/>
  <c r="K1433" i="5" s="1"/>
  <c r="F1433" i="5"/>
  <c r="G1433" i="5" s="1"/>
  <c r="E1434" i="5"/>
  <c r="K1434" i="5" s="1"/>
  <c r="F1434" i="5"/>
  <c r="G1434" i="5" s="1"/>
  <c r="E1435" i="5"/>
  <c r="K1435" i="5" s="1"/>
  <c r="F1435" i="5"/>
  <c r="G1435" i="5" s="1"/>
  <c r="E1436" i="5"/>
  <c r="F1436" i="5"/>
  <c r="G1436" i="5"/>
  <c r="H1436" i="5"/>
  <c r="I1436" i="5" s="1"/>
  <c r="J1436" i="5" s="1"/>
  <c r="K1436" i="5"/>
  <c r="E1437" i="5"/>
  <c r="K1437" i="5" s="1"/>
  <c r="F1437" i="5"/>
  <c r="G1437" i="5" s="1"/>
  <c r="E1438" i="5"/>
  <c r="K1438" i="5" s="1"/>
  <c r="F1438" i="5"/>
  <c r="G1438" i="5" s="1"/>
  <c r="E1439" i="5"/>
  <c r="F1439" i="5"/>
  <c r="G1439" i="5" s="1"/>
  <c r="K1439" i="5"/>
  <c r="E1440" i="5"/>
  <c r="K1440" i="5" s="1"/>
  <c r="F1440" i="5"/>
  <c r="G1440" i="5"/>
  <c r="H1440" i="5"/>
  <c r="I1440" i="5" s="1"/>
  <c r="J1440" i="5" s="1"/>
  <c r="E1441" i="5"/>
  <c r="K1441" i="5" s="1"/>
  <c r="F1441" i="5"/>
  <c r="G1441" i="5" s="1"/>
  <c r="E1442" i="5"/>
  <c r="K1442" i="5" s="1"/>
  <c r="F1442" i="5"/>
  <c r="H1442" i="5" s="1"/>
  <c r="I1442" i="5" s="1"/>
  <c r="J1442" i="5" s="1"/>
  <c r="G1442" i="5"/>
  <c r="E1443" i="5"/>
  <c r="K1443" i="5" s="1"/>
  <c r="F1443" i="5"/>
  <c r="E1444" i="5"/>
  <c r="K1444" i="5" s="1"/>
  <c r="F1444" i="5"/>
  <c r="G1444" i="5" s="1"/>
  <c r="E1445" i="5"/>
  <c r="F1445" i="5"/>
  <c r="G1445" i="5"/>
  <c r="H1445" i="5"/>
  <c r="I1445" i="5" s="1"/>
  <c r="J1445" i="5" s="1"/>
  <c r="K1445" i="5"/>
  <c r="E1446" i="5"/>
  <c r="K1446" i="5" s="1"/>
  <c r="F1446" i="5"/>
  <c r="G1446" i="5" s="1"/>
  <c r="E1447" i="5"/>
  <c r="F1447" i="5"/>
  <c r="G1447" i="5" s="1"/>
  <c r="K1447" i="5"/>
  <c r="E1448" i="5"/>
  <c r="K1448" i="5" s="1"/>
  <c r="F1448" i="5"/>
  <c r="H1448" i="5" s="1"/>
  <c r="I1448" i="5" s="1"/>
  <c r="J1448" i="5" s="1"/>
  <c r="G1448" i="5"/>
  <c r="E1449" i="5"/>
  <c r="K1449" i="5" s="1"/>
  <c r="F1449" i="5"/>
  <c r="G1449" i="5" s="1"/>
  <c r="E1450" i="5"/>
  <c r="K1450" i="5" s="1"/>
  <c r="F1450" i="5"/>
  <c r="H1450" i="5" s="1"/>
  <c r="I1450" i="5" s="1"/>
  <c r="J1450" i="5" s="1"/>
  <c r="E1451" i="5"/>
  <c r="K1451" i="5" s="1"/>
  <c r="F1451" i="5"/>
  <c r="G1451" i="5" s="1"/>
  <c r="E1452" i="5"/>
  <c r="K1452" i="5" s="1"/>
  <c r="F1452" i="5"/>
  <c r="H1452" i="5" s="1"/>
  <c r="I1452" i="5" s="1"/>
  <c r="J1452" i="5" s="1"/>
  <c r="E1453" i="5"/>
  <c r="K1453" i="5" s="1"/>
  <c r="F1453" i="5"/>
  <c r="G1453" i="5" s="1"/>
  <c r="E1454" i="5"/>
  <c r="K1454" i="5" s="1"/>
  <c r="F1454" i="5"/>
  <c r="G1454" i="5" s="1"/>
  <c r="E1455" i="5"/>
  <c r="K1455" i="5" s="1"/>
  <c r="F1455" i="5"/>
  <c r="G1455" i="5" s="1"/>
  <c r="E1456" i="5"/>
  <c r="K1456" i="5" s="1"/>
  <c r="F1456" i="5"/>
  <c r="G1456" i="5" s="1"/>
  <c r="E1457" i="5"/>
  <c r="F1457" i="5"/>
  <c r="G1457" i="5" s="1"/>
  <c r="K1457" i="5"/>
  <c r="E1458" i="5"/>
  <c r="K1458" i="5" s="1"/>
  <c r="F1458" i="5"/>
  <c r="G1458" i="5" s="1"/>
  <c r="E1459" i="5"/>
  <c r="K1459" i="5" s="1"/>
  <c r="F1459" i="5"/>
  <c r="G1459" i="5" s="1"/>
  <c r="E1460" i="5"/>
  <c r="K1460" i="5" s="1"/>
  <c r="F1460" i="5"/>
  <c r="G1460" i="5" s="1"/>
  <c r="E1461" i="5"/>
  <c r="K1461" i="5" s="1"/>
  <c r="F1461" i="5"/>
  <c r="G1461" i="5" s="1"/>
  <c r="E1462" i="5"/>
  <c r="K1462" i="5" s="1"/>
  <c r="F1462" i="5"/>
  <c r="E1463" i="5"/>
  <c r="K1463" i="5" s="1"/>
  <c r="F1463" i="5"/>
  <c r="G1463" i="5" s="1"/>
  <c r="E1464" i="5"/>
  <c r="F1464" i="5"/>
  <c r="H1464" i="5" s="1"/>
  <c r="I1464" i="5" s="1"/>
  <c r="J1464" i="5" s="1"/>
  <c r="K1464" i="5"/>
  <c r="E1465" i="5"/>
  <c r="K1465" i="5" s="1"/>
  <c r="F1465" i="5"/>
  <c r="G1465" i="5"/>
  <c r="H1465" i="5"/>
  <c r="I1465" i="5" s="1"/>
  <c r="J1465" i="5" s="1"/>
  <c r="E1466" i="5"/>
  <c r="F1466" i="5"/>
  <c r="G1466" i="5" s="1"/>
  <c r="K1466" i="5"/>
  <c r="E1467" i="5"/>
  <c r="K1467" i="5" s="1"/>
  <c r="F1467" i="5"/>
  <c r="G1467" i="5" s="1"/>
  <c r="E1468" i="5"/>
  <c r="K1468" i="5" s="1"/>
  <c r="F1468" i="5"/>
  <c r="H1468" i="5" s="1"/>
  <c r="I1468" i="5" s="1"/>
  <c r="J1468" i="5" s="1"/>
  <c r="E1469" i="5"/>
  <c r="K1469" i="5" s="1"/>
  <c r="F1469" i="5"/>
  <c r="H1469" i="5" s="1"/>
  <c r="I1469" i="5" s="1"/>
  <c r="J1469" i="5" s="1"/>
  <c r="E1470" i="5"/>
  <c r="K1470" i="5" s="1"/>
  <c r="F1470" i="5"/>
  <c r="G1470" i="5" s="1"/>
  <c r="E1471" i="5"/>
  <c r="K1471" i="5" s="1"/>
  <c r="F1471" i="5"/>
  <c r="H1471" i="5" s="1"/>
  <c r="I1471" i="5" s="1"/>
  <c r="J1471" i="5" s="1"/>
  <c r="E1472" i="5"/>
  <c r="K1472" i="5" s="1"/>
  <c r="F1472" i="5"/>
  <c r="E1473" i="5"/>
  <c r="K1473" i="5" s="1"/>
  <c r="F1473" i="5"/>
  <c r="G1473" i="5" s="1"/>
  <c r="E1474" i="5"/>
  <c r="K1474" i="5" s="1"/>
  <c r="F1474" i="5"/>
  <c r="E1475" i="5"/>
  <c r="K1475" i="5" s="1"/>
  <c r="F1475" i="5"/>
  <c r="G1475" i="5" s="1"/>
  <c r="E1476" i="5"/>
  <c r="K1476" i="5" s="1"/>
  <c r="F1476" i="5"/>
  <c r="G1476" i="5" s="1"/>
  <c r="E1477" i="5"/>
  <c r="K1477" i="5" s="1"/>
  <c r="F1477" i="5"/>
  <c r="H1477" i="5" s="1"/>
  <c r="I1477" i="5" s="1"/>
  <c r="J1477" i="5" s="1"/>
  <c r="E1478" i="5"/>
  <c r="K1478" i="5" s="1"/>
  <c r="F1478" i="5"/>
  <c r="G1478" i="5" s="1"/>
  <c r="E1479" i="5"/>
  <c r="K1479" i="5" s="1"/>
  <c r="F1479" i="5"/>
  <c r="H1479" i="5" s="1"/>
  <c r="I1479" i="5" s="1"/>
  <c r="J1479" i="5" s="1"/>
  <c r="E1480" i="5"/>
  <c r="K1480" i="5" s="1"/>
  <c r="F1480" i="5"/>
  <c r="G1480" i="5" s="1"/>
  <c r="E1481" i="5"/>
  <c r="K1481" i="5" s="1"/>
  <c r="F1481" i="5"/>
  <c r="H1481" i="5" s="1"/>
  <c r="I1481" i="5" s="1"/>
  <c r="J1481" i="5" s="1"/>
  <c r="E1482" i="5"/>
  <c r="K1482" i="5" s="1"/>
  <c r="F1482" i="5"/>
  <c r="E1483" i="5"/>
  <c r="K1483" i="5" s="1"/>
  <c r="F1483" i="5"/>
  <c r="G1483" i="5" s="1"/>
  <c r="E1484" i="5"/>
  <c r="K1484" i="5" s="1"/>
  <c r="F1484" i="5"/>
  <c r="G1484" i="5" s="1"/>
  <c r="E1485" i="5"/>
  <c r="K1485" i="5" s="1"/>
  <c r="F1485" i="5"/>
  <c r="G1485" i="5" s="1"/>
  <c r="E1486" i="5"/>
  <c r="F1486" i="5"/>
  <c r="G1486" i="5" s="1"/>
  <c r="K1486" i="5"/>
  <c r="E1487" i="5"/>
  <c r="F1487" i="5"/>
  <c r="H1487" i="5" s="1"/>
  <c r="I1487" i="5" s="1"/>
  <c r="J1487" i="5" s="1"/>
  <c r="G1487" i="5"/>
  <c r="K1487" i="5"/>
  <c r="E1488" i="5"/>
  <c r="K1488" i="5" s="1"/>
  <c r="F1488" i="5"/>
  <c r="G1488" i="5" s="1"/>
  <c r="E1489" i="5"/>
  <c r="K1489" i="5" s="1"/>
  <c r="F1489" i="5"/>
  <c r="G1489" i="5" s="1"/>
  <c r="E1490" i="5"/>
  <c r="K1490" i="5" s="1"/>
  <c r="F1490" i="5"/>
  <c r="G1490" i="5" s="1"/>
  <c r="E1491" i="5"/>
  <c r="K1491" i="5" s="1"/>
  <c r="F1491" i="5"/>
  <c r="H1491" i="5" s="1"/>
  <c r="I1491" i="5" s="1"/>
  <c r="J1491" i="5" s="1"/>
  <c r="E1492" i="5"/>
  <c r="K1492" i="5" s="1"/>
  <c r="F1492" i="5"/>
  <c r="H1492" i="5" s="1"/>
  <c r="I1492" i="5" s="1"/>
  <c r="J1492" i="5" s="1"/>
  <c r="E1493" i="5"/>
  <c r="K1493" i="5" s="1"/>
  <c r="F1493" i="5"/>
  <c r="G1493" i="5" s="1"/>
  <c r="E1494" i="5"/>
  <c r="K1494" i="5" s="1"/>
  <c r="F1494" i="5"/>
  <c r="G1494" i="5" s="1"/>
  <c r="E1495" i="5"/>
  <c r="K1495" i="5" s="1"/>
  <c r="F1495" i="5"/>
  <c r="H1495" i="5" s="1"/>
  <c r="I1495" i="5" s="1"/>
  <c r="J1495" i="5" s="1"/>
  <c r="E1496" i="5"/>
  <c r="K1496" i="5" s="1"/>
  <c r="F1496" i="5"/>
  <c r="H1496" i="5" s="1"/>
  <c r="I1496" i="5" s="1"/>
  <c r="J1496" i="5" s="1"/>
  <c r="E1497" i="5"/>
  <c r="K1497" i="5" s="1"/>
  <c r="F1497" i="5"/>
  <c r="G1497" i="5" s="1"/>
  <c r="E1498" i="5"/>
  <c r="K1498" i="5" s="1"/>
  <c r="F1498" i="5"/>
  <c r="G1498" i="5"/>
  <c r="H1498" i="5"/>
  <c r="I1498" i="5" s="1"/>
  <c r="J1498" i="5" s="1"/>
  <c r="E1499" i="5"/>
  <c r="K1499" i="5" s="1"/>
  <c r="F1499" i="5"/>
  <c r="G1499" i="5" s="1"/>
  <c r="E1500" i="5"/>
  <c r="F1500" i="5"/>
  <c r="G1500" i="5" s="1"/>
  <c r="K1500" i="5"/>
  <c r="E1501" i="5"/>
  <c r="K1501" i="5" s="1"/>
  <c r="F1501" i="5"/>
  <c r="H1501" i="5" s="1"/>
  <c r="I1501" i="5" s="1"/>
  <c r="J1501" i="5" s="1"/>
  <c r="E1502" i="5"/>
  <c r="K1502" i="5" s="1"/>
  <c r="F1502" i="5"/>
  <c r="G1502" i="5" s="1"/>
  <c r="E1503" i="5"/>
  <c r="K1503" i="5" s="1"/>
  <c r="F1503" i="5"/>
  <c r="H1503" i="5" s="1"/>
  <c r="I1503" i="5" s="1"/>
  <c r="J1503" i="5" s="1"/>
  <c r="E1504" i="5"/>
  <c r="K1504" i="5" s="1"/>
  <c r="F1504" i="5"/>
  <c r="G1504" i="5" s="1"/>
  <c r="E1505" i="5"/>
  <c r="K1505" i="5" s="1"/>
  <c r="F1505" i="5"/>
  <c r="G1505" i="5" s="1"/>
  <c r="E1506" i="5"/>
  <c r="F1506" i="5"/>
  <c r="K1506" i="5"/>
  <c r="E1507" i="5"/>
  <c r="K1507" i="5" s="1"/>
  <c r="F1507" i="5"/>
  <c r="E1508" i="5"/>
  <c r="K1508" i="5" s="1"/>
  <c r="F1508" i="5"/>
  <c r="E1509" i="5"/>
  <c r="K1509" i="5" s="1"/>
  <c r="F1509" i="5"/>
  <c r="H1509" i="5" s="1"/>
  <c r="I1509" i="5" s="1"/>
  <c r="J1509" i="5" s="1"/>
  <c r="G1509" i="5"/>
  <c r="E1510" i="5"/>
  <c r="F1510" i="5"/>
  <c r="H1510" i="5" s="1"/>
  <c r="I1510" i="5" s="1"/>
  <c r="J1510" i="5" s="1"/>
  <c r="K1510" i="5"/>
  <c r="E1511" i="5"/>
  <c r="K1511" i="5" s="1"/>
  <c r="F1511" i="5"/>
  <c r="G1511" i="5" s="1"/>
  <c r="H1511" i="5"/>
  <c r="I1511" i="5" s="1"/>
  <c r="J1511" i="5" s="1"/>
  <c r="E1512" i="5"/>
  <c r="K1512" i="5" s="1"/>
  <c r="F1512" i="5"/>
  <c r="G1512" i="5" s="1"/>
  <c r="E1513" i="5"/>
  <c r="K1513" i="5" s="1"/>
  <c r="F1513" i="5"/>
  <c r="G1513" i="5" s="1"/>
  <c r="E1514" i="5"/>
  <c r="K1514" i="5" s="1"/>
  <c r="F1514" i="5"/>
  <c r="G1514" i="5" s="1"/>
  <c r="E1515" i="5"/>
  <c r="K1515" i="5" s="1"/>
  <c r="F1515" i="5"/>
  <c r="G1515" i="5" s="1"/>
  <c r="E1516" i="5"/>
  <c r="K1516" i="5" s="1"/>
  <c r="F1516" i="5"/>
  <c r="H1516" i="5" s="1"/>
  <c r="I1516" i="5" s="1"/>
  <c r="J1516" i="5" s="1"/>
  <c r="E1517" i="5"/>
  <c r="K1517" i="5" s="1"/>
  <c r="F1517" i="5"/>
  <c r="G1517" i="5" s="1"/>
  <c r="E1518" i="5"/>
  <c r="K1518" i="5" s="1"/>
  <c r="F1518" i="5"/>
  <c r="G1518" i="5" s="1"/>
  <c r="E1519" i="5"/>
  <c r="K1519" i="5" s="1"/>
  <c r="F1519" i="5"/>
  <c r="H1519" i="5" s="1"/>
  <c r="I1519" i="5" s="1"/>
  <c r="J1519" i="5" s="1"/>
  <c r="E1520" i="5"/>
  <c r="K1520" i="5" s="1"/>
  <c r="F1520" i="5"/>
  <c r="G1520" i="5" s="1"/>
  <c r="E1521" i="5"/>
  <c r="K1521" i="5" s="1"/>
  <c r="F1521" i="5"/>
  <c r="H1521" i="5" s="1"/>
  <c r="I1521" i="5" s="1"/>
  <c r="J1521" i="5" s="1"/>
  <c r="E1522" i="5"/>
  <c r="K1522" i="5" s="1"/>
  <c r="F1522" i="5"/>
  <c r="G1522" i="5" s="1"/>
  <c r="E1523" i="5"/>
  <c r="K1523" i="5" s="1"/>
  <c r="F1523" i="5"/>
  <c r="H1523" i="5" s="1"/>
  <c r="I1523" i="5" s="1"/>
  <c r="J1523" i="5" s="1"/>
  <c r="E1524" i="5"/>
  <c r="K1524" i="5" s="1"/>
  <c r="F1524" i="5"/>
  <c r="G1524" i="5" s="1"/>
  <c r="E1525" i="5"/>
  <c r="K1525" i="5" s="1"/>
  <c r="F1525" i="5"/>
  <c r="H1525" i="5" s="1"/>
  <c r="I1525" i="5" s="1"/>
  <c r="J1525" i="5" s="1"/>
  <c r="E1526" i="5"/>
  <c r="K1526" i="5" s="1"/>
  <c r="F1526" i="5"/>
  <c r="E1527" i="5"/>
  <c r="K1527" i="5" s="1"/>
  <c r="F1527" i="5"/>
  <c r="G1527" i="5" s="1"/>
  <c r="E1528" i="5"/>
  <c r="K1528" i="5" s="1"/>
  <c r="F1528" i="5"/>
  <c r="G1528" i="5" s="1"/>
  <c r="E1529" i="5"/>
  <c r="K1529" i="5" s="1"/>
  <c r="F1529" i="5"/>
  <c r="H1529" i="5" s="1"/>
  <c r="I1529" i="5" s="1"/>
  <c r="J1529" i="5" s="1"/>
  <c r="E1530" i="5"/>
  <c r="K1530" i="5" s="1"/>
  <c r="F1530" i="5"/>
  <c r="H1530" i="5" s="1"/>
  <c r="I1530" i="5" s="1"/>
  <c r="J1530" i="5" s="1"/>
  <c r="G1530" i="5"/>
  <c r="E1531" i="5"/>
  <c r="K1531" i="5" s="1"/>
  <c r="F1531" i="5"/>
  <c r="H1531" i="5" s="1"/>
  <c r="I1531" i="5" s="1"/>
  <c r="J1531" i="5" s="1"/>
  <c r="E1532" i="5"/>
  <c r="K1532" i="5" s="1"/>
  <c r="F1532" i="5"/>
  <c r="G1532" i="5" s="1"/>
  <c r="H1532" i="5"/>
  <c r="I1532" i="5" s="1"/>
  <c r="J1532" i="5" s="1"/>
  <c r="E1533" i="5"/>
  <c r="K1533" i="5" s="1"/>
  <c r="F1533" i="5"/>
  <c r="G1533" i="5" s="1"/>
  <c r="E1534" i="5"/>
  <c r="K1534" i="5" s="1"/>
  <c r="F1534" i="5"/>
  <c r="G1534" i="5" s="1"/>
  <c r="E1535" i="5"/>
  <c r="K1535" i="5" s="1"/>
  <c r="F1535" i="5"/>
  <c r="H1535" i="5" s="1"/>
  <c r="I1535" i="5" s="1"/>
  <c r="J1535" i="5" s="1"/>
  <c r="E1536" i="5"/>
  <c r="K1536" i="5" s="1"/>
  <c r="F1536" i="5"/>
  <c r="E1537" i="5"/>
  <c r="K1537" i="5" s="1"/>
  <c r="F1537" i="5"/>
  <c r="E1538" i="5"/>
  <c r="K1538" i="5" s="1"/>
  <c r="F1538" i="5"/>
  <c r="G1538" i="5" s="1"/>
  <c r="E1539" i="5"/>
  <c r="K1539" i="5" s="1"/>
  <c r="F1539" i="5"/>
  <c r="G1539" i="5" s="1"/>
  <c r="E1540" i="5"/>
  <c r="K1540" i="5" s="1"/>
  <c r="F1540" i="5"/>
  <c r="G1540" i="5" s="1"/>
  <c r="E1541" i="5"/>
  <c r="K1541" i="5" s="1"/>
  <c r="F1541" i="5"/>
  <c r="G1541" i="5" s="1"/>
  <c r="E1542" i="5"/>
  <c r="K1542" i="5" s="1"/>
  <c r="F1542" i="5"/>
  <c r="H1542" i="5" s="1"/>
  <c r="I1542" i="5" s="1"/>
  <c r="J1542" i="5" s="1"/>
  <c r="E1543" i="5"/>
  <c r="K1543" i="5" s="1"/>
  <c r="F1543" i="5"/>
  <c r="G1543" i="5" s="1"/>
  <c r="E1544" i="5"/>
  <c r="K1544" i="5" s="1"/>
  <c r="F1544" i="5"/>
  <c r="G1544" i="5" s="1"/>
  <c r="E1545" i="5"/>
  <c r="K1545" i="5" s="1"/>
  <c r="F1545" i="5"/>
  <c r="H1545" i="5" s="1"/>
  <c r="I1545" i="5" s="1"/>
  <c r="J1545" i="5" s="1"/>
  <c r="E1546" i="5"/>
  <c r="F1546" i="5"/>
  <c r="K1546" i="5"/>
  <c r="E1547" i="5"/>
  <c r="K1547" i="5" s="1"/>
  <c r="F1547" i="5"/>
  <c r="G1547" i="5" s="1"/>
  <c r="E1548" i="5"/>
  <c r="K1548" i="5" s="1"/>
  <c r="F1548" i="5"/>
  <c r="E1549" i="5"/>
  <c r="K1549" i="5" s="1"/>
  <c r="F1549" i="5"/>
  <c r="G1549" i="5" s="1"/>
  <c r="E1550" i="5"/>
  <c r="K1550" i="5" s="1"/>
  <c r="F1550" i="5"/>
  <c r="G1550" i="5" s="1"/>
  <c r="E1551" i="5"/>
  <c r="K1551" i="5" s="1"/>
  <c r="F1551" i="5"/>
  <c r="G1551" i="5" s="1"/>
  <c r="E1552" i="5"/>
  <c r="K1552" i="5" s="1"/>
  <c r="F1552" i="5"/>
  <c r="H1552" i="5" s="1"/>
  <c r="I1552" i="5" s="1"/>
  <c r="J1552" i="5" s="1"/>
  <c r="G1552" i="5"/>
  <c r="E1553" i="5"/>
  <c r="K1553" i="5" s="1"/>
  <c r="F1553" i="5"/>
  <c r="G1553" i="5" s="1"/>
  <c r="H1553" i="5"/>
  <c r="I1553" i="5" s="1"/>
  <c r="J1553" i="5" s="1"/>
  <c r="E1554" i="5"/>
  <c r="K1554" i="5" s="1"/>
  <c r="F1554" i="5"/>
  <c r="G1554" i="5" s="1"/>
  <c r="E1555" i="5"/>
  <c r="K1555" i="5" s="1"/>
  <c r="F1555" i="5"/>
  <c r="H1555" i="5" s="1"/>
  <c r="I1555" i="5" s="1"/>
  <c r="J1555" i="5" s="1"/>
  <c r="E1556" i="5"/>
  <c r="K1556" i="5" s="1"/>
  <c r="F1556" i="5"/>
  <c r="H1556" i="5" s="1"/>
  <c r="I1556" i="5" s="1"/>
  <c r="J1556" i="5" s="1"/>
  <c r="G1556" i="5"/>
  <c r="E1557" i="5"/>
  <c r="K1557" i="5" s="1"/>
  <c r="F1557" i="5"/>
  <c r="H1557" i="5" s="1"/>
  <c r="I1557" i="5" s="1"/>
  <c r="J1557" i="5" s="1"/>
  <c r="E1558" i="5"/>
  <c r="K1558" i="5" s="1"/>
  <c r="F1558" i="5"/>
  <c r="G1558" i="5" s="1"/>
  <c r="E1559" i="5"/>
  <c r="K1559" i="5" s="1"/>
  <c r="F1559" i="5"/>
  <c r="G1559" i="5" s="1"/>
  <c r="E1560" i="5"/>
  <c r="K1560" i="5" s="1"/>
  <c r="F1560" i="5"/>
  <c r="G1560" i="5" s="1"/>
  <c r="E1561" i="5"/>
  <c r="K1561" i="5" s="1"/>
  <c r="F1561" i="5"/>
  <c r="G1561" i="5" s="1"/>
  <c r="E1562" i="5"/>
  <c r="K1562" i="5" s="1"/>
  <c r="F1562" i="5"/>
  <c r="G1562" i="5" s="1"/>
  <c r="E1563" i="5"/>
  <c r="K1563" i="5" s="1"/>
  <c r="F1563" i="5"/>
  <c r="G1563" i="5" s="1"/>
  <c r="E1564" i="5"/>
  <c r="K1564" i="5" s="1"/>
  <c r="F1564" i="5"/>
  <c r="G1564" i="5" s="1"/>
  <c r="E1565" i="5"/>
  <c r="K1565" i="5" s="1"/>
  <c r="F1565" i="5"/>
  <c r="G1565" i="5" s="1"/>
  <c r="E1566" i="5"/>
  <c r="K1566" i="5" s="1"/>
  <c r="F1566" i="5"/>
  <c r="G1566" i="5" s="1"/>
  <c r="E1567" i="5"/>
  <c r="F1567" i="5"/>
  <c r="G1567" i="5" s="1"/>
  <c r="H1567" i="5"/>
  <c r="I1567" i="5" s="1"/>
  <c r="J1567" i="5" s="1"/>
  <c r="K1567" i="5"/>
  <c r="E1568" i="5"/>
  <c r="K1568" i="5" s="1"/>
  <c r="F1568" i="5"/>
  <c r="H1568" i="5" s="1"/>
  <c r="I1568" i="5" s="1"/>
  <c r="J1568" i="5" s="1"/>
  <c r="E1569" i="5"/>
  <c r="K1569" i="5" s="1"/>
  <c r="F1569" i="5"/>
  <c r="G1569" i="5" s="1"/>
  <c r="H1569" i="5"/>
  <c r="I1569" i="5" s="1"/>
  <c r="J1569" i="5" s="1"/>
  <c r="E1570" i="5"/>
  <c r="K1570" i="5" s="1"/>
  <c r="F1570" i="5"/>
  <c r="G1570" i="5" s="1"/>
  <c r="E1571" i="5"/>
  <c r="K1571" i="5" s="1"/>
  <c r="F1571" i="5"/>
  <c r="E1572" i="5"/>
  <c r="K1572" i="5" s="1"/>
  <c r="F1572" i="5"/>
  <c r="G1572" i="5"/>
  <c r="H1572" i="5"/>
  <c r="I1572" i="5" s="1"/>
  <c r="J1572" i="5" s="1"/>
  <c r="E1573" i="5"/>
  <c r="K1573" i="5" s="1"/>
  <c r="F1573" i="5"/>
  <c r="G1573" i="5" s="1"/>
  <c r="E1574" i="5"/>
  <c r="K1574" i="5" s="1"/>
  <c r="F1574" i="5"/>
  <c r="H1574" i="5" s="1"/>
  <c r="I1574" i="5" s="1"/>
  <c r="J1574" i="5" s="1"/>
  <c r="E1575" i="5"/>
  <c r="K1575" i="5" s="1"/>
  <c r="F1575" i="5"/>
  <c r="G1575" i="5" s="1"/>
  <c r="E1576" i="5"/>
  <c r="K1576" i="5" s="1"/>
  <c r="F1576" i="5"/>
  <c r="H1576" i="5" s="1"/>
  <c r="I1576" i="5" s="1"/>
  <c r="J1576" i="5" s="1"/>
  <c r="G1576" i="5"/>
  <c r="E1577" i="5"/>
  <c r="K1577" i="5" s="1"/>
  <c r="F1577" i="5"/>
  <c r="G1577" i="5" s="1"/>
  <c r="E1578" i="5"/>
  <c r="K1578" i="5" s="1"/>
  <c r="F1578" i="5"/>
  <c r="H1578" i="5" s="1"/>
  <c r="I1578" i="5" s="1"/>
  <c r="J1578" i="5" s="1"/>
  <c r="G1578" i="5"/>
  <c r="E1579" i="5"/>
  <c r="K1579" i="5" s="1"/>
  <c r="F1579" i="5"/>
  <c r="G1579" i="5" s="1"/>
  <c r="E1580" i="5"/>
  <c r="K1580" i="5" s="1"/>
  <c r="F1580" i="5"/>
  <c r="H1580" i="5" s="1"/>
  <c r="I1580" i="5" s="1"/>
  <c r="J1580" i="5" s="1"/>
  <c r="E1581" i="5"/>
  <c r="K1581" i="5" s="1"/>
  <c r="F1581" i="5"/>
  <c r="E1582" i="5"/>
  <c r="K1582" i="5" s="1"/>
  <c r="F1582" i="5"/>
  <c r="G1582" i="5" s="1"/>
  <c r="E1583" i="5"/>
  <c r="K1583" i="5" s="1"/>
  <c r="F1583" i="5"/>
  <c r="G1583" i="5" s="1"/>
  <c r="E1584" i="5"/>
  <c r="K1584" i="5" s="1"/>
  <c r="F1584" i="5"/>
  <c r="G1584" i="5" s="1"/>
  <c r="E1585" i="5"/>
  <c r="K1585" i="5" s="1"/>
  <c r="F1585" i="5"/>
  <c r="G1585" i="5" s="1"/>
  <c r="E1586" i="5"/>
  <c r="K1586" i="5" s="1"/>
  <c r="F1586" i="5"/>
  <c r="H1586" i="5" s="1"/>
  <c r="I1586" i="5" s="1"/>
  <c r="J1586" i="5" s="1"/>
  <c r="G1586" i="5"/>
  <c r="E1587" i="5"/>
  <c r="K1587" i="5" s="1"/>
  <c r="F1587" i="5"/>
  <c r="G1587" i="5" s="1"/>
  <c r="E1588" i="5"/>
  <c r="K1588" i="5" s="1"/>
  <c r="F1588" i="5"/>
  <c r="G1588" i="5" s="1"/>
  <c r="E1589" i="5"/>
  <c r="K1589" i="5" s="1"/>
  <c r="F1589" i="5"/>
  <c r="G1589" i="5" s="1"/>
  <c r="E1590" i="5"/>
  <c r="K1590" i="5" s="1"/>
  <c r="F1590" i="5"/>
  <c r="E1591" i="5"/>
  <c r="K1591" i="5" s="1"/>
  <c r="F1591" i="5"/>
  <c r="G1591" i="5" s="1"/>
  <c r="E1592" i="5"/>
  <c r="K1592" i="5" s="1"/>
  <c r="F1592" i="5"/>
  <c r="G1592" i="5" s="1"/>
  <c r="E1593" i="5"/>
  <c r="K1593" i="5" s="1"/>
  <c r="F1593" i="5"/>
  <c r="H1593" i="5" s="1"/>
  <c r="I1593" i="5" s="1"/>
  <c r="J1593" i="5" s="1"/>
  <c r="G1593" i="5"/>
  <c r="E1594" i="5"/>
  <c r="K1594" i="5" s="1"/>
  <c r="F1594" i="5"/>
  <c r="H1594" i="5" s="1"/>
  <c r="I1594" i="5" s="1"/>
  <c r="J1594" i="5" s="1"/>
  <c r="G1594" i="5"/>
  <c r="E1595" i="5"/>
  <c r="K1595" i="5" s="1"/>
  <c r="F1595" i="5"/>
  <c r="G1595" i="5" s="1"/>
  <c r="E1596" i="5"/>
  <c r="K1596" i="5" s="1"/>
  <c r="F1596" i="5"/>
  <c r="H1596" i="5" s="1"/>
  <c r="I1596" i="5" s="1"/>
  <c r="J1596" i="5" s="1"/>
  <c r="E1597" i="5"/>
  <c r="F1597" i="5"/>
  <c r="G1597" i="5" s="1"/>
  <c r="K1597" i="5"/>
  <c r="E1598" i="5"/>
  <c r="K1598" i="5" s="1"/>
  <c r="F1598" i="5"/>
  <c r="G1598" i="5" s="1"/>
  <c r="E1599" i="5"/>
  <c r="K1599" i="5" s="1"/>
  <c r="F1599" i="5"/>
  <c r="H1599" i="5" s="1"/>
  <c r="I1599" i="5" s="1"/>
  <c r="G1599" i="5"/>
  <c r="E1600" i="5"/>
  <c r="K1600" i="5" s="1"/>
  <c r="F1600" i="5"/>
  <c r="E1601" i="5"/>
  <c r="K1601" i="5" s="1"/>
  <c r="F1601" i="5"/>
  <c r="G1601" i="5" s="1"/>
  <c r="E1602" i="5"/>
  <c r="F1602" i="5"/>
  <c r="G1602" i="5" s="1"/>
  <c r="K1602" i="5"/>
  <c r="E1603" i="5"/>
  <c r="K1603" i="5" s="1"/>
  <c r="F1603" i="5"/>
  <c r="G1603" i="5" s="1"/>
  <c r="E1604" i="5"/>
  <c r="K1604" i="5" s="1"/>
  <c r="F1604" i="5"/>
  <c r="H1604" i="5" s="1"/>
  <c r="I1604" i="5" s="1"/>
  <c r="G1604" i="5"/>
  <c r="E1605" i="5"/>
  <c r="K1605" i="5" s="1"/>
  <c r="F1605" i="5"/>
  <c r="G1605" i="5" s="1"/>
  <c r="E1606" i="5"/>
  <c r="K1606" i="5" s="1"/>
  <c r="F1606" i="5"/>
  <c r="G1606" i="5" s="1"/>
  <c r="E1607" i="5"/>
  <c r="K1607" i="5" s="1"/>
  <c r="F1607" i="5"/>
  <c r="G1607" i="5" s="1"/>
  <c r="H1607" i="5"/>
  <c r="I1607" i="5" s="1"/>
  <c r="J1607" i="5" s="1"/>
  <c r="E1608" i="5"/>
  <c r="K1608" i="5" s="1"/>
  <c r="F1608" i="5"/>
  <c r="G1608" i="5" s="1"/>
  <c r="E1609" i="5"/>
  <c r="K1609" i="5" s="1"/>
  <c r="F1609" i="5"/>
  <c r="H1609" i="5" s="1"/>
  <c r="I1609" i="5" s="1"/>
  <c r="J1609" i="5" s="1"/>
  <c r="E1610" i="5"/>
  <c r="K1610" i="5" s="1"/>
  <c r="F1610" i="5"/>
  <c r="E1611" i="5"/>
  <c r="K1611" i="5" s="1"/>
  <c r="F1611" i="5"/>
  <c r="H1611" i="5" s="1"/>
  <c r="I1611" i="5" s="1"/>
  <c r="J1611" i="5" s="1"/>
  <c r="E1612" i="5"/>
  <c r="F1612" i="5"/>
  <c r="G1612" i="5" s="1"/>
  <c r="K1612" i="5"/>
  <c r="E1613" i="5"/>
  <c r="F1613" i="5"/>
  <c r="G1613" i="5"/>
  <c r="H1613" i="5"/>
  <c r="I1613" i="5" s="1"/>
  <c r="J1613" i="5" s="1"/>
  <c r="K1613" i="5"/>
  <c r="E1614" i="5"/>
  <c r="K1614" i="5" s="1"/>
  <c r="F1614" i="5"/>
  <c r="G1614" i="5" s="1"/>
  <c r="E1615" i="5"/>
  <c r="F1615" i="5"/>
  <c r="G1615" i="5" s="1"/>
  <c r="K1615" i="5"/>
  <c r="E1616" i="5"/>
  <c r="K1616" i="5" s="1"/>
  <c r="F1616" i="5"/>
  <c r="G1616" i="5" s="1"/>
  <c r="E1617" i="5"/>
  <c r="K1617" i="5" s="1"/>
  <c r="F1617" i="5"/>
  <c r="G1617" i="5" s="1"/>
  <c r="E1618" i="5"/>
  <c r="K1618" i="5" s="1"/>
  <c r="F1618" i="5"/>
  <c r="H1618" i="5" s="1"/>
  <c r="I1618" i="5" s="1"/>
  <c r="J1618" i="5" s="1"/>
  <c r="E1619" i="5"/>
  <c r="K1619" i="5" s="1"/>
  <c r="F1619" i="5"/>
  <c r="H1619" i="5" s="1"/>
  <c r="I1619" i="5" s="1"/>
  <c r="J1619" i="5" s="1"/>
  <c r="E1620" i="5"/>
  <c r="K1620" i="5" s="1"/>
  <c r="F1620" i="5"/>
  <c r="G1620" i="5" s="1"/>
  <c r="E1621" i="5"/>
  <c r="K1621" i="5" s="1"/>
  <c r="F1621" i="5"/>
  <c r="H1621" i="5" s="1"/>
  <c r="I1621" i="5" s="1"/>
  <c r="J1621" i="5" s="1"/>
  <c r="G1621" i="5"/>
  <c r="E1622" i="5"/>
  <c r="K1622" i="5" s="1"/>
  <c r="F1622" i="5"/>
  <c r="G1622" i="5" s="1"/>
  <c r="E1623" i="5"/>
  <c r="K1623" i="5" s="1"/>
  <c r="F1623" i="5"/>
  <c r="G1623" i="5" s="1"/>
  <c r="E1624" i="5"/>
  <c r="F1624" i="5"/>
  <c r="K1624" i="5"/>
  <c r="E1625" i="5"/>
  <c r="K1625" i="5" s="1"/>
  <c r="F1625" i="5"/>
  <c r="H1625" i="5" s="1"/>
  <c r="I1625" i="5" s="1"/>
  <c r="J1625" i="5" s="1"/>
  <c r="G1625" i="5"/>
  <c r="E1626" i="5"/>
  <c r="K1626" i="5" s="1"/>
  <c r="F1626" i="5"/>
  <c r="H1626" i="5" s="1"/>
  <c r="I1626" i="5" s="1"/>
  <c r="J1626" i="5" s="1"/>
  <c r="E1627" i="5"/>
  <c r="K1627" i="5" s="1"/>
  <c r="F1627" i="5"/>
  <c r="H1627" i="5" s="1"/>
  <c r="I1627" i="5" s="1"/>
  <c r="J1627" i="5" s="1"/>
  <c r="G1627" i="5"/>
  <c r="E1628" i="5"/>
  <c r="K1628" i="5" s="1"/>
  <c r="F1628" i="5"/>
  <c r="G1628" i="5" s="1"/>
  <c r="E1629" i="5"/>
  <c r="K1629" i="5" s="1"/>
  <c r="F1629" i="5"/>
  <c r="H1629" i="5" s="1"/>
  <c r="I1629" i="5" s="1"/>
  <c r="J1629" i="5" s="1"/>
  <c r="E1630" i="5"/>
  <c r="K1630" i="5" s="1"/>
  <c r="F1630" i="5"/>
  <c r="H1630" i="5" s="1"/>
  <c r="I1630" i="5" s="1"/>
  <c r="J1630" i="5" s="1"/>
  <c r="G1630" i="5"/>
  <c r="E1631" i="5"/>
  <c r="K1631" i="5" s="1"/>
  <c r="F1631" i="5"/>
  <c r="G1631" i="5" s="1"/>
  <c r="E1632" i="5"/>
  <c r="K1632" i="5" s="1"/>
  <c r="F1632" i="5"/>
  <c r="G1632" i="5" s="1"/>
  <c r="E1633" i="5"/>
  <c r="F1633" i="5"/>
  <c r="G1633" i="5" s="1"/>
  <c r="H1633" i="5"/>
  <c r="I1633" i="5" s="1"/>
  <c r="J1633" i="5" s="1"/>
  <c r="K1633" i="5"/>
  <c r="E1634" i="5"/>
  <c r="F1634" i="5"/>
  <c r="G1634" i="5" s="1"/>
  <c r="K1634" i="5"/>
  <c r="E1635" i="5"/>
  <c r="K1635" i="5" s="1"/>
  <c r="F1635" i="5"/>
  <c r="E1636" i="5"/>
  <c r="K1636" i="5" s="1"/>
  <c r="F1636" i="5"/>
  <c r="H1636" i="5" s="1"/>
  <c r="I1636" i="5" s="1"/>
  <c r="J1636" i="5" s="1"/>
  <c r="E1637" i="5"/>
  <c r="K1637" i="5" s="1"/>
  <c r="F1637" i="5"/>
  <c r="G1637" i="5" s="1"/>
  <c r="E1638" i="5"/>
  <c r="F1638" i="5"/>
  <c r="G1638" i="5" s="1"/>
  <c r="K1638" i="5"/>
  <c r="E1639" i="5"/>
  <c r="K1639" i="5" s="1"/>
  <c r="F1639" i="5"/>
  <c r="H1639" i="5" s="1"/>
  <c r="I1639" i="5" s="1"/>
  <c r="J1639" i="5" s="1"/>
  <c r="G1639" i="5"/>
  <c r="E1640" i="5"/>
  <c r="F1640" i="5"/>
  <c r="H1640" i="5" s="1"/>
  <c r="I1640" i="5" s="1"/>
  <c r="J1640" i="5" s="1"/>
  <c r="G1640" i="5"/>
  <c r="K1640" i="5"/>
  <c r="E1641" i="5"/>
  <c r="K1641" i="5" s="1"/>
  <c r="F1641" i="5"/>
  <c r="G1641" i="5" s="1"/>
  <c r="E1642" i="5"/>
  <c r="K1642" i="5" s="1"/>
  <c r="F1642" i="5"/>
  <c r="G1642" i="5" s="1"/>
  <c r="E1643" i="5"/>
  <c r="K1643" i="5" s="1"/>
  <c r="F1643" i="5"/>
  <c r="H1643" i="5" s="1"/>
  <c r="I1643" i="5" s="1"/>
  <c r="J1643" i="5" s="1"/>
  <c r="E1644" i="5"/>
  <c r="F1644" i="5"/>
  <c r="H1644" i="5" s="1"/>
  <c r="I1644" i="5" s="1"/>
  <c r="J1644" i="5" s="1"/>
  <c r="G1644" i="5"/>
  <c r="K1644" i="5"/>
  <c r="F4" i="5"/>
  <c r="G4" i="5" s="1"/>
  <c r="E4" i="5"/>
  <c r="K4" i="5" s="1"/>
  <c r="O1592" i="3"/>
  <c r="O1591" i="3"/>
  <c r="O1590" i="3"/>
  <c r="O1589" i="3"/>
  <c r="O690" i="3"/>
  <c r="O689" i="3"/>
  <c r="O688" i="3"/>
  <c r="O369" i="3"/>
  <c r="O352" i="3"/>
  <c r="O341" i="3"/>
  <c r="O339" i="3"/>
  <c r="O338" i="3"/>
  <c r="O337" i="3"/>
  <c r="O336" i="3"/>
  <c r="O324" i="3"/>
  <c r="O309" i="3"/>
  <c r="O307" i="3"/>
  <c r="O295" i="3"/>
  <c r="O281" i="3"/>
  <c r="O11" i="3"/>
  <c r="E5" i="3"/>
  <c r="K5" i="3" s="1"/>
  <c r="F5" i="3"/>
  <c r="G5" i="3" s="1"/>
  <c r="E6" i="3"/>
  <c r="K6" i="3" s="1"/>
  <c r="F6" i="3"/>
  <c r="G6" i="3" s="1"/>
  <c r="E7" i="3"/>
  <c r="K7" i="3" s="1"/>
  <c r="F7" i="3"/>
  <c r="G7" i="3" s="1"/>
  <c r="E8" i="3"/>
  <c r="K8" i="3" s="1"/>
  <c r="F8" i="3"/>
  <c r="G8" i="3" s="1"/>
  <c r="E9" i="3"/>
  <c r="K9" i="3" s="1"/>
  <c r="F9" i="3"/>
  <c r="G9" i="3" s="1"/>
  <c r="E10" i="3"/>
  <c r="K10" i="3" s="1"/>
  <c r="F10" i="3"/>
  <c r="G10" i="3" s="1"/>
  <c r="E11" i="3"/>
  <c r="K11" i="3" s="1"/>
  <c r="M11" i="3" s="1"/>
  <c r="F11" i="3"/>
  <c r="G11" i="3" s="1"/>
  <c r="E12" i="3"/>
  <c r="K12" i="3" s="1"/>
  <c r="F12" i="3"/>
  <c r="G12" i="3" s="1"/>
  <c r="E13" i="3"/>
  <c r="K13" i="3" s="1"/>
  <c r="F13" i="3"/>
  <c r="G13" i="3" s="1"/>
  <c r="E14" i="3"/>
  <c r="K14" i="3" s="1"/>
  <c r="F14" i="3"/>
  <c r="G14" i="3" s="1"/>
  <c r="E15" i="3"/>
  <c r="K15" i="3" s="1"/>
  <c r="F15" i="3"/>
  <c r="G15" i="3" s="1"/>
  <c r="E16" i="3"/>
  <c r="K16" i="3" s="1"/>
  <c r="F16" i="3"/>
  <c r="G16" i="3" s="1"/>
  <c r="E17" i="3"/>
  <c r="K17" i="3" s="1"/>
  <c r="F17" i="3"/>
  <c r="G17" i="3" s="1"/>
  <c r="E18" i="3"/>
  <c r="K18" i="3" s="1"/>
  <c r="F18" i="3"/>
  <c r="E19" i="3"/>
  <c r="K19" i="3" s="1"/>
  <c r="F19" i="3"/>
  <c r="G19" i="3" s="1"/>
  <c r="E20" i="3"/>
  <c r="K20" i="3" s="1"/>
  <c r="F20" i="3"/>
  <c r="G20" i="3" s="1"/>
  <c r="E21" i="3"/>
  <c r="K21" i="3" s="1"/>
  <c r="F21" i="3"/>
  <c r="G21" i="3" s="1"/>
  <c r="E22" i="3"/>
  <c r="K22" i="3" s="1"/>
  <c r="F22" i="3"/>
  <c r="H22" i="3" s="1"/>
  <c r="I22" i="3" s="1"/>
  <c r="J22" i="3" s="1"/>
  <c r="E23" i="3"/>
  <c r="K23" i="3" s="1"/>
  <c r="F23" i="3"/>
  <c r="G23" i="3" s="1"/>
  <c r="E24" i="3"/>
  <c r="K24" i="3" s="1"/>
  <c r="F24" i="3"/>
  <c r="H24" i="3" s="1"/>
  <c r="I24" i="3" s="1"/>
  <c r="J24" i="3" s="1"/>
  <c r="E25" i="3"/>
  <c r="K25" i="3" s="1"/>
  <c r="F25" i="3"/>
  <c r="H25" i="3" s="1"/>
  <c r="I25" i="3" s="1"/>
  <c r="J25" i="3" s="1"/>
  <c r="E26" i="3"/>
  <c r="K26" i="3" s="1"/>
  <c r="F26" i="3"/>
  <c r="G26" i="3" s="1"/>
  <c r="E27" i="3"/>
  <c r="K27" i="3" s="1"/>
  <c r="F27" i="3"/>
  <c r="H27" i="3" s="1"/>
  <c r="I27" i="3" s="1"/>
  <c r="J27" i="3" s="1"/>
  <c r="E28" i="3"/>
  <c r="K28" i="3" s="1"/>
  <c r="F28" i="3"/>
  <c r="G28" i="3" s="1"/>
  <c r="E29" i="3"/>
  <c r="K29" i="3" s="1"/>
  <c r="F29" i="3"/>
  <c r="G29" i="3" s="1"/>
  <c r="E30" i="3"/>
  <c r="K30" i="3" s="1"/>
  <c r="F30" i="3"/>
  <c r="G30" i="3" s="1"/>
  <c r="E31" i="3"/>
  <c r="K31" i="3" s="1"/>
  <c r="F31" i="3"/>
  <c r="H31" i="3" s="1"/>
  <c r="I31" i="3" s="1"/>
  <c r="J31" i="3" s="1"/>
  <c r="E32" i="3"/>
  <c r="K32" i="3" s="1"/>
  <c r="F32" i="3"/>
  <c r="H32" i="3" s="1"/>
  <c r="I32" i="3" s="1"/>
  <c r="J32" i="3" s="1"/>
  <c r="E33" i="3"/>
  <c r="K33" i="3" s="1"/>
  <c r="F33" i="3"/>
  <c r="G33" i="3" s="1"/>
  <c r="E34" i="3"/>
  <c r="K34" i="3" s="1"/>
  <c r="F34" i="3"/>
  <c r="G34" i="3" s="1"/>
  <c r="E35" i="3"/>
  <c r="K35" i="3" s="1"/>
  <c r="F35" i="3"/>
  <c r="G35" i="3" s="1"/>
  <c r="E36" i="3"/>
  <c r="K36" i="3" s="1"/>
  <c r="F36" i="3"/>
  <c r="G36" i="3" s="1"/>
  <c r="E37" i="3"/>
  <c r="K37" i="3" s="1"/>
  <c r="F37" i="3"/>
  <c r="G37" i="3" s="1"/>
  <c r="E38" i="3"/>
  <c r="K38" i="3" s="1"/>
  <c r="F38" i="3"/>
  <c r="G38" i="3" s="1"/>
  <c r="E39" i="3"/>
  <c r="K39" i="3" s="1"/>
  <c r="F39" i="3"/>
  <c r="G39" i="3" s="1"/>
  <c r="E40" i="3"/>
  <c r="K40" i="3" s="1"/>
  <c r="F40" i="3"/>
  <c r="G40" i="3" s="1"/>
  <c r="E41" i="3"/>
  <c r="K41" i="3" s="1"/>
  <c r="F41" i="3"/>
  <c r="G41" i="3" s="1"/>
  <c r="E42" i="3"/>
  <c r="K42" i="3" s="1"/>
  <c r="F42" i="3"/>
  <c r="G42" i="3" s="1"/>
  <c r="E43" i="3"/>
  <c r="K43" i="3" s="1"/>
  <c r="F43" i="3"/>
  <c r="H43" i="3" s="1"/>
  <c r="I43" i="3" s="1"/>
  <c r="J43" i="3" s="1"/>
  <c r="E44" i="3"/>
  <c r="K44" i="3" s="1"/>
  <c r="F44" i="3"/>
  <c r="G44" i="3" s="1"/>
  <c r="E45" i="3"/>
  <c r="K45" i="3" s="1"/>
  <c r="F45" i="3"/>
  <c r="G45" i="3" s="1"/>
  <c r="E46" i="3"/>
  <c r="K46" i="3" s="1"/>
  <c r="F46" i="3"/>
  <c r="G46" i="3" s="1"/>
  <c r="E47" i="3"/>
  <c r="K47" i="3" s="1"/>
  <c r="F47" i="3"/>
  <c r="G47" i="3" s="1"/>
  <c r="E48" i="3"/>
  <c r="F48" i="3"/>
  <c r="G48" i="3" s="1"/>
  <c r="K48" i="3"/>
  <c r="E49" i="3"/>
  <c r="K49" i="3" s="1"/>
  <c r="F49" i="3"/>
  <c r="G49" i="3" s="1"/>
  <c r="E50" i="3"/>
  <c r="K50" i="3" s="1"/>
  <c r="F50" i="3"/>
  <c r="G50" i="3" s="1"/>
  <c r="E51" i="3"/>
  <c r="K51" i="3" s="1"/>
  <c r="F51" i="3"/>
  <c r="G51" i="3" s="1"/>
  <c r="E52" i="3"/>
  <c r="K52" i="3" s="1"/>
  <c r="F52" i="3"/>
  <c r="G52" i="3" s="1"/>
  <c r="E53" i="3"/>
  <c r="F53" i="3"/>
  <c r="G53" i="3" s="1"/>
  <c r="K53" i="3"/>
  <c r="E54" i="3"/>
  <c r="K54" i="3" s="1"/>
  <c r="F54" i="3"/>
  <c r="H54" i="3" s="1"/>
  <c r="I54" i="3" s="1"/>
  <c r="J54" i="3" s="1"/>
  <c r="E55" i="3"/>
  <c r="K55" i="3" s="1"/>
  <c r="F55" i="3"/>
  <c r="G55" i="3" s="1"/>
  <c r="E56" i="3"/>
  <c r="K56" i="3" s="1"/>
  <c r="F56" i="3"/>
  <c r="G56" i="3" s="1"/>
  <c r="E57" i="3"/>
  <c r="K57" i="3" s="1"/>
  <c r="F57" i="3"/>
  <c r="G57" i="3" s="1"/>
  <c r="E58" i="3"/>
  <c r="K58" i="3" s="1"/>
  <c r="F58" i="3"/>
  <c r="G58" i="3" s="1"/>
  <c r="E59" i="3"/>
  <c r="K59" i="3" s="1"/>
  <c r="F59" i="3"/>
  <c r="H59" i="3" s="1"/>
  <c r="I59" i="3" s="1"/>
  <c r="J59" i="3" s="1"/>
  <c r="E60" i="3"/>
  <c r="K60" i="3" s="1"/>
  <c r="F60" i="3"/>
  <c r="G60" i="3" s="1"/>
  <c r="E61" i="3"/>
  <c r="K61" i="3" s="1"/>
  <c r="F61" i="3"/>
  <c r="G61" i="3" s="1"/>
  <c r="E62" i="3"/>
  <c r="K62" i="3" s="1"/>
  <c r="F62" i="3"/>
  <c r="G62" i="3" s="1"/>
  <c r="E63" i="3"/>
  <c r="K63" i="3" s="1"/>
  <c r="F63" i="3"/>
  <c r="G63" i="3" s="1"/>
  <c r="E64" i="3"/>
  <c r="K64" i="3" s="1"/>
  <c r="F64" i="3"/>
  <c r="G64" i="3" s="1"/>
  <c r="E65" i="3"/>
  <c r="K65" i="3" s="1"/>
  <c r="F65" i="3"/>
  <c r="H65" i="3" s="1"/>
  <c r="I65" i="3" s="1"/>
  <c r="J65" i="3" s="1"/>
  <c r="E66" i="3"/>
  <c r="K66" i="3" s="1"/>
  <c r="F66" i="3"/>
  <c r="G66" i="3" s="1"/>
  <c r="E67" i="3"/>
  <c r="K67" i="3" s="1"/>
  <c r="F67" i="3"/>
  <c r="H67" i="3" s="1"/>
  <c r="I67" i="3" s="1"/>
  <c r="J67" i="3" s="1"/>
  <c r="E68" i="3"/>
  <c r="K68" i="3" s="1"/>
  <c r="F68" i="3"/>
  <c r="H68" i="3" s="1"/>
  <c r="I68" i="3" s="1"/>
  <c r="J68" i="3" s="1"/>
  <c r="E69" i="3"/>
  <c r="K69" i="3" s="1"/>
  <c r="F69" i="3"/>
  <c r="G69" i="3" s="1"/>
  <c r="E70" i="3"/>
  <c r="K70" i="3" s="1"/>
  <c r="F70" i="3"/>
  <c r="G70" i="3" s="1"/>
  <c r="E71" i="3"/>
  <c r="K71" i="3" s="1"/>
  <c r="F71" i="3"/>
  <c r="G71" i="3" s="1"/>
  <c r="E72" i="3"/>
  <c r="K72" i="3" s="1"/>
  <c r="F72" i="3"/>
  <c r="G72" i="3" s="1"/>
  <c r="E73" i="3"/>
  <c r="K73" i="3" s="1"/>
  <c r="F73" i="3"/>
  <c r="G73" i="3" s="1"/>
  <c r="E74" i="3"/>
  <c r="K74" i="3" s="1"/>
  <c r="F74" i="3"/>
  <c r="G74" i="3" s="1"/>
  <c r="E75" i="3"/>
  <c r="K75" i="3" s="1"/>
  <c r="F75" i="3"/>
  <c r="H75" i="3" s="1"/>
  <c r="I75" i="3" s="1"/>
  <c r="J75" i="3" s="1"/>
  <c r="E76" i="3"/>
  <c r="K76" i="3" s="1"/>
  <c r="F76" i="3"/>
  <c r="G76" i="3" s="1"/>
  <c r="E77" i="3"/>
  <c r="K77" i="3" s="1"/>
  <c r="F77" i="3"/>
  <c r="G77" i="3" s="1"/>
  <c r="E78" i="3"/>
  <c r="K78" i="3" s="1"/>
  <c r="F78" i="3"/>
  <c r="H78" i="3" s="1"/>
  <c r="I78" i="3" s="1"/>
  <c r="J78" i="3" s="1"/>
  <c r="E79" i="3"/>
  <c r="K79" i="3" s="1"/>
  <c r="F79" i="3"/>
  <c r="G79" i="3" s="1"/>
  <c r="E80" i="3"/>
  <c r="K80" i="3" s="1"/>
  <c r="F80" i="3"/>
  <c r="G80" i="3" s="1"/>
  <c r="E81" i="3"/>
  <c r="K81" i="3" s="1"/>
  <c r="F81" i="3"/>
  <c r="G81" i="3" s="1"/>
  <c r="E82" i="3"/>
  <c r="K82" i="3" s="1"/>
  <c r="F82" i="3"/>
  <c r="E83" i="3"/>
  <c r="K83" i="3" s="1"/>
  <c r="F83" i="3"/>
  <c r="H83" i="3" s="1"/>
  <c r="I83" i="3" s="1"/>
  <c r="J83" i="3" s="1"/>
  <c r="E84" i="3"/>
  <c r="K84" i="3" s="1"/>
  <c r="F84" i="3"/>
  <c r="G84" i="3" s="1"/>
  <c r="H84" i="3"/>
  <c r="I84" i="3" s="1"/>
  <c r="J84" i="3" s="1"/>
  <c r="E85" i="3"/>
  <c r="K85" i="3" s="1"/>
  <c r="F85" i="3"/>
  <c r="G85" i="3" s="1"/>
  <c r="E86" i="3"/>
  <c r="K86" i="3" s="1"/>
  <c r="F86" i="3"/>
  <c r="H86" i="3" s="1"/>
  <c r="I86" i="3" s="1"/>
  <c r="J86" i="3" s="1"/>
  <c r="E87" i="3"/>
  <c r="K87" i="3" s="1"/>
  <c r="F87" i="3"/>
  <c r="G87" i="3" s="1"/>
  <c r="E88" i="3"/>
  <c r="F88" i="3"/>
  <c r="G88" i="3" s="1"/>
  <c r="K88" i="3"/>
  <c r="E89" i="3"/>
  <c r="K89" i="3" s="1"/>
  <c r="F89" i="3"/>
  <c r="G89" i="3" s="1"/>
  <c r="E90" i="3"/>
  <c r="K90" i="3" s="1"/>
  <c r="F90" i="3"/>
  <c r="G90" i="3" s="1"/>
  <c r="E91" i="3"/>
  <c r="K91" i="3" s="1"/>
  <c r="F91" i="3"/>
  <c r="H91" i="3" s="1"/>
  <c r="I91" i="3" s="1"/>
  <c r="J91" i="3" s="1"/>
  <c r="E92" i="3"/>
  <c r="K92" i="3" s="1"/>
  <c r="F92" i="3"/>
  <c r="G92" i="3" s="1"/>
  <c r="E93" i="3"/>
  <c r="K93" i="3" s="1"/>
  <c r="F93" i="3"/>
  <c r="G93" i="3" s="1"/>
  <c r="E94" i="3"/>
  <c r="K94" i="3" s="1"/>
  <c r="F94" i="3"/>
  <c r="G94" i="3" s="1"/>
  <c r="E95" i="3"/>
  <c r="K95" i="3" s="1"/>
  <c r="F95" i="3"/>
  <c r="H95" i="3" s="1"/>
  <c r="I95" i="3" s="1"/>
  <c r="J95" i="3" s="1"/>
  <c r="E96" i="3"/>
  <c r="K96" i="3" s="1"/>
  <c r="F96" i="3"/>
  <c r="H96" i="3" s="1"/>
  <c r="I96" i="3" s="1"/>
  <c r="J96" i="3" s="1"/>
  <c r="E97" i="3"/>
  <c r="K97" i="3" s="1"/>
  <c r="F97" i="3"/>
  <c r="G97" i="3" s="1"/>
  <c r="E98" i="3"/>
  <c r="K98" i="3" s="1"/>
  <c r="F98" i="3"/>
  <c r="G98" i="3" s="1"/>
  <c r="E99" i="3"/>
  <c r="K99" i="3" s="1"/>
  <c r="F99" i="3"/>
  <c r="G99" i="3" s="1"/>
  <c r="E100" i="3"/>
  <c r="K100" i="3" s="1"/>
  <c r="F100" i="3"/>
  <c r="G100" i="3" s="1"/>
  <c r="E101" i="3"/>
  <c r="K101" i="3" s="1"/>
  <c r="F101" i="3"/>
  <c r="G101" i="3" s="1"/>
  <c r="E102" i="3"/>
  <c r="K102" i="3" s="1"/>
  <c r="F102" i="3"/>
  <c r="H102" i="3" s="1"/>
  <c r="I102" i="3" s="1"/>
  <c r="J102" i="3" s="1"/>
  <c r="E103" i="3"/>
  <c r="K103" i="3" s="1"/>
  <c r="F103" i="3"/>
  <c r="G103" i="3" s="1"/>
  <c r="E104" i="3"/>
  <c r="K104" i="3" s="1"/>
  <c r="F104" i="3"/>
  <c r="G104" i="3" s="1"/>
  <c r="E105" i="3"/>
  <c r="K105" i="3" s="1"/>
  <c r="F105" i="3"/>
  <c r="H105" i="3" s="1"/>
  <c r="I105" i="3" s="1"/>
  <c r="J105" i="3" s="1"/>
  <c r="E106" i="3"/>
  <c r="K106" i="3" s="1"/>
  <c r="F106" i="3"/>
  <c r="G106" i="3" s="1"/>
  <c r="E107" i="3"/>
  <c r="K107" i="3" s="1"/>
  <c r="F107" i="3"/>
  <c r="H107" i="3" s="1"/>
  <c r="I107" i="3" s="1"/>
  <c r="J107" i="3" s="1"/>
  <c r="E108" i="3"/>
  <c r="K108" i="3" s="1"/>
  <c r="F108" i="3"/>
  <c r="G108" i="3" s="1"/>
  <c r="E109" i="3"/>
  <c r="K109" i="3" s="1"/>
  <c r="F109" i="3"/>
  <c r="G109" i="3" s="1"/>
  <c r="E110" i="3"/>
  <c r="K110" i="3" s="1"/>
  <c r="F110" i="3"/>
  <c r="G110" i="3" s="1"/>
  <c r="E111" i="3"/>
  <c r="K111" i="3" s="1"/>
  <c r="F111" i="3"/>
  <c r="G111" i="3" s="1"/>
  <c r="E112" i="3"/>
  <c r="K112" i="3" s="1"/>
  <c r="F112" i="3"/>
  <c r="G112" i="3" s="1"/>
  <c r="E113" i="3"/>
  <c r="F113" i="3"/>
  <c r="G113" i="3" s="1"/>
  <c r="K113" i="3"/>
  <c r="E114" i="3"/>
  <c r="K114" i="3" s="1"/>
  <c r="F114" i="3"/>
  <c r="G114" i="3" s="1"/>
  <c r="E115" i="3"/>
  <c r="K115" i="3" s="1"/>
  <c r="F115" i="3"/>
  <c r="G115" i="3" s="1"/>
  <c r="E116" i="3"/>
  <c r="K116" i="3" s="1"/>
  <c r="F116" i="3"/>
  <c r="G116" i="3" s="1"/>
  <c r="E117" i="3"/>
  <c r="K117" i="3" s="1"/>
  <c r="F117" i="3"/>
  <c r="G117" i="3" s="1"/>
  <c r="E118" i="3"/>
  <c r="K118" i="3" s="1"/>
  <c r="F118" i="3"/>
  <c r="G118" i="3" s="1"/>
  <c r="E119" i="3"/>
  <c r="K119" i="3" s="1"/>
  <c r="F119" i="3"/>
  <c r="G119" i="3" s="1"/>
  <c r="H119" i="3"/>
  <c r="I119" i="3" s="1"/>
  <c r="J119" i="3" s="1"/>
  <c r="E120" i="3"/>
  <c r="K120" i="3" s="1"/>
  <c r="F120" i="3"/>
  <c r="G120" i="3" s="1"/>
  <c r="E121" i="3"/>
  <c r="K121" i="3" s="1"/>
  <c r="F121" i="3"/>
  <c r="G121" i="3" s="1"/>
  <c r="E122" i="3"/>
  <c r="F122" i="3"/>
  <c r="G122" i="3" s="1"/>
  <c r="K122" i="3"/>
  <c r="E123" i="3"/>
  <c r="K123" i="3" s="1"/>
  <c r="F123" i="3"/>
  <c r="G123" i="3" s="1"/>
  <c r="E124" i="3"/>
  <c r="K124" i="3" s="1"/>
  <c r="F124" i="3"/>
  <c r="G124" i="3" s="1"/>
  <c r="E125" i="3"/>
  <c r="F125" i="3"/>
  <c r="G125" i="3" s="1"/>
  <c r="K125" i="3"/>
  <c r="E126" i="3"/>
  <c r="K126" i="3" s="1"/>
  <c r="F126" i="3"/>
  <c r="H126" i="3" s="1"/>
  <c r="I126" i="3" s="1"/>
  <c r="J126" i="3" s="1"/>
  <c r="E127" i="3"/>
  <c r="K127" i="3" s="1"/>
  <c r="F127" i="3"/>
  <c r="G127" i="3" s="1"/>
  <c r="E128" i="3"/>
  <c r="K128" i="3" s="1"/>
  <c r="F128" i="3"/>
  <c r="G128" i="3" s="1"/>
  <c r="E129" i="3"/>
  <c r="K129" i="3" s="1"/>
  <c r="F129" i="3"/>
  <c r="G129" i="3" s="1"/>
  <c r="E130" i="3"/>
  <c r="K130" i="3" s="1"/>
  <c r="F130" i="3"/>
  <c r="G130" i="3" s="1"/>
  <c r="E131" i="3"/>
  <c r="K131" i="3" s="1"/>
  <c r="F131" i="3"/>
  <c r="H131" i="3" s="1"/>
  <c r="I131" i="3" s="1"/>
  <c r="J131" i="3" s="1"/>
  <c r="E132" i="3"/>
  <c r="K132" i="3" s="1"/>
  <c r="F132" i="3"/>
  <c r="G132" i="3" s="1"/>
  <c r="E133" i="3"/>
  <c r="K133" i="3" s="1"/>
  <c r="F133" i="3"/>
  <c r="G133" i="3" s="1"/>
  <c r="E134" i="3"/>
  <c r="K134" i="3" s="1"/>
  <c r="F134" i="3"/>
  <c r="G134" i="3" s="1"/>
  <c r="E135" i="3"/>
  <c r="K135" i="3" s="1"/>
  <c r="F135" i="3"/>
  <c r="G135" i="3" s="1"/>
  <c r="E136" i="3"/>
  <c r="K136" i="3" s="1"/>
  <c r="F136" i="3"/>
  <c r="G136" i="3" s="1"/>
  <c r="E137" i="3"/>
  <c r="K137" i="3" s="1"/>
  <c r="F137" i="3"/>
  <c r="G137" i="3" s="1"/>
  <c r="E138" i="3"/>
  <c r="K138" i="3" s="1"/>
  <c r="F138" i="3"/>
  <c r="G138" i="3" s="1"/>
  <c r="E139" i="3"/>
  <c r="K139" i="3" s="1"/>
  <c r="F139" i="3"/>
  <c r="H139" i="3" s="1"/>
  <c r="I139" i="3" s="1"/>
  <c r="J139" i="3" s="1"/>
  <c r="E140" i="3"/>
  <c r="K140" i="3" s="1"/>
  <c r="F140" i="3"/>
  <c r="G140" i="3" s="1"/>
  <c r="E141" i="3"/>
  <c r="K141" i="3" s="1"/>
  <c r="F141" i="3"/>
  <c r="G141" i="3" s="1"/>
  <c r="E142" i="3"/>
  <c r="K142" i="3" s="1"/>
  <c r="F142" i="3"/>
  <c r="G142" i="3" s="1"/>
  <c r="E143" i="3"/>
  <c r="K143" i="3" s="1"/>
  <c r="F143" i="3"/>
  <c r="G143" i="3" s="1"/>
  <c r="E144" i="3"/>
  <c r="K144" i="3" s="1"/>
  <c r="F144" i="3"/>
  <c r="G144" i="3" s="1"/>
  <c r="E145" i="3"/>
  <c r="K145" i="3" s="1"/>
  <c r="F145" i="3"/>
  <c r="G145" i="3" s="1"/>
  <c r="E146" i="3"/>
  <c r="K146" i="3" s="1"/>
  <c r="F146" i="3"/>
  <c r="E147" i="3"/>
  <c r="K147" i="3" s="1"/>
  <c r="F147" i="3"/>
  <c r="G147" i="3" s="1"/>
  <c r="E148" i="3"/>
  <c r="K148" i="3" s="1"/>
  <c r="F148" i="3"/>
  <c r="G148" i="3" s="1"/>
  <c r="E149" i="3"/>
  <c r="K149" i="3" s="1"/>
  <c r="F149" i="3"/>
  <c r="H149" i="3" s="1"/>
  <c r="I149" i="3" s="1"/>
  <c r="J149" i="3" s="1"/>
  <c r="E150" i="3"/>
  <c r="K150" i="3" s="1"/>
  <c r="F150" i="3"/>
  <c r="H150" i="3" s="1"/>
  <c r="I150" i="3" s="1"/>
  <c r="J150" i="3" s="1"/>
  <c r="E151" i="3"/>
  <c r="K151" i="3" s="1"/>
  <c r="F151" i="3"/>
  <c r="G151" i="3" s="1"/>
  <c r="E152" i="3"/>
  <c r="K152" i="3" s="1"/>
  <c r="F152" i="3"/>
  <c r="G152" i="3" s="1"/>
  <c r="E153" i="3"/>
  <c r="F153" i="3"/>
  <c r="G153" i="3" s="1"/>
  <c r="K153" i="3"/>
  <c r="E154" i="3"/>
  <c r="K154" i="3" s="1"/>
  <c r="F154" i="3"/>
  <c r="H154" i="3" s="1"/>
  <c r="I154" i="3" s="1"/>
  <c r="J154" i="3" s="1"/>
  <c r="E155" i="3"/>
  <c r="K155" i="3" s="1"/>
  <c r="F155" i="3"/>
  <c r="H155" i="3" s="1"/>
  <c r="I155" i="3" s="1"/>
  <c r="J155" i="3" s="1"/>
  <c r="E156" i="3"/>
  <c r="K156" i="3" s="1"/>
  <c r="F156" i="3"/>
  <c r="G156" i="3" s="1"/>
  <c r="E157" i="3"/>
  <c r="K157" i="3" s="1"/>
  <c r="F157" i="3"/>
  <c r="G157" i="3" s="1"/>
  <c r="E158" i="3"/>
  <c r="K158" i="3" s="1"/>
  <c r="F158" i="3"/>
  <c r="G158" i="3" s="1"/>
  <c r="E159" i="3"/>
  <c r="K159" i="3" s="1"/>
  <c r="F159" i="3"/>
  <c r="H159" i="3" s="1"/>
  <c r="I159" i="3" s="1"/>
  <c r="J159" i="3" s="1"/>
  <c r="E160" i="3"/>
  <c r="K160" i="3" s="1"/>
  <c r="F160" i="3"/>
  <c r="E161" i="3"/>
  <c r="K161" i="3" s="1"/>
  <c r="F161" i="3"/>
  <c r="G161" i="3" s="1"/>
  <c r="E162" i="3"/>
  <c r="K162" i="3" s="1"/>
  <c r="F162" i="3"/>
  <c r="G162" i="3" s="1"/>
  <c r="E163" i="3"/>
  <c r="K163" i="3" s="1"/>
  <c r="F163" i="3"/>
  <c r="G163" i="3" s="1"/>
  <c r="E164" i="3"/>
  <c r="F164" i="3"/>
  <c r="G164" i="3" s="1"/>
  <c r="K164" i="3"/>
  <c r="E165" i="3"/>
  <c r="K165" i="3" s="1"/>
  <c r="F165" i="3"/>
  <c r="G165" i="3" s="1"/>
  <c r="E166" i="3"/>
  <c r="K166" i="3" s="1"/>
  <c r="F166" i="3"/>
  <c r="H166" i="3" s="1"/>
  <c r="I166" i="3" s="1"/>
  <c r="J166" i="3" s="1"/>
  <c r="G166" i="3"/>
  <c r="E167" i="3"/>
  <c r="K167" i="3" s="1"/>
  <c r="F167" i="3"/>
  <c r="G167" i="3" s="1"/>
  <c r="E168" i="3"/>
  <c r="K168" i="3" s="1"/>
  <c r="F168" i="3"/>
  <c r="G168" i="3" s="1"/>
  <c r="E169" i="3"/>
  <c r="K169" i="3" s="1"/>
  <c r="F169" i="3"/>
  <c r="H169" i="3" s="1"/>
  <c r="I169" i="3" s="1"/>
  <c r="J169" i="3" s="1"/>
  <c r="E170" i="3"/>
  <c r="K170" i="3" s="1"/>
  <c r="F170" i="3"/>
  <c r="G170" i="3" s="1"/>
  <c r="E171" i="3"/>
  <c r="K171" i="3" s="1"/>
  <c r="F171" i="3"/>
  <c r="G171" i="3" s="1"/>
  <c r="E172" i="3"/>
  <c r="K172" i="3" s="1"/>
  <c r="F172" i="3"/>
  <c r="G172" i="3" s="1"/>
  <c r="E173" i="3"/>
  <c r="K173" i="3" s="1"/>
  <c r="F173" i="3"/>
  <c r="H173" i="3" s="1"/>
  <c r="I173" i="3" s="1"/>
  <c r="J173" i="3" s="1"/>
  <c r="E174" i="3"/>
  <c r="K174" i="3" s="1"/>
  <c r="F174" i="3"/>
  <c r="G174" i="3" s="1"/>
  <c r="E175" i="3"/>
  <c r="K175" i="3" s="1"/>
  <c r="F175" i="3"/>
  <c r="G175" i="3" s="1"/>
  <c r="E176" i="3"/>
  <c r="K176" i="3" s="1"/>
  <c r="F176" i="3"/>
  <c r="G176" i="3" s="1"/>
  <c r="E177" i="3"/>
  <c r="K177" i="3" s="1"/>
  <c r="F177" i="3"/>
  <c r="H177" i="3" s="1"/>
  <c r="I177" i="3" s="1"/>
  <c r="J177" i="3" s="1"/>
  <c r="E178" i="3"/>
  <c r="K178" i="3" s="1"/>
  <c r="F178" i="3"/>
  <c r="G178" i="3" s="1"/>
  <c r="E179" i="3"/>
  <c r="K179" i="3" s="1"/>
  <c r="F179" i="3"/>
  <c r="G179" i="3" s="1"/>
  <c r="E180" i="3"/>
  <c r="K180" i="3" s="1"/>
  <c r="F180" i="3"/>
  <c r="H180" i="3" s="1"/>
  <c r="I180" i="3" s="1"/>
  <c r="J180" i="3" s="1"/>
  <c r="E181" i="3"/>
  <c r="K181" i="3" s="1"/>
  <c r="F181" i="3"/>
  <c r="G181" i="3" s="1"/>
  <c r="E182" i="3"/>
  <c r="K182" i="3" s="1"/>
  <c r="F182" i="3"/>
  <c r="G182" i="3" s="1"/>
  <c r="E183" i="3"/>
  <c r="K183" i="3" s="1"/>
  <c r="F183" i="3"/>
  <c r="G183" i="3" s="1"/>
  <c r="E184" i="3"/>
  <c r="K184" i="3" s="1"/>
  <c r="F184" i="3"/>
  <c r="G184" i="3" s="1"/>
  <c r="E185" i="3"/>
  <c r="K185" i="3" s="1"/>
  <c r="F185" i="3"/>
  <c r="G185" i="3" s="1"/>
  <c r="E186" i="3"/>
  <c r="K186" i="3" s="1"/>
  <c r="F186" i="3"/>
  <c r="G186" i="3" s="1"/>
  <c r="E187" i="3"/>
  <c r="K187" i="3" s="1"/>
  <c r="F187" i="3"/>
  <c r="G187" i="3" s="1"/>
  <c r="E188" i="3"/>
  <c r="K188" i="3" s="1"/>
  <c r="F188" i="3"/>
  <c r="G188" i="3" s="1"/>
  <c r="E189" i="3"/>
  <c r="K189" i="3" s="1"/>
  <c r="F189" i="3"/>
  <c r="G189" i="3" s="1"/>
  <c r="E190" i="3"/>
  <c r="K190" i="3" s="1"/>
  <c r="F190" i="3"/>
  <c r="H190" i="3" s="1"/>
  <c r="I190" i="3" s="1"/>
  <c r="J190" i="3" s="1"/>
  <c r="E191" i="3"/>
  <c r="K191" i="3" s="1"/>
  <c r="F191" i="3"/>
  <c r="G191" i="3" s="1"/>
  <c r="E192" i="3"/>
  <c r="K192" i="3" s="1"/>
  <c r="F192" i="3"/>
  <c r="G192" i="3" s="1"/>
  <c r="E193" i="3"/>
  <c r="K193" i="3" s="1"/>
  <c r="F193" i="3"/>
  <c r="G193" i="3" s="1"/>
  <c r="E194" i="3"/>
  <c r="K194" i="3" s="1"/>
  <c r="F194" i="3"/>
  <c r="G194" i="3" s="1"/>
  <c r="E195" i="3"/>
  <c r="K195" i="3" s="1"/>
  <c r="F195" i="3"/>
  <c r="H195" i="3" s="1"/>
  <c r="I195" i="3" s="1"/>
  <c r="J195" i="3" s="1"/>
  <c r="E196" i="3"/>
  <c r="K196" i="3" s="1"/>
  <c r="F196" i="3"/>
  <c r="G196" i="3" s="1"/>
  <c r="E197" i="3"/>
  <c r="K197" i="3" s="1"/>
  <c r="F197" i="3"/>
  <c r="H197" i="3" s="1"/>
  <c r="I197" i="3"/>
  <c r="J197" i="3" s="1"/>
  <c r="E198" i="3"/>
  <c r="K198" i="3" s="1"/>
  <c r="F198" i="3"/>
  <c r="H198" i="3" s="1"/>
  <c r="I198" i="3" s="1"/>
  <c r="J198" i="3" s="1"/>
  <c r="E199" i="3"/>
  <c r="F199" i="3"/>
  <c r="G199" i="3" s="1"/>
  <c r="K199" i="3"/>
  <c r="E200" i="3"/>
  <c r="K200" i="3" s="1"/>
  <c r="F200" i="3"/>
  <c r="G200" i="3" s="1"/>
  <c r="E201" i="3"/>
  <c r="K201" i="3" s="1"/>
  <c r="F201" i="3"/>
  <c r="G201" i="3" s="1"/>
  <c r="E202" i="3"/>
  <c r="K202" i="3" s="1"/>
  <c r="F202" i="3"/>
  <c r="G202" i="3" s="1"/>
  <c r="E203" i="3"/>
  <c r="K203" i="3" s="1"/>
  <c r="F203" i="3"/>
  <c r="H203" i="3" s="1"/>
  <c r="I203" i="3" s="1"/>
  <c r="J203" i="3" s="1"/>
  <c r="E204" i="3"/>
  <c r="K204" i="3" s="1"/>
  <c r="F204" i="3"/>
  <c r="G204" i="3" s="1"/>
  <c r="E205" i="3"/>
  <c r="K205" i="3" s="1"/>
  <c r="F205" i="3"/>
  <c r="E206" i="3"/>
  <c r="K206" i="3" s="1"/>
  <c r="F206" i="3"/>
  <c r="G206" i="3"/>
  <c r="H206" i="3"/>
  <c r="I206" i="3" s="1"/>
  <c r="J206" i="3" s="1"/>
  <c r="E207" i="3"/>
  <c r="K207" i="3" s="1"/>
  <c r="F207" i="3"/>
  <c r="G207" i="3" s="1"/>
  <c r="E208" i="3"/>
  <c r="K208" i="3" s="1"/>
  <c r="F208" i="3"/>
  <c r="G208" i="3" s="1"/>
  <c r="E209" i="3"/>
  <c r="K209" i="3" s="1"/>
  <c r="F209" i="3"/>
  <c r="G209" i="3" s="1"/>
  <c r="E210" i="3"/>
  <c r="K210" i="3" s="1"/>
  <c r="F210" i="3"/>
  <c r="E211" i="3"/>
  <c r="K211" i="3" s="1"/>
  <c r="F211" i="3"/>
  <c r="G211" i="3" s="1"/>
  <c r="E212" i="3"/>
  <c r="K212" i="3" s="1"/>
  <c r="F212" i="3"/>
  <c r="G212" i="3" s="1"/>
  <c r="E213" i="3"/>
  <c r="K213" i="3" s="1"/>
  <c r="F213" i="3"/>
  <c r="H213" i="3" s="1"/>
  <c r="I213" i="3" s="1"/>
  <c r="J213" i="3" s="1"/>
  <c r="E214" i="3"/>
  <c r="K214" i="3" s="1"/>
  <c r="F214" i="3"/>
  <c r="H214" i="3" s="1"/>
  <c r="I214" i="3" s="1"/>
  <c r="J214" i="3" s="1"/>
  <c r="E215" i="3"/>
  <c r="K215" i="3" s="1"/>
  <c r="F215" i="3"/>
  <c r="G215" i="3" s="1"/>
  <c r="E216" i="3"/>
  <c r="K216" i="3" s="1"/>
  <c r="F216" i="3"/>
  <c r="G216" i="3" s="1"/>
  <c r="E217" i="3"/>
  <c r="K217" i="3" s="1"/>
  <c r="F217" i="3"/>
  <c r="G217" i="3" s="1"/>
  <c r="E218" i="3"/>
  <c r="K218" i="3" s="1"/>
  <c r="F218" i="3"/>
  <c r="H218" i="3" s="1"/>
  <c r="I218" i="3" s="1"/>
  <c r="J218" i="3" s="1"/>
  <c r="E219" i="3"/>
  <c r="F219" i="3"/>
  <c r="H219" i="3" s="1"/>
  <c r="I219" i="3" s="1"/>
  <c r="J219" i="3" s="1"/>
  <c r="K219" i="3"/>
  <c r="E220" i="3"/>
  <c r="K220" i="3" s="1"/>
  <c r="F220" i="3"/>
  <c r="G220" i="3" s="1"/>
  <c r="E221" i="3"/>
  <c r="K221" i="3" s="1"/>
  <c r="F221" i="3"/>
  <c r="G221" i="3" s="1"/>
  <c r="E222" i="3"/>
  <c r="K222" i="3" s="1"/>
  <c r="F222" i="3"/>
  <c r="G222" i="3" s="1"/>
  <c r="E223" i="3"/>
  <c r="K223" i="3" s="1"/>
  <c r="F223" i="3"/>
  <c r="H223" i="3" s="1"/>
  <c r="I223" i="3" s="1"/>
  <c r="J223" i="3" s="1"/>
  <c r="E224" i="3"/>
  <c r="K224" i="3" s="1"/>
  <c r="F224" i="3"/>
  <c r="E225" i="3"/>
  <c r="K225" i="3" s="1"/>
  <c r="F225" i="3"/>
  <c r="G225" i="3" s="1"/>
  <c r="E226" i="3"/>
  <c r="K226" i="3" s="1"/>
  <c r="F226" i="3"/>
  <c r="G226" i="3" s="1"/>
  <c r="E227" i="3"/>
  <c r="K227" i="3" s="1"/>
  <c r="F227" i="3"/>
  <c r="G227" i="3" s="1"/>
  <c r="H227" i="3"/>
  <c r="I227" i="3" s="1"/>
  <c r="J227" i="3" s="1"/>
  <c r="E228" i="3"/>
  <c r="K228" i="3" s="1"/>
  <c r="F228" i="3"/>
  <c r="G228" i="3" s="1"/>
  <c r="E229" i="3"/>
  <c r="K229" i="3" s="1"/>
  <c r="F229" i="3"/>
  <c r="G229" i="3" s="1"/>
  <c r="E230" i="3"/>
  <c r="K230" i="3" s="1"/>
  <c r="F230" i="3"/>
  <c r="H230" i="3" s="1"/>
  <c r="I230" i="3" s="1"/>
  <c r="J230" i="3" s="1"/>
  <c r="E231" i="3"/>
  <c r="K231" i="3" s="1"/>
  <c r="F231" i="3"/>
  <c r="G231" i="3" s="1"/>
  <c r="E232" i="3"/>
  <c r="K232" i="3" s="1"/>
  <c r="F232" i="3"/>
  <c r="G232" i="3" s="1"/>
  <c r="E233" i="3"/>
  <c r="K233" i="3" s="1"/>
  <c r="F233" i="3"/>
  <c r="H233" i="3" s="1"/>
  <c r="I233" i="3" s="1"/>
  <c r="J233" i="3" s="1"/>
  <c r="E234" i="3"/>
  <c r="K234" i="3" s="1"/>
  <c r="F234" i="3"/>
  <c r="E235" i="3"/>
  <c r="K235" i="3" s="1"/>
  <c r="F235" i="3"/>
  <c r="G235" i="3" s="1"/>
  <c r="E236" i="3"/>
  <c r="K236" i="3" s="1"/>
  <c r="F236" i="3"/>
  <c r="G236" i="3" s="1"/>
  <c r="E237" i="3"/>
  <c r="K237" i="3" s="1"/>
  <c r="F237" i="3"/>
  <c r="G237" i="3" s="1"/>
  <c r="E238" i="3"/>
  <c r="K238" i="3" s="1"/>
  <c r="F238" i="3"/>
  <c r="G238" i="3" s="1"/>
  <c r="E239" i="3"/>
  <c r="K239" i="3" s="1"/>
  <c r="F239" i="3"/>
  <c r="G239" i="3" s="1"/>
  <c r="E240" i="3"/>
  <c r="K240" i="3" s="1"/>
  <c r="F240" i="3"/>
  <c r="G240" i="3" s="1"/>
  <c r="H240" i="3"/>
  <c r="I240" i="3" s="1"/>
  <c r="J240" i="3" s="1"/>
  <c r="E241" i="3"/>
  <c r="K241" i="3" s="1"/>
  <c r="F241" i="3"/>
  <c r="G241" i="3" s="1"/>
  <c r="E242" i="3"/>
  <c r="K242" i="3" s="1"/>
  <c r="F242" i="3"/>
  <c r="G242" i="3" s="1"/>
  <c r="E243" i="3"/>
  <c r="K243" i="3" s="1"/>
  <c r="F243" i="3"/>
  <c r="G243" i="3" s="1"/>
  <c r="E244" i="3"/>
  <c r="K244" i="3" s="1"/>
  <c r="F244" i="3"/>
  <c r="H244" i="3" s="1"/>
  <c r="I244" i="3" s="1"/>
  <c r="J244" i="3" s="1"/>
  <c r="E245" i="3"/>
  <c r="K245" i="3" s="1"/>
  <c r="F245" i="3"/>
  <c r="G245" i="3" s="1"/>
  <c r="E246" i="3"/>
  <c r="K246" i="3" s="1"/>
  <c r="F246" i="3"/>
  <c r="G246" i="3" s="1"/>
  <c r="E247" i="3"/>
  <c r="K247" i="3" s="1"/>
  <c r="F247" i="3"/>
  <c r="G247" i="3" s="1"/>
  <c r="E248" i="3"/>
  <c r="K248" i="3" s="1"/>
  <c r="F248" i="3"/>
  <c r="G248" i="3" s="1"/>
  <c r="E249" i="3"/>
  <c r="K249" i="3" s="1"/>
  <c r="F249" i="3"/>
  <c r="H249" i="3" s="1"/>
  <c r="I249" i="3" s="1"/>
  <c r="J249" i="3" s="1"/>
  <c r="E250" i="3"/>
  <c r="K250" i="3" s="1"/>
  <c r="F250" i="3"/>
  <c r="G250" i="3" s="1"/>
  <c r="E251" i="3"/>
  <c r="K251" i="3" s="1"/>
  <c r="F251" i="3"/>
  <c r="G251" i="3" s="1"/>
  <c r="H251" i="3"/>
  <c r="I251" i="3" s="1"/>
  <c r="J251" i="3" s="1"/>
  <c r="E252" i="3"/>
  <c r="K252" i="3" s="1"/>
  <c r="F252" i="3"/>
  <c r="G252" i="3" s="1"/>
  <c r="E253" i="3"/>
  <c r="K253" i="3" s="1"/>
  <c r="F253" i="3"/>
  <c r="G253" i="3" s="1"/>
  <c r="E254" i="3"/>
  <c r="K254" i="3" s="1"/>
  <c r="F254" i="3"/>
  <c r="H254" i="3" s="1"/>
  <c r="I254" i="3" s="1"/>
  <c r="J254" i="3" s="1"/>
  <c r="E255" i="3"/>
  <c r="K255" i="3" s="1"/>
  <c r="F255" i="3"/>
  <c r="G255" i="3" s="1"/>
  <c r="E256" i="3"/>
  <c r="K256" i="3" s="1"/>
  <c r="F256" i="3"/>
  <c r="G256" i="3" s="1"/>
  <c r="E257" i="3"/>
  <c r="K257" i="3" s="1"/>
  <c r="F257" i="3"/>
  <c r="H257" i="3" s="1"/>
  <c r="I257" i="3" s="1"/>
  <c r="J257" i="3" s="1"/>
  <c r="E258" i="3"/>
  <c r="K258" i="3" s="1"/>
  <c r="F258" i="3"/>
  <c r="G258" i="3" s="1"/>
  <c r="E259" i="3"/>
  <c r="K259" i="3" s="1"/>
  <c r="F259" i="3"/>
  <c r="H259" i="3" s="1"/>
  <c r="I259" i="3" s="1"/>
  <c r="J259" i="3" s="1"/>
  <c r="E260" i="3"/>
  <c r="K260" i="3" s="1"/>
  <c r="F260" i="3"/>
  <c r="G260" i="3" s="1"/>
  <c r="E261" i="3"/>
  <c r="K261" i="3" s="1"/>
  <c r="F261" i="3"/>
  <c r="H261" i="3" s="1"/>
  <c r="I261" i="3" s="1"/>
  <c r="J261" i="3" s="1"/>
  <c r="E262" i="3"/>
  <c r="F262" i="3"/>
  <c r="H262" i="3" s="1"/>
  <c r="I262" i="3" s="1"/>
  <c r="J262" i="3" s="1"/>
  <c r="K262" i="3"/>
  <c r="E263" i="3"/>
  <c r="K263" i="3" s="1"/>
  <c r="F263" i="3"/>
  <c r="G263" i="3" s="1"/>
  <c r="E264" i="3"/>
  <c r="K264" i="3" s="1"/>
  <c r="F264" i="3"/>
  <c r="H264" i="3" s="1"/>
  <c r="I264" i="3" s="1"/>
  <c r="J264" i="3" s="1"/>
  <c r="E265" i="3"/>
  <c r="K265" i="3" s="1"/>
  <c r="F265" i="3"/>
  <c r="G265" i="3" s="1"/>
  <c r="E266" i="3"/>
  <c r="K266" i="3" s="1"/>
  <c r="F266" i="3"/>
  <c r="G266" i="3" s="1"/>
  <c r="E267" i="3"/>
  <c r="K267" i="3" s="1"/>
  <c r="F267" i="3"/>
  <c r="H267" i="3" s="1"/>
  <c r="I267" i="3" s="1"/>
  <c r="J267" i="3" s="1"/>
  <c r="E268" i="3"/>
  <c r="K268" i="3" s="1"/>
  <c r="F268" i="3"/>
  <c r="G268" i="3" s="1"/>
  <c r="E269" i="3"/>
  <c r="K269" i="3" s="1"/>
  <c r="F269" i="3"/>
  <c r="E270" i="3"/>
  <c r="K270" i="3" s="1"/>
  <c r="F270" i="3"/>
  <c r="G270" i="3" s="1"/>
  <c r="E271" i="3"/>
  <c r="K271" i="3" s="1"/>
  <c r="F271" i="3"/>
  <c r="G271" i="3" s="1"/>
  <c r="E272" i="3"/>
  <c r="K272" i="3" s="1"/>
  <c r="F272" i="3"/>
  <c r="G272" i="3" s="1"/>
  <c r="E273" i="3"/>
  <c r="K273" i="3" s="1"/>
  <c r="F273" i="3"/>
  <c r="G273" i="3" s="1"/>
  <c r="E274" i="3"/>
  <c r="K274" i="3" s="1"/>
  <c r="F274" i="3"/>
  <c r="E275" i="3"/>
  <c r="K275" i="3" s="1"/>
  <c r="F275" i="3"/>
  <c r="H275" i="3" s="1"/>
  <c r="I275" i="3" s="1"/>
  <c r="J275" i="3" s="1"/>
  <c r="E276" i="3"/>
  <c r="K276" i="3" s="1"/>
  <c r="F276" i="3"/>
  <c r="G276" i="3" s="1"/>
  <c r="E277" i="3"/>
  <c r="K277" i="3" s="1"/>
  <c r="F277" i="3"/>
  <c r="H277" i="3" s="1"/>
  <c r="I277" i="3" s="1"/>
  <c r="J277" i="3" s="1"/>
  <c r="E278" i="3"/>
  <c r="K278" i="3" s="1"/>
  <c r="F278" i="3"/>
  <c r="H278" i="3" s="1"/>
  <c r="I278" i="3" s="1"/>
  <c r="J278" i="3" s="1"/>
  <c r="E279" i="3"/>
  <c r="K279" i="3" s="1"/>
  <c r="F279" i="3"/>
  <c r="G279" i="3" s="1"/>
  <c r="E280" i="3"/>
  <c r="K280" i="3" s="1"/>
  <c r="F280" i="3"/>
  <c r="G280" i="3" s="1"/>
  <c r="E281" i="3"/>
  <c r="K281" i="3" s="1"/>
  <c r="M281" i="3" s="1"/>
  <c r="F281" i="3"/>
  <c r="H281" i="3" s="1"/>
  <c r="E282" i="3"/>
  <c r="K282" i="3" s="1"/>
  <c r="F282" i="3"/>
  <c r="H282" i="3" s="1"/>
  <c r="I282" i="3" s="1"/>
  <c r="J282" i="3" s="1"/>
  <c r="E283" i="3"/>
  <c r="K283" i="3" s="1"/>
  <c r="F283" i="3"/>
  <c r="H283" i="3" s="1"/>
  <c r="I283" i="3" s="1"/>
  <c r="J283" i="3" s="1"/>
  <c r="E284" i="3"/>
  <c r="K284" i="3" s="1"/>
  <c r="F284" i="3"/>
  <c r="G284" i="3" s="1"/>
  <c r="E285" i="3"/>
  <c r="K285" i="3" s="1"/>
  <c r="F285" i="3"/>
  <c r="G285" i="3" s="1"/>
  <c r="E286" i="3"/>
  <c r="K286" i="3" s="1"/>
  <c r="F286" i="3"/>
  <c r="G286" i="3" s="1"/>
  <c r="E287" i="3"/>
  <c r="K287" i="3" s="1"/>
  <c r="F287" i="3"/>
  <c r="H287" i="3" s="1"/>
  <c r="I287" i="3" s="1"/>
  <c r="J287" i="3" s="1"/>
  <c r="E288" i="3"/>
  <c r="K288" i="3" s="1"/>
  <c r="F288" i="3"/>
  <c r="E289" i="3"/>
  <c r="K289" i="3" s="1"/>
  <c r="F289" i="3"/>
  <c r="G289" i="3" s="1"/>
  <c r="E290" i="3"/>
  <c r="K290" i="3" s="1"/>
  <c r="F290" i="3"/>
  <c r="G290" i="3" s="1"/>
  <c r="E291" i="3"/>
  <c r="K291" i="3" s="1"/>
  <c r="F291" i="3"/>
  <c r="G291" i="3" s="1"/>
  <c r="E292" i="3"/>
  <c r="K292" i="3" s="1"/>
  <c r="F292" i="3"/>
  <c r="G292" i="3" s="1"/>
  <c r="H292" i="3"/>
  <c r="I292" i="3" s="1"/>
  <c r="J292" i="3" s="1"/>
  <c r="E293" i="3"/>
  <c r="K293" i="3" s="1"/>
  <c r="F293" i="3"/>
  <c r="G293" i="3" s="1"/>
  <c r="E294" i="3"/>
  <c r="K294" i="3" s="1"/>
  <c r="F294" i="3"/>
  <c r="H294" i="3" s="1"/>
  <c r="I294" i="3" s="1"/>
  <c r="J294" i="3" s="1"/>
  <c r="E295" i="3"/>
  <c r="K295" i="3" s="1"/>
  <c r="M295" i="3" s="1"/>
  <c r="F295" i="3"/>
  <c r="G295" i="3" s="1"/>
  <c r="E296" i="3"/>
  <c r="K296" i="3" s="1"/>
  <c r="F296" i="3"/>
  <c r="G296" i="3" s="1"/>
  <c r="E297" i="3"/>
  <c r="K297" i="3" s="1"/>
  <c r="F297" i="3"/>
  <c r="H297" i="3" s="1"/>
  <c r="I297" i="3" s="1"/>
  <c r="J297" i="3" s="1"/>
  <c r="E298" i="3"/>
  <c r="K298" i="3" s="1"/>
  <c r="F298" i="3"/>
  <c r="E299" i="3"/>
  <c r="K299" i="3" s="1"/>
  <c r="F299" i="3"/>
  <c r="G299" i="3" s="1"/>
  <c r="E300" i="3"/>
  <c r="K300" i="3" s="1"/>
  <c r="F300" i="3"/>
  <c r="H300" i="3" s="1"/>
  <c r="I300" i="3" s="1"/>
  <c r="J300" i="3" s="1"/>
  <c r="E301" i="3"/>
  <c r="K301" i="3" s="1"/>
  <c r="F301" i="3"/>
  <c r="G301" i="3" s="1"/>
  <c r="E302" i="3"/>
  <c r="K302" i="3" s="1"/>
  <c r="F302" i="3"/>
  <c r="G302" i="3" s="1"/>
  <c r="E303" i="3"/>
  <c r="K303" i="3" s="1"/>
  <c r="F303" i="3"/>
  <c r="G303" i="3"/>
  <c r="H303" i="3"/>
  <c r="I303" i="3" s="1"/>
  <c r="J303" i="3" s="1"/>
  <c r="E304" i="3"/>
  <c r="K304" i="3" s="1"/>
  <c r="F304" i="3"/>
  <c r="G304" i="3" s="1"/>
  <c r="E305" i="3"/>
  <c r="K305" i="3" s="1"/>
  <c r="F305" i="3"/>
  <c r="G305" i="3" s="1"/>
  <c r="E306" i="3"/>
  <c r="K306" i="3" s="1"/>
  <c r="F306" i="3"/>
  <c r="G306" i="3" s="1"/>
  <c r="E307" i="3"/>
  <c r="K307" i="3" s="1"/>
  <c r="M307" i="3" s="1"/>
  <c r="F307" i="3"/>
  <c r="G307" i="3" s="1"/>
  <c r="E308" i="3"/>
  <c r="K308" i="3" s="1"/>
  <c r="F308" i="3"/>
  <c r="H308" i="3" s="1"/>
  <c r="I308" i="3" s="1"/>
  <c r="J308" i="3" s="1"/>
  <c r="E309" i="3"/>
  <c r="K309" i="3" s="1"/>
  <c r="M309" i="3" s="1"/>
  <c r="F309" i="3"/>
  <c r="G309" i="3" s="1"/>
  <c r="E310" i="3"/>
  <c r="K310" i="3" s="1"/>
  <c r="F310" i="3"/>
  <c r="G310" i="3" s="1"/>
  <c r="E311" i="3"/>
  <c r="K311" i="3" s="1"/>
  <c r="F311" i="3"/>
  <c r="G311" i="3" s="1"/>
  <c r="E312" i="3"/>
  <c r="K312" i="3" s="1"/>
  <c r="F312" i="3"/>
  <c r="G312" i="3" s="1"/>
  <c r="E313" i="3"/>
  <c r="K313" i="3" s="1"/>
  <c r="F313" i="3"/>
  <c r="H313" i="3" s="1"/>
  <c r="I313" i="3" s="1"/>
  <c r="J313" i="3" s="1"/>
  <c r="E314" i="3"/>
  <c r="K314" i="3" s="1"/>
  <c r="F314" i="3"/>
  <c r="G314" i="3" s="1"/>
  <c r="E315" i="3"/>
  <c r="K315" i="3" s="1"/>
  <c r="F315" i="3"/>
  <c r="G315" i="3" s="1"/>
  <c r="E316" i="3"/>
  <c r="K316" i="3" s="1"/>
  <c r="F316" i="3"/>
  <c r="G316" i="3" s="1"/>
  <c r="E317" i="3"/>
  <c r="K317" i="3" s="1"/>
  <c r="F317" i="3"/>
  <c r="G317" i="3" s="1"/>
  <c r="E318" i="3"/>
  <c r="K318" i="3" s="1"/>
  <c r="F318" i="3"/>
  <c r="H318" i="3" s="1"/>
  <c r="I318" i="3" s="1"/>
  <c r="J318" i="3" s="1"/>
  <c r="E319" i="3"/>
  <c r="K319" i="3" s="1"/>
  <c r="F319" i="3"/>
  <c r="G319" i="3" s="1"/>
  <c r="E320" i="3"/>
  <c r="K320" i="3" s="1"/>
  <c r="F320" i="3"/>
  <c r="G320" i="3" s="1"/>
  <c r="E321" i="3"/>
  <c r="K321" i="3" s="1"/>
  <c r="F321" i="3"/>
  <c r="G321" i="3" s="1"/>
  <c r="E322" i="3"/>
  <c r="K322" i="3" s="1"/>
  <c r="F322" i="3"/>
  <c r="G322" i="3" s="1"/>
  <c r="E323" i="3"/>
  <c r="K323" i="3" s="1"/>
  <c r="F323" i="3"/>
  <c r="H323" i="3" s="1"/>
  <c r="I323" i="3" s="1"/>
  <c r="J323" i="3" s="1"/>
  <c r="E324" i="3"/>
  <c r="K324" i="3" s="1"/>
  <c r="M324" i="3" s="1"/>
  <c r="F324" i="3"/>
  <c r="G324" i="3" s="1"/>
  <c r="E325" i="3"/>
  <c r="K325" i="3" s="1"/>
  <c r="F325" i="3"/>
  <c r="H325" i="3" s="1"/>
  <c r="I325" i="3" s="1"/>
  <c r="J325" i="3" s="1"/>
  <c r="E326" i="3"/>
  <c r="K326" i="3" s="1"/>
  <c r="F326" i="3"/>
  <c r="H326" i="3" s="1"/>
  <c r="I326" i="3" s="1"/>
  <c r="J326" i="3" s="1"/>
  <c r="E327" i="3"/>
  <c r="K327" i="3" s="1"/>
  <c r="F327" i="3"/>
  <c r="G327" i="3" s="1"/>
  <c r="E328" i="3"/>
  <c r="K328" i="3" s="1"/>
  <c r="F328" i="3"/>
  <c r="H328" i="3" s="1"/>
  <c r="I328" i="3" s="1"/>
  <c r="J328" i="3" s="1"/>
  <c r="E329" i="3"/>
  <c r="K329" i="3" s="1"/>
  <c r="F329" i="3"/>
  <c r="G329" i="3" s="1"/>
  <c r="E330" i="3"/>
  <c r="K330" i="3" s="1"/>
  <c r="F330" i="3"/>
  <c r="G330" i="3" s="1"/>
  <c r="E331" i="3"/>
  <c r="K331" i="3" s="1"/>
  <c r="F331" i="3"/>
  <c r="H331" i="3" s="1"/>
  <c r="I331" i="3" s="1"/>
  <c r="J331" i="3" s="1"/>
  <c r="E332" i="3"/>
  <c r="K332" i="3" s="1"/>
  <c r="F332" i="3"/>
  <c r="G332" i="3" s="1"/>
  <c r="E333" i="3"/>
  <c r="K333" i="3" s="1"/>
  <c r="F333" i="3"/>
  <c r="E334" i="3"/>
  <c r="K334" i="3" s="1"/>
  <c r="F334" i="3"/>
  <c r="G334" i="3" s="1"/>
  <c r="E335" i="3"/>
  <c r="K335" i="3" s="1"/>
  <c r="F335" i="3"/>
  <c r="G335" i="3" s="1"/>
  <c r="E336" i="3"/>
  <c r="K336" i="3" s="1"/>
  <c r="M336" i="3" s="1"/>
  <c r="F336" i="3"/>
  <c r="G336" i="3" s="1"/>
  <c r="E337" i="3"/>
  <c r="K337" i="3" s="1"/>
  <c r="M337" i="3" s="1"/>
  <c r="F337" i="3"/>
  <c r="E338" i="3"/>
  <c r="K338" i="3" s="1"/>
  <c r="M338" i="3" s="1"/>
  <c r="F338" i="3"/>
  <c r="E339" i="3"/>
  <c r="F339" i="3"/>
  <c r="H339" i="3" s="1"/>
  <c r="N339" i="3" s="1"/>
  <c r="K339" i="3"/>
  <c r="M339" i="3" s="1"/>
  <c r="E340" i="3"/>
  <c r="K340" i="3" s="1"/>
  <c r="F340" i="3"/>
  <c r="G340" i="3" s="1"/>
  <c r="H340" i="3"/>
  <c r="I340" i="3" s="1"/>
  <c r="J340" i="3" s="1"/>
  <c r="E341" i="3"/>
  <c r="K341" i="3" s="1"/>
  <c r="M341" i="3" s="1"/>
  <c r="F341" i="3"/>
  <c r="H341" i="3" s="1"/>
  <c r="N341" i="3" s="1"/>
  <c r="E342" i="3"/>
  <c r="K342" i="3" s="1"/>
  <c r="F342" i="3"/>
  <c r="H342" i="3" s="1"/>
  <c r="I342" i="3" s="1"/>
  <c r="J342" i="3" s="1"/>
  <c r="E343" i="3"/>
  <c r="K343" i="3" s="1"/>
  <c r="F343" i="3"/>
  <c r="G343" i="3" s="1"/>
  <c r="E344" i="3"/>
  <c r="K344" i="3" s="1"/>
  <c r="F344" i="3"/>
  <c r="G344" i="3" s="1"/>
  <c r="E345" i="3"/>
  <c r="K345" i="3" s="1"/>
  <c r="F345" i="3"/>
  <c r="H345" i="3" s="1"/>
  <c r="I345" i="3" s="1"/>
  <c r="J345" i="3" s="1"/>
  <c r="E346" i="3"/>
  <c r="K346" i="3" s="1"/>
  <c r="F346" i="3"/>
  <c r="H346" i="3" s="1"/>
  <c r="I346" i="3" s="1"/>
  <c r="J346" i="3" s="1"/>
  <c r="E347" i="3"/>
  <c r="K347" i="3" s="1"/>
  <c r="F347" i="3"/>
  <c r="H347" i="3" s="1"/>
  <c r="I347" i="3" s="1"/>
  <c r="J347" i="3" s="1"/>
  <c r="E348" i="3"/>
  <c r="K348" i="3" s="1"/>
  <c r="F348" i="3"/>
  <c r="G348" i="3" s="1"/>
  <c r="E349" i="3"/>
  <c r="K349" i="3" s="1"/>
  <c r="F349" i="3"/>
  <c r="G349" i="3" s="1"/>
  <c r="E350" i="3"/>
  <c r="K350" i="3" s="1"/>
  <c r="F350" i="3"/>
  <c r="G350" i="3" s="1"/>
  <c r="E351" i="3"/>
  <c r="F351" i="3"/>
  <c r="H351" i="3" s="1"/>
  <c r="I351" i="3" s="1"/>
  <c r="J351" i="3" s="1"/>
  <c r="G351" i="3"/>
  <c r="K351" i="3"/>
  <c r="E352" i="3"/>
  <c r="K352" i="3" s="1"/>
  <c r="M352" i="3" s="1"/>
  <c r="F352" i="3"/>
  <c r="E353" i="3"/>
  <c r="K353" i="3" s="1"/>
  <c r="F353" i="3"/>
  <c r="G353" i="3" s="1"/>
  <c r="E354" i="3"/>
  <c r="K354" i="3" s="1"/>
  <c r="F354" i="3"/>
  <c r="G354" i="3" s="1"/>
  <c r="E355" i="3"/>
  <c r="K355" i="3" s="1"/>
  <c r="F355" i="3"/>
  <c r="H355" i="3" s="1"/>
  <c r="I355" i="3" s="1"/>
  <c r="J355" i="3" s="1"/>
  <c r="E356" i="3"/>
  <c r="K356" i="3" s="1"/>
  <c r="F356" i="3"/>
  <c r="G356" i="3" s="1"/>
  <c r="E357" i="3"/>
  <c r="K357" i="3" s="1"/>
  <c r="F357" i="3"/>
  <c r="G357" i="3" s="1"/>
  <c r="E358" i="3"/>
  <c r="F358" i="3"/>
  <c r="H358" i="3" s="1"/>
  <c r="I358" i="3" s="1"/>
  <c r="J358" i="3" s="1"/>
  <c r="K358" i="3"/>
  <c r="E359" i="3"/>
  <c r="K359" i="3" s="1"/>
  <c r="F359" i="3"/>
  <c r="G359" i="3" s="1"/>
  <c r="E360" i="3"/>
  <c r="K360" i="3" s="1"/>
  <c r="F360" i="3"/>
  <c r="G360" i="3" s="1"/>
  <c r="E361" i="3"/>
  <c r="K361" i="3" s="1"/>
  <c r="F361" i="3"/>
  <c r="H361" i="3" s="1"/>
  <c r="I361" i="3" s="1"/>
  <c r="J361" i="3" s="1"/>
  <c r="E362" i="3"/>
  <c r="K362" i="3" s="1"/>
  <c r="F362" i="3"/>
  <c r="E363" i="3"/>
  <c r="K363" i="3" s="1"/>
  <c r="F363" i="3"/>
  <c r="G363" i="3" s="1"/>
  <c r="E364" i="3"/>
  <c r="K364" i="3" s="1"/>
  <c r="F364" i="3"/>
  <c r="G364" i="3" s="1"/>
  <c r="E365" i="3"/>
  <c r="K365" i="3" s="1"/>
  <c r="F365" i="3"/>
  <c r="G365" i="3" s="1"/>
  <c r="H365" i="3"/>
  <c r="I365" i="3" s="1"/>
  <c r="J365" i="3" s="1"/>
  <c r="E366" i="3"/>
  <c r="K366" i="3" s="1"/>
  <c r="F366" i="3"/>
  <c r="H366" i="3" s="1"/>
  <c r="I366" i="3" s="1"/>
  <c r="J366" i="3" s="1"/>
  <c r="G366" i="3"/>
  <c r="E367" i="3"/>
  <c r="K367" i="3" s="1"/>
  <c r="F367" i="3"/>
  <c r="G367" i="3" s="1"/>
  <c r="E368" i="3"/>
  <c r="K368" i="3" s="1"/>
  <c r="F368" i="3"/>
  <c r="G368" i="3" s="1"/>
  <c r="E369" i="3"/>
  <c r="K369" i="3" s="1"/>
  <c r="M369" i="3" s="1"/>
  <c r="F369" i="3"/>
  <c r="G369" i="3" s="1"/>
  <c r="E370" i="3"/>
  <c r="K370" i="3" s="1"/>
  <c r="F370" i="3"/>
  <c r="G370" i="3" s="1"/>
  <c r="E371" i="3"/>
  <c r="K371" i="3" s="1"/>
  <c r="F371" i="3"/>
  <c r="G371" i="3" s="1"/>
  <c r="E372" i="3"/>
  <c r="K372" i="3" s="1"/>
  <c r="F372" i="3"/>
  <c r="H372" i="3" s="1"/>
  <c r="I372" i="3" s="1"/>
  <c r="J372" i="3" s="1"/>
  <c r="E373" i="3"/>
  <c r="K373" i="3" s="1"/>
  <c r="F373" i="3"/>
  <c r="E374" i="3"/>
  <c r="K374" i="3" s="1"/>
  <c r="F374" i="3"/>
  <c r="G374" i="3" s="1"/>
  <c r="E375" i="3"/>
  <c r="K375" i="3" s="1"/>
  <c r="F375" i="3"/>
  <c r="G375" i="3" s="1"/>
  <c r="E376" i="3"/>
  <c r="K376" i="3" s="1"/>
  <c r="F376" i="3"/>
  <c r="G376" i="3" s="1"/>
  <c r="E377" i="3"/>
  <c r="K377" i="3" s="1"/>
  <c r="F377" i="3"/>
  <c r="H377" i="3" s="1"/>
  <c r="I377" i="3" s="1"/>
  <c r="J377" i="3" s="1"/>
  <c r="E378" i="3"/>
  <c r="K378" i="3" s="1"/>
  <c r="F378" i="3"/>
  <c r="G378" i="3" s="1"/>
  <c r="E379" i="3"/>
  <c r="K379" i="3" s="1"/>
  <c r="F379" i="3"/>
  <c r="H379" i="3" s="1"/>
  <c r="I379" i="3" s="1"/>
  <c r="J379" i="3" s="1"/>
  <c r="E380" i="3"/>
  <c r="K380" i="3" s="1"/>
  <c r="F380" i="3"/>
  <c r="G380" i="3" s="1"/>
  <c r="E381" i="3"/>
  <c r="K381" i="3" s="1"/>
  <c r="F381" i="3"/>
  <c r="G381" i="3" s="1"/>
  <c r="H381" i="3"/>
  <c r="I381" i="3" s="1"/>
  <c r="J381" i="3" s="1"/>
  <c r="E382" i="3"/>
  <c r="K382" i="3" s="1"/>
  <c r="F382" i="3"/>
  <c r="H382" i="3" s="1"/>
  <c r="I382" i="3" s="1"/>
  <c r="J382" i="3" s="1"/>
  <c r="E383" i="3"/>
  <c r="K383" i="3" s="1"/>
  <c r="F383" i="3"/>
  <c r="G383" i="3" s="1"/>
  <c r="E384" i="3"/>
  <c r="K384" i="3" s="1"/>
  <c r="F384" i="3"/>
  <c r="G384" i="3" s="1"/>
  <c r="E385" i="3"/>
  <c r="K385" i="3" s="1"/>
  <c r="F385" i="3"/>
  <c r="G385" i="3" s="1"/>
  <c r="E386" i="3"/>
  <c r="K386" i="3" s="1"/>
  <c r="F386" i="3"/>
  <c r="G386" i="3" s="1"/>
  <c r="E387" i="3"/>
  <c r="K387" i="3" s="1"/>
  <c r="F387" i="3"/>
  <c r="H387" i="3" s="1"/>
  <c r="I387" i="3" s="1"/>
  <c r="J387" i="3" s="1"/>
  <c r="E388" i="3"/>
  <c r="K388" i="3" s="1"/>
  <c r="F388" i="3"/>
  <c r="G388" i="3" s="1"/>
  <c r="E389" i="3"/>
  <c r="K389" i="3" s="1"/>
  <c r="F389" i="3"/>
  <c r="G389" i="3" s="1"/>
  <c r="E390" i="3"/>
  <c r="K390" i="3" s="1"/>
  <c r="F390" i="3"/>
  <c r="H390" i="3" s="1"/>
  <c r="I390" i="3" s="1"/>
  <c r="J390" i="3" s="1"/>
  <c r="E391" i="3"/>
  <c r="K391" i="3" s="1"/>
  <c r="F391" i="3"/>
  <c r="G391" i="3" s="1"/>
  <c r="E392" i="3"/>
  <c r="K392" i="3" s="1"/>
  <c r="F392" i="3"/>
  <c r="H392" i="3" s="1"/>
  <c r="I392" i="3" s="1"/>
  <c r="J392" i="3" s="1"/>
  <c r="E393" i="3"/>
  <c r="K393" i="3" s="1"/>
  <c r="F393" i="3"/>
  <c r="G393" i="3" s="1"/>
  <c r="H393" i="3"/>
  <c r="I393" i="3" s="1"/>
  <c r="J393" i="3" s="1"/>
  <c r="E394" i="3"/>
  <c r="K394" i="3" s="1"/>
  <c r="F394" i="3"/>
  <c r="G394" i="3" s="1"/>
  <c r="E395" i="3"/>
  <c r="K395" i="3" s="1"/>
  <c r="F395" i="3"/>
  <c r="H395" i="3" s="1"/>
  <c r="I395" i="3" s="1"/>
  <c r="J395" i="3" s="1"/>
  <c r="E396" i="3"/>
  <c r="K396" i="3" s="1"/>
  <c r="F396" i="3"/>
  <c r="G396" i="3" s="1"/>
  <c r="E397" i="3"/>
  <c r="K397" i="3" s="1"/>
  <c r="F397" i="3"/>
  <c r="E398" i="3"/>
  <c r="K398" i="3" s="1"/>
  <c r="F398" i="3"/>
  <c r="G398" i="3" s="1"/>
  <c r="E399" i="3"/>
  <c r="K399" i="3" s="1"/>
  <c r="F399" i="3"/>
  <c r="G399" i="3" s="1"/>
  <c r="E400" i="3"/>
  <c r="K400" i="3" s="1"/>
  <c r="F400" i="3"/>
  <c r="G400" i="3" s="1"/>
  <c r="E401" i="3"/>
  <c r="K401" i="3" s="1"/>
  <c r="F401" i="3"/>
  <c r="E402" i="3"/>
  <c r="K402" i="3" s="1"/>
  <c r="F402" i="3"/>
  <c r="E403" i="3"/>
  <c r="K403" i="3" s="1"/>
  <c r="F403" i="3"/>
  <c r="H403" i="3" s="1"/>
  <c r="I403" i="3" s="1"/>
  <c r="J403" i="3" s="1"/>
  <c r="E404" i="3"/>
  <c r="K404" i="3" s="1"/>
  <c r="F404" i="3"/>
  <c r="G404" i="3" s="1"/>
  <c r="E405" i="3"/>
  <c r="K405" i="3" s="1"/>
  <c r="F405" i="3"/>
  <c r="G405" i="3" s="1"/>
  <c r="E406" i="3"/>
  <c r="K406" i="3" s="1"/>
  <c r="F406" i="3"/>
  <c r="H406" i="3" s="1"/>
  <c r="I406" i="3" s="1"/>
  <c r="J406" i="3" s="1"/>
  <c r="E407" i="3"/>
  <c r="F407" i="3"/>
  <c r="G407" i="3" s="1"/>
  <c r="K407" i="3"/>
  <c r="E408" i="3"/>
  <c r="K408" i="3" s="1"/>
  <c r="F408" i="3"/>
  <c r="G408" i="3" s="1"/>
  <c r="E409" i="3"/>
  <c r="K409" i="3" s="1"/>
  <c r="F409" i="3"/>
  <c r="H409" i="3" s="1"/>
  <c r="I409" i="3" s="1"/>
  <c r="J409" i="3" s="1"/>
  <c r="G409" i="3"/>
  <c r="E410" i="3"/>
  <c r="K410" i="3" s="1"/>
  <c r="F410" i="3"/>
  <c r="H410" i="3" s="1"/>
  <c r="I410" i="3" s="1"/>
  <c r="J410" i="3" s="1"/>
  <c r="E411" i="3"/>
  <c r="K411" i="3" s="1"/>
  <c r="F411" i="3"/>
  <c r="H411" i="3" s="1"/>
  <c r="I411" i="3" s="1"/>
  <c r="J411" i="3" s="1"/>
  <c r="E412" i="3"/>
  <c r="K412" i="3" s="1"/>
  <c r="F412" i="3"/>
  <c r="G412" i="3" s="1"/>
  <c r="E413" i="3"/>
  <c r="K413" i="3" s="1"/>
  <c r="F413" i="3"/>
  <c r="G413" i="3" s="1"/>
  <c r="E414" i="3"/>
  <c r="K414" i="3" s="1"/>
  <c r="F414" i="3"/>
  <c r="G414" i="3" s="1"/>
  <c r="E415" i="3"/>
  <c r="F415" i="3"/>
  <c r="G415" i="3"/>
  <c r="H415" i="3"/>
  <c r="I415" i="3" s="1"/>
  <c r="J415" i="3" s="1"/>
  <c r="K415" i="3"/>
  <c r="E416" i="3"/>
  <c r="K416" i="3" s="1"/>
  <c r="F416" i="3"/>
  <c r="E417" i="3"/>
  <c r="K417" i="3" s="1"/>
  <c r="F417" i="3"/>
  <c r="G417" i="3" s="1"/>
  <c r="E418" i="3"/>
  <c r="K418" i="3" s="1"/>
  <c r="F418" i="3"/>
  <c r="G418" i="3" s="1"/>
  <c r="E419" i="3"/>
  <c r="K419" i="3" s="1"/>
  <c r="F419" i="3"/>
  <c r="G419" i="3" s="1"/>
  <c r="E420" i="3"/>
  <c r="K420" i="3" s="1"/>
  <c r="F420" i="3"/>
  <c r="G420" i="3" s="1"/>
  <c r="E421" i="3"/>
  <c r="K421" i="3" s="1"/>
  <c r="F421" i="3"/>
  <c r="G421" i="3" s="1"/>
  <c r="E422" i="3"/>
  <c r="K422" i="3" s="1"/>
  <c r="F422" i="3"/>
  <c r="H422" i="3" s="1"/>
  <c r="I422" i="3" s="1"/>
  <c r="J422" i="3" s="1"/>
  <c r="E423" i="3"/>
  <c r="K423" i="3" s="1"/>
  <c r="F423" i="3"/>
  <c r="G423" i="3" s="1"/>
  <c r="E424" i="3"/>
  <c r="K424" i="3" s="1"/>
  <c r="F424" i="3"/>
  <c r="G424" i="3" s="1"/>
  <c r="E425" i="3"/>
  <c r="K425" i="3" s="1"/>
  <c r="F425" i="3"/>
  <c r="H425" i="3" s="1"/>
  <c r="I425" i="3" s="1"/>
  <c r="J425" i="3" s="1"/>
  <c r="E426" i="3"/>
  <c r="K426" i="3" s="1"/>
  <c r="F426" i="3"/>
  <c r="E427" i="3"/>
  <c r="K427" i="3" s="1"/>
  <c r="F427" i="3"/>
  <c r="G427" i="3" s="1"/>
  <c r="E428" i="3"/>
  <c r="K428" i="3" s="1"/>
  <c r="F428" i="3"/>
  <c r="G428" i="3" s="1"/>
  <c r="E429" i="3"/>
  <c r="F429" i="3"/>
  <c r="G429" i="3" s="1"/>
  <c r="K429" i="3"/>
  <c r="E430" i="3"/>
  <c r="K430" i="3" s="1"/>
  <c r="F430" i="3"/>
  <c r="G430" i="3" s="1"/>
  <c r="E431" i="3"/>
  <c r="K431" i="3" s="1"/>
  <c r="F431" i="3"/>
  <c r="G431" i="3" s="1"/>
  <c r="E432" i="3"/>
  <c r="K432" i="3" s="1"/>
  <c r="F432" i="3"/>
  <c r="G432" i="3" s="1"/>
  <c r="E433" i="3"/>
  <c r="K433" i="3" s="1"/>
  <c r="F433" i="3"/>
  <c r="G433" i="3" s="1"/>
  <c r="E434" i="3"/>
  <c r="K434" i="3" s="1"/>
  <c r="F434" i="3"/>
  <c r="G434" i="3" s="1"/>
  <c r="E435" i="3"/>
  <c r="K435" i="3" s="1"/>
  <c r="F435" i="3"/>
  <c r="G435" i="3" s="1"/>
  <c r="E436" i="3"/>
  <c r="K436" i="3" s="1"/>
  <c r="F436" i="3"/>
  <c r="H436" i="3" s="1"/>
  <c r="I436" i="3" s="1"/>
  <c r="J436" i="3" s="1"/>
  <c r="E437" i="3"/>
  <c r="K437" i="3" s="1"/>
  <c r="F437" i="3"/>
  <c r="E438" i="3"/>
  <c r="K438" i="3" s="1"/>
  <c r="F438" i="3"/>
  <c r="H438" i="3" s="1"/>
  <c r="I438" i="3" s="1"/>
  <c r="J438" i="3" s="1"/>
  <c r="E439" i="3"/>
  <c r="K439" i="3" s="1"/>
  <c r="F439" i="3"/>
  <c r="G439" i="3" s="1"/>
  <c r="E440" i="3"/>
  <c r="K440" i="3" s="1"/>
  <c r="F440" i="3"/>
  <c r="G440" i="3" s="1"/>
  <c r="E441" i="3"/>
  <c r="K441" i="3" s="1"/>
  <c r="F441" i="3"/>
  <c r="H441" i="3" s="1"/>
  <c r="I441" i="3" s="1"/>
  <c r="J441" i="3" s="1"/>
  <c r="E442" i="3"/>
  <c r="K442" i="3" s="1"/>
  <c r="F442" i="3"/>
  <c r="E443" i="3"/>
  <c r="K443" i="3" s="1"/>
  <c r="F443" i="3"/>
  <c r="G443" i="3" s="1"/>
  <c r="E444" i="3"/>
  <c r="K444" i="3" s="1"/>
  <c r="F444" i="3"/>
  <c r="G444" i="3" s="1"/>
  <c r="E445" i="3"/>
  <c r="K445" i="3" s="1"/>
  <c r="F445" i="3"/>
  <c r="G445" i="3" s="1"/>
  <c r="E446" i="3"/>
  <c r="K446" i="3" s="1"/>
  <c r="F446" i="3"/>
  <c r="H446" i="3" s="1"/>
  <c r="I446" i="3" s="1"/>
  <c r="J446" i="3" s="1"/>
  <c r="E447" i="3"/>
  <c r="K447" i="3" s="1"/>
  <c r="F447" i="3"/>
  <c r="G447" i="3" s="1"/>
  <c r="E448" i="3"/>
  <c r="K448" i="3" s="1"/>
  <c r="F448" i="3"/>
  <c r="H448" i="3" s="1"/>
  <c r="I448" i="3" s="1"/>
  <c r="J448" i="3" s="1"/>
  <c r="E449" i="3"/>
  <c r="K449" i="3" s="1"/>
  <c r="F449" i="3"/>
  <c r="G449" i="3" s="1"/>
  <c r="E450" i="3"/>
  <c r="K450" i="3" s="1"/>
  <c r="F450" i="3"/>
  <c r="G450" i="3" s="1"/>
  <c r="E451" i="3"/>
  <c r="K451" i="3" s="1"/>
  <c r="F451" i="3"/>
  <c r="H451" i="3" s="1"/>
  <c r="I451" i="3" s="1"/>
  <c r="J451" i="3" s="1"/>
  <c r="E452" i="3"/>
  <c r="K452" i="3" s="1"/>
  <c r="F452" i="3"/>
  <c r="H452" i="3" s="1"/>
  <c r="I452" i="3" s="1"/>
  <c r="J452" i="3" s="1"/>
  <c r="E453" i="3"/>
  <c r="K453" i="3" s="1"/>
  <c r="F453" i="3"/>
  <c r="G453" i="3" s="1"/>
  <c r="E454" i="3"/>
  <c r="F454" i="3"/>
  <c r="H454" i="3" s="1"/>
  <c r="I454" i="3" s="1"/>
  <c r="J454" i="3" s="1"/>
  <c r="K454" i="3"/>
  <c r="E455" i="3"/>
  <c r="K455" i="3" s="1"/>
  <c r="F455" i="3"/>
  <c r="G455" i="3" s="1"/>
  <c r="E456" i="3"/>
  <c r="K456" i="3" s="1"/>
  <c r="F456" i="3"/>
  <c r="H456" i="3" s="1"/>
  <c r="I456" i="3" s="1"/>
  <c r="J456" i="3" s="1"/>
  <c r="E457" i="3"/>
  <c r="K457" i="3" s="1"/>
  <c r="F457" i="3"/>
  <c r="G457" i="3" s="1"/>
  <c r="H457" i="3"/>
  <c r="I457" i="3" s="1"/>
  <c r="J457" i="3" s="1"/>
  <c r="E458" i="3"/>
  <c r="K458" i="3" s="1"/>
  <c r="F458" i="3"/>
  <c r="G458" i="3" s="1"/>
  <c r="E459" i="3"/>
  <c r="K459" i="3" s="1"/>
  <c r="F459" i="3"/>
  <c r="H459" i="3" s="1"/>
  <c r="I459" i="3" s="1"/>
  <c r="J459" i="3" s="1"/>
  <c r="E460" i="3"/>
  <c r="K460" i="3" s="1"/>
  <c r="F460" i="3"/>
  <c r="G460" i="3" s="1"/>
  <c r="E461" i="3"/>
  <c r="K461" i="3" s="1"/>
  <c r="F461" i="3"/>
  <c r="G461" i="3" s="1"/>
  <c r="E462" i="3"/>
  <c r="K462" i="3" s="1"/>
  <c r="F462" i="3"/>
  <c r="G462" i="3" s="1"/>
  <c r="E463" i="3"/>
  <c r="K463" i="3" s="1"/>
  <c r="F463" i="3"/>
  <c r="G463" i="3" s="1"/>
  <c r="E464" i="3"/>
  <c r="K464" i="3" s="1"/>
  <c r="F464" i="3"/>
  <c r="G464" i="3" s="1"/>
  <c r="E465" i="3"/>
  <c r="K465" i="3" s="1"/>
  <c r="F465" i="3"/>
  <c r="G465" i="3" s="1"/>
  <c r="E466" i="3"/>
  <c r="K466" i="3" s="1"/>
  <c r="F466" i="3"/>
  <c r="E467" i="3"/>
  <c r="K467" i="3" s="1"/>
  <c r="F467" i="3"/>
  <c r="G467" i="3" s="1"/>
  <c r="E468" i="3"/>
  <c r="K468" i="3" s="1"/>
  <c r="F468" i="3"/>
  <c r="G468" i="3" s="1"/>
  <c r="E469" i="3"/>
  <c r="K469" i="3" s="1"/>
  <c r="F469" i="3"/>
  <c r="G469" i="3" s="1"/>
  <c r="E470" i="3"/>
  <c r="K470" i="3" s="1"/>
  <c r="F470" i="3"/>
  <c r="G470" i="3" s="1"/>
  <c r="E471" i="3"/>
  <c r="K471" i="3" s="1"/>
  <c r="F471" i="3"/>
  <c r="E472" i="3"/>
  <c r="K472" i="3" s="1"/>
  <c r="F472" i="3"/>
  <c r="G472" i="3" s="1"/>
  <c r="E473" i="3"/>
  <c r="K473" i="3" s="1"/>
  <c r="F473" i="3"/>
  <c r="H473" i="3" s="1"/>
  <c r="I473" i="3" s="1"/>
  <c r="J473" i="3" s="1"/>
  <c r="E474" i="3"/>
  <c r="K474" i="3" s="1"/>
  <c r="F474" i="3"/>
  <c r="H474" i="3" s="1"/>
  <c r="I474" i="3" s="1"/>
  <c r="J474" i="3" s="1"/>
  <c r="E475" i="3"/>
  <c r="K475" i="3" s="1"/>
  <c r="F475" i="3"/>
  <c r="H475" i="3" s="1"/>
  <c r="I475" i="3" s="1"/>
  <c r="J475" i="3" s="1"/>
  <c r="E476" i="3"/>
  <c r="K476" i="3" s="1"/>
  <c r="F476" i="3"/>
  <c r="G476" i="3" s="1"/>
  <c r="E477" i="3"/>
  <c r="K477" i="3" s="1"/>
  <c r="F477" i="3"/>
  <c r="H477" i="3" s="1"/>
  <c r="I477" i="3" s="1"/>
  <c r="J477" i="3" s="1"/>
  <c r="E478" i="3"/>
  <c r="K478" i="3" s="1"/>
  <c r="F478" i="3"/>
  <c r="H478" i="3" s="1"/>
  <c r="I478" i="3" s="1"/>
  <c r="J478" i="3" s="1"/>
  <c r="E479" i="3"/>
  <c r="F479" i="3"/>
  <c r="G479" i="3" s="1"/>
  <c r="K479" i="3"/>
  <c r="E480" i="3"/>
  <c r="K480" i="3" s="1"/>
  <c r="F480" i="3"/>
  <c r="H480" i="3" s="1"/>
  <c r="I480" i="3" s="1"/>
  <c r="J480" i="3" s="1"/>
  <c r="E481" i="3"/>
  <c r="K481" i="3" s="1"/>
  <c r="F481" i="3"/>
  <c r="G481" i="3" s="1"/>
  <c r="E482" i="3"/>
  <c r="K482" i="3" s="1"/>
  <c r="F482" i="3"/>
  <c r="G482" i="3" s="1"/>
  <c r="E483" i="3"/>
  <c r="K483" i="3" s="1"/>
  <c r="F483" i="3"/>
  <c r="G483" i="3" s="1"/>
  <c r="E484" i="3"/>
  <c r="K484" i="3" s="1"/>
  <c r="F484" i="3"/>
  <c r="G484" i="3" s="1"/>
  <c r="E485" i="3"/>
  <c r="K485" i="3" s="1"/>
  <c r="F485" i="3"/>
  <c r="H485" i="3" s="1"/>
  <c r="I485" i="3" s="1"/>
  <c r="J485" i="3" s="1"/>
  <c r="E486" i="3"/>
  <c r="K486" i="3" s="1"/>
  <c r="F486" i="3"/>
  <c r="H486" i="3" s="1"/>
  <c r="I486" i="3" s="1"/>
  <c r="J486" i="3" s="1"/>
  <c r="E487" i="3"/>
  <c r="K487" i="3" s="1"/>
  <c r="F487" i="3"/>
  <c r="G487" i="3" s="1"/>
  <c r="E488" i="3"/>
  <c r="K488" i="3" s="1"/>
  <c r="F488" i="3"/>
  <c r="G488" i="3" s="1"/>
  <c r="E489" i="3"/>
  <c r="K489" i="3" s="1"/>
  <c r="F489" i="3"/>
  <c r="H489" i="3" s="1"/>
  <c r="I489" i="3" s="1"/>
  <c r="J489" i="3" s="1"/>
  <c r="E490" i="3"/>
  <c r="F490" i="3"/>
  <c r="K490" i="3"/>
  <c r="E491" i="3"/>
  <c r="K491" i="3" s="1"/>
  <c r="F491" i="3"/>
  <c r="H491" i="3" s="1"/>
  <c r="I491" i="3" s="1"/>
  <c r="J491" i="3" s="1"/>
  <c r="E492" i="3"/>
  <c r="K492" i="3" s="1"/>
  <c r="F492" i="3"/>
  <c r="G492" i="3" s="1"/>
  <c r="E493" i="3"/>
  <c r="F493" i="3"/>
  <c r="G493" i="3" s="1"/>
  <c r="K493" i="3"/>
  <c r="E494" i="3"/>
  <c r="K494" i="3" s="1"/>
  <c r="F494" i="3"/>
  <c r="H494" i="3" s="1"/>
  <c r="I494" i="3" s="1"/>
  <c r="J494" i="3" s="1"/>
  <c r="E495" i="3"/>
  <c r="K495" i="3" s="1"/>
  <c r="F495" i="3"/>
  <c r="G495" i="3" s="1"/>
  <c r="E496" i="3"/>
  <c r="K496" i="3" s="1"/>
  <c r="F496" i="3"/>
  <c r="G496" i="3" s="1"/>
  <c r="H496" i="3"/>
  <c r="I496" i="3" s="1"/>
  <c r="J496" i="3" s="1"/>
  <c r="E497" i="3"/>
  <c r="K497" i="3" s="1"/>
  <c r="F497" i="3"/>
  <c r="G497" i="3" s="1"/>
  <c r="E498" i="3"/>
  <c r="K498" i="3" s="1"/>
  <c r="F498" i="3"/>
  <c r="G498" i="3" s="1"/>
  <c r="E499" i="3"/>
  <c r="K499" i="3" s="1"/>
  <c r="F499" i="3"/>
  <c r="H499" i="3" s="1"/>
  <c r="I499" i="3" s="1"/>
  <c r="J499" i="3" s="1"/>
  <c r="E500" i="3"/>
  <c r="K500" i="3" s="1"/>
  <c r="F500" i="3"/>
  <c r="G500" i="3" s="1"/>
  <c r="E501" i="3"/>
  <c r="K501" i="3" s="1"/>
  <c r="F501" i="3"/>
  <c r="H501" i="3" s="1"/>
  <c r="I501" i="3" s="1"/>
  <c r="J501" i="3" s="1"/>
  <c r="E502" i="3"/>
  <c r="K502" i="3" s="1"/>
  <c r="F502" i="3"/>
  <c r="G502" i="3" s="1"/>
  <c r="E503" i="3"/>
  <c r="K503" i="3" s="1"/>
  <c r="F503" i="3"/>
  <c r="G503" i="3" s="1"/>
  <c r="E504" i="3"/>
  <c r="K504" i="3" s="1"/>
  <c r="F504" i="3"/>
  <c r="G504" i="3" s="1"/>
  <c r="E505" i="3"/>
  <c r="K505" i="3" s="1"/>
  <c r="F505" i="3"/>
  <c r="G505" i="3" s="1"/>
  <c r="E506" i="3"/>
  <c r="K506" i="3" s="1"/>
  <c r="F506" i="3"/>
  <c r="G506" i="3" s="1"/>
  <c r="E507" i="3"/>
  <c r="K507" i="3" s="1"/>
  <c r="F507" i="3"/>
  <c r="G507" i="3" s="1"/>
  <c r="E508" i="3"/>
  <c r="K508" i="3" s="1"/>
  <c r="F508" i="3"/>
  <c r="G508" i="3" s="1"/>
  <c r="E509" i="3"/>
  <c r="K509" i="3" s="1"/>
  <c r="F509" i="3"/>
  <c r="H509" i="3" s="1"/>
  <c r="I509" i="3" s="1"/>
  <c r="J509" i="3" s="1"/>
  <c r="E510" i="3"/>
  <c r="K510" i="3" s="1"/>
  <c r="F510" i="3"/>
  <c r="G510" i="3" s="1"/>
  <c r="E511" i="3"/>
  <c r="K511" i="3" s="1"/>
  <c r="F511" i="3"/>
  <c r="E512" i="3"/>
  <c r="K512" i="3" s="1"/>
  <c r="F512" i="3"/>
  <c r="G512" i="3" s="1"/>
  <c r="E513" i="3"/>
  <c r="K513" i="3" s="1"/>
  <c r="F513" i="3"/>
  <c r="G513" i="3" s="1"/>
  <c r="E514" i="3"/>
  <c r="K514" i="3" s="1"/>
  <c r="F514" i="3"/>
  <c r="H514" i="3" s="1"/>
  <c r="I514" i="3" s="1"/>
  <c r="J514" i="3" s="1"/>
  <c r="E515" i="3"/>
  <c r="K515" i="3" s="1"/>
  <c r="F515" i="3"/>
  <c r="G515" i="3" s="1"/>
  <c r="E516" i="3"/>
  <c r="K516" i="3" s="1"/>
  <c r="F516" i="3"/>
  <c r="G516" i="3" s="1"/>
  <c r="E517" i="3"/>
  <c r="K517" i="3" s="1"/>
  <c r="F517" i="3"/>
  <c r="G517" i="3" s="1"/>
  <c r="E518" i="3"/>
  <c r="K518" i="3" s="1"/>
  <c r="F518" i="3"/>
  <c r="G518" i="3" s="1"/>
  <c r="E519" i="3"/>
  <c r="K519" i="3" s="1"/>
  <c r="F519" i="3"/>
  <c r="G519" i="3" s="1"/>
  <c r="E520" i="3"/>
  <c r="K520" i="3" s="1"/>
  <c r="F520" i="3"/>
  <c r="H520" i="3" s="1"/>
  <c r="I520" i="3" s="1"/>
  <c r="J520" i="3" s="1"/>
  <c r="E521" i="3"/>
  <c r="K521" i="3" s="1"/>
  <c r="F521" i="3"/>
  <c r="G521" i="3" s="1"/>
  <c r="E522" i="3"/>
  <c r="K522" i="3" s="1"/>
  <c r="F522" i="3"/>
  <c r="G522" i="3" s="1"/>
  <c r="E523" i="3"/>
  <c r="K523" i="3" s="1"/>
  <c r="F523" i="3"/>
  <c r="G523" i="3" s="1"/>
  <c r="H523" i="3"/>
  <c r="I523" i="3" s="1"/>
  <c r="J523" i="3" s="1"/>
  <c r="E524" i="3"/>
  <c r="K524" i="3" s="1"/>
  <c r="F524" i="3"/>
  <c r="G524" i="3" s="1"/>
  <c r="E525" i="3"/>
  <c r="K525" i="3" s="1"/>
  <c r="F525" i="3"/>
  <c r="G525" i="3" s="1"/>
  <c r="E526" i="3"/>
  <c r="K526" i="3" s="1"/>
  <c r="F526" i="3"/>
  <c r="G526" i="3" s="1"/>
  <c r="E527" i="3"/>
  <c r="K527" i="3" s="1"/>
  <c r="F527" i="3"/>
  <c r="G527" i="3" s="1"/>
  <c r="E528" i="3"/>
  <c r="K528" i="3" s="1"/>
  <c r="F528" i="3"/>
  <c r="G528" i="3" s="1"/>
  <c r="E529" i="3"/>
  <c r="K529" i="3" s="1"/>
  <c r="F529" i="3"/>
  <c r="G529" i="3" s="1"/>
  <c r="E530" i="3"/>
  <c r="K530" i="3" s="1"/>
  <c r="F530" i="3"/>
  <c r="E531" i="3"/>
  <c r="K531" i="3" s="1"/>
  <c r="F531" i="3"/>
  <c r="H531" i="3" s="1"/>
  <c r="I531" i="3" s="1"/>
  <c r="J531" i="3" s="1"/>
  <c r="E532" i="3"/>
  <c r="K532" i="3" s="1"/>
  <c r="F532" i="3"/>
  <c r="H532" i="3" s="1"/>
  <c r="I532" i="3" s="1"/>
  <c r="J532" i="3" s="1"/>
  <c r="E533" i="3"/>
  <c r="F533" i="3"/>
  <c r="G533" i="3" s="1"/>
  <c r="K533" i="3"/>
  <c r="E534" i="3"/>
  <c r="K534" i="3" s="1"/>
  <c r="F534" i="3"/>
  <c r="G534" i="3" s="1"/>
  <c r="E535" i="3"/>
  <c r="K535" i="3" s="1"/>
  <c r="F535" i="3"/>
  <c r="E536" i="3"/>
  <c r="K536" i="3" s="1"/>
  <c r="F536" i="3"/>
  <c r="G536" i="3" s="1"/>
  <c r="E537" i="3"/>
  <c r="K537" i="3" s="1"/>
  <c r="F537" i="3"/>
  <c r="G537" i="3" s="1"/>
  <c r="E538" i="3"/>
  <c r="K538" i="3" s="1"/>
  <c r="F538" i="3"/>
  <c r="H538" i="3" s="1"/>
  <c r="I538" i="3" s="1"/>
  <c r="J538" i="3" s="1"/>
  <c r="G538" i="3"/>
  <c r="E539" i="3"/>
  <c r="K539" i="3" s="1"/>
  <c r="F539" i="3"/>
  <c r="H539" i="3" s="1"/>
  <c r="I539" i="3" s="1"/>
  <c r="J539" i="3" s="1"/>
  <c r="E540" i="3"/>
  <c r="K540" i="3" s="1"/>
  <c r="F540" i="3"/>
  <c r="H540" i="3" s="1"/>
  <c r="I540" i="3" s="1"/>
  <c r="J540" i="3" s="1"/>
  <c r="E541" i="3"/>
  <c r="K541" i="3" s="1"/>
  <c r="F541" i="3"/>
  <c r="G541" i="3" s="1"/>
  <c r="E542" i="3"/>
  <c r="K542" i="3" s="1"/>
  <c r="F542" i="3"/>
  <c r="G542" i="3" s="1"/>
  <c r="E543" i="3"/>
  <c r="K543" i="3" s="1"/>
  <c r="F543" i="3"/>
  <c r="G543" i="3" s="1"/>
  <c r="E544" i="3"/>
  <c r="K544" i="3" s="1"/>
  <c r="F544" i="3"/>
  <c r="H544" i="3" s="1"/>
  <c r="I544" i="3" s="1"/>
  <c r="J544" i="3" s="1"/>
  <c r="E545" i="3"/>
  <c r="K545" i="3" s="1"/>
  <c r="F545" i="3"/>
  <c r="G545" i="3" s="1"/>
  <c r="E546" i="3"/>
  <c r="F546" i="3"/>
  <c r="G546" i="3" s="1"/>
  <c r="K546" i="3"/>
  <c r="E547" i="3"/>
  <c r="K547" i="3" s="1"/>
  <c r="F547" i="3"/>
  <c r="G547" i="3" s="1"/>
  <c r="E548" i="3"/>
  <c r="K548" i="3" s="1"/>
  <c r="F548" i="3"/>
  <c r="G548" i="3" s="1"/>
  <c r="E549" i="3"/>
  <c r="K549" i="3" s="1"/>
  <c r="F549" i="3"/>
  <c r="G549" i="3" s="1"/>
  <c r="E550" i="3"/>
  <c r="K550" i="3" s="1"/>
  <c r="F550" i="3"/>
  <c r="H550" i="3" s="1"/>
  <c r="I550" i="3" s="1"/>
  <c r="J550" i="3" s="1"/>
  <c r="E551" i="3"/>
  <c r="K551" i="3" s="1"/>
  <c r="F551" i="3"/>
  <c r="G551" i="3" s="1"/>
  <c r="E552" i="3"/>
  <c r="K552" i="3" s="1"/>
  <c r="F552" i="3"/>
  <c r="G552" i="3" s="1"/>
  <c r="H552" i="3"/>
  <c r="I552" i="3" s="1"/>
  <c r="J552" i="3" s="1"/>
  <c r="E553" i="3"/>
  <c r="K553" i="3" s="1"/>
  <c r="F553" i="3"/>
  <c r="G553" i="3" s="1"/>
  <c r="E554" i="3"/>
  <c r="K554" i="3" s="1"/>
  <c r="F554" i="3"/>
  <c r="E555" i="3"/>
  <c r="K555" i="3" s="1"/>
  <c r="F555" i="3"/>
  <c r="G555" i="3" s="1"/>
  <c r="E556" i="3"/>
  <c r="K556" i="3" s="1"/>
  <c r="F556" i="3"/>
  <c r="H556" i="3" s="1"/>
  <c r="I556" i="3" s="1"/>
  <c r="J556" i="3" s="1"/>
  <c r="E557" i="3"/>
  <c r="K557" i="3" s="1"/>
  <c r="F557" i="3"/>
  <c r="G557" i="3" s="1"/>
  <c r="E558" i="3"/>
  <c r="K558" i="3" s="1"/>
  <c r="F558" i="3"/>
  <c r="G558" i="3" s="1"/>
  <c r="E559" i="3"/>
  <c r="K559" i="3" s="1"/>
  <c r="F559" i="3"/>
  <c r="G559" i="3" s="1"/>
  <c r="E560" i="3"/>
  <c r="K560" i="3" s="1"/>
  <c r="F560" i="3"/>
  <c r="H560" i="3" s="1"/>
  <c r="I560" i="3" s="1"/>
  <c r="J560" i="3" s="1"/>
  <c r="E561" i="3"/>
  <c r="K561" i="3" s="1"/>
  <c r="F561" i="3"/>
  <c r="G561" i="3" s="1"/>
  <c r="E562" i="3"/>
  <c r="K562" i="3" s="1"/>
  <c r="F562" i="3"/>
  <c r="G562" i="3" s="1"/>
  <c r="E563" i="3"/>
  <c r="K563" i="3" s="1"/>
  <c r="F563" i="3"/>
  <c r="H563" i="3" s="1"/>
  <c r="I563" i="3" s="1"/>
  <c r="J563" i="3" s="1"/>
  <c r="E564" i="3"/>
  <c r="K564" i="3" s="1"/>
  <c r="F564" i="3"/>
  <c r="H564" i="3" s="1"/>
  <c r="I564" i="3" s="1"/>
  <c r="J564" i="3" s="1"/>
  <c r="E565" i="3"/>
  <c r="K565" i="3" s="1"/>
  <c r="F565" i="3"/>
  <c r="H565" i="3" s="1"/>
  <c r="I565" i="3" s="1"/>
  <c r="J565" i="3" s="1"/>
  <c r="E566" i="3"/>
  <c r="K566" i="3" s="1"/>
  <c r="F566" i="3"/>
  <c r="G566" i="3" s="1"/>
  <c r="E567" i="3"/>
  <c r="K567" i="3" s="1"/>
  <c r="F567" i="3"/>
  <c r="G567" i="3" s="1"/>
  <c r="E568" i="3"/>
  <c r="K568" i="3" s="1"/>
  <c r="F568" i="3"/>
  <c r="G568" i="3" s="1"/>
  <c r="E569" i="3"/>
  <c r="F569" i="3"/>
  <c r="G569" i="3" s="1"/>
  <c r="K569" i="3"/>
  <c r="E570" i="3"/>
  <c r="K570" i="3" s="1"/>
  <c r="F570" i="3"/>
  <c r="G570" i="3" s="1"/>
  <c r="E571" i="3"/>
  <c r="K571" i="3" s="1"/>
  <c r="F571" i="3"/>
  <c r="G571" i="3" s="1"/>
  <c r="H571" i="3"/>
  <c r="I571" i="3" s="1"/>
  <c r="J571" i="3" s="1"/>
  <c r="E572" i="3"/>
  <c r="K572" i="3" s="1"/>
  <c r="F572" i="3"/>
  <c r="G572" i="3" s="1"/>
  <c r="E573" i="3"/>
  <c r="K573" i="3" s="1"/>
  <c r="F573" i="3"/>
  <c r="H573" i="3" s="1"/>
  <c r="I573" i="3" s="1"/>
  <c r="J573" i="3" s="1"/>
  <c r="E574" i="3"/>
  <c r="K574" i="3" s="1"/>
  <c r="F574" i="3"/>
  <c r="H574" i="3" s="1"/>
  <c r="I574" i="3" s="1"/>
  <c r="J574" i="3" s="1"/>
  <c r="E575" i="3"/>
  <c r="K575" i="3" s="1"/>
  <c r="F575" i="3"/>
  <c r="H575" i="3" s="1"/>
  <c r="I575" i="3" s="1"/>
  <c r="J575" i="3" s="1"/>
  <c r="E576" i="3"/>
  <c r="K576" i="3" s="1"/>
  <c r="F576" i="3"/>
  <c r="H576" i="3" s="1"/>
  <c r="I576" i="3" s="1"/>
  <c r="J576" i="3" s="1"/>
  <c r="E577" i="3"/>
  <c r="K577" i="3" s="1"/>
  <c r="F577" i="3"/>
  <c r="H577" i="3" s="1"/>
  <c r="I577" i="3" s="1"/>
  <c r="J577" i="3" s="1"/>
  <c r="E578" i="3"/>
  <c r="K578" i="3" s="1"/>
  <c r="F578" i="3"/>
  <c r="G578" i="3" s="1"/>
  <c r="E579" i="3"/>
  <c r="K579" i="3" s="1"/>
  <c r="F579" i="3"/>
  <c r="G579" i="3" s="1"/>
  <c r="E580" i="3"/>
  <c r="K580" i="3" s="1"/>
  <c r="F580" i="3"/>
  <c r="G580" i="3"/>
  <c r="H580" i="3"/>
  <c r="I580" i="3" s="1"/>
  <c r="J580" i="3" s="1"/>
  <c r="E581" i="3"/>
  <c r="K581" i="3" s="1"/>
  <c r="F581" i="3"/>
  <c r="G581" i="3" s="1"/>
  <c r="E582" i="3"/>
  <c r="K582" i="3" s="1"/>
  <c r="F582" i="3"/>
  <c r="G582" i="3" s="1"/>
  <c r="E583" i="3"/>
  <c r="K583" i="3" s="1"/>
  <c r="F583" i="3"/>
  <c r="G583" i="3" s="1"/>
  <c r="E584" i="3"/>
  <c r="K584" i="3" s="1"/>
  <c r="F584" i="3"/>
  <c r="G584" i="3"/>
  <c r="H584" i="3"/>
  <c r="I584" i="3" s="1"/>
  <c r="J584" i="3"/>
  <c r="E585" i="3"/>
  <c r="K585" i="3" s="1"/>
  <c r="F585" i="3"/>
  <c r="G585" i="3" s="1"/>
  <c r="E586" i="3"/>
  <c r="K586" i="3" s="1"/>
  <c r="F586" i="3"/>
  <c r="G586" i="3" s="1"/>
  <c r="E587" i="3"/>
  <c r="K587" i="3" s="1"/>
  <c r="F587" i="3"/>
  <c r="G587" i="3" s="1"/>
  <c r="H587" i="3"/>
  <c r="I587" i="3" s="1"/>
  <c r="J587" i="3" s="1"/>
  <c r="E588" i="3"/>
  <c r="K588" i="3" s="1"/>
  <c r="F588" i="3"/>
  <c r="G588" i="3" s="1"/>
  <c r="E589" i="3"/>
  <c r="K589" i="3" s="1"/>
  <c r="F589" i="3"/>
  <c r="G589" i="3" s="1"/>
  <c r="E590" i="3"/>
  <c r="K590" i="3" s="1"/>
  <c r="F590" i="3"/>
  <c r="G590" i="3" s="1"/>
  <c r="H590" i="3"/>
  <c r="I590" i="3" s="1"/>
  <c r="J590" i="3" s="1"/>
  <c r="E591" i="3"/>
  <c r="K591" i="3" s="1"/>
  <c r="F591" i="3"/>
  <c r="G591" i="3" s="1"/>
  <c r="E592" i="3"/>
  <c r="K592" i="3" s="1"/>
  <c r="F592" i="3"/>
  <c r="G592" i="3" s="1"/>
  <c r="E593" i="3"/>
  <c r="K593" i="3" s="1"/>
  <c r="F593" i="3"/>
  <c r="G593" i="3" s="1"/>
  <c r="H593" i="3"/>
  <c r="I593" i="3" s="1"/>
  <c r="J593" i="3" s="1"/>
  <c r="E594" i="3"/>
  <c r="K594" i="3" s="1"/>
  <c r="F594" i="3"/>
  <c r="E595" i="3"/>
  <c r="K595" i="3" s="1"/>
  <c r="F595" i="3"/>
  <c r="G595" i="3" s="1"/>
  <c r="E596" i="3"/>
  <c r="K596" i="3" s="1"/>
  <c r="F596" i="3"/>
  <c r="G596" i="3" s="1"/>
  <c r="E597" i="3"/>
  <c r="K597" i="3" s="1"/>
  <c r="F597" i="3"/>
  <c r="G597" i="3" s="1"/>
  <c r="E598" i="3"/>
  <c r="K598" i="3" s="1"/>
  <c r="F598" i="3"/>
  <c r="G598" i="3" s="1"/>
  <c r="E599" i="3"/>
  <c r="K599" i="3" s="1"/>
  <c r="F599" i="3"/>
  <c r="E600" i="3"/>
  <c r="K600" i="3" s="1"/>
  <c r="F600" i="3"/>
  <c r="G600" i="3" s="1"/>
  <c r="E601" i="3"/>
  <c r="K601" i="3" s="1"/>
  <c r="F601" i="3"/>
  <c r="G601" i="3" s="1"/>
  <c r="E602" i="3"/>
  <c r="K602" i="3" s="1"/>
  <c r="F602" i="3"/>
  <c r="G602" i="3" s="1"/>
  <c r="E603" i="3"/>
  <c r="K603" i="3" s="1"/>
  <c r="F603" i="3"/>
  <c r="H603" i="3" s="1"/>
  <c r="I603" i="3" s="1"/>
  <c r="J603" i="3" s="1"/>
  <c r="E604" i="3"/>
  <c r="K604" i="3" s="1"/>
  <c r="F604" i="3"/>
  <c r="G604" i="3" s="1"/>
  <c r="E605" i="3"/>
  <c r="K605" i="3" s="1"/>
  <c r="F605" i="3"/>
  <c r="G605" i="3" s="1"/>
  <c r="E606" i="3"/>
  <c r="K606" i="3" s="1"/>
  <c r="F606" i="3"/>
  <c r="G606" i="3" s="1"/>
  <c r="E607" i="3"/>
  <c r="K607" i="3" s="1"/>
  <c r="F607" i="3"/>
  <c r="G607" i="3" s="1"/>
  <c r="E608" i="3"/>
  <c r="K608" i="3" s="1"/>
  <c r="F608" i="3"/>
  <c r="H608" i="3" s="1"/>
  <c r="I608" i="3" s="1"/>
  <c r="J608" i="3" s="1"/>
  <c r="E609" i="3"/>
  <c r="K609" i="3" s="1"/>
  <c r="F609" i="3"/>
  <c r="G609" i="3" s="1"/>
  <c r="E610" i="3"/>
  <c r="K610" i="3" s="1"/>
  <c r="F610" i="3"/>
  <c r="G610" i="3" s="1"/>
  <c r="E611" i="3"/>
  <c r="K611" i="3" s="1"/>
  <c r="F611" i="3"/>
  <c r="G611" i="3" s="1"/>
  <c r="E612" i="3"/>
  <c r="F612" i="3"/>
  <c r="G612" i="3" s="1"/>
  <c r="K612" i="3"/>
  <c r="E613" i="3"/>
  <c r="K613" i="3" s="1"/>
  <c r="F613" i="3"/>
  <c r="G613" i="3" s="1"/>
  <c r="E614" i="3"/>
  <c r="K614" i="3" s="1"/>
  <c r="F614" i="3"/>
  <c r="G614" i="3" s="1"/>
  <c r="E615" i="3"/>
  <c r="K615" i="3" s="1"/>
  <c r="F615" i="3"/>
  <c r="G615" i="3" s="1"/>
  <c r="H615" i="3"/>
  <c r="I615" i="3" s="1"/>
  <c r="J615" i="3" s="1"/>
  <c r="E616" i="3"/>
  <c r="K616" i="3" s="1"/>
  <c r="F616" i="3"/>
  <c r="H616" i="3" s="1"/>
  <c r="I616" i="3" s="1"/>
  <c r="J616" i="3" s="1"/>
  <c r="E617" i="3"/>
  <c r="K617" i="3" s="1"/>
  <c r="F617" i="3"/>
  <c r="G617" i="3" s="1"/>
  <c r="E618" i="3"/>
  <c r="K618" i="3" s="1"/>
  <c r="F618" i="3"/>
  <c r="E619" i="3"/>
  <c r="K619" i="3" s="1"/>
  <c r="F619" i="3"/>
  <c r="G619" i="3" s="1"/>
  <c r="E620" i="3"/>
  <c r="K620" i="3" s="1"/>
  <c r="F620" i="3"/>
  <c r="G620" i="3" s="1"/>
  <c r="E621" i="3"/>
  <c r="K621" i="3" s="1"/>
  <c r="F621" i="3"/>
  <c r="G621" i="3" s="1"/>
  <c r="E622" i="3"/>
  <c r="K622" i="3" s="1"/>
  <c r="F622" i="3"/>
  <c r="G622" i="3" s="1"/>
  <c r="E623" i="3"/>
  <c r="K623" i="3" s="1"/>
  <c r="F623" i="3"/>
  <c r="G623" i="3" s="1"/>
  <c r="E624" i="3"/>
  <c r="K624" i="3" s="1"/>
  <c r="F624" i="3"/>
  <c r="G624" i="3" s="1"/>
  <c r="E625" i="3"/>
  <c r="K625" i="3" s="1"/>
  <c r="F625" i="3"/>
  <c r="G625" i="3" s="1"/>
  <c r="E626" i="3"/>
  <c r="K626" i="3" s="1"/>
  <c r="F626" i="3"/>
  <c r="G626" i="3" s="1"/>
  <c r="E627" i="3"/>
  <c r="K627" i="3" s="1"/>
  <c r="F627" i="3"/>
  <c r="H627" i="3" s="1"/>
  <c r="I627" i="3" s="1"/>
  <c r="J627" i="3" s="1"/>
  <c r="E628" i="3"/>
  <c r="K628" i="3" s="1"/>
  <c r="F628" i="3"/>
  <c r="G628" i="3" s="1"/>
  <c r="E629" i="3"/>
  <c r="K629" i="3" s="1"/>
  <c r="F629" i="3"/>
  <c r="G629" i="3" s="1"/>
  <c r="E630" i="3"/>
  <c r="K630" i="3" s="1"/>
  <c r="F630" i="3"/>
  <c r="G630" i="3" s="1"/>
  <c r="E631" i="3"/>
  <c r="K631" i="3" s="1"/>
  <c r="F631" i="3"/>
  <c r="G631" i="3" s="1"/>
  <c r="E632" i="3"/>
  <c r="K632" i="3" s="1"/>
  <c r="F632" i="3"/>
  <c r="H632" i="3" s="1"/>
  <c r="I632" i="3" s="1"/>
  <c r="J632" i="3" s="1"/>
  <c r="E633" i="3"/>
  <c r="K633" i="3" s="1"/>
  <c r="F633" i="3"/>
  <c r="H633" i="3" s="1"/>
  <c r="I633" i="3" s="1"/>
  <c r="J633" i="3" s="1"/>
  <c r="E634" i="3"/>
  <c r="K634" i="3" s="1"/>
  <c r="F634" i="3"/>
  <c r="G634" i="3" s="1"/>
  <c r="E635" i="3"/>
  <c r="K635" i="3" s="1"/>
  <c r="F635" i="3"/>
  <c r="G635" i="3" s="1"/>
  <c r="E636" i="3"/>
  <c r="K636" i="3" s="1"/>
  <c r="F636" i="3"/>
  <c r="G636" i="3" s="1"/>
  <c r="E637" i="3"/>
  <c r="K637" i="3" s="1"/>
  <c r="F637" i="3"/>
  <c r="H637" i="3" s="1"/>
  <c r="I637" i="3" s="1"/>
  <c r="J637" i="3" s="1"/>
  <c r="E638" i="3"/>
  <c r="K638" i="3" s="1"/>
  <c r="F638" i="3"/>
  <c r="G638" i="3" s="1"/>
  <c r="E639" i="3"/>
  <c r="K639" i="3" s="1"/>
  <c r="F639" i="3"/>
  <c r="H639" i="3" s="1"/>
  <c r="I639" i="3" s="1"/>
  <c r="J639" i="3" s="1"/>
  <c r="E640" i="3"/>
  <c r="F640" i="3"/>
  <c r="G640" i="3" s="1"/>
  <c r="K640" i="3"/>
  <c r="E641" i="3"/>
  <c r="K641" i="3" s="1"/>
  <c r="F641" i="3"/>
  <c r="H641" i="3" s="1"/>
  <c r="I641" i="3" s="1"/>
  <c r="J641" i="3" s="1"/>
  <c r="E642" i="3"/>
  <c r="K642" i="3" s="1"/>
  <c r="F642" i="3"/>
  <c r="G642" i="3" s="1"/>
  <c r="E643" i="3"/>
  <c r="K643" i="3" s="1"/>
  <c r="F643" i="3"/>
  <c r="G643" i="3" s="1"/>
  <c r="E644" i="3"/>
  <c r="K644" i="3" s="1"/>
  <c r="F644" i="3"/>
  <c r="G644" i="3" s="1"/>
  <c r="E645" i="3"/>
  <c r="K645" i="3" s="1"/>
  <c r="F645" i="3"/>
  <c r="G645" i="3" s="1"/>
  <c r="E646" i="3"/>
  <c r="K646" i="3" s="1"/>
  <c r="F646" i="3"/>
  <c r="G646" i="3" s="1"/>
  <c r="E647" i="3"/>
  <c r="K647" i="3" s="1"/>
  <c r="F647" i="3"/>
  <c r="G647" i="3" s="1"/>
  <c r="E648" i="3"/>
  <c r="K648" i="3" s="1"/>
  <c r="F648" i="3"/>
  <c r="G648" i="3" s="1"/>
  <c r="E649" i="3"/>
  <c r="K649" i="3" s="1"/>
  <c r="F649" i="3"/>
  <c r="G649" i="3" s="1"/>
  <c r="H649" i="3"/>
  <c r="I649" i="3" s="1"/>
  <c r="J649" i="3" s="1"/>
  <c r="E650" i="3"/>
  <c r="K650" i="3" s="1"/>
  <c r="F650" i="3"/>
  <c r="G650" i="3" s="1"/>
  <c r="E651" i="3"/>
  <c r="K651" i="3" s="1"/>
  <c r="F651" i="3"/>
  <c r="H651" i="3" s="1"/>
  <c r="I651" i="3" s="1"/>
  <c r="J651" i="3" s="1"/>
  <c r="E652" i="3"/>
  <c r="K652" i="3" s="1"/>
  <c r="F652" i="3"/>
  <c r="H652" i="3" s="1"/>
  <c r="I652" i="3" s="1"/>
  <c r="J652" i="3" s="1"/>
  <c r="E653" i="3"/>
  <c r="K653" i="3" s="1"/>
  <c r="F653" i="3"/>
  <c r="H653" i="3" s="1"/>
  <c r="I653" i="3" s="1"/>
  <c r="J653" i="3" s="1"/>
  <c r="E654" i="3"/>
  <c r="K654" i="3" s="1"/>
  <c r="F654" i="3"/>
  <c r="G654" i="3" s="1"/>
  <c r="E655" i="3"/>
  <c r="K655" i="3" s="1"/>
  <c r="F655" i="3"/>
  <c r="G655" i="3" s="1"/>
  <c r="E656" i="3"/>
  <c r="K656" i="3" s="1"/>
  <c r="F656" i="3"/>
  <c r="G656" i="3" s="1"/>
  <c r="E657" i="3"/>
  <c r="K657" i="3" s="1"/>
  <c r="F657" i="3"/>
  <c r="G657" i="3" s="1"/>
  <c r="E658" i="3"/>
  <c r="K658" i="3" s="1"/>
  <c r="F658" i="3"/>
  <c r="G658" i="3" s="1"/>
  <c r="E659" i="3"/>
  <c r="K659" i="3" s="1"/>
  <c r="F659" i="3"/>
  <c r="G659" i="3" s="1"/>
  <c r="E660" i="3"/>
  <c r="F660" i="3"/>
  <c r="H660" i="3" s="1"/>
  <c r="I660" i="3" s="1"/>
  <c r="J660" i="3" s="1"/>
  <c r="G660" i="3"/>
  <c r="K660" i="3"/>
  <c r="E661" i="3"/>
  <c r="K661" i="3" s="1"/>
  <c r="F661" i="3"/>
  <c r="G661" i="3" s="1"/>
  <c r="E662" i="3"/>
  <c r="K662" i="3" s="1"/>
  <c r="F662" i="3"/>
  <c r="G662" i="3" s="1"/>
  <c r="E663" i="3"/>
  <c r="K663" i="3" s="1"/>
  <c r="F663" i="3"/>
  <c r="E664" i="3"/>
  <c r="K664" i="3" s="1"/>
  <c r="F664" i="3"/>
  <c r="G664" i="3" s="1"/>
  <c r="E665" i="3"/>
  <c r="K665" i="3" s="1"/>
  <c r="F665" i="3"/>
  <c r="G665" i="3" s="1"/>
  <c r="E666" i="3"/>
  <c r="K666" i="3" s="1"/>
  <c r="F666" i="3"/>
  <c r="G666" i="3" s="1"/>
  <c r="E667" i="3"/>
  <c r="K667" i="3" s="1"/>
  <c r="F667" i="3"/>
  <c r="G667" i="3" s="1"/>
  <c r="E668" i="3"/>
  <c r="K668" i="3" s="1"/>
  <c r="F668" i="3"/>
  <c r="G668" i="3" s="1"/>
  <c r="E669" i="3"/>
  <c r="K669" i="3" s="1"/>
  <c r="F669" i="3"/>
  <c r="G669" i="3" s="1"/>
  <c r="E670" i="3"/>
  <c r="K670" i="3" s="1"/>
  <c r="F670" i="3"/>
  <c r="G670" i="3" s="1"/>
  <c r="E671" i="3"/>
  <c r="K671" i="3" s="1"/>
  <c r="F671" i="3"/>
  <c r="G671" i="3" s="1"/>
  <c r="E672" i="3"/>
  <c r="K672" i="3" s="1"/>
  <c r="F672" i="3"/>
  <c r="H672" i="3" s="1"/>
  <c r="I672" i="3" s="1"/>
  <c r="J672" i="3" s="1"/>
  <c r="G672" i="3"/>
  <c r="E673" i="3"/>
  <c r="K673" i="3" s="1"/>
  <c r="F673" i="3"/>
  <c r="G673" i="3" s="1"/>
  <c r="E674" i="3"/>
  <c r="K674" i="3" s="1"/>
  <c r="F674" i="3"/>
  <c r="G674" i="3" s="1"/>
  <c r="E675" i="3"/>
  <c r="K675" i="3" s="1"/>
  <c r="F675" i="3"/>
  <c r="G675" i="3" s="1"/>
  <c r="E676" i="3"/>
  <c r="K676" i="3" s="1"/>
  <c r="F676" i="3"/>
  <c r="G676" i="3" s="1"/>
  <c r="E677" i="3"/>
  <c r="F677" i="3"/>
  <c r="G677" i="3" s="1"/>
  <c r="K677" i="3"/>
  <c r="E678" i="3"/>
  <c r="K678" i="3" s="1"/>
  <c r="F678" i="3"/>
  <c r="G678" i="3" s="1"/>
  <c r="E679" i="3"/>
  <c r="K679" i="3" s="1"/>
  <c r="F679" i="3"/>
  <c r="H679" i="3" s="1"/>
  <c r="I679" i="3" s="1"/>
  <c r="J679" i="3" s="1"/>
  <c r="G679" i="3"/>
  <c r="E680" i="3"/>
  <c r="K680" i="3" s="1"/>
  <c r="F680" i="3"/>
  <c r="G680" i="3" s="1"/>
  <c r="E681" i="3"/>
  <c r="K681" i="3" s="1"/>
  <c r="F681" i="3"/>
  <c r="G681" i="3" s="1"/>
  <c r="E682" i="3"/>
  <c r="K682" i="3" s="1"/>
  <c r="F682" i="3"/>
  <c r="E683" i="3"/>
  <c r="K683" i="3" s="1"/>
  <c r="F683" i="3"/>
  <c r="E684" i="3"/>
  <c r="K684" i="3" s="1"/>
  <c r="F684" i="3"/>
  <c r="G684" i="3" s="1"/>
  <c r="E685" i="3"/>
  <c r="K685" i="3" s="1"/>
  <c r="F685" i="3"/>
  <c r="G685" i="3" s="1"/>
  <c r="E686" i="3"/>
  <c r="K686" i="3" s="1"/>
  <c r="F686" i="3"/>
  <c r="G686" i="3" s="1"/>
  <c r="E687" i="3"/>
  <c r="K687" i="3" s="1"/>
  <c r="F687" i="3"/>
  <c r="G687" i="3" s="1"/>
  <c r="E688" i="3"/>
  <c r="K688" i="3" s="1"/>
  <c r="M688" i="3" s="1"/>
  <c r="F688" i="3"/>
  <c r="G688" i="3" s="1"/>
  <c r="E689" i="3"/>
  <c r="K689" i="3" s="1"/>
  <c r="M689" i="3" s="1"/>
  <c r="F689" i="3"/>
  <c r="G689" i="3" s="1"/>
  <c r="E690" i="3"/>
  <c r="K690" i="3" s="1"/>
  <c r="M690" i="3" s="1"/>
  <c r="F690" i="3"/>
  <c r="H690" i="3" s="1"/>
  <c r="N690" i="3" s="1"/>
  <c r="E691" i="3"/>
  <c r="K691" i="3" s="1"/>
  <c r="F691" i="3"/>
  <c r="H691" i="3" s="1"/>
  <c r="I691" i="3" s="1"/>
  <c r="J691" i="3" s="1"/>
  <c r="E692" i="3"/>
  <c r="F692" i="3"/>
  <c r="G692" i="3" s="1"/>
  <c r="K692" i="3"/>
  <c r="E693" i="3"/>
  <c r="K693" i="3" s="1"/>
  <c r="F693" i="3"/>
  <c r="G693" i="3" s="1"/>
  <c r="E694" i="3"/>
  <c r="K694" i="3" s="1"/>
  <c r="F694" i="3"/>
  <c r="H694" i="3" s="1"/>
  <c r="I694" i="3" s="1"/>
  <c r="J694" i="3" s="1"/>
  <c r="E695" i="3"/>
  <c r="K695" i="3" s="1"/>
  <c r="F695" i="3"/>
  <c r="H695" i="3" s="1"/>
  <c r="I695" i="3" s="1"/>
  <c r="J695" i="3" s="1"/>
  <c r="G695" i="3"/>
  <c r="E696" i="3"/>
  <c r="K696" i="3" s="1"/>
  <c r="F696" i="3"/>
  <c r="G696" i="3" s="1"/>
  <c r="E697" i="3"/>
  <c r="K697" i="3" s="1"/>
  <c r="F697" i="3"/>
  <c r="G697" i="3" s="1"/>
  <c r="E698" i="3"/>
  <c r="K698" i="3" s="1"/>
  <c r="F698" i="3"/>
  <c r="G698" i="3" s="1"/>
  <c r="E699" i="3"/>
  <c r="K699" i="3" s="1"/>
  <c r="F699" i="3"/>
  <c r="H699" i="3" s="1"/>
  <c r="I699" i="3" s="1"/>
  <c r="J699" i="3" s="1"/>
  <c r="E700" i="3"/>
  <c r="F700" i="3"/>
  <c r="G700" i="3" s="1"/>
  <c r="K700" i="3"/>
  <c r="E701" i="3"/>
  <c r="K701" i="3" s="1"/>
  <c r="F701" i="3"/>
  <c r="G701" i="3" s="1"/>
  <c r="E702" i="3"/>
  <c r="K702" i="3" s="1"/>
  <c r="F702" i="3"/>
  <c r="G702" i="3" s="1"/>
  <c r="E703" i="3"/>
  <c r="K703" i="3" s="1"/>
  <c r="F703" i="3"/>
  <c r="H703" i="3" s="1"/>
  <c r="I703" i="3" s="1"/>
  <c r="J703" i="3" s="1"/>
  <c r="E704" i="3"/>
  <c r="K704" i="3" s="1"/>
  <c r="F704" i="3"/>
  <c r="H704" i="3" s="1"/>
  <c r="I704" i="3" s="1"/>
  <c r="J704" i="3" s="1"/>
  <c r="E705" i="3"/>
  <c r="K705" i="3" s="1"/>
  <c r="F705" i="3"/>
  <c r="G705" i="3" s="1"/>
  <c r="E706" i="3"/>
  <c r="K706" i="3" s="1"/>
  <c r="F706" i="3"/>
  <c r="G706" i="3" s="1"/>
  <c r="E707" i="3"/>
  <c r="K707" i="3" s="1"/>
  <c r="F707" i="3"/>
  <c r="G707" i="3" s="1"/>
  <c r="E708" i="3"/>
  <c r="K708" i="3" s="1"/>
  <c r="F708" i="3"/>
  <c r="G708" i="3" s="1"/>
  <c r="H708" i="3"/>
  <c r="I708" i="3" s="1"/>
  <c r="J708" i="3" s="1"/>
  <c r="E709" i="3"/>
  <c r="K709" i="3" s="1"/>
  <c r="F709" i="3"/>
  <c r="G709" i="3" s="1"/>
  <c r="E710" i="3"/>
  <c r="K710" i="3" s="1"/>
  <c r="F710" i="3"/>
  <c r="E711" i="3"/>
  <c r="K711" i="3" s="1"/>
  <c r="F711" i="3"/>
  <c r="G711" i="3" s="1"/>
  <c r="E712" i="3"/>
  <c r="K712" i="3" s="1"/>
  <c r="F712" i="3"/>
  <c r="E713" i="3"/>
  <c r="K713" i="3" s="1"/>
  <c r="F713" i="3"/>
  <c r="G713" i="3" s="1"/>
  <c r="E714" i="3"/>
  <c r="K714" i="3" s="1"/>
  <c r="F714" i="3"/>
  <c r="G714" i="3" s="1"/>
  <c r="E715" i="3"/>
  <c r="K715" i="3" s="1"/>
  <c r="F715" i="3"/>
  <c r="G715" i="3" s="1"/>
  <c r="E716" i="3"/>
  <c r="K716" i="3" s="1"/>
  <c r="F716" i="3"/>
  <c r="G716" i="3" s="1"/>
  <c r="E717" i="3"/>
  <c r="K717" i="3" s="1"/>
  <c r="F717" i="3"/>
  <c r="G717" i="3" s="1"/>
  <c r="E718" i="3"/>
  <c r="K718" i="3" s="1"/>
  <c r="F718" i="3"/>
  <c r="G718" i="3" s="1"/>
  <c r="E719" i="3"/>
  <c r="K719" i="3" s="1"/>
  <c r="F719" i="3"/>
  <c r="G719" i="3" s="1"/>
  <c r="E720" i="3"/>
  <c r="F720" i="3"/>
  <c r="G720" i="3" s="1"/>
  <c r="K720" i="3"/>
  <c r="E721" i="3"/>
  <c r="K721" i="3" s="1"/>
  <c r="F721" i="3"/>
  <c r="G721" i="3" s="1"/>
  <c r="E722" i="3"/>
  <c r="K722" i="3" s="1"/>
  <c r="F722" i="3"/>
  <c r="H722" i="3" s="1"/>
  <c r="I722" i="3" s="1"/>
  <c r="J722" i="3" s="1"/>
  <c r="E723" i="3"/>
  <c r="K723" i="3" s="1"/>
  <c r="F723" i="3"/>
  <c r="H723" i="3" s="1"/>
  <c r="I723" i="3" s="1"/>
  <c r="J723" i="3" s="1"/>
  <c r="E724" i="3"/>
  <c r="K724" i="3" s="1"/>
  <c r="F724" i="3"/>
  <c r="G724" i="3" s="1"/>
  <c r="E725" i="3"/>
  <c r="K725" i="3" s="1"/>
  <c r="F725" i="3"/>
  <c r="G725" i="3" s="1"/>
  <c r="E726" i="3"/>
  <c r="K726" i="3" s="1"/>
  <c r="F726" i="3"/>
  <c r="G726" i="3" s="1"/>
  <c r="E727" i="3"/>
  <c r="K727" i="3" s="1"/>
  <c r="F727" i="3"/>
  <c r="E728" i="3"/>
  <c r="K728" i="3" s="1"/>
  <c r="F728" i="3"/>
  <c r="H728" i="3" s="1"/>
  <c r="I728" i="3" s="1"/>
  <c r="J728" i="3" s="1"/>
  <c r="G728" i="3"/>
  <c r="E729" i="3"/>
  <c r="K729" i="3" s="1"/>
  <c r="F729" i="3"/>
  <c r="G729" i="3" s="1"/>
  <c r="H729" i="3"/>
  <c r="I729" i="3" s="1"/>
  <c r="J729" i="3" s="1"/>
  <c r="E730" i="3"/>
  <c r="F730" i="3"/>
  <c r="G730" i="3" s="1"/>
  <c r="K730" i="3"/>
  <c r="E731" i="3"/>
  <c r="K731" i="3" s="1"/>
  <c r="F731" i="3"/>
  <c r="G731" i="3" s="1"/>
  <c r="E732" i="3"/>
  <c r="K732" i="3" s="1"/>
  <c r="F732" i="3"/>
  <c r="H732" i="3" s="1"/>
  <c r="I732" i="3" s="1"/>
  <c r="J732" i="3" s="1"/>
  <c r="E733" i="3"/>
  <c r="K733" i="3" s="1"/>
  <c r="F733" i="3"/>
  <c r="G733" i="3" s="1"/>
  <c r="E734" i="3"/>
  <c r="K734" i="3" s="1"/>
  <c r="F734" i="3"/>
  <c r="G734" i="3" s="1"/>
  <c r="E735" i="3"/>
  <c r="K735" i="3" s="1"/>
  <c r="F735" i="3"/>
  <c r="G735" i="3" s="1"/>
  <c r="E736" i="3"/>
  <c r="K736" i="3" s="1"/>
  <c r="F736" i="3"/>
  <c r="E737" i="3"/>
  <c r="K737" i="3" s="1"/>
  <c r="F737" i="3"/>
  <c r="G737" i="3" s="1"/>
  <c r="E738" i="3"/>
  <c r="K738" i="3" s="1"/>
  <c r="F738" i="3"/>
  <c r="G738" i="3" s="1"/>
  <c r="E739" i="3"/>
  <c r="K739" i="3" s="1"/>
  <c r="F739" i="3"/>
  <c r="H739" i="3" s="1"/>
  <c r="I739" i="3" s="1"/>
  <c r="J739" i="3" s="1"/>
  <c r="G739" i="3"/>
  <c r="E740" i="3"/>
  <c r="K740" i="3" s="1"/>
  <c r="F740" i="3"/>
  <c r="G740" i="3" s="1"/>
  <c r="E741" i="3"/>
  <c r="K741" i="3" s="1"/>
  <c r="F741" i="3"/>
  <c r="G741" i="3" s="1"/>
  <c r="E742" i="3"/>
  <c r="K742" i="3" s="1"/>
  <c r="F742" i="3"/>
  <c r="G742" i="3" s="1"/>
  <c r="E743" i="3"/>
  <c r="K743" i="3" s="1"/>
  <c r="F743" i="3"/>
  <c r="H743" i="3" s="1"/>
  <c r="I743" i="3" s="1"/>
  <c r="J743" i="3" s="1"/>
  <c r="G743" i="3"/>
  <c r="E744" i="3"/>
  <c r="K744" i="3" s="1"/>
  <c r="F744" i="3"/>
  <c r="H744" i="3" s="1"/>
  <c r="I744" i="3" s="1"/>
  <c r="J744" i="3" s="1"/>
  <c r="E745" i="3"/>
  <c r="K745" i="3" s="1"/>
  <c r="F745" i="3"/>
  <c r="G745" i="3" s="1"/>
  <c r="E746" i="3"/>
  <c r="K746" i="3" s="1"/>
  <c r="F746" i="3"/>
  <c r="E747" i="3"/>
  <c r="F747" i="3"/>
  <c r="G747" i="3" s="1"/>
  <c r="K747" i="3"/>
  <c r="E748" i="3"/>
  <c r="K748" i="3" s="1"/>
  <c r="F748" i="3"/>
  <c r="G748" i="3" s="1"/>
  <c r="E749" i="3"/>
  <c r="K749" i="3" s="1"/>
  <c r="F749" i="3"/>
  <c r="G749" i="3" s="1"/>
  <c r="E750" i="3"/>
  <c r="K750" i="3" s="1"/>
  <c r="F750" i="3"/>
  <c r="G750" i="3" s="1"/>
  <c r="E751" i="3"/>
  <c r="K751" i="3" s="1"/>
  <c r="F751" i="3"/>
  <c r="H751" i="3" s="1"/>
  <c r="I751" i="3" s="1"/>
  <c r="J751" i="3" s="1"/>
  <c r="E752" i="3"/>
  <c r="K752" i="3" s="1"/>
  <c r="F752" i="3"/>
  <c r="G752" i="3" s="1"/>
  <c r="E753" i="3"/>
  <c r="K753" i="3" s="1"/>
  <c r="F753" i="3"/>
  <c r="G753" i="3" s="1"/>
  <c r="E754" i="3"/>
  <c r="K754" i="3" s="1"/>
  <c r="F754" i="3"/>
  <c r="G754" i="3" s="1"/>
  <c r="E755" i="3"/>
  <c r="K755" i="3" s="1"/>
  <c r="F755" i="3"/>
  <c r="H755" i="3" s="1"/>
  <c r="I755" i="3" s="1"/>
  <c r="J755" i="3" s="1"/>
  <c r="E756" i="3"/>
  <c r="K756" i="3" s="1"/>
  <c r="F756" i="3"/>
  <c r="G756" i="3" s="1"/>
  <c r="E757" i="3"/>
  <c r="K757" i="3" s="1"/>
  <c r="F757" i="3"/>
  <c r="G757" i="3" s="1"/>
  <c r="E758" i="3"/>
  <c r="K758" i="3" s="1"/>
  <c r="F758" i="3"/>
  <c r="H758" i="3" s="1"/>
  <c r="I758" i="3" s="1"/>
  <c r="J758" i="3" s="1"/>
  <c r="E759" i="3"/>
  <c r="K759" i="3" s="1"/>
  <c r="F759" i="3"/>
  <c r="E760" i="3"/>
  <c r="K760" i="3" s="1"/>
  <c r="F760" i="3"/>
  <c r="G760" i="3" s="1"/>
  <c r="E761" i="3"/>
  <c r="K761" i="3" s="1"/>
  <c r="F761" i="3"/>
  <c r="E762" i="3"/>
  <c r="K762" i="3" s="1"/>
  <c r="F762" i="3"/>
  <c r="G762" i="3" s="1"/>
  <c r="E763" i="3"/>
  <c r="K763" i="3" s="1"/>
  <c r="F763" i="3"/>
  <c r="G763" i="3" s="1"/>
  <c r="E764" i="3"/>
  <c r="K764" i="3" s="1"/>
  <c r="F764" i="3"/>
  <c r="G764" i="3" s="1"/>
  <c r="E765" i="3"/>
  <c r="K765" i="3" s="1"/>
  <c r="F765" i="3"/>
  <c r="G765" i="3" s="1"/>
  <c r="E766" i="3"/>
  <c r="K766" i="3" s="1"/>
  <c r="F766" i="3"/>
  <c r="G766" i="3" s="1"/>
  <c r="E767" i="3"/>
  <c r="F767" i="3"/>
  <c r="G767" i="3" s="1"/>
  <c r="K767" i="3"/>
  <c r="E768" i="3"/>
  <c r="K768" i="3" s="1"/>
  <c r="F768" i="3"/>
  <c r="G768" i="3" s="1"/>
  <c r="E769" i="3"/>
  <c r="K769" i="3" s="1"/>
  <c r="F769" i="3"/>
  <c r="H769" i="3" s="1"/>
  <c r="I769" i="3" s="1"/>
  <c r="J769" i="3" s="1"/>
  <c r="G769" i="3"/>
  <c r="E770" i="3"/>
  <c r="K770" i="3" s="1"/>
  <c r="F770" i="3"/>
  <c r="G770" i="3"/>
  <c r="H770" i="3"/>
  <c r="I770" i="3" s="1"/>
  <c r="J770" i="3" s="1"/>
  <c r="E771" i="3"/>
  <c r="K771" i="3" s="1"/>
  <c r="F771" i="3"/>
  <c r="H771" i="3" s="1"/>
  <c r="I771" i="3" s="1"/>
  <c r="J771" i="3" s="1"/>
  <c r="G771" i="3"/>
  <c r="E772" i="3"/>
  <c r="K772" i="3" s="1"/>
  <c r="F772" i="3"/>
  <c r="G772" i="3" s="1"/>
  <c r="E773" i="3"/>
  <c r="K773" i="3" s="1"/>
  <c r="F773" i="3"/>
  <c r="H773" i="3" s="1"/>
  <c r="I773" i="3" s="1"/>
  <c r="J773" i="3" s="1"/>
  <c r="E774" i="3"/>
  <c r="K774" i="3" s="1"/>
  <c r="F774" i="3"/>
  <c r="G774" i="3" s="1"/>
  <c r="E775" i="3"/>
  <c r="F775" i="3"/>
  <c r="K775" i="3"/>
  <c r="E776" i="3"/>
  <c r="K776" i="3" s="1"/>
  <c r="F776" i="3"/>
  <c r="E777" i="3"/>
  <c r="K777" i="3" s="1"/>
  <c r="F777" i="3"/>
  <c r="H777" i="3" s="1"/>
  <c r="I777" i="3" s="1"/>
  <c r="J777" i="3" s="1"/>
  <c r="G777" i="3"/>
  <c r="E778" i="3"/>
  <c r="K778" i="3" s="1"/>
  <c r="F778" i="3"/>
  <c r="H778" i="3" s="1"/>
  <c r="I778" i="3" s="1"/>
  <c r="J778" i="3" s="1"/>
  <c r="E779" i="3"/>
  <c r="K779" i="3" s="1"/>
  <c r="F779" i="3"/>
  <c r="G779" i="3" s="1"/>
  <c r="E780" i="3"/>
  <c r="K780" i="3" s="1"/>
  <c r="F780" i="3"/>
  <c r="G780" i="3" s="1"/>
  <c r="E781" i="3"/>
  <c r="K781" i="3" s="1"/>
  <c r="F781" i="3"/>
  <c r="H781" i="3" s="1"/>
  <c r="I781" i="3" s="1"/>
  <c r="J781" i="3" s="1"/>
  <c r="E782" i="3"/>
  <c r="K782" i="3" s="1"/>
  <c r="F782" i="3"/>
  <c r="G782" i="3" s="1"/>
  <c r="E783" i="3"/>
  <c r="K783" i="3" s="1"/>
  <c r="F783" i="3"/>
  <c r="G783" i="3" s="1"/>
  <c r="E784" i="3"/>
  <c r="K784" i="3" s="1"/>
  <c r="F784" i="3"/>
  <c r="G784" i="3" s="1"/>
  <c r="E785" i="3"/>
  <c r="K785" i="3" s="1"/>
  <c r="F785" i="3"/>
  <c r="G785" i="3" s="1"/>
  <c r="E786" i="3"/>
  <c r="K786" i="3" s="1"/>
  <c r="F786" i="3"/>
  <c r="G786" i="3" s="1"/>
  <c r="E787" i="3"/>
  <c r="F787" i="3"/>
  <c r="G787" i="3" s="1"/>
  <c r="K787" i="3"/>
  <c r="E788" i="3"/>
  <c r="K788" i="3" s="1"/>
  <c r="F788" i="3"/>
  <c r="H788" i="3" s="1"/>
  <c r="I788" i="3" s="1"/>
  <c r="J788" i="3" s="1"/>
  <c r="E789" i="3"/>
  <c r="K789" i="3" s="1"/>
  <c r="F789" i="3"/>
  <c r="G789" i="3" s="1"/>
  <c r="E790" i="3"/>
  <c r="K790" i="3" s="1"/>
  <c r="F790" i="3"/>
  <c r="G790" i="3" s="1"/>
  <c r="E791" i="3"/>
  <c r="K791" i="3" s="1"/>
  <c r="F791" i="3"/>
  <c r="E792" i="3"/>
  <c r="K792" i="3" s="1"/>
  <c r="F792" i="3"/>
  <c r="G792" i="3" s="1"/>
  <c r="E793" i="3"/>
  <c r="K793" i="3" s="1"/>
  <c r="F793" i="3"/>
  <c r="G793" i="3" s="1"/>
  <c r="E794" i="3"/>
  <c r="K794" i="3" s="1"/>
  <c r="F794" i="3"/>
  <c r="G794" i="3" s="1"/>
  <c r="E795" i="3"/>
  <c r="K795" i="3" s="1"/>
  <c r="F795" i="3"/>
  <c r="G795" i="3" s="1"/>
  <c r="E796" i="3"/>
  <c r="K796" i="3" s="1"/>
  <c r="F796" i="3"/>
  <c r="H796" i="3" s="1"/>
  <c r="I796" i="3" s="1"/>
  <c r="J796" i="3" s="1"/>
  <c r="E797" i="3"/>
  <c r="K797" i="3" s="1"/>
  <c r="F797" i="3"/>
  <c r="G797" i="3" s="1"/>
  <c r="E798" i="3"/>
  <c r="K798" i="3" s="1"/>
  <c r="F798" i="3"/>
  <c r="G798" i="3" s="1"/>
  <c r="E799" i="3"/>
  <c r="K799" i="3" s="1"/>
  <c r="F799" i="3"/>
  <c r="G799" i="3" s="1"/>
  <c r="E800" i="3"/>
  <c r="K800" i="3" s="1"/>
  <c r="F800" i="3"/>
  <c r="E801" i="3"/>
  <c r="K801" i="3" s="1"/>
  <c r="F801" i="3"/>
  <c r="G801" i="3" s="1"/>
  <c r="E802" i="3"/>
  <c r="K802" i="3" s="1"/>
  <c r="F802" i="3"/>
  <c r="H802" i="3" s="1"/>
  <c r="I802" i="3" s="1"/>
  <c r="J802" i="3" s="1"/>
  <c r="E803" i="3"/>
  <c r="K803" i="3" s="1"/>
  <c r="F803" i="3"/>
  <c r="H803" i="3" s="1"/>
  <c r="I803" i="3" s="1"/>
  <c r="J803" i="3" s="1"/>
  <c r="E804" i="3"/>
  <c r="K804" i="3" s="1"/>
  <c r="F804" i="3"/>
  <c r="G804" i="3" s="1"/>
  <c r="E805" i="3"/>
  <c r="K805" i="3" s="1"/>
  <c r="F805" i="3"/>
  <c r="G805" i="3" s="1"/>
  <c r="E806" i="3"/>
  <c r="K806" i="3" s="1"/>
  <c r="F806" i="3"/>
  <c r="G806" i="3" s="1"/>
  <c r="E807" i="3"/>
  <c r="K807" i="3" s="1"/>
  <c r="F807" i="3"/>
  <c r="G807" i="3" s="1"/>
  <c r="E808" i="3"/>
  <c r="K808" i="3" s="1"/>
  <c r="F808" i="3"/>
  <c r="G808" i="3" s="1"/>
  <c r="E809" i="3"/>
  <c r="K809" i="3" s="1"/>
  <c r="F809" i="3"/>
  <c r="H809" i="3" s="1"/>
  <c r="I809" i="3" s="1"/>
  <c r="J809" i="3" s="1"/>
  <c r="E810" i="3"/>
  <c r="K810" i="3" s="1"/>
  <c r="F810" i="3"/>
  <c r="E811" i="3"/>
  <c r="K811" i="3" s="1"/>
  <c r="F811" i="3"/>
  <c r="G811" i="3" s="1"/>
  <c r="E812" i="3"/>
  <c r="K812" i="3" s="1"/>
  <c r="F812" i="3"/>
  <c r="H812" i="3" s="1"/>
  <c r="I812" i="3" s="1"/>
  <c r="J812" i="3" s="1"/>
  <c r="E813" i="3"/>
  <c r="K813" i="3" s="1"/>
  <c r="F813" i="3"/>
  <c r="H813" i="3" s="1"/>
  <c r="I813" i="3" s="1"/>
  <c r="J813" i="3" s="1"/>
  <c r="E814" i="3"/>
  <c r="K814" i="3" s="1"/>
  <c r="F814" i="3"/>
  <c r="G814" i="3" s="1"/>
  <c r="E815" i="3"/>
  <c r="K815" i="3" s="1"/>
  <c r="F815" i="3"/>
  <c r="G815" i="3" s="1"/>
  <c r="E816" i="3"/>
  <c r="K816" i="3" s="1"/>
  <c r="F816" i="3"/>
  <c r="G816" i="3" s="1"/>
  <c r="E817" i="3"/>
  <c r="K817" i="3" s="1"/>
  <c r="F817" i="3"/>
  <c r="G817" i="3" s="1"/>
  <c r="E818" i="3"/>
  <c r="K818" i="3" s="1"/>
  <c r="F818" i="3"/>
  <c r="G818" i="3" s="1"/>
  <c r="E819" i="3"/>
  <c r="K819" i="3" s="1"/>
  <c r="F819" i="3"/>
  <c r="H819" i="3" s="1"/>
  <c r="I819" i="3" s="1"/>
  <c r="J819" i="3" s="1"/>
  <c r="E820" i="3"/>
  <c r="K820" i="3" s="1"/>
  <c r="F820" i="3"/>
  <c r="H820" i="3" s="1"/>
  <c r="I820" i="3" s="1"/>
  <c r="J820" i="3" s="1"/>
  <c r="E821" i="3"/>
  <c r="K821" i="3" s="1"/>
  <c r="F821" i="3"/>
  <c r="H821" i="3" s="1"/>
  <c r="I821" i="3" s="1"/>
  <c r="J821" i="3" s="1"/>
  <c r="G821" i="3"/>
  <c r="E822" i="3"/>
  <c r="K822" i="3" s="1"/>
  <c r="F822" i="3"/>
  <c r="G822" i="3" s="1"/>
  <c r="E823" i="3"/>
  <c r="F823" i="3"/>
  <c r="G823" i="3" s="1"/>
  <c r="K823" i="3"/>
  <c r="E824" i="3"/>
  <c r="K824" i="3" s="1"/>
  <c r="F824" i="3"/>
  <c r="E825" i="3"/>
  <c r="K825" i="3" s="1"/>
  <c r="F825" i="3"/>
  <c r="E826" i="3"/>
  <c r="K826" i="3" s="1"/>
  <c r="F826" i="3"/>
  <c r="G826" i="3" s="1"/>
  <c r="E827" i="3"/>
  <c r="K827" i="3" s="1"/>
  <c r="F827" i="3"/>
  <c r="G827" i="3" s="1"/>
  <c r="E828" i="3"/>
  <c r="K828" i="3" s="1"/>
  <c r="F828" i="3"/>
  <c r="G828" i="3" s="1"/>
  <c r="E829" i="3"/>
  <c r="K829" i="3" s="1"/>
  <c r="F829" i="3"/>
  <c r="G829" i="3" s="1"/>
  <c r="E830" i="3"/>
  <c r="K830" i="3" s="1"/>
  <c r="F830" i="3"/>
  <c r="G830" i="3" s="1"/>
  <c r="E831" i="3"/>
  <c r="K831" i="3" s="1"/>
  <c r="F831" i="3"/>
  <c r="H831" i="3" s="1"/>
  <c r="I831" i="3" s="1"/>
  <c r="J831" i="3" s="1"/>
  <c r="E832" i="3"/>
  <c r="K832" i="3" s="1"/>
  <c r="F832" i="3"/>
  <c r="H832" i="3" s="1"/>
  <c r="I832" i="3" s="1"/>
  <c r="J832" i="3" s="1"/>
  <c r="E833" i="3"/>
  <c r="F833" i="3"/>
  <c r="G833" i="3" s="1"/>
  <c r="K833" i="3"/>
  <c r="E834" i="3"/>
  <c r="K834" i="3" s="1"/>
  <c r="F834" i="3"/>
  <c r="G834" i="3" s="1"/>
  <c r="H834" i="3"/>
  <c r="I834" i="3" s="1"/>
  <c r="J834" i="3" s="1"/>
  <c r="E835" i="3"/>
  <c r="K835" i="3" s="1"/>
  <c r="F835" i="3"/>
  <c r="G835" i="3" s="1"/>
  <c r="E836" i="3"/>
  <c r="K836" i="3" s="1"/>
  <c r="F836" i="3"/>
  <c r="G836" i="3" s="1"/>
  <c r="E837" i="3"/>
  <c r="K837" i="3" s="1"/>
  <c r="F837" i="3"/>
  <c r="H837" i="3" s="1"/>
  <c r="I837" i="3" s="1"/>
  <c r="J837" i="3" s="1"/>
  <c r="E838" i="3"/>
  <c r="K838" i="3" s="1"/>
  <c r="F838" i="3"/>
  <c r="G838" i="3" s="1"/>
  <c r="E839" i="3"/>
  <c r="K839" i="3" s="1"/>
  <c r="F839" i="3"/>
  <c r="H839" i="3" s="1"/>
  <c r="I839" i="3" s="1"/>
  <c r="J839" i="3" s="1"/>
  <c r="E840" i="3"/>
  <c r="K840" i="3" s="1"/>
  <c r="F840" i="3"/>
  <c r="G840" i="3" s="1"/>
  <c r="E841" i="3"/>
  <c r="K841" i="3" s="1"/>
  <c r="F841" i="3"/>
  <c r="G841" i="3" s="1"/>
  <c r="E842" i="3"/>
  <c r="K842" i="3" s="1"/>
  <c r="F842" i="3"/>
  <c r="G842" i="3" s="1"/>
  <c r="E843" i="3"/>
  <c r="K843" i="3" s="1"/>
  <c r="F843" i="3"/>
  <c r="E844" i="3"/>
  <c r="K844" i="3" s="1"/>
  <c r="F844" i="3"/>
  <c r="E845" i="3"/>
  <c r="K845" i="3" s="1"/>
  <c r="F845" i="3"/>
  <c r="G845" i="3" s="1"/>
  <c r="E846" i="3"/>
  <c r="K846" i="3" s="1"/>
  <c r="F846" i="3"/>
  <c r="G846" i="3" s="1"/>
  <c r="E847" i="3"/>
  <c r="K847" i="3" s="1"/>
  <c r="F847" i="3"/>
  <c r="G847" i="3" s="1"/>
  <c r="E848" i="3"/>
  <c r="K848" i="3" s="1"/>
  <c r="F848" i="3"/>
  <c r="G848" i="3" s="1"/>
  <c r="E849" i="3"/>
  <c r="K849" i="3" s="1"/>
  <c r="F849" i="3"/>
  <c r="H849" i="3" s="1"/>
  <c r="I849" i="3" s="1"/>
  <c r="J849" i="3" s="1"/>
  <c r="E850" i="3"/>
  <c r="K850" i="3" s="1"/>
  <c r="F850" i="3"/>
  <c r="G850" i="3" s="1"/>
  <c r="E851" i="3"/>
  <c r="K851" i="3" s="1"/>
  <c r="F851" i="3"/>
  <c r="H851" i="3" s="1"/>
  <c r="I851" i="3" s="1"/>
  <c r="J851" i="3" s="1"/>
  <c r="E852" i="3"/>
  <c r="K852" i="3" s="1"/>
  <c r="F852" i="3"/>
  <c r="G852" i="3" s="1"/>
  <c r="E853" i="3"/>
  <c r="K853" i="3" s="1"/>
  <c r="F853" i="3"/>
  <c r="H853" i="3" s="1"/>
  <c r="I853" i="3" s="1"/>
  <c r="J853" i="3" s="1"/>
  <c r="E854" i="3"/>
  <c r="K854" i="3" s="1"/>
  <c r="F854" i="3"/>
  <c r="G854" i="3" s="1"/>
  <c r="E855" i="3"/>
  <c r="F855" i="3"/>
  <c r="K855" i="3"/>
  <c r="E856" i="3"/>
  <c r="K856" i="3" s="1"/>
  <c r="F856" i="3"/>
  <c r="G856" i="3" s="1"/>
  <c r="H856" i="3"/>
  <c r="I856" i="3" s="1"/>
  <c r="J856" i="3" s="1"/>
  <c r="E857" i="3"/>
  <c r="K857" i="3" s="1"/>
  <c r="F857" i="3"/>
  <c r="G857" i="3" s="1"/>
  <c r="E858" i="3"/>
  <c r="K858" i="3" s="1"/>
  <c r="F858" i="3"/>
  <c r="H858" i="3" s="1"/>
  <c r="I858" i="3" s="1"/>
  <c r="J858" i="3" s="1"/>
  <c r="E859" i="3"/>
  <c r="K859" i="3" s="1"/>
  <c r="F859" i="3"/>
  <c r="H859" i="3" s="1"/>
  <c r="I859" i="3" s="1"/>
  <c r="J859" i="3" s="1"/>
  <c r="E860" i="3"/>
  <c r="K860" i="3" s="1"/>
  <c r="F860" i="3"/>
  <c r="G860" i="3" s="1"/>
  <c r="H860" i="3"/>
  <c r="I860" i="3" s="1"/>
  <c r="J860" i="3" s="1"/>
  <c r="E861" i="3"/>
  <c r="K861" i="3" s="1"/>
  <c r="F861" i="3"/>
  <c r="G861" i="3" s="1"/>
  <c r="E862" i="3"/>
  <c r="K862" i="3" s="1"/>
  <c r="F862" i="3"/>
  <c r="E863" i="3"/>
  <c r="K863" i="3" s="1"/>
  <c r="F863" i="3"/>
  <c r="E864" i="3"/>
  <c r="K864" i="3" s="1"/>
  <c r="F864" i="3"/>
  <c r="H864" i="3" s="1"/>
  <c r="I864" i="3" s="1"/>
  <c r="J864" i="3" s="1"/>
  <c r="E865" i="3"/>
  <c r="K865" i="3" s="1"/>
  <c r="F865" i="3"/>
  <c r="G865" i="3" s="1"/>
  <c r="E866" i="3"/>
  <c r="K866" i="3" s="1"/>
  <c r="F866" i="3"/>
  <c r="G866" i="3" s="1"/>
  <c r="E867" i="3"/>
  <c r="K867" i="3" s="1"/>
  <c r="F867" i="3"/>
  <c r="G867" i="3" s="1"/>
  <c r="E868" i="3"/>
  <c r="K868" i="3" s="1"/>
  <c r="F868" i="3"/>
  <c r="G868" i="3" s="1"/>
  <c r="E869" i="3"/>
  <c r="K869" i="3" s="1"/>
  <c r="F869" i="3"/>
  <c r="H869" i="3" s="1"/>
  <c r="I869" i="3" s="1"/>
  <c r="J869" i="3" s="1"/>
  <c r="E870" i="3"/>
  <c r="K870" i="3" s="1"/>
  <c r="F870" i="3"/>
  <c r="G870" i="3" s="1"/>
  <c r="E871" i="3"/>
  <c r="K871" i="3" s="1"/>
  <c r="F871" i="3"/>
  <c r="G871" i="3" s="1"/>
  <c r="E872" i="3"/>
  <c r="K872" i="3" s="1"/>
  <c r="F872" i="3"/>
  <c r="G872" i="3" s="1"/>
  <c r="E873" i="3"/>
  <c r="K873" i="3" s="1"/>
  <c r="F873" i="3"/>
  <c r="G873" i="3" s="1"/>
  <c r="E874" i="3"/>
  <c r="K874" i="3" s="1"/>
  <c r="F874" i="3"/>
  <c r="E875" i="3"/>
  <c r="K875" i="3" s="1"/>
  <c r="F875" i="3"/>
  <c r="G875" i="3" s="1"/>
  <c r="E876" i="3"/>
  <c r="K876" i="3" s="1"/>
  <c r="F876" i="3"/>
  <c r="G876" i="3" s="1"/>
  <c r="E877" i="3"/>
  <c r="K877" i="3" s="1"/>
  <c r="F877" i="3"/>
  <c r="G877" i="3" s="1"/>
  <c r="E878" i="3"/>
  <c r="K878" i="3" s="1"/>
  <c r="F878" i="3"/>
  <c r="H878" i="3" s="1"/>
  <c r="I878" i="3" s="1"/>
  <c r="J878" i="3" s="1"/>
  <c r="E879" i="3"/>
  <c r="K879" i="3" s="1"/>
  <c r="F879" i="3"/>
  <c r="H879" i="3" s="1"/>
  <c r="I879" i="3" s="1"/>
  <c r="J879" i="3" s="1"/>
  <c r="E880" i="3"/>
  <c r="K880" i="3" s="1"/>
  <c r="F880" i="3"/>
  <c r="G880" i="3" s="1"/>
  <c r="E881" i="3"/>
  <c r="K881" i="3" s="1"/>
  <c r="F881" i="3"/>
  <c r="E882" i="3"/>
  <c r="K882" i="3" s="1"/>
  <c r="F882" i="3"/>
  <c r="G882" i="3" s="1"/>
  <c r="H882" i="3"/>
  <c r="I882" i="3" s="1"/>
  <c r="J882" i="3" s="1"/>
  <c r="E883" i="3"/>
  <c r="K883" i="3" s="1"/>
  <c r="F883" i="3"/>
  <c r="H883" i="3" s="1"/>
  <c r="I883" i="3" s="1"/>
  <c r="J883" i="3" s="1"/>
  <c r="E884" i="3"/>
  <c r="K884" i="3" s="1"/>
  <c r="F884" i="3"/>
  <c r="H884" i="3" s="1"/>
  <c r="I884" i="3" s="1"/>
  <c r="J884" i="3" s="1"/>
  <c r="G884" i="3"/>
  <c r="E885" i="3"/>
  <c r="K885" i="3" s="1"/>
  <c r="F885" i="3"/>
  <c r="G885" i="3" s="1"/>
  <c r="E886" i="3"/>
  <c r="K886" i="3" s="1"/>
  <c r="F886" i="3"/>
  <c r="G886" i="3" s="1"/>
  <c r="E887" i="3"/>
  <c r="K887" i="3" s="1"/>
  <c r="F887" i="3"/>
  <c r="G887" i="3" s="1"/>
  <c r="E888" i="3"/>
  <c r="K888" i="3" s="1"/>
  <c r="F888" i="3"/>
  <c r="H888" i="3" s="1"/>
  <c r="I888" i="3" s="1"/>
  <c r="J888" i="3" s="1"/>
  <c r="E889" i="3"/>
  <c r="K889" i="3" s="1"/>
  <c r="F889" i="3"/>
  <c r="G889" i="3" s="1"/>
  <c r="E890" i="3"/>
  <c r="F890" i="3"/>
  <c r="H890" i="3" s="1"/>
  <c r="I890" i="3" s="1"/>
  <c r="J890" i="3" s="1"/>
  <c r="K890" i="3"/>
  <c r="E891" i="3"/>
  <c r="K891" i="3" s="1"/>
  <c r="F891" i="3"/>
  <c r="G891" i="3" s="1"/>
  <c r="E892" i="3"/>
  <c r="K892" i="3" s="1"/>
  <c r="F892" i="3"/>
  <c r="G892" i="3" s="1"/>
  <c r="E893" i="3"/>
  <c r="K893" i="3" s="1"/>
  <c r="F893" i="3"/>
  <c r="G893" i="3" s="1"/>
  <c r="E894" i="3"/>
  <c r="K894" i="3" s="1"/>
  <c r="F894" i="3"/>
  <c r="H894" i="3" s="1"/>
  <c r="I894" i="3" s="1"/>
  <c r="J894" i="3" s="1"/>
  <c r="E895" i="3"/>
  <c r="K895" i="3" s="1"/>
  <c r="F895" i="3"/>
  <c r="E896" i="3"/>
  <c r="K896" i="3" s="1"/>
  <c r="F896" i="3"/>
  <c r="G896" i="3" s="1"/>
  <c r="E897" i="3"/>
  <c r="K897" i="3" s="1"/>
  <c r="F897" i="3"/>
  <c r="H897" i="3" s="1"/>
  <c r="I897" i="3" s="1"/>
  <c r="J897" i="3" s="1"/>
  <c r="E898" i="3"/>
  <c r="K898" i="3" s="1"/>
  <c r="F898" i="3"/>
  <c r="G898" i="3" s="1"/>
  <c r="E899" i="3"/>
  <c r="K899" i="3" s="1"/>
  <c r="F899" i="3"/>
  <c r="G899" i="3" s="1"/>
  <c r="H899" i="3"/>
  <c r="I899" i="3" s="1"/>
  <c r="J899" i="3" s="1"/>
  <c r="E900" i="3"/>
  <c r="K900" i="3" s="1"/>
  <c r="F900" i="3"/>
  <c r="G900" i="3" s="1"/>
  <c r="E901" i="3"/>
  <c r="K901" i="3" s="1"/>
  <c r="F901" i="3"/>
  <c r="G901" i="3" s="1"/>
  <c r="E902" i="3"/>
  <c r="K902" i="3" s="1"/>
  <c r="F902" i="3"/>
  <c r="G902" i="3" s="1"/>
  <c r="E903" i="3"/>
  <c r="K903" i="3" s="1"/>
  <c r="F903" i="3"/>
  <c r="H903" i="3" s="1"/>
  <c r="I903" i="3" s="1"/>
  <c r="J903" i="3" s="1"/>
  <c r="E904" i="3"/>
  <c r="K904" i="3" s="1"/>
  <c r="F904" i="3"/>
  <c r="H904" i="3" s="1"/>
  <c r="I904" i="3" s="1"/>
  <c r="J904" i="3" s="1"/>
  <c r="E905" i="3"/>
  <c r="K905" i="3" s="1"/>
  <c r="F905" i="3"/>
  <c r="G905" i="3" s="1"/>
  <c r="E906" i="3"/>
  <c r="K906" i="3" s="1"/>
  <c r="F906" i="3"/>
  <c r="G906" i="3" s="1"/>
  <c r="E907" i="3"/>
  <c r="K907" i="3" s="1"/>
  <c r="F907" i="3"/>
  <c r="H907" i="3" s="1"/>
  <c r="I907" i="3" s="1"/>
  <c r="J907" i="3" s="1"/>
  <c r="E908" i="3"/>
  <c r="K908" i="3" s="1"/>
  <c r="F908" i="3"/>
  <c r="G908" i="3" s="1"/>
  <c r="E909" i="3"/>
  <c r="F909" i="3"/>
  <c r="G909" i="3"/>
  <c r="H909" i="3"/>
  <c r="I909" i="3" s="1"/>
  <c r="J909" i="3" s="1"/>
  <c r="K909" i="3"/>
  <c r="E910" i="3"/>
  <c r="K910" i="3" s="1"/>
  <c r="F910" i="3"/>
  <c r="G910" i="3" s="1"/>
  <c r="E911" i="3"/>
  <c r="K911" i="3" s="1"/>
  <c r="F911" i="3"/>
  <c r="G911" i="3" s="1"/>
  <c r="E912" i="3"/>
  <c r="K912" i="3" s="1"/>
  <c r="F912" i="3"/>
  <c r="G912" i="3" s="1"/>
  <c r="E913" i="3"/>
  <c r="K913" i="3" s="1"/>
  <c r="F913" i="3"/>
  <c r="G913" i="3" s="1"/>
  <c r="E914" i="3"/>
  <c r="K914" i="3" s="1"/>
  <c r="F914" i="3"/>
  <c r="G914" i="3" s="1"/>
  <c r="E915" i="3"/>
  <c r="K915" i="3" s="1"/>
  <c r="F915" i="3"/>
  <c r="G915" i="3" s="1"/>
  <c r="E916" i="3"/>
  <c r="K916" i="3" s="1"/>
  <c r="F916" i="3"/>
  <c r="E917" i="3"/>
  <c r="K917" i="3" s="1"/>
  <c r="F917" i="3"/>
  <c r="G917" i="3" s="1"/>
  <c r="E918" i="3"/>
  <c r="K918" i="3" s="1"/>
  <c r="F918" i="3"/>
  <c r="H918" i="3" s="1"/>
  <c r="I918" i="3" s="1"/>
  <c r="J918" i="3" s="1"/>
  <c r="E919" i="3"/>
  <c r="K919" i="3" s="1"/>
  <c r="F919" i="3"/>
  <c r="E920" i="3"/>
  <c r="K920" i="3" s="1"/>
  <c r="F920" i="3"/>
  <c r="H920" i="3" s="1"/>
  <c r="I920" i="3" s="1"/>
  <c r="J920" i="3" s="1"/>
  <c r="E921" i="3"/>
  <c r="K921" i="3" s="1"/>
  <c r="F921" i="3"/>
  <c r="G921" i="3" s="1"/>
  <c r="E922" i="3"/>
  <c r="K922" i="3" s="1"/>
  <c r="F922" i="3"/>
  <c r="H922" i="3" s="1"/>
  <c r="I922" i="3" s="1"/>
  <c r="J922" i="3" s="1"/>
  <c r="E923" i="3"/>
  <c r="K923" i="3" s="1"/>
  <c r="F923" i="3"/>
  <c r="H923" i="3" s="1"/>
  <c r="I923" i="3" s="1"/>
  <c r="J923" i="3" s="1"/>
  <c r="E924" i="3"/>
  <c r="K924" i="3" s="1"/>
  <c r="F924" i="3"/>
  <c r="H924" i="3" s="1"/>
  <c r="I924" i="3" s="1"/>
  <c r="J924" i="3" s="1"/>
  <c r="G924" i="3"/>
  <c r="E925" i="3"/>
  <c r="K925" i="3" s="1"/>
  <c r="F925" i="3"/>
  <c r="G925" i="3" s="1"/>
  <c r="E926" i="3"/>
  <c r="K926" i="3" s="1"/>
  <c r="F926" i="3"/>
  <c r="H926" i="3" s="1"/>
  <c r="I926" i="3" s="1"/>
  <c r="J926" i="3" s="1"/>
  <c r="E927" i="3"/>
  <c r="K927" i="3" s="1"/>
  <c r="F927" i="3"/>
  <c r="G927" i="3" s="1"/>
  <c r="E928" i="3"/>
  <c r="K928" i="3" s="1"/>
  <c r="F928" i="3"/>
  <c r="H928" i="3" s="1"/>
  <c r="I928" i="3" s="1"/>
  <c r="J928" i="3" s="1"/>
  <c r="G928" i="3"/>
  <c r="E929" i="3"/>
  <c r="K929" i="3" s="1"/>
  <c r="F929" i="3"/>
  <c r="G929" i="3" s="1"/>
  <c r="E930" i="3"/>
  <c r="K930" i="3" s="1"/>
  <c r="F930" i="3"/>
  <c r="E931" i="3"/>
  <c r="K931" i="3" s="1"/>
  <c r="F931" i="3"/>
  <c r="E932" i="3"/>
  <c r="K932" i="3" s="1"/>
  <c r="F932" i="3"/>
  <c r="G932" i="3" s="1"/>
  <c r="E933" i="3"/>
  <c r="K933" i="3" s="1"/>
  <c r="F933" i="3"/>
  <c r="G933" i="3" s="1"/>
  <c r="H933" i="3"/>
  <c r="I933" i="3" s="1"/>
  <c r="J933" i="3" s="1"/>
  <c r="E934" i="3"/>
  <c r="K934" i="3" s="1"/>
  <c r="F934" i="3"/>
  <c r="G934" i="3" s="1"/>
  <c r="E935" i="3"/>
  <c r="K935" i="3" s="1"/>
  <c r="F935" i="3"/>
  <c r="G935" i="3" s="1"/>
  <c r="E936" i="3"/>
  <c r="K936" i="3" s="1"/>
  <c r="F936" i="3"/>
  <c r="G936" i="3" s="1"/>
  <c r="H936" i="3"/>
  <c r="I936" i="3" s="1"/>
  <c r="J936" i="3" s="1"/>
  <c r="E937" i="3"/>
  <c r="K937" i="3" s="1"/>
  <c r="F937" i="3"/>
  <c r="G937" i="3" s="1"/>
  <c r="E938" i="3"/>
  <c r="K938" i="3" s="1"/>
  <c r="F938" i="3"/>
  <c r="E939" i="3"/>
  <c r="F939" i="3"/>
  <c r="G939" i="3" s="1"/>
  <c r="H939" i="3"/>
  <c r="I939" i="3" s="1"/>
  <c r="J939" i="3" s="1"/>
  <c r="K939" i="3"/>
  <c r="E940" i="3"/>
  <c r="K940" i="3" s="1"/>
  <c r="F940" i="3"/>
  <c r="G940" i="3" s="1"/>
  <c r="H940" i="3"/>
  <c r="I940" i="3" s="1"/>
  <c r="J940" i="3" s="1"/>
  <c r="E941" i="3"/>
  <c r="K941" i="3" s="1"/>
  <c r="F941" i="3"/>
  <c r="G941" i="3" s="1"/>
  <c r="E942" i="3"/>
  <c r="K942" i="3" s="1"/>
  <c r="F942" i="3"/>
  <c r="H942" i="3" s="1"/>
  <c r="I942" i="3" s="1"/>
  <c r="J942" i="3" s="1"/>
  <c r="E943" i="3"/>
  <c r="K943" i="3" s="1"/>
  <c r="F943" i="3"/>
  <c r="E944" i="3"/>
  <c r="K944" i="3" s="1"/>
  <c r="F944" i="3"/>
  <c r="H944" i="3" s="1"/>
  <c r="I944" i="3" s="1"/>
  <c r="J944" i="3" s="1"/>
  <c r="E945" i="3"/>
  <c r="K945" i="3" s="1"/>
  <c r="F945" i="3"/>
  <c r="H945" i="3" s="1"/>
  <c r="I945" i="3" s="1"/>
  <c r="J945" i="3" s="1"/>
  <c r="E946" i="3"/>
  <c r="K946" i="3" s="1"/>
  <c r="F946" i="3"/>
  <c r="G946" i="3" s="1"/>
  <c r="E947" i="3"/>
  <c r="K947" i="3" s="1"/>
  <c r="F947" i="3"/>
  <c r="H947" i="3" s="1"/>
  <c r="I947" i="3" s="1"/>
  <c r="J947" i="3" s="1"/>
  <c r="E948" i="3"/>
  <c r="K948" i="3" s="1"/>
  <c r="F948" i="3"/>
  <c r="G948" i="3" s="1"/>
  <c r="E949" i="3"/>
  <c r="K949" i="3" s="1"/>
  <c r="F949" i="3"/>
  <c r="E950" i="3"/>
  <c r="K950" i="3" s="1"/>
  <c r="F950" i="3"/>
  <c r="H950" i="3" s="1"/>
  <c r="I950" i="3" s="1"/>
  <c r="J950" i="3" s="1"/>
  <c r="G950" i="3"/>
  <c r="E951" i="3"/>
  <c r="K951" i="3" s="1"/>
  <c r="F951" i="3"/>
  <c r="G951" i="3" s="1"/>
  <c r="E952" i="3"/>
  <c r="K952" i="3" s="1"/>
  <c r="F952" i="3"/>
  <c r="G952" i="3" s="1"/>
  <c r="E953" i="3"/>
  <c r="K953" i="3" s="1"/>
  <c r="F953" i="3"/>
  <c r="H953" i="3" s="1"/>
  <c r="I953" i="3" s="1"/>
  <c r="J953" i="3" s="1"/>
  <c r="E954" i="3"/>
  <c r="K954" i="3" s="1"/>
  <c r="F954" i="3"/>
  <c r="G954" i="3" s="1"/>
  <c r="E955" i="3"/>
  <c r="K955" i="3" s="1"/>
  <c r="F955" i="3"/>
  <c r="G955" i="3" s="1"/>
  <c r="E956" i="3"/>
  <c r="K956" i="3" s="1"/>
  <c r="F956" i="3"/>
  <c r="G956" i="3" s="1"/>
  <c r="E957" i="3"/>
  <c r="K957" i="3" s="1"/>
  <c r="F957" i="3"/>
  <c r="G957" i="3" s="1"/>
  <c r="E958" i="3"/>
  <c r="F958" i="3"/>
  <c r="G958" i="3" s="1"/>
  <c r="K958" i="3"/>
  <c r="E959" i="3"/>
  <c r="K959" i="3" s="1"/>
  <c r="F959" i="3"/>
  <c r="H959" i="3" s="1"/>
  <c r="I959" i="3" s="1"/>
  <c r="J959" i="3" s="1"/>
  <c r="E960" i="3"/>
  <c r="K960" i="3" s="1"/>
  <c r="F960" i="3"/>
  <c r="H960" i="3" s="1"/>
  <c r="I960" i="3" s="1"/>
  <c r="J960" i="3" s="1"/>
  <c r="E961" i="3"/>
  <c r="K961" i="3" s="1"/>
  <c r="F961" i="3"/>
  <c r="G961" i="3" s="1"/>
  <c r="E962" i="3"/>
  <c r="K962" i="3" s="1"/>
  <c r="F962" i="3"/>
  <c r="G962" i="3" s="1"/>
  <c r="E963" i="3"/>
  <c r="K963" i="3" s="1"/>
  <c r="F963" i="3"/>
  <c r="G963" i="3" s="1"/>
  <c r="E964" i="3"/>
  <c r="K964" i="3" s="1"/>
  <c r="F964" i="3"/>
  <c r="G964" i="3" s="1"/>
  <c r="E965" i="3"/>
  <c r="K965" i="3" s="1"/>
  <c r="F965" i="3"/>
  <c r="G965" i="3" s="1"/>
  <c r="E966" i="3"/>
  <c r="K966" i="3" s="1"/>
  <c r="F966" i="3"/>
  <c r="E967" i="3"/>
  <c r="K967" i="3" s="1"/>
  <c r="F967" i="3"/>
  <c r="G967" i="3" s="1"/>
  <c r="E968" i="3"/>
  <c r="K968" i="3" s="1"/>
  <c r="F968" i="3"/>
  <c r="E969" i="3"/>
  <c r="K969" i="3" s="1"/>
  <c r="F969" i="3"/>
  <c r="G969" i="3" s="1"/>
  <c r="E970" i="3"/>
  <c r="K970" i="3" s="1"/>
  <c r="F970" i="3"/>
  <c r="G970" i="3" s="1"/>
  <c r="E971" i="3"/>
  <c r="K971" i="3" s="1"/>
  <c r="F971" i="3"/>
  <c r="G971" i="3" s="1"/>
  <c r="E972" i="3"/>
  <c r="K972" i="3" s="1"/>
  <c r="F972" i="3"/>
  <c r="H972" i="3" s="1"/>
  <c r="I972" i="3" s="1"/>
  <c r="J972" i="3" s="1"/>
  <c r="E973" i="3"/>
  <c r="K973" i="3" s="1"/>
  <c r="F973" i="3"/>
  <c r="G973" i="3" s="1"/>
  <c r="E974" i="3"/>
  <c r="K974" i="3" s="1"/>
  <c r="F974" i="3"/>
  <c r="G974" i="3" s="1"/>
  <c r="E975" i="3"/>
  <c r="K975" i="3" s="1"/>
  <c r="F975" i="3"/>
  <c r="H975" i="3" s="1"/>
  <c r="I975" i="3" s="1"/>
  <c r="J975" i="3" s="1"/>
  <c r="E976" i="3"/>
  <c r="K976" i="3" s="1"/>
  <c r="F976" i="3"/>
  <c r="G976" i="3" s="1"/>
  <c r="E977" i="3"/>
  <c r="K977" i="3" s="1"/>
  <c r="F977" i="3"/>
  <c r="G977" i="3" s="1"/>
  <c r="H977" i="3"/>
  <c r="I977" i="3" s="1"/>
  <c r="J977" i="3" s="1"/>
  <c r="E978" i="3"/>
  <c r="K978" i="3" s="1"/>
  <c r="F978" i="3"/>
  <c r="H978" i="3" s="1"/>
  <c r="I978" i="3" s="1"/>
  <c r="J978" i="3" s="1"/>
  <c r="E979" i="3"/>
  <c r="K979" i="3" s="1"/>
  <c r="F979" i="3"/>
  <c r="E980" i="3"/>
  <c r="K980" i="3" s="1"/>
  <c r="F980" i="3"/>
  <c r="G980" i="3" s="1"/>
  <c r="E981" i="3"/>
  <c r="K981" i="3" s="1"/>
  <c r="F981" i="3"/>
  <c r="H981" i="3" s="1"/>
  <c r="I981" i="3" s="1"/>
  <c r="J981" i="3" s="1"/>
  <c r="G981" i="3"/>
  <c r="E982" i="3"/>
  <c r="K982" i="3" s="1"/>
  <c r="F982" i="3"/>
  <c r="G982" i="3" s="1"/>
  <c r="E983" i="3"/>
  <c r="K983" i="3" s="1"/>
  <c r="F983" i="3"/>
  <c r="E984" i="3"/>
  <c r="K984" i="3" s="1"/>
  <c r="F984" i="3"/>
  <c r="H984" i="3" s="1"/>
  <c r="I984" i="3" s="1"/>
  <c r="J984" i="3" s="1"/>
  <c r="E985" i="3"/>
  <c r="K985" i="3" s="1"/>
  <c r="F985" i="3"/>
  <c r="E986" i="3"/>
  <c r="K986" i="3" s="1"/>
  <c r="F986" i="3"/>
  <c r="G986" i="3" s="1"/>
  <c r="E987" i="3"/>
  <c r="K987" i="3" s="1"/>
  <c r="F987" i="3"/>
  <c r="E988" i="3"/>
  <c r="K988" i="3" s="1"/>
  <c r="F988" i="3"/>
  <c r="G988" i="3" s="1"/>
  <c r="E989" i="3"/>
  <c r="F989" i="3"/>
  <c r="G989" i="3" s="1"/>
  <c r="K989" i="3"/>
  <c r="E990" i="3"/>
  <c r="K990" i="3" s="1"/>
  <c r="F990" i="3"/>
  <c r="G990" i="3" s="1"/>
  <c r="E991" i="3"/>
  <c r="K991" i="3" s="1"/>
  <c r="F991" i="3"/>
  <c r="H991" i="3" s="1"/>
  <c r="I991" i="3" s="1"/>
  <c r="J991" i="3" s="1"/>
  <c r="E992" i="3"/>
  <c r="K992" i="3" s="1"/>
  <c r="F992" i="3"/>
  <c r="H992" i="3" s="1"/>
  <c r="I992" i="3" s="1"/>
  <c r="J992" i="3" s="1"/>
  <c r="E993" i="3"/>
  <c r="K993" i="3" s="1"/>
  <c r="F993" i="3"/>
  <c r="G993" i="3" s="1"/>
  <c r="E994" i="3"/>
  <c r="K994" i="3" s="1"/>
  <c r="F994" i="3"/>
  <c r="G994" i="3" s="1"/>
  <c r="E995" i="3"/>
  <c r="K995" i="3" s="1"/>
  <c r="F995" i="3"/>
  <c r="G995" i="3" s="1"/>
  <c r="E996" i="3"/>
  <c r="K996" i="3" s="1"/>
  <c r="F996" i="3"/>
  <c r="G996" i="3" s="1"/>
  <c r="E997" i="3"/>
  <c r="K997" i="3" s="1"/>
  <c r="F997" i="3"/>
  <c r="H997" i="3" s="1"/>
  <c r="I997" i="3" s="1"/>
  <c r="J997" i="3" s="1"/>
  <c r="G997" i="3"/>
  <c r="E998" i="3"/>
  <c r="K998" i="3" s="1"/>
  <c r="F998" i="3"/>
  <c r="G998" i="3" s="1"/>
  <c r="H998" i="3"/>
  <c r="I998" i="3" s="1"/>
  <c r="J998" i="3" s="1"/>
  <c r="E999" i="3"/>
  <c r="K999" i="3" s="1"/>
  <c r="F999" i="3"/>
  <c r="G999" i="3" s="1"/>
  <c r="E1000" i="3"/>
  <c r="K1000" i="3" s="1"/>
  <c r="F1000" i="3"/>
  <c r="G1000" i="3" s="1"/>
  <c r="E1001" i="3"/>
  <c r="K1001" i="3" s="1"/>
  <c r="F1001" i="3"/>
  <c r="G1001" i="3" s="1"/>
  <c r="E1002" i="3"/>
  <c r="K1002" i="3" s="1"/>
  <c r="F1002" i="3"/>
  <c r="G1002" i="3" s="1"/>
  <c r="E1003" i="3"/>
  <c r="K1003" i="3" s="1"/>
  <c r="F1003" i="3"/>
  <c r="E1004" i="3"/>
  <c r="K1004" i="3" s="1"/>
  <c r="F1004" i="3"/>
  <c r="H1004" i="3" s="1"/>
  <c r="I1004" i="3" s="1"/>
  <c r="J1004" i="3" s="1"/>
  <c r="E1005" i="3"/>
  <c r="K1005" i="3" s="1"/>
  <c r="F1005" i="3"/>
  <c r="H1005" i="3" s="1"/>
  <c r="I1005" i="3" s="1"/>
  <c r="J1005" i="3" s="1"/>
  <c r="E1006" i="3"/>
  <c r="K1006" i="3" s="1"/>
  <c r="F1006" i="3"/>
  <c r="G1006" i="3" s="1"/>
  <c r="E1007" i="3"/>
  <c r="K1007" i="3" s="1"/>
  <c r="F1007" i="3"/>
  <c r="G1007" i="3" s="1"/>
  <c r="E1008" i="3"/>
  <c r="K1008" i="3" s="1"/>
  <c r="F1008" i="3"/>
  <c r="G1008" i="3" s="1"/>
  <c r="E1009" i="3"/>
  <c r="K1009" i="3" s="1"/>
  <c r="F1009" i="3"/>
  <c r="H1009" i="3" s="1"/>
  <c r="I1009" i="3" s="1"/>
  <c r="J1009" i="3" s="1"/>
  <c r="E1010" i="3"/>
  <c r="K1010" i="3" s="1"/>
  <c r="F1010" i="3"/>
  <c r="E1011" i="3"/>
  <c r="K1011" i="3" s="1"/>
  <c r="F1011" i="3"/>
  <c r="H1011" i="3" s="1"/>
  <c r="I1011" i="3" s="1"/>
  <c r="J1011" i="3" s="1"/>
  <c r="E1012" i="3"/>
  <c r="K1012" i="3" s="1"/>
  <c r="F1012" i="3"/>
  <c r="H1012" i="3" s="1"/>
  <c r="I1012" i="3" s="1"/>
  <c r="J1012" i="3" s="1"/>
  <c r="G1012" i="3"/>
  <c r="E1013" i="3"/>
  <c r="K1013" i="3" s="1"/>
  <c r="F1013" i="3"/>
  <c r="H1013" i="3" s="1"/>
  <c r="I1013" i="3" s="1"/>
  <c r="J1013" i="3" s="1"/>
  <c r="E1014" i="3"/>
  <c r="K1014" i="3" s="1"/>
  <c r="F1014" i="3"/>
  <c r="G1014" i="3" s="1"/>
  <c r="E1015" i="3"/>
  <c r="K1015" i="3" s="1"/>
  <c r="F1015" i="3"/>
  <c r="G1015" i="3" s="1"/>
  <c r="E1016" i="3"/>
  <c r="K1016" i="3" s="1"/>
  <c r="F1016" i="3"/>
  <c r="G1016" i="3" s="1"/>
  <c r="E1017" i="3"/>
  <c r="K1017" i="3" s="1"/>
  <c r="F1017" i="3"/>
  <c r="H1017" i="3" s="1"/>
  <c r="I1017" i="3" s="1"/>
  <c r="J1017" i="3" s="1"/>
  <c r="E1018" i="3"/>
  <c r="F1018" i="3"/>
  <c r="G1018" i="3" s="1"/>
  <c r="H1018" i="3"/>
  <c r="I1018" i="3" s="1"/>
  <c r="J1018" i="3" s="1"/>
  <c r="K1018" i="3"/>
  <c r="E1019" i="3"/>
  <c r="K1019" i="3" s="1"/>
  <c r="F1019" i="3"/>
  <c r="G1019" i="3" s="1"/>
  <c r="E1020" i="3"/>
  <c r="F1020" i="3"/>
  <c r="H1020" i="3" s="1"/>
  <c r="I1020" i="3" s="1"/>
  <c r="J1020" i="3" s="1"/>
  <c r="K1020" i="3"/>
  <c r="E1021" i="3"/>
  <c r="K1021" i="3" s="1"/>
  <c r="F1021" i="3"/>
  <c r="G1021" i="3" s="1"/>
  <c r="E1022" i="3"/>
  <c r="K1022" i="3" s="1"/>
  <c r="F1022" i="3"/>
  <c r="E1023" i="3"/>
  <c r="K1023" i="3" s="1"/>
  <c r="F1023" i="3"/>
  <c r="G1023" i="3" s="1"/>
  <c r="E1024" i="3"/>
  <c r="K1024" i="3" s="1"/>
  <c r="F1024" i="3"/>
  <c r="H1024" i="3" s="1"/>
  <c r="I1024" i="3" s="1"/>
  <c r="J1024" i="3" s="1"/>
  <c r="E1025" i="3"/>
  <c r="K1025" i="3" s="1"/>
  <c r="F1025" i="3"/>
  <c r="G1025" i="3" s="1"/>
  <c r="E1026" i="3"/>
  <c r="K1026" i="3" s="1"/>
  <c r="F1026" i="3"/>
  <c r="G1026" i="3" s="1"/>
  <c r="E1027" i="3"/>
  <c r="K1027" i="3" s="1"/>
  <c r="F1027" i="3"/>
  <c r="G1027" i="3" s="1"/>
  <c r="E1028" i="3"/>
  <c r="K1028" i="3" s="1"/>
  <c r="F1028" i="3"/>
  <c r="H1028" i="3" s="1"/>
  <c r="I1028" i="3" s="1"/>
  <c r="J1028" i="3" s="1"/>
  <c r="E1029" i="3"/>
  <c r="F1029" i="3"/>
  <c r="H1029" i="3" s="1"/>
  <c r="I1029" i="3" s="1"/>
  <c r="J1029" i="3" s="1"/>
  <c r="K1029" i="3"/>
  <c r="E1030" i="3"/>
  <c r="K1030" i="3" s="1"/>
  <c r="F1030" i="3"/>
  <c r="G1030" i="3" s="1"/>
  <c r="E1031" i="3"/>
  <c r="K1031" i="3" s="1"/>
  <c r="F1031" i="3"/>
  <c r="G1031" i="3" s="1"/>
  <c r="E1032" i="3"/>
  <c r="K1032" i="3" s="1"/>
  <c r="F1032" i="3"/>
  <c r="G1032" i="3" s="1"/>
  <c r="E1033" i="3"/>
  <c r="K1033" i="3" s="1"/>
  <c r="F1033" i="3"/>
  <c r="G1033" i="3"/>
  <c r="H1033" i="3"/>
  <c r="I1033" i="3" s="1"/>
  <c r="J1033" i="3" s="1"/>
  <c r="E1034" i="3"/>
  <c r="K1034" i="3" s="1"/>
  <c r="F1034" i="3"/>
  <c r="H1034" i="3" s="1"/>
  <c r="I1034" i="3" s="1"/>
  <c r="J1034" i="3" s="1"/>
  <c r="E1035" i="3"/>
  <c r="K1035" i="3" s="1"/>
  <c r="F1035" i="3"/>
  <c r="G1035" i="3" s="1"/>
  <c r="E1036" i="3"/>
  <c r="K1036" i="3" s="1"/>
  <c r="F1036" i="3"/>
  <c r="G1036" i="3" s="1"/>
  <c r="E1037" i="3"/>
  <c r="K1037" i="3" s="1"/>
  <c r="F1037" i="3"/>
  <c r="G1037" i="3" s="1"/>
  <c r="E1038" i="3"/>
  <c r="K1038" i="3" s="1"/>
  <c r="F1038" i="3"/>
  <c r="G1038" i="3" s="1"/>
  <c r="E1039" i="3"/>
  <c r="K1039" i="3" s="1"/>
  <c r="F1039" i="3"/>
  <c r="G1039" i="3" s="1"/>
  <c r="E1040" i="3"/>
  <c r="K1040" i="3" s="1"/>
  <c r="F1040" i="3"/>
  <c r="G1040" i="3" s="1"/>
  <c r="E1041" i="3"/>
  <c r="K1041" i="3" s="1"/>
  <c r="F1041" i="3"/>
  <c r="G1041" i="3" s="1"/>
  <c r="E1042" i="3"/>
  <c r="K1042" i="3" s="1"/>
  <c r="F1042" i="3"/>
  <c r="E1043" i="3"/>
  <c r="K1043" i="3" s="1"/>
  <c r="F1043" i="3"/>
  <c r="G1043" i="3" s="1"/>
  <c r="E1044" i="3"/>
  <c r="K1044" i="3" s="1"/>
  <c r="F1044" i="3"/>
  <c r="E1045" i="3"/>
  <c r="K1045" i="3" s="1"/>
  <c r="F1045" i="3"/>
  <c r="G1045" i="3" s="1"/>
  <c r="E1046" i="3"/>
  <c r="K1046" i="3" s="1"/>
  <c r="F1046" i="3"/>
  <c r="G1046" i="3" s="1"/>
  <c r="H1046" i="3"/>
  <c r="I1046" i="3" s="1"/>
  <c r="J1046" i="3" s="1"/>
  <c r="E1047" i="3"/>
  <c r="K1047" i="3" s="1"/>
  <c r="F1047" i="3"/>
  <c r="E1048" i="3"/>
  <c r="K1048" i="3" s="1"/>
  <c r="F1048" i="3"/>
  <c r="E1049" i="3"/>
  <c r="K1049" i="3" s="1"/>
  <c r="F1049" i="3"/>
  <c r="G1049" i="3" s="1"/>
  <c r="E1050" i="3"/>
  <c r="K1050" i="3" s="1"/>
  <c r="F1050" i="3"/>
  <c r="H1050" i="3" s="1"/>
  <c r="I1050" i="3" s="1"/>
  <c r="J1050" i="3" s="1"/>
  <c r="E1051" i="3"/>
  <c r="K1051" i="3" s="1"/>
  <c r="F1051" i="3"/>
  <c r="G1051" i="3" s="1"/>
  <c r="E1052" i="3"/>
  <c r="K1052" i="3" s="1"/>
  <c r="F1052" i="3"/>
  <c r="G1052" i="3" s="1"/>
  <c r="E1053" i="3"/>
  <c r="K1053" i="3" s="1"/>
  <c r="F1053" i="3"/>
  <c r="G1053" i="3" s="1"/>
  <c r="E1054" i="3"/>
  <c r="K1054" i="3" s="1"/>
  <c r="F1054" i="3"/>
  <c r="G1054" i="3" s="1"/>
  <c r="E1055" i="3"/>
  <c r="K1055" i="3" s="1"/>
  <c r="F1055" i="3"/>
  <c r="E1056" i="3"/>
  <c r="K1056" i="3" s="1"/>
  <c r="F1056" i="3"/>
  <c r="H1056" i="3" s="1"/>
  <c r="I1056" i="3" s="1"/>
  <c r="J1056" i="3"/>
  <c r="E1057" i="3"/>
  <c r="K1057" i="3" s="1"/>
  <c r="F1057" i="3"/>
  <c r="G1057" i="3" s="1"/>
  <c r="H1057" i="3"/>
  <c r="I1057" i="3" s="1"/>
  <c r="J1057" i="3" s="1"/>
  <c r="E1058" i="3"/>
  <c r="K1058" i="3" s="1"/>
  <c r="F1058" i="3"/>
  <c r="G1058" i="3" s="1"/>
  <c r="E1059" i="3"/>
  <c r="K1059" i="3" s="1"/>
  <c r="F1059" i="3"/>
  <c r="G1059" i="3" s="1"/>
  <c r="E1060" i="3"/>
  <c r="K1060" i="3" s="1"/>
  <c r="F1060" i="3"/>
  <c r="G1060" i="3" s="1"/>
  <c r="E1061" i="3"/>
  <c r="K1061" i="3" s="1"/>
  <c r="F1061" i="3"/>
  <c r="G1061" i="3" s="1"/>
  <c r="E1062" i="3"/>
  <c r="K1062" i="3" s="1"/>
  <c r="F1062" i="3"/>
  <c r="G1062" i="3" s="1"/>
  <c r="E1063" i="3"/>
  <c r="K1063" i="3" s="1"/>
  <c r="F1063" i="3"/>
  <c r="G1063" i="3" s="1"/>
  <c r="E1064" i="3"/>
  <c r="K1064" i="3" s="1"/>
  <c r="F1064" i="3"/>
  <c r="H1064" i="3" s="1"/>
  <c r="I1064" i="3" s="1"/>
  <c r="J1064" i="3" s="1"/>
  <c r="E1065" i="3"/>
  <c r="K1065" i="3" s="1"/>
  <c r="F1065" i="3"/>
  <c r="G1065" i="3" s="1"/>
  <c r="E1066" i="3"/>
  <c r="K1066" i="3" s="1"/>
  <c r="F1066" i="3"/>
  <c r="G1066" i="3" s="1"/>
  <c r="E1067" i="3"/>
  <c r="K1067" i="3" s="1"/>
  <c r="F1067" i="3"/>
  <c r="E1068" i="3"/>
  <c r="K1068" i="3" s="1"/>
  <c r="F1068" i="3"/>
  <c r="G1068" i="3" s="1"/>
  <c r="E1069" i="3"/>
  <c r="K1069" i="3" s="1"/>
  <c r="F1069" i="3"/>
  <c r="H1069" i="3" s="1"/>
  <c r="I1069" i="3" s="1"/>
  <c r="J1069" i="3" s="1"/>
  <c r="E1070" i="3"/>
  <c r="K1070" i="3" s="1"/>
  <c r="F1070" i="3"/>
  <c r="H1070" i="3" s="1"/>
  <c r="I1070" i="3" s="1"/>
  <c r="J1070" i="3" s="1"/>
  <c r="E1071" i="3"/>
  <c r="K1071" i="3" s="1"/>
  <c r="F1071" i="3"/>
  <c r="G1071" i="3" s="1"/>
  <c r="E1072" i="3"/>
  <c r="K1072" i="3" s="1"/>
  <c r="F1072" i="3"/>
  <c r="G1072" i="3" s="1"/>
  <c r="H1072" i="3"/>
  <c r="I1072" i="3" s="1"/>
  <c r="J1072" i="3" s="1"/>
  <c r="E1073" i="3"/>
  <c r="K1073" i="3" s="1"/>
  <c r="F1073" i="3"/>
  <c r="G1073" i="3" s="1"/>
  <c r="E1074" i="3"/>
  <c r="K1074" i="3" s="1"/>
  <c r="F1074" i="3"/>
  <c r="E1075" i="3"/>
  <c r="K1075" i="3" s="1"/>
  <c r="F1075" i="3"/>
  <c r="E1076" i="3"/>
  <c r="K1076" i="3" s="1"/>
  <c r="F1076" i="3"/>
  <c r="G1076" i="3" s="1"/>
  <c r="E1077" i="3"/>
  <c r="K1077" i="3" s="1"/>
  <c r="F1077" i="3"/>
  <c r="E1078" i="3"/>
  <c r="F1078" i="3"/>
  <c r="G1078" i="3" s="1"/>
  <c r="K1078" i="3"/>
  <c r="E1079" i="3"/>
  <c r="K1079" i="3" s="1"/>
  <c r="F1079" i="3"/>
  <c r="H1079" i="3" s="1"/>
  <c r="I1079" i="3" s="1"/>
  <c r="J1079" i="3" s="1"/>
  <c r="E1080" i="3"/>
  <c r="K1080" i="3" s="1"/>
  <c r="F1080" i="3"/>
  <c r="H1080" i="3" s="1"/>
  <c r="I1080" i="3" s="1"/>
  <c r="J1080" i="3" s="1"/>
  <c r="E1081" i="3"/>
  <c r="K1081" i="3" s="1"/>
  <c r="F1081" i="3"/>
  <c r="G1081" i="3" s="1"/>
  <c r="H1081" i="3"/>
  <c r="I1081" i="3" s="1"/>
  <c r="J1081" i="3" s="1"/>
  <c r="E1082" i="3"/>
  <c r="K1082" i="3" s="1"/>
  <c r="F1082" i="3"/>
  <c r="E1083" i="3"/>
  <c r="K1083" i="3" s="1"/>
  <c r="F1083" i="3"/>
  <c r="G1083" i="3" s="1"/>
  <c r="E1084" i="3"/>
  <c r="F1084" i="3"/>
  <c r="G1084" i="3" s="1"/>
  <c r="K1084" i="3"/>
  <c r="E1085" i="3"/>
  <c r="K1085" i="3" s="1"/>
  <c r="F1085" i="3"/>
  <c r="H1085" i="3" s="1"/>
  <c r="I1085" i="3" s="1"/>
  <c r="J1085" i="3" s="1"/>
  <c r="G1085" i="3"/>
  <c r="E1086" i="3"/>
  <c r="F1086" i="3"/>
  <c r="K1086" i="3"/>
  <c r="E1087" i="3"/>
  <c r="K1087" i="3" s="1"/>
  <c r="F1087" i="3"/>
  <c r="G1087" i="3" s="1"/>
  <c r="E1088" i="3"/>
  <c r="K1088" i="3" s="1"/>
  <c r="F1088" i="3"/>
  <c r="H1088" i="3" s="1"/>
  <c r="I1088" i="3" s="1"/>
  <c r="J1088" i="3" s="1"/>
  <c r="E1089" i="3"/>
  <c r="K1089" i="3" s="1"/>
  <c r="F1089" i="3"/>
  <c r="G1089" i="3" s="1"/>
  <c r="E1090" i="3"/>
  <c r="K1090" i="3" s="1"/>
  <c r="F1090" i="3"/>
  <c r="G1090" i="3" s="1"/>
  <c r="H1090" i="3"/>
  <c r="I1090" i="3" s="1"/>
  <c r="J1090" i="3" s="1"/>
  <c r="E1091" i="3"/>
  <c r="K1091" i="3" s="1"/>
  <c r="F1091" i="3"/>
  <c r="G1091" i="3" s="1"/>
  <c r="E1092" i="3"/>
  <c r="K1092" i="3" s="1"/>
  <c r="F1092" i="3"/>
  <c r="G1092" i="3" s="1"/>
  <c r="E1093" i="3"/>
  <c r="K1093" i="3" s="1"/>
  <c r="F1093" i="3"/>
  <c r="G1093" i="3" s="1"/>
  <c r="E1094" i="3"/>
  <c r="K1094" i="3" s="1"/>
  <c r="F1094" i="3"/>
  <c r="G1094" i="3" s="1"/>
  <c r="E1095" i="3"/>
  <c r="K1095" i="3" s="1"/>
  <c r="F1095" i="3"/>
  <c r="G1095" i="3" s="1"/>
  <c r="E1096" i="3"/>
  <c r="K1096" i="3" s="1"/>
  <c r="F1096" i="3"/>
  <c r="H1096" i="3" s="1"/>
  <c r="I1096" i="3" s="1"/>
  <c r="J1096" i="3" s="1"/>
  <c r="E1097" i="3"/>
  <c r="K1097" i="3" s="1"/>
  <c r="F1097" i="3"/>
  <c r="G1097" i="3" s="1"/>
  <c r="E1098" i="3"/>
  <c r="K1098" i="3" s="1"/>
  <c r="F1098" i="3"/>
  <c r="G1098" i="3" s="1"/>
  <c r="E1099" i="3"/>
  <c r="K1099" i="3" s="1"/>
  <c r="F1099" i="3"/>
  <c r="G1099" i="3" s="1"/>
  <c r="H1099" i="3"/>
  <c r="I1099" i="3"/>
  <c r="J1099" i="3" s="1"/>
  <c r="E1100" i="3"/>
  <c r="K1100" i="3" s="1"/>
  <c r="F1100" i="3"/>
  <c r="G1100" i="3" s="1"/>
  <c r="E1101" i="3"/>
  <c r="K1101" i="3" s="1"/>
  <c r="F1101" i="3"/>
  <c r="G1101" i="3" s="1"/>
  <c r="E1102" i="3"/>
  <c r="K1102" i="3" s="1"/>
  <c r="F1102" i="3"/>
  <c r="E1103" i="3"/>
  <c r="K1103" i="3" s="1"/>
  <c r="F1103" i="3"/>
  <c r="G1103" i="3" s="1"/>
  <c r="E1104" i="3"/>
  <c r="K1104" i="3" s="1"/>
  <c r="F1104" i="3"/>
  <c r="G1104" i="3" s="1"/>
  <c r="E1105" i="3"/>
  <c r="K1105" i="3" s="1"/>
  <c r="F1105" i="3"/>
  <c r="G1105" i="3" s="1"/>
  <c r="H1105" i="3"/>
  <c r="I1105" i="3" s="1"/>
  <c r="J1105" i="3" s="1"/>
  <c r="E1106" i="3"/>
  <c r="K1106" i="3" s="1"/>
  <c r="F1106" i="3"/>
  <c r="G1106" i="3" s="1"/>
  <c r="E1107" i="3"/>
  <c r="F1107" i="3"/>
  <c r="G1107" i="3" s="1"/>
  <c r="K1107" i="3"/>
  <c r="E1108" i="3"/>
  <c r="K1108" i="3" s="1"/>
  <c r="F1108" i="3"/>
  <c r="H1108" i="3" s="1"/>
  <c r="I1108" i="3" s="1"/>
  <c r="J1108" i="3" s="1"/>
  <c r="E1109" i="3"/>
  <c r="K1109" i="3" s="1"/>
  <c r="F1109" i="3"/>
  <c r="G1109" i="3" s="1"/>
  <c r="E1110" i="3"/>
  <c r="K1110" i="3" s="1"/>
  <c r="F1110" i="3"/>
  <c r="G1110" i="3" s="1"/>
  <c r="E1111" i="3"/>
  <c r="K1111" i="3" s="1"/>
  <c r="F1111" i="3"/>
  <c r="H1111" i="3" s="1"/>
  <c r="I1111" i="3" s="1"/>
  <c r="J1111" i="3" s="1"/>
  <c r="E1112" i="3"/>
  <c r="K1112" i="3" s="1"/>
  <c r="F1112" i="3"/>
  <c r="G1112" i="3" s="1"/>
  <c r="E1113" i="3"/>
  <c r="K1113" i="3" s="1"/>
  <c r="F1113" i="3"/>
  <c r="G1113" i="3" s="1"/>
  <c r="E1114" i="3"/>
  <c r="K1114" i="3" s="1"/>
  <c r="F1114" i="3"/>
  <c r="G1114" i="3" s="1"/>
  <c r="E1115" i="3"/>
  <c r="K1115" i="3" s="1"/>
  <c r="F1115" i="3"/>
  <c r="G1115" i="3" s="1"/>
  <c r="E1116" i="3"/>
  <c r="K1116" i="3" s="1"/>
  <c r="F1116" i="3"/>
  <c r="G1116" i="3" s="1"/>
  <c r="E1117" i="3"/>
  <c r="K1117" i="3" s="1"/>
  <c r="F1117" i="3"/>
  <c r="G1117" i="3" s="1"/>
  <c r="E1118" i="3"/>
  <c r="K1118" i="3" s="1"/>
  <c r="F1118" i="3"/>
  <c r="H1118" i="3" s="1"/>
  <c r="I1118" i="3" s="1"/>
  <c r="J1118" i="3" s="1"/>
  <c r="G1118" i="3"/>
  <c r="E1119" i="3"/>
  <c r="K1119" i="3" s="1"/>
  <c r="F1119" i="3"/>
  <c r="G1119" i="3" s="1"/>
  <c r="E1120" i="3"/>
  <c r="K1120" i="3" s="1"/>
  <c r="F1120" i="3"/>
  <c r="H1120" i="3" s="1"/>
  <c r="I1120" i="3" s="1"/>
  <c r="J1120" i="3" s="1"/>
  <c r="G1120" i="3"/>
  <c r="E1121" i="3"/>
  <c r="K1121" i="3" s="1"/>
  <c r="F1121" i="3"/>
  <c r="E1122" i="3"/>
  <c r="K1122" i="3" s="1"/>
  <c r="F1122" i="3"/>
  <c r="G1122" i="3" s="1"/>
  <c r="E1123" i="3"/>
  <c r="K1123" i="3" s="1"/>
  <c r="F1123" i="3"/>
  <c r="G1123" i="3" s="1"/>
  <c r="E1124" i="3"/>
  <c r="K1124" i="3" s="1"/>
  <c r="F1124" i="3"/>
  <c r="G1124" i="3" s="1"/>
  <c r="H1124" i="3"/>
  <c r="I1124" i="3" s="1"/>
  <c r="J1124" i="3" s="1"/>
  <c r="E1125" i="3"/>
  <c r="K1125" i="3" s="1"/>
  <c r="F1125" i="3"/>
  <c r="G1125" i="3" s="1"/>
  <c r="E1126" i="3"/>
  <c r="K1126" i="3" s="1"/>
  <c r="F1126" i="3"/>
  <c r="G1126" i="3" s="1"/>
  <c r="H1126" i="3"/>
  <c r="I1126" i="3" s="1"/>
  <c r="J1126" i="3" s="1"/>
  <c r="E1127" i="3"/>
  <c r="K1127" i="3" s="1"/>
  <c r="F1127" i="3"/>
  <c r="G1127" i="3" s="1"/>
  <c r="E1128" i="3"/>
  <c r="K1128" i="3" s="1"/>
  <c r="F1128" i="3"/>
  <c r="H1128" i="3" s="1"/>
  <c r="I1128" i="3" s="1"/>
  <c r="J1128" i="3" s="1"/>
  <c r="E1129" i="3"/>
  <c r="K1129" i="3" s="1"/>
  <c r="F1129" i="3"/>
  <c r="G1129" i="3" s="1"/>
  <c r="E1130" i="3"/>
  <c r="K1130" i="3" s="1"/>
  <c r="F1130" i="3"/>
  <c r="G1130" i="3" s="1"/>
  <c r="E1131" i="3"/>
  <c r="K1131" i="3" s="1"/>
  <c r="F1131" i="3"/>
  <c r="H1131" i="3" s="1"/>
  <c r="I1131" i="3" s="1"/>
  <c r="J1131" i="3" s="1"/>
  <c r="E1132" i="3"/>
  <c r="K1132" i="3" s="1"/>
  <c r="F1132" i="3"/>
  <c r="H1132" i="3" s="1"/>
  <c r="I1132" i="3" s="1"/>
  <c r="J1132" i="3" s="1"/>
  <c r="G1132" i="3"/>
  <c r="E1133" i="3"/>
  <c r="K1133" i="3" s="1"/>
  <c r="F1133" i="3"/>
  <c r="H1133" i="3" s="1"/>
  <c r="I1133" i="3" s="1"/>
  <c r="J1133" i="3" s="1"/>
  <c r="E1134" i="3"/>
  <c r="K1134" i="3" s="1"/>
  <c r="F1134" i="3"/>
  <c r="G1134" i="3" s="1"/>
  <c r="E1135" i="3"/>
  <c r="F1135" i="3"/>
  <c r="G1135" i="3" s="1"/>
  <c r="H1135" i="3"/>
  <c r="I1135" i="3" s="1"/>
  <c r="J1135" i="3" s="1"/>
  <c r="K1135" i="3"/>
  <c r="E1136" i="3"/>
  <c r="K1136" i="3" s="1"/>
  <c r="F1136" i="3"/>
  <c r="E1137" i="3"/>
  <c r="K1137" i="3" s="1"/>
  <c r="F1137" i="3"/>
  <c r="G1137" i="3" s="1"/>
  <c r="E1138" i="3"/>
  <c r="K1138" i="3" s="1"/>
  <c r="F1138" i="3"/>
  <c r="G1138" i="3" s="1"/>
  <c r="E1139" i="3"/>
  <c r="K1139" i="3" s="1"/>
  <c r="F1139" i="3"/>
  <c r="H1139" i="3" s="1"/>
  <c r="I1139" i="3" s="1"/>
  <c r="J1139" i="3" s="1"/>
  <c r="E1140" i="3"/>
  <c r="K1140" i="3" s="1"/>
  <c r="F1140" i="3"/>
  <c r="G1140" i="3" s="1"/>
  <c r="E1141" i="3"/>
  <c r="K1141" i="3" s="1"/>
  <c r="F1141" i="3"/>
  <c r="G1141" i="3" s="1"/>
  <c r="E1142" i="3"/>
  <c r="K1142" i="3" s="1"/>
  <c r="F1142" i="3"/>
  <c r="G1142" i="3" s="1"/>
  <c r="E1143" i="3"/>
  <c r="K1143" i="3" s="1"/>
  <c r="F1143" i="3"/>
  <c r="G1143" i="3" s="1"/>
  <c r="E1144" i="3"/>
  <c r="K1144" i="3" s="1"/>
  <c r="F1144" i="3"/>
  <c r="G1144" i="3" s="1"/>
  <c r="E1145" i="3"/>
  <c r="K1145" i="3" s="1"/>
  <c r="F1145" i="3"/>
  <c r="H1145" i="3" s="1"/>
  <c r="I1145" i="3" s="1"/>
  <c r="J1145" i="3" s="1"/>
  <c r="E1146" i="3"/>
  <c r="K1146" i="3" s="1"/>
  <c r="F1146" i="3"/>
  <c r="G1146" i="3" s="1"/>
  <c r="E1147" i="3"/>
  <c r="K1147" i="3" s="1"/>
  <c r="F1147" i="3"/>
  <c r="H1147" i="3" s="1"/>
  <c r="I1147" i="3" s="1"/>
  <c r="J1147" i="3" s="1"/>
  <c r="E1148" i="3"/>
  <c r="K1148" i="3" s="1"/>
  <c r="F1148" i="3"/>
  <c r="H1148" i="3" s="1"/>
  <c r="I1148" i="3" s="1"/>
  <c r="J1148" i="3" s="1"/>
  <c r="E1149" i="3"/>
  <c r="K1149" i="3" s="1"/>
  <c r="F1149" i="3"/>
  <c r="G1149" i="3" s="1"/>
  <c r="E1150" i="3"/>
  <c r="K1150" i="3" s="1"/>
  <c r="F1150" i="3"/>
  <c r="G1150" i="3" s="1"/>
  <c r="E1151" i="3"/>
  <c r="K1151" i="3" s="1"/>
  <c r="F1151" i="3"/>
  <c r="H1151" i="3" s="1"/>
  <c r="I1151" i="3" s="1"/>
  <c r="J1151" i="3" s="1"/>
  <c r="E1152" i="3"/>
  <c r="F1152" i="3"/>
  <c r="G1152" i="3" s="1"/>
  <c r="K1152" i="3"/>
  <c r="E1153" i="3"/>
  <c r="K1153" i="3" s="1"/>
  <c r="F1153" i="3"/>
  <c r="G1153" i="3" s="1"/>
  <c r="E1154" i="3"/>
  <c r="K1154" i="3" s="1"/>
  <c r="F1154" i="3"/>
  <c r="G1154" i="3" s="1"/>
  <c r="E1155" i="3"/>
  <c r="F1155" i="3"/>
  <c r="K1155" i="3"/>
  <c r="E1156" i="3"/>
  <c r="K1156" i="3" s="1"/>
  <c r="F1156" i="3"/>
  <c r="G1156" i="3" s="1"/>
  <c r="E1157" i="3"/>
  <c r="K1157" i="3" s="1"/>
  <c r="F1157" i="3"/>
  <c r="G1157" i="3"/>
  <c r="H1157" i="3"/>
  <c r="I1157" i="3" s="1"/>
  <c r="J1157" i="3" s="1"/>
  <c r="E1158" i="3"/>
  <c r="K1158" i="3" s="1"/>
  <c r="F1158" i="3"/>
  <c r="G1158" i="3" s="1"/>
  <c r="E1159" i="3"/>
  <c r="K1159" i="3" s="1"/>
  <c r="F1159" i="3"/>
  <c r="G1159" i="3" s="1"/>
  <c r="E1160" i="3"/>
  <c r="K1160" i="3" s="1"/>
  <c r="F1160" i="3"/>
  <c r="G1160" i="3" s="1"/>
  <c r="E1161" i="3"/>
  <c r="K1161" i="3" s="1"/>
  <c r="F1161" i="3"/>
  <c r="G1161" i="3" s="1"/>
  <c r="E1162" i="3"/>
  <c r="K1162" i="3" s="1"/>
  <c r="F1162" i="3"/>
  <c r="G1162" i="3" s="1"/>
  <c r="E1163" i="3"/>
  <c r="K1163" i="3" s="1"/>
  <c r="F1163" i="3"/>
  <c r="G1163" i="3" s="1"/>
  <c r="E1164" i="3"/>
  <c r="K1164" i="3" s="1"/>
  <c r="F1164" i="3"/>
  <c r="H1164" i="3" s="1"/>
  <c r="I1164" i="3" s="1"/>
  <c r="J1164" i="3" s="1"/>
  <c r="E1165" i="3"/>
  <c r="K1165" i="3" s="1"/>
  <c r="F1165" i="3"/>
  <c r="G1165" i="3" s="1"/>
  <c r="H1165" i="3"/>
  <c r="I1165" i="3" s="1"/>
  <c r="J1165" i="3" s="1"/>
  <c r="E1166" i="3"/>
  <c r="K1166" i="3" s="1"/>
  <c r="F1166" i="3"/>
  <c r="H1166" i="3" s="1"/>
  <c r="I1166" i="3" s="1"/>
  <c r="J1166" i="3" s="1"/>
  <c r="G1166" i="3"/>
  <c r="E1167" i="3"/>
  <c r="K1167" i="3" s="1"/>
  <c r="F1167" i="3"/>
  <c r="G1167" i="3" s="1"/>
  <c r="E1168" i="3"/>
  <c r="K1168" i="3" s="1"/>
  <c r="F1168" i="3"/>
  <c r="H1168" i="3" s="1"/>
  <c r="I1168" i="3" s="1"/>
  <c r="J1168" i="3" s="1"/>
  <c r="E1169" i="3"/>
  <c r="K1169" i="3" s="1"/>
  <c r="F1169" i="3"/>
  <c r="E1170" i="3"/>
  <c r="K1170" i="3" s="1"/>
  <c r="F1170" i="3"/>
  <c r="G1170" i="3" s="1"/>
  <c r="E1171" i="3"/>
  <c r="K1171" i="3" s="1"/>
  <c r="F1171" i="3"/>
  <c r="H1171" i="3" s="1"/>
  <c r="I1171" i="3" s="1"/>
  <c r="J1171" i="3" s="1"/>
  <c r="E1172" i="3"/>
  <c r="K1172" i="3" s="1"/>
  <c r="F1172" i="3"/>
  <c r="G1172" i="3" s="1"/>
  <c r="E1173" i="3"/>
  <c r="K1173" i="3" s="1"/>
  <c r="F1173" i="3"/>
  <c r="G1173" i="3" s="1"/>
  <c r="E1174" i="3"/>
  <c r="K1174" i="3" s="1"/>
  <c r="F1174" i="3"/>
  <c r="G1174" i="3" s="1"/>
  <c r="E1175" i="3"/>
  <c r="K1175" i="3" s="1"/>
  <c r="F1175" i="3"/>
  <c r="G1175" i="3" s="1"/>
  <c r="E1176" i="3"/>
  <c r="K1176" i="3" s="1"/>
  <c r="F1176" i="3"/>
  <c r="E1177" i="3"/>
  <c r="K1177" i="3" s="1"/>
  <c r="F1177" i="3"/>
  <c r="G1177" i="3" s="1"/>
  <c r="E1178" i="3"/>
  <c r="K1178" i="3" s="1"/>
  <c r="F1178" i="3"/>
  <c r="G1178" i="3"/>
  <c r="H1178" i="3"/>
  <c r="I1178" i="3" s="1"/>
  <c r="J1178" i="3"/>
  <c r="E1179" i="3"/>
  <c r="K1179" i="3" s="1"/>
  <c r="F1179" i="3"/>
  <c r="G1179" i="3" s="1"/>
  <c r="H1179" i="3"/>
  <c r="I1179" i="3" s="1"/>
  <c r="J1179" i="3" s="1"/>
  <c r="E1180" i="3"/>
  <c r="K1180" i="3" s="1"/>
  <c r="F1180" i="3"/>
  <c r="H1180" i="3" s="1"/>
  <c r="I1180" i="3" s="1"/>
  <c r="J1180" i="3" s="1"/>
  <c r="E1181" i="3"/>
  <c r="K1181" i="3" s="1"/>
  <c r="F1181" i="3"/>
  <c r="G1181" i="3" s="1"/>
  <c r="E1182" i="3"/>
  <c r="K1182" i="3" s="1"/>
  <c r="F1182" i="3"/>
  <c r="G1182" i="3" s="1"/>
  <c r="E1183" i="3"/>
  <c r="K1183" i="3" s="1"/>
  <c r="F1183" i="3"/>
  <c r="H1183" i="3" s="1"/>
  <c r="I1183" i="3" s="1"/>
  <c r="J1183" i="3" s="1"/>
  <c r="E1184" i="3"/>
  <c r="K1184" i="3" s="1"/>
  <c r="F1184" i="3"/>
  <c r="G1184" i="3" s="1"/>
  <c r="E1185" i="3"/>
  <c r="K1185" i="3" s="1"/>
  <c r="F1185" i="3"/>
  <c r="G1185" i="3"/>
  <c r="H1185" i="3"/>
  <c r="I1185" i="3" s="1"/>
  <c r="J1185" i="3" s="1"/>
  <c r="E1186" i="3"/>
  <c r="K1186" i="3" s="1"/>
  <c r="F1186" i="3"/>
  <c r="E1187" i="3"/>
  <c r="F1187" i="3"/>
  <c r="G1187" i="3" s="1"/>
  <c r="K1187" i="3"/>
  <c r="E1188" i="3"/>
  <c r="K1188" i="3" s="1"/>
  <c r="F1188" i="3"/>
  <c r="H1188" i="3" s="1"/>
  <c r="I1188" i="3" s="1"/>
  <c r="J1188" i="3" s="1"/>
  <c r="E1189" i="3"/>
  <c r="K1189" i="3" s="1"/>
  <c r="F1189" i="3"/>
  <c r="G1189" i="3" s="1"/>
  <c r="E1190" i="3"/>
  <c r="K1190" i="3" s="1"/>
  <c r="F1190" i="3"/>
  <c r="G1190" i="3" s="1"/>
  <c r="H1190" i="3"/>
  <c r="I1190" i="3" s="1"/>
  <c r="J1190" i="3" s="1"/>
  <c r="E1191" i="3"/>
  <c r="K1191" i="3" s="1"/>
  <c r="F1191" i="3"/>
  <c r="G1191" i="3" s="1"/>
  <c r="E1192" i="3"/>
  <c r="K1192" i="3" s="1"/>
  <c r="F1192" i="3"/>
  <c r="G1192" i="3" s="1"/>
  <c r="E1193" i="3"/>
  <c r="K1193" i="3" s="1"/>
  <c r="F1193" i="3"/>
  <c r="G1193" i="3" s="1"/>
  <c r="E1194" i="3"/>
  <c r="K1194" i="3" s="1"/>
  <c r="F1194" i="3"/>
  <c r="G1194" i="3" s="1"/>
  <c r="E1195" i="3"/>
  <c r="K1195" i="3" s="1"/>
  <c r="F1195" i="3"/>
  <c r="H1195" i="3" s="1"/>
  <c r="I1195" i="3" s="1"/>
  <c r="J1195" i="3" s="1"/>
  <c r="E1196" i="3"/>
  <c r="K1196" i="3" s="1"/>
  <c r="F1196" i="3"/>
  <c r="H1196" i="3" s="1"/>
  <c r="I1196" i="3" s="1"/>
  <c r="J1196" i="3" s="1"/>
  <c r="G1196" i="3"/>
  <c r="E1197" i="3"/>
  <c r="K1197" i="3" s="1"/>
  <c r="F1197" i="3"/>
  <c r="G1197" i="3" s="1"/>
  <c r="E1198" i="3"/>
  <c r="K1198" i="3" s="1"/>
  <c r="F1198" i="3"/>
  <c r="G1198" i="3" s="1"/>
  <c r="E1199" i="3"/>
  <c r="K1199" i="3" s="1"/>
  <c r="F1199" i="3"/>
  <c r="G1199" i="3" s="1"/>
  <c r="H1199" i="3"/>
  <c r="I1199" i="3" s="1"/>
  <c r="J1199" i="3" s="1"/>
  <c r="E1200" i="3"/>
  <c r="K1200" i="3" s="1"/>
  <c r="F1200" i="3"/>
  <c r="E1201" i="3"/>
  <c r="K1201" i="3" s="1"/>
  <c r="F1201" i="3"/>
  <c r="G1201" i="3" s="1"/>
  <c r="E1202" i="3"/>
  <c r="F1202" i="3"/>
  <c r="G1202" i="3" s="1"/>
  <c r="H1202" i="3"/>
  <c r="I1202" i="3" s="1"/>
  <c r="J1202" i="3" s="1"/>
  <c r="K1202" i="3"/>
  <c r="E1203" i="3"/>
  <c r="K1203" i="3" s="1"/>
  <c r="F1203" i="3"/>
  <c r="H1203" i="3" s="1"/>
  <c r="I1203" i="3" s="1"/>
  <c r="J1203" i="3" s="1"/>
  <c r="E1204" i="3"/>
  <c r="K1204" i="3" s="1"/>
  <c r="F1204" i="3"/>
  <c r="G1204" i="3" s="1"/>
  <c r="H1204" i="3"/>
  <c r="I1204" i="3" s="1"/>
  <c r="J1204" i="3" s="1"/>
  <c r="E1205" i="3"/>
  <c r="K1205" i="3" s="1"/>
  <c r="F1205" i="3"/>
  <c r="G1205" i="3" s="1"/>
  <c r="E1206" i="3"/>
  <c r="K1206" i="3" s="1"/>
  <c r="F1206" i="3"/>
  <c r="G1206" i="3" s="1"/>
  <c r="E1207" i="3"/>
  <c r="K1207" i="3" s="1"/>
  <c r="F1207" i="3"/>
  <c r="G1207" i="3" s="1"/>
  <c r="E1208" i="3"/>
  <c r="K1208" i="3" s="1"/>
  <c r="F1208" i="3"/>
  <c r="G1208" i="3" s="1"/>
  <c r="E1209" i="3"/>
  <c r="K1209" i="3" s="1"/>
  <c r="F1209" i="3"/>
  <c r="H1209" i="3" s="1"/>
  <c r="I1209" i="3" s="1"/>
  <c r="J1209" i="3" s="1"/>
  <c r="E1210" i="3"/>
  <c r="K1210" i="3" s="1"/>
  <c r="F1210" i="3"/>
  <c r="G1210" i="3" s="1"/>
  <c r="H1210" i="3"/>
  <c r="I1210" i="3" s="1"/>
  <c r="J1210" i="3" s="1"/>
  <c r="E1211" i="3"/>
  <c r="K1211" i="3" s="1"/>
  <c r="F1211" i="3"/>
  <c r="G1211" i="3" s="1"/>
  <c r="H1211" i="3"/>
  <c r="I1211" i="3" s="1"/>
  <c r="J1211" i="3" s="1"/>
  <c r="E1212" i="3"/>
  <c r="K1212" i="3" s="1"/>
  <c r="F1212" i="3"/>
  <c r="G1212" i="3" s="1"/>
  <c r="H1212" i="3"/>
  <c r="I1212" i="3" s="1"/>
  <c r="J1212" i="3" s="1"/>
  <c r="E1213" i="3"/>
  <c r="K1213" i="3" s="1"/>
  <c r="F1213" i="3"/>
  <c r="G1213" i="3" s="1"/>
  <c r="E1214" i="3"/>
  <c r="K1214" i="3" s="1"/>
  <c r="F1214" i="3"/>
  <c r="G1214" i="3" s="1"/>
  <c r="E1215" i="3"/>
  <c r="K1215" i="3" s="1"/>
  <c r="F1215" i="3"/>
  <c r="G1215" i="3" s="1"/>
  <c r="E1216" i="3"/>
  <c r="K1216" i="3" s="1"/>
  <c r="F1216" i="3"/>
  <c r="G1216" i="3" s="1"/>
  <c r="E1217" i="3"/>
  <c r="K1217" i="3" s="1"/>
  <c r="F1217" i="3"/>
  <c r="G1217" i="3" s="1"/>
  <c r="E1218" i="3"/>
  <c r="K1218" i="3" s="1"/>
  <c r="F1218" i="3"/>
  <c r="H1218" i="3" s="1"/>
  <c r="I1218" i="3" s="1"/>
  <c r="J1218" i="3" s="1"/>
  <c r="E1219" i="3"/>
  <c r="K1219" i="3" s="1"/>
  <c r="F1219" i="3"/>
  <c r="E1220" i="3"/>
  <c r="K1220" i="3" s="1"/>
  <c r="F1220" i="3"/>
  <c r="G1220" i="3" s="1"/>
  <c r="E1221" i="3"/>
  <c r="K1221" i="3" s="1"/>
  <c r="F1221" i="3"/>
  <c r="H1221" i="3" s="1"/>
  <c r="I1221" i="3" s="1"/>
  <c r="J1221" i="3" s="1"/>
  <c r="E1222" i="3"/>
  <c r="K1222" i="3" s="1"/>
  <c r="F1222" i="3"/>
  <c r="G1222" i="3" s="1"/>
  <c r="E1223" i="3"/>
  <c r="K1223" i="3" s="1"/>
  <c r="F1223" i="3"/>
  <c r="G1223" i="3" s="1"/>
  <c r="E1224" i="3"/>
  <c r="K1224" i="3" s="1"/>
  <c r="F1224" i="3"/>
  <c r="G1224" i="3" s="1"/>
  <c r="E1225" i="3"/>
  <c r="K1225" i="3" s="1"/>
  <c r="F1225" i="3"/>
  <c r="G1225" i="3" s="1"/>
  <c r="E1226" i="3"/>
  <c r="K1226" i="3" s="1"/>
  <c r="F1226" i="3"/>
  <c r="G1226" i="3" s="1"/>
  <c r="E1227" i="3"/>
  <c r="K1227" i="3" s="1"/>
  <c r="F1227" i="3"/>
  <c r="G1227" i="3" s="1"/>
  <c r="E1228" i="3"/>
  <c r="F1228" i="3"/>
  <c r="H1228" i="3" s="1"/>
  <c r="I1228" i="3" s="1"/>
  <c r="J1228" i="3" s="1"/>
  <c r="K1228" i="3"/>
  <c r="E1229" i="3"/>
  <c r="K1229" i="3" s="1"/>
  <c r="F1229" i="3"/>
  <c r="G1229" i="3" s="1"/>
  <c r="H1229" i="3"/>
  <c r="I1229" i="3" s="1"/>
  <c r="J1229" i="3" s="1"/>
  <c r="E1230" i="3"/>
  <c r="K1230" i="3" s="1"/>
  <c r="F1230" i="3"/>
  <c r="G1230" i="3" s="1"/>
  <c r="E1231" i="3"/>
  <c r="K1231" i="3" s="1"/>
  <c r="F1231" i="3"/>
  <c r="G1231" i="3" s="1"/>
  <c r="E1232" i="3"/>
  <c r="K1232" i="3" s="1"/>
  <c r="F1232" i="3"/>
  <c r="H1232" i="3" s="1"/>
  <c r="I1232" i="3" s="1"/>
  <c r="J1232" i="3" s="1"/>
  <c r="E1233" i="3"/>
  <c r="K1233" i="3" s="1"/>
  <c r="F1233" i="3"/>
  <c r="H1233" i="3" s="1"/>
  <c r="I1233" i="3"/>
  <c r="J1233" i="3" s="1"/>
  <c r="E1234" i="3"/>
  <c r="K1234" i="3" s="1"/>
  <c r="F1234" i="3"/>
  <c r="G1234" i="3" s="1"/>
  <c r="E1235" i="3"/>
  <c r="K1235" i="3" s="1"/>
  <c r="F1235" i="3"/>
  <c r="G1235" i="3" s="1"/>
  <c r="E1236" i="3"/>
  <c r="K1236" i="3" s="1"/>
  <c r="F1236" i="3"/>
  <c r="H1236" i="3" s="1"/>
  <c r="I1236" i="3" s="1"/>
  <c r="J1236" i="3" s="1"/>
  <c r="G1236" i="3"/>
  <c r="E1237" i="3"/>
  <c r="K1237" i="3" s="1"/>
  <c r="F1237" i="3"/>
  <c r="H1237" i="3" s="1"/>
  <c r="I1237" i="3" s="1"/>
  <c r="J1237" i="3" s="1"/>
  <c r="E1238" i="3"/>
  <c r="F1238" i="3"/>
  <c r="G1238" i="3" s="1"/>
  <c r="K1238" i="3"/>
  <c r="E1239" i="3"/>
  <c r="K1239" i="3" s="1"/>
  <c r="F1239" i="3"/>
  <c r="G1239" i="3" s="1"/>
  <c r="E1240" i="3"/>
  <c r="K1240" i="3" s="1"/>
  <c r="F1240" i="3"/>
  <c r="E1241" i="3"/>
  <c r="K1241" i="3" s="1"/>
  <c r="F1241" i="3"/>
  <c r="G1241" i="3" s="1"/>
  <c r="H1241" i="3"/>
  <c r="I1241" i="3" s="1"/>
  <c r="J1241" i="3" s="1"/>
  <c r="E1242" i="3"/>
  <c r="K1242" i="3" s="1"/>
  <c r="F1242" i="3"/>
  <c r="G1242" i="3"/>
  <c r="H1242" i="3"/>
  <c r="I1242" i="3" s="1"/>
  <c r="J1242" i="3" s="1"/>
  <c r="E1243" i="3"/>
  <c r="K1243" i="3" s="1"/>
  <c r="F1243" i="3"/>
  <c r="G1243" i="3" s="1"/>
  <c r="E1244" i="3"/>
  <c r="K1244" i="3" s="1"/>
  <c r="F1244" i="3"/>
  <c r="G1244" i="3" s="1"/>
  <c r="E1245" i="3"/>
  <c r="K1245" i="3" s="1"/>
  <c r="F1245" i="3"/>
  <c r="G1245" i="3" s="1"/>
  <c r="H1245" i="3"/>
  <c r="I1245" i="3" s="1"/>
  <c r="J1245" i="3" s="1"/>
  <c r="E1246" i="3"/>
  <c r="K1246" i="3" s="1"/>
  <c r="F1246" i="3"/>
  <c r="G1246" i="3" s="1"/>
  <c r="E1247" i="3"/>
  <c r="K1247" i="3" s="1"/>
  <c r="F1247" i="3"/>
  <c r="H1247" i="3" s="1"/>
  <c r="I1247" i="3" s="1"/>
  <c r="J1247" i="3" s="1"/>
  <c r="E1248" i="3"/>
  <c r="K1248" i="3" s="1"/>
  <c r="F1248" i="3"/>
  <c r="G1248" i="3" s="1"/>
  <c r="E1249" i="3"/>
  <c r="K1249" i="3" s="1"/>
  <c r="F1249" i="3"/>
  <c r="H1249" i="3" s="1"/>
  <c r="I1249" i="3" s="1"/>
  <c r="J1249" i="3" s="1"/>
  <c r="E1250" i="3"/>
  <c r="K1250" i="3" s="1"/>
  <c r="F1250" i="3"/>
  <c r="E1251" i="3"/>
  <c r="K1251" i="3" s="1"/>
  <c r="F1251" i="3"/>
  <c r="G1251" i="3" s="1"/>
  <c r="E1252" i="3"/>
  <c r="K1252" i="3" s="1"/>
  <c r="F1252" i="3"/>
  <c r="H1252" i="3" s="1"/>
  <c r="I1252" i="3" s="1"/>
  <c r="J1252" i="3" s="1"/>
  <c r="E1253" i="3"/>
  <c r="K1253" i="3" s="1"/>
  <c r="F1253" i="3"/>
  <c r="G1253" i="3" s="1"/>
  <c r="H1253" i="3"/>
  <c r="I1253" i="3" s="1"/>
  <c r="J1253" i="3" s="1"/>
  <c r="E1254" i="3"/>
  <c r="K1254" i="3" s="1"/>
  <c r="F1254" i="3"/>
  <c r="G1254" i="3" s="1"/>
  <c r="E1255" i="3"/>
  <c r="K1255" i="3" s="1"/>
  <c r="F1255" i="3"/>
  <c r="G1255" i="3" s="1"/>
  <c r="E1256" i="3"/>
  <c r="K1256" i="3" s="1"/>
  <c r="F1256" i="3"/>
  <c r="G1256" i="3" s="1"/>
  <c r="E1257" i="3"/>
  <c r="K1257" i="3" s="1"/>
  <c r="F1257" i="3"/>
  <c r="G1257" i="3" s="1"/>
  <c r="E1258" i="3"/>
  <c r="K1258" i="3" s="1"/>
  <c r="F1258" i="3"/>
  <c r="G1258" i="3" s="1"/>
  <c r="E1259" i="3"/>
  <c r="K1259" i="3" s="1"/>
  <c r="F1259" i="3"/>
  <c r="H1259" i="3" s="1"/>
  <c r="I1259" i="3" s="1"/>
  <c r="J1259" i="3" s="1"/>
  <c r="E1260" i="3"/>
  <c r="F1260" i="3"/>
  <c r="G1260" i="3" s="1"/>
  <c r="K1260" i="3"/>
  <c r="E1261" i="3"/>
  <c r="K1261" i="3" s="1"/>
  <c r="F1261" i="3"/>
  <c r="G1261" i="3" s="1"/>
  <c r="E1262" i="3"/>
  <c r="K1262" i="3" s="1"/>
  <c r="F1262" i="3"/>
  <c r="G1262" i="3" s="1"/>
  <c r="H1262" i="3"/>
  <c r="I1262" i="3" s="1"/>
  <c r="J1262" i="3" s="1"/>
  <c r="E1263" i="3"/>
  <c r="K1263" i="3" s="1"/>
  <c r="F1263" i="3"/>
  <c r="G1263" i="3"/>
  <c r="H1263" i="3"/>
  <c r="I1263" i="3" s="1"/>
  <c r="J1263" i="3" s="1"/>
  <c r="E1264" i="3"/>
  <c r="K1264" i="3" s="1"/>
  <c r="F1264" i="3"/>
  <c r="E1265" i="3"/>
  <c r="K1265" i="3" s="1"/>
  <c r="F1265" i="3"/>
  <c r="G1265" i="3" s="1"/>
  <c r="E1266" i="3"/>
  <c r="K1266" i="3" s="1"/>
  <c r="F1266" i="3"/>
  <c r="G1266" i="3" s="1"/>
  <c r="E1267" i="3"/>
  <c r="K1267" i="3" s="1"/>
  <c r="F1267" i="3"/>
  <c r="H1267" i="3" s="1"/>
  <c r="I1267" i="3" s="1"/>
  <c r="J1267" i="3" s="1"/>
  <c r="E1268" i="3"/>
  <c r="K1268" i="3" s="1"/>
  <c r="F1268" i="3"/>
  <c r="G1268" i="3" s="1"/>
  <c r="E1269" i="3"/>
  <c r="F1269" i="3"/>
  <c r="G1269" i="3" s="1"/>
  <c r="K1269" i="3"/>
  <c r="E1270" i="3"/>
  <c r="F1270" i="3"/>
  <c r="G1270" i="3" s="1"/>
  <c r="K1270" i="3"/>
  <c r="E1271" i="3"/>
  <c r="K1271" i="3" s="1"/>
  <c r="F1271" i="3"/>
  <c r="G1271" i="3" s="1"/>
  <c r="E1272" i="3"/>
  <c r="K1272" i="3" s="1"/>
  <c r="F1272" i="3"/>
  <c r="G1272" i="3" s="1"/>
  <c r="E1273" i="3"/>
  <c r="K1273" i="3" s="1"/>
  <c r="F1273" i="3"/>
  <c r="H1273" i="3" s="1"/>
  <c r="I1273" i="3" s="1"/>
  <c r="J1273" i="3" s="1"/>
  <c r="E1274" i="3"/>
  <c r="K1274" i="3" s="1"/>
  <c r="F1274" i="3"/>
  <c r="G1274" i="3" s="1"/>
  <c r="E1275" i="3"/>
  <c r="K1275" i="3" s="1"/>
  <c r="F1275" i="3"/>
  <c r="G1275" i="3" s="1"/>
  <c r="E1276" i="3"/>
  <c r="K1276" i="3" s="1"/>
  <c r="F1276" i="3"/>
  <c r="H1276" i="3" s="1"/>
  <c r="I1276" i="3" s="1"/>
  <c r="J1276" i="3" s="1"/>
  <c r="E1277" i="3"/>
  <c r="F1277" i="3"/>
  <c r="G1277" i="3" s="1"/>
  <c r="K1277" i="3"/>
  <c r="E1278" i="3"/>
  <c r="F1278" i="3"/>
  <c r="G1278" i="3" s="1"/>
  <c r="K1278" i="3"/>
  <c r="E1279" i="3"/>
  <c r="K1279" i="3" s="1"/>
  <c r="F1279" i="3"/>
  <c r="H1279" i="3" s="1"/>
  <c r="I1279" i="3" s="1"/>
  <c r="J1279" i="3" s="1"/>
  <c r="E1280" i="3"/>
  <c r="K1280" i="3" s="1"/>
  <c r="F1280" i="3"/>
  <c r="G1280" i="3" s="1"/>
  <c r="E1281" i="3"/>
  <c r="K1281" i="3" s="1"/>
  <c r="F1281" i="3"/>
  <c r="H1281" i="3" s="1"/>
  <c r="I1281" i="3" s="1"/>
  <c r="J1281" i="3" s="1"/>
  <c r="E1282" i="3"/>
  <c r="K1282" i="3" s="1"/>
  <c r="F1282" i="3"/>
  <c r="G1282" i="3" s="1"/>
  <c r="E1283" i="3"/>
  <c r="F1283" i="3"/>
  <c r="K1283" i="3"/>
  <c r="E1284" i="3"/>
  <c r="K1284" i="3" s="1"/>
  <c r="F1284" i="3"/>
  <c r="G1284" i="3" s="1"/>
  <c r="E1285" i="3"/>
  <c r="K1285" i="3" s="1"/>
  <c r="F1285" i="3"/>
  <c r="G1285" i="3" s="1"/>
  <c r="E1286" i="3"/>
  <c r="K1286" i="3" s="1"/>
  <c r="F1286" i="3"/>
  <c r="G1286" i="3" s="1"/>
  <c r="E1287" i="3"/>
  <c r="K1287" i="3" s="1"/>
  <c r="F1287" i="3"/>
  <c r="G1287" i="3" s="1"/>
  <c r="E1288" i="3"/>
  <c r="K1288" i="3" s="1"/>
  <c r="F1288" i="3"/>
  <c r="G1288" i="3" s="1"/>
  <c r="E1289" i="3"/>
  <c r="K1289" i="3" s="1"/>
  <c r="F1289" i="3"/>
  <c r="G1289" i="3" s="1"/>
  <c r="E1290" i="3"/>
  <c r="K1290" i="3" s="1"/>
  <c r="F1290" i="3"/>
  <c r="G1290" i="3" s="1"/>
  <c r="E1291" i="3"/>
  <c r="K1291" i="3" s="1"/>
  <c r="F1291" i="3"/>
  <c r="G1291" i="3" s="1"/>
  <c r="E1292" i="3"/>
  <c r="K1292" i="3" s="1"/>
  <c r="F1292" i="3"/>
  <c r="H1292" i="3" s="1"/>
  <c r="I1292" i="3" s="1"/>
  <c r="J1292" i="3" s="1"/>
  <c r="E1293" i="3"/>
  <c r="K1293" i="3" s="1"/>
  <c r="F1293" i="3"/>
  <c r="G1293" i="3" s="1"/>
  <c r="E1294" i="3"/>
  <c r="K1294" i="3" s="1"/>
  <c r="F1294" i="3"/>
  <c r="H1294" i="3" s="1"/>
  <c r="I1294" i="3" s="1"/>
  <c r="J1294" i="3" s="1"/>
  <c r="E1295" i="3"/>
  <c r="K1295" i="3" s="1"/>
  <c r="F1295" i="3"/>
  <c r="G1295" i="3" s="1"/>
  <c r="E1296" i="3"/>
  <c r="K1296" i="3" s="1"/>
  <c r="F1296" i="3"/>
  <c r="H1296" i="3" s="1"/>
  <c r="I1296" i="3" s="1"/>
  <c r="J1296" i="3" s="1"/>
  <c r="G1296" i="3"/>
  <c r="E1297" i="3"/>
  <c r="F1297" i="3"/>
  <c r="H1297" i="3" s="1"/>
  <c r="I1297" i="3" s="1"/>
  <c r="J1297" i="3" s="1"/>
  <c r="K1297" i="3"/>
  <c r="E1298" i="3"/>
  <c r="K1298" i="3" s="1"/>
  <c r="F1298" i="3"/>
  <c r="H1298" i="3" s="1"/>
  <c r="I1298" i="3" s="1"/>
  <c r="J1298" i="3" s="1"/>
  <c r="E1299" i="3"/>
  <c r="K1299" i="3" s="1"/>
  <c r="F1299" i="3"/>
  <c r="H1299" i="3" s="1"/>
  <c r="I1299" i="3" s="1"/>
  <c r="J1299" i="3" s="1"/>
  <c r="G1299" i="3"/>
  <c r="E1300" i="3"/>
  <c r="K1300" i="3" s="1"/>
  <c r="F1300" i="3"/>
  <c r="H1300" i="3" s="1"/>
  <c r="I1300" i="3" s="1"/>
  <c r="J1300" i="3" s="1"/>
  <c r="E1301" i="3"/>
  <c r="K1301" i="3" s="1"/>
  <c r="F1301" i="3"/>
  <c r="G1301" i="3" s="1"/>
  <c r="E1302" i="3"/>
  <c r="K1302" i="3" s="1"/>
  <c r="F1302" i="3"/>
  <c r="G1302" i="3" s="1"/>
  <c r="E1303" i="3"/>
  <c r="K1303" i="3" s="1"/>
  <c r="F1303" i="3"/>
  <c r="H1303" i="3" s="1"/>
  <c r="I1303" i="3" s="1"/>
  <c r="J1303" i="3" s="1"/>
  <c r="E1304" i="3"/>
  <c r="K1304" i="3" s="1"/>
  <c r="F1304" i="3"/>
  <c r="E1305" i="3"/>
  <c r="K1305" i="3" s="1"/>
  <c r="F1305" i="3"/>
  <c r="G1305" i="3" s="1"/>
  <c r="E1306" i="3"/>
  <c r="K1306" i="3" s="1"/>
  <c r="F1306" i="3"/>
  <c r="H1306" i="3" s="1"/>
  <c r="I1306" i="3" s="1"/>
  <c r="J1306" i="3" s="1"/>
  <c r="G1306" i="3"/>
  <c r="E1307" i="3"/>
  <c r="K1307" i="3" s="1"/>
  <c r="F1307" i="3"/>
  <c r="G1307" i="3" s="1"/>
  <c r="E1308" i="3"/>
  <c r="K1308" i="3" s="1"/>
  <c r="F1308" i="3"/>
  <c r="G1308" i="3" s="1"/>
  <c r="E1309" i="3"/>
  <c r="F1309" i="3"/>
  <c r="G1309" i="3" s="1"/>
  <c r="K1309" i="3"/>
  <c r="E1310" i="3"/>
  <c r="K1310" i="3" s="1"/>
  <c r="F1310" i="3"/>
  <c r="G1310" i="3"/>
  <c r="H1310" i="3"/>
  <c r="I1310" i="3" s="1"/>
  <c r="J1310" i="3" s="1"/>
  <c r="E1311" i="3"/>
  <c r="F1311" i="3"/>
  <c r="G1311" i="3" s="1"/>
  <c r="K1311" i="3"/>
  <c r="E1312" i="3"/>
  <c r="K1312" i="3" s="1"/>
  <c r="F1312" i="3"/>
  <c r="G1312" i="3" s="1"/>
  <c r="E1313" i="3"/>
  <c r="K1313" i="3" s="1"/>
  <c r="F1313" i="3"/>
  <c r="G1313" i="3" s="1"/>
  <c r="H1313" i="3"/>
  <c r="I1313" i="3" s="1"/>
  <c r="J1313" i="3" s="1"/>
  <c r="E1314" i="3"/>
  <c r="K1314" i="3" s="1"/>
  <c r="F1314" i="3"/>
  <c r="E1315" i="3"/>
  <c r="K1315" i="3" s="1"/>
  <c r="F1315" i="3"/>
  <c r="G1315" i="3" s="1"/>
  <c r="E1316" i="3"/>
  <c r="K1316" i="3" s="1"/>
  <c r="F1316" i="3"/>
  <c r="H1316" i="3" s="1"/>
  <c r="I1316" i="3" s="1"/>
  <c r="J1316" i="3" s="1"/>
  <c r="E1317" i="3"/>
  <c r="K1317" i="3" s="1"/>
  <c r="F1317" i="3"/>
  <c r="G1317" i="3" s="1"/>
  <c r="E1318" i="3"/>
  <c r="K1318" i="3" s="1"/>
  <c r="F1318" i="3"/>
  <c r="G1318" i="3" s="1"/>
  <c r="E1319" i="3"/>
  <c r="K1319" i="3" s="1"/>
  <c r="F1319" i="3"/>
  <c r="G1319" i="3" s="1"/>
  <c r="H1319" i="3"/>
  <c r="I1319" i="3" s="1"/>
  <c r="J1319" i="3" s="1"/>
  <c r="E1320" i="3"/>
  <c r="K1320" i="3" s="1"/>
  <c r="F1320" i="3"/>
  <c r="G1320" i="3" s="1"/>
  <c r="E1321" i="3"/>
  <c r="K1321" i="3" s="1"/>
  <c r="F1321" i="3"/>
  <c r="G1321" i="3" s="1"/>
  <c r="E1322" i="3"/>
  <c r="K1322" i="3" s="1"/>
  <c r="F1322" i="3"/>
  <c r="G1322" i="3" s="1"/>
  <c r="E1323" i="3"/>
  <c r="K1323" i="3" s="1"/>
  <c r="F1323" i="3"/>
  <c r="H1323" i="3" s="1"/>
  <c r="I1323" i="3" s="1"/>
  <c r="J1323" i="3" s="1"/>
  <c r="E1324" i="3"/>
  <c r="K1324" i="3" s="1"/>
  <c r="F1324" i="3"/>
  <c r="H1324" i="3" s="1"/>
  <c r="G1324" i="3"/>
  <c r="I1324" i="3"/>
  <c r="J1324" i="3" s="1"/>
  <c r="E1325" i="3"/>
  <c r="K1325" i="3" s="1"/>
  <c r="F1325" i="3"/>
  <c r="G1325" i="3" s="1"/>
  <c r="E1326" i="3"/>
  <c r="K1326" i="3" s="1"/>
  <c r="F1326" i="3"/>
  <c r="G1326" i="3" s="1"/>
  <c r="E1327" i="3"/>
  <c r="K1327" i="3" s="1"/>
  <c r="F1327" i="3"/>
  <c r="H1327" i="3" s="1"/>
  <c r="I1327" i="3" s="1"/>
  <c r="J1327" i="3" s="1"/>
  <c r="G1327" i="3"/>
  <c r="E1328" i="3"/>
  <c r="K1328" i="3" s="1"/>
  <c r="F1328" i="3"/>
  <c r="E1329" i="3"/>
  <c r="F1329" i="3"/>
  <c r="G1329" i="3" s="1"/>
  <c r="K1329" i="3"/>
  <c r="E1330" i="3"/>
  <c r="K1330" i="3" s="1"/>
  <c r="F1330" i="3"/>
  <c r="G1330" i="3" s="1"/>
  <c r="E1331" i="3"/>
  <c r="K1331" i="3" s="1"/>
  <c r="F1331" i="3"/>
  <c r="H1331" i="3" s="1"/>
  <c r="I1331" i="3" s="1"/>
  <c r="J1331" i="3" s="1"/>
  <c r="E1332" i="3"/>
  <c r="F1332" i="3"/>
  <c r="G1332" i="3" s="1"/>
  <c r="K1332" i="3"/>
  <c r="E1333" i="3"/>
  <c r="K1333" i="3" s="1"/>
  <c r="F1333" i="3"/>
  <c r="H1333" i="3" s="1"/>
  <c r="I1333" i="3" s="1"/>
  <c r="J1333" i="3" s="1"/>
  <c r="E1334" i="3"/>
  <c r="K1334" i="3" s="1"/>
  <c r="F1334" i="3"/>
  <c r="G1334" i="3" s="1"/>
  <c r="E1335" i="3"/>
  <c r="K1335" i="3" s="1"/>
  <c r="F1335" i="3"/>
  <c r="G1335" i="3" s="1"/>
  <c r="E1336" i="3"/>
  <c r="K1336" i="3" s="1"/>
  <c r="F1336" i="3"/>
  <c r="G1336" i="3" s="1"/>
  <c r="E1337" i="3"/>
  <c r="K1337" i="3" s="1"/>
  <c r="F1337" i="3"/>
  <c r="H1337" i="3" s="1"/>
  <c r="I1337" i="3" s="1"/>
  <c r="J1337" i="3" s="1"/>
  <c r="E1338" i="3"/>
  <c r="K1338" i="3" s="1"/>
  <c r="F1338" i="3"/>
  <c r="G1338" i="3" s="1"/>
  <c r="E1339" i="3"/>
  <c r="K1339" i="3" s="1"/>
  <c r="F1339" i="3"/>
  <c r="G1339" i="3" s="1"/>
  <c r="E1340" i="3"/>
  <c r="K1340" i="3" s="1"/>
  <c r="F1340" i="3"/>
  <c r="G1340" i="3" s="1"/>
  <c r="H1340" i="3"/>
  <c r="I1340" i="3" s="1"/>
  <c r="J1340" i="3" s="1"/>
  <c r="E1341" i="3"/>
  <c r="K1341" i="3" s="1"/>
  <c r="F1341" i="3"/>
  <c r="G1341" i="3" s="1"/>
  <c r="E1342" i="3"/>
  <c r="K1342" i="3" s="1"/>
  <c r="F1342" i="3"/>
  <c r="G1342" i="3" s="1"/>
  <c r="E1343" i="3"/>
  <c r="K1343" i="3" s="1"/>
  <c r="F1343" i="3"/>
  <c r="H1343" i="3" s="1"/>
  <c r="I1343" i="3" s="1"/>
  <c r="J1343" i="3" s="1"/>
  <c r="E1344" i="3"/>
  <c r="K1344" i="3" s="1"/>
  <c r="F1344" i="3"/>
  <c r="G1344" i="3" s="1"/>
  <c r="E1345" i="3"/>
  <c r="K1345" i="3" s="1"/>
  <c r="F1345" i="3"/>
  <c r="G1345" i="3" s="1"/>
  <c r="E1346" i="3"/>
  <c r="K1346" i="3" s="1"/>
  <c r="F1346" i="3"/>
  <c r="H1346" i="3" s="1"/>
  <c r="I1346" i="3" s="1"/>
  <c r="J1346" i="3" s="1"/>
  <c r="G1346" i="3"/>
  <c r="E1347" i="3"/>
  <c r="K1347" i="3" s="1"/>
  <c r="F1347" i="3"/>
  <c r="E1348" i="3"/>
  <c r="K1348" i="3" s="1"/>
  <c r="F1348" i="3"/>
  <c r="G1348" i="3" s="1"/>
  <c r="E1349" i="3"/>
  <c r="K1349" i="3" s="1"/>
  <c r="F1349" i="3"/>
  <c r="G1349" i="3" s="1"/>
  <c r="E1350" i="3"/>
  <c r="K1350" i="3" s="1"/>
  <c r="F1350" i="3"/>
  <c r="G1350" i="3" s="1"/>
  <c r="E1351" i="3"/>
  <c r="F1351" i="3"/>
  <c r="K1351" i="3"/>
  <c r="E1352" i="3"/>
  <c r="K1352" i="3" s="1"/>
  <c r="F1352" i="3"/>
  <c r="G1352" i="3" s="1"/>
  <c r="E1353" i="3"/>
  <c r="K1353" i="3" s="1"/>
  <c r="F1353" i="3"/>
  <c r="G1353" i="3" s="1"/>
  <c r="E1354" i="3"/>
  <c r="K1354" i="3" s="1"/>
  <c r="F1354" i="3"/>
  <c r="G1354" i="3" s="1"/>
  <c r="E1355" i="3"/>
  <c r="K1355" i="3" s="1"/>
  <c r="F1355" i="3"/>
  <c r="G1355" i="3" s="1"/>
  <c r="E1356" i="3"/>
  <c r="F1356" i="3"/>
  <c r="H1356" i="3" s="1"/>
  <c r="I1356" i="3" s="1"/>
  <c r="J1356" i="3" s="1"/>
  <c r="G1356" i="3"/>
  <c r="K1356" i="3"/>
  <c r="E1357" i="3"/>
  <c r="K1357" i="3" s="1"/>
  <c r="F1357" i="3"/>
  <c r="G1357" i="3" s="1"/>
  <c r="E1358" i="3"/>
  <c r="K1358" i="3" s="1"/>
  <c r="F1358" i="3"/>
  <c r="G1358" i="3" s="1"/>
  <c r="E1359" i="3"/>
  <c r="K1359" i="3" s="1"/>
  <c r="F1359" i="3"/>
  <c r="G1359" i="3" s="1"/>
  <c r="E1360" i="3"/>
  <c r="K1360" i="3" s="1"/>
  <c r="F1360" i="3"/>
  <c r="H1360" i="3" s="1"/>
  <c r="I1360" i="3" s="1"/>
  <c r="J1360" i="3" s="1"/>
  <c r="E1361" i="3"/>
  <c r="K1361" i="3" s="1"/>
  <c r="F1361" i="3"/>
  <c r="H1361" i="3" s="1"/>
  <c r="I1361" i="3"/>
  <c r="J1361" i="3" s="1"/>
  <c r="E1362" i="3"/>
  <c r="F1362" i="3"/>
  <c r="G1362" i="3" s="1"/>
  <c r="H1362" i="3"/>
  <c r="I1362" i="3" s="1"/>
  <c r="J1362" i="3" s="1"/>
  <c r="K1362" i="3"/>
  <c r="E1363" i="3"/>
  <c r="K1363" i="3" s="1"/>
  <c r="F1363" i="3"/>
  <c r="G1363" i="3" s="1"/>
  <c r="E1364" i="3"/>
  <c r="K1364" i="3" s="1"/>
  <c r="F1364" i="3"/>
  <c r="G1364" i="3" s="1"/>
  <c r="E1365" i="3"/>
  <c r="K1365" i="3" s="1"/>
  <c r="F1365" i="3"/>
  <c r="G1365" i="3" s="1"/>
  <c r="H1365" i="3"/>
  <c r="I1365" i="3" s="1"/>
  <c r="J1365" i="3" s="1"/>
  <c r="E1366" i="3"/>
  <c r="K1366" i="3" s="1"/>
  <c r="F1366" i="3"/>
  <c r="G1366" i="3" s="1"/>
  <c r="E1367" i="3"/>
  <c r="K1367" i="3" s="1"/>
  <c r="F1367" i="3"/>
  <c r="G1367" i="3" s="1"/>
  <c r="E1368" i="3"/>
  <c r="K1368" i="3" s="1"/>
  <c r="F1368" i="3"/>
  <c r="E1369" i="3"/>
  <c r="K1369" i="3" s="1"/>
  <c r="F1369" i="3"/>
  <c r="G1369" i="3" s="1"/>
  <c r="E1370" i="3"/>
  <c r="K1370" i="3" s="1"/>
  <c r="F1370" i="3"/>
  <c r="G1370" i="3" s="1"/>
  <c r="E1371" i="3"/>
  <c r="K1371" i="3" s="1"/>
  <c r="F1371" i="3"/>
  <c r="G1371" i="3" s="1"/>
  <c r="E1372" i="3"/>
  <c r="K1372" i="3" s="1"/>
  <c r="F1372" i="3"/>
  <c r="H1372" i="3" s="1"/>
  <c r="I1372" i="3" s="1"/>
  <c r="J1372" i="3" s="1"/>
  <c r="G1372" i="3"/>
  <c r="E1373" i="3"/>
  <c r="K1373" i="3" s="1"/>
  <c r="F1373" i="3"/>
  <c r="G1373" i="3" s="1"/>
  <c r="E1374" i="3"/>
  <c r="K1374" i="3" s="1"/>
  <c r="F1374" i="3"/>
  <c r="H1374" i="3" s="1"/>
  <c r="I1374" i="3" s="1"/>
  <c r="J1374" i="3" s="1"/>
  <c r="G1374" i="3"/>
  <c r="E1375" i="3"/>
  <c r="K1375" i="3" s="1"/>
  <c r="F1375" i="3"/>
  <c r="G1375" i="3" s="1"/>
  <c r="E1376" i="3"/>
  <c r="K1376" i="3" s="1"/>
  <c r="F1376" i="3"/>
  <c r="H1376" i="3" s="1"/>
  <c r="I1376" i="3" s="1"/>
  <c r="J1376" i="3" s="1"/>
  <c r="E1377" i="3"/>
  <c r="K1377" i="3" s="1"/>
  <c r="F1377" i="3"/>
  <c r="H1377" i="3" s="1"/>
  <c r="I1377" i="3" s="1"/>
  <c r="J1377" i="3" s="1"/>
  <c r="E1378" i="3"/>
  <c r="K1378" i="3" s="1"/>
  <c r="F1378" i="3"/>
  <c r="E1379" i="3"/>
  <c r="K1379" i="3" s="1"/>
  <c r="F1379" i="3"/>
  <c r="G1379" i="3" s="1"/>
  <c r="E1380" i="3"/>
  <c r="K1380" i="3" s="1"/>
  <c r="F1380" i="3"/>
  <c r="H1380" i="3" s="1"/>
  <c r="I1380" i="3" s="1"/>
  <c r="J1380" i="3" s="1"/>
  <c r="G1380" i="3"/>
  <c r="E1381" i="3"/>
  <c r="K1381" i="3" s="1"/>
  <c r="F1381" i="3"/>
  <c r="G1381" i="3" s="1"/>
  <c r="E1382" i="3"/>
  <c r="K1382" i="3" s="1"/>
  <c r="F1382" i="3"/>
  <c r="G1382" i="3" s="1"/>
  <c r="E1383" i="3"/>
  <c r="K1383" i="3" s="1"/>
  <c r="F1383" i="3"/>
  <c r="G1383" i="3" s="1"/>
  <c r="E1384" i="3"/>
  <c r="K1384" i="3" s="1"/>
  <c r="F1384" i="3"/>
  <c r="G1384" i="3" s="1"/>
  <c r="E1385" i="3"/>
  <c r="F1385" i="3"/>
  <c r="H1385" i="3" s="1"/>
  <c r="I1385" i="3" s="1"/>
  <c r="J1385" i="3" s="1"/>
  <c r="G1385" i="3"/>
  <c r="K1385" i="3"/>
  <c r="E1386" i="3"/>
  <c r="K1386" i="3" s="1"/>
  <c r="F1386" i="3"/>
  <c r="G1386" i="3" s="1"/>
  <c r="E1387" i="3"/>
  <c r="K1387" i="3" s="1"/>
  <c r="F1387" i="3"/>
  <c r="H1387" i="3" s="1"/>
  <c r="I1387" i="3" s="1"/>
  <c r="J1387" i="3"/>
  <c r="E1388" i="3"/>
  <c r="K1388" i="3" s="1"/>
  <c r="F1388" i="3"/>
  <c r="G1388" i="3" s="1"/>
  <c r="E1389" i="3"/>
  <c r="K1389" i="3" s="1"/>
  <c r="F1389" i="3"/>
  <c r="H1389" i="3" s="1"/>
  <c r="I1389" i="3" s="1"/>
  <c r="J1389" i="3" s="1"/>
  <c r="G1389" i="3"/>
  <c r="E1390" i="3"/>
  <c r="K1390" i="3" s="1"/>
  <c r="F1390" i="3"/>
  <c r="G1390" i="3" s="1"/>
  <c r="E1391" i="3"/>
  <c r="K1391" i="3" s="1"/>
  <c r="F1391" i="3"/>
  <c r="G1391" i="3" s="1"/>
  <c r="E1392" i="3"/>
  <c r="K1392" i="3" s="1"/>
  <c r="F1392" i="3"/>
  <c r="E1393" i="3"/>
  <c r="K1393" i="3" s="1"/>
  <c r="F1393" i="3"/>
  <c r="H1393" i="3" s="1"/>
  <c r="I1393" i="3" s="1"/>
  <c r="J1393" i="3" s="1"/>
  <c r="G1393" i="3"/>
  <c r="E1394" i="3"/>
  <c r="K1394" i="3" s="1"/>
  <c r="F1394" i="3"/>
  <c r="G1394" i="3" s="1"/>
  <c r="E1395" i="3"/>
  <c r="K1395" i="3" s="1"/>
  <c r="F1395" i="3"/>
  <c r="H1395" i="3" s="1"/>
  <c r="I1395" i="3" s="1"/>
  <c r="J1395" i="3" s="1"/>
  <c r="G1395" i="3"/>
  <c r="E1396" i="3"/>
  <c r="K1396" i="3" s="1"/>
  <c r="F1396" i="3"/>
  <c r="H1396" i="3" s="1"/>
  <c r="I1396" i="3" s="1"/>
  <c r="J1396" i="3" s="1"/>
  <c r="G1396" i="3"/>
  <c r="E1397" i="3"/>
  <c r="K1397" i="3" s="1"/>
  <c r="F1397" i="3"/>
  <c r="H1397" i="3" s="1"/>
  <c r="I1397" i="3" s="1"/>
  <c r="J1397" i="3" s="1"/>
  <c r="G1397" i="3"/>
  <c r="E1398" i="3"/>
  <c r="K1398" i="3" s="1"/>
  <c r="F1398" i="3"/>
  <c r="G1398" i="3" s="1"/>
  <c r="E1399" i="3"/>
  <c r="K1399" i="3" s="1"/>
  <c r="F1399" i="3"/>
  <c r="G1399" i="3" s="1"/>
  <c r="E1400" i="3"/>
  <c r="K1400" i="3" s="1"/>
  <c r="F1400" i="3"/>
  <c r="G1400" i="3" s="1"/>
  <c r="H1400" i="3"/>
  <c r="I1400" i="3" s="1"/>
  <c r="J1400" i="3" s="1"/>
  <c r="E1401" i="3"/>
  <c r="K1401" i="3" s="1"/>
  <c r="F1401" i="3"/>
  <c r="H1401" i="3" s="1"/>
  <c r="I1401" i="3" s="1"/>
  <c r="J1401" i="3" s="1"/>
  <c r="E1402" i="3"/>
  <c r="K1402" i="3" s="1"/>
  <c r="F1402" i="3"/>
  <c r="G1402" i="3" s="1"/>
  <c r="E1403" i="3"/>
  <c r="K1403" i="3" s="1"/>
  <c r="F1403" i="3"/>
  <c r="G1403" i="3" s="1"/>
  <c r="E1404" i="3"/>
  <c r="K1404" i="3" s="1"/>
  <c r="F1404" i="3"/>
  <c r="G1404" i="3"/>
  <c r="H1404" i="3"/>
  <c r="I1404" i="3" s="1"/>
  <c r="J1404" i="3" s="1"/>
  <c r="E1405" i="3"/>
  <c r="K1405" i="3" s="1"/>
  <c r="F1405" i="3"/>
  <c r="G1405" i="3" s="1"/>
  <c r="H1405" i="3"/>
  <c r="I1405" i="3" s="1"/>
  <c r="J1405" i="3" s="1"/>
  <c r="E1406" i="3"/>
  <c r="K1406" i="3" s="1"/>
  <c r="F1406" i="3"/>
  <c r="G1406" i="3" s="1"/>
  <c r="H1406" i="3"/>
  <c r="I1406" i="3" s="1"/>
  <c r="J1406" i="3" s="1"/>
  <c r="E1407" i="3"/>
  <c r="K1407" i="3" s="1"/>
  <c r="F1407" i="3"/>
  <c r="H1407" i="3" s="1"/>
  <c r="I1407" i="3" s="1"/>
  <c r="J1407" i="3" s="1"/>
  <c r="E1408" i="3"/>
  <c r="K1408" i="3" s="1"/>
  <c r="F1408" i="3"/>
  <c r="G1408" i="3" s="1"/>
  <c r="E1409" i="3"/>
  <c r="K1409" i="3" s="1"/>
  <c r="F1409" i="3"/>
  <c r="G1409" i="3" s="1"/>
  <c r="E1410" i="3"/>
  <c r="K1410" i="3" s="1"/>
  <c r="F1410" i="3"/>
  <c r="G1410" i="3" s="1"/>
  <c r="H1410" i="3"/>
  <c r="I1410" i="3" s="1"/>
  <c r="J1410" i="3" s="1"/>
  <c r="E1411" i="3"/>
  <c r="K1411" i="3" s="1"/>
  <c r="F1411" i="3"/>
  <c r="E1412" i="3"/>
  <c r="K1412" i="3" s="1"/>
  <c r="F1412" i="3"/>
  <c r="G1412" i="3" s="1"/>
  <c r="E1413" i="3"/>
  <c r="K1413" i="3" s="1"/>
  <c r="F1413" i="3"/>
  <c r="G1413" i="3" s="1"/>
  <c r="H1413" i="3"/>
  <c r="I1413" i="3" s="1"/>
  <c r="J1413" i="3" s="1"/>
  <c r="E1414" i="3"/>
  <c r="K1414" i="3" s="1"/>
  <c r="F1414" i="3"/>
  <c r="G1414" i="3" s="1"/>
  <c r="E1415" i="3"/>
  <c r="F1415" i="3"/>
  <c r="K1415" i="3"/>
  <c r="E1416" i="3"/>
  <c r="K1416" i="3" s="1"/>
  <c r="F1416" i="3"/>
  <c r="G1416" i="3" s="1"/>
  <c r="E1417" i="3"/>
  <c r="K1417" i="3" s="1"/>
  <c r="F1417" i="3"/>
  <c r="G1417" i="3" s="1"/>
  <c r="E1418" i="3"/>
  <c r="K1418" i="3" s="1"/>
  <c r="F1418" i="3"/>
  <c r="G1418" i="3" s="1"/>
  <c r="E1419" i="3"/>
  <c r="K1419" i="3" s="1"/>
  <c r="F1419" i="3"/>
  <c r="G1419" i="3" s="1"/>
  <c r="E1420" i="3"/>
  <c r="K1420" i="3" s="1"/>
  <c r="F1420" i="3"/>
  <c r="G1420" i="3" s="1"/>
  <c r="E1421" i="3"/>
  <c r="K1421" i="3" s="1"/>
  <c r="F1421" i="3"/>
  <c r="G1421" i="3" s="1"/>
  <c r="E1422" i="3"/>
  <c r="K1422" i="3" s="1"/>
  <c r="F1422" i="3"/>
  <c r="G1422" i="3" s="1"/>
  <c r="E1423" i="3"/>
  <c r="K1423" i="3" s="1"/>
  <c r="F1423" i="3"/>
  <c r="G1423" i="3" s="1"/>
  <c r="E1424" i="3"/>
  <c r="K1424" i="3" s="1"/>
  <c r="F1424" i="3"/>
  <c r="H1424" i="3" s="1"/>
  <c r="I1424" i="3" s="1"/>
  <c r="J1424" i="3" s="1"/>
  <c r="E1425" i="3"/>
  <c r="K1425" i="3" s="1"/>
  <c r="F1425" i="3"/>
  <c r="G1425" i="3" s="1"/>
  <c r="E1426" i="3"/>
  <c r="K1426" i="3" s="1"/>
  <c r="F1426" i="3"/>
  <c r="G1426" i="3" s="1"/>
  <c r="E1427" i="3"/>
  <c r="K1427" i="3" s="1"/>
  <c r="F1427" i="3"/>
  <c r="G1427" i="3" s="1"/>
  <c r="E1428" i="3"/>
  <c r="K1428" i="3" s="1"/>
  <c r="F1428" i="3"/>
  <c r="H1428" i="3" s="1"/>
  <c r="I1428" i="3" s="1"/>
  <c r="J1428" i="3" s="1"/>
  <c r="G1428" i="3"/>
  <c r="E1429" i="3"/>
  <c r="K1429" i="3" s="1"/>
  <c r="F1429" i="3"/>
  <c r="G1429" i="3" s="1"/>
  <c r="E1430" i="3"/>
  <c r="K1430" i="3" s="1"/>
  <c r="F1430" i="3"/>
  <c r="G1430" i="3" s="1"/>
  <c r="E1431" i="3"/>
  <c r="K1431" i="3" s="1"/>
  <c r="F1431" i="3"/>
  <c r="H1431" i="3" s="1"/>
  <c r="I1431" i="3" s="1"/>
  <c r="J1431" i="3" s="1"/>
  <c r="G1431" i="3"/>
  <c r="E1432" i="3"/>
  <c r="K1432" i="3" s="1"/>
  <c r="F1432" i="3"/>
  <c r="E1433" i="3"/>
  <c r="K1433" i="3" s="1"/>
  <c r="F1433" i="3"/>
  <c r="G1433" i="3" s="1"/>
  <c r="E1434" i="3"/>
  <c r="K1434" i="3" s="1"/>
  <c r="F1434" i="3"/>
  <c r="H1434" i="3" s="1"/>
  <c r="I1434" i="3" s="1"/>
  <c r="J1434" i="3" s="1"/>
  <c r="G1434" i="3"/>
  <c r="E1435" i="3"/>
  <c r="F1435" i="3"/>
  <c r="G1435" i="3" s="1"/>
  <c r="K1435" i="3"/>
  <c r="E1436" i="3"/>
  <c r="K1436" i="3" s="1"/>
  <c r="F1436" i="3"/>
  <c r="G1436" i="3" s="1"/>
  <c r="E1437" i="3"/>
  <c r="K1437" i="3" s="1"/>
  <c r="F1437" i="3"/>
  <c r="G1437" i="3" s="1"/>
  <c r="E1438" i="3"/>
  <c r="K1438" i="3" s="1"/>
  <c r="F1438" i="3"/>
  <c r="G1438" i="3" s="1"/>
  <c r="E1439" i="3"/>
  <c r="K1439" i="3" s="1"/>
  <c r="F1439" i="3"/>
  <c r="G1439" i="3" s="1"/>
  <c r="E1440" i="3"/>
  <c r="K1440" i="3" s="1"/>
  <c r="F1440" i="3"/>
  <c r="H1440" i="3" s="1"/>
  <c r="I1440" i="3" s="1"/>
  <c r="J1440" i="3" s="1"/>
  <c r="E1441" i="3"/>
  <c r="K1441" i="3" s="1"/>
  <c r="F1441" i="3"/>
  <c r="G1441" i="3" s="1"/>
  <c r="E1442" i="3"/>
  <c r="K1442" i="3" s="1"/>
  <c r="F1442" i="3"/>
  <c r="E1443" i="3"/>
  <c r="K1443" i="3" s="1"/>
  <c r="F1443" i="3"/>
  <c r="G1443" i="3" s="1"/>
  <c r="E1444" i="3"/>
  <c r="K1444" i="3" s="1"/>
  <c r="F1444" i="3"/>
  <c r="G1444" i="3" s="1"/>
  <c r="E1445" i="3"/>
  <c r="K1445" i="3" s="1"/>
  <c r="F1445" i="3"/>
  <c r="G1445" i="3" s="1"/>
  <c r="E1446" i="3"/>
  <c r="K1446" i="3" s="1"/>
  <c r="F1446" i="3"/>
  <c r="G1446" i="3" s="1"/>
  <c r="E1447" i="3"/>
  <c r="K1447" i="3" s="1"/>
  <c r="F1447" i="3"/>
  <c r="G1447" i="3" s="1"/>
  <c r="E1448" i="3"/>
  <c r="K1448" i="3" s="1"/>
  <c r="F1448" i="3"/>
  <c r="G1448" i="3" s="1"/>
  <c r="H1448" i="3"/>
  <c r="I1448" i="3" s="1"/>
  <c r="J1448" i="3" s="1"/>
  <c r="E1449" i="3"/>
  <c r="K1449" i="3" s="1"/>
  <c r="F1449" i="3"/>
  <c r="G1449" i="3" s="1"/>
  <c r="E1450" i="3"/>
  <c r="K1450" i="3" s="1"/>
  <c r="F1450" i="3"/>
  <c r="G1450" i="3" s="1"/>
  <c r="E1451" i="3"/>
  <c r="K1451" i="3" s="1"/>
  <c r="F1451" i="3"/>
  <c r="H1451" i="3" s="1"/>
  <c r="I1451" i="3" s="1"/>
  <c r="J1451" i="3"/>
  <c r="E1452" i="3"/>
  <c r="K1452" i="3" s="1"/>
  <c r="F1452" i="3"/>
  <c r="G1452" i="3" s="1"/>
  <c r="E1453" i="3"/>
  <c r="K1453" i="3" s="1"/>
  <c r="F1453" i="3"/>
  <c r="G1453" i="3" s="1"/>
  <c r="E1454" i="3"/>
  <c r="K1454" i="3" s="1"/>
  <c r="F1454" i="3"/>
  <c r="G1454" i="3" s="1"/>
  <c r="E1455" i="3"/>
  <c r="F1455" i="3"/>
  <c r="G1455" i="3" s="1"/>
  <c r="K1455" i="3"/>
  <c r="E1456" i="3"/>
  <c r="F1456" i="3"/>
  <c r="K1456" i="3"/>
  <c r="E1457" i="3"/>
  <c r="K1457" i="3" s="1"/>
  <c r="F1457" i="3"/>
  <c r="G1457" i="3" s="1"/>
  <c r="E1458" i="3"/>
  <c r="K1458" i="3" s="1"/>
  <c r="F1458" i="3"/>
  <c r="G1458" i="3" s="1"/>
  <c r="E1459" i="3"/>
  <c r="K1459" i="3" s="1"/>
  <c r="F1459" i="3"/>
  <c r="H1459" i="3" s="1"/>
  <c r="I1459" i="3" s="1"/>
  <c r="J1459" i="3" s="1"/>
  <c r="E1460" i="3"/>
  <c r="K1460" i="3" s="1"/>
  <c r="F1460" i="3"/>
  <c r="H1460" i="3" s="1"/>
  <c r="I1460" i="3" s="1"/>
  <c r="J1460" i="3" s="1"/>
  <c r="E1461" i="3"/>
  <c r="K1461" i="3" s="1"/>
  <c r="F1461" i="3"/>
  <c r="G1461" i="3" s="1"/>
  <c r="E1462" i="3"/>
  <c r="K1462" i="3" s="1"/>
  <c r="F1462" i="3"/>
  <c r="G1462" i="3" s="1"/>
  <c r="E1463" i="3"/>
  <c r="K1463" i="3" s="1"/>
  <c r="F1463" i="3"/>
  <c r="H1463" i="3" s="1"/>
  <c r="I1463" i="3" s="1"/>
  <c r="J1463" i="3" s="1"/>
  <c r="G1463" i="3"/>
  <c r="E1464" i="3"/>
  <c r="K1464" i="3" s="1"/>
  <c r="F1464" i="3"/>
  <c r="H1464" i="3" s="1"/>
  <c r="I1464" i="3" s="1"/>
  <c r="J1464" i="3" s="1"/>
  <c r="G1464" i="3"/>
  <c r="E1465" i="3"/>
  <c r="K1465" i="3" s="1"/>
  <c r="F1465" i="3"/>
  <c r="H1465" i="3" s="1"/>
  <c r="I1465" i="3" s="1"/>
  <c r="J1465" i="3" s="1"/>
  <c r="E1466" i="3"/>
  <c r="K1466" i="3" s="1"/>
  <c r="F1466" i="3"/>
  <c r="G1466" i="3" s="1"/>
  <c r="E1467" i="3"/>
  <c r="K1467" i="3" s="1"/>
  <c r="F1467" i="3"/>
  <c r="G1467" i="3" s="1"/>
  <c r="E1468" i="3"/>
  <c r="K1468" i="3" s="1"/>
  <c r="F1468" i="3"/>
  <c r="G1468" i="3" s="1"/>
  <c r="E1469" i="3"/>
  <c r="F1469" i="3"/>
  <c r="G1469" i="3" s="1"/>
  <c r="K1469" i="3"/>
  <c r="E1470" i="3"/>
  <c r="K1470" i="3" s="1"/>
  <c r="F1470" i="3"/>
  <c r="G1470" i="3" s="1"/>
  <c r="E1471" i="3"/>
  <c r="K1471" i="3" s="1"/>
  <c r="F1471" i="3"/>
  <c r="H1471" i="3" s="1"/>
  <c r="I1471" i="3" s="1"/>
  <c r="J1471" i="3" s="1"/>
  <c r="E1472" i="3"/>
  <c r="K1472" i="3" s="1"/>
  <c r="F1472" i="3"/>
  <c r="G1472" i="3" s="1"/>
  <c r="E1473" i="3"/>
  <c r="K1473" i="3" s="1"/>
  <c r="F1473" i="3"/>
  <c r="H1473" i="3" s="1"/>
  <c r="I1473" i="3" s="1"/>
  <c r="J1473" i="3" s="1"/>
  <c r="E1474" i="3"/>
  <c r="K1474" i="3" s="1"/>
  <c r="F1474" i="3"/>
  <c r="G1474" i="3" s="1"/>
  <c r="E1475" i="3"/>
  <c r="K1475" i="3" s="1"/>
  <c r="F1475" i="3"/>
  <c r="E1476" i="3"/>
  <c r="K1476" i="3" s="1"/>
  <c r="F1476" i="3"/>
  <c r="G1476" i="3" s="1"/>
  <c r="E1477" i="3"/>
  <c r="K1477" i="3" s="1"/>
  <c r="F1477" i="3"/>
  <c r="G1477" i="3" s="1"/>
  <c r="E1478" i="3"/>
  <c r="F1478" i="3"/>
  <c r="G1478" i="3" s="1"/>
  <c r="K1478" i="3"/>
  <c r="E1479" i="3"/>
  <c r="F1479" i="3"/>
  <c r="K1479" i="3"/>
  <c r="E1480" i="3"/>
  <c r="K1480" i="3" s="1"/>
  <c r="F1480" i="3"/>
  <c r="G1480" i="3" s="1"/>
  <c r="E1481" i="3"/>
  <c r="K1481" i="3" s="1"/>
  <c r="F1481" i="3"/>
  <c r="G1481" i="3" s="1"/>
  <c r="E1482" i="3"/>
  <c r="K1482" i="3" s="1"/>
  <c r="F1482" i="3"/>
  <c r="H1482" i="3" s="1"/>
  <c r="I1482" i="3" s="1"/>
  <c r="J1482" i="3" s="1"/>
  <c r="G1482" i="3"/>
  <c r="E1483" i="3"/>
  <c r="K1483" i="3" s="1"/>
  <c r="F1483" i="3"/>
  <c r="G1483" i="3" s="1"/>
  <c r="E1484" i="3"/>
  <c r="F1484" i="3"/>
  <c r="G1484" i="3" s="1"/>
  <c r="K1484" i="3"/>
  <c r="E1485" i="3"/>
  <c r="K1485" i="3" s="1"/>
  <c r="F1485" i="3"/>
  <c r="G1485" i="3" s="1"/>
  <c r="E1486" i="3"/>
  <c r="K1486" i="3" s="1"/>
  <c r="F1486" i="3"/>
  <c r="G1486" i="3" s="1"/>
  <c r="E1487" i="3"/>
  <c r="K1487" i="3" s="1"/>
  <c r="F1487" i="3"/>
  <c r="G1487" i="3" s="1"/>
  <c r="E1488" i="3"/>
  <c r="K1488" i="3" s="1"/>
  <c r="F1488" i="3"/>
  <c r="H1488" i="3" s="1"/>
  <c r="I1488" i="3" s="1"/>
  <c r="J1488" i="3" s="1"/>
  <c r="E1489" i="3"/>
  <c r="K1489" i="3" s="1"/>
  <c r="F1489" i="3"/>
  <c r="G1489" i="3" s="1"/>
  <c r="E1490" i="3"/>
  <c r="K1490" i="3" s="1"/>
  <c r="F1490" i="3"/>
  <c r="G1490" i="3" s="1"/>
  <c r="E1491" i="3"/>
  <c r="K1491" i="3" s="1"/>
  <c r="F1491" i="3"/>
  <c r="G1491" i="3" s="1"/>
  <c r="E1492" i="3"/>
  <c r="K1492" i="3" s="1"/>
  <c r="F1492" i="3"/>
  <c r="G1492" i="3" s="1"/>
  <c r="E1493" i="3"/>
  <c r="K1493" i="3" s="1"/>
  <c r="F1493" i="3"/>
  <c r="G1493" i="3" s="1"/>
  <c r="E1494" i="3"/>
  <c r="K1494" i="3" s="1"/>
  <c r="F1494" i="3"/>
  <c r="G1494" i="3" s="1"/>
  <c r="E1495" i="3"/>
  <c r="K1495" i="3" s="1"/>
  <c r="F1495" i="3"/>
  <c r="G1495" i="3" s="1"/>
  <c r="E1496" i="3"/>
  <c r="K1496" i="3" s="1"/>
  <c r="F1496" i="3"/>
  <c r="E1497" i="3"/>
  <c r="K1497" i="3" s="1"/>
  <c r="F1497" i="3"/>
  <c r="G1497" i="3" s="1"/>
  <c r="E1498" i="3"/>
  <c r="K1498" i="3" s="1"/>
  <c r="F1498" i="3"/>
  <c r="G1498" i="3" s="1"/>
  <c r="E1499" i="3"/>
  <c r="K1499" i="3" s="1"/>
  <c r="F1499" i="3"/>
  <c r="G1499" i="3" s="1"/>
  <c r="H1499" i="3"/>
  <c r="I1499" i="3" s="1"/>
  <c r="J1499" i="3" s="1"/>
  <c r="E1500" i="3"/>
  <c r="K1500" i="3" s="1"/>
  <c r="F1500" i="3"/>
  <c r="G1500" i="3" s="1"/>
  <c r="E1501" i="3"/>
  <c r="K1501" i="3" s="1"/>
  <c r="F1501" i="3"/>
  <c r="G1501" i="3" s="1"/>
  <c r="H1501" i="3"/>
  <c r="I1501" i="3" s="1"/>
  <c r="J1501" i="3" s="1"/>
  <c r="E1502" i="3"/>
  <c r="K1502" i="3" s="1"/>
  <c r="F1502" i="3"/>
  <c r="G1502" i="3" s="1"/>
  <c r="E1503" i="3"/>
  <c r="F1503" i="3"/>
  <c r="G1503" i="3" s="1"/>
  <c r="K1503" i="3"/>
  <c r="E1504" i="3"/>
  <c r="K1504" i="3" s="1"/>
  <c r="F1504" i="3"/>
  <c r="G1504" i="3" s="1"/>
  <c r="E1505" i="3"/>
  <c r="K1505" i="3" s="1"/>
  <c r="F1505" i="3"/>
  <c r="H1505" i="3" s="1"/>
  <c r="I1505" i="3" s="1"/>
  <c r="J1505" i="3" s="1"/>
  <c r="G1505" i="3"/>
  <c r="E1506" i="3"/>
  <c r="K1506" i="3" s="1"/>
  <c r="F1506" i="3"/>
  <c r="E1507" i="3"/>
  <c r="K1507" i="3" s="1"/>
  <c r="F1507" i="3"/>
  <c r="H1507" i="3" s="1"/>
  <c r="I1507" i="3" s="1"/>
  <c r="J1507" i="3" s="1"/>
  <c r="E1508" i="3"/>
  <c r="K1508" i="3" s="1"/>
  <c r="F1508" i="3"/>
  <c r="G1508" i="3" s="1"/>
  <c r="E1509" i="3"/>
  <c r="K1509" i="3" s="1"/>
  <c r="F1509" i="3"/>
  <c r="H1509" i="3" s="1"/>
  <c r="I1509" i="3" s="1"/>
  <c r="J1509" i="3" s="1"/>
  <c r="E1510" i="3"/>
  <c r="K1510" i="3" s="1"/>
  <c r="F1510" i="3"/>
  <c r="G1510" i="3" s="1"/>
  <c r="E1511" i="3"/>
  <c r="K1511" i="3" s="1"/>
  <c r="F1511" i="3"/>
  <c r="H1511" i="3" s="1"/>
  <c r="I1511" i="3" s="1"/>
  <c r="J1511" i="3" s="1"/>
  <c r="G1511" i="3"/>
  <c r="E1512" i="3"/>
  <c r="F1512" i="3"/>
  <c r="G1512" i="3" s="1"/>
  <c r="K1512" i="3"/>
  <c r="E1513" i="3"/>
  <c r="K1513" i="3" s="1"/>
  <c r="F1513" i="3"/>
  <c r="G1513" i="3" s="1"/>
  <c r="E1514" i="3"/>
  <c r="K1514" i="3" s="1"/>
  <c r="F1514" i="3"/>
  <c r="G1514" i="3" s="1"/>
  <c r="E1515" i="3"/>
  <c r="K1515" i="3" s="1"/>
  <c r="F1515" i="3"/>
  <c r="H1515" i="3" s="1"/>
  <c r="I1515" i="3" s="1"/>
  <c r="J1515" i="3" s="1"/>
  <c r="E1516" i="3"/>
  <c r="K1516" i="3" s="1"/>
  <c r="F1516" i="3"/>
  <c r="H1516" i="3" s="1"/>
  <c r="I1516" i="3" s="1"/>
  <c r="J1516" i="3" s="1"/>
  <c r="G1516" i="3"/>
  <c r="E1517" i="3"/>
  <c r="K1517" i="3" s="1"/>
  <c r="F1517" i="3"/>
  <c r="H1517" i="3" s="1"/>
  <c r="I1517" i="3" s="1"/>
  <c r="J1517" i="3" s="1"/>
  <c r="E1518" i="3"/>
  <c r="K1518" i="3" s="1"/>
  <c r="F1518" i="3"/>
  <c r="G1518" i="3" s="1"/>
  <c r="E1519" i="3"/>
  <c r="K1519" i="3" s="1"/>
  <c r="F1519" i="3"/>
  <c r="G1519" i="3" s="1"/>
  <c r="E1520" i="3"/>
  <c r="K1520" i="3" s="1"/>
  <c r="F1520" i="3"/>
  <c r="E1521" i="3"/>
  <c r="K1521" i="3" s="1"/>
  <c r="F1521" i="3"/>
  <c r="G1521" i="3" s="1"/>
  <c r="E1522" i="3"/>
  <c r="K1522" i="3" s="1"/>
  <c r="F1522" i="3"/>
  <c r="G1522" i="3"/>
  <c r="H1522" i="3"/>
  <c r="I1522" i="3" s="1"/>
  <c r="J1522" i="3" s="1"/>
  <c r="E1523" i="3"/>
  <c r="K1523" i="3" s="1"/>
  <c r="F1523" i="3"/>
  <c r="H1523" i="3" s="1"/>
  <c r="I1523" i="3" s="1"/>
  <c r="J1523" i="3" s="1"/>
  <c r="E1524" i="3"/>
  <c r="K1524" i="3" s="1"/>
  <c r="F1524" i="3"/>
  <c r="H1524" i="3" s="1"/>
  <c r="I1524" i="3" s="1"/>
  <c r="J1524" i="3" s="1"/>
  <c r="E1525" i="3"/>
  <c r="K1525" i="3" s="1"/>
  <c r="F1525" i="3"/>
  <c r="G1525" i="3"/>
  <c r="H1525" i="3"/>
  <c r="I1525" i="3" s="1"/>
  <c r="J1525" i="3" s="1"/>
  <c r="E1526" i="3"/>
  <c r="K1526" i="3" s="1"/>
  <c r="F1526" i="3"/>
  <c r="G1526" i="3" s="1"/>
  <c r="H1526" i="3"/>
  <c r="I1526" i="3" s="1"/>
  <c r="J1526" i="3" s="1"/>
  <c r="E1527" i="3"/>
  <c r="K1527" i="3" s="1"/>
  <c r="F1527" i="3"/>
  <c r="G1527" i="3" s="1"/>
  <c r="E1528" i="3"/>
  <c r="K1528" i="3" s="1"/>
  <c r="F1528" i="3"/>
  <c r="G1528" i="3" s="1"/>
  <c r="E1529" i="3"/>
  <c r="K1529" i="3" s="1"/>
  <c r="F1529" i="3"/>
  <c r="H1529" i="3" s="1"/>
  <c r="I1529" i="3" s="1"/>
  <c r="J1529" i="3" s="1"/>
  <c r="E1530" i="3"/>
  <c r="K1530" i="3" s="1"/>
  <c r="F1530" i="3"/>
  <c r="G1530" i="3" s="1"/>
  <c r="E1531" i="3"/>
  <c r="K1531" i="3" s="1"/>
  <c r="F1531" i="3"/>
  <c r="G1531" i="3" s="1"/>
  <c r="E1532" i="3"/>
  <c r="K1532" i="3" s="1"/>
  <c r="F1532" i="3"/>
  <c r="H1532" i="3" s="1"/>
  <c r="I1532" i="3" s="1"/>
  <c r="J1532" i="3" s="1"/>
  <c r="E1533" i="3"/>
  <c r="F1533" i="3"/>
  <c r="G1533" i="3" s="1"/>
  <c r="K1533" i="3"/>
  <c r="E1534" i="3"/>
  <c r="F1534" i="3"/>
  <c r="G1534" i="3" s="1"/>
  <c r="H1534" i="3"/>
  <c r="I1534" i="3" s="1"/>
  <c r="J1534" i="3" s="1"/>
  <c r="K1534" i="3"/>
  <c r="E1535" i="3"/>
  <c r="K1535" i="3" s="1"/>
  <c r="F1535" i="3"/>
  <c r="G1535" i="3" s="1"/>
  <c r="E1536" i="3"/>
  <c r="K1536" i="3" s="1"/>
  <c r="F1536" i="3"/>
  <c r="G1536" i="3" s="1"/>
  <c r="E1537" i="3"/>
  <c r="K1537" i="3" s="1"/>
  <c r="F1537" i="3"/>
  <c r="H1537" i="3" s="1"/>
  <c r="I1537" i="3" s="1"/>
  <c r="J1537" i="3" s="1"/>
  <c r="G1537" i="3"/>
  <c r="E1538" i="3"/>
  <c r="K1538" i="3" s="1"/>
  <c r="F1538" i="3"/>
  <c r="G1538" i="3" s="1"/>
  <c r="E1539" i="3"/>
  <c r="K1539" i="3" s="1"/>
  <c r="F1539" i="3"/>
  <c r="E1540" i="3"/>
  <c r="K1540" i="3" s="1"/>
  <c r="F1540" i="3"/>
  <c r="G1540" i="3" s="1"/>
  <c r="E1541" i="3"/>
  <c r="K1541" i="3" s="1"/>
  <c r="F1541" i="3"/>
  <c r="H1541" i="3" s="1"/>
  <c r="I1541" i="3" s="1"/>
  <c r="J1541" i="3" s="1"/>
  <c r="E1542" i="3"/>
  <c r="F1542" i="3"/>
  <c r="G1542" i="3" s="1"/>
  <c r="K1542" i="3"/>
  <c r="E1543" i="3"/>
  <c r="K1543" i="3" s="1"/>
  <c r="F1543" i="3"/>
  <c r="E1544" i="3"/>
  <c r="K1544" i="3" s="1"/>
  <c r="F1544" i="3"/>
  <c r="G1544" i="3" s="1"/>
  <c r="H1544" i="3"/>
  <c r="I1544" i="3" s="1"/>
  <c r="J1544" i="3" s="1"/>
  <c r="E1545" i="3"/>
  <c r="K1545" i="3" s="1"/>
  <c r="F1545" i="3"/>
  <c r="G1545" i="3" s="1"/>
  <c r="E1546" i="3"/>
  <c r="K1546" i="3" s="1"/>
  <c r="F1546" i="3"/>
  <c r="G1546" i="3" s="1"/>
  <c r="E1547" i="3"/>
  <c r="K1547" i="3" s="1"/>
  <c r="F1547" i="3"/>
  <c r="H1547" i="3" s="1"/>
  <c r="I1547" i="3" s="1"/>
  <c r="J1547" i="3" s="1"/>
  <c r="E1548" i="3"/>
  <c r="F1548" i="3"/>
  <c r="G1548" i="3" s="1"/>
  <c r="K1548" i="3"/>
  <c r="E1549" i="3"/>
  <c r="K1549" i="3" s="1"/>
  <c r="F1549" i="3"/>
  <c r="G1549" i="3" s="1"/>
  <c r="E1550" i="3"/>
  <c r="K1550" i="3" s="1"/>
  <c r="F1550" i="3"/>
  <c r="H1550" i="3" s="1"/>
  <c r="I1550" i="3" s="1"/>
  <c r="J1550" i="3" s="1"/>
  <c r="E1551" i="3"/>
  <c r="K1551" i="3" s="1"/>
  <c r="F1551" i="3"/>
  <c r="G1551" i="3" s="1"/>
  <c r="E1552" i="3"/>
  <c r="K1552" i="3" s="1"/>
  <c r="F1552" i="3"/>
  <c r="H1552" i="3" s="1"/>
  <c r="I1552" i="3" s="1"/>
  <c r="J1552" i="3" s="1"/>
  <c r="E1553" i="3"/>
  <c r="K1553" i="3" s="1"/>
  <c r="F1553" i="3"/>
  <c r="H1553" i="3" s="1"/>
  <c r="I1553" i="3" s="1"/>
  <c r="J1553" i="3" s="1"/>
  <c r="G1553" i="3"/>
  <c r="E1554" i="3"/>
  <c r="K1554" i="3" s="1"/>
  <c r="F1554" i="3"/>
  <c r="G1554" i="3" s="1"/>
  <c r="E1555" i="3"/>
  <c r="K1555" i="3" s="1"/>
  <c r="F1555" i="3"/>
  <c r="G1555" i="3" s="1"/>
  <c r="E1556" i="3"/>
  <c r="K1556" i="3" s="1"/>
  <c r="F1556" i="3"/>
  <c r="G1556" i="3" s="1"/>
  <c r="E1557" i="3"/>
  <c r="F1557" i="3"/>
  <c r="G1557" i="3" s="1"/>
  <c r="K1557" i="3"/>
  <c r="E1558" i="3"/>
  <c r="K1558" i="3" s="1"/>
  <c r="F1558" i="3"/>
  <c r="G1558" i="3" s="1"/>
  <c r="H1558" i="3"/>
  <c r="I1558" i="3" s="1"/>
  <c r="J1558" i="3" s="1"/>
  <c r="E1559" i="3"/>
  <c r="K1559" i="3" s="1"/>
  <c r="F1559" i="3"/>
  <c r="G1559" i="3" s="1"/>
  <c r="E1560" i="3"/>
  <c r="K1560" i="3" s="1"/>
  <c r="F1560" i="3"/>
  <c r="E1561" i="3"/>
  <c r="K1561" i="3" s="1"/>
  <c r="F1561" i="3"/>
  <c r="G1561" i="3" s="1"/>
  <c r="E1562" i="3"/>
  <c r="K1562" i="3" s="1"/>
  <c r="F1562" i="3"/>
  <c r="G1562" i="3" s="1"/>
  <c r="E1563" i="3"/>
  <c r="F1563" i="3"/>
  <c r="G1563" i="3" s="1"/>
  <c r="K1563" i="3"/>
  <c r="E1564" i="3"/>
  <c r="K1564" i="3" s="1"/>
  <c r="F1564" i="3"/>
  <c r="H1564" i="3" s="1"/>
  <c r="I1564" i="3" s="1"/>
  <c r="J1564" i="3" s="1"/>
  <c r="E1565" i="3"/>
  <c r="F1565" i="3"/>
  <c r="H1565" i="3" s="1"/>
  <c r="I1565" i="3" s="1"/>
  <c r="J1565" i="3" s="1"/>
  <c r="G1565" i="3"/>
  <c r="K1565" i="3"/>
  <c r="E1566" i="3"/>
  <c r="K1566" i="3" s="1"/>
  <c r="F1566" i="3"/>
  <c r="G1566" i="3"/>
  <c r="H1566" i="3"/>
  <c r="I1566" i="3" s="1"/>
  <c r="J1566" i="3" s="1"/>
  <c r="E1567" i="3"/>
  <c r="F1567" i="3"/>
  <c r="G1567" i="3" s="1"/>
  <c r="K1567" i="3"/>
  <c r="E1568" i="3"/>
  <c r="F1568" i="3"/>
  <c r="H1568" i="3" s="1"/>
  <c r="I1568" i="3" s="1"/>
  <c r="J1568" i="3" s="1"/>
  <c r="K1568" i="3"/>
  <c r="E1569" i="3"/>
  <c r="K1569" i="3" s="1"/>
  <c r="F1569" i="3"/>
  <c r="G1569" i="3"/>
  <c r="H1569" i="3"/>
  <c r="I1569" i="3" s="1"/>
  <c r="J1569" i="3" s="1"/>
  <c r="E1570" i="3"/>
  <c r="K1570" i="3" s="1"/>
  <c r="F1570" i="3"/>
  <c r="E1571" i="3"/>
  <c r="K1571" i="3" s="1"/>
  <c r="F1571" i="3"/>
  <c r="G1571" i="3" s="1"/>
  <c r="E1572" i="3"/>
  <c r="K1572" i="3" s="1"/>
  <c r="F1572" i="3"/>
  <c r="G1572" i="3" s="1"/>
  <c r="H1572" i="3"/>
  <c r="I1572" i="3" s="1"/>
  <c r="J1572" i="3" s="1"/>
  <c r="E1573" i="3"/>
  <c r="K1573" i="3" s="1"/>
  <c r="F1573" i="3"/>
  <c r="G1573" i="3" s="1"/>
  <c r="E1574" i="3"/>
  <c r="F1574" i="3"/>
  <c r="G1574" i="3" s="1"/>
  <c r="K1574" i="3"/>
  <c r="E1575" i="3"/>
  <c r="K1575" i="3" s="1"/>
  <c r="F1575" i="3"/>
  <c r="G1575" i="3" s="1"/>
  <c r="E1576" i="3"/>
  <c r="K1576" i="3" s="1"/>
  <c r="F1576" i="3"/>
  <c r="H1576" i="3" s="1"/>
  <c r="I1576" i="3" s="1"/>
  <c r="J1576" i="3" s="1"/>
  <c r="G1576" i="3"/>
  <c r="E1577" i="3"/>
  <c r="K1577" i="3" s="1"/>
  <c r="F1577" i="3"/>
  <c r="G1577" i="3" s="1"/>
  <c r="E1578" i="3"/>
  <c r="K1578" i="3" s="1"/>
  <c r="F1578" i="3"/>
  <c r="G1578" i="3" s="1"/>
  <c r="E1579" i="3"/>
  <c r="K1579" i="3" s="1"/>
  <c r="F1579" i="3"/>
  <c r="H1579" i="3" s="1"/>
  <c r="I1579" i="3" s="1"/>
  <c r="J1579" i="3" s="1"/>
  <c r="E1580" i="3"/>
  <c r="K1580" i="3" s="1"/>
  <c r="F1580" i="3"/>
  <c r="H1580" i="3" s="1"/>
  <c r="I1580" i="3" s="1"/>
  <c r="J1580" i="3" s="1"/>
  <c r="E1581" i="3"/>
  <c r="K1581" i="3" s="1"/>
  <c r="F1581" i="3"/>
  <c r="G1581" i="3" s="1"/>
  <c r="E1582" i="3"/>
  <c r="K1582" i="3" s="1"/>
  <c r="F1582" i="3"/>
  <c r="G1582" i="3" s="1"/>
  <c r="H1582" i="3"/>
  <c r="I1582" i="3" s="1"/>
  <c r="J1582" i="3" s="1"/>
  <c r="E1583" i="3"/>
  <c r="K1583" i="3" s="1"/>
  <c r="F1583" i="3"/>
  <c r="G1583" i="3" s="1"/>
  <c r="E1584" i="3"/>
  <c r="K1584" i="3" s="1"/>
  <c r="F1584" i="3"/>
  <c r="E1585" i="3"/>
  <c r="K1585" i="3" s="1"/>
  <c r="F1585" i="3"/>
  <c r="H1585" i="3" s="1"/>
  <c r="I1585" i="3" s="1"/>
  <c r="J1585" i="3" s="1"/>
  <c r="G1585" i="3"/>
  <c r="E1586" i="3"/>
  <c r="K1586" i="3" s="1"/>
  <c r="F1586" i="3"/>
  <c r="G1586" i="3" s="1"/>
  <c r="E1587" i="3"/>
  <c r="K1587" i="3" s="1"/>
  <c r="F1587" i="3"/>
  <c r="H1587" i="3" s="1"/>
  <c r="G1587" i="3"/>
  <c r="I1587" i="3"/>
  <c r="J1587" i="3" s="1"/>
  <c r="E1588" i="3"/>
  <c r="F1588" i="3"/>
  <c r="G1588" i="3" s="1"/>
  <c r="H1588" i="3"/>
  <c r="I1588" i="3" s="1"/>
  <c r="J1588" i="3" s="1"/>
  <c r="K1588" i="3"/>
  <c r="E1589" i="3"/>
  <c r="F1589" i="3"/>
  <c r="G1589" i="3" s="1"/>
  <c r="K1589" i="3"/>
  <c r="M1589" i="3" s="1"/>
  <c r="E1590" i="3"/>
  <c r="K1590" i="3" s="1"/>
  <c r="M1590" i="3" s="1"/>
  <c r="F1590" i="3"/>
  <c r="G1590" i="3" s="1"/>
  <c r="E1591" i="3"/>
  <c r="K1591" i="3" s="1"/>
  <c r="M1591" i="3" s="1"/>
  <c r="F1591" i="3"/>
  <c r="G1591" i="3" s="1"/>
  <c r="E1592" i="3"/>
  <c r="F1592" i="3"/>
  <c r="G1592" i="3" s="1"/>
  <c r="H1592" i="3"/>
  <c r="N1592" i="3" s="1"/>
  <c r="K1592" i="3"/>
  <c r="M1592" i="3" s="1"/>
  <c r="E1593" i="3"/>
  <c r="K1593" i="3" s="1"/>
  <c r="F1593" i="3"/>
  <c r="H1593" i="3" s="1"/>
  <c r="I1593" i="3" s="1"/>
  <c r="J1593" i="3" s="1"/>
  <c r="F4" i="3"/>
  <c r="H4" i="3" s="1"/>
  <c r="I4" i="3" s="1"/>
  <c r="J4" i="3" s="1"/>
  <c r="E4" i="3"/>
  <c r="K4" i="3" s="1"/>
  <c r="N281" i="3" l="1"/>
  <c r="H625" i="3"/>
  <c r="I625" i="3" s="1"/>
  <c r="J625" i="3" s="1"/>
  <c r="H400" i="3"/>
  <c r="I400" i="3" s="1"/>
  <c r="J400" i="3" s="1"/>
  <c r="H706" i="3"/>
  <c r="I706" i="3" s="1"/>
  <c r="J706" i="3" s="1"/>
  <c r="G653" i="3"/>
  <c r="G197" i="3"/>
  <c r="H1170" i="3"/>
  <c r="I1170" i="3" s="1"/>
  <c r="J1170" i="3" s="1"/>
  <c r="H842" i="3"/>
  <c r="I842" i="3" s="1"/>
  <c r="J842" i="3" s="1"/>
  <c r="G652" i="3"/>
  <c r="G283" i="3"/>
  <c r="H1341" i="3"/>
  <c r="I1341" i="3" s="1"/>
  <c r="J1341" i="3" s="1"/>
  <c r="H1548" i="3"/>
  <c r="I1548" i="3" s="1"/>
  <c r="J1548" i="3" s="1"/>
  <c r="H1244" i="3"/>
  <c r="I1244" i="3" s="1"/>
  <c r="J1244" i="3" s="1"/>
  <c r="H1087" i="3"/>
  <c r="I1087" i="3" s="1"/>
  <c r="J1087" i="3" s="1"/>
  <c r="G1218" i="3"/>
  <c r="G1168" i="3"/>
  <c r="G281" i="3"/>
  <c r="G1524" i="3"/>
  <c r="H1370" i="3"/>
  <c r="I1370" i="3" s="1"/>
  <c r="J1370" i="3" s="1"/>
  <c r="H591" i="3"/>
  <c r="I591" i="3" s="1"/>
  <c r="J591" i="3" s="1"/>
  <c r="H838" i="3"/>
  <c r="I838" i="3" s="1"/>
  <c r="J838" i="3" s="1"/>
  <c r="H1444" i="3"/>
  <c r="I1444" i="3" s="1"/>
  <c r="J1444" i="3" s="1"/>
  <c r="H1342" i="3"/>
  <c r="I1342" i="3" s="1"/>
  <c r="J1342" i="3" s="1"/>
  <c r="H1265" i="3"/>
  <c r="I1265" i="3" s="1"/>
  <c r="J1265" i="3" s="1"/>
  <c r="H973" i="3"/>
  <c r="I973" i="3" s="1"/>
  <c r="J973" i="3" s="1"/>
  <c r="H753" i="3"/>
  <c r="I753" i="3" s="1"/>
  <c r="J753" i="3" s="1"/>
  <c r="G277" i="3"/>
  <c r="H1214" i="3"/>
  <c r="I1214" i="3" s="1"/>
  <c r="J1214" i="3" s="1"/>
  <c r="H1083" i="3"/>
  <c r="I1083" i="3" s="1"/>
  <c r="J1083" i="3" s="1"/>
  <c r="H971" i="3"/>
  <c r="I971" i="3" s="1"/>
  <c r="J971" i="3" s="1"/>
  <c r="G751" i="3"/>
  <c r="G616" i="3"/>
  <c r="H161" i="3"/>
  <c r="I161" i="3" s="1"/>
  <c r="J161" i="3" s="1"/>
  <c r="G131" i="3"/>
  <c r="H1466" i="3"/>
  <c r="I1466" i="3" s="1"/>
  <c r="J1466" i="3" s="1"/>
  <c r="H1187" i="3"/>
  <c r="I1187" i="3" s="1"/>
  <c r="J1187" i="3" s="1"/>
  <c r="G722" i="3"/>
  <c r="H7" i="3"/>
  <c r="I7" i="3" s="1"/>
  <c r="J7" i="3" s="1"/>
  <c r="H1364" i="3"/>
  <c r="I1364" i="3" s="1"/>
  <c r="J1364" i="3" s="1"/>
  <c r="H1161" i="3"/>
  <c r="I1161" i="3" s="1"/>
  <c r="J1161" i="3" s="1"/>
  <c r="G942" i="3"/>
  <c r="H669" i="3"/>
  <c r="I669" i="3" s="1"/>
  <c r="J669" i="3" s="1"/>
  <c r="H614" i="3"/>
  <c r="I614" i="3" s="1"/>
  <c r="J614" i="3" s="1"/>
  <c r="H444" i="3"/>
  <c r="I444" i="3" s="1"/>
  <c r="J444" i="3" s="1"/>
  <c r="G1541" i="3"/>
  <c r="H1518" i="3"/>
  <c r="I1518" i="3" s="1"/>
  <c r="J1518" i="3" s="1"/>
  <c r="H1439" i="3"/>
  <c r="I1439" i="3" s="1"/>
  <c r="J1439" i="3" s="1"/>
  <c r="H1338" i="3"/>
  <c r="I1338" i="3" s="1"/>
  <c r="J1338" i="3" s="1"/>
  <c r="H915" i="3"/>
  <c r="I915" i="3" s="1"/>
  <c r="J915" i="3" s="1"/>
  <c r="H360" i="3"/>
  <c r="I360" i="3" s="1"/>
  <c r="J360" i="3" s="1"/>
  <c r="H1409" i="3"/>
  <c r="I1409" i="3" s="1"/>
  <c r="J1409" i="3" s="1"/>
  <c r="G773" i="3"/>
  <c r="H1538" i="3"/>
  <c r="I1538" i="3" s="1"/>
  <c r="J1538" i="3" s="1"/>
  <c r="G1209" i="3"/>
  <c r="H718" i="3"/>
  <c r="I718" i="3" s="1"/>
  <c r="J718" i="3" s="1"/>
  <c r="H125" i="3"/>
  <c r="I125" i="3" s="1"/>
  <c r="J125" i="3" s="1"/>
  <c r="G1488" i="3"/>
  <c r="H1435" i="3"/>
  <c r="I1435" i="3" s="1"/>
  <c r="J1435" i="3" s="1"/>
  <c r="G1233" i="3"/>
  <c r="G637" i="3"/>
  <c r="H799" i="3"/>
  <c r="I799" i="3" s="1"/>
  <c r="J799" i="3" s="1"/>
  <c r="H1384" i="3"/>
  <c r="I1384" i="3" s="1"/>
  <c r="J1384" i="3" s="1"/>
  <c r="H1100" i="3"/>
  <c r="I1100" i="3" s="1"/>
  <c r="J1100" i="3" s="1"/>
  <c r="G691" i="3"/>
  <c r="G382" i="3"/>
  <c r="G267" i="3"/>
  <c r="G438" i="3"/>
  <c r="G180" i="3"/>
  <c r="H152" i="3"/>
  <c r="I152" i="3" s="1"/>
  <c r="J152" i="3" s="1"/>
  <c r="G1568" i="3"/>
  <c r="H1255" i="3"/>
  <c r="I1255" i="3" s="1"/>
  <c r="J1255" i="3" s="1"/>
  <c r="H1512" i="3"/>
  <c r="I1512" i="3" s="1"/>
  <c r="J1512" i="3" s="1"/>
  <c r="H1230" i="3"/>
  <c r="I1230" i="3" s="1"/>
  <c r="J1230" i="3" s="1"/>
  <c r="G960" i="3"/>
  <c r="H353" i="3"/>
  <c r="I353" i="3" s="1"/>
  <c r="J353" i="3" s="1"/>
  <c r="G520" i="3"/>
  <c r="H90" i="3"/>
  <c r="I90" i="3" s="1"/>
  <c r="J90" i="3" s="1"/>
  <c r="G633" i="3"/>
  <c r="G491" i="3"/>
  <c r="G379" i="3"/>
  <c r="G878" i="3"/>
  <c r="H822" i="3"/>
  <c r="I822" i="3" s="1"/>
  <c r="J822" i="3" s="1"/>
  <c r="H1556" i="3"/>
  <c r="I1556" i="3" s="1"/>
  <c r="J1556" i="3" s="1"/>
  <c r="G1532" i="3"/>
  <c r="G1276" i="3"/>
  <c r="H1095" i="3"/>
  <c r="I1095" i="3" s="1"/>
  <c r="J1095" i="3" s="1"/>
  <c r="H1041" i="3"/>
  <c r="I1041" i="3" s="1"/>
  <c r="J1041" i="3" s="1"/>
  <c r="G1579" i="3"/>
  <c r="G984" i="3"/>
  <c r="H957" i="3"/>
  <c r="I957" i="3" s="1"/>
  <c r="J957" i="3" s="1"/>
  <c r="H877" i="3"/>
  <c r="I877" i="3" s="1"/>
  <c r="J877" i="3" s="1"/>
  <c r="H516" i="3"/>
  <c r="I516" i="3" s="1"/>
  <c r="J516" i="3" s="1"/>
  <c r="H174" i="3"/>
  <c r="I174" i="3" s="1"/>
  <c r="J174" i="3" s="1"/>
  <c r="H1531" i="3"/>
  <c r="I1531" i="3" s="1"/>
  <c r="J1531" i="3" s="1"/>
  <c r="H1175" i="3"/>
  <c r="I1175" i="3" s="1"/>
  <c r="J1175" i="3" s="1"/>
  <c r="H657" i="3"/>
  <c r="I657" i="3" s="1"/>
  <c r="J657" i="3" s="1"/>
  <c r="H545" i="3"/>
  <c r="I545" i="3" s="1"/>
  <c r="J545" i="3" s="1"/>
  <c r="H458" i="3"/>
  <c r="I458" i="3" s="1"/>
  <c r="J458" i="3" s="1"/>
  <c r="H431" i="3"/>
  <c r="I431" i="3" s="1"/>
  <c r="J431" i="3" s="1"/>
  <c r="H1557" i="3"/>
  <c r="I1557" i="3" s="1"/>
  <c r="J1557" i="3" s="1"/>
  <c r="G1377" i="3"/>
  <c r="G1300" i="3"/>
  <c r="G403" i="3"/>
  <c r="G486" i="3"/>
  <c r="H1224" i="3"/>
  <c r="I1224" i="3" s="1"/>
  <c r="J1224" i="3" s="1"/>
  <c r="H955" i="3"/>
  <c r="I955" i="3" s="1"/>
  <c r="J955" i="3" s="1"/>
  <c r="H901" i="3"/>
  <c r="I901" i="3" s="1"/>
  <c r="J901" i="3" s="1"/>
  <c r="H875" i="3"/>
  <c r="I875" i="3" s="1"/>
  <c r="J875" i="3" s="1"/>
  <c r="G1376" i="3"/>
  <c r="G1249" i="3"/>
  <c r="H1065" i="3"/>
  <c r="I1065" i="3" s="1"/>
  <c r="J1065" i="3" s="1"/>
  <c r="H900" i="3"/>
  <c r="I900" i="3" s="1"/>
  <c r="J900" i="3" s="1"/>
  <c r="G788" i="3"/>
  <c r="H484" i="3"/>
  <c r="I484" i="3" s="1"/>
  <c r="J484" i="3" s="1"/>
  <c r="G345" i="3"/>
  <c r="G1468" i="5"/>
  <c r="G1368" i="5"/>
  <c r="G1235" i="5"/>
  <c r="H1158" i="5"/>
  <c r="I1158" i="5" s="1"/>
  <c r="J1158" i="5" s="1"/>
  <c r="G1134" i="5"/>
  <c r="H954" i="5"/>
  <c r="I954" i="5" s="1"/>
  <c r="J954" i="5" s="1"/>
  <c r="G629" i="5"/>
  <c r="G356" i="5"/>
  <c r="H256" i="5"/>
  <c r="I256" i="5" s="1"/>
  <c r="J256" i="5" s="1"/>
  <c r="H1054" i="5"/>
  <c r="I1054" i="5" s="1"/>
  <c r="J1054" i="5" s="1"/>
  <c r="G1028" i="5"/>
  <c r="H767" i="5"/>
  <c r="I767" i="5" s="1"/>
  <c r="J767" i="5" s="1"/>
  <c r="G518" i="5"/>
  <c r="H4" i="5"/>
  <c r="I4" i="5" s="1"/>
  <c r="J4" i="5" s="1"/>
  <c r="H1234" i="5"/>
  <c r="I1234" i="5" s="1"/>
  <c r="J1234" i="5" s="1"/>
  <c r="H794" i="5"/>
  <c r="I794" i="5" s="1"/>
  <c r="J794" i="5" s="1"/>
  <c r="H381" i="5"/>
  <c r="I381" i="5" s="1"/>
  <c r="J381" i="5" s="1"/>
  <c r="H328" i="5"/>
  <c r="I328" i="5" s="1"/>
  <c r="J328" i="5" s="1"/>
  <c r="H408" i="5"/>
  <c r="I408" i="5" s="1"/>
  <c r="J408" i="5" s="1"/>
  <c r="L1599" i="5"/>
  <c r="H1466" i="5"/>
  <c r="I1466" i="5" s="1"/>
  <c r="J1466" i="5" s="1"/>
  <c r="H1284" i="5"/>
  <c r="I1284" i="5" s="1"/>
  <c r="J1284" i="5" s="1"/>
  <c r="G821" i="5"/>
  <c r="H653" i="5"/>
  <c r="I653" i="5" s="1"/>
  <c r="J653" i="5" s="1"/>
  <c r="G327" i="5"/>
  <c r="H183" i="5"/>
  <c r="I183" i="5" s="1"/>
  <c r="J183" i="5" s="1"/>
  <c r="H1490" i="5"/>
  <c r="I1490" i="5" s="1"/>
  <c r="J1490" i="5" s="1"/>
  <c r="G1390" i="5"/>
  <c r="H1310" i="5"/>
  <c r="I1310" i="5" s="1"/>
  <c r="J1310" i="5" s="1"/>
  <c r="H1104" i="5"/>
  <c r="I1104" i="5" s="1"/>
  <c r="J1104" i="5" s="1"/>
  <c r="G1596" i="5"/>
  <c r="G84" i="5"/>
  <c r="H1154" i="5"/>
  <c r="I1154" i="5" s="1"/>
  <c r="J1154" i="5" s="1"/>
  <c r="H1026" i="5"/>
  <c r="I1026" i="5" s="1"/>
  <c r="J1026" i="5" s="1"/>
  <c r="H253" i="5"/>
  <c r="I253" i="5" s="1"/>
  <c r="J253" i="5" s="1"/>
  <c r="H1050" i="5"/>
  <c r="I1050" i="5" s="1"/>
  <c r="J1050" i="5" s="1"/>
  <c r="G870" i="5"/>
  <c r="H300" i="5"/>
  <c r="I300" i="5" s="1"/>
  <c r="J300" i="5" s="1"/>
  <c r="H227" i="5"/>
  <c r="I227" i="5" s="1"/>
  <c r="J227" i="5" s="1"/>
  <c r="G134" i="5"/>
  <c r="G108" i="5"/>
  <c r="H60" i="5"/>
  <c r="I60" i="5" s="1"/>
  <c r="J60" i="5" s="1"/>
  <c r="H1642" i="5"/>
  <c r="I1642" i="5" s="1"/>
  <c r="J1642" i="5" s="1"/>
  <c r="H1489" i="5"/>
  <c r="I1489" i="5" s="1"/>
  <c r="J1489" i="5" s="1"/>
  <c r="G1619" i="5"/>
  <c r="G1568" i="5"/>
  <c r="H1129" i="5"/>
  <c r="I1129" i="5" s="1"/>
  <c r="J1129" i="5" s="1"/>
  <c r="G844" i="5"/>
  <c r="G458" i="5"/>
  <c r="G157" i="5"/>
  <c r="H1281" i="5"/>
  <c r="I1281" i="5" s="1"/>
  <c r="J1281" i="5" s="1"/>
  <c r="G1101" i="5"/>
  <c r="G971" i="5"/>
  <c r="H843" i="5"/>
  <c r="I843" i="5" s="1"/>
  <c r="J843" i="5" s="1"/>
  <c r="H349" i="5"/>
  <c r="I349" i="5" s="1"/>
  <c r="H868" i="5"/>
  <c r="I868" i="5" s="1"/>
  <c r="J868" i="5" s="1"/>
  <c r="H225" i="5"/>
  <c r="I225" i="5" s="1"/>
  <c r="J225" i="5" s="1"/>
  <c r="H202" i="5"/>
  <c r="I202" i="5" s="1"/>
  <c r="J202" i="5" s="1"/>
  <c r="G921" i="5"/>
  <c r="H80" i="5"/>
  <c r="I80" i="5" s="1"/>
  <c r="J80" i="5" s="1"/>
  <c r="G787" i="5"/>
  <c r="G674" i="5"/>
  <c r="H57" i="5"/>
  <c r="I57" i="5" s="1"/>
  <c r="J57" i="5" s="1"/>
  <c r="H1252" i="5"/>
  <c r="I1252" i="5" s="1"/>
  <c r="J1252" i="5" s="1"/>
  <c r="G1510" i="5"/>
  <c r="H1151" i="5"/>
  <c r="I1151" i="5" s="1"/>
  <c r="J1151" i="5" s="1"/>
  <c r="H969" i="5"/>
  <c r="I969" i="5" s="1"/>
  <c r="J969" i="5" s="1"/>
  <c r="H321" i="5"/>
  <c r="I321" i="5" s="1"/>
  <c r="J321" i="5" s="1"/>
  <c r="H297" i="5"/>
  <c r="I297" i="5" s="1"/>
  <c r="J297" i="5" s="1"/>
  <c r="H154" i="5"/>
  <c r="I154" i="5" s="1"/>
  <c r="J154" i="5" s="1"/>
  <c r="H1277" i="5"/>
  <c r="I1277" i="5" s="1"/>
  <c r="J1277" i="5" s="1"/>
  <c r="H427" i="5"/>
  <c r="I427" i="5" s="1"/>
  <c r="J427" i="5" s="1"/>
  <c r="H320" i="5"/>
  <c r="I320" i="5" s="1"/>
  <c r="J320" i="5" s="1"/>
  <c r="G222" i="5"/>
  <c r="H588" i="5"/>
  <c r="I588" i="5" s="1"/>
  <c r="J588" i="5" s="1"/>
  <c r="H536" i="5"/>
  <c r="I536" i="5" s="1"/>
  <c r="J536" i="5" s="1"/>
  <c r="H509" i="5"/>
  <c r="I509" i="5" s="1"/>
  <c r="J509" i="5" s="1"/>
  <c r="H452" i="5"/>
  <c r="I452" i="5" s="1"/>
  <c r="J452" i="5" s="1"/>
  <c r="G29" i="5"/>
  <c r="H944" i="5"/>
  <c r="I944" i="5" s="1"/>
  <c r="J944" i="5" s="1"/>
  <c r="G890" i="5"/>
  <c r="H344" i="5"/>
  <c r="I344" i="5" s="1"/>
  <c r="J344" i="5" s="1"/>
  <c r="H269" i="5"/>
  <c r="I269" i="5" s="1"/>
  <c r="J269" i="5" s="1"/>
  <c r="H77" i="5"/>
  <c r="I77" i="5" s="1"/>
  <c r="J77" i="5" s="1"/>
  <c r="G174" i="5"/>
  <c r="H1612" i="5"/>
  <c r="I1612" i="5" s="1"/>
  <c r="J1612" i="5" s="1"/>
  <c r="H989" i="5"/>
  <c r="I989" i="5" s="1"/>
  <c r="J989" i="5" s="1"/>
  <c r="G149" i="5"/>
  <c r="H1559" i="5"/>
  <c r="I1559" i="5" s="1"/>
  <c r="J1559" i="5" s="1"/>
  <c r="G1380" i="5"/>
  <c r="G1353" i="5"/>
  <c r="H1145" i="5"/>
  <c r="I1145" i="5" s="1"/>
  <c r="J1145" i="5" s="1"/>
  <c r="H964" i="5"/>
  <c r="I964" i="5" s="1"/>
  <c r="J964" i="5" s="1"/>
  <c r="G506" i="5"/>
  <c r="G780" i="5"/>
  <c r="G694" i="5"/>
  <c r="H449" i="5"/>
  <c r="I449" i="5" s="1"/>
  <c r="J449" i="5" s="1"/>
  <c r="G266" i="5"/>
  <c r="G1327" i="5"/>
  <c r="G913" i="5"/>
  <c r="G98" i="5"/>
  <c r="G25" i="5"/>
  <c r="H1634" i="5"/>
  <c r="I1634" i="5" s="1"/>
  <c r="J1634" i="5" s="1"/>
  <c r="G1531" i="5"/>
  <c r="G1352" i="5"/>
  <c r="H172" i="5"/>
  <c r="I172" i="5" s="1"/>
  <c r="J172" i="5" s="1"/>
  <c r="H75" i="5"/>
  <c r="I75" i="5" s="1"/>
  <c r="J75" i="5" s="1"/>
  <c r="G1479" i="5"/>
  <c r="G1170" i="5"/>
  <c r="H693" i="5"/>
  <c r="I693" i="5" s="1"/>
  <c r="J693" i="5" s="1"/>
  <c r="H584" i="5"/>
  <c r="I584" i="5" s="1"/>
  <c r="J584" i="5" s="1"/>
  <c r="H1221" i="5"/>
  <c r="I1221" i="5" s="1"/>
  <c r="J1221" i="5" s="1"/>
  <c r="H912" i="5"/>
  <c r="I912" i="5" s="1"/>
  <c r="J912" i="5" s="1"/>
  <c r="G806" i="5"/>
  <c r="G242" i="5"/>
  <c r="H1429" i="5"/>
  <c r="I1429" i="5" s="1"/>
  <c r="J1429" i="5" s="1"/>
  <c r="H1402" i="5"/>
  <c r="I1402" i="5" s="1"/>
  <c r="J1402" i="5" s="1"/>
  <c r="H1298" i="5"/>
  <c r="I1298" i="5" s="1"/>
  <c r="J1298" i="5" s="1"/>
  <c r="H986" i="5"/>
  <c r="I986" i="5" s="1"/>
  <c r="J986" i="5" s="1"/>
  <c r="H962" i="5"/>
  <c r="I962" i="5" s="1"/>
  <c r="J962" i="5" s="1"/>
  <c r="H884" i="5"/>
  <c r="I884" i="5" s="1"/>
  <c r="J884" i="5" s="1"/>
  <c r="G610" i="5"/>
  <c r="G503" i="5"/>
  <c r="H171" i="5"/>
  <c r="I171" i="5" s="1"/>
  <c r="J171" i="5" s="1"/>
  <c r="G1038" i="5"/>
  <c r="G911" i="5"/>
  <c r="H73" i="5"/>
  <c r="I73" i="5" s="1"/>
  <c r="J73" i="5" s="1"/>
  <c r="G48" i="5"/>
  <c r="H1219" i="5"/>
  <c r="I1219" i="5" s="1"/>
  <c r="J1219" i="5" s="1"/>
  <c r="H609" i="5"/>
  <c r="I609" i="5" s="1"/>
  <c r="J609" i="5" s="1"/>
  <c r="G1555" i="5"/>
  <c r="H1476" i="5"/>
  <c r="I1476" i="5" s="1"/>
  <c r="J1476" i="5" s="1"/>
  <c r="G985" i="5"/>
  <c r="G910" i="5"/>
  <c r="H553" i="5"/>
  <c r="I553" i="5" s="1"/>
  <c r="J553" i="5" s="1"/>
  <c r="H1499" i="5"/>
  <c r="I1499" i="5" s="1"/>
  <c r="J1499" i="5" s="1"/>
  <c r="G1140" i="5"/>
  <c r="H417" i="5"/>
  <c r="I417" i="5" s="1"/>
  <c r="J417" i="5" s="1"/>
  <c r="H145" i="5"/>
  <c r="I145" i="5" s="1"/>
  <c r="J145" i="5" s="1"/>
  <c r="H47" i="5"/>
  <c r="I47" i="5" s="1"/>
  <c r="J47" i="5" s="1"/>
  <c r="H1606" i="5"/>
  <c r="I1606" i="5" s="1"/>
  <c r="J1606" i="5" s="1"/>
  <c r="G1241" i="5"/>
  <c r="H1192" i="5"/>
  <c r="I1192" i="5" s="1"/>
  <c r="J1192" i="5" s="1"/>
  <c r="G984" i="5"/>
  <c r="H444" i="5"/>
  <c r="I444" i="5" s="1"/>
  <c r="J444" i="5" s="1"/>
  <c r="L21" i="5"/>
  <c r="G286" i="5"/>
  <c r="H551" i="5"/>
  <c r="I551" i="5" s="1"/>
  <c r="J551" i="5" s="1"/>
  <c r="H20" i="5"/>
  <c r="I20" i="5" s="1"/>
  <c r="J20" i="5" s="1"/>
  <c r="G660" i="5"/>
  <c r="H334" i="5"/>
  <c r="I334" i="5" s="1"/>
  <c r="H168" i="5"/>
  <c r="I168" i="5" s="1"/>
  <c r="J168" i="5" s="1"/>
  <c r="G1371" i="5"/>
  <c r="G1318" i="5"/>
  <c r="G1162" i="5"/>
  <c r="G1496" i="5"/>
  <c r="H67" i="5"/>
  <c r="I67" i="5" s="1"/>
  <c r="J67" i="5" s="1"/>
  <c r="G440" i="5"/>
  <c r="G412" i="5"/>
  <c r="G188" i="5"/>
  <c r="G1521" i="5"/>
  <c r="G1030" i="5"/>
  <c r="H955" i="5"/>
  <c r="I955" i="5" s="1"/>
  <c r="J955" i="5" s="1"/>
  <c r="G876" i="5"/>
  <c r="H89" i="5"/>
  <c r="I89" i="5" s="1"/>
  <c r="J89" i="5" s="1"/>
  <c r="G930" i="5"/>
  <c r="H602" i="5"/>
  <c r="I602" i="5" s="1"/>
  <c r="J602" i="5" s="1"/>
  <c r="H384" i="5"/>
  <c r="I384" i="5" s="1"/>
  <c r="J384" i="5" s="1"/>
  <c r="G66" i="5"/>
  <c r="H1055" i="5"/>
  <c r="I1055" i="5" s="1"/>
  <c r="J1055" i="5" s="1"/>
  <c r="G1394" i="5"/>
  <c r="G1003" i="5"/>
  <c r="G849" i="5"/>
  <c r="G796" i="5"/>
  <c r="H656" i="5"/>
  <c r="I656" i="5" s="1"/>
  <c r="J656" i="5" s="1"/>
  <c r="H139" i="5"/>
  <c r="I139" i="5" s="1"/>
  <c r="J139" i="5" s="1"/>
  <c r="L699" i="5"/>
  <c r="L317" i="5"/>
  <c r="L1604" i="5"/>
  <c r="H1340" i="5"/>
  <c r="I1340" i="5" s="1"/>
  <c r="J1340" i="5" s="1"/>
  <c r="H1563" i="5"/>
  <c r="I1563" i="5" s="1"/>
  <c r="J1563" i="5" s="1"/>
  <c r="H1517" i="5"/>
  <c r="I1517" i="5" s="1"/>
  <c r="J1517" i="5" s="1"/>
  <c r="H1453" i="5"/>
  <c r="I1453" i="5" s="1"/>
  <c r="J1453" i="5" s="1"/>
  <c r="G1385" i="5"/>
  <c r="G886" i="5"/>
  <c r="G186" i="5"/>
  <c r="H103" i="5"/>
  <c r="I103" i="5" s="1"/>
  <c r="J103" i="5" s="1"/>
  <c r="H740" i="5"/>
  <c r="I740" i="5" s="1"/>
  <c r="J740" i="5" s="1"/>
  <c r="H1317" i="5"/>
  <c r="I1317" i="5" s="1"/>
  <c r="J1317" i="5" s="1"/>
  <c r="H929" i="5"/>
  <c r="I929" i="5" s="1"/>
  <c r="J929" i="5" s="1"/>
  <c r="G1495" i="5"/>
  <c r="G1363" i="5"/>
  <c r="G1227" i="5"/>
  <c r="G1110" i="5"/>
  <c r="H309" i="5"/>
  <c r="I309" i="5" s="1"/>
  <c r="J309" i="5" s="1"/>
  <c r="H164" i="5"/>
  <c r="I164" i="5" s="1"/>
  <c r="J164" i="5" s="1"/>
  <c r="H65" i="5"/>
  <c r="I65" i="5" s="1"/>
  <c r="J65" i="5" s="1"/>
  <c r="G45" i="5"/>
  <c r="H393" i="5"/>
  <c r="I393" i="5" s="1"/>
  <c r="J393" i="5" s="1"/>
  <c r="G371" i="5"/>
  <c r="H246" i="5"/>
  <c r="I246" i="5" s="1"/>
  <c r="J246" i="5" s="1"/>
  <c r="H1538" i="5"/>
  <c r="I1538" i="5" s="1"/>
  <c r="J1538" i="5" s="1"/>
  <c r="H1515" i="5"/>
  <c r="I1515" i="5" s="1"/>
  <c r="J1515" i="5" s="1"/>
  <c r="H1583" i="5"/>
  <c r="I1583" i="5" s="1"/>
  <c r="J1583" i="5" s="1"/>
  <c r="H690" i="5"/>
  <c r="I690" i="5" s="1"/>
  <c r="J690" i="5" s="1"/>
  <c r="G573" i="5"/>
  <c r="H548" i="5"/>
  <c r="I548" i="5" s="1"/>
  <c r="J548" i="5" s="1"/>
  <c r="H437" i="5"/>
  <c r="I437" i="5" s="1"/>
  <c r="J437" i="5" s="1"/>
  <c r="H370" i="5"/>
  <c r="I370" i="5" s="1"/>
  <c r="J370" i="5" s="1"/>
  <c r="H184" i="5"/>
  <c r="I184" i="5" s="1"/>
  <c r="J184" i="5" s="1"/>
  <c r="H1133" i="5"/>
  <c r="I1133" i="5" s="1"/>
  <c r="J1133" i="5" s="1"/>
  <c r="H970" i="5"/>
  <c r="I970" i="5" s="1"/>
  <c r="J970" i="5" s="1"/>
  <c r="H763" i="5"/>
  <c r="I763" i="5" s="1"/>
  <c r="J763" i="5" s="1"/>
  <c r="H714" i="5"/>
  <c r="I714" i="5" s="1"/>
  <c r="J714" i="5" s="1"/>
  <c r="H595" i="5"/>
  <c r="I595" i="5" s="1"/>
  <c r="J595" i="5" s="1"/>
  <c r="G100" i="5"/>
  <c r="H82" i="5"/>
  <c r="I82" i="5" s="1"/>
  <c r="J82" i="5" s="1"/>
  <c r="H1628" i="5"/>
  <c r="I1628" i="5" s="1"/>
  <c r="J1628" i="5" s="1"/>
  <c r="H1361" i="5"/>
  <c r="I1361" i="5" s="1"/>
  <c r="J1361" i="5" s="1"/>
  <c r="H1267" i="5"/>
  <c r="I1267" i="5" s="1"/>
  <c r="J1267" i="5" s="1"/>
  <c r="H1470" i="5"/>
  <c r="I1470" i="5" s="1"/>
  <c r="J1470" i="5" s="1"/>
  <c r="G1450" i="5"/>
  <c r="H1383" i="5"/>
  <c r="I1383" i="5" s="1"/>
  <c r="J1383" i="5" s="1"/>
  <c r="H1155" i="5"/>
  <c r="I1155" i="5" s="1"/>
  <c r="J1155" i="5" s="1"/>
  <c r="H905" i="5"/>
  <c r="I905" i="5" s="1"/>
  <c r="J905" i="5" s="1"/>
  <c r="H883" i="5"/>
  <c r="I883" i="5" s="1"/>
  <c r="J883" i="5" s="1"/>
  <c r="G738" i="5"/>
  <c r="H666" i="5"/>
  <c r="I666" i="5" s="1"/>
  <c r="J666" i="5" s="1"/>
  <c r="H644" i="5"/>
  <c r="I644" i="5" s="1"/>
  <c r="J644" i="5" s="1"/>
  <c r="G162" i="5"/>
  <c r="H1202" i="5"/>
  <c r="I1202" i="5" s="1"/>
  <c r="J1202" i="5" s="1"/>
  <c r="H1108" i="5"/>
  <c r="I1108" i="5" s="1"/>
  <c r="J1108" i="5" s="1"/>
  <c r="G1036" i="5"/>
  <c r="H689" i="5"/>
  <c r="I689" i="5" s="1"/>
  <c r="J689" i="5" s="1"/>
  <c r="H456" i="5"/>
  <c r="I456" i="5" s="1"/>
  <c r="J456" i="5" s="1"/>
  <c r="H414" i="5"/>
  <c r="I414" i="5" s="1"/>
  <c r="J414" i="5" s="1"/>
  <c r="H1560" i="5"/>
  <c r="I1560" i="5" s="1"/>
  <c r="J1560" i="5" s="1"/>
  <c r="H1336" i="5"/>
  <c r="I1336" i="5" s="1"/>
  <c r="J1336" i="5" s="1"/>
  <c r="H594" i="5"/>
  <c r="I594" i="5" s="1"/>
  <c r="J594" i="5" s="1"/>
  <c r="G504" i="5"/>
  <c r="H285" i="5"/>
  <c r="I285" i="5" s="1"/>
  <c r="J285" i="5" s="1"/>
  <c r="G263" i="5"/>
  <c r="G121" i="5"/>
  <c r="H1513" i="5"/>
  <c r="I1513" i="5" s="1"/>
  <c r="J1513" i="5" s="1"/>
  <c r="H1428" i="5"/>
  <c r="I1428" i="5" s="1"/>
  <c r="J1428" i="5" s="1"/>
  <c r="G1360" i="5"/>
  <c r="H1244" i="5"/>
  <c r="I1244" i="5" s="1"/>
  <c r="J1244" i="5" s="1"/>
  <c r="H1058" i="5"/>
  <c r="I1058" i="5" s="1"/>
  <c r="J1058" i="5" s="1"/>
  <c r="H1012" i="5"/>
  <c r="I1012" i="5" s="1"/>
  <c r="J1012" i="5" s="1"/>
  <c r="H785" i="5"/>
  <c r="I785" i="5" s="1"/>
  <c r="J785" i="5" s="1"/>
  <c r="G391" i="5"/>
  <c r="H81" i="5"/>
  <c r="I81" i="5" s="1"/>
  <c r="J81" i="5" s="1"/>
  <c r="G1491" i="5"/>
  <c r="G1469" i="5"/>
  <c r="G1382" i="5"/>
  <c r="H1313" i="5"/>
  <c r="I1313" i="5" s="1"/>
  <c r="J1313" i="5" s="1"/>
  <c r="H904" i="5"/>
  <c r="I904" i="5" s="1"/>
  <c r="J904" i="5" s="1"/>
  <c r="H882" i="5"/>
  <c r="I882" i="5" s="1"/>
  <c r="J882" i="5" s="1"/>
  <c r="G811" i="5"/>
  <c r="H737" i="5"/>
  <c r="I737" i="5" s="1"/>
  <c r="J737" i="5" s="1"/>
  <c r="G643" i="5"/>
  <c r="H619" i="5"/>
  <c r="I619" i="5" s="1"/>
  <c r="J619" i="5" s="1"/>
  <c r="H455" i="5"/>
  <c r="I455" i="5" s="1"/>
  <c r="J455" i="5" s="1"/>
  <c r="G435" i="5"/>
  <c r="G21" i="5"/>
  <c r="H1035" i="5"/>
  <c r="I1035" i="5" s="1"/>
  <c r="J1035" i="5" s="1"/>
  <c r="H988" i="5"/>
  <c r="I988" i="5" s="1"/>
  <c r="J988" i="5" s="1"/>
  <c r="H948" i="5"/>
  <c r="I948" i="5" s="1"/>
  <c r="J948" i="5" s="1"/>
  <c r="H761" i="5"/>
  <c r="I761" i="5" s="1"/>
  <c r="J761" i="5" s="1"/>
  <c r="G593" i="5"/>
  <c r="G546" i="5"/>
  <c r="H346" i="5"/>
  <c r="I346" i="5" s="1"/>
  <c r="G160" i="5"/>
  <c r="G1626" i="5"/>
  <c r="G1200" i="5"/>
  <c r="H924" i="5"/>
  <c r="I924" i="5" s="1"/>
  <c r="J924" i="5" s="1"/>
  <c r="G367" i="5"/>
  <c r="H120" i="5"/>
  <c r="I120" i="5" s="1"/>
  <c r="J120" i="5" s="1"/>
  <c r="H40" i="5"/>
  <c r="I40" i="5" s="1"/>
  <c r="J40" i="5" s="1"/>
  <c r="G836" i="5"/>
  <c r="H479" i="5"/>
  <c r="I479" i="5" s="1"/>
  <c r="J479" i="5" s="1"/>
  <c r="G434" i="5"/>
  <c r="H642" i="5"/>
  <c r="I642" i="5" s="1"/>
  <c r="J642" i="5" s="1"/>
  <c r="H545" i="5"/>
  <c r="I545" i="5" s="1"/>
  <c r="J545" i="5" s="1"/>
  <c r="H522" i="5"/>
  <c r="I522" i="5" s="1"/>
  <c r="J522" i="5" s="1"/>
  <c r="G502" i="5"/>
  <c r="H454" i="5"/>
  <c r="I454" i="5" s="1"/>
  <c r="J454" i="5" s="1"/>
  <c r="G261" i="5"/>
  <c r="H809" i="5"/>
  <c r="I809" i="5" s="1"/>
  <c r="J809" i="5" s="1"/>
  <c r="H783" i="5"/>
  <c r="I783" i="5" s="1"/>
  <c r="J783" i="5" s="1"/>
  <c r="H324" i="5"/>
  <c r="I324" i="5" s="1"/>
  <c r="J324" i="5" s="1"/>
  <c r="G710" i="5"/>
  <c r="H453" i="5"/>
  <c r="I453" i="5" s="1"/>
  <c r="J453" i="5" s="1"/>
  <c r="H433" i="5"/>
  <c r="I433" i="5" s="1"/>
  <c r="J433" i="5" s="1"/>
  <c r="H282" i="5"/>
  <c r="I282" i="5" s="1"/>
  <c r="J282" i="5" s="1"/>
  <c r="H521" i="5"/>
  <c r="I521" i="5" s="1"/>
  <c r="J521" i="5" s="1"/>
  <c r="H478" i="5"/>
  <c r="I478" i="5" s="1"/>
  <c r="J478" i="5" s="1"/>
  <c r="H365" i="5"/>
  <c r="I365" i="5" s="1"/>
  <c r="J365" i="5" s="1"/>
  <c r="H323" i="5"/>
  <c r="I323" i="5" s="1"/>
  <c r="J323" i="5" s="1"/>
  <c r="H922" i="5"/>
  <c r="I922" i="5" s="1"/>
  <c r="J922" i="5" s="1"/>
  <c r="H901" i="5"/>
  <c r="I901" i="5" s="1"/>
  <c r="J901" i="5" s="1"/>
  <c r="H410" i="5"/>
  <c r="I410" i="5" s="1"/>
  <c r="J410" i="5" s="1"/>
  <c r="G302" i="5"/>
  <c r="H97" i="5"/>
  <c r="I97" i="5" s="1"/>
  <c r="J97" i="5" s="1"/>
  <c r="G259" i="5"/>
  <c r="H659" i="5"/>
  <c r="I659" i="5" s="1"/>
  <c r="J659" i="5" s="1"/>
  <c r="H218" i="5"/>
  <c r="I218" i="5" s="1"/>
  <c r="J218" i="5" s="1"/>
  <c r="H199" i="5"/>
  <c r="I199" i="5" s="1"/>
  <c r="J199" i="5" s="1"/>
  <c r="G156" i="5"/>
  <c r="H36" i="5"/>
  <c r="I36" i="5" s="1"/>
  <c r="J36" i="5" s="1"/>
  <c r="G475" i="5"/>
  <c r="H341" i="5"/>
  <c r="I341" i="5" s="1"/>
  <c r="J341" i="5" s="1"/>
  <c r="H1283" i="5"/>
  <c r="I1283" i="5" s="1"/>
  <c r="J1283" i="5" s="1"/>
  <c r="G1260" i="5"/>
  <c r="H1238" i="5"/>
  <c r="I1238" i="5" s="1"/>
  <c r="J1238" i="5" s="1"/>
  <c r="H875" i="5"/>
  <c r="I875" i="5" s="1"/>
  <c r="J875" i="5" s="1"/>
  <c r="H851" i="5"/>
  <c r="I851" i="5" s="1"/>
  <c r="J851" i="5" s="1"/>
  <c r="H730" i="5"/>
  <c r="I730" i="5" s="1"/>
  <c r="J730" i="5" s="1"/>
  <c r="H257" i="5"/>
  <c r="I257" i="5" s="1"/>
  <c r="J257" i="5" s="1"/>
  <c r="G94" i="5"/>
  <c r="H1005" i="5"/>
  <c r="I1005" i="5" s="1"/>
  <c r="J1005" i="5" s="1"/>
  <c r="G983" i="5"/>
  <c r="H681" i="5"/>
  <c r="I681" i="5" s="1"/>
  <c r="J681" i="5" s="1"/>
  <c r="G495" i="5"/>
  <c r="H1528" i="5"/>
  <c r="I1528" i="5" s="1"/>
  <c r="J1528" i="5" s="1"/>
  <c r="G1464" i="5"/>
  <c r="H982" i="5"/>
  <c r="I982" i="5" s="1"/>
  <c r="J982" i="5" s="1"/>
  <c r="H777" i="5"/>
  <c r="I777" i="5" s="1"/>
  <c r="J777" i="5" s="1"/>
  <c r="H705" i="5"/>
  <c r="I705" i="5" s="1"/>
  <c r="J705" i="5" s="1"/>
  <c r="H428" i="5"/>
  <c r="I428" i="5" s="1"/>
  <c r="J428" i="5" s="1"/>
  <c r="H1305" i="5"/>
  <c r="I1305" i="5" s="1"/>
  <c r="J1305" i="5" s="1"/>
  <c r="H1236" i="5"/>
  <c r="I1236" i="5" s="1"/>
  <c r="J1236" i="5" s="1"/>
  <c r="H1169" i="5"/>
  <c r="I1169" i="5" s="1"/>
  <c r="J1169" i="5" s="1"/>
  <c r="H941" i="5"/>
  <c r="I941" i="5" s="1"/>
  <c r="J941" i="5" s="1"/>
  <c r="H276" i="5"/>
  <c r="I276" i="5" s="1"/>
  <c r="J276" i="5" s="1"/>
  <c r="G1618" i="5"/>
  <c r="H585" i="5"/>
  <c r="I585" i="5" s="1"/>
  <c r="J585" i="5" s="1"/>
  <c r="H448" i="5"/>
  <c r="I448" i="5" s="1"/>
  <c r="J448" i="5" s="1"/>
  <c r="G1257" i="5"/>
  <c r="H338" i="5"/>
  <c r="I338" i="5" s="1"/>
  <c r="H92" i="5"/>
  <c r="I92" i="5" s="1"/>
  <c r="J92" i="5" s="1"/>
  <c r="G1214" i="5"/>
  <c r="G827" i="5"/>
  <c r="H493" i="5"/>
  <c r="I493" i="5" s="1"/>
  <c r="J493" i="5" s="1"/>
  <c r="H1637" i="5"/>
  <c r="I1637" i="5" s="1"/>
  <c r="J1637" i="5" s="1"/>
  <c r="H1326" i="5"/>
  <c r="I1326" i="5" s="1"/>
  <c r="J1326" i="5" s="1"/>
  <c r="G53" i="5"/>
  <c r="H10" i="5"/>
  <c r="I10" i="5" s="1"/>
  <c r="J10" i="5" s="1"/>
  <c r="G1525" i="5"/>
  <c r="G1481" i="5"/>
  <c r="H1461" i="5"/>
  <c r="I1461" i="5" s="1"/>
  <c r="J1461" i="5" s="1"/>
  <c r="G1393" i="5"/>
  <c r="H1120" i="5"/>
  <c r="I1120" i="5" s="1"/>
  <c r="J1120" i="5" s="1"/>
  <c r="H980" i="5"/>
  <c r="I980" i="5" s="1"/>
  <c r="J980" i="5" s="1"/>
  <c r="G893" i="5"/>
  <c r="G677" i="5"/>
  <c r="H515" i="5"/>
  <c r="I515" i="5" s="1"/>
  <c r="J515" i="5" s="1"/>
  <c r="H379" i="5"/>
  <c r="I379" i="5" s="1"/>
  <c r="G337" i="5"/>
  <c r="H296" i="5"/>
  <c r="I296" i="5" s="1"/>
  <c r="J296" i="5" s="1"/>
  <c r="H31" i="5"/>
  <c r="I31" i="5" s="1"/>
  <c r="J31" i="5" s="1"/>
  <c r="G1501" i="5"/>
  <c r="H558" i="5"/>
  <c r="I558" i="5" s="1"/>
  <c r="J558" i="5" s="1"/>
  <c r="H274" i="5"/>
  <c r="I274" i="5" s="1"/>
  <c r="J274" i="5" s="1"/>
  <c r="G130" i="5"/>
  <c r="G1636" i="5"/>
  <c r="G1416" i="5"/>
  <c r="G1000" i="5"/>
  <c r="H774" i="5"/>
  <c r="I774" i="5" s="1"/>
  <c r="J774" i="5" s="1"/>
  <c r="H749" i="5"/>
  <c r="I749" i="5" s="1"/>
  <c r="J749" i="5" s="1"/>
  <c r="G468" i="5"/>
  <c r="H445" i="5"/>
  <c r="I445" i="5" s="1"/>
  <c r="J445" i="5" s="1"/>
  <c r="H336" i="5"/>
  <c r="I336" i="5" s="1"/>
  <c r="J336" i="5" s="1"/>
  <c r="H315" i="5"/>
  <c r="I315" i="5" s="1"/>
  <c r="J315" i="5" s="1"/>
  <c r="G1369" i="5"/>
  <c r="H1069" i="5"/>
  <c r="I1069" i="5" s="1"/>
  <c r="J1069" i="5" s="1"/>
  <c r="G71" i="5"/>
  <c r="H30" i="5"/>
  <c r="I30" i="5" s="1"/>
  <c r="J30" i="5" s="1"/>
  <c r="H1165" i="5"/>
  <c r="I1165" i="5" s="1"/>
  <c r="J1165" i="5" s="1"/>
  <c r="H1045" i="5"/>
  <c r="I1045" i="5" s="1"/>
  <c r="J1045" i="5" s="1"/>
  <c r="H958" i="5"/>
  <c r="I958" i="5" s="1"/>
  <c r="J958" i="5" s="1"/>
  <c r="H491" i="5"/>
  <c r="I491" i="5" s="1"/>
  <c r="J491" i="5" s="1"/>
  <c r="H231" i="5"/>
  <c r="I231" i="5" s="1"/>
  <c r="J231" i="5" s="1"/>
  <c r="H129" i="5"/>
  <c r="I129" i="5" s="1"/>
  <c r="J129" i="5" s="1"/>
  <c r="H9" i="5"/>
  <c r="I9" i="5" s="1"/>
  <c r="J9" i="5" s="1"/>
  <c r="G1523" i="5"/>
  <c r="G1415" i="5"/>
  <c r="H1391" i="5"/>
  <c r="I1391" i="5" s="1"/>
  <c r="J1391" i="5" s="1"/>
  <c r="G891" i="5"/>
  <c r="G748" i="5"/>
  <c r="G699" i="5"/>
  <c r="G513" i="5"/>
  <c r="H424" i="5"/>
  <c r="I424" i="5" s="1"/>
  <c r="J424" i="5" s="1"/>
  <c r="H400" i="5"/>
  <c r="I400" i="5" s="1"/>
  <c r="J400" i="5" s="1"/>
  <c r="G335" i="5"/>
  <c r="H272" i="5"/>
  <c r="I272" i="5" s="1"/>
  <c r="J272" i="5" s="1"/>
  <c r="H555" i="5"/>
  <c r="I555" i="5" s="1"/>
  <c r="J555" i="5" s="1"/>
  <c r="G70" i="5"/>
  <c r="H977" i="5"/>
  <c r="I977" i="5" s="1"/>
  <c r="J977" i="5" s="1"/>
  <c r="H747" i="5"/>
  <c r="I747" i="5" s="1"/>
  <c r="J747" i="5" s="1"/>
  <c r="H512" i="5"/>
  <c r="I512" i="5" s="1"/>
  <c r="J512" i="5" s="1"/>
  <c r="G673" i="5"/>
  <c r="G650" i="5"/>
  <c r="H107" i="5"/>
  <c r="I107" i="5" s="1"/>
  <c r="J107" i="5" s="1"/>
  <c r="H49" i="5"/>
  <c r="I49" i="5" s="1"/>
  <c r="J49" i="5" s="1"/>
  <c r="H375" i="5"/>
  <c r="I375" i="5" s="1"/>
  <c r="J375" i="5" s="1"/>
  <c r="H1455" i="5"/>
  <c r="I1455" i="5" s="1"/>
  <c r="J1455" i="5" s="1"/>
  <c r="H1413" i="5"/>
  <c r="I1413" i="5" s="1"/>
  <c r="J1413" i="5" s="1"/>
  <c r="G1186" i="5"/>
  <c r="G1042" i="5"/>
  <c r="H1497" i="5"/>
  <c r="I1497" i="5" s="1"/>
  <c r="J1497" i="5" s="1"/>
  <c r="H1297" i="5"/>
  <c r="I1297" i="5" s="1"/>
  <c r="J1297" i="5" s="1"/>
  <c r="G1230" i="5"/>
  <c r="H1207" i="5"/>
  <c r="I1207" i="5" s="1"/>
  <c r="J1207" i="5" s="1"/>
  <c r="H1064" i="5"/>
  <c r="I1064" i="5" s="1"/>
  <c r="J1064" i="5" s="1"/>
  <c r="G1210" i="5"/>
  <c r="G1611" i="5"/>
  <c r="H1587" i="5"/>
  <c r="I1587" i="5" s="1"/>
  <c r="J1587" i="5" s="1"/>
  <c r="G1137" i="5"/>
  <c r="H994" i="5"/>
  <c r="I994" i="5" s="1"/>
  <c r="J994" i="5" s="1"/>
  <c r="H974" i="5"/>
  <c r="I974" i="5" s="1"/>
  <c r="J974" i="5" s="1"/>
  <c r="H719" i="5"/>
  <c r="I719" i="5" s="1"/>
  <c r="J719" i="5" s="1"/>
  <c r="H268" i="5"/>
  <c r="I268" i="5" s="1"/>
  <c r="J268" i="5" s="1"/>
  <c r="H1263" i="5"/>
  <c r="I1263" i="5" s="1"/>
  <c r="J1263" i="5" s="1"/>
  <c r="G1542" i="5"/>
  <c r="H1475" i="5"/>
  <c r="I1475" i="5" s="1"/>
  <c r="J1475" i="5" s="1"/>
  <c r="H909" i="5"/>
  <c r="I909" i="5" s="1"/>
  <c r="J909" i="5" s="1"/>
  <c r="G352" i="5"/>
  <c r="H311" i="5"/>
  <c r="I311" i="5" s="1"/>
  <c r="J311" i="5" s="1"/>
  <c r="H1518" i="5"/>
  <c r="I1518" i="5" s="1"/>
  <c r="J1518" i="5" s="1"/>
  <c r="H1454" i="5"/>
  <c r="I1454" i="5" s="1"/>
  <c r="J1454" i="5" s="1"/>
  <c r="H1296" i="5"/>
  <c r="I1296" i="5" s="1"/>
  <c r="J1296" i="5" s="1"/>
  <c r="H887" i="5"/>
  <c r="I887" i="5" s="1"/>
  <c r="J887" i="5" s="1"/>
  <c r="H864" i="5"/>
  <c r="I864" i="5" s="1"/>
  <c r="J864" i="5" s="1"/>
  <c r="H842" i="5"/>
  <c r="I842" i="5" s="1"/>
  <c r="J842" i="5" s="1"/>
  <c r="H647" i="5"/>
  <c r="I647" i="5" s="1"/>
  <c r="J647" i="5" s="1"/>
  <c r="H529" i="5"/>
  <c r="I529" i="5" s="1"/>
  <c r="J529" i="5" s="1"/>
  <c r="G486" i="5"/>
  <c r="G226" i="5"/>
  <c r="G125" i="5"/>
  <c r="H104" i="5"/>
  <c r="I104" i="5" s="1"/>
  <c r="J104" i="5" s="1"/>
  <c r="H1564" i="5"/>
  <c r="I1564" i="5" s="1"/>
  <c r="J1564" i="5" s="1"/>
  <c r="G1386" i="5"/>
  <c r="H576" i="5"/>
  <c r="I576" i="5" s="1"/>
  <c r="J576" i="5" s="1"/>
  <c r="H373" i="5"/>
  <c r="I373" i="5" s="1"/>
  <c r="J373" i="5" s="1"/>
  <c r="H85" i="5"/>
  <c r="I85" i="5" s="1"/>
  <c r="J85" i="5" s="1"/>
  <c r="H1256" i="5"/>
  <c r="I1256" i="5" s="1"/>
  <c r="J1256" i="5" s="1"/>
  <c r="G1256" i="5"/>
  <c r="H1198" i="5"/>
  <c r="I1198" i="5" s="1"/>
  <c r="J1198" i="5" s="1"/>
  <c r="G1041" i="5"/>
  <c r="H1041" i="5"/>
  <c r="I1041" i="5" s="1"/>
  <c r="J1041" i="5" s="1"/>
  <c r="H773" i="5"/>
  <c r="I773" i="5" s="1"/>
  <c r="J773" i="5" s="1"/>
  <c r="H1554" i="5"/>
  <c r="I1554" i="5" s="1"/>
  <c r="J1554" i="5" s="1"/>
  <c r="H1533" i="5"/>
  <c r="I1533" i="5" s="1"/>
  <c r="J1533" i="5" s="1"/>
  <c r="H1338" i="5"/>
  <c r="I1338" i="5" s="1"/>
  <c r="J1338" i="5" s="1"/>
  <c r="G1255" i="5"/>
  <c r="H1255" i="5"/>
  <c r="I1255" i="5" s="1"/>
  <c r="J1255" i="5" s="1"/>
  <c r="H1551" i="5"/>
  <c r="I1551" i="5" s="1"/>
  <c r="J1551" i="5" s="1"/>
  <c r="G1419" i="5"/>
  <c r="G932" i="5"/>
  <c r="H932" i="5"/>
  <c r="I932" i="5" s="1"/>
  <c r="J932" i="5" s="1"/>
  <c r="H772" i="5"/>
  <c r="I772" i="5" s="1"/>
  <c r="J772" i="5" s="1"/>
  <c r="H1514" i="5"/>
  <c r="I1514" i="5" s="1"/>
  <c r="J1514" i="5" s="1"/>
  <c r="H1276" i="5"/>
  <c r="I1276" i="5" s="1"/>
  <c r="J1276" i="5" s="1"/>
  <c r="G1276" i="5"/>
  <c r="G1061" i="5"/>
  <c r="H1061" i="5"/>
  <c r="I1061" i="5" s="1"/>
  <c r="J1061" i="5" s="1"/>
  <c r="G1017" i="5"/>
  <c r="H1017" i="5"/>
  <c r="I1017" i="5" s="1"/>
  <c r="J1017" i="5" s="1"/>
  <c r="H1337" i="5"/>
  <c r="I1337" i="5" s="1"/>
  <c r="J1337" i="5" s="1"/>
  <c r="G973" i="5"/>
  <c r="H973" i="5"/>
  <c r="I973" i="5" s="1"/>
  <c r="J973" i="5" s="1"/>
  <c r="H1570" i="5"/>
  <c r="I1570" i="5" s="1"/>
  <c r="J1570" i="5" s="1"/>
  <c r="H1081" i="5"/>
  <c r="I1081" i="5" s="1"/>
  <c r="J1081" i="5" s="1"/>
  <c r="G1417" i="5"/>
  <c r="H1253" i="5"/>
  <c r="I1253" i="5" s="1"/>
  <c r="J1253" i="5" s="1"/>
  <c r="G820" i="5"/>
  <c r="H820" i="5"/>
  <c r="I820" i="5" s="1"/>
  <c r="J820" i="5" s="1"/>
  <c r="H1357" i="5"/>
  <c r="I1357" i="5" s="1"/>
  <c r="J1357" i="5" s="1"/>
  <c r="G1015" i="5"/>
  <c r="H1015" i="5"/>
  <c r="I1015" i="5" s="1"/>
  <c r="J1015" i="5" s="1"/>
  <c r="H991" i="5"/>
  <c r="I991" i="5" s="1"/>
  <c r="J991" i="5" s="1"/>
  <c r="G991" i="5"/>
  <c r="G1273" i="5"/>
  <c r="H1273" i="5"/>
  <c r="I1273" i="5" s="1"/>
  <c r="J1273" i="5" s="1"/>
  <c r="G1147" i="5"/>
  <c r="H1147" i="5"/>
  <c r="I1147" i="5" s="1"/>
  <c r="J1147" i="5" s="1"/>
  <c r="H1474" i="5"/>
  <c r="I1474" i="5" s="1"/>
  <c r="J1474" i="5" s="1"/>
  <c r="G1474" i="5"/>
  <c r="H1435" i="5"/>
  <c r="I1435" i="5" s="1"/>
  <c r="J1435" i="5" s="1"/>
  <c r="G1272" i="5"/>
  <c r="H1272" i="5"/>
  <c r="I1272" i="5" s="1"/>
  <c r="J1272" i="5" s="1"/>
  <c r="H1213" i="5"/>
  <c r="I1213" i="5" s="1"/>
  <c r="J1213" i="5" s="1"/>
  <c r="G649" i="5"/>
  <c r="G579" i="5"/>
  <c r="H579" i="5"/>
  <c r="I579" i="5" s="1"/>
  <c r="J579" i="5" s="1"/>
  <c r="H1294" i="5"/>
  <c r="I1294" i="5" s="1"/>
  <c r="J1294" i="5" s="1"/>
  <c r="H928" i="5"/>
  <c r="I928" i="5" s="1"/>
  <c r="J928" i="5" s="1"/>
  <c r="G1125" i="5"/>
  <c r="H1125" i="5"/>
  <c r="I1125" i="5" s="1"/>
  <c r="J1125" i="5" s="1"/>
  <c r="G1529" i="5"/>
  <c r="H1434" i="5"/>
  <c r="I1434" i="5" s="1"/>
  <c r="J1434" i="5" s="1"/>
  <c r="G1057" i="5"/>
  <c r="H1057" i="5"/>
  <c r="I1057" i="5" s="1"/>
  <c r="J1057" i="5" s="1"/>
  <c r="G718" i="5"/>
  <c r="H1373" i="5"/>
  <c r="I1373" i="5" s="1"/>
  <c r="J1373" i="5" s="1"/>
  <c r="H1293" i="5"/>
  <c r="I1293" i="5" s="1"/>
  <c r="J1293" i="5" s="1"/>
  <c r="G1293" i="5"/>
  <c r="G1056" i="5"/>
  <c r="H1056" i="5"/>
  <c r="I1056" i="5" s="1"/>
  <c r="J1056" i="5" s="1"/>
  <c r="G840" i="5"/>
  <c r="H840" i="5"/>
  <c r="I840" i="5" s="1"/>
  <c r="J840" i="5" s="1"/>
  <c r="G1124" i="5"/>
  <c r="H1124" i="5"/>
  <c r="I1124" i="5" s="1"/>
  <c r="J1124" i="5" s="1"/>
  <c r="H1548" i="5"/>
  <c r="I1548" i="5" s="1"/>
  <c r="J1548" i="5" s="1"/>
  <c r="G1548" i="5"/>
  <c r="G1372" i="5"/>
  <c r="H1076" i="5"/>
  <c r="I1076" i="5" s="1"/>
  <c r="J1076" i="5" s="1"/>
  <c r="H858" i="5"/>
  <c r="I858" i="5" s="1"/>
  <c r="J858" i="5" s="1"/>
  <c r="H1209" i="5"/>
  <c r="I1209" i="5" s="1"/>
  <c r="J1209" i="5" s="1"/>
  <c r="G1144" i="5"/>
  <c r="H1144" i="5"/>
  <c r="I1144" i="5" s="1"/>
  <c r="J1144" i="5" s="1"/>
  <c r="G1122" i="5"/>
  <c r="G1229" i="5"/>
  <c r="H1229" i="5"/>
  <c r="I1229" i="5" s="1"/>
  <c r="J1229" i="5" s="1"/>
  <c r="G1190" i="5"/>
  <c r="H1190" i="5"/>
  <c r="I1190" i="5" s="1"/>
  <c r="J1190" i="5" s="1"/>
  <c r="G1289" i="5"/>
  <c r="G1099" i="5"/>
  <c r="H1099" i="5"/>
  <c r="I1099" i="5" s="1"/>
  <c r="J1099" i="5" s="1"/>
  <c r="G1508" i="5"/>
  <c r="H1508" i="5"/>
  <c r="I1508" i="5" s="1"/>
  <c r="J1508" i="5" s="1"/>
  <c r="G1189" i="5"/>
  <c r="H1189" i="5"/>
  <c r="I1189" i="5" s="1"/>
  <c r="J1189" i="5" s="1"/>
  <c r="G1075" i="5"/>
  <c r="H1009" i="5"/>
  <c r="I1009" i="5" s="1"/>
  <c r="J1009" i="5" s="1"/>
  <c r="G1009" i="5"/>
  <c r="G1098" i="5"/>
  <c r="H1098" i="5"/>
  <c r="I1098" i="5" s="1"/>
  <c r="J1098" i="5" s="1"/>
  <c r="G1506" i="5"/>
  <c r="H1506" i="5"/>
  <c r="I1506" i="5" s="1"/>
  <c r="J1506" i="5" s="1"/>
  <c r="G596" i="5"/>
  <c r="H596" i="5"/>
  <c r="I596" i="5" s="1"/>
  <c r="J596" i="5" s="1"/>
  <c r="G968" i="5"/>
  <c r="H968" i="5"/>
  <c r="I968" i="5" s="1"/>
  <c r="J968" i="5" s="1"/>
  <c r="G1624" i="5"/>
  <c r="H1624" i="5"/>
  <c r="I1624" i="5" s="1"/>
  <c r="J1624" i="5" s="1"/>
  <c r="H1638" i="5"/>
  <c r="I1638" i="5" s="1"/>
  <c r="J1638" i="5" s="1"/>
  <c r="H1409" i="5"/>
  <c r="I1409" i="5" s="1"/>
  <c r="J1409" i="5" s="1"/>
  <c r="G1370" i="5"/>
  <c r="H1164" i="5"/>
  <c r="I1164" i="5" s="1"/>
  <c r="J1164" i="5" s="1"/>
  <c r="G1164" i="5"/>
  <c r="G1029" i="5"/>
  <c r="H1029" i="5"/>
  <c r="I1029" i="5" s="1"/>
  <c r="J1029" i="5" s="1"/>
  <c r="H1582" i="5"/>
  <c r="I1582" i="5" s="1"/>
  <c r="J1582" i="5" s="1"/>
  <c r="H1388" i="5"/>
  <c r="I1388" i="5" s="1"/>
  <c r="J1388" i="5" s="1"/>
  <c r="G1388" i="5"/>
  <c r="G1006" i="5"/>
  <c r="H1006" i="5"/>
  <c r="I1006" i="5" s="1"/>
  <c r="J1006" i="5" s="1"/>
  <c r="G482" i="5"/>
  <c r="H1562" i="5"/>
  <c r="I1562" i="5" s="1"/>
  <c r="J1562" i="5" s="1"/>
  <c r="H1307" i="5"/>
  <c r="I1307" i="5" s="1"/>
  <c r="J1307" i="5" s="1"/>
  <c r="H1286" i="5"/>
  <c r="I1286" i="5" s="1"/>
  <c r="J1286" i="5" s="1"/>
  <c r="H1603" i="5"/>
  <c r="I1603" i="5" s="1"/>
  <c r="J1603" i="5" s="1"/>
  <c r="H1467" i="5"/>
  <c r="I1467" i="5" s="1"/>
  <c r="J1467" i="5" s="1"/>
  <c r="H1387" i="5"/>
  <c r="I1387" i="5" s="1"/>
  <c r="J1387" i="5" s="1"/>
  <c r="G1095" i="5"/>
  <c r="H1095" i="5"/>
  <c r="I1095" i="5" s="1"/>
  <c r="J1095" i="5" s="1"/>
  <c r="H900" i="5"/>
  <c r="I900" i="5" s="1"/>
  <c r="J900" i="5" s="1"/>
  <c r="G1503" i="5"/>
  <c r="H1485" i="5"/>
  <c r="I1485" i="5" s="1"/>
  <c r="J1485" i="5" s="1"/>
  <c r="H1072" i="5"/>
  <c r="I1072" i="5" s="1"/>
  <c r="J1072" i="5" s="1"/>
  <c r="G1072" i="5"/>
  <c r="G1139" i="5"/>
  <c r="G943" i="5"/>
  <c r="H943" i="5"/>
  <c r="I943" i="5" s="1"/>
  <c r="J943" i="5" s="1"/>
  <c r="H1224" i="5"/>
  <c r="I1224" i="5" s="1"/>
  <c r="J1224" i="5" s="1"/>
  <c r="G1224" i="5"/>
  <c r="G1581" i="5"/>
  <c r="H1581" i="5"/>
  <c r="I1581" i="5" s="1"/>
  <c r="J1581" i="5" s="1"/>
  <c r="H1161" i="5"/>
  <c r="I1161" i="5" s="1"/>
  <c r="J1161" i="5" s="1"/>
  <c r="G1161" i="5"/>
  <c r="G1243" i="5"/>
  <c r="G1269" i="5"/>
  <c r="H1484" i="5"/>
  <c r="I1484" i="5" s="1"/>
  <c r="J1484" i="5" s="1"/>
  <c r="H1223" i="5"/>
  <c r="I1223" i="5" s="1"/>
  <c r="J1223" i="5" s="1"/>
  <c r="H1601" i="5"/>
  <c r="I1601" i="5" s="1"/>
  <c r="H1520" i="5"/>
  <c r="I1520" i="5" s="1"/>
  <c r="J1520" i="5" s="1"/>
  <c r="H1405" i="5"/>
  <c r="I1405" i="5" s="1"/>
  <c r="J1405" i="5" s="1"/>
  <c r="H1325" i="5"/>
  <c r="I1325" i="5" s="1"/>
  <c r="J1325" i="5" s="1"/>
  <c r="H1159" i="5"/>
  <c r="I1159" i="5" s="1"/>
  <c r="J1159" i="5" s="1"/>
  <c r="H756" i="5"/>
  <c r="I756" i="5" s="1"/>
  <c r="J756" i="5" s="1"/>
  <c r="H804" i="5"/>
  <c r="I804" i="5" s="1"/>
  <c r="J804" i="5" s="1"/>
  <c r="H1500" i="5"/>
  <c r="I1500" i="5" s="1"/>
  <c r="J1500" i="5" s="1"/>
  <c r="H1483" i="5"/>
  <c r="I1483" i="5" s="1"/>
  <c r="J1483" i="5" s="1"/>
  <c r="H1092" i="5"/>
  <c r="I1092" i="5" s="1"/>
  <c r="J1092" i="5" s="1"/>
  <c r="G1092" i="5"/>
  <c r="G1519" i="5"/>
  <c r="G1324" i="5"/>
  <c r="G1114" i="5"/>
  <c r="H1114" i="5"/>
  <c r="I1114" i="5" s="1"/>
  <c r="J1114" i="5" s="1"/>
  <c r="H1617" i="5"/>
  <c r="I1617" i="5" s="1"/>
  <c r="J1617" i="5" s="1"/>
  <c r="H1404" i="5"/>
  <c r="I1404" i="5" s="1"/>
  <c r="J1404" i="5" s="1"/>
  <c r="H1222" i="5"/>
  <c r="I1222" i="5" s="1"/>
  <c r="J1222" i="5" s="1"/>
  <c r="G615" i="5"/>
  <c r="H615" i="5"/>
  <c r="I615" i="5" s="1"/>
  <c r="J615" i="5" s="1"/>
  <c r="H1113" i="5"/>
  <c r="I1113" i="5" s="1"/>
  <c r="J1113" i="5" s="1"/>
  <c r="G1113" i="5"/>
  <c r="G1304" i="5"/>
  <c r="G1089" i="5"/>
  <c r="H1089" i="5"/>
  <c r="I1089" i="5" s="1"/>
  <c r="J1089" i="5" s="1"/>
  <c r="G1211" i="5"/>
  <c r="H1211" i="5"/>
  <c r="I1211" i="5" s="1"/>
  <c r="J1211" i="5" s="1"/>
  <c r="G1537" i="5"/>
  <c r="H1537" i="5"/>
  <c r="I1537" i="5" s="1"/>
  <c r="J1537" i="5" s="1"/>
  <c r="G1341" i="5"/>
  <c r="H1341" i="5"/>
  <c r="I1341" i="5" s="1"/>
  <c r="J1341" i="5" s="1"/>
  <c r="G1322" i="5"/>
  <c r="G999" i="5"/>
  <c r="H999" i="5"/>
  <c r="I999" i="5" s="1"/>
  <c r="J999" i="5" s="1"/>
  <c r="G385" i="5"/>
  <c r="H385" i="5"/>
  <c r="I385" i="5" s="1"/>
  <c r="J385" i="5" s="1"/>
  <c r="H1179" i="5"/>
  <c r="I1179" i="5" s="1"/>
  <c r="J1179" i="5" s="1"/>
  <c r="G1179" i="5"/>
  <c r="H1240" i="5"/>
  <c r="I1240" i="5" s="1"/>
  <c r="J1240" i="5" s="1"/>
  <c r="G1240" i="5"/>
  <c r="G1220" i="5"/>
  <c r="H1220" i="5"/>
  <c r="I1220" i="5" s="1"/>
  <c r="J1220" i="5" s="1"/>
  <c r="G1043" i="5"/>
  <c r="G978" i="5"/>
  <c r="H978" i="5"/>
  <c r="I978" i="5" s="1"/>
  <c r="J978" i="5" s="1"/>
  <c r="H1608" i="5"/>
  <c r="I1608" i="5" s="1"/>
  <c r="J1608" i="5" s="1"/>
  <c r="H1615" i="5"/>
  <c r="I1615" i="5" s="1"/>
  <c r="J1615" i="5" s="1"/>
  <c r="H1258" i="5"/>
  <c r="I1258" i="5" s="1"/>
  <c r="J1258" i="5" s="1"/>
  <c r="G1258" i="5"/>
  <c r="G1178" i="5"/>
  <c r="H1178" i="5"/>
  <c r="I1178" i="5" s="1"/>
  <c r="J1178" i="5" s="1"/>
  <c r="G825" i="5"/>
  <c r="H825" i="5"/>
  <c r="I825" i="5" s="1"/>
  <c r="J825" i="5" s="1"/>
  <c r="G997" i="5"/>
  <c r="H997" i="5"/>
  <c r="I997" i="5" s="1"/>
  <c r="J997" i="5" s="1"/>
  <c r="G892" i="5"/>
  <c r="H892" i="5"/>
  <c r="I892" i="5" s="1"/>
  <c r="J892" i="5" s="1"/>
  <c r="H1339" i="5"/>
  <c r="I1339" i="5" s="1"/>
  <c r="J1339" i="5" s="1"/>
  <c r="G1177" i="5"/>
  <c r="G824" i="5"/>
  <c r="H824" i="5"/>
  <c r="I824" i="5" s="1"/>
  <c r="J824" i="5" s="1"/>
  <c r="G1237" i="5"/>
  <c r="G703" i="5"/>
  <c r="H703" i="5"/>
  <c r="I703" i="5" s="1"/>
  <c r="J703" i="5" s="1"/>
  <c r="G1128" i="5"/>
  <c r="H965" i="5"/>
  <c r="I965" i="5" s="1"/>
  <c r="J965" i="5" s="1"/>
  <c r="G897" i="5"/>
  <c r="G791" i="5"/>
  <c r="H775" i="5"/>
  <c r="I775" i="5" s="1"/>
  <c r="J775" i="5" s="1"/>
  <c r="H759" i="5"/>
  <c r="I759" i="5" s="1"/>
  <c r="J759" i="5" s="1"/>
  <c r="G652" i="5"/>
  <c r="H598" i="5"/>
  <c r="I598" i="5" s="1"/>
  <c r="J598" i="5" s="1"/>
  <c r="H583" i="5"/>
  <c r="I583" i="5" s="1"/>
  <c r="J583" i="5" s="1"/>
  <c r="G418" i="5"/>
  <c r="G355" i="5"/>
  <c r="H295" i="5"/>
  <c r="I295" i="5" s="1"/>
  <c r="J295" i="5" s="1"/>
  <c r="H221" i="5"/>
  <c r="I221" i="5" s="1"/>
  <c r="J221" i="5" s="1"/>
  <c r="H148" i="5"/>
  <c r="I148" i="5" s="1"/>
  <c r="J148" i="5" s="1"/>
  <c r="G52" i="5"/>
  <c r="H39" i="5"/>
  <c r="I39" i="5" s="1"/>
  <c r="J39" i="5" s="1"/>
  <c r="H706" i="5"/>
  <c r="I706" i="5" s="1"/>
  <c r="J706" i="5" s="1"/>
  <c r="G566" i="5"/>
  <c r="G1078" i="5"/>
  <c r="H617" i="5"/>
  <c r="I617" i="5" s="1"/>
  <c r="J617" i="5" s="1"/>
  <c r="H790" i="5"/>
  <c r="I790" i="5" s="1"/>
  <c r="J790" i="5" s="1"/>
  <c r="H721" i="5"/>
  <c r="I721" i="5" s="1"/>
  <c r="J721" i="5" s="1"/>
  <c r="H484" i="5"/>
  <c r="I484" i="5" s="1"/>
  <c r="J484" i="5" s="1"/>
  <c r="H401" i="5"/>
  <c r="I401" i="5" s="1"/>
  <c r="J401" i="5" s="1"/>
  <c r="G354" i="5"/>
  <c r="H207" i="5"/>
  <c r="I207" i="5" s="1"/>
  <c r="J207" i="5" s="1"/>
  <c r="H64" i="5"/>
  <c r="I64" i="5" s="1"/>
  <c r="J64" i="5" s="1"/>
  <c r="H565" i="5"/>
  <c r="I565" i="5" s="1"/>
  <c r="J565" i="5" s="1"/>
  <c r="G499" i="5"/>
  <c r="G386" i="5"/>
  <c r="H339" i="5"/>
  <c r="I339" i="5" s="1"/>
  <c r="J339" i="5" s="1"/>
  <c r="H325" i="5"/>
  <c r="I325" i="5" s="1"/>
  <c r="J325" i="5" s="1"/>
  <c r="G251" i="5"/>
  <c r="H51" i="5"/>
  <c r="I51" i="5" s="1"/>
  <c r="J51" i="5" s="1"/>
  <c r="H38" i="5"/>
  <c r="I38" i="5" s="1"/>
  <c r="J38" i="5" s="1"/>
  <c r="H878" i="5"/>
  <c r="I878" i="5" s="1"/>
  <c r="J878" i="5" s="1"/>
  <c r="H686" i="5"/>
  <c r="I686" i="5" s="1"/>
  <c r="J686" i="5" s="1"/>
  <c r="G668" i="5"/>
  <c r="H528" i="5"/>
  <c r="I528" i="5" s="1"/>
  <c r="J528" i="5" s="1"/>
  <c r="H90" i="5"/>
  <c r="I90" i="5" s="1"/>
  <c r="J90" i="5" s="1"/>
  <c r="H895" i="5"/>
  <c r="I895" i="5" s="1"/>
  <c r="J895" i="5" s="1"/>
  <c r="H805" i="5"/>
  <c r="I805" i="5" s="1"/>
  <c r="J805" i="5" s="1"/>
  <c r="H757" i="5"/>
  <c r="I757" i="5" s="1"/>
  <c r="J757" i="5" s="1"/>
  <c r="H720" i="5"/>
  <c r="I720" i="5" s="1"/>
  <c r="J720" i="5" s="1"/>
  <c r="H789" i="5"/>
  <c r="I789" i="5" s="1"/>
  <c r="J789" i="5" s="1"/>
  <c r="H353" i="5"/>
  <c r="I353" i="5" s="1"/>
  <c r="J353" i="5" s="1"/>
  <c r="H161" i="5"/>
  <c r="I161" i="5" s="1"/>
  <c r="J161" i="5" s="1"/>
  <c r="H63" i="5"/>
  <c r="I63" i="5" s="1"/>
  <c r="J63" i="5" s="1"/>
  <c r="G250" i="5"/>
  <c r="H192" i="5"/>
  <c r="I192" i="5" s="1"/>
  <c r="J192" i="5" s="1"/>
  <c r="H133" i="5"/>
  <c r="I133" i="5" s="1"/>
  <c r="J133" i="5" s="1"/>
  <c r="H50" i="5"/>
  <c r="I50" i="5" s="1"/>
  <c r="J50" i="5" s="1"/>
  <c r="H118" i="5"/>
  <c r="I118" i="5" s="1"/>
  <c r="J118" i="5" s="1"/>
  <c r="H204" i="5"/>
  <c r="I204" i="5" s="1"/>
  <c r="J204" i="5" s="1"/>
  <c r="H496" i="5"/>
  <c r="I496" i="5" s="1"/>
  <c r="J496" i="5" s="1"/>
  <c r="H481" i="5"/>
  <c r="I481" i="5" s="1"/>
  <c r="J481" i="5" s="1"/>
  <c r="H976" i="5"/>
  <c r="I976" i="5" s="1"/>
  <c r="J976" i="5" s="1"/>
  <c r="H856" i="5"/>
  <c r="I856" i="5" s="1"/>
  <c r="J856" i="5" s="1"/>
  <c r="H736" i="5"/>
  <c r="I736" i="5" s="1"/>
  <c r="J736" i="5" s="1"/>
  <c r="H632" i="5"/>
  <c r="I632" i="5" s="1"/>
  <c r="J632" i="5" s="1"/>
  <c r="G613" i="5"/>
  <c r="G544" i="5"/>
  <c r="G447" i="5"/>
  <c r="G307" i="5"/>
  <c r="H291" i="5"/>
  <c r="I291" i="5" s="1"/>
  <c r="H248" i="5"/>
  <c r="I248" i="5" s="1"/>
  <c r="J248" i="5" s="1"/>
  <c r="H159" i="5"/>
  <c r="I159" i="5" s="1"/>
  <c r="J159" i="5" s="1"/>
  <c r="H683" i="5"/>
  <c r="I683" i="5" s="1"/>
  <c r="J683" i="5" s="1"/>
  <c r="H351" i="5"/>
  <c r="I351" i="5" s="1"/>
  <c r="H232" i="5"/>
  <c r="I232" i="5" s="1"/>
  <c r="J232" i="5" s="1"/>
  <c r="H203" i="5"/>
  <c r="I203" i="5" s="1"/>
  <c r="J203" i="5" s="1"/>
  <c r="H88" i="5"/>
  <c r="I88" i="5" s="1"/>
  <c r="J88" i="5" s="1"/>
  <c r="H578" i="5"/>
  <c r="I578" i="5" s="1"/>
  <c r="J578" i="5" s="1"/>
  <c r="H511" i="5"/>
  <c r="I511" i="5" s="1"/>
  <c r="J511" i="5" s="1"/>
  <c r="G480" i="5"/>
  <c r="H429" i="5"/>
  <c r="I429" i="5" s="1"/>
  <c r="J429" i="5" s="1"/>
  <c r="H413" i="5"/>
  <c r="I413" i="5" s="1"/>
  <c r="J413" i="5" s="1"/>
  <c r="G383" i="5"/>
  <c r="G322" i="5"/>
  <c r="H262" i="5"/>
  <c r="I262" i="5" s="1"/>
  <c r="J262" i="5" s="1"/>
  <c r="H173" i="5"/>
  <c r="I173" i="5" s="1"/>
  <c r="J173" i="5" s="1"/>
  <c r="H117" i="5"/>
  <c r="I117" i="5" s="1"/>
  <c r="J117" i="5" s="1"/>
  <c r="H1156" i="5"/>
  <c r="I1156" i="5" s="1"/>
  <c r="J1156" i="5" s="1"/>
  <c r="H1107" i="5"/>
  <c r="I1107" i="5" s="1"/>
  <c r="J1107" i="5" s="1"/>
  <c r="G1091" i="5"/>
  <c r="H975" i="5"/>
  <c r="I975" i="5" s="1"/>
  <c r="J975" i="5" s="1"/>
  <c r="G802" i="5"/>
  <c r="H771" i="5"/>
  <c r="I771" i="5" s="1"/>
  <c r="J771" i="5" s="1"/>
  <c r="H717" i="5"/>
  <c r="I717" i="5" s="1"/>
  <c r="J717" i="5" s="1"/>
  <c r="H648" i="5"/>
  <c r="I648" i="5" s="1"/>
  <c r="J648" i="5" s="1"/>
  <c r="H631" i="5"/>
  <c r="I631" i="5" s="1"/>
  <c r="J631" i="5" s="1"/>
  <c r="H612" i="5"/>
  <c r="I612" i="5" s="1"/>
  <c r="J612" i="5" s="1"/>
  <c r="H560" i="5"/>
  <c r="I560" i="5" s="1"/>
  <c r="J560" i="5" s="1"/>
  <c r="H397" i="5"/>
  <c r="I397" i="5" s="1"/>
  <c r="J397" i="5" s="1"/>
  <c r="H306" i="5"/>
  <c r="I306" i="5" s="1"/>
  <c r="J306" i="5" s="1"/>
  <c r="H74" i="5"/>
  <c r="I74" i="5" s="1"/>
  <c r="J74" i="5" s="1"/>
  <c r="H35" i="5"/>
  <c r="I35" i="5" s="1"/>
  <c r="J35" i="5" s="1"/>
  <c r="H700" i="5"/>
  <c r="I700" i="5" s="1"/>
  <c r="G664" i="5"/>
  <c r="G290" i="5"/>
  <c r="H144" i="5"/>
  <c r="I144" i="5" s="1"/>
  <c r="J144" i="5" s="1"/>
  <c r="H275" i="5"/>
  <c r="I275" i="5" s="1"/>
  <c r="J275" i="5" s="1"/>
  <c r="H247" i="5"/>
  <c r="I247" i="5" s="1"/>
  <c r="J247" i="5" s="1"/>
  <c r="H216" i="5"/>
  <c r="I216" i="5" s="1"/>
  <c r="J216" i="5" s="1"/>
  <c r="H158" i="5"/>
  <c r="I158" i="5" s="1"/>
  <c r="J158" i="5" s="1"/>
  <c r="G854" i="5"/>
  <c r="H350" i="5"/>
  <c r="I350" i="5" s="1"/>
  <c r="J350" i="5" s="1"/>
  <c r="H559" i="5"/>
  <c r="I559" i="5" s="1"/>
  <c r="J559" i="5" s="1"/>
  <c r="H1250" i="5"/>
  <c r="I1250" i="5" s="1"/>
  <c r="J1250" i="5" s="1"/>
  <c r="H1205" i="5"/>
  <c r="I1205" i="5" s="1"/>
  <c r="J1205" i="5" s="1"/>
  <c r="H1106" i="5"/>
  <c r="I1106" i="5" s="1"/>
  <c r="J1106" i="5" s="1"/>
  <c r="H906" i="5"/>
  <c r="I906" i="5" s="1"/>
  <c r="J906" i="5" s="1"/>
  <c r="H839" i="5"/>
  <c r="I839" i="5" s="1"/>
  <c r="J839" i="5" s="1"/>
  <c r="H801" i="5"/>
  <c r="I801" i="5" s="1"/>
  <c r="J801" i="5" s="1"/>
  <c r="H770" i="5"/>
  <c r="I770" i="5" s="1"/>
  <c r="J770" i="5" s="1"/>
  <c r="G630" i="5"/>
  <c r="H592" i="5"/>
  <c r="I592" i="5" s="1"/>
  <c r="J592" i="5" s="1"/>
  <c r="H577" i="5"/>
  <c r="I577" i="5" s="1"/>
  <c r="J577" i="5" s="1"/>
  <c r="H494" i="5"/>
  <c r="I494" i="5" s="1"/>
  <c r="J494" i="5" s="1"/>
  <c r="H34" i="5"/>
  <c r="I34" i="5" s="1"/>
  <c r="J34" i="5" s="1"/>
  <c r="H1040" i="5"/>
  <c r="I1040" i="5" s="1"/>
  <c r="J1040" i="5" s="1"/>
  <c r="H942" i="5"/>
  <c r="I942" i="5" s="1"/>
  <c r="J942" i="5" s="1"/>
  <c r="G873" i="5"/>
  <c r="H784" i="5"/>
  <c r="I784" i="5" s="1"/>
  <c r="J784" i="5" s="1"/>
  <c r="H396" i="5"/>
  <c r="I396" i="5" s="1"/>
  <c r="J396" i="5" s="1"/>
  <c r="H143" i="5"/>
  <c r="I143" i="5" s="1"/>
  <c r="J143" i="5" s="1"/>
  <c r="G115" i="5"/>
  <c r="H662" i="5"/>
  <c r="I662" i="5" s="1"/>
  <c r="J662" i="5" s="1"/>
  <c r="H1333" i="5"/>
  <c r="I1333" i="5" s="1"/>
  <c r="J1333" i="5" s="1"/>
  <c r="G1301" i="5"/>
  <c r="G1088" i="5"/>
  <c r="H19" i="5"/>
  <c r="I19" i="5" s="1"/>
  <c r="J19" i="5" s="1"/>
  <c r="G1545" i="5"/>
  <c r="H1614" i="5"/>
  <c r="I1614" i="5" s="1"/>
  <c r="J1614" i="5" s="1"/>
  <c r="G1629" i="5"/>
  <c r="H1561" i="5"/>
  <c r="I1561" i="5" s="1"/>
  <c r="J1561" i="5" s="1"/>
  <c r="H1188" i="5"/>
  <c r="I1188" i="5" s="1"/>
  <c r="J1188" i="5" s="1"/>
  <c r="H1105" i="5"/>
  <c r="I1105" i="5" s="1"/>
  <c r="J1105" i="5" s="1"/>
  <c r="H1039" i="5"/>
  <c r="I1039" i="5" s="1"/>
  <c r="J1039" i="5" s="1"/>
  <c r="H697" i="5"/>
  <c r="I697" i="5" s="1"/>
  <c r="H380" i="5"/>
  <c r="I380" i="5" s="1"/>
  <c r="J380" i="5" s="1"/>
  <c r="H333" i="5"/>
  <c r="I333" i="5" s="1"/>
  <c r="J333" i="5" s="1"/>
  <c r="H58" i="5"/>
  <c r="I58" i="5" s="1"/>
  <c r="J58" i="5" s="1"/>
  <c r="H1544" i="5"/>
  <c r="I1544" i="5" s="1"/>
  <c r="J1544" i="5" s="1"/>
  <c r="H1512" i="5"/>
  <c r="I1512" i="5" s="1"/>
  <c r="J1512" i="5" s="1"/>
  <c r="H1446" i="5"/>
  <c r="I1446" i="5" s="1"/>
  <c r="J1446" i="5" s="1"/>
  <c r="H1349" i="5"/>
  <c r="I1349" i="5" s="1"/>
  <c r="J1349" i="5" s="1"/>
  <c r="H1282" i="5"/>
  <c r="I1282" i="5" s="1"/>
  <c r="J1282" i="5" s="1"/>
  <c r="H1233" i="5"/>
  <c r="I1233" i="5" s="1"/>
  <c r="J1233" i="5" s="1"/>
  <c r="H1153" i="5"/>
  <c r="I1153" i="5" s="1"/>
  <c r="J1153" i="5" s="1"/>
  <c r="G972" i="5"/>
  <c r="H768" i="5"/>
  <c r="I768" i="5" s="1"/>
  <c r="J768" i="5" s="1"/>
  <c r="G731" i="5"/>
  <c r="G679" i="5"/>
  <c r="H508" i="5"/>
  <c r="I508" i="5" s="1"/>
  <c r="J508" i="5" s="1"/>
  <c r="H477" i="5"/>
  <c r="I477" i="5" s="1"/>
  <c r="J477" i="5" s="1"/>
  <c r="H348" i="5"/>
  <c r="I348" i="5" s="1"/>
  <c r="H273" i="5"/>
  <c r="I273" i="5" s="1"/>
  <c r="J273" i="5" s="1"/>
  <c r="G1643" i="5"/>
  <c r="H1136" i="5"/>
  <c r="I1136" i="5" s="1"/>
  <c r="J1136" i="5" s="1"/>
  <c r="H1119" i="5"/>
  <c r="I1119" i="5" s="1"/>
  <c r="J1119" i="5" s="1"/>
  <c r="G1023" i="5"/>
  <c r="H852" i="5"/>
  <c r="I852" i="5" s="1"/>
  <c r="J852" i="5" s="1"/>
  <c r="H837" i="5"/>
  <c r="I837" i="5" s="1"/>
  <c r="J837" i="5" s="1"/>
  <c r="H782" i="5"/>
  <c r="I782" i="5" s="1"/>
  <c r="J782" i="5" s="1"/>
  <c r="H750" i="5"/>
  <c r="I750" i="5" s="1"/>
  <c r="J750" i="5" s="1"/>
  <c r="G539" i="5"/>
  <c r="H457" i="5"/>
  <c r="I457" i="5" s="1"/>
  <c r="J457" i="5" s="1"/>
  <c r="H394" i="5"/>
  <c r="I394" i="5" s="1"/>
  <c r="J394" i="5" s="1"/>
  <c r="H363" i="5"/>
  <c r="I363" i="5" s="1"/>
  <c r="J363" i="5" s="1"/>
  <c r="G319" i="5"/>
  <c r="H245" i="5"/>
  <c r="I245" i="5" s="1"/>
  <c r="J245" i="5" s="1"/>
  <c r="H1203" i="5"/>
  <c r="I1203" i="5" s="1"/>
  <c r="J1203" i="5" s="1"/>
  <c r="G1070" i="5"/>
  <c r="G940" i="5"/>
  <c r="H799" i="5"/>
  <c r="I799" i="5" s="1"/>
  <c r="J799" i="5" s="1"/>
  <c r="G627" i="5"/>
  <c r="H287" i="5"/>
  <c r="I287" i="5" s="1"/>
  <c r="J287" i="5" s="1"/>
  <c r="H228" i="5"/>
  <c r="I228" i="5" s="1"/>
  <c r="J228" i="5" s="1"/>
  <c r="H575" i="5"/>
  <c r="I575" i="5" s="1"/>
  <c r="J575" i="5" s="1"/>
  <c r="H18" i="5"/>
  <c r="I18" i="5" s="1"/>
  <c r="J18" i="5" s="1"/>
  <c r="H492" i="5"/>
  <c r="I492" i="5" s="1"/>
  <c r="J492" i="5" s="1"/>
  <c r="H425" i="5"/>
  <c r="I425" i="5" s="1"/>
  <c r="J425" i="5" s="1"/>
  <c r="H301" i="5"/>
  <c r="I301" i="5" s="1"/>
  <c r="J301" i="5" s="1"/>
  <c r="G111" i="5"/>
  <c r="H1021" i="5"/>
  <c r="I1021" i="5" s="1"/>
  <c r="J1021" i="5" s="1"/>
  <c r="H903" i="5"/>
  <c r="I903" i="5" s="1"/>
  <c r="J903" i="5" s="1"/>
  <c r="H781" i="5"/>
  <c r="I781" i="5" s="1"/>
  <c r="J781" i="5" s="1"/>
  <c r="H140" i="5"/>
  <c r="I140" i="5" s="1"/>
  <c r="J140" i="5" s="1"/>
  <c r="H1575" i="5"/>
  <c r="I1575" i="5" s="1"/>
  <c r="H1478" i="5"/>
  <c r="I1478" i="5" s="1"/>
  <c r="J1478" i="5" s="1"/>
  <c r="H1412" i="5"/>
  <c r="I1412" i="5" s="1"/>
  <c r="J1412" i="5" s="1"/>
  <c r="H1381" i="5"/>
  <c r="I1381" i="5" s="1"/>
  <c r="J1381" i="5" s="1"/>
  <c r="H1316" i="5"/>
  <c r="I1316" i="5" s="1"/>
  <c r="J1316" i="5" s="1"/>
  <c r="G1085" i="5"/>
  <c r="H1002" i="5"/>
  <c r="I1002" i="5" s="1"/>
  <c r="J1002" i="5" s="1"/>
  <c r="H938" i="5"/>
  <c r="I938" i="5" s="1"/>
  <c r="J938" i="5" s="1"/>
  <c r="G797" i="5"/>
  <c r="H712" i="5"/>
  <c r="I712" i="5" s="1"/>
  <c r="J712" i="5" s="1"/>
  <c r="H676" i="5"/>
  <c r="I676" i="5" s="1"/>
  <c r="J676" i="5" s="1"/>
  <c r="H520" i="5"/>
  <c r="I520" i="5" s="1"/>
  <c r="J520" i="5" s="1"/>
  <c r="H44" i="5"/>
  <c r="I44" i="5" s="1"/>
  <c r="J44" i="5" s="1"/>
  <c r="H17" i="5"/>
  <c r="I17" i="5" s="1"/>
  <c r="J17" i="5" s="1"/>
  <c r="G1167" i="5"/>
  <c r="H1102" i="5"/>
  <c r="I1102" i="5" s="1"/>
  <c r="J1102" i="5" s="1"/>
  <c r="G1052" i="5"/>
  <c r="H1037" i="5"/>
  <c r="I1037" i="5" s="1"/>
  <c r="J1037" i="5" s="1"/>
  <c r="H271" i="5"/>
  <c r="I271" i="5" s="1"/>
  <c r="J271" i="5" s="1"/>
  <c r="G96" i="5"/>
  <c r="H83" i="5"/>
  <c r="I83" i="5" s="1"/>
  <c r="J83" i="5" s="1"/>
  <c r="H56" i="5"/>
  <c r="I56" i="5" s="1"/>
  <c r="J56" i="5" s="1"/>
  <c r="G110" i="5"/>
  <c r="H1641" i="5"/>
  <c r="I1641" i="5" s="1"/>
  <c r="J1641" i="5" s="1"/>
  <c r="H1444" i="5"/>
  <c r="I1444" i="5" s="1"/>
  <c r="J1444" i="5" s="1"/>
  <c r="H1330" i="5"/>
  <c r="I1330" i="5" s="1"/>
  <c r="J1330" i="5" s="1"/>
  <c r="G919" i="5"/>
  <c r="H765" i="5"/>
  <c r="I765" i="5" s="1"/>
  <c r="J765" i="5" s="1"/>
  <c r="H587" i="5"/>
  <c r="I587" i="5" s="1"/>
  <c r="J587" i="5" s="1"/>
  <c r="G1574" i="5"/>
  <c r="G1477" i="5"/>
  <c r="G1278" i="5"/>
  <c r="G1166" i="5"/>
  <c r="H624" i="5"/>
  <c r="I624" i="5" s="1"/>
  <c r="J624" i="5" s="1"/>
  <c r="H519" i="5"/>
  <c r="I519" i="5" s="1"/>
  <c r="J519" i="5" s="1"/>
  <c r="H505" i="5"/>
  <c r="I505" i="5" s="1"/>
  <c r="J505" i="5" s="1"/>
  <c r="G474" i="5"/>
  <c r="G406" i="5"/>
  <c r="H392" i="5"/>
  <c r="I392" i="5" s="1"/>
  <c r="J392" i="5" s="1"/>
  <c r="H360" i="5"/>
  <c r="I360" i="5" s="1"/>
  <c r="H330" i="5"/>
  <c r="I330" i="5" s="1"/>
  <c r="J330" i="5" s="1"/>
  <c r="H69" i="5"/>
  <c r="I69" i="5" s="1"/>
  <c r="J69" i="5" s="1"/>
  <c r="H1083" i="5"/>
  <c r="I1083" i="5" s="1"/>
  <c r="J1083" i="5" s="1"/>
  <c r="G1051" i="5"/>
  <c r="H1020" i="5"/>
  <c r="I1020" i="5" s="1"/>
  <c r="J1020" i="5" s="1"/>
  <c r="H902" i="5"/>
  <c r="I902" i="5" s="1"/>
  <c r="J902" i="5" s="1"/>
  <c r="H813" i="5"/>
  <c r="I813" i="5" s="1"/>
  <c r="J813" i="5" s="1"/>
  <c r="H711" i="5"/>
  <c r="I711" i="5" s="1"/>
  <c r="J711" i="5" s="1"/>
  <c r="H572" i="5"/>
  <c r="I572" i="5" s="1"/>
  <c r="J572" i="5" s="1"/>
  <c r="H316" i="5"/>
  <c r="I316" i="5" s="1"/>
  <c r="J316" i="5" s="1"/>
  <c r="H270" i="5"/>
  <c r="I270" i="5" s="1"/>
  <c r="J270" i="5" s="1"/>
  <c r="H1592" i="5"/>
  <c r="I1592" i="5" s="1"/>
  <c r="J1592" i="5" s="1"/>
  <c r="H1558" i="5"/>
  <c r="I1558" i="5" s="1"/>
  <c r="J1558" i="5" s="1"/>
  <c r="H1540" i="5"/>
  <c r="I1540" i="5" s="1"/>
  <c r="J1540" i="5" s="1"/>
  <c r="H1493" i="5"/>
  <c r="I1493" i="5" s="1"/>
  <c r="J1493" i="5" s="1"/>
  <c r="H1411" i="5"/>
  <c r="I1411" i="5" s="1"/>
  <c r="J1411" i="5" s="1"/>
  <c r="G1427" i="5"/>
  <c r="H1261" i="5"/>
  <c r="I1261" i="5" s="1"/>
  <c r="J1261" i="5" s="1"/>
  <c r="G1150" i="5"/>
  <c r="H1116" i="5"/>
  <c r="I1116" i="5" s="1"/>
  <c r="J1116" i="5" s="1"/>
  <c r="H1067" i="5"/>
  <c r="I1067" i="5" s="1"/>
  <c r="J1067" i="5" s="1"/>
  <c r="H953" i="5"/>
  <c r="I953" i="5" s="1"/>
  <c r="J953" i="5" s="1"/>
  <c r="H727" i="5"/>
  <c r="I727" i="5" s="1"/>
  <c r="J727" i="5" s="1"/>
  <c r="H109" i="5"/>
  <c r="I109" i="5" s="1"/>
  <c r="J109" i="5" s="1"/>
  <c r="H95" i="5"/>
  <c r="I95" i="5" s="1"/>
  <c r="J95" i="5" s="1"/>
  <c r="H55" i="5"/>
  <c r="I55" i="5" s="1"/>
  <c r="J55" i="5" s="1"/>
  <c r="H43" i="5"/>
  <c r="I43" i="5" s="1"/>
  <c r="J43" i="5" s="1"/>
  <c r="H439" i="5"/>
  <c r="I439" i="5" s="1"/>
  <c r="J439" i="5" s="1"/>
  <c r="H423" i="5"/>
  <c r="I423" i="5" s="1"/>
  <c r="J423" i="5" s="1"/>
  <c r="H376" i="5"/>
  <c r="I376" i="5" s="1"/>
  <c r="H779" i="5"/>
  <c r="I779" i="5" s="1"/>
  <c r="J779" i="5" s="1"/>
  <c r="H489" i="5"/>
  <c r="I489" i="5" s="1"/>
  <c r="J489" i="5" s="1"/>
  <c r="H197" i="5"/>
  <c r="I197" i="5" s="1"/>
  <c r="J197" i="5" s="1"/>
  <c r="H167" i="5"/>
  <c r="I167" i="5" s="1"/>
  <c r="J167" i="5" s="1"/>
  <c r="H152" i="5"/>
  <c r="I152" i="5" s="1"/>
  <c r="J152" i="5" s="1"/>
  <c r="H138" i="5"/>
  <c r="I138" i="5" s="1"/>
  <c r="J138" i="5" s="1"/>
  <c r="H1329" i="5"/>
  <c r="I1329" i="5" s="1"/>
  <c r="J1329" i="5" s="1"/>
  <c r="H1199" i="5"/>
  <c r="I1199" i="5" s="1"/>
  <c r="J1199" i="5" s="1"/>
  <c r="H1082" i="5"/>
  <c r="I1082" i="5" s="1"/>
  <c r="J1082" i="5" s="1"/>
  <c r="H405" i="5"/>
  <c r="I405" i="5" s="1"/>
  <c r="J405" i="5" s="1"/>
  <c r="H1573" i="5"/>
  <c r="I1573" i="5" s="1"/>
  <c r="H1522" i="5"/>
  <c r="I1522" i="5" s="1"/>
  <c r="J1522" i="5" s="1"/>
  <c r="G1557" i="5"/>
  <c r="H1539" i="5"/>
  <c r="I1539" i="5" s="1"/>
  <c r="J1539" i="5" s="1"/>
  <c r="G1492" i="5"/>
  <c r="H1362" i="5"/>
  <c r="I1362" i="5" s="1"/>
  <c r="J1362" i="5" s="1"/>
  <c r="H1149" i="5"/>
  <c r="I1149" i="5" s="1"/>
  <c r="J1149" i="5" s="1"/>
  <c r="G1100" i="5"/>
  <c r="H745" i="5"/>
  <c r="I745" i="5" s="1"/>
  <c r="J745" i="5" s="1"/>
  <c r="H692" i="5"/>
  <c r="I692" i="5" s="1"/>
  <c r="J692" i="5" s="1"/>
  <c r="H552" i="5"/>
  <c r="I552" i="5" s="1"/>
  <c r="J552" i="5" s="1"/>
  <c r="G472" i="5"/>
  <c r="H359" i="5"/>
  <c r="I359" i="5" s="1"/>
  <c r="J359" i="5" s="1"/>
  <c r="H329" i="5"/>
  <c r="I329" i="5" s="1"/>
  <c r="J329" i="5" s="1"/>
  <c r="H1115" i="5"/>
  <c r="I1115" i="5" s="1"/>
  <c r="J1115" i="5" s="1"/>
  <c r="H952" i="5"/>
  <c r="I952" i="5" s="1"/>
  <c r="J952" i="5" s="1"/>
  <c r="H848" i="5"/>
  <c r="I848" i="5" s="1"/>
  <c r="J848" i="5" s="1"/>
  <c r="H182" i="5"/>
  <c r="I182" i="5" s="1"/>
  <c r="J182" i="5" s="1"/>
  <c r="H1378" i="5"/>
  <c r="I1378" i="5" s="1"/>
  <c r="J1378" i="5" s="1"/>
  <c r="G1049" i="5"/>
  <c r="H54" i="5"/>
  <c r="I54" i="5" s="1"/>
  <c r="J54" i="5" s="1"/>
  <c r="H42" i="5"/>
  <c r="I42" i="5" s="1"/>
  <c r="J42" i="5" s="1"/>
  <c r="H744" i="5"/>
  <c r="I744" i="5" s="1"/>
  <c r="J744" i="5" s="1"/>
  <c r="H725" i="5"/>
  <c r="I725" i="5" s="1"/>
  <c r="J725" i="5" s="1"/>
  <c r="G691" i="5"/>
  <c r="H390" i="5"/>
  <c r="I390" i="5" s="1"/>
  <c r="J390" i="5" s="1"/>
  <c r="H342" i="5"/>
  <c r="I342" i="5" s="1"/>
  <c r="J342" i="5" s="1"/>
  <c r="G255" i="5"/>
  <c r="H196" i="5"/>
  <c r="I196" i="5" s="1"/>
  <c r="J196" i="5" s="1"/>
  <c r="H123" i="5"/>
  <c r="I123" i="5" s="1"/>
  <c r="J123" i="5" s="1"/>
  <c r="H28" i="5"/>
  <c r="I28" i="5" s="1"/>
  <c r="J28" i="5" s="1"/>
  <c r="H13" i="5"/>
  <c r="I13" i="5" s="1"/>
  <c r="J13" i="5" s="1"/>
  <c r="H640" i="5"/>
  <c r="I640" i="5" s="1"/>
  <c r="J640" i="5" s="1"/>
  <c r="H421" i="5"/>
  <c r="I421" i="5" s="1"/>
  <c r="J421" i="5" s="1"/>
  <c r="G404" i="5"/>
  <c r="G314" i="5"/>
  <c r="G239" i="5"/>
  <c r="H210" i="5"/>
  <c r="I210" i="5" s="1"/>
  <c r="J210" i="5" s="1"/>
  <c r="H137" i="5"/>
  <c r="I137" i="5" s="1"/>
  <c r="J137" i="5" s="1"/>
  <c r="H517" i="5"/>
  <c r="I517" i="5" s="1"/>
  <c r="J517" i="5" s="1"/>
  <c r="H487" i="5"/>
  <c r="I487" i="5" s="1"/>
  <c r="J487" i="5" s="1"/>
  <c r="H933" i="5"/>
  <c r="I933" i="5" s="1"/>
  <c r="J933" i="5" s="1"/>
  <c r="H914" i="5"/>
  <c r="I914" i="5" s="1"/>
  <c r="J914" i="5" s="1"/>
  <c r="H181" i="5"/>
  <c r="I181" i="5" s="1"/>
  <c r="J181" i="5" s="1"/>
  <c r="H1242" i="5"/>
  <c r="I1242" i="5" s="1"/>
  <c r="J1242" i="5" s="1"/>
  <c r="H1080" i="5"/>
  <c r="I1080" i="5" s="1"/>
  <c r="J1080" i="5" s="1"/>
  <c r="H1032" i="5"/>
  <c r="I1032" i="5" s="1"/>
  <c r="J1032" i="5" s="1"/>
  <c r="H792" i="5"/>
  <c r="I792" i="5" s="1"/>
  <c r="J792" i="5" s="1"/>
  <c r="H708" i="5"/>
  <c r="I708" i="5" s="1"/>
  <c r="J708" i="5" s="1"/>
  <c r="G654" i="5"/>
  <c r="H639" i="5"/>
  <c r="I639" i="5" s="1"/>
  <c r="J639" i="5" s="1"/>
  <c r="G600" i="5"/>
  <c r="H568" i="5"/>
  <c r="I568" i="5" s="1"/>
  <c r="J568" i="5" s="1"/>
  <c r="H420" i="5"/>
  <c r="I420" i="5" s="1"/>
  <c r="J420" i="5" s="1"/>
  <c r="H389" i="5"/>
  <c r="I389" i="5" s="1"/>
  <c r="J389" i="5" s="1"/>
  <c r="G238" i="5"/>
  <c r="H209" i="5"/>
  <c r="I209" i="5" s="1"/>
  <c r="J209" i="5" s="1"/>
  <c r="H195" i="5"/>
  <c r="I195" i="5" s="1"/>
  <c r="J195" i="5" s="1"/>
  <c r="G122" i="5"/>
  <c r="H12" i="5"/>
  <c r="I12" i="5" s="1"/>
  <c r="J12" i="5" s="1"/>
  <c r="G1407" i="5"/>
  <c r="H1180" i="5"/>
  <c r="I1180" i="5" s="1"/>
  <c r="J1180" i="5" s="1"/>
  <c r="G1146" i="5"/>
  <c r="G1063" i="5"/>
  <c r="G898" i="5"/>
  <c r="H830" i="5"/>
  <c r="I830" i="5" s="1"/>
  <c r="J830" i="5" s="1"/>
  <c r="H531" i="5"/>
  <c r="I531" i="5" s="1"/>
  <c r="J531" i="5" s="1"/>
  <c r="G469" i="5"/>
  <c r="H403" i="5"/>
  <c r="I403" i="5" s="1"/>
  <c r="J403" i="5" s="1"/>
  <c r="H267" i="5"/>
  <c r="I267" i="5" s="1"/>
  <c r="J267" i="5" s="1"/>
  <c r="H723" i="5"/>
  <c r="I723" i="5" s="1"/>
  <c r="J723" i="5" s="1"/>
  <c r="G760" i="5"/>
  <c r="H26" i="5"/>
  <c r="I26" i="5" s="1"/>
  <c r="J26" i="5" s="1"/>
  <c r="H741" i="5"/>
  <c r="I741" i="5" s="1"/>
  <c r="J741" i="5" s="1"/>
  <c r="H567" i="5"/>
  <c r="I567" i="5" s="1"/>
  <c r="J567" i="5" s="1"/>
  <c r="H237" i="5"/>
  <c r="I237" i="5" s="1"/>
  <c r="J237" i="5" s="1"/>
  <c r="H194" i="5"/>
  <c r="I194" i="5" s="1"/>
  <c r="J194" i="5" s="1"/>
  <c r="H11" i="5"/>
  <c r="I11" i="5" s="1"/>
  <c r="J11" i="5" s="1"/>
  <c r="H1473" i="5"/>
  <c r="I1473" i="5" s="1"/>
  <c r="J1473" i="5" s="1"/>
  <c r="H1423" i="5"/>
  <c r="I1423" i="5" s="1"/>
  <c r="J1423" i="5" s="1"/>
  <c r="H1096" i="5"/>
  <c r="I1096" i="5" s="1"/>
  <c r="J1096" i="5" s="1"/>
  <c r="G1079" i="5"/>
  <c r="G1014" i="5"/>
  <c r="H996" i="5"/>
  <c r="I996" i="5" s="1"/>
  <c r="J996" i="5" s="1"/>
  <c r="G862" i="5"/>
  <c r="G549" i="5"/>
  <c r="H501" i="5"/>
  <c r="I501" i="5" s="1"/>
  <c r="J501" i="5" s="1"/>
  <c r="H451" i="5"/>
  <c r="I451" i="5" s="1"/>
  <c r="J451" i="5" s="1"/>
  <c r="H402" i="5"/>
  <c r="I402" i="5" s="1"/>
  <c r="J402" i="5" s="1"/>
  <c r="H280" i="5"/>
  <c r="I280" i="5" s="1"/>
  <c r="J280" i="5" s="1"/>
  <c r="H208" i="5"/>
  <c r="I208" i="5" s="1"/>
  <c r="J208" i="5" s="1"/>
  <c r="G179" i="5"/>
  <c r="H163" i="5"/>
  <c r="I163" i="5" s="1"/>
  <c r="J163" i="5" s="1"/>
  <c r="H135" i="5"/>
  <c r="I135" i="5" s="1"/>
  <c r="J135" i="5" s="1"/>
  <c r="H106" i="5"/>
  <c r="I106" i="5" s="1"/>
  <c r="J106" i="5" s="1"/>
  <c r="G880" i="5"/>
  <c r="G688" i="5"/>
  <c r="G637" i="5"/>
  <c r="G485" i="5"/>
  <c r="G340" i="5"/>
  <c r="H326" i="5"/>
  <c r="I326" i="5" s="1"/>
  <c r="J326" i="5" s="1"/>
  <c r="G1398" i="5"/>
  <c r="H1398" i="5"/>
  <c r="I1398" i="5" s="1"/>
  <c r="J1398" i="5" s="1"/>
  <c r="G1377" i="5"/>
  <c r="G1367" i="5"/>
  <c r="G1312" i="5"/>
  <c r="G1245" i="5"/>
  <c r="G1138" i="5"/>
  <c r="H1138" i="5"/>
  <c r="I1138" i="5" s="1"/>
  <c r="J1138" i="5" s="1"/>
  <c r="G1074" i="5"/>
  <c r="H1074" i="5"/>
  <c r="I1074" i="5" s="1"/>
  <c r="J1074" i="5" s="1"/>
  <c r="G961" i="5"/>
  <c r="H961" i="5"/>
  <c r="I961" i="5" s="1"/>
  <c r="J961" i="5" s="1"/>
  <c r="H1356" i="5"/>
  <c r="I1356" i="5" s="1"/>
  <c r="J1356" i="5" s="1"/>
  <c r="G1290" i="5"/>
  <c r="H1290" i="5"/>
  <c r="I1290" i="5" s="1"/>
  <c r="J1290" i="5" s="1"/>
  <c r="H1266" i="5"/>
  <c r="I1266" i="5" s="1"/>
  <c r="J1266" i="5" s="1"/>
  <c r="H1175" i="5"/>
  <c r="I1175" i="5" s="1"/>
  <c r="J1175" i="5" s="1"/>
  <c r="H1163" i="5"/>
  <c r="I1163" i="5" s="1"/>
  <c r="J1163" i="5" s="1"/>
  <c r="G786" i="5"/>
  <c r="H786" i="5"/>
  <c r="I786" i="5" s="1"/>
  <c r="J786" i="5" s="1"/>
  <c r="G1472" i="5"/>
  <c r="H1472" i="5"/>
  <c r="I1472" i="5" s="1"/>
  <c r="J1472" i="5" s="1"/>
  <c r="H1566" i="5"/>
  <c r="I1566" i="5" s="1"/>
  <c r="J1566" i="5" s="1"/>
  <c r="H1460" i="5"/>
  <c r="I1460" i="5" s="1"/>
  <c r="J1460" i="5" s="1"/>
  <c r="H1397" i="5"/>
  <c r="I1397" i="5" s="1"/>
  <c r="J1397" i="5" s="1"/>
  <c r="G1471" i="5"/>
  <c r="G1187" i="5"/>
  <c r="H1187" i="5"/>
  <c r="I1187" i="5" s="1"/>
  <c r="J1187" i="5" s="1"/>
  <c r="G1059" i="5"/>
  <c r="H1059" i="5"/>
  <c r="I1059" i="5" s="1"/>
  <c r="J1059" i="5" s="1"/>
  <c r="H866" i="5"/>
  <c r="I866" i="5" s="1"/>
  <c r="J866" i="5" s="1"/>
  <c r="G866" i="5"/>
  <c r="H755" i="5"/>
  <c r="I755" i="5" s="1"/>
  <c r="J755" i="5" s="1"/>
  <c r="G755" i="5"/>
  <c r="G687" i="5"/>
  <c r="H687" i="5"/>
  <c r="I687" i="5" s="1"/>
  <c r="J687" i="5" s="1"/>
  <c r="H1585" i="5"/>
  <c r="I1585" i="5" s="1"/>
  <c r="J1585" i="5" s="1"/>
  <c r="H1430" i="5"/>
  <c r="I1430" i="5" s="1"/>
  <c r="J1430" i="5" s="1"/>
  <c r="H1376" i="5"/>
  <c r="I1376" i="5" s="1"/>
  <c r="J1376" i="5" s="1"/>
  <c r="H1366" i="5"/>
  <c r="I1366" i="5" s="1"/>
  <c r="J1366" i="5" s="1"/>
  <c r="H1311" i="5"/>
  <c r="I1311" i="5" s="1"/>
  <c r="J1311" i="5" s="1"/>
  <c r="G1482" i="5"/>
  <c r="H1482" i="5"/>
  <c r="I1482" i="5" s="1"/>
  <c r="J1482" i="5" s="1"/>
  <c r="H1001" i="5"/>
  <c r="I1001" i="5" s="1"/>
  <c r="J1001" i="5" s="1"/>
  <c r="G865" i="5"/>
  <c r="H1565" i="5"/>
  <c r="I1565" i="5" s="1"/>
  <c r="J1565" i="5" s="1"/>
  <c r="H1459" i="5"/>
  <c r="I1459" i="5" s="1"/>
  <c r="J1459" i="5" s="1"/>
  <c r="G1408" i="5"/>
  <c r="H1408" i="5"/>
  <c r="I1408" i="5" s="1"/>
  <c r="J1408" i="5" s="1"/>
  <c r="H1396" i="5"/>
  <c r="I1396" i="5" s="1"/>
  <c r="J1396" i="5" s="1"/>
  <c r="H1355" i="5"/>
  <c r="I1355" i="5" s="1"/>
  <c r="J1355" i="5" s="1"/>
  <c r="H1265" i="5"/>
  <c r="I1265" i="5" s="1"/>
  <c r="J1265" i="5" s="1"/>
  <c r="H1174" i="5"/>
  <c r="I1174" i="5" s="1"/>
  <c r="J1174" i="5" s="1"/>
  <c r="G1344" i="5"/>
  <c r="H1344" i="5"/>
  <c r="I1344" i="5" s="1"/>
  <c r="J1344" i="5" s="1"/>
  <c r="G1086" i="5"/>
  <c r="H1086" i="5"/>
  <c r="I1086" i="5" s="1"/>
  <c r="J1086" i="5" s="1"/>
  <c r="H1595" i="5"/>
  <c r="I1595" i="5" s="1"/>
  <c r="J1595" i="5" s="1"/>
  <c r="H1543" i="5"/>
  <c r="I1543" i="5" s="1"/>
  <c r="J1543" i="5" s="1"/>
  <c r="H1502" i="5"/>
  <c r="I1502" i="5" s="1"/>
  <c r="J1502" i="5" s="1"/>
  <c r="H1449" i="5"/>
  <c r="I1449" i="5" s="1"/>
  <c r="J1449" i="5" s="1"/>
  <c r="G1343" i="5"/>
  <c r="H1343" i="5"/>
  <c r="I1343" i="5" s="1"/>
  <c r="J1343" i="5" s="1"/>
  <c r="H1321" i="5"/>
  <c r="I1321" i="5" s="1"/>
  <c r="J1321" i="5" s="1"/>
  <c r="H1300" i="5"/>
  <c r="I1300" i="5" s="1"/>
  <c r="J1300" i="5" s="1"/>
  <c r="H1071" i="5"/>
  <c r="I1071" i="5" s="1"/>
  <c r="J1071" i="5" s="1"/>
  <c r="H835" i="5"/>
  <c r="I835" i="5" s="1"/>
  <c r="J835" i="5" s="1"/>
  <c r="G817" i="5"/>
  <c r="H817" i="5"/>
  <c r="I817" i="5" s="1"/>
  <c r="J817" i="5" s="1"/>
  <c r="H1439" i="5"/>
  <c r="I1439" i="5" s="1"/>
  <c r="J1439" i="5" s="1"/>
  <c r="H1287" i="5"/>
  <c r="I1287" i="5" s="1"/>
  <c r="J1287" i="5" s="1"/>
  <c r="H1254" i="5"/>
  <c r="I1254" i="5" s="1"/>
  <c r="J1254" i="5" s="1"/>
  <c r="G816" i="5"/>
  <c r="H816" i="5"/>
  <c r="I816" i="5" s="1"/>
  <c r="J816" i="5" s="1"/>
  <c r="H1375" i="5"/>
  <c r="I1375" i="5" s="1"/>
  <c r="J1375" i="5" s="1"/>
  <c r="H1365" i="5"/>
  <c r="I1365" i="5" s="1"/>
  <c r="J1365" i="5" s="1"/>
  <c r="H1342" i="5"/>
  <c r="I1342" i="5" s="1"/>
  <c r="J1342" i="5" s="1"/>
  <c r="H1331" i="5"/>
  <c r="I1331" i="5" s="1"/>
  <c r="J1331" i="5" s="1"/>
  <c r="G651" i="5"/>
  <c r="H651" i="5"/>
  <c r="I651" i="5" s="1"/>
  <c r="J651" i="5" s="1"/>
  <c r="H1616" i="5"/>
  <c r="I1616" i="5" s="1"/>
  <c r="J1616" i="5" s="1"/>
  <c r="H1584" i="5"/>
  <c r="I1584" i="5" s="1"/>
  <c r="J1584" i="5" s="1"/>
  <c r="H1480" i="5"/>
  <c r="I1480" i="5" s="1"/>
  <c r="J1480" i="5" s="1"/>
  <c r="H1605" i="5"/>
  <c r="I1605" i="5" s="1"/>
  <c r="J1605" i="5" s="1"/>
  <c r="H1406" i="5"/>
  <c r="I1406" i="5" s="1"/>
  <c r="J1406" i="5" s="1"/>
  <c r="H1395" i="5"/>
  <c r="I1395" i="5" s="1"/>
  <c r="J1395" i="5" s="1"/>
  <c r="G1354" i="5"/>
  <c r="H1354" i="5"/>
  <c r="I1354" i="5" s="1"/>
  <c r="J1354" i="5" s="1"/>
  <c r="H1173" i="5"/>
  <c r="I1173" i="5" s="1"/>
  <c r="J1173" i="5" s="1"/>
  <c r="H1458" i="5"/>
  <c r="I1458" i="5" s="1"/>
  <c r="J1458" i="5" s="1"/>
  <c r="G1418" i="5"/>
  <c r="H1418" i="5"/>
  <c r="I1418" i="5" s="1"/>
  <c r="J1418" i="5" s="1"/>
  <c r="H1264" i="5"/>
  <c r="I1264" i="5" s="1"/>
  <c r="J1264" i="5" s="1"/>
  <c r="H1184" i="5"/>
  <c r="I1184" i="5" s="1"/>
  <c r="J1184" i="5" s="1"/>
  <c r="H1320" i="5"/>
  <c r="I1320" i="5" s="1"/>
  <c r="J1320" i="5" s="1"/>
  <c r="H1275" i="5"/>
  <c r="I1275" i="5" s="1"/>
  <c r="J1275" i="5" s="1"/>
  <c r="G1196" i="5"/>
  <c r="H1135" i="5"/>
  <c r="I1135" i="5" s="1"/>
  <c r="J1135" i="5" s="1"/>
  <c r="H1097" i="5"/>
  <c r="I1097" i="5" s="1"/>
  <c r="J1097" i="5" s="1"/>
  <c r="G926" i="5"/>
  <c r="G701" i="5"/>
  <c r="H701" i="5"/>
  <c r="I701" i="5" s="1"/>
  <c r="J701" i="5" s="1"/>
  <c r="G1013" i="5"/>
  <c r="H896" i="5"/>
  <c r="I896" i="5" s="1"/>
  <c r="J896" i="5" s="1"/>
  <c r="G956" i="5"/>
  <c r="H956" i="5"/>
  <c r="I956" i="5" s="1"/>
  <c r="J956" i="5" s="1"/>
  <c r="G733" i="5"/>
  <c r="H733" i="5"/>
  <c r="I733" i="5" s="1"/>
  <c r="J733" i="5" s="1"/>
  <c r="G1635" i="5"/>
  <c r="H1635" i="5"/>
  <c r="I1635" i="5" s="1"/>
  <c r="J1635" i="5" s="1"/>
  <c r="H1457" i="5"/>
  <c r="I1457" i="5" s="1"/>
  <c r="J1457" i="5" s="1"/>
  <c r="H1183" i="5"/>
  <c r="I1183" i="5" s="1"/>
  <c r="J1183" i="5" s="1"/>
  <c r="H1541" i="5"/>
  <c r="I1541" i="5" s="1"/>
  <c r="J1541" i="5" s="1"/>
  <c r="H1447" i="5"/>
  <c r="I1447" i="5" s="1"/>
  <c r="J1447" i="5" s="1"/>
  <c r="H1319" i="5"/>
  <c r="I1319" i="5" s="1"/>
  <c r="J1319" i="5" s="1"/>
  <c r="H1285" i="5"/>
  <c r="I1285" i="5" s="1"/>
  <c r="J1285" i="5" s="1"/>
  <c r="H1274" i="5"/>
  <c r="I1274" i="5" s="1"/>
  <c r="J1274" i="5" s="1"/>
  <c r="G1194" i="5"/>
  <c r="G1121" i="5"/>
  <c r="H1121" i="5"/>
  <c r="I1121" i="5" s="1"/>
  <c r="J1121" i="5" s="1"/>
  <c r="H1437" i="5"/>
  <c r="I1437" i="5" s="1"/>
  <c r="J1437" i="5" s="1"/>
  <c r="G530" i="5"/>
  <c r="H530" i="5"/>
  <c r="I530" i="5" s="1"/>
  <c r="J530" i="5" s="1"/>
  <c r="H845" i="5"/>
  <c r="I845" i="5" s="1"/>
  <c r="J845" i="5" s="1"/>
  <c r="H1374" i="5"/>
  <c r="I1374" i="5" s="1"/>
  <c r="J1374" i="5" s="1"/>
  <c r="G1251" i="5"/>
  <c r="H1251" i="5"/>
  <c r="I1251" i="5" s="1"/>
  <c r="J1251" i="5" s="1"/>
  <c r="G1171" i="5"/>
  <c r="H1171" i="5"/>
  <c r="I1171" i="5" s="1"/>
  <c r="J1171" i="5" s="1"/>
  <c r="G1068" i="5"/>
  <c r="G698" i="5"/>
  <c r="H698" i="5"/>
  <c r="I698" i="5" s="1"/>
  <c r="G939" i="5"/>
  <c r="G877" i="5"/>
  <c r="H877" i="5"/>
  <c r="I877" i="5" s="1"/>
  <c r="J877" i="5" s="1"/>
  <c r="H795" i="5"/>
  <c r="I795" i="5" s="1"/>
  <c r="J795" i="5" s="1"/>
  <c r="G795" i="5"/>
  <c r="H1488" i="5"/>
  <c r="I1488" i="5" s="1"/>
  <c r="J1488" i="5" s="1"/>
  <c r="H1456" i="5"/>
  <c r="I1456" i="5" s="1"/>
  <c r="J1456" i="5" s="1"/>
  <c r="H1193" i="5"/>
  <c r="I1193" i="5" s="1"/>
  <c r="J1193" i="5" s="1"/>
  <c r="H1182" i="5"/>
  <c r="I1182" i="5" s="1"/>
  <c r="J1182" i="5" s="1"/>
  <c r="G663" i="5"/>
  <c r="H663" i="5"/>
  <c r="I663" i="5" s="1"/>
  <c r="J663" i="5" s="1"/>
  <c r="G1571" i="5"/>
  <c r="H1571" i="5"/>
  <c r="I1571" i="5" s="1"/>
  <c r="J1571" i="5" s="1"/>
  <c r="H1239" i="5"/>
  <c r="I1239" i="5" s="1"/>
  <c r="J1239" i="5" s="1"/>
  <c r="H1228" i="5"/>
  <c r="I1228" i="5" s="1"/>
  <c r="J1228" i="5" s="1"/>
  <c r="G1157" i="5"/>
  <c r="H1157" i="5"/>
  <c r="I1157" i="5" s="1"/>
  <c r="J1157" i="5" s="1"/>
  <c r="G764" i="5"/>
  <c r="G1295" i="5"/>
  <c r="H1295" i="5"/>
  <c r="I1295" i="5" s="1"/>
  <c r="J1295" i="5" s="1"/>
  <c r="G1066" i="5"/>
  <c r="H1066" i="5"/>
  <c r="I1066" i="5" s="1"/>
  <c r="J1066" i="5" s="1"/>
  <c r="H1623" i="5"/>
  <c r="I1623" i="5" s="1"/>
  <c r="J1623" i="5" s="1"/>
  <c r="H1602" i="5"/>
  <c r="I1602" i="5" s="1"/>
  <c r="H1550" i="5"/>
  <c r="I1550" i="5" s="1"/>
  <c r="J1550" i="5" s="1"/>
  <c r="H1403" i="5"/>
  <c r="I1403" i="5" s="1"/>
  <c r="J1403" i="5" s="1"/>
  <c r="H1392" i="5"/>
  <c r="I1392" i="5" s="1"/>
  <c r="J1392" i="5" s="1"/>
  <c r="G678" i="5"/>
  <c r="H678" i="5"/>
  <c r="I678" i="5" s="1"/>
  <c r="J678" i="5" s="1"/>
  <c r="G1580" i="5"/>
  <c r="G1216" i="5"/>
  <c r="H1216" i="5"/>
  <c r="I1216" i="5" s="1"/>
  <c r="J1216" i="5" s="1"/>
  <c r="H993" i="5"/>
  <c r="I993" i="5" s="1"/>
  <c r="J993" i="5" s="1"/>
  <c r="G1590" i="5"/>
  <c r="H1590" i="5"/>
  <c r="I1590" i="5" s="1"/>
  <c r="J1590" i="5" s="1"/>
  <c r="H1168" i="5"/>
  <c r="I1168" i="5" s="1"/>
  <c r="J1168" i="5" s="1"/>
  <c r="H1118" i="5"/>
  <c r="I1118" i="5" s="1"/>
  <c r="J1118" i="5" s="1"/>
  <c r="G1093" i="5"/>
  <c r="H1093" i="5"/>
  <c r="I1093" i="5" s="1"/>
  <c r="J1093" i="5" s="1"/>
  <c r="G936" i="5"/>
  <c r="H936" i="5"/>
  <c r="I936" i="5" s="1"/>
  <c r="J936" i="5" s="1"/>
  <c r="G1507" i="5"/>
  <c r="H1507" i="5"/>
  <c r="I1507" i="5" s="1"/>
  <c r="J1507" i="5" s="1"/>
  <c r="H1632" i="5"/>
  <c r="I1632" i="5" s="1"/>
  <c r="J1632" i="5" s="1"/>
  <c r="H1589" i="5"/>
  <c r="I1589" i="5" s="1"/>
  <c r="J1589" i="5" s="1"/>
  <c r="H1622" i="5"/>
  <c r="I1622" i="5" s="1"/>
  <c r="J1622" i="5" s="1"/>
  <c r="H1579" i="5"/>
  <c r="I1579" i="5" s="1"/>
  <c r="J1579" i="5" s="1"/>
  <c r="H1549" i="5"/>
  <c r="I1549" i="5" s="1"/>
  <c r="J1549" i="5" s="1"/>
  <c r="H992" i="5"/>
  <c r="I992" i="5" s="1"/>
  <c r="J992" i="5" s="1"/>
  <c r="H855" i="5"/>
  <c r="I855" i="5" s="1"/>
  <c r="J855" i="5" s="1"/>
  <c r="H826" i="5"/>
  <c r="I826" i="5" s="1"/>
  <c r="J826" i="5" s="1"/>
  <c r="H1486" i="5"/>
  <c r="I1486" i="5" s="1"/>
  <c r="J1486" i="5" s="1"/>
  <c r="H1259" i="5"/>
  <c r="I1259" i="5" s="1"/>
  <c r="J1259" i="5" s="1"/>
  <c r="H1438" i="5"/>
  <c r="I1438" i="5" s="1"/>
  <c r="J1438" i="5" s="1"/>
  <c r="G1516" i="5"/>
  <c r="H1359" i="5"/>
  <c r="I1359" i="5" s="1"/>
  <c r="J1359" i="5" s="1"/>
  <c r="H1348" i="5"/>
  <c r="I1348" i="5" s="1"/>
  <c r="J1348" i="5" s="1"/>
  <c r="G1226" i="5"/>
  <c r="H1226" i="5"/>
  <c r="I1226" i="5" s="1"/>
  <c r="J1226" i="5" s="1"/>
  <c r="H1022" i="5"/>
  <c r="I1022" i="5" s="1"/>
  <c r="J1022" i="5" s="1"/>
  <c r="G1526" i="5"/>
  <c r="H1526" i="5"/>
  <c r="I1526" i="5" s="1"/>
  <c r="J1526" i="5" s="1"/>
  <c r="G1315" i="5"/>
  <c r="H1315" i="5"/>
  <c r="I1315" i="5" s="1"/>
  <c r="J1315" i="5" s="1"/>
  <c r="G1143" i="5"/>
  <c r="H1143" i="5"/>
  <c r="I1143" i="5" s="1"/>
  <c r="J1143" i="5" s="1"/>
  <c r="G1600" i="5"/>
  <c r="H1600" i="5"/>
  <c r="I1600" i="5" s="1"/>
  <c r="H1631" i="5"/>
  <c r="I1631" i="5" s="1"/>
  <c r="J1631" i="5" s="1"/>
  <c r="H1588" i="5"/>
  <c r="I1588" i="5" s="1"/>
  <c r="J1588" i="5" s="1"/>
  <c r="G1443" i="5"/>
  <c r="H1443" i="5"/>
  <c r="I1443" i="5" s="1"/>
  <c r="J1443" i="5" s="1"/>
  <c r="H1433" i="5"/>
  <c r="I1433" i="5" s="1"/>
  <c r="J1433" i="5" s="1"/>
  <c r="H1247" i="5"/>
  <c r="I1247" i="5" s="1"/>
  <c r="J1247" i="5" s="1"/>
  <c r="H934" i="5"/>
  <c r="I934" i="5" s="1"/>
  <c r="J934" i="5" s="1"/>
  <c r="H1090" i="5"/>
  <c r="I1090" i="5" s="1"/>
  <c r="J1090" i="5" s="1"/>
  <c r="G742" i="5"/>
  <c r="H742" i="5"/>
  <c r="I742" i="5" s="1"/>
  <c r="J742" i="5" s="1"/>
  <c r="G1379" i="5"/>
  <c r="H1379" i="5"/>
  <c r="I1379" i="5" s="1"/>
  <c r="J1379" i="5" s="1"/>
  <c r="H1358" i="5"/>
  <c r="I1358" i="5" s="1"/>
  <c r="J1358" i="5" s="1"/>
  <c r="H1314" i="5"/>
  <c r="I1314" i="5" s="1"/>
  <c r="J1314" i="5" s="1"/>
  <c r="H1212" i="5"/>
  <c r="I1212" i="5" s="1"/>
  <c r="J1212" i="5" s="1"/>
  <c r="H1201" i="5"/>
  <c r="I1201" i="5" s="1"/>
  <c r="J1201" i="5" s="1"/>
  <c r="G709" i="5"/>
  <c r="H709" i="5"/>
  <c r="I709" i="5" s="1"/>
  <c r="J709" i="5" s="1"/>
  <c r="H1598" i="5"/>
  <c r="I1598" i="5" s="1"/>
  <c r="J1598" i="5" s="1"/>
  <c r="H1505" i="5"/>
  <c r="I1505" i="5" s="1"/>
  <c r="J1505" i="5" s="1"/>
  <c r="H1422" i="5"/>
  <c r="I1422" i="5" s="1"/>
  <c r="J1422" i="5" s="1"/>
  <c r="H1347" i="5"/>
  <c r="I1347" i="5" s="1"/>
  <c r="J1347" i="5" s="1"/>
  <c r="H1303" i="5"/>
  <c r="I1303" i="5" s="1"/>
  <c r="J1303" i="5" s="1"/>
  <c r="H1292" i="5"/>
  <c r="I1292" i="5" s="1"/>
  <c r="J1292" i="5" s="1"/>
  <c r="G1610" i="5"/>
  <c r="H1610" i="5"/>
  <c r="I1610" i="5" s="1"/>
  <c r="J1610" i="5" s="1"/>
  <c r="G1452" i="5"/>
  <c r="G1609" i="5"/>
  <c r="G1536" i="5"/>
  <c r="H1536" i="5"/>
  <c r="I1536" i="5" s="1"/>
  <c r="J1536" i="5" s="1"/>
  <c r="G1462" i="5"/>
  <c r="H1462" i="5"/>
  <c r="I1462" i="5" s="1"/>
  <c r="J1462" i="5" s="1"/>
  <c r="G1280" i="5"/>
  <c r="H1280" i="5"/>
  <c r="I1280" i="5" s="1"/>
  <c r="J1280" i="5" s="1"/>
  <c r="H1246" i="5"/>
  <c r="I1246" i="5" s="1"/>
  <c r="J1246" i="5" s="1"/>
  <c r="G1034" i="5"/>
  <c r="H1034" i="5"/>
  <c r="I1034" i="5" s="1"/>
  <c r="J1034" i="5" s="1"/>
  <c r="H1620" i="5"/>
  <c r="I1620" i="5" s="1"/>
  <c r="J1620" i="5" s="1"/>
  <c r="H1577" i="5"/>
  <c r="I1577" i="5" s="1"/>
  <c r="J1577" i="5" s="1"/>
  <c r="H1547" i="5"/>
  <c r="I1547" i="5" s="1"/>
  <c r="J1547" i="5" s="1"/>
  <c r="H1524" i="5"/>
  <c r="I1524" i="5" s="1"/>
  <c r="J1524" i="5" s="1"/>
  <c r="G1535" i="5"/>
  <c r="G916" i="5"/>
  <c r="H916" i="5"/>
  <c r="I916" i="5" s="1"/>
  <c r="J916" i="5" s="1"/>
  <c r="G1033" i="5"/>
  <c r="H1033" i="5"/>
  <c r="I1033" i="5" s="1"/>
  <c r="J1033" i="5" s="1"/>
  <c r="H1597" i="5"/>
  <c r="I1597" i="5" s="1"/>
  <c r="J1597" i="5" s="1"/>
  <c r="H1504" i="5"/>
  <c r="I1504" i="5" s="1"/>
  <c r="J1504" i="5" s="1"/>
  <c r="H1451" i="5"/>
  <c r="I1451" i="5" s="1"/>
  <c r="J1451" i="5" s="1"/>
  <c r="H1421" i="5"/>
  <c r="I1421" i="5" s="1"/>
  <c r="J1421" i="5" s="1"/>
  <c r="H1346" i="5"/>
  <c r="I1346" i="5" s="1"/>
  <c r="J1346" i="5" s="1"/>
  <c r="H1302" i="5"/>
  <c r="I1302" i="5" s="1"/>
  <c r="J1302" i="5" s="1"/>
  <c r="H1291" i="5"/>
  <c r="I1291" i="5" s="1"/>
  <c r="J1291" i="5" s="1"/>
  <c r="G1047" i="5"/>
  <c r="H1047" i="5"/>
  <c r="I1047" i="5" s="1"/>
  <c r="J1047" i="5" s="1"/>
  <c r="G915" i="5"/>
  <c r="H1494" i="5"/>
  <c r="I1494" i="5" s="1"/>
  <c r="J1494" i="5" s="1"/>
  <c r="H1441" i="5"/>
  <c r="I1441" i="5" s="1"/>
  <c r="J1441" i="5" s="1"/>
  <c r="G1060" i="5"/>
  <c r="H885" i="5"/>
  <c r="I885" i="5" s="1"/>
  <c r="J885" i="5" s="1"/>
  <c r="H1534" i="5"/>
  <c r="I1534" i="5" s="1"/>
  <c r="J1534" i="5" s="1"/>
  <c r="H1410" i="5"/>
  <c r="I1410" i="5" s="1"/>
  <c r="J1410" i="5" s="1"/>
  <c r="H1323" i="5"/>
  <c r="I1323" i="5" s="1"/>
  <c r="J1323" i="5" s="1"/>
  <c r="H1126" i="5"/>
  <c r="I1126" i="5" s="1"/>
  <c r="J1126" i="5" s="1"/>
  <c r="G946" i="5"/>
  <c r="H946" i="5"/>
  <c r="I946" i="5" s="1"/>
  <c r="J946" i="5" s="1"/>
  <c r="G1546" i="5"/>
  <c r="H1546" i="5"/>
  <c r="I1546" i="5" s="1"/>
  <c r="J1546" i="5" s="1"/>
  <c r="G1019" i="5"/>
  <c r="H1019" i="5"/>
  <c r="I1019" i="5" s="1"/>
  <c r="J1019" i="5" s="1"/>
  <c r="G995" i="5"/>
  <c r="H995" i="5"/>
  <c r="I995" i="5" s="1"/>
  <c r="J995" i="5" s="1"/>
  <c r="G927" i="5"/>
  <c r="G32" i="5"/>
  <c r="H917" i="5"/>
  <c r="I917" i="5" s="1"/>
  <c r="J917" i="5" s="1"/>
  <c r="H818" i="5"/>
  <c r="I818" i="5" s="1"/>
  <c r="J818" i="5" s="1"/>
  <c r="H734" i="5"/>
  <c r="I734" i="5" s="1"/>
  <c r="J734" i="5" s="1"/>
  <c r="G702" i="5"/>
  <c r="H702" i="5"/>
  <c r="I702" i="5" s="1"/>
  <c r="J702" i="5" s="1"/>
  <c r="G667" i="5"/>
  <c r="H415" i="5"/>
  <c r="I415" i="5" s="1"/>
  <c r="J415" i="5" s="1"/>
  <c r="H388" i="5"/>
  <c r="I388" i="5" s="1"/>
  <c r="J388" i="5" s="1"/>
  <c r="G1004" i="5"/>
  <c r="H888" i="5"/>
  <c r="I888" i="5" s="1"/>
  <c r="J888" i="5" s="1"/>
  <c r="H828" i="5"/>
  <c r="I828" i="5" s="1"/>
  <c r="J828" i="5" s="1"/>
  <c r="H807" i="5"/>
  <c r="I807" i="5" s="1"/>
  <c r="J807" i="5" s="1"/>
  <c r="H533" i="5"/>
  <c r="I533" i="5" s="1"/>
  <c r="J533" i="5" s="1"/>
  <c r="G867" i="5"/>
  <c r="H867" i="5"/>
  <c r="I867" i="5" s="1"/>
  <c r="J867" i="5" s="1"/>
  <c r="G857" i="5"/>
  <c r="H857" i="5"/>
  <c r="I857" i="5" s="1"/>
  <c r="J857" i="5" s="1"/>
  <c r="H606" i="5"/>
  <c r="I606" i="5" s="1"/>
  <c r="J606" i="5" s="1"/>
  <c r="G471" i="5"/>
  <c r="H471" i="5"/>
  <c r="I471" i="5" s="1"/>
  <c r="J471" i="5" s="1"/>
  <c r="G288" i="5"/>
  <c r="G766" i="5"/>
  <c r="H766" i="5"/>
  <c r="I766" i="5" s="1"/>
  <c r="J766" i="5" s="1"/>
  <c r="H570" i="5"/>
  <c r="I570" i="5" s="1"/>
  <c r="J570" i="5" s="1"/>
  <c r="H498" i="5"/>
  <c r="I498" i="5" s="1"/>
  <c r="J498" i="5" s="1"/>
  <c r="H443" i="5"/>
  <c r="I443" i="5" s="1"/>
  <c r="J443" i="5" s="1"/>
  <c r="G343" i="5"/>
  <c r="H343" i="5"/>
  <c r="I343" i="5" s="1"/>
  <c r="J343" i="5" s="1"/>
  <c r="G358" i="5"/>
  <c r="H358" i="5"/>
  <c r="I358" i="5" s="1"/>
  <c r="J358" i="5" s="1"/>
  <c r="H722" i="5"/>
  <c r="I722" i="5" s="1"/>
  <c r="J722" i="5" s="1"/>
  <c r="G665" i="5"/>
  <c r="H665" i="5"/>
  <c r="I665" i="5" s="1"/>
  <c r="J665" i="5" s="1"/>
  <c r="H470" i="5"/>
  <c r="I470" i="5" s="1"/>
  <c r="J470" i="5" s="1"/>
  <c r="H532" i="5"/>
  <c r="I532" i="5" s="1"/>
  <c r="J532" i="5" s="1"/>
  <c r="H925" i="5"/>
  <c r="I925" i="5" s="1"/>
  <c r="J925" i="5" s="1"/>
  <c r="H754" i="5"/>
  <c r="I754" i="5" s="1"/>
  <c r="J754" i="5" s="1"/>
  <c r="H605" i="5"/>
  <c r="I605" i="5" s="1"/>
  <c r="J605" i="5" s="1"/>
  <c r="H846" i="5"/>
  <c r="I846" i="5" s="1"/>
  <c r="J846" i="5" s="1"/>
  <c r="H580" i="5"/>
  <c r="I580" i="5" s="1"/>
  <c r="J580" i="5" s="1"/>
  <c r="H569" i="5"/>
  <c r="I569" i="5" s="1"/>
  <c r="J569" i="5" s="1"/>
  <c r="H442" i="5"/>
  <c r="I442" i="5" s="1"/>
  <c r="J442" i="5" s="1"/>
  <c r="H743" i="5"/>
  <c r="I743" i="5" s="1"/>
  <c r="J743" i="5" s="1"/>
  <c r="H557" i="5"/>
  <c r="I557" i="5" s="1"/>
  <c r="J557" i="5" s="1"/>
  <c r="G732" i="5"/>
  <c r="H543" i="5"/>
  <c r="I543" i="5" s="1"/>
  <c r="J543" i="5" s="1"/>
  <c r="H233" i="5"/>
  <c r="I233" i="5" s="1"/>
  <c r="J233" i="5" s="1"/>
  <c r="H641" i="5"/>
  <c r="I641" i="5" s="1"/>
  <c r="J641" i="5" s="1"/>
  <c r="H616" i="5"/>
  <c r="I616" i="5" s="1"/>
  <c r="J616" i="5" s="1"/>
  <c r="G604" i="5"/>
  <c r="H41" i="5"/>
  <c r="I41" i="5" s="1"/>
  <c r="J41" i="5" s="1"/>
  <c r="H114" i="5"/>
  <c r="I114" i="5" s="1"/>
  <c r="J114" i="5" s="1"/>
  <c r="H260" i="5"/>
  <c r="I260" i="5" s="1"/>
  <c r="J260" i="5" s="1"/>
  <c r="G603" i="5"/>
  <c r="H507" i="5"/>
  <c r="I507" i="5" s="1"/>
  <c r="J507" i="5" s="1"/>
  <c r="G151" i="5"/>
  <c r="H151" i="5"/>
  <c r="I151" i="5" s="1"/>
  <c r="J151" i="5" s="1"/>
  <c r="G87" i="5"/>
  <c r="H87" i="5"/>
  <c r="I87" i="5" s="1"/>
  <c r="J87" i="5" s="1"/>
  <c r="H589" i="5"/>
  <c r="I589" i="5" s="1"/>
  <c r="J589" i="5" s="1"/>
  <c r="H369" i="5"/>
  <c r="I369" i="5" s="1"/>
  <c r="J369" i="5" s="1"/>
  <c r="H205" i="5"/>
  <c r="I205" i="5" s="1"/>
  <c r="J205" i="5" s="1"/>
  <c r="G923" i="5"/>
  <c r="G793" i="5"/>
  <c r="H793" i="5"/>
  <c r="I793" i="5" s="1"/>
  <c r="J793" i="5" s="1"/>
  <c r="H752" i="5"/>
  <c r="I752" i="5" s="1"/>
  <c r="J752" i="5" s="1"/>
  <c r="H626" i="5"/>
  <c r="I626" i="5" s="1"/>
  <c r="J626" i="5" s="1"/>
  <c r="H1010" i="5"/>
  <c r="I1010" i="5" s="1"/>
  <c r="J1010" i="5" s="1"/>
  <c r="H863" i="5"/>
  <c r="I863" i="5" s="1"/>
  <c r="J863" i="5" s="1"/>
  <c r="H814" i="5"/>
  <c r="I814" i="5" s="1"/>
  <c r="J814" i="5" s="1"/>
  <c r="H661" i="5"/>
  <c r="I661" i="5" s="1"/>
  <c r="J661" i="5" s="1"/>
  <c r="H541" i="5"/>
  <c r="I541" i="5" s="1"/>
  <c r="J541" i="5" s="1"/>
  <c r="H178" i="5"/>
  <c r="I178" i="5" s="1"/>
  <c r="J178" i="5" s="1"/>
  <c r="H150" i="5"/>
  <c r="I150" i="5" s="1"/>
  <c r="J150" i="5" s="1"/>
  <c r="H86" i="5"/>
  <c r="I86" i="5" s="1"/>
  <c r="J86" i="5" s="1"/>
  <c r="H834" i="5"/>
  <c r="I834" i="5" s="1"/>
  <c r="J834" i="5" s="1"/>
  <c r="H762" i="5"/>
  <c r="I762" i="5" s="1"/>
  <c r="J762" i="5" s="1"/>
  <c r="G729" i="5"/>
  <c r="H729" i="5"/>
  <c r="I729" i="5" s="1"/>
  <c r="J729" i="5" s="1"/>
  <c r="H614" i="5"/>
  <c r="I614" i="5" s="1"/>
  <c r="J614" i="5" s="1"/>
  <c r="G601" i="5"/>
  <c r="H601" i="5"/>
  <c r="I601" i="5" s="1"/>
  <c r="J601" i="5" s="1"/>
  <c r="G638" i="5"/>
  <c r="H638" i="5"/>
  <c r="I638" i="5" s="1"/>
  <c r="J638" i="5" s="1"/>
  <c r="G407" i="5"/>
  <c r="H407" i="5"/>
  <c r="I407" i="5" s="1"/>
  <c r="J407" i="5" s="1"/>
  <c r="H751" i="5"/>
  <c r="I751" i="5" s="1"/>
  <c r="J751" i="5" s="1"/>
  <c r="H685" i="5"/>
  <c r="I685" i="5" s="1"/>
  <c r="J685" i="5" s="1"/>
  <c r="G672" i="5"/>
  <c r="H625" i="5"/>
  <c r="I625" i="5" s="1"/>
  <c r="J625" i="5" s="1"/>
  <c r="H1591" i="5"/>
  <c r="I1591" i="5" s="1"/>
  <c r="J1591" i="5" s="1"/>
  <c r="H1527" i="5"/>
  <c r="I1527" i="5" s="1"/>
  <c r="J1527" i="5" s="1"/>
  <c r="H1463" i="5"/>
  <c r="I1463" i="5" s="1"/>
  <c r="J1463" i="5" s="1"/>
  <c r="H1399" i="5"/>
  <c r="I1399" i="5" s="1"/>
  <c r="J1399" i="5" s="1"/>
  <c r="H1335" i="5"/>
  <c r="I1335" i="5" s="1"/>
  <c r="J1335" i="5" s="1"/>
  <c r="H1271" i="5"/>
  <c r="I1271" i="5" s="1"/>
  <c r="J1271" i="5" s="1"/>
  <c r="G1123" i="5"/>
  <c r="H1123" i="5"/>
  <c r="I1123" i="5" s="1"/>
  <c r="J1123" i="5" s="1"/>
  <c r="H728" i="5"/>
  <c r="I728" i="5" s="1"/>
  <c r="J728" i="5" s="1"/>
  <c r="H707" i="5"/>
  <c r="I707" i="5" s="1"/>
  <c r="J707" i="5" s="1"/>
  <c r="H696" i="5"/>
  <c r="I696" i="5" s="1"/>
  <c r="J696" i="5" s="1"/>
  <c r="G215" i="5"/>
  <c r="H215" i="5"/>
  <c r="I215" i="5" s="1"/>
  <c r="J215" i="5" s="1"/>
  <c r="G540" i="5"/>
  <c r="H540" i="5"/>
  <c r="I540" i="5" s="1"/>
  <c r="J540" i="5" s="1"/>
  <c r="G422" i="5"/>
  <c r="H422" i="5"/>
  <c r="I422" i="5" s="1"/>
  <c r="J422" i="5" s="1"/>
  <c r="G931" i="5"/>
  <c r="H931" i="5"/>
  <c r="I931" i="5" s="1"/>
  <c r="J931" i="5" s="1"/>
  <c r="G599" i="5"/>
  <c r="H599" i="5"/>
  <c r="I599" i="5" s="1"/>
  <c r="J599" i="5" s="1"/>
  <c r="G1132" i="5"/>
  <c r="H1334" i="5"/>
  <c r="I1334" i="5" s="1"/>
  <c r="J1334" i="5" s="1"/>
  <c r="H1270" i="5"/>
  <c r="I1270" i="5" s="1"/>
  <c r="J1270" i="5" s="1"/>
  <c r="H1206" i="5"/>
  <c r="I1206" i="5" s="1"/>
  <c r="J1206" i="5" s="1"/>
  <c r="H1160" i="5"/>
  <c r="I1160" i="5" s="1"/>
  <c r="J1160" i="5" s="1"/>
  <c r="H1141" i="5"/>
  <c r="I1141" i="5" s="1"/>
  <c r="J1141" i="5" s="1"/>
  <c r="H1103" i="5"/>
  <c r="I1103" i="5" s="1"/>
  <c r="J1103" i="5" s="1"/>
  <c r="H979" i="5"/>
  <c r="I979" i="5" s="1"/>
  <c r="J979" i="5" s="1"/>
  <c r="H1279" i="5"/>
  <c r="I1279" i="5" s="1"/>
  <c r="J1279" i="5" s="1"/>
  <c r="H1215" i="5"/>
  <c r="I1215" i="5" s="1"/>
  <c r="J1215" i="5" s="1"/>
  <c r="H1065" i="5"/>
  <c r="I1065" i="5" s="1"/>
  <c r="J1065" i="5" s="1"/>
  <c r="H1046" i="5"/>
  <c r="I1046" i="5" s="1"/>
  <c r="J1046" i="5" s="1"/>
  <c r="H1018" i="5"/>
  <c r="I1018" i="5" s="1"/>
  <c r="J1018" i="5" s="1"/>
  <c r="H960" i="5"/>
  <c r="I960" i="5" s="1"/>
  <c r="J960" i="5" s="1"/>
  <c r="H1288" i="5"/>
  <c r="I1288" i="5" s="1"/>
  <c r="J1288" i="5" s="1"/>
  <c r="H1131" i="5"/>
  <c r="I1131" i="5" s="1"/>
  <c r="J1131" i="5" s="1"/>
  <c r="H1112" i="5"/>
  <c r="I1112" i="5" s="1"/>
  <c r="J1112" i="5" s="1"/>
  <c r="H1084" i="5"/>
  <c r="I1084" i="5" s="1"/>
  <c r="J1084" i="5" s="1"/>
  <c r="H1008" i="5"/>
  <c r="I1008" i="5" s="1"/>
  <c r="J1008" i="5" s="1"/>
  <c r="H861" i="5"/>
  <c r="I861" i="5" s="1"/>
  <c r="J861" i="5" s="1"/>
  <c r="H716" i="5"/>
  <c r="I716" i="5" s="1"/>
  <c r="J716" i="5" s="1"/>
  <c r="H635" i="5"/>
  <c r="I635" i="5" s="1"/>
  <c r="J635" i="5" s="1"/>
  <c r="H525" i="5"/>
  <c r="I525" i="5" s="1"/>
  <c r="J525" i="5" s="1"/>
  <c r="H461" i="5"/>
  <c r="I461" i="5" s="1"/>
  <c r="J461" i="5" s="1"/>
  <c r="H998" i="5"/>
  <c r="I998" i="5" s="1"/>
  <c r="J998" i="5" s="1"/>
  <c r="H920" i="5"/>
  <c r="I920" i="5" s="1"/>
  <c r="J920" i="5" s="1"/>
  <c r="H871" i="5"/>
  <c r="I871" i="5" s="1"/>
  <c r="J871" i="5" s="1"/>
  <c r="H832" i="5"/>
  <c r="I832" i="5" s="1"/>
  <c r="J832" i="5" s="1"/>
  <c r="G294" i="5"/>
  <c r="H294" i="5"/>
  <c r="I294" i="5" s="1"/>
  <c r="J294" i="5" s="1"/>
  <c r="G23" i="5"/>
  <c r="H23" i="5"/>
  <c r="I23" i="5" s="1"/>
  <c r="J23" i="5" s="1"/>
  <c r="G950" i="5"/>
  <c r="G822" i="5"/>
  <c r="G279" i="5"/>
  <c r="H279" i="5"/>
  <c r="I279" i="5" s="1"/>
  <c r="J279" i="5" s="1"/>
  <c r="H881" i="5"/>
  <c r="I881" i="5" s="1"/>
  <c r="J881" i="5" s="1"/>
  <c r="H670" i="5"/>
  <c r="I670" i="5" s="1"/>
  <c r="J670" i="5" s="1"/>
  <c r="H562" i="5"/>
  <c r="I562" i="5" s="1"/>
  <c r="J562" i="5" s="1"/>
  <c r="H59" i="5"/>
  <c r="I59" i="5" s="1"/>
  <c r="J59" i="5" s="1"/>
  <c r="H726" i="5"/>
  <c r="I726" i="5" s="1"/>
  <c r="J726" i="5" s="1"/>
  <c r="H623" i="5"/>
  <c r="I623" i="5" s="1"/>
  <c r="J623" i="5" s="1"/>
  <c r="H810" i="5"/>
  <c r="I810" i="5" s="1"/>
  <c r="J810" i="5" s="1"/>
  <c r="H658" i="5"/>
  <c r="I658" i="5" s="1"/>
  <c r="J658" i="5" s="1"/>
  <c r="H597" i="5"/>
  <c r="I597" i="5" s="1"/>
  <c r="J597" i="5" s="1"/>
  <c r="H550" i="5"/>
  <c r="I550" i="5" s="1"/>
  <c r="J550" i="5" s="1"/>
  <c r="H514" i="5"/>
  <c r="I514" i="5" s="1"/>
  <c r="J514" i="5" s="1"/>
  <c r="G22" i="5"/>
  <c r="H22" i="5"/>
  <c r="I22" i="5" s="1"/>
  <c r="J22" i="5" s="1"/>
  <c r="H1007" i="5"/>
  <c r="I1007" i="5" s="1"/>
  <c r="J1007" i="5" s="1"/>
  <c r="H860" i="5"/>
  <c r="I860" i="5" s="1"/>
  <c r="J860" i="5" s="1"/>
  <c r="H715" i="5"/>
  <c r="I715" i="5" s="1"/>
  <c r="J715" i="5" s="1"/>
  <c r="H634" i="5"/>
  <c r="I634" i="5" s="1"/>
  <c r="J634" i="5" s="1"/>
  <c r="H524" i="5"/>
  <c r="I524" i="5" s="1"/>
  <c r="J524" i="5" s="1"/>
  <c r="H460" i="5"/>
  <c r="I460" i="5" s="1"/>
  <c r="J460" i="5" s="1"/>
  <c r="H278" i="5"/>
  <c r="I278" i="5" s="1"/>
  <c r="J278" i="5" s="1"/>
  <c r="G378" i="5"/>
  <c r="G987" i="5"/>
  <c r="H850" i="5"/>
  <c r="I850" i="5" s="1"/>
  <c r="J850" i="5" s="1"/>
  <c r="H769" i="5"/>
  <c r="I769" i="5" s="1"/>
  <c r="J769" i="5" s="1"/>
  <c r="H669" i="5"/>
  <c r="I669" i="5" s="1"/>
  <c r="J669" i="5" s="1"/>
  <c r="H622" i="5"/>
  <c r="I622" i="5" s="1"/>
  <c r="J622" i="5" s="1"/>
  <c r="H561" i="5"/>
  <c r="I561" i="5" s="1"/>
  <c r="J561" i="5" s="1"/>
  <c r="G459" i="5"/>
  <c r="H459" i="5"/>
  <c r="I459" i="5" s="1"/>
  <c r="J459" i="5" s="1"/>
  <c r="H187" i="5"/>
  <c r="I187" i="5" s="1"/>
  <c r="J187" i="5" s="1"/>
  <c r="H1195" i="5"/>
  <c r="I1195" i="5" s="1"/>
  <c r="J1195" i="5" s="1"/>
  <c r="G645" i="5"/>
  <c r="H645" i="5"/>
  <c r="I645" i="5" s="1"/>
  <c r="J645" i="5" s="1"/>
  <c r="H1016" i="5"/>
  <c r="I1016" i="5" s="1"/>
  <c r="J1016" i="5" s="1"/>
  <c r="G758" i="5"/>
  <c r="H704" i="5"/>
  <c r="I704" i="5" s="1"/>
  <c r="J704" i="5" s="1"/>
  <c r="G608" i="5"/>
  <c r="G535" i="5"/>
  <c r="H535" i="5"/>
  <c r="I535" i="5" s="1"/>
  <c r="J535" i="5" s="1"/>
  <c r="G859" i="5"/>
  <c r="G224" i="5"/>
  <c r="H1231" i="5"/>
  <c r="I1231" i="5" s="1"/>
  <c r="J1231" i="5" s="1"/>
  <c r="H1176" i="5"/>
  <c r="I1176" i="5" s="1"/>
  <c r="J1176" i="5" s="1"/>
  <c r="H1148" i="5"/>
  <c r="I1148" i="5" s="1"/>
  <c r="J1148" i="5" s="1"/>
  <c r="H918" i="5"/>
  <c r="I918" i="5" s="1"/>
  <c r="J918" i="5" s="1"/>
  <c r="H869" i="5"/>
  <c r="I869" i="5" s="1"/>
  <c r="J869" i="5" s="1"/>
  <c r="H735" i="5"/>
  <c r="I735" i="5" s="1"/>
  <c r="J735" i="5" s="1"/>
  <c r="H1053" i="5"/>
  <c r="I1053" i="5" s="1"/>
  <c r="J1053" i="5" s="1"/>
  <c r="H1025" i="5"/>
  <c r="I1025" i="5" s="1"/>
  <c r="J1025" i="5" s="1"/>
  <c r="H899" i="5"/>
  <c r="I899" i="5" s="1"/>
  <c r="J899" i="5" s="1"/>
  <c r="G819" i="5"/>
  <c r="H798" i="5"/>
  <c r="I798" i="5" s="1"/>
  <c r="J798" i="5" s="1"/>
  <c r="H788" i="5"/>
  <c r="I788" i="5" s="1"/>
  <c r="J788" i="5" s="1"/>
  <c r="H778" i="5"/>
  <c r="I778" i="5" s="1"/>
  <c r="J778" i="5" s="1"/>
  <c r="H746" i="5"/>
  <c r="I746" i="5" s="1"/>
  <c r="J746" i="5" s="1"/>
  <c r="H621" i="5"/>
  <c r="I621" i="5" s="1"/>
  <c r="J621" i="5" s="1"/>
  <c r="G431" i="5"/>
  <c r="G416" i="5"/>
  <c r="H1185" i="5"/>
  <c r="I1185" i="5" s="1"/>
  <c r="J1185" i="5" s="1"/>
  <c r="H957" i="5"/>
  <c r="I957" i="5" s="1"/>
  <c r="J957" i="5" s="1"/>
  <c r="H947" i="5"/>
  <c r="I947" i="5" s="1"/>
  <c r="J947" i="5" s="1"/>
  <c r="H937" i="5"/>
  <c r="I937" i="5" s="1"/>
  <c r="J937" i="5" s="1"/>
  <c r="H889" i="5"/>
  <c r="I889" i="5" s="1"/>
  <c r="J889" i="5" s="1"/>
  <c r="H829" i="5"/>
  <c r="I829" i="5" s="1"/>
  <c r="J829" i="5" s="1"/>
  <c r="H808" i="5"/>
  <c r="I808" i="5" s="1"/>
  <c r="J808" i="5" s="1"/>
  <c r="H724" i="5"/>
  <c r="I724" i="5" s="1"/>
  <c r="J724" i="5" s="1"/>
  <c r="H534" i="5"/>
  <c r="I534" i="5" s="1"/>
  <c r="J534" i="5" s="1"/>
  <c r="H488" i="5"/>
  <c r="I488" i="5" s="1"/>
  <c r="J488" i="5" s="1"/>
  <c r="G305" i="5"/>
  <c r="H305" i="5"/>
  <c r="I305" i="5" s="1"/>
  <c r="H132" i="5"/>
  <c r="I132" i="5" s="1"/>
  <c r="J132" i="5" s="1"/>
  <c r="H105" i="5"/>
  <c r="I105" i="5" s="1"/>
  <c r="J105" i="5" s="1"/>
  <c r="H68" i="5"/>
  <c r="I68" i="5" s="1"/>
  <c r="J68" i="5" s="1"/>
  <c r="H241" i="5"/>
  <c r="I241" i="5" s="1"/>
  <c r="J241" i="5" s="1"/>
  <c r="H177" i="5"/>
  <c r="I177" i="5" s="1"/>
  <c r="J177" i="5" s="1"/>
  <c r="H113" i="5"/>
  <c r="I113" i="5" s="1"/>
  <c r="J113" i="5" s="1"/>
  <c r="H432" i="5"/>
  <c r="I432" i="5" s="1"/>
  <c r="J432" i="5" s="1"/>
  <c r="H368" i="5"/>
  <c r="I368" i="5" s="1"/>
  <c r="J368" i="5" s="1"/>
  <c r="H304" i="5"/>
  <c r="I304" i="5" s="1"/>
  <c r="J304" i="5" s="1"/>
  <c r="H240" i="5"/>
  <c r="I240" i="5" s="1"/>
  <c r="J240" i="5" s="1"/>
  <c r="H176" i="5"/>
  <c r="I176" i="5" s="1"/>
  <c r="J176" i="5" s="1"/>
  <c r="H112" i="5"/>
  <c r="I112" i="5" s="1"/>
  <c r="J112" i="5" s="1"/>
  <c r="H441" i="5"/>
  <c r="I441" i="5" s="1"/>
  <c r="J441" i="5" s="1"/>
  <c r="H377" i="5"/>
  <c r="I377" i="5" s="1"/>
  <c r="J377" i="5" s="1"/>
  <c r="H313" i="5"/>
  <c r="I313" i="5" s="1"/>
  <c r="J313" i="5" s="1"/>
  <c r="H249" i="5"/>
  <c r="I249" i="5" s="1"/>
  <c r="J249" i="5" s="1"/>
  <c r="H185" i="5"/>
  <c r="I185" i="5" s="1"/>
  <c r="J185" i="5" s="1"/>
  <c r="H395" i="5"/>
  <c r="I395" i="5" s="1"/>
  <c r="J395" i="5" s="1"/>
  <c r="H331" i="5"/>
  <c r="I331" i="5" s="1"/>
  <c r="J331" i="5" s="1"/>
  <c r="H230" i="5"/>
  <c r="I230" i="5" s="1"/>
  <c r="J230" i="5" s="1"/>
  <c r="H166" i="5"/>
  <c r="I166" i="5" s="1"/>
  <c r="J166" i="5" s="1"/>
  <c r="H102" i="5"/>
  <c r="I102" i="5" s="1"/>
  <c r="J102" i="5" s="1"/>
  <c r="H467" i="5"/>
  <c r="I467" i="5" s="1"/>
  <c r="J467" i="5" s="1"/>
  <c r="H476" i="5"/>
  <c r="I476" i="5" s="1"/>
  <c r="J476" i="5" s="1"/>
  <c r="H357" i="5"/>
  <c r="I357" i="5" s="1"/>
  <c r="J357" i="5" s="1"/>
  <c r="H293" i="5"/>
  <c r="I293" i="5" s="1"/>
  <c r="J293" i="5" s="1"/>
  <c r="H229" i="5"/>
  <c r="I229" i="5" s="1"/>
  <c r="J229" i="5" s="1"/>
  <c r="H165" i="5"/>
  <c r="I165" i="5" s="1"/>
  <c r="J165" i="5" s="1"/>
  <c r="H101" i="5"/>
  <c r="I101" i="5" s="1"/>
  <c r="J101" i="5" s="1"/>
  <c r="H37" i="5"/>
  <c r="I37" i="5" s="1"/>
  <c r="J37" i="5" s="1"/>
  <c r="H430" i="5"/>
  <c r="I430" i="5" s="1"/>
  <c r="J430" i="5" s="1"/>
  <c r="H366" i="5"/>
  <c r="I366" i="5" s="1"/>
  <c r="J366" i="5" s="1"/>
  <c r="H46" i="5"/>
  <c r="I46" i="5" s="1"/>
  <c r="J46" i="5" s="1"/>
  <c r="H466" i="5"/>
  <c r="I466" i="5" s="1"/>
  <c r="J466" i="5" s="1"/>
  <c r="H411" i="5"/>
  <c r="I411" i="5" s="1"/>
  <c r="J411" i="5" s="1"/>
  <c r="H347" i="5"/>
  <c r="I347" i="5" s="1"/>
  <c r="H283" i="5"/>
  <c r="I283" i="5" s="1"/>
  <c r="J283" i="5" s="1"/>
  <c r="H219" i="5"/>
  <c r="I219" i="5" s="1"/>
  <c r="J219" i="5" s="1"/>
  <c r="H155" i="5"/>
  <c r="I155" i="5" s="1"/>
  <c r="J155" i="5" s="1"/>
  <c r="H91" i="5"/>
  <c r="I91" i="5" s="1"/>
  <c r="J91" i="5" s="1"/>
  <c r="H27" i="5"/>
  <c r="I27" i="5" s="1"/>
  <c r="J27" i="5" s="1"/>
  <c r="H438" i="5"/>
  <c r="I438" i="5" s="1"/>
  <c r="J438" i="5" s="1"/>
  <c r="H374" i="5"/>
  <c r="I374" i="5" s="1"/>
  <c r="J374" i="5" s="1"/>
  <c r="H310" i="5"/>
  <c r="I310" i="5" s="1"/>
  <c r="J310" i="5" s="1"/>
  <c r="H191" i="5"/>
  <c r="I191" i="5" s="1"/>
  <c r="J191" i="5" s="1"/>
  <c r="H127" i="5"/>
  <c r="I127" i="5" s="1"/>
  <c r="J127" i="5" s="1"/>
  <c r="H264" i="5"/>
  <c r="I264" i="5" s="1"/>
  <c r="J264" i="5" s="1"/>
  <c r="H200" i="5"/>
  <c r="I200" i="5" s="1"/>
  <c r="J200" i="5" s="1"/>
  <c r="H72" i="5"/>
  <c r="I72" i="5" s="1"/>
  <c r="J72" i="5" s="1"/>
  <c r="H8" i="5"/>
  <c r="I8" i="5" s="1"/>
  <c r="J8" i="5" s="1"/>
  <c r="H465" i="5"/>
  <c r="I465" i="5" s="1"/>
  <c r="J465" i="5" s="1"/>
  <c r="H803" i="5"/>
  <c r="I803" i="5" s="1"/>
  <c r="J803" i="5" s="1"/>
  <c r="H739" i="5"/>
  <c r="I739" i="5" s="1"/>
  <c r="J739" i="5" s="1"/>
  <c r="H675" i="5"/>
  <c r="I675" i="5" s="1"/>
  <c r="J675" i="5" s="1"/>
  <c r="H611" i="5"/>
  <c r="I611" i="5" s="1"/>
  <c r="J611" i="5" s="1"/>
  <c r="H547" i="5"/>
  <c r="I547" i="5" s="1"/>
  <c r="J547" i="5" s="1"/>
  <c r="H483" i="5"/>
  <c r="I483" i="5" s="1"/>
  <c r="J483" i="5" s="1"/>
  <c r="H419" i="5"/>
  <c r="I419" i="5" s="1"/>
  <c r="J419" i="5" s="1"/>
  <c r="H812" i="5"/>
  <c r="I812" i="5" s="1"/>
  <c r="J812" i="5" s="1"/>
  <c r="H684" i="5"/>
  <c r="I684" i="5" s="1"/>
  <c r="H620" i="5"/>
  <c r="I620" i="5" s="1"/>
  <c r="J620" i="5" s="1"/>
  <c r="H556" i="5"/>
  <c r="I556" i="5" s="1"/>
  <c r="J556" i="5" s="1"/>
  <c r="H574" i="5"/>
  <c r="I574" i="5" s="1"/>
  <c r="J574" i="5" s="1"/>
  <c r="H510" i="5"/>
  <c r="I510" i="5" s="1"/>
  <c r="J510" i="5" s="1"/>
  <c r="H446" i="5"/>
  <c r="I446" i="5" s="1"/>
  <c r="J446" i="5" s="1"/>
  <c r="H382" i="5"/>
  <c r="I382" i="5" s="1"/>
  <c r="J382" i="5" s="1"/>
  <c r="H318" i="5"/>
  <c r="I318" i="5" s="1"/>
  <c r="J318" i="5" s="1"/>
  <c r="H254" i="5"/>
  <c r="I254" i="5" s="1"/>
  <c r="J254" i="5" s="1"/>
  <c r="H190" i="5"/>
  <c r="I190" i="5" s="1"/>
  <c r="J190" i="5" s="1"/>
  <c r="H126" i="5"/>
  <c r="I126" i="5" s="1"/>
  <c r="J126" i="5" s="1"/>
  <c r="H62" i="5"/>
  <c r="I62" i="5" s="1"/>
  <c r="J62" i="5" s="1"/>
  <c r="H7" i="5"/>
  <c r="I7" i="5" s="1"/>
  <c r="J7" i="5" s="1"/>
  <c r="H464" i="5"/>
  <c r="I464" i="5" s="1"/>
  <c r="J464" i="5" s="1"/>
  <c r="H16" i="5"/>
  <c r="I16" i="5" s="1"/>
  <c r="J16" i="5" s="1"/>
  <c r="H537" i="5"/>
  <c r="I537" i="5" s="1"/>
  <c r="J537" i="5" s="1"/>
  <c r="H473" i="5"/>
  <c r="I473" i="5" s="1"/>
  <c r="J473" i="5" s="1"/>
  <c r="H409" i="5"/>
  <c r="I409" i="5" s="1"/>
  <c r="J409" i="5" s="1"/>
  <c r="H345" i="5"/>
  <c r="I345" i="5" s="1"/>
  <c r="J345" i="5" s="1"/>
  <c r="H281" i="5"/>
  <c r="I281" i="5" s="1"/>
  <c r="J281" i="5" s="1"/>
  <c r="H217" i="5"/>
  <c r="I217" i="5" s="1"/>
  <c r="J217" i="5" s="1"/>
  <c r="H153" i="5"/>
  <c r="I153" i="5" s="1"/>
  <c r="J153" i="5" s="1"/>
  <c r="H628" i="5"/>
  <c r="I628" i="5" s="1"/>
  <c r="J628" i="5" s="1"/>
  <c r="H564" i="5"/>
  <c r="I564" i="5" s="1"/>
  <c r="J564" i="5" s="1"/>
  <c r="H500" i="5"/>
  <c r="I500" i="5" s="1"/>
  <c r="J500" i="5" s="1"/>
  <c r="H436" i="5"/>
  <c r="I436" i="5" s="1"/>
  <c r="J436" i="5" s="1"/>
  <c r="H372" i="5"/>
  <c r="I372" i="5" s="1"/>
  <c r="J372" i="5" s="1"/>
  <c r="H308" i="5"/>
  <c r="I308" i="5" s="1"/>
  <c r="J308" i="5" s="1"/>
  <c r="H244" i="5"/>
  <c r="I244" i="5" s="1"/>
  <c r="J244" i="5" s="1"/>
  <c r="H180" i="5"/>
  <c r="I180" i="5" s="1"/>
  <c r="J180" i="5" s="1"/>
  <c r="H116" i="5"/>
  <c r="I116" i="5" s="1"/>
  <c r="J116" i="5" s="1"/>
  <c r="H6" i="5"/>
  <c r="I6" i="5" s="1"/>
  <c r="J6" i="5" s="1"/>
  <c r="H655" i="5"/>
  <c r="I655" i="5" s="1"/>
  <c r="J655" i="5" s="1"/>
  <c r="H591" i="5"/>
  <c r="I591" i="5" s="1"/>
  <c r="J591" i="5" s="1"/>
  <c r="H527" i="5"/>
  <c r="I527" i="5" s="1"/>
  <c r="J527" i="5" s="1"/>
  <c r="H463" i="5"/>
  <c r="I463" i="5" s="1"/>
  <c r="J463" i="5" s="1"/>
  <c r="H15" i="5"/>
  <c r="I15" i="5" s="1"/>
  <c r="J15" i="5" s="1"/>
  <c r="H682" i="5"/>
  <c r="I682" i="5" s="1"/>
  <c r="J682" i="5" s="1"/>
  <c r="H618" i="5"/>
  <c r="I618" i="5" s="1"/>
  <c r="J618" i="5" s="1"/>
  <c r="H554" i="5"/>
  <c r="I554" i="5" s="1"/>
  <c r="J554" i="5" s="1"/>
  <c r="H490" i="5"/>
  <c r="I490" i="5" s="1"/>
  <c r="J490" i="5" s="1"/>
  <c r="H426" i="5"/>
  <c r="I426" i="5" s="1"/>
  <c r="J426" i="5" s="1"/>
  <c r="H362" i="5"/>
  <c r="I362" i="5" s="1"/>
  <c r="H298" i="5"/>
  <c r="I298" i="5" s="1"/>
  <c r="J298" i="5" s="1"/>
  <c r="H234" i="5"/>
  <c r="I234" i="5" s="1"/>
  <c r="J234" i="5" s="1"/>
  <c r="H170" i="5"/>
  <c r="I170" i="5" s="1"/>
  <c r="J170" i="5" s="1"/>
  <c r="H581" i="5"/>
  <c r="I581" i="5" s="1"/>
  <c r="J581" i="5" s="1"/>
  <c r="H5" i="5"/>
  <c r="I5" i="5" s="1"/>
  <c r="J5" i="5" s="1"/>
  <c r="H590" i="5"/>
  <c r="I590" i="5" s="1"/>
  <c r="J590" i="5" s="1"/>
  <c r="H526" i="5"/>
  <c r="I526" i="5" s="1"/>
  <c r="J526" i="5" s="1"/>
  <c r="H462" i="5"/>
  <c r="I462" i="5" s="1"/>
  <c r="J462" i="5" s="1"/>
  <c r="H206" i="5"/>
  <c r="I206" i="5" s="1"/>
  <c r="J206" i="5" s="1"/>
  <c r="H142" i="5"/>
  <c r="I142" i="5" s="1"/>
  <c r="J142" i="5" s="1"/>
  <c r="H78" i="5"/>
  <c r="I78" i="5" s="1"/>
  <c r="J78" i="5" s="1"/>
  <c r="H14" i="5"/>
  <c r="I14" i="5" s="1"/>
  <c r="J14" i="5" s="1"/>
  <c r="H1495" i="3"/>
  <c r="I1495" i="3" s="1"/>
  <c r="J1495" i="3" s="1"/>
  <c r="H1470" i="3"/>
  <c r="I1470" i="3" s="1"/>
  <c r="J1470" i="3" s="1"/>
  <c r="H1182" i="3"/>
  <c r="I1182" i="3" s="1"/>
  <c r="J1182" i="3" s="1"/>
  <c r="H1160" i="3"/>
  <c r="I1160" i="3" s="1"/>
  <c r="J1160" i="3" s="1"/>
  <c r="G1139" i="3"/>
  <c r="H1021" i="3"/>
  <c r="I1021" i="3" s="1"/>
  <c r="J1021" i="3" s="1"/>
  <c r="H952" i="3"/>
  <c r="I952" i="3" s="1"/>
  <c r="J952" i="3" s="1"/>
  <c r="G837" i="3"/>
  <c r="G514" i="3"/>
  <c r="G494" i="3"/>
  <c r="H322" i="3"/>
  <c r="I322" i="3" s="1"/>
  <c r="J322" i="3" s="1"/>
  <c r="G300" i="3"/>
  <c r="G169" i="3"/>
  <c r="G24" i="3"/>
  <c r="H472" i="3"/>
  <c r="I472" i="3" s="1"/>
  <c r="J472" i="3" s="1"/>
  <c r="H429" i="3"/>
  <c r="I429" i="3" s="1"/>
  <c r="J429" i="3" s="1"/>
  <c r="H364" i="3"/>
  <c r="I364" i="3" s="1"/>
  <c r="J364" i="3" s="1"/>
  <c r="H211" i="3"/>
  <c r="I211" i="3" s="1"/>
  <c r="J211" i="3" s="1"/>
  <c r="H1589" i="3"/>
  <c r="N1589" i="3" s="1"/>
  <c r="H1447" i="3"/>
  <c r="I1447" i="3" s="1"/>
  <c r="J1447" i="3" s="1"/>
  <c r="H1045" i="3"/>
  <c r="I1045" i="3" s="1"/>
  <c r="J1045" i="3" s="1"/>
  <c r="G448" i="3"/>
  <c r="H789" i="3"/>
  <c r="I789" i="3" s="1"/>
  <c r="J789" i="3" s="1"/>
  <c r="G699" i="3"/>
  <c r="H561" i="3"/>
  <c r="I561" i="3" s="1"/>
  <c r="J561" i="3" s="1"/>
  <c r="H408" i="3"/>
  <c r="I408" i="3" s="1"/>
  <c r="J408" i="3" s="1"/>
  <c r="H321" i="3"/>
  <c r="I321" i="3" s="1"/>
  <c r="J321" i="3" s="1"/>
  <c r="H276" i="3"/>
  <c r="I276" i="3" s="1"/>
  <c r="J276" i="3" s="1"/>
  <c r="H1399" i="3"/>
  <c r="I1399" i="3" s="1"/>
  <c r="J1399" i="3" s="1"/>
  <c r="H1115" i="3"/>
  <c r="I1115" i="3" s="1"/>
  <c r="J1115" i="3" s="1"/>
  <c r="H857" i="3"/>
  <c r="I857" i="3" s="1"/>
  <c r="J857" i="3" s="1"/>
  <c r="H513" i="3"/>
  <c r="I513" i="3" s="1"/>
  <c r="J513" i="3" s="1"/>
  <c r="H428" i="3"/>
  <c r="I428" i="3" s="1"/>
  <c r="J428" i="3" s="1"/>
  <c r="G254" i="3"/>
  <c r="G1580" i="3"/>
  <c r="H1357" i="3"/>
  <c r="I1357" i="3" s="1"/>
  <c r="J1357" i="3" s="1"/>
  <c r="H1201" i="3"/>
  <c r="I1201" i="3" s="1"/>
  <c r="J1201" i="3" s="1"/>
  <c r="G1180" i="3"/>
  <c r="H1019" i="3"/>
  <c r="I1019" i="3" s="1"/>
  <c r="J1019" i="3" s="1"/>
  <c r="G904" i="3"/>
  <c r="H835" i="3"/>
  <c r="I835" i="3" s="1"/>
  <c r="J835" i="3" s="1"/>
  <c r="H675" i="3"/>
  <c r="I675" i="3" s="1"/>
  <c r="J675" i="3" s="1"/>
  <c r="H537" i="3"/>
  <c r="I537" i="3" s="1"/>
  <c r="J537" i="3" s="1"/>
  <c r="H144" i="3"/>
  <c r="I144" i="3" s="1"/>
  <c r="J144" i="3" s="1"/>
  <c r="H104" i="3"/>
  <c r="I104" i="3" s="1"/>
  <c r="J104" i="3" s="1"/>
  <c r="H1421" i="3"/>
  <c r="I1421" i="3" s="1"/>
  <c r="J1421" i="3" s="1"/>
  <c r="H1289" i="3"/>
  <c r="I1289" i="3" s="1"/>
  <c r="J1289" i="3" s="1"/>
  <c r="G627" i="3"/>
  <c r="G560" i="3"/>
  <c r="H167" i="3"/>
  <c r="I167" i="3" s="1"/>
  <c r="J167" i="3" s="1"/>
  <c r="H602" i="3"/>
  <c r="I602" i="3" s="1"/>
  <c r="J602" i="3" s="1"/>
  <c r="H512" i="3"/>
  <c r="I512" i="3" s="1"/>
  <c r="J512" i="3" s="1"/>
  <c r="H469" i="3"/>
  <c r="I469" i="3" s="1"/>
  <c r="J469" i="3" s="1"/>
  <c r="G341" i="3"/>
  <c r="H320" i="3"/>
  <c r="I320" i="3" s="1"/>
  <c r="J320" i="3" s="1"/>
  <c r="H581" i="3"/>
  <c r="I581" i="3" s="1"/>
  <c r="J581" i="3" s="1"/>
  <c r="H536" i="3"/>
  <c r="I536" i="3" s="1"/>
  <c r="J536" i="3" s="1"/>
  <c r="H143" i="3"/>
  <c r="I143" i="3" s="1"/>
  <c r="J143" i="3" s="1"/>
  <c r="H123" i="3"/>
  <c r="I123" i="3" s="1"/>
  <c r="J123" i="3" s="1"/>
  <c r="H41" i="3"/>
  <c r="I41" i="3" s="1"/>
  <c r="J41" i="3" s="1"/>
  <c r="G809" i="3"/>
  <c r="H673" i="3"/>
  <c r="I673" i="3" s="1"/>
  <c r="J673" i="3" s="1"/>
  <c r="H252" i="3"/>
  <c r="I252" i="3" s="1"/>
  <c r="J252" i="3" s="1"/>
  <c r="H231" i="3"/>
  <c r="I231" i="3" s="1"/>
  <c r="J231" i="3" s="1"/>
  <c r="H103" i="3"/>
  <c r="I103" i="3" s="1"/>
  <c r="J103" i="3" s="1"/>
  <c r="H60" i="3"/>
  <c r="I60" i="3" s="1"/>
  <c r="J60" i="3" s="1"/>
  <c r="G1333" i="3"/>
  <c r="H558" i="3"/>
  <c r="I558" i="3" s="1"/>
  <c r="J558" i="3" s="1"/>
  <c r="H405" i="3"/>
  <c r="I405" i="3" s="1"/>
  <c r="J405" i="3" s="1"/>
  <c r="H272" i="3"/>
  <c r="I272" i="3" s="1"/>
  <c r="J272" i="3" s="1"/>
  <c r="G59" i="3"/>
  <c r="H1417" i="3"/>
  <c r="I1417" i="3" s="1"/>
  <c r="J1417" i="3" s="1"/>
  <c r="G1133" i="3"/>
  <c r="H1110" i="3"/>
  <c r="I1110" i="3" s="1"/>
  <c r="J1110" i="3" s="1"/>
  <c r="H1063" i="3"/>
  <c r="I1063" i="3" s="1"/>
  <c r="J1063" i="3" s="1"/>
  <c r="H854" i="3"/>
  <c r="I854" i="3" s="1"/>
  <c r="J854" i="3" s="1"/>
  <c r="H738" i="3"/>
  <c r="I738" i="3" s="1"/>
  <c r="J738" i="3" s="1"/>
  <c r="G339" i="3"/>
  <c r="H184" i="3"/>
  <c r="I184" i="3" s="1"/>
  <c r="J184" i="3" s="1"/>
  <c r="H164" i="3"/>
  <c r="I164" i="3" s="1"/>
  <c r="J164" i="3" s="1"/>
  <c r="H39" i="3"/>
  <c r="I39" i="3" s="1"/>
  <c r="J39" i="3" s="1"/>
  <c r="H1016" i="3"/>
  <c r="I1016" i="3" s="1"/>
  <c r="J1016" i="3" s="1"/>
  <c r="G923" i="3"/>
  <c r="H807" i="3"/>
  <c r="I807" i="3" s="1"/>
  <c r="J807" i="3" s="1"/>
  <c r="H785" i="3"/>
  <c r="I785" i="3" s="1"/>
  <c r="J785" i="3" s="1"/>
  <c r="H557" i="3"/>
  <c r="I557" i="3" s="1"/>
  <c r="J557" i="3" s="1"/>
  <c r="H404" i="3"/>
  <c r="I404" i="3" s="1"/>
  <c r="J404" i="3" s="1"/>
  <c r="G294" i="3"/>
  <c r="H271" i="3"/>
  <c r="I271" i="3" s="1"/>
  <c r="J271" i="3" s="1"/>
  <c r="H1307" i="3"/>
  <c r="I1307" i="3" s="1"/>
  <c r="J1307" i="3" s="1"/>
  <c r="H967" i="3"/>
  <c r="I967" i="3" s="1"/>
  <c r="J967" i="3" s="1"/>
  <c r="H946" i="3"/>
  <c r="I946" i="3" s="1"/>
  <c r="J946" i="3" s="1"/>
  <c r="H624" i="3"/>
  <c r="I624" i="3" s="1"/>
  <c r="J624" i="3" s="1"/>
  <c r="H600" i="3"/>
  <c r="I600" i="3" s="1"/>
  <c r="J600" i="3" s="1"/>
  <c r="H443" i="3"/>
  <c r="I443" i="3" s="1"/>
  <c r="J443" i="3" s="1"/>
  <c r="H424" i="3"/>
  <c r="I424" i="3" s="1"/>
  <c r="J424" i="3" s="1"/>
  <c r="H79" i="3"/>
  <c r="I79" i="3" s="1"/>
  <c r="J79" i="3" s="1"/>
  <c r="G1440" i="3"/>
  <c r="H1261" i="3"/>
  <c r="I1261" i="3" s="1"/>
  <c r="J1261" i="3" s="1"/>
  <c r="H990" i="3"/>
  <c r="I990" i="3" s="1"/>
  <c r="J990" i="3" s="1"/>
  <c r="G853" i="3"/>
  <c r="H830" i="3"/>
  <c r="I830" i="3" s="1"/>
  <c r="J830" i="3" s="1"/>
  <c r="H760" i="3"/>
  <c r="I760" i="3" s="1"/>
  <c r="J760" i="3" s="1"/>
  <c r="H737" i="3"/>
  <c r="I737" i="3" s="1"/>
  <c r="J737" i="3" s="1"/>
  <c r="G509" i="3"/>
  <c r="H465" i="3"/>
  <c r="I465" i="3" s="1"/>
  <c r="J465" i="3" s="1"/>
  <c r="H359" i="3"/>
  <c r="I359" i="3" s="1"/>
  <c r="J359" i="3" s="1"/>
  <c r="H1416" i="3"/>
  <c r="I1416" i="3" s="1"/>
  <c r="J1416" i="3" s="1"/>
  <c r="H228" i="3"/>
  <c r="I228" i="3" s="1"/>
  <c r="J228" i="3" s="1"/>
  <c r="H38" i="3"/>
  <c r="I38" i="3" s="1"/>
  <c r="J38" i="3" s="1"/>
  <c r="H120" i="3"/>
  <c r="I120" i="3" s="1"/>
  <c r="J120" i="3" s="1"/>
  <c r="H57" i="3"/>
  <c r="I57" i="3" s="1"/>
  <c r="J57" i="3" s="1"/>
  <c r="H15" i="3"/>
  <c r="I15" i="3" s="1"/>
  <c r="J15" i="3" s="1"/>
  <c r="H783" i="3"/>
  <c r="I783" i="3" s="1"/>
  <c r="J783" i="3" s="1"/>
  <c r="H508" i="3"/>
  <c r="I508" i="3" s="1"/>
  <c r="J508" i="3" s="1"/>
  <c r="H204" i="3"/>
  <c r="I204" i="3" s="1"/>
  <c r="J204" i="3" s="1"/>
  <c r="H99" i="3"/>
  <c r="I99" i="3" s="1"/>
  <c r="J99" i="3" s="1"/>
  <c r="G78" i="3"/>
  <c r="H182" i="3"/>
  <c r="I182" i="3" s="1"/>
  <c r="J182" i="3" s="1"/>
  <c r="H1530" i="3"/>
  <c r="I1530" i="3" s="1"/>
  <c r="J1530" i="3" s="1"/>
  <c r="G1509" i="3"/>
  <c r="H1485" i="3"/>
  <c r="I1485" i="3" s="1"/>
  <c r="J1485" i="3" s="1"/>
  <c r="H1305" i="3"/>
  <c r="I1305" i="3" s="1"/>
  <c r="J1305" i="3" s="1"/>
  <c r="G1237" i="3"/>
  <c r="H1152" i="3"/>
  <c r="I1152" i="3" s="1"/>
  <c r="J1152" i="3" s="1"/>
  <c r="H692" i="3"/>
  <c r="I692" i="3" s="1"/>
  <c r="J692" i="3" s="1"/>
  <c r="H423" i="3"/>
  <c r="I423" i="3" s="1"/>
  <c r="J423" i="3" s="1"/>
  <c r="H336" i="3"/>
  <c r="N336" i="3" s="1"/>
  <c r="H1373" i="3"/>
  <c r="I1373" i="3" s="1"/>
  <c r="J1373" i="3" s="1"/>
  <c r="G1195" i="3"/>
  <c r="H965" i="3"/>
  <c r="I965" i="3" s="1"/>
  <c r="J965" i="3" s="1"/>
  <c r="G920" i="3"/>
  <c r="H898" i="3"/>
  <c r="I898" i="3" s="1"/>
  <c r="J898" i="3" s="1"/>
  <c r="G851" i="3"/>
  <c r="H804" i="3"/>
  <c r="I804" i="3" s="1"/>
  <c r="J804" i="3" s="1"/>
  <c r="G758" i="3"/>
  <c r="H507" i="3"/>
  <c r="I507" i="3" s="1"/>
  <c r="J507" i="3" s="1"/>
  <c r="H463" i="3"/>
  <c r="I463" i="3" s="1"/>
  <c r="J463" i="3" s="1"/>
  <c r="H138" i="3"/>
  <c r="I138" i="3" s="1"/>
  <c r="J138" i="3" s="1"/>
  <c r="G1281" i="3"/>
  <c r="H1173" i="3"/>
  <c r="I1173" i="3" s="1"/>
  <c r="J1173" i="3" s="1"/>
  <c r="H668" i="3"/>
  <c r="I668" i="3" s="1"/>
  <c r="J668" i="3" s="1"/>
  <c r="G576" i="3"/>
  <c r="H56" i="3"/>
  <c r="I56" i="3" s="1"/>
  <c r="J56" i="3" s="1"/>
  <c r="G1529" i="3"/>
  <c r="H1059" i="3"/>
  <c r="I1059" i="3" s="1"/>
  <c r="J1059" i="3" s="1"/>
  <c r="H873" i="3"/>
  <c r="I873" i="3" s="1"/>
  <c r="J873" i="3" s="1"/>
  <c r="H827" i="3"/>
  <c r="I827" i="3" s="1"/>
  <c r="J827" i="3" s="1"/>
  <c r="G781" i="3"/>
  <c r="G485" i="3"/>
  <c r="G313" i="3"/>
  <c r="H247" i="3"/>
  <c r="I247" i="3" s="1"/>
  <c r="J247" i="3" s="1"/>
  <c r="H36" i="3"/>
  <c r="I36" i="3" s="1"/>
  <c r="J36" i="3" s="1"/>
  <c r="G1460" i="3"/>
  <c r="G1303" i="3"/>
  <c r="G1151" i="3"/>
  <c r="H643" i="3"/>
  <c r="I643" i="3" s="1"/>
  <c r="J643" i="3" s="1"/>
  <c r="G377" i="3"/>
  <c r="H334" i="3"/>
  <c r="I334" i="3" s="1"/>
  <c r="J334" i="3" s="1"/>
  <c r="H118" i="3"/>
  <c r="I118" i="3" s="1"/>
  <c r="J118" i="3" s="1"/>
  <c r="H76" i="3"/>
  <c r="I76" i="3" s="1"/>
  <c r="J76" i="3" s="1"/>
  <c r="G1550" i="3"/>
  <c r="H1058" i="3"/>
  <c r="I1058" i="3" s="1"/>
  <c r="J1058" i="3" s="1"/>
  <c r="G1034" i="3"/>
  <c r="H872" i="3"/>
  <c r="I872" i="3" s="1"/>
  <c r="J872" i="3" s="1"/>
  <c r="G732" i="3"/>
  <c r="H506" i="3"/>
  <c r="I506" i="3" s="1"/>
  <c r="J506" i="3" s="1"/>
  <c r="H246" i="3"/>
  <c r="I246" i="3" s="1"/>
  <c r="J246" i="3" s="1"/>
  <c r="H201" i="3"/>
  <c r="I201" i="3" s="1"/>
  <c r="J201" i="3" s="1"/>
  <c r="G159" i="3"/>
  <c r="G1507" i="3"/>
  <c r="G918" i="3"/>
  <c r="G802" i="3"/>
  <c r="H709" i="3"/>
  <c r="I709" i="3" s="1"/>
  <c r="J709" i="3" s="1"/>
  <c r="G690" i="3"/>
  <c r="H461" i="3"/>
  <c r="I461" i="3" s="1"/>
  <c r="J461" i="3" s="1"/>
  <c r="H289" i="3"/>
  <c r="I289" i="3" s="1"/>
  <c r="J289" i="3" s="1"/>
  <c r="H55" i="3"/>
  <c r="I55" i="3" s="1"/>
  <c r="J55" i="3" s="1"/>
  <c r="H993" i="3"/>
  <c r="I993" i="3" s="1"/>
  <c r="J993" i="3" s="1"/>
  <c r="H1302" i="3"/>
  <c r="I1302" i="3" s="1"/>
  <c r="J1302" i="3" s="1"/>
  <c r="G1279" i="3"/>
  <c r="G849" i="3"/>
  <c r="H551" i="3"/>
  <c r="I551" i="3" s="1"/>
  <c r="J551" i="3" s="1"/>
  <c r="G355" i="3"/>
  <c r="H266" i="3"/>
  <c r="I266" i="3" s="1"/>
  <c r="J266" i="3" s="1"/>
  <c r="H179" i="3"/>
  <c r="I179" i="3" s="1"/>
  <c r="J179" i="3" s="1"/>
  <c r="H135" i="3"/>
  <c r="I135" i="3" s="1"/>
  <c r="J135" i="3" s="1"/>
  <c r="G75" i="3"/>
  <c r="H1220" i="3"/>
  <c r="I1220" i="3" s="1"/>
  <c r="J1220" i="3" s="1"/>
  <c r="H1234" i="3"/>
  <c r="I1234" i="3" s="1"/>
  <c r="J1234" i="3" s="1"/>
  <c r="H1213" i="3"/>
  <c r="I1213" i="3" s="1"/>
  <c r="J1213" i="3" s="1"/>
  <c r="H1150" i="3"/>
  <c r="I1150" i="3" s="1"/>
  <c r="J1150" i="3" s="1"/>
  <c r="H1127" i="3"/>
  <c r="I1127" i="3" s="1"/>
  <c r="J1127" i="3" s="1"/>
  <c r="H420" i="3"/>
  <c r="I420" i="3" s="1"/>
  <c r="J420" i="3" s="1"/>
  <c r="H311" i="3"/>
  <c r="I311" i="3" s="1"/>
  <c r="J311" i="3" s="1"/>
  <c r="G223" i="3"/>
  <c r="G778" i="3"/>
  <c r="H731" i="3"/>
  <c r="I731" i="3" s="1"/>
  <c r="J731" i="3" s="1"/>
  <c r="G573" i="3"/>
  <c r="H505" i="3"/>
  <c r="I505" i="3" s="1"/>
  <c r="J505" i="3" s="1"/>
  <c r="H398" i="3"/>
  <c r="I398" i="3" s="1"/>
  <c r="J398" i="3" s="1"/>
  <c r="G95" i="3"/>
  <c r="H33" i="3"/>
  <c r="I33" i="3" s="1"/>
  <c r="J33" i="3" s="1"/>
  <c r="H265" i="3"/>
  <c r="I265" i="3" s="1"/>
  <c r="J265" i="3" s="1"/>
  <c r="G54" i="3"/>
  <c r="H482" i="3"/>
  <c r="I482" i="3" s="1"/>
  <c r="J482" i="3" s="1"/>
  <c r="H419" i="3"/>
  <c r="I419" i="3" s="1"/>
  <c r="J419" i="3" s="1"/>
  <c r="H374" i="3"/>
  <c r="I374" i="3" s="1"/>
  <c r="J374" i="3" s="1"/>
  <c r="G287" i="3"/>
  <c r="H243" i="3"/>
  <c r="I243" i="3" s="1"/>
  <c r="J243" i="3" s="1"/>
  <c r="H199" i="3"/>
  <c r="I199" i="3" s="1"/>
  <c r="J199" i="3" s="1"/>
  <c r="H134" i="3"/>
  <c r="I134" i="3" s="1"/>
  <c r="J134" i="3" s="1"/>
  <c r="H823" i="3"/>
  <c r="I823" i="3" s="1"/>
  <c r="J823" i="3" s="1"/>
  <c r="H549" i="3"/>
  <c r="I549" i="3" s="1"/>
  <c r="J549" i="3" s="1"/>
  <c r="G177" i="3"/>
  <c r="G1147" i="3"/>
  <c r="H707" i="3"/>
  <c r="I707" i="3" s="1"/>
  <c r="J707" i="3" s="1"/>
  <c r="H481" i="3"/>
  <c r="I481" i="3" s="1"/>
  <c r="J481" i="3" s="1"/>
  <c r="G436" i="3"/>
  <c r="H114" i="3"/>
  <c r="I114" i="3" s="1"/>
  <c r="J114" i="3" s="1"/>
  <c r="G31" i="3"/>
  <c r="G308" i="3"/>
  <c r="H914" i="3"/>
  <c r="I914" i="3" s="1"/>
  <c r="J914" i="3" s="1"/>
  <c r="H548" i="3"/>
  <c r="I548" i="3" s="1"/>
  <c r="J548" i="3" s="1"/>
  <c r="G395" i="3"/>
  <c r="G372" i="3"/>
  <c r="H329" i="3"/>
  <c r="I329" i="3" s="1"/>
  <c r="J329" i="3" s="1"/>
  <c r="H263" i="3"/>
  <c r="I263" i="3" s="1"/>
  <c r="J263" i="3" s="1"/>
  <c r="H132" i="3"/>
  <c r="I132" i="3" s="1"/>
  <c r="J132" i="3" s="1"/>
  <c r="H435" i="3"/>
  <c r="I435" i="3" s="1"/>
  <c r="J435" i="3" s="1"/>
  <c r="H241" i="3"/>
  <c r="I241" i="3" s="1"/>
  <c r="J241" i="3" s="1"/>
  <c r="H1076" i="3"/>
  <c r="I1076" i="3" s="1"/>
  <c r="J1076" i="3" s="1"/>
  <c r="G1029" i="3"/>
  <c r="H70" i="3"/>
  <c r="I70" i="3" s="1"/>
  <c r="J70" i="3" s="1"/>
  <c r="H1122" i="3"/>
  <c r="I1122" i="3" s="1"/>
  <c r="J1122" i="3" s="1"/>
  <c r="H1052" i="3"/>
  <c r="I1052" i="3" s="1"/>
  <c r="J1052" i="3" s="1"/>
  <c r="H980" i="3"/>
  <c r="I980" i="3" s="1"/>
  <c r="J980" i="3" s="1"/>
  <c r="G890" i="3"/>
  <c r="G796" i="3"/>
  <c r="H434" i="3"/>
  <c r="I434" i="3" s="1"/>
  <c r="J434" i="3" s="1"/>
  <c r="G328" i="3"/>
  <c r="H569" i="3"/>
  <c r="I569" i="3" s="1"/>
  <c r="J569" i="3" s="1"/>
  <c r="H28" i="3"/>
  <c r="I28" i="3" s="1"/>
  <c r="J28" i="3" s="1"/>
  <c r="H935" i="3"/>
  <c r="I935" i="3" s="1"/>
  <c r="J935" i="3" s="1"/>
  <c r="H749" i="3"/>
  <c r="I749" i="3" s="1"/>
  <c r="J749" i="3" s="1"/>
  <c r="H635" i="3"/>
  <c r="I635" i="3" s="1"/>
  <c r="J635" i="3" s="1"/>
  <c r="G499" i="3"/>
  <c r="G478" i="3"/>
  <c r="H433" i="3"/>
  <c r="I433" i="3" s="1"/>
  <c r="J433" i="3" s="1"/>
  <c r="H369" i="3"/>
  <c r="N369" i="3" s="1"/>
  <c r="G195" i="3"/>
  <c r="H111" i="3"/>
  <c r="I111" i="3" s="1"/>
  <c r="J111" i="3" s="1"/>
  <c r="H865" i="3"/>
  <c r="I865" i="3" s="1"/>
  <c r="J865" i="3" s="1"/>
  <c r="G68" i="3"/>
  <c r="H49" i="3"/>
  <c r="I49" i="3" s="1"/>
  <c r="J49" i="3" s="1"/>
  <c r="H841" i="3"/>
  <c r="I841" i="3" s="1"/>
  <c r="J841" i="3" s="1"/>
  <c r="H794" i="3"/>
  <c r="I794" i="3" s="1"/>
  <c r="J794" i="3" s="1"/>
  <c r="H705" i="3"/>
  <c r="I705" i="3" s="1"/>
  <c r="J705" i="3" s="1"/>
  <c r="H239" i="3"/>
  <c r="I239" i="3" s="1"/>
  <c r="J239" i="3" s="1"/>
  <c r="G173" i="3"/>
  <c r="H1073" i="3"/>
  <c r="I1073" i="3" s="1"/>
  <c r="J1073" i="3" s="1"/>
  <c r="G1050" i="3"/>
  <c r="H956" i="3"/>
  <c r="I956" i="3" s="1"/>
  <c r="J956" i="3" s="1"/>
  <c r="H726" i="3"/>
  <c r="I726" i="3" s="1"/>
  <c r="J726" i="3" s="1"/>
  <c r="H634" i="3"/>
  <c r="I634" i="3" s="1"/>
  <c r="J634" i="3" s="1"/>
  <c r="G477" i="3"/>
  <c r="H432" i="3"/>
  <c r="I432" i="3" s="1"/>
  <c r="J432" i="3" s="1"/>
  <c r="H260" i="3"/>
  <c r="I260" i="3" s="1"/>
  <c r="J260" i="3" s="1"/>
  <c r="H216" i="3"/>
  <c r="I216" i="3" s="1"/>
  <c r="J216" i="3" s="1"/>
  <c r="G27" i="3"/>
  <c r="G326" i="3"/>
  <c r="G150" i="3"/>
  <c r="H1369" i="3"/>
  <c r="I1369" i="3" s="1"/>
  <c r="J1369" i="3" s="1"/>
  <c r="H193" i="3"/>
  <c r="I193" i="3" s="1"/>
  <c r="J193" i="3" s="1"/>
  <c r="H172" i="3"/>
  <c r="I172" i="3" s="1"/>
  <c r="J172" i="3" s="1"/>
  <c r="H88" i="3"/>
  <c r="I88" i="3" s="1"/>
  <c r="J88" i="3" s="1"/>
  <c r="H48" i="3"/>
  <c r="I48" i="3" s="1"/>
  <c r="J48" i="3" s="1"/>
  <c r="H26" i="3"/>
  <c r="I26" i="3" s="1"/>
  <c r="J26" i="3" s="1"/>
  <c r="G1564" i="3"/>
  <c r="G1473" i="3"/>
  <c r="H1427" i="3"/>
  <c r="I1427" i="3" s="1"/>
  <c r="J1427" i="3" s="1"/>
  <c r="H1184" i="3"/>
  <c r="I1184" i="3" s="1"/>
  <c r="J1184" i="3" s="1"/>
  <c r="H1141" i="3"/>
  <c r="I1141" i="3" s="1"/>
  <c r="J1141" i="3" s="1"/>
  <c r="H817" i="3"/>
  <c r="I817" i="3" s="1"/>
  <c r="J817" i="3" s="1"/>
  <c r="H793" i="3"/>
  <c r="I793" i="3" s="1"/>
  <c r="J793" i="3" s="1"/>
  <c r="H609" i="3"/>
  <c r="I609" i="3" s="1"/>
  <c r="J609" i="3" s="1"/>
  <c r="G452" i="3"/>
  <c r="G390" i="3"/>
  <c r="H237" i="3"/>
  <c r="I237" i="3" s="1"/>
  <c r="J237" i="3" s="1"/>
  <c r="H128" i="3"/>
  <c r="I128" i="3" s="1"/>
  <c r="J128" i="3" s="1"/>
  <c r="H109" i="3"/>
  <c r="I109" i="3" s="1"/>
  <c r="J109" i="3" s="1"/>
  <c r="G1024" i="3"/>
  <c r="H932" i="3"/>
  <c r="I932" i="3" s="1"/>
  <c r="J932" i="3" s="1"/>
  <c r="H586" i="3"/>
  <c r="I586" i="3" s="1"/>
  <c r="J586" i="3" s="1"/>
  <c r="G565" i="3"/>
  <c r="H302" i="3"/>
  <c r="I302" i="3" s="1"/>
  <c r="J302" i="3" s="1"/>
  <c r="G451" i="3"/>
  <c r="H430" i="3"/>
  <c r="I430" i="3" s="1"/>
  <c r="J430" i="3" s="1"/>
  <c r="H47" i="3"/>
  <c r="I47" i="3" s="1"/>
  <c r="J47" i="3" s="1"/>
  <c r="G25" i="3"/>
  <c r="H1402" i="3"/>
  <c r="I1402" i="3" s="1"/>
  <c r="J1402" i="3" s="1"/>
  <c r="G1361" i="3"/>
  <c r="G1294" i="3"/>
  <c r="H1225" i="3"/>
  <c r="I1225" i="3" s="1"/>
  <c r="J1225" i="3" s="1"/>
  <c r="G1070" i="3"/>
  <c r="H792" i="3"/>
  <c r="I792" i="3" s="1"/>
  <c r="J792" i="3" s="1"/>
  <c r="H745" i="3"/>
  <c r="I745" i="3" s="1"/>
  <c r="J745" i="3" s="1"/>
  <c r="H631" i="3"/>
  <c r="I631" i="3" s="1"/>
  <c r="J631" i="3" s="1"/>
  <c r="H236" i="3"/>
  <c r="I236" i="3" s="1"/>
  <c r="J236" i="3" s="1"/>
  <c r="H1454" i="3"/>
  <c r="I1454" i="3" s="1"/>
  <c r="J1454" i="3" s="1"/>
  <c r="G953" i="3"/>
  <c r="H607" i="3"/>
  <c r="I607" i="3" s="1"/>
  <c r="J607" i="3" s="1"/>
  <c r="G257" i="3"/>
  <c r="H1433" i="3"/>
  <c r="I1433" i="3" s="1"/>
  <c r="J1433" i="3" s="1"/>
  <c r="G1517" i="3"/>
  <c r="H1381" i="3"/>
  <c r="I1381" i="3" s="1"/>
  <c r="J1381" i="3" s="1"/>
  <c r="G1337" i="3"/>
  <c r="H1092" i="3"/>
  <c r="I1092" i="3" s="1"/>
  <c r="J1092" i="3" s="1"/>
  <c r="G907" i="3"/>
  <c r="H147" i="3"/>
  <c r="I147" i="3" s="1"/>
  <c r="J147" i="3" s="1"/>
  <c r="G126" i="3"/>
  <c r="G86" i="3"/>
  <c r="G1203" i="3"/>
  <c r="G190" i="3"/>
  <c r="H64" i="3"/>
  <c r="I64" i="3" s="1"/>
  <c r="J64" i="3" s="1"/>
  <c r="H962" i="3"/>
  <c r="I962" i="3" s="1"/>
  <c r="J962" i="3" s="1"/>
  <c r="H911" i="3"/>
  <c r="I911" i="3" s="1"/>
  <c r="J911" i="3" s="1"/>
  <c r="G832" i="3"/>
  <c r="H814" i="3"/>
  <c r="I814" i="3" s="1"/>
  <c r="J814" i="3" s="1"/>
  <c r="H665" i="3"/>
  <c r="I665" i="3" s="1"/>
  <c r="J665" i="3" s="1"/>
  <c r="H582" i="3"/>
  <c r="I582" i="3" s="1"/>
  <c r="J582" i="3" s="1"/>
  <c r="H503" i="3"/>
  <c r="I503" i="3" s="1"/>
  <c r="J503" i="3" s="1"/>
  <c r="G456" i="3"/>
  <c r="H317" i="3"/>
  <c r="I317" i="3" s="1"/>
  <c r="J317" i="3" s="1"/>
  <c r="H301" i="3"/>
  <c r="I301" i="3" s="1"/>
  <c r="J301" i="3" s="1"/>
  <c r="H238" i="3"/>
  <c r="I238" i="3" s="1"/>
  <c r="J238" i="3" s="1"/>
  <c r="H192" i="3"/>
  <c r="I192" i="3" s="1"/>
  <c r="J192" i="3" s="1"/>
  <c r="G1552" i="3"/>
  <c r="H1467" i="3"/>
  <c r="I1467" i="3" s="1"/>
  <c r="J1467" i="3" s="1"/>
  <c r="H1452" i="3"/>
  <c r="I1452" i="3" s="1"/>
  <c r="J1452" i="3" s="1"/>
  <c r="H1418" i="3"/>
  <c r="I1418" i="3" s="1"/>
  <c r="J1418" i="3" s="1"/>
  <c r="H1353" i="3"/>
  <c r="I1353" i="3" s="1"/>
  <c r="J1353" i="3" s="1"/>
  <c r="H1335" i="3"/>
  <c r="I1335" i="3" s="1"/>
  <c r="J1335" i="3" s="1"/>
  <c r="H1205" i="3"/>
  <c r="I1205" i="3" s="1"/>
  <c r="J1205" i="3" s="1"/>
  <c r="G1111" i="3"/>
  <c r="H994" i="3"/>
  <c r="I994" i="3" s="1"/>
  <c r="J994" i="3" s="1"/>
  <c r="H896" i="3"/>
  <c r="I896" i="3" s="1"/>
  <c r="J896" i="3" s="1"/>
  <c r="H797" i="3"/>
  <c r="I797" i="3" s="1"/>
  <c r="J797" i="3" s="1"/>
  <c r="H650" i="3"/>
  <c r="I650" i="3" s="1"/>
  <c r="J650" i="3" s="1"/>
  <c r="G632" i="3"/>
  <c r="G550" i="3"/>
  <c r="H488" i="3"/>
  <c r="I488" i="3" s="1"/>
  <c r="J488" i="3" s="1"/>
  <c r="G410" i="3"/>
  <c r="G331" i="3"/>
  <c r="H162" i="3"/>
  <c r="I162" i="3" s="1"/>
  <c r="J162" i="3" s="1"/>
  <c r="H1503" i="3"/>
  <c r="I1503" i="3" s="1"/>
  <c r="J1503" i="3" s="1"/>
  <c r="G1401" i="3"/>
  <c r="G1267" i="3"/>
  <c r="G1096" i="3"/>
  <c r="H1078" i="3"/>
  <c r="I1078" i="3" s="1"/>
  <c r="J1078" i="3" s="1"/>
  <c r="G947" i="3"/>
  <c r="H929" i="3"/>
  <c r="I929" i="3" s="1"/>
  <c r="J929" i="3" s="1"/>
  <c r="H861" i="3"/>
  <c r="I861" i="3" s="1"/>
  <c r="J861" i="3" s="1"/>
  <c r="H846" i="3"/>
  <c r="I846" i="3" s="1"/>
  <c r="J846" i="3" s="1"/>
  <c r="H767" i="3"/>
  <c r="I767" i="3" s="1"/>
  <c r="J767" i="3" s="1"/>
  <c r="H733" i="3"/>
  <c r="I733" i="3" s="1"/>
  <c r="J733" i="3" s="1"/>
  <c r="H566" i="3"/>
  <c r="I566" i="3" s="1"/>
  <c r="J566" i="3" s="1"/>
  <c r="G473" i="3"/>
  <c r="H1533" i="3"/>
  <c r="I1533" i="3" s="1"/>
  <c r="J1533" i="3" s="1"/>
  <c r="H1484" i="3"/>
  <c r="I1484" i="3" s="1"/>
  <c r="J1484" i="3" s="1"/>
  <c r="H1436" i="3"/>
  <c r="I1436" i="3" s="1"/>
  <c r="J1436" i="3" s="1"/>
  <c r="H1062" i="3"/>
  <c r="I1062" i="3" s="1"/>
  <c r="J1062" i="3" s="1"/>
  <c r="H681" i="3"/>
  <c r="I681" i="3" s="1"/>
  <c r="J681" i="3" s="1"/>
  <c r="H664" i="3"/>
  <c r="I664" i="3" s="1"/>
  <c r="J664" i="3" s="1"/>
  <c r="H533" i="3"/>
  <c r="I533" i="3" s="1"/>
  <c r="J533" i="3" s="1"/>
  <c r="H455" i="3"/>
  <c r="I455" i="3" s="1"/>
  <c r="J455" i="3" s="1"/>
  <c r="G441" i="3"/>
  <c r="G347" i="3"/>
  <c r="H316" i="3"/>
  <c r="I316" i="3" s="1"/>
  <c r="J316" i="3" s="1"/>
  <c r="H253" i="3"/>
  <c r="I253" i="3" s="1"/>
  <c r="J253" i="3" s="1"/>
  <c r="H176" i="3"/>
  <c r="I176" i="3" s="1"/>
  <c r="J176" i="3" s="1"/>
  <c r="H129" i="3"/>
  <c r="I129" i="3" s="1"/>
  <c r="J129" i="3" s="1"/>
  <c r="H115" i="3"/>
  <c r="I115" i="3" s="1"/>
  <c r="J115" i="3" s="1"/>
  <c r="G67" i="3"/>
  <c r="G1252" i="3"/>
  <c r="H1142" i="3"/>
  <c r="I1142" i="3" s="1"/>
  <c r="J1142" i="3" s="1"/>
  <c r="H910" i="3"/>
  <c r="I910" i="3" s="1"/>
  <c r="J910" i="3" s="1"/>
  <c r="H845" i="3"/>
  <c r="I845" i="3" s="1"/>
  <c r="J845" i="3" s="1"/>
  <c r="G813" i="3"/>
  <c r="H766" i="3"/>
  <c r="I766" i="3" s="1"/>
  <c r="J766" i="3" s="1"/>
  <c r="H502" i="3"/>
  <c r="I502" i="3" s="1"/>
  <c r="J502" i="3" s="1"/>
  <c r="H330" i="3"/>
  <c r="I330" i="3" s="1"/>
  <c r="J330" i="3" s="1"/>
  <c r="H515" i="3"/>
  <c r="I515" i="3" s="1"/>
  <c r="J515" i="3" s="1"/>
  <c r="H100" i="3"/>
  <c r="I100" i="3" s="1"/>
  <c r="J100" i="3" s="1"/>
  <c r="H1502" i="3"/>
  <c r="I1502" i="3" s="1"/>
  <c r="J1502" i="3" s="1"/>
  <c r="G1451" i="3"/>
  <c r="H1317" i="3"/>
  <c r="I1317" i="3" s="1"/>
  <c r="J1317" i="3" s="1"/>
  <c r="H1301" i="3"/>
  <c r="I1301" i="3" s="1"/>
  <c r="J1301" i="3" s="1"/>
  <c r="H976" i="3"/>
  <c r="I976" i="3" s="1"/>
  <c r="J976" i="3" s="1"/>
  <c r="H782" i="3"/>
  <c r="I782" i="3" s="1"/>
  <c r="J782" i="3" s="1"/>
  <c r="H748" i="3"/>
  <c r="I748" i="3" s="1"/>
  <c r="J748" i="3" s="1"/>
  <c r="H700" i="3"/>
  <c r="I700" i="3" s="1"/>
  <c r="J700" i="3" s="1"/>
  <c r="H595" i="3"/>
  <c r="I595" i="3" s="1"/>
  <c r="J595" i="3" s="1"/>
  <c r="G392" i="3"/>
  <c r="G346" i="3"/>
  <c r="G83" i="3"/>
  <c r="H52" i="3"/>
  <c r="I52" i="3" s="1"/>
  <c r="J52" i="3" s="1"/>
  <c r="H1189" i="3"/>
  <c r="I1189" i="3" s="1"/>
  <c r="J1189" i="3" s="1"/>
  <c r="H1156" i="3"/>
  <c r="I1156" i="3" s="1"/>
  <c r="J1156" i="3" s="1"/>
  <c r="H680" i="3"/>
  <c r="I680" i="3" s="1"/>
  <c r="J680" i="3" s="1"/>
  <c r="H487" i="3"/>
  <c r="I487" i="3" s="1"/>
  <c r="J487" i="3" s="1"/>
  <c r="H315" i="3"/>
  <c r="I315" i="3" s="1"/>
  <c r="J315" i="3" s="1"/>
  <c r="H175" i="3"/>
  <c r="I175" i="3" s="1"/>
  <c r="J175" i="3" s="1"/>
  <c r="H66" i="3"/>
  <c r="I66" i="3" s="1"/>
  <c r="J66" i="3" s="1"/>
  <c r="G894" i="3"/>
  <c r="G859" i="3"/>
  <c r="G812" i="3"/>
  <c r="H795" i="3"/>
  <c r="I795" i="3" s="1"/>
  <c r="J795" i="3" s="1"/>
  <c r="H715" i="3"/>
  <c r="I715" i="3" s="1"/>
  <c r="J715" i="3" s="1"/>
  <c r="H630" i="3"/>
  <c r="I630" i="3" s="1"/>
  <c r="J630" i="3" s="1"/>
  <c r="G454" i="3"/>
  <c r="G282" i="3"/>
  <c r="G1028" i="3"/>
  <c r="G992" i="3"/>
  <c r="G959" i="3"/>
  <c r="G22" i="3"/>
  <c r="H765" i="3"/>
  <c r="I765" i="3" s="1"/>
  <c r="J765" i="3" s="1"/>
  <c r="H662" i="3"/>
  <c r="I662" i="3" s="1"/>
  <c r="J662" i="3" s="1"/>
  <c r="G564" i="3"/>
  <c r="H500" i="3"/>
  <c r="I500" i="3" s="1"/>
  <c r="J500" i="3" s="1"/>
  <c r="H439" i="3"/>
  <c r="I439" i="3" s="1"/>
  <c r="J439" i="3" s="1"/>
  <c r="H391" i="3"/>
  <c r="I391" i="3" s="1"/>
  <c r="J391" i="3" s="1"/>
  <c r="H1449" i="3"/>
  <c r="I1449" i="3" s="1"/>
  <c r="J1449" i="3" s="1"/>
  <c r="H1280" i="3"/>
  <c r="I1280" i="3" s="1"/>
  <c r="J1280" i="3" s="1"/>
  <c r="G1171" i="3"/>
  <c r="H1109" i="3"/>
  <c r="I1109" i="3" s="1"/>
  <c r="J1109" i="3" s="1"/>
  <c r="H1093" i="3"/>
  <c r="I1093" i="3" s="1"/>
  <c r="J1093" i="3" s="1"/>
  <c r="H1060" i="3"/>
  <c r="I1060" i="3" s="1"/>
  <c r="J1060" i="3" s="1"/>
  <c r="G975" i="3"/>
  <c r="H811" i="3"/>
  <c r="I811" i="3" s="1"/>
  <c r="J811" i="3" s="1"/>
  <c r="G361" i="3"/>
  <c r="G219" i="3"/>
  <c r="G65" i="3"/>
  <c r="H1549" i="3"/>
  <c r="I1549" i="3" s="1"/>
  <c r="J1549" i="3" s="1"/>
  <c r="H1383" i="3"/>
  <c r="I1383" i="3" s="1"/>
  <c r="J1383" i="3" s="1"/>
  <c r="H1349" i="3"/>
  <c r="I1349" i="3" s="1"/>
  <c r="J1349" i="3" s="1"/>
  <c r="G1188" i="3"/>
  <c r="G1009" i="3"/>
  <c r="G991" i="3"/>
  <c r="H714" i="3"/>
  <c r="I714" i="3" s="1"/>
  <c r="J714" i="3" s="1"/>
  <c r="H51" i="3"/>
  <c r="I51" i="3" s="1"/>
  <c r="J51" i="3" s="1"/>
  <c r="H1154" i="3"/>
  <c r="I1154" i="3" s="1"/>
  <c r="J1154" i="3" s="1"/>
  <c r="H828" i="3"/>
  <c r="I828" i="3" s="1"/>
  <c r="J828" i="3" s="1"/>
  <c r="H780" i="3"/>
  <c r="I780" i="3" s="1"/>
  <c r="J780" i="3" s="1"/>
  <c r="H610" i="3"/>
  <c r="I610" i="3" s="1"/>
  <c r="J610" i="3" s="1"/>
  <c r="H453" i="3"/>
  <c r="I453" i="3" s="1"/>
  <c r="J453" i="3" s="1"/>
  <c r="G203" i="3"/>
  <c r="H142" i="3"/>
  <c r="I142" i="3" s="1"/>
  <c r="J142" i="3" s="1"/>
  <c r="H113" i="3"/>
  <c r="I113" i="3" s="1"/>
  <c r="J113" i="3" s="1"/>
  <c r="H37" i="3"/>
  <c r="I37" i="3" s="1"/>
  <c r="J37" i="3" s="1"/>
  <c r="H1581" i="3"/>
  <c r="I1581" i="3" s="1"/>
  <c r="J1581" i="3" s="1"/>
  <c r="H1481" i="3"/>
  <c r="I1481" i="3" s="1"/>
  <c r="J1481" i="3" s="1"/>
  <c r="H1366" i="3"/>
  <c r="I1366" i="3" s="1"/>
  <c r="J1366" i="3" s="1"/>
  <c r="H1332" i="3"/>
  <c r="I1332" i="3" s="1"/>
  <c r="J1332" i="3" s="1"/>
  <c r="H1140" i="3"/>
  <c r="I1140" i="3" s="1"/>
  <c r="J1140" i="3" s="1"/>
  <c r="H1043" i="3"/>
  <c r="I1043" i="3" s="1"/>
  <c r="J1043" i="3" s="1"/>
  <c r="H925" i="3"/>
  <c r="I925" i="3" s="1"/>
  <c r="J925" i="3" s="1"/>
  <c r="H892" i="3"/>
  <c r="I892" i="3" s="1"/>
  <c r="J892" i="3" s="1"/>
  <c r="H661" i="3"/>
  <c r="I661" i="3" s="1"/>
  <c r="J661" i="3" s="1"/>
  <c r="H646" i="3"/>
  <c r="I646" i="3" s="1"/>
  <c r="J646" i="3" s="1"/>
  <c r="G563" i="3"/>
  <c r="G297" i="3"/>
  <c r="G218" i="3"/>
  <c r="H188" i="3"/>
  <c r="I188" i="3" s="1"/>
  <c r="J188" i="3" s="1"/>
  <c r="H98" i="3"/>
  <c r="I98" i="3" s="1"/>
  <c r="J98" i="3" s="1"/>
  <c r="H1348" i="3"/>
  <c r="I1348" i="3" s="1"/>
  <c r="J1348" i="3" s="1"/>
  <c r="G1232" i="3"/>
  <c r="H1217" i="3"/>
  <c r="I1217" i="3" s="1"/>
  <c r="J1217" i="3" s="1"/>
  <c r="H1026" i="3"/>
  <c r="I1026" i="3" s="1"/>
  <c r="J1026" i="3" s="1"/>
  <c r="H974" i="3"/>
  <c r="I974" i="3" s="1"/>
  <c r="J974" i="3" s="1"/>
  <c r="G944" i="3"/>
  <c r="H764" i="3"/>
  <c r="I764" i="3" s="1"/>
  <c r="J764" i="3" s="1"/>
  <c r="H713" i="3"/>
  <c r="I713" i="3" s="1"/>
  <c r="J713" i="3" s="1"/>
  <c r="H80" i="3"/>
  <c r="I80" i="3" s="1"/>
  <c r="J80" i="3" s="1"/>
  <c r="H50" i="3"/>
  <c r="I50" i="3" s="1"/>
  <c r="J50" i="3" s="1"/>
  <c r="H375" i="3"/>
  <c r="I375" i="3" s="1"/>
  <c r="J375" i="3" s="1"/>
  <c r="H327" i="3"/>
  <c r="I327" i="3" s="1"/>
  <c r="J327" i="3" s="1"/>
  <c r="H202" i="3"/>
  <c r="I202" i="3" s="1"/>
  <c r="J202" i="3" s="1"/>
  <c r="G1515" i="3"/>
  <c r="H763" i="3"/>
  <c r="I763" i="3" s="1"/>
  <c r="J763" i="3" s="1"/>
  <c r="H645" i="3"/>
  <c r="I645" i="3" s="1"/>
  <c r="J645" i="3" s="1"/>
  <c r="H498" i="3"/>
  <c r="I498" i="3" s="1"/>
  <c r="J498" i="3" s="1"/>
  <c r="H344" i="3"/>
  <c r="I344" i="3" s="1"/>
  <c r="J344" i="3" s="1"/>
  <c r="H296" i="3"/>
  <c r="I296" i="3" s="1"/>
  <c r="J296" i="3" s="1"/>
  <c r="G264" i="3"/>
  <c r="H187" i="3"/>
  <c r="I187" i="3" s="1"/>
  <c r="J187" i="3" s="1"/>
  <c r="H112" i="3"/>
  <c r="I112" i="3" s="1"/>
  <c r="J112" i="3" s="1"/>
  <c r="H97" i="3"/>
  <c r="I97" i="3" s="1"/>
  <c r="J97" i="3" s="1"/>
  <c r="G1298" i="3"/>
  <c r="H1025" i="3"/>
  <c r="I1025" i="3" s="1"/>
  <c r="J1025" i="3" s="1"/>
  <c r="H891" i="3"/>
  <c r="I891" i="3" s="1"/>
  <c r="J891" i="3" s="1"/>
  <c r="G577" i="3"/>
  <c r="G422" i="3"/>
  <c r="G249" i="3"/>
  <c r="G233" i="3"/>
  <c r="G1547" i="3"/>
  <c r="H1462" i="3"/>
  <c r="I1462" i="3" s="1"/>
  <c r="J1462" i="3" s="1"/>
  <c r="G1247" i="3"/>
  <c r="H1216" i="3"/>
  <c r="I1216" i="3" s="1"/>
  <c r="J1216" i="3" s="1"/>
  <c r="H1153" i="3"/>
  <c r="I1153" i="3" s="1"/>
  <c r="J1153" i="3" s="1"/>
  <c r="H1123" i="3"/>
  <c r="I1123" i="3" s="1"/>
  <c r="J1123" i="3" s="1"/>
  <c r="H1006" i="3"/>
  <c r="I1006" i="3" s="1"/>
  <c r="J1006" i="3" s="1"/>
  <c r="H906" i="3"/>
  <c r="I906" i="3" s="1"/>
  <c r="J906" i="3" s="1"/>
  <c r="H840" i="3"/>
  <c r="I840" i="3" s="1"/>
  <c r="J840" i="3" s="1"/>
  <c r="G744" i="3"/>
  <c r="H389" i="3"/>
  <c r="I389" i="3" s="1"/>
  <c r="J389" i="3" s="1"/>
  <c r="H280" i="3"/>
  <c r="I280" i="3" s="1"/>
  <c r="J280" i="3" s="1"/>
  <c r="H217" i="3"/>
  <c r="I217" i="3" s="1"/>
  <c r="J217" i="3" s="1"/>
  <c r="H35" i="3"/>
  <c r="I35" i="3" s="1"/>
  <c r="J35" i="3" s="1"/>
  <c r="H1514" i="3"/>
  <c r="I1514" i="3" s="1"/>
  <c r="J1514" i="3" s="1"/>
  <c r="H1278" i="3"/>
  <c r="I1278" i="3" s="1"/>
  <c r="J1278" i="3" s="1"/>
  <c r="H989" i="3"/>
  <c r="I989" i="3" s="1"/>
  <c r="J989" i="3" s="1"/>
  <c r="H826" i="3"/>
  <c r="I826" i="3" s="1"/>
  <c r="J826" i="3" s="1"/>
  <c r="H140" i="3"/>
  <c r="I140" i="3" s="1"/>
  <c r="J140" i="3" s="1"/>
  <c r="H711" i="3"/>
  <c r="I711" i="3" s="1"/>
  <c r="J711" i="3" s="1"/>
  <c r="H527" i="3"/>
  <c r="I527" i="3" s="1"/>
  <c r="J527" i="3" s="1"/>
  <c r="H497" i="3"/>
  <c r="I497" i="3" s="1"/>
  <c r="J497" i="3" s="1"/>
  <c r="G4" i="3"/>
  <c r="H1497" i="3"/>
  <c r="I1497" i="3" s="1"/>
  <c r="J1497" i="3" s="1"/>
  <c r="H1312" i="3"/>
  <c r="I1312" i="3" s="1"/>
  <c r="J1312" i="3" s="1"/>
  <c r="G544" i="3"/>
  <c r="H1546" i="3"/>
  <c r="I1546" i="3" s="1"/>
  <c r="J1546" i="3" s="1"/>
  <c r="H1461" i="3"/>
  <c r="I1461" i="3" s="1"/>
  <c r="J1461" i="3" s="1"/>
  <c r="H1412" i="3"/>
  <c r="I1412" i="3" s="1"/>
  <c r="J1412" i="3" s="1"/>
  <c r="G1297" i="3"/>
  <c r="H905" i="3"/>
  <c r="I905" i="3" s="1"/>
  <c r="J905" i="3" s="1"/>
  <c r="H388" i="3"/>
  <c r="I388" i="3" s="1"/>
  <c r="J388" i="3" s="1"/>
  <c r="H295" i="3"/>
  <c r="N295" i="3" s="1"/>
  <c r="H232" i="3"/>
  <c r="I232" i="3" s="1"/>
  <c r="J232" i="3" s="1"/>
  <c r="G155" i="3"/>
  <c r="H1513" i="3"/>
  <c r="I1513" i="3" s="1"/>
  <c r="J1513" i="3" s="1"/>
  <c r="H1363" i="3"/>
  <c r="I1363" i="3" s="1"/>
  <c r="J1363" i="3" s="1"/>
  <c r="H1345" i="3"/>
  <c r="I1345" i="3" s="1"/>
  <c r="J1345" i="3" s="1"/>
  <c r="H1329" i="3"/>
  <c r="I1329" i="3" s="1"/>
  <c r="J1329" i="3" s="1"/>
  <c r="H1246" i="3"/>
  <c r="I1246" i="3" s="1"/>
  <c r="J1246" i="3" s="1"/>
  <c r="H1215" i="3"/>
  <c r="I1215" i="3" s="1"/>
  <c r="J1215" i="3" s="1"/>
  <c r="H1137" i="3"/>
  <c r="I1137" i="3" s="1"/>
  <c r="J1137" i="3" s="1"/>
  <c r="G1005" i="3"/>
  <c r="H988" i="3"/>
  <c r="I988" i="3" s="1"/>
  <c r="J988" i="3" s="1"/>
  <c r="G972" i="3"/>
  <c r="G839" i="3"/>
  <c r="G694" i="3"/>
  <c r="H483" i="3"/>
  <c r="I483" i="3" s="1"/>
  <c r="J483" i="3" s="1"/>
  <c r="G139" i="3"/>
  <c r="H34" i="3"/>
  <c r="I34" i="3" s="1"/>
  <c r="J34" i="3" s="1"/>
  <c r="H16" i="3"/>
  <c r="I16" i="3" s="1"/>
  <c r="J16" i="3" s="1"/>
  <c r="H1277" i="3"/>
  <c r="I1277" i="3" s="1"/>
  <c r="J1277" i="3" s="1"/>
  <c r="H526" i="3"/>
  <c r="I526" i="3" s="1"/>
  <c r="J526" i="3" s="1"/>
  <c r="H450" i="3"/>
  <c r="I450" i="3" s="1"/>
  <c r="J450" i="3" s="1"/>
  <c r="G358" i="3"/>
  <c r="G325" i="3"/>
  <c r="G262" i="3"/>
  <c r="H185" i="3"/>
  <c r="I185" i="3" s="1"/>
  <c r="J185" i="3" s="1"/>
  <c r="G154" i="3"/>
  <c r="H124" i="3"/>
  <c r="I124" i="3" s="1"/>
  <c r="J124" i="3" s="1"/>
  <c r="H110" i="3"/>
  <c r="I110" i="3" s="1"/>
  <c r="J110" i="3" s="1"/>
  <c r="H61" i="3"/>
  <c r="I61" i="3" s="1"/>
  <c r="J61" i="3" s="1"/>
  <c r="H1445" i="3"/>
  <c r="I1445" i="3" s="1"/>
  <c r="J1445" i="3" s="1"/>
  <c r="H1429" i="3"/>
  <c r="I1429" i="3" s="1"/>
  <c r="J1429" i="3" s="1"/>
  <c r="H1104" i="3"/>
  <c r="I1104" i="3" s="1"/>
  <c r="J1104" i="3" s="1"/>
  <c r="H1071" i="3"/>
  <c r="I1071" i="3" s="1"/>
  <c r="J1071" i="3" s="1"/>
  <c r="G1004" i="3"/>
  <c r="G922" i="3"/>
  <c r="H790" i="3"/>
  <c r="I790" i="3" s="1"/>
  <c r="J790" i="3" s="1"/>
  <c r="G387" i="3"/>
  <c r="H310" i="3"/>
  <c r="I310" i="3" s="1"/>
  <c r="J310" i="3" s="1"/>
  <c r="G278" i="3"/>
  <c r="H1527" i="3"/>
  <c r="I1527" i="3" s="1"/>
  <c r="J1527" i="3" s="1"/>
  <c r="H1476" i="3"/>
  <c r="I1476" i="3" s="1"/>
  <c r="J1476" i="3" s="1"/>
  <c r="H589" i="3"/>
  <c r="I589" i="3" s="1"/>
  <c r="J589" i="3" s="1"/>
  <c r="G575" i="3"/>
  <c r="H805" i="3"/>
  <c r="I805" i="3" s="1"/>
  <c r="J805" i="3" s="1"/>
  <c r="H324" i="3"/>
  <c r="N324" i="3" s="1"/>
  <c r="G261" i="3"/>
  <c r="H1561" i="3"/>
  <c r="I1561" i="3" s="1"/>
  <c r="J1561" i="3" s="1"/>
  <c r="G1343" i="3"/>
  <c r="G1228" i="3"/>
  <c r="H1038" i="3"/>
  <c r="I1038" i="3" s="1"/>
  <c r="J1038" i="3" s="1"/>
  <c r="H464" i="3"/>
  <c r="I464" i="3" s="1"/>
  <c r="J464" i="3" s="1"/>
  <c r="H449" i="3"/>
  <c r="I449" i="3" s="1"/>
  <c r="J449" i="3" s="1"/>
  <c r="H1260" i="3"/>
  <c r="I1260" i="3" s="1"/>
  <c r="J1260" i="3" s="1"/>
  <c r="H1198" i="3"/>
  <c r="I1198" i="3" s="1"/>
  <c r="J1198" i="3" s="1"/>
  <c r="H1103" i="3"/>
  <c r="I1103" i="3" s="1"/>
  <c r="J1103" i="3" s="1"/>
  <c r="H986" i="3"/>
  <c r="I986" i="3" s="1"/>
  <c r="J986" i="3" s="1"/>
  <c r="H954" i="3"/>
  <c r="I954" i="3" s="1"/>
  <c r="J954" i="3" s="1"/>
  <c r="H887" i="3"/>
  <c r="I887" i="3" s="1"/>
  <c r="J887" i="3" s="1"/>
  <c r="H870" i="3"/>
  <c r="I870" i="3" s="1"/>
  <c r="J870" i="3" s="1"/>
  <c r="H741" i="3"/>
  <c r="I741" i="3" s="1"/>
  <c r="J741" i="3" s="1"/>
  <c r="H725" i="3"/>
  <c r="I725" i="3" s="1"/>
  <c r="J725" i="3" s="1"/>
  <c r="G641" i="3"/>
  <c r="H623" i="3"/>
  <c r="I623" i="3" s="1"/>
  <c r="J623" i="3" s="1"/>
  <c r="H541" i="3"/>
  <c r="I541" i="3" s="1"/>
  <c r="J541" i="3" s="1"/>
  <c r="H495" i="3"/>
  <c r="I495" i="3" s="1"/>
  <c r="J495" i="3" s="1"/>
  <c r="H386" i="3"/>
  <c r="I386" i="3" s="1"/>
  <c r="J386" i="3" s="1"/>
  <c r="H371" i="3"/>
  <c r="I371" i="3" s="1"/>
  <c r="J371" i="3" s="1"/>
  <c r="H153" i="3"/>
  <c r="I153" i="3" s="1"/>
  <c r="J153" i="3" s="1"/>
  <c r="H1002" i="3"/>
  <c r="I1002" i="3" s="1"/>
  <c r="J1002" i="3" s="1"/>
  <c r="H970" i="3"/>
  <c r="I970" i="3" s="1"/>
  <c r="J970" i="3" s="1"/>
  <c r="G903" i="3"/>
  <c r="H774" i="3"/>
  <c r="I774" i="3" s="1"/>
  <c r="J774" i="3" s="1"/>
  <c r="H356" i="3"/>
  <c r="I356" i="3" s="1"/>
  <c r="J356" i="3" s="1"/>
  <c r="G214" i="3"/>
  <c r="G198" i="3"/>
  <c r="H137" i="3"/>
  <c r="I137" i="3" s="1"/>
  <c r="J137" i="3" s="1"/>
  <c r="H418" i="3"/>
  <c r="I418" i="3" s="1"/>
  <c r="J418" i="3" s="1"/>
  <c r="G323" i="3"/>
  <c r="G230" i="3"/>
  <c r="H46" i="3"/>
  <c r="I46" i="3" s="1"/>
  <c r="J46" i="3" s="1"/>
  <c r="H1590" i="3"/>
  <c r="N1590" i="3" s="1"/>
  <c r="H1575" i="3"/>
  <c r="I1575" i="3" s="1"/>
  <c r="J1575" i="3" s="1"/>
  <c r="H1493" i="3"/>
  <c r="I1493" i="3" s="1"/>
  <c r="J1493" i="3" s="1"/>
  <c r="H1458" i="3"/>
  <c r="I1458" i="3" s="1"/>
  <c r="J1458" i="3" s="1"/>
  <c r="H1309" i="3"/>
  <c r="I1309" i="3" s="1"/>
  <c r="J1309" i="3" s="1"/>
  <c r="H1274" i="3"/>
  <c r="I1274" i="3" s="1"/>
  <c r="J1274" i="3" s="1"/>
  <c r="H1197" i="3"/>
  <c r="I1197" i="3" s="1"/>
  <c r="J1197" i="3" s="1"/>
  <c r="H1119" i="3"/>
  <c r="I1119" i="3" s="1"/>
  <c r="J1119" i="3" s="1"/>
  <c r="H1036" i="3"/>
  <c r="I1036" i="3" s="1"/>
  <c r="J1036" i="3" s="1"/>
  <c r="G1020" i="3"/>
  <c r="H969" i="3"/>
  <c r="I969" i="3" s="1"/>
  <c r="J969" i="3" s="1"/>
  <c r="H937" i="3"/>
  <c r="I937" i="3" s="1"/>
  <c r="J937" i="3" s="1"/>
  <c r="H886" i="3"/>
  <c r="I886" i="3" s="1"/>
  <c r="J886" i="3" s="1"/>
  <c r="H640" i="3"/>
  <c r="I640" i="3" s="1"/>
  <c r="J640" i="3" s="1"/>
  <c r="H370" i="3"/>
  <c r="I370" i="3" s="1"/>
  <c r="J370" i="3" s="1"/>
  <c r="H307" i="3"/>
  <c r="N307" i="3" s="1"/>
  <c r="G244" i="3"/>
  <c r="G213" i="3"/>
  <c r="H183" i="3"/>
  <c r="I183" i="3" s="1"/>
  <c r="J183" i="3" s="1"/>
  <c r="H168" i="3"/>
  <c r="I168" i="3" s="1"/>
  <c r="J168" i="3" s="1"/>
  <c r="H108" i="3"/>
  <c r="I108" i="3" s="1"/>
  <c r="J108" i="3" s="1"/>
  <c r="G1069" i="3"/>
  <c r="G540" i="3"/>
  <c r="G480" i="3"/>
  <c r="G91" i="3"/>
  <c r="H1325" i="3"/>
  <c r="I1325" i="3" s="1"/>
  <c r="J1325" i="3" s="1"/>
  <c r="H1134" i="3"/>
  <c r="I1134" i="3" s="1"/>
  <c r="J1134" i="3" s="1"/>
  <c r="H724" i="3"/>
  <c r="I724" i="3" s="1"/>
  <c r="J724" i="3" s="1"/>
  <c r="H655" i="3"/>
  <c r="I655" i="3" s="1"/>
  <c r="J655" i="3" s="1"/>
  <c r="H385" i="3"/>
  <c r="I385" i="3" s="1"/>
  <c r="J385" i="3" s="1"/>
  <c r="H1492" i="3"/>
  <c r="I1492" i="3" s="1"/>
  <c r="J1492" i="3" s="1"/>
  <c r="G1360" i="3"/>
  <c r="H1226" i="3"/>
  <c r="I1226" i="3" s="1"/>
  <c r="J1226" i="3" s="1"/>
  <c r="H1101" i="3"/>
  <c r="I1101" i="3" s="1"/>
  <c r="J1101" i="3" s="1"/>
  <c r="H1000" i="3"/>
  <c r="I1000" i="3" s="1"/>
  <c r="J1000" i="3" s="1"/>
  <c r="H868" i="3"/>
  <c r="I868" i="3" s="1"/>
  <c r="J868" i="3" s="1"/>
  <c r="H852" i="3"/>
  <c r="I852" i="3" s="1"/>
  <c r="J852" i="3" s="1"/>
  <c r="H621" i="3"/>
  <c r="I621" i="3" s="1"/>
  <c r="J621" i="3" s="1"/>
  <c r="H572" i="3"/>
  <c r="I572" i="3" s="1"/>
  <c r="J572" i="3" s="1"/>
  <c r="G556" i="3"/>
  <c r="H522" i="3"/>
  <c r="I522" i="3" s="1"/>
  <c r="J522" i="3" s="1"/>
  <c r="H417" i="3"/>
  <c r="I417" i="3" s="1"/>
  <c r="J417" i="3" s="1"/>
  <c r="H291" i="3"/>
  <c r="I291" i="3" s="1"/>
  <c r="J291" i="3" s="1"/>
  <c r="G275" i="3"/>
  <c r="G259" i="3"/>
  <c r="H212" i="3"/>
  <c r="I212" i="3" s="1"/>
  <c r="J212" i="3" s="1"/>
  <c r="H121" i="3"/>
  <c r="I121" i="3" s="1"/>
  <c r="J121" i="3" s="1"/>
  <c r="H45" i="3"/>
  <c r="I45" i="3" s="1"/>
  <c r="J45" i="3" s="1"/>
  <c r="G1292" i="3"/>
  <c r="G1273" i="3"/>
  <c r="G1164" i="3"/>
  <c r="H1149" i="3"/>
  <c r="I1149" i="3" s="1"/>
  <c r="J1149" i="3" s="1"/>
  <c r="H836" i="3"/>
  <c r="I836" i="3" s="1"/>
  <c r="J836" i="3" s="1"/>
  <c r="G803" i="3"/>
  <c r="G107" i="3"/>
  <c r="H74" i="3"/>
  <c r="I74" i="3" s="1"/>
  <c r="J74" i="3" s="1"/>
  <c r="H1574" i="3"/>
  <c r="I1574" i="3" s="1"/>
  <c r="J1574" i="3" s="1"/>
  <c r="H1457" i="3"/>
  <c r="I1457" i="3" s="1"/>
  <c r="J1457" i="3" s="1"/>
  <c r="H1441" i="3"/>
  <c r="I1441" i="3" s="1"/>
  <c r="J1441" i="3" s="1"/>
  <c r="H1391" i="3"/>
  <c r="I1391" i="3" s="1"/>
  <c r="J1391" i="3" s="1"/>
  <c r="H1068" i="3"/>
  <c r="I1068" i="3" s="1"/>
  <c r="J1068" i="3" s="1"/>
  <c r="H885" i="3"/>
  <c r="I885" i="3" s="1"/>
  <c r="J885" i="3" s="1"/>
  <c r="G755" i="3"/>
  <c r="H689" i="3"/>
  <c r="N689" i="3" s="1"/>
  <c r="H670" i="3"/>
  <c r="I670" i="3" s="1"/>
  <c r="J670" i="3" s="1"/>
  <c r="H493" i="3"/>
  <c r="I493" i="3" s="1"/>
  <c r="J493" i="3" s="1"/>
  <c r="H399" i="3"/>
  <c r="I399" i="3" s="1"/>
  <c r="J399" i="3" s="1"/>
  <c r="H354" i="3"/>
  <c r="I354" i="3" s="1"/>
  <c r="J354" i="3" s="1"/>
  <c r="H196" i="3"/>
  <c r="I196" i="3" s="1"/>
  <c r="J196" i="3" s="1"/>
  <c r="G1424" i="3"/>
  <c r="H1163" i="3"/>
  <c r="I1163" i="3" s="1"/>
  <c r="J1163" i="3" s="1"/>
  <c r="G1148" i="3"/>
  <c r="H787" i="3"/>
  <c r="I787" i="3" s="1"/>
  <c r="J787" i="3" s="1"/>
  <c r="H654" i="3"/>
  <c r="I654" i="3" s="1"/>
  <c r="J654" i="3" s="1"/>
  <c r="H585" i="3"/>
  <c r="I585" i="3" s="1"/>
  <c r="J585" i="3" s="1"/>
  <c r="H555" i="3"/>
  <c r="I555" i="3" s="1"/>
  <c r="J555" i="3" s="1"/>
  <c r="H521" i="3"/>
  <c r="I521" i="3" s="1"/>
  <c r="J521" i="3" s="1"/>
  <c r="H384" i="3"/>
  <c r="I384" i="3" s="1"/>
  <c r="J384" i="3" s="1"/>
  <c r="H305" i="3"/>
  <c r="I305" i="3" s="1"/>
  <c r="J305" i="3" s="1"/>
  <c r="H290" i="3"/>
  <c r="I290" i="3" s="1"/>
  <c r="J290" i="3" s="1"/>
  <c r="H242" i="3"/>
  <c r="I242" i="3" s="1"/>
  <c r="J242" i="3" s="1"/>
  <c r="H73" i="3"/>
  <c r="I73" i="3" s="1"/>
  <c r="J73" i="3" s="1"/>
  <c r="H44" i="3"/>
  <c r="I44" i="3" s="1"/>
  <c r="J44" i="3" s="1"/>
  <c r="H10" i="3"/>
  <c r="I10" i="3" s="1"/>
  <c r="J10" i="3" s="1"/>
  <c r="H1256" i="3"/>
  <c r="I1256" i="3" s="1"/>
  <c r="J1256" i="3" s="1"/>
  <c r="H1051" i="3"/>
  <c r="I1051" i="3" s="1"/>
  <c r="J1051" i="3" s="1"/>
  <c r="H601" i="3"/>
  <c r="I601" i="3" s="1"/>
  <c r="J601" i="3" s="1"/>
  <c r="H368" i="3"/>
  <c r="I368" i="3" s="1"/>
  <c r="J368" i="3" s="1"/>
  <c r="H1358" i="3"/>
  <c r="I1358" i="3" s="1"/>
  <c r="J1358" i="3" s="1"/>
  <c r="H951" i="3"/>
  <c r="I951" i="3" s="1"/>
  <c r="J951" i="3" s="1"/>
  <c r="G819" i="3"/>
  <c r="G446" i="3"/>
  <c r="G105" i="3"/>
  <c r="H89" i="3"/>
  <c r="I89" i="3" s="1"/>
  <c r="J89" i="3" s="1"/>
  <c r="H1489" i="3"/>
  <c r="I1489" i="3" s="1"/>
  <c r="J1489" i="3" s="1"/>
  <c r="H1339" i="3"/>
  <c r="I1339" i="3" s="1"/>
  <c r="J1339" i="3" s="1"/>
  <c r="H801" i="3"/>
  <c r="I801" i="3" s="1"/>
  <c r="J801" i="3" s="1"/>
  <c r="H786" i="3"/>
  <c r="I786" i="3" s="1"/>
  <c r="J786" i="3" s="1"/>
  <c r="H636" i="3"/>
  <c r="I636" i="3" s="1"/>
  <c r="J636" i="3" s="1"/>
  <c r="H492" i="3"/>
  <c r="I492" i="3" s="1"/>
  <c r="J492" i="3" s="1"/>
  <c r="H367" i="3"/>
  <c r="I367" i="3" s="1"/>
  <c r="J367" i="3" s="1"/>
  <c r="H304" i="3"/>
  <c r="I304" i="3" s="1"/>
  <c r="J304" i="3" s="1"/>
  <c r="G149" i="3"/>
  <c r="G43" i="3"/>
  <c r="G459" i="3"/>
  <c r="H335" i="3"/>
  <c r="I335" i="3" s="1"/>
  <c r="J335" i="3" s="1"/>
  <c r="H445" i="3"/>
  <c r="I445" i="3" s="1"/>
  <c r="J445" i="3" s="1"/>
  <c r="H414" i="3"/>
  <c r="I414" i="3" s="1"/>
  <c r="J414" i="3" s="1"/>
  <c r="H226" i="3"/>
  <c r="I226" i="3" s="1"/>
  <c r="J226" i="3" s="1"/>
  <c r="H71" i="3"/>
  <c r="I71" i="3" s="1"/>
  <c r="J71" i="3" s="1"/>
  <c r="H148" i="3"/>
  <c r="I148" i="3" s="1"/>
  <c r="J148" i="3" s="1"/>
  <c r="H1469" i="3"/>
  <c r="I1469" i="3" s="1"/>
  <c r="J1469" i="3" s="1"/>
  <c r="H1388" i="3"/>
  <c r="I1388" i="3" s="1"/>
  <c r="J1388" i="3" s="1"/>
  <c r="H1269" i="3"/>
  <c r="I1269" i="3" s="1"/>
  <c r="J1269" i="3" s="1"/>
  <c r="H1192" i="3"/>
  <c r="I1192" i="3" s="1"/>
  <c r="J1192" i="3" s="1"/>
  <c r="H1146" i="3"/>
  <c r="I1146" i="3" s="1"/>
  <c r="J1146" i="3" s="1"/>
  <c r="H1114" i="3"/>
  <c r="I1114" i="3" s="1"/>
  <c r="J1114" i="3" s="1"/>
  <c r="H1049" i="3"/>
  <c r="I1049" i="3" s="1"/>
  <c r="J1049" i="3" s="1"/>
  <c r="H1032" i="3"/>
  <c r="I1032" i="3" s="1"/>
  <c r="J1032" i="3" s="1"/>
  <c r="H848" i="3"/>
  <c r="I848" i="3" s="1"/>
  <c r="J848" i="3" s="1"/>
  <c r="H256" i="3"/>
  <c r="I256" i="3" s="1"/>
  <c r="J256" i="3" s="1"/>
  <c r="H1571" i="3"/>
  <c r="I1571" i="3" s="1"/>
  <c r="J1571" i="3" s="1"/>
  <c r="H1521" i="3"/>
  <c r="I1521" i="3" s="1"/>
  <c r="J1521" i="3" s="1"/>
  <c r="H1177" i="3"/>
  <c r="I1177" i="3" s="1"/>
  <c r="J1177" i="3" s="1"/>
  <c r="H1098" i="3"/>
  <c r="I1098" i="3" s="1"/>
  <c r="J1098" i="3" s="1"/>
  <c r="H833" i="3"/>
  <c r="I833" i="3" s="1"/>
  <c r="J833" i="3" s="1"/>
  <c r="H735" i="3"/>
  <c r="I735" i="3" s="1"/>
  <c r="J735" i="3" s="1"/>
  <c r="G704" i="3"/>
  <c r="H685" i="3"/>
  <c r="I685" i="3" s="1"/>
  <c r="J685" i="3" s="1"/>
  <c r="H667" i="3"/>
  <c r="I667" i="3" s="1"/>
  <c r="J667" i="3" s="1"/>
  <c r="H225" i="3"/>
  <c r="I225" i="3" s="1"/>
  <c r="J225" i="3" s="1"/>
  <c r="H208" i="3"/>
  <c r="I208" i="3" s="1"/>
  <c r="J208" i="3" s="1"/>
  <c r="H178" i="3"/>
  <c r="I178" i="3" s="1"/>
  <c r="J178" i="3" s="1"/>
  <c r="H1586" i="3"/>
  <c r="I1586" i="3" s="1"/>
  <c r="J1586" i="3" s="1"/>
  <c r="H1536" i="3"/>
  <c r="I1536" i="3" s="1"/>
  <c r="J1536" i="3" s="1"/>
  <c r="H1453" i="3"/>
  <c r="I1453" i="3" s="1"/>
  <c r="J1453" i="3" s="1"/>
  <c r="H1420" i="3"/>
  <c r="I1420" i="3" s="1"/>
  <c r="J1420" i="3" s="1"/>
  <c r="H1254" i="3"/>
  <c r="I1254" i="3" s="1"/>
  <c r="J1254" i="3" s="1"/>
  <c r="H1015" i="3"/>
  <c r="I1015" i="3" s="1"/>
  <c r="J1015" i="3" s="1"/>
  <c r="G475" i="3"/>
  <c r="H412" i="3"/>
  <c r="I412" i="3" s="1"/>
  <c r="J412" i="3" s="1"/>
  <c r="H1403" i="3"/>
  <c r="I1403" i="3" s="1"/>
  <c r="J1403" i="3" s="1"/>
  <c r="H815" i="3"/>
  <c r="I815" i="3" s="1"/>
  <c r="J815" i="3" s="1"/>
  <c r="H798" i="3"/>
  <c r="I798" i="3" s="1"/>
  <c r="J798" i="3" s="1"/>
  <c r="H719" i="3"/>
  <c r="I719" i="3" s="1"/>
  <c r="J719" i="3" s="1"/>
  <c r="G651" i="3"/>
  <c r="H583" i="3"/>
  <c r="I583" i="3" s="1"/>
  <c r="J583" i="3" s="1"/>
  <c r="H504" i="3"/>
  <c r="I504" i="3" s="1"/>
  <c r="J504" i="3" s="1"/>
  <c r="H270" i="3"/>
  <c r="I270" i="3" s="1"/>
  <c r="J270" i="3" s="1"/>
  <c r="H1504" i="3"/>
  <c r="I1504" i="3" s="1"/>
  <c r="J1504" i="3" s="1"/>
  <c r="H1468" i="3"/>
  <c r="I1468" i="3" s="1"/>
  <c r="J1468" i="3" s="1"/>
  <c r="H1371" i="3"/>
  <c r="I1371" i="3" s="1"/>
  <c r="J1371" i="3" s="1"/>
  <c r="H1320" i="3"/>
  <c r="I1320" i="3" s="1"/>
  <c r="J1320" i="3" s="1"/>
  <c r="H1191" i="3"/>
  <c r="I1191" i="3" s="1"/>
  <c r="J1191" i="3" s="1"/>
  <c r="G1064" i="3"/>
  <c r="H948" i="3"/>
  <c r="I948" i="3" s="1"/>
  <c r="J948" i="3" s="1"/>
  <c r="H784" i="3"/>
  <c r="I784" i="3" s="1"/>
  <c r="J784" i="3" s="1"/>
  <c r="G318" i="3"/>
  <c r="H163" i="3"/>
  <c r="I163" i="3" s="1"/>
  <c r="J163" i="3" s="1"/>
  <c r="H1438" i="3"/>
  <c r="I1438" i="3" s="1"/>
  <c r="J1438" i="3" s="1"/>
  <c r="H1268" i="3"/>
  <c r="I1268" i="3" s="1"/>
  <c r="J1268" i="3" s="1"/>
  <c r="H1129" i="3"/>
  <c r="I1129" i="3" s="1"/>
  <c r="J1129" i="3" s="1"/>
  <c r="H1031" i="3"/>
  <c r="I1031" i="3" s="1"/>
  <c r="J1031" i="3" s="1"/>
  <c r="H995" i="3"/>
  <c r="I995" i="3" s="1"/>
  <c r="J995" i="3" s="1"/>
  <c r="H847" i="3"/>
  <c r="I847" i="3" s="1"/>
  <c r="J847" i="3" s="1"/>
  <c r="H768" i="3"/>
  <c r="I768" i="3" s="1"/>
  <c r="J768" i="3" s="1"/>
  <c r="G703" i="3"/>
  <c r="H598" i="3"/>
  <c r="I598" i="3" s="1"/>
  <c r="J598" i="3" s="1"/>
  <c r="H207" i="3"/>
  <c r="I207" i="3" s="1"/>
  <c r="J207" i="3" s="1"/>
  <c r="G1221" i="3"/>
  <c r="H1097" i="3"/>
  <c r="I1097" i="3" s="1"/>
  <c r="J1097" i="3" s="1"/>
  <c r="G1079" i="3"/>
  <c r="H880" i="3"/>
  <c r="I880" i="3" s="1"/>
  <c r="J880" i="3" s="1"/>
  <c r="H734" i="3"/>
  <c r="I734" i="3" s="1"/>
  <c r="J734" i="3" s="1"/>
  <c r="H567" i="3"/>
  <c r="I567" i="3" s="1"/>
  <c r="J567" i="3" s="1"/>
  <c r="H534" i="3"/>
  <c r="I534" i="3" s="1"/>
  <c r="J534" i="3" s="1"/>
  <c r="H517" i="3"/>
  <c r="I517" i="3" s="1"/>
  <c r="J517" i="3" s="1"/>
  <c r="G489" i="3"/>
  <c r="G474" i="3"/>
  <c r="G411" i="3"/>
  <c r="H394" i="3"/>
  <c r="I394" i="3" s="1"/>
  <c r="J394" i="3" s="1"/>
  <c r="H380" i="3"/>
  <c r="I380" i="3" s="1"/>
  <c r="J380" i="3" s="1"/>
  <c r="H40" i="3"/>
  <c r="I40" i="3" s="1"/>
  <c r="J40" i="3" s="1"/>
  <c r="G978" i="3"/>
  <c r="G102" i="3"/>
  <c r="H1583" i="3"/>
  <c r="I1583" i="3" s="1"/>
  <c r="J1583" i="3" s="1"/>
  <c r="H1498" i="3"/>
  <c r="I1498" i="3" s="1"/>
  <c r="J1498" i="3" s="1"/>
  <c r="H1486" i="3"/>
  <c r="I1486" i="3" s="1"/>
  <c r="J1486" i="3" s="1"/>
  <c r="G1475" i="3"/>
  <c r="H1475" i="3"/>
  <c r="I1475" i="3" s="1"/>
  <c r="J1475" i="3" s="1"/>
  <c r="H1352" i="3"/>
  <c r="I1352" i="3" s="1"/>
  <c r="J1352" i="3" s="1"/>
  <c r="H1235" i="3"/>
  <c r="I1235" i="3" s="1"/>
  <c r="J1235" i="3" s="1"/>
  <c r="H1138" i="3"/>
  <c r="I1138" i="3" s="1"/>
  <c r="J1138" i="3" s="1"/>
  <c r="H1035" i="3"/>
  <c r="I1035" i="3" s="1"/>
  <c r="J1035" i="3" s="1"/>
  <c r="G949" i="3"/>
  <c r="H949" i="3"/>
  <c r="I949" i="3" s="1"/>
  <c r="J949" i="3" s="1"/>
  <c r="H1270" i="3"/>
  <c r="I1270" i="3" s="1"/>
  <c r="J1270" i="3" s="1"/>
  <c r="H1258" i="3"/>
  <c r="I1258" i="3" s="1"/>
  <c r="J1258" i="3" s="1"/>
  <c r="H1162" i="3"/>
  <c r="I1162" i="3" s="1"/>
  <c r="J1162" i="3" s="1"/>
  <c r="H1562" i="3"/>
  <c r="I1562" i="3" s="1"/>
  <c r="J1562" i="3" s="1"/>
  <c r="H1540" i="3"/>
  <c r="I1540" i="3" s="1"/>
  <c r="J1540" i="3" s="1"/>
  <c r="H1508" i="3"/>
  <c r="I1508" i="3" s="1"/>
  <c r="J1508" i="3" s="1"/>
  <c r="H1474" i="3"/>
  <c r="I1474" i="3" s="1"/>
  <c r="J1474" i="3" s="1"/>
  <c r="G1442" i="3"/>
  <c r="H1442" i="3"/>
  <c r="I1442" i="3" s="1"/>
  <c r="J1442" i="3" s="1"/>
  <c r="H917" i="3"/>
  <c r="I917" i="3" s="1"/>
  <c r="J917" i="3" s="1"/>
  <c r="H902" i="3"/>
  <c r="I902" i="3" s="1"/>
  <c r="J902" i="3" s="1"/>
  <c r="G1593" i="3"/>
  <c r="H1408" i="3"/>
  <c r="I1408" i="3" s="1"/>
  <c r="J1408" i="3" s="1"/>
  <c r="H1293" i="3"/>
  <c r="I1293" i="3" s="1"/>
  <c r="J1293" i="3" s="1"/>
  <c r="H1174" i="3"/>
  <c r="I1174" i="3" s="1"/>
  <c r="J1174" i="3" s="1"/>
  <c r="H1419" i="3"/>
  <c r="I1419" i="3" s="1"/>
  <c r="J1419" i="3" s="1"/>
  <c r="G1328" i="3"/>
  <c r="H1328" i="3"/>
  <c r="I1328" i="3" s="1"/>
  <c r="J1328" i="3" s="1"/>
  <c r="G1186" i="3"/>
  <c r="H1186" i="3"/>
  <c r="I1186" i="3" s="1"/>
  <c r="J1186" i="3" s="1"/>
  <c r="G1088" i="3"/>
  <c r="H1075" i="3"/>
  <c r="I1075" i="3" s="1"/>
  <c r="J1075" i="3" s="1"/>
  <c r="G1075" i="3"/>
  <c r="G1351" i="3"/>
  <c r="H1351" i="3"/>
  <c r="I1351" i="3" s="1"/>
  <c r="J1351" i="3" s="1"/>
  <c r="G1304" i="3"/>
  <c r="H1304" i="3"/>
  <c r="I1304" i="3" s="1"/>
  <c r="J1304" i="3" s="1"/>
  <c r="G1074" i="3"/>
  <c r="H1074" i="3"/>
  <c r="I1074" i="3" s="1"/>
  <c r="J1074" i="3" s="1"/>
  <c r="H1528" i="3"/>
  <c r="I1528" i="3" s="1"/>
  <c r="J1528" i="3" s="1"/>
  <c r="G1496" i="3"/>
  <c r="H1496" i="3"/>
  <c r="I1496" i="3" s="1"/>
  <c r="J1496" i="3" s="1"/>
  <c r="H1430" i="3"/>
  <c r="I1430" i="3" s="1"/>
  <c r="J1430" i="3" s="1"/>
  <c r="H1257" i="3"/>
  <c r="I1257" i="3" s="1"/>
  <c r="J1257" i="3" s="1"/>
  <c r="H1125" i="3"/>
  <c r="I1125" i="3" s="1"/>
  <c r="J1125" i="3" s="1"/>
  <c r="G916" i="3"/>
  <c r="H916" i="3"/>
  <c r="I916" i="3" s="1"/>
  <c r="J916" i="3" s="1"/>
  <c r="G1539" i="3"/>
  <c r="H1539" i="3"/>
  <c r="I1539" i="3" s="1"/>
  <c r="J1539" i="3" s="1"/>
  <c r="G1316" i="3"/>
  <c r="G1048" i="3"/>
  <c r="H1048" i="3"/>
  <c r="I1048" i="3" s="1"/>
  <c r="J1048" i="3" s="1"/>
  <c r="G1407" i="3"/>
  <c r="G931" i="3"/>
  <c r="H931" i="3"/>
  <c r="I931" i="3" s="1"/>
  <c r="J931" i="3" s="1"/>
  <c r="G1560" i="3"/>
  <c r="H1560" i="3"/>
  <c r="I1560" i="3" s="1"/>
  <c r="J1560" i="3" s="1"/>
  <c r="G1136" i="3"/>
  <c r="H1136" i="3"/>
  <c r="I1136" i="3" s="1"/>
  <c r="J1136" i="3" s="1"/>
  <c r="H1291" i="3"/>
  <c r="I1291" i="3" s="1"/>
  <c r="J1291" i="3" s="1"/>
  <c r="H1172" i="3"/>
  <c r="I1172" i="3" s="1"/>
  <c r="J1172" i="3" s="1"/>
  <c r="H1315" i="3"/>
  <c r="I1315" i="3" s="1"/>
  <c r="J1315" i="3" s="1"/>
  <c r="G825" i="3"/>
  <c r="H825" i="3"/>
  <c r="I825" i="3" s="1"/>
  <c r="J825" i="3" s="1"/>
  <c r="G1003" i="3"/>
  <c r="H1003" i="3"/>
  <c r="I1003" i="3" s="1"/>
  <c r="J1003" i="3" s="1"/>
  <c r="G930" i="3"/>
  <c r="H930" i="3"/>
  <c r="I930" i="3" s="1"/>
  <c r="J930" i="3" s="1"/>
  <c r="G712" i="3"/>
  <c r="H712" i="3"/>
  <c r="I712" i="3" s="1"/>
  <c r="J712" i="3" s="1"/>
  <c r="G1086" i="3"/>
  <c r="H1086" i="3"/>
  <c r="I1086" i="3" s="1"/>
  <c r="J1086" i="3" s="1"/>
  <c r="G1506" i="3"/>
  <c r="H1506" i="3"/>
  <c r="I1506" i="3" s="1"/>
  <c r="J1506" i="3" s="1"/>
  <c r="H1591" i="3"/>
  <c r="N1591" i="3" s="1"/>
  <c r="G1570" i="3"/>
  <c r="H1570" i="3"/>
  <c r="I1570" i="3" s="1"/>
  <c r="J1570" i="3" s="1"/>
  <c r="H1559" i="3"/>
  <c r="I1559" i="3" s="1"/>
  <c r="J1559" i="3" s="1"/>
  <c r="H1483" i="3"/>
  <c r="I1483" i="3" s="1"/>
  <c r="J1483" i="3" s="1"/>
  <c r="H1472" i="3"/>
  <c r="I1472" i="3" s="1"/>
  <c r="J1472" i="3" s="1"/>
  <c r="H1394" i="3"/>
  <c r="I1394" i="3" s="1"/>
  <c r="J1394" i="3" s="1"/>
  <c r="H1326" i="3"/>
  <c r="I1326" i="3" s="1"/>
  <c r="J1326" i="3" s="1"/>
  <c r="G1314" i="3"/>
  <c r="H1314" i="3"/>
  <c r="I1314" i="3" s="1"/>
  <c r="J1314" i="3" s="1"/>
  <c r="H1208" i="3"/>
  <c r="I1208" i="3" s="1"/>
  <c r="J1208" i="3" s="1"/>
  <c r="G824" i="3"/>
  <c r="H824" i="3"/>
  <c r="I824" i="3" s="1"/>
  <c r="J824" i="3" s="1"/>
  <c r="G761" i="3"/>
  <c r="H761" i="3"/>
  <c r="I761" i="3" s="1"/>
  <c r="J761" i="3" s="1"/>
  <c r="H1450" i="3"/>
  <c r="I1450" i="3" s="1"/>
  <c r="J1450" i="3" s="1"/>
  <c r="H1494" i="3"/>
  <c r="I1494" i="3" s="1"/>
  <c r="J1494" i="3" s="1"/>
  <c r="H1290" i="3"/>
  <c r="I1290" i="3" s="1"/>
  <c r="J1290" i="3" s="1"/>
  <c r="G776" i="3"/>
  <c r="H776" i="3"/>
  <c r="I776" i="3" s="1"/>
  <c r="J776" i="3" s="1"/>
  <c r="G1183" i="3"/>
  <c r="G1017" i="3"/>
  <c r="G987" i="3"/>
  <c r="H987" i="3"/>
  <c r="I987" i="3" s="1"/>
  <c r="J987" i="3" s="1"/>
  <c r="G945" i="3"/>
  <c r="G1219" i="3"/>
  <c r="H1219" i="3"/>
  <c r="I1219" i="3" s="1"/>
  <c r="J1219" i="3" s="1"/>
  <c r="H1382" i="3"/>
  <c r="I1382" i="3" s="1"/>
  <c r="J1382" i="3" s="1"/>
  <c r="H1336" i="3"/>
  <c r="I1336" i="3" s="1"/>
  <c r="J1336" i="3" s="1"/>
  <c r="H1266" i="3"/>
  <c r="I1266" i="3" s="1"/>
  <c r="J1266" i="3" s="1"/>
  <c r="G775" i="3"/>
  <c r="H775" i="3"/>
  <c r="I775" i="3" s="1"/>
  <c r="J775" i="3" s="1"/>
  <c r="G1471" i="3"/>
  <c r="H1243" i="3"/>
  <c r="I1243" i="3" s="1"/>
  <c r="J1243" i="3" s="1"/>
  <c r="H1207" i="3"/>
  <c r="I1207" i="3" s="1"/>
  <c r="J1207" i="3" s="1"/>
  <c r="H867" i="3"/>
  <c r="I867" i="3" s="1"/>
  <c r="J867" i="3" s="1"/>
  <c r="G710" i="3"/>
  <c r="H710" i="3"/>
  <c r="I710" i="3" s="1"/>
  <c r="J710" i="3" s="1"/>
  <c r="H1194" i="3"/>
  <c r="I1194" i="3" s="1"/>
  <c r="J1194" i="3" s="1"/>
  <c r="G1145" i="3"/>
  <c r="G1108" i="3"/>
  <c r="G1044" i="3"/>
  <c r="H1044" i="3"/>
  <c r="I1044" i="3" s="1"/>
  <c r="J1044" i="3" s="1"/>
  <c r="G897" i="3"/>
  <c r="G759" i="3"/>
  <c r="H759" i="3"/>
  <c r="I759" i="3" s="1"/>
  <c r="J759" i="3" s="1"/>
  <c r="G1347" i="3"/>
  <c r="H1347" i="3"/>
  <c r="I1347" i="3" s="1"/>
  <c r="J1347" i="3" s="1"/>
  <c r="H985" i="3"/>
  <c r="I985" i="3" s="1"/>
  <c r="J985" i="3" s="1"/>
  <c r="G985" i="3"/>
  <c r="G1459" i="3"/>
  <c r="G1392" i="3"/>
  <c r="H1392" i="3"/>
  <c r="I1392" i="3" s="1"/>
  <c r="J1392" i="3" s="1"/>
  <c r="H1206" i="3"/>
  <c r="I1206" i="3" s="1"/>
  <c r="J1206" i="3" s="1"/>
  <c r="G926" i="3"/>
  <c r="H1578" i="3"/>
  <c r="I1578" i="3" s="1"/>
  <c r="J1578" i="3" s="1"/>
  <c r="G943" i="3"/>
  <c r="H943" i="3"/>
  <c r="I943" i="3" s="1"/>
  <c r="J943" i="3" s="1"/>
  <c r="G881" i="3"/>
  <c r="H881" i="3"/>
  <c r="I881" i="3" s="1"/>
  <c r="J881" i="3" s="1"/>
  <c r="G1415" i="3"/>
  <c r="H1415" i="3"/>
  <c r="I1415" i="3" s="1"/>
  <c r="J1415" i="3" s="1"/>
  <c r="G1169" i="3"/>
  <c r="H1169" i="3"/>
  <c r="I1169" i="3" s="1"/>
  <c r="J1169" i="3" s="1"/>
  <c r="H1535" i="3"/>
  <c r="I1535" i="3" s="1"/>
  <c r="J1535" i="3" s="1"/>
  <c r="H1437" i="3"/>
  <c r="I1437" i="3" s="1"/>
  <c r="J1437" i="3" s="1"/>
  <c r="H1426" i="3"/>
  <c r="I1426" i="3" s="1"/>
  <c r="J1426" i="3" s="1"/>
  <c r="H1288" i="3"/>
  <c r="I1288" i="3" s="1"/>
  <c r="J1288" i="3" s="1"/>
  <c r="H1193" i="3"/>
  <c r="I1193" i="3" s="1"/>
  <c r="J1193" i="3" s="1"/>
  <c r="H1144" i="3"/>
  <c r="I1144" i="3" s="1"/>
  <c r="J1144" i="3" s="1"/>
  <c r="H1107" i="3"/>
  <c r="I1107" i="3" s="1"/>
  <c r="J1107" i="3" s="1"/>
  <c r="H1567" i="3"/>
  <c r="I1567" i="3" s="1"/>
  <c r="J1567" i="3" s="1"/>
  <c r="G1323" i="3"/>
  <c r="H1311" i="3"/>
  <c r="I1311" i="3" s="1"/>
  <c r="J1311" i="3" s="1"/>
  <c r="H1181" i="3"/>
  <c r="I1181" i="3" s="1"/>
  <c r="J1181" i="3" s="1"/>
  <c r="G820" i="3"/>
  <c r="G1264" i="3"/>
  <c r="H1264" i="3"/>
  <c r="I1264" i="3" s="1"/>
  <c r="J1264" i="3" s="1"/>
  <c r="G1082" i="3"/>
  <c r="H1082" i="3"/>
  <c r="I1082" i="3" s="1"/>
  <c r="J1082" i="3" s="1"/>
  <c r="H1042" i="3"/>
  <c r="I1042" i="3" s="1"/>
  <c r="J1042" i="3" s="1"/>
  <c r="G1042" i="3"/>
  <c r="H1577" i="3"/>
  <c r="I1577" i="3" s="1"/>
  <c r="J1577" i="3" s="1"/>
  <c r="H1334" i="3"/>
  <c r="I1334" i="3" s="1"/>
  <c r="J1334" i="3" s="1"/>
  <c r="H1322" i="3"/>
  <c r="I1322" i="3" s="1"/>
  <c r="J1322" i="3" s="1"/>
  <c r="G1240" i="3"/>
  <c r="H1240" i="3"/>
  <c r="I1240" i="3" s="1"/>
  <c r="J1240" i="3" s="1"/>
  <c r="G1055" i="3"/>
  <c r="H1055" i="3"/>
  <c r="I1055" i="3" s="1"/>
  <c r="J1055" i="3" s="1"/>
  <c r="G895" i="3"/>
  <c r="H895" i="3"/>
  <c r="I895" i="3" s="1"/>
  <c r="J895" i="3" s="1"/>
  <c r="H1545" i="3"/>
  <c r="I1545" i="3" s="1"/>
  <c r="J1545" i="3" s="1"/>
  <c r="H1491" i="3"/>
  <c r="I1491" i="3" s="1"/>
  <c r="J1491" i="3" s="1"/>
  <c r="H1480" i="3"/>
  <c r="I1480" i="3" s="1"/>
  <c r="J1480" i="3" s="1"/>
  <c r="G1368" i="3"/>
  <c r="H1368" i="3"/>
  <c r="I1368" i="3" s="1"/>
  <c r="J1368" i="3" s="1"/>
  <c r="H1275" i="3"/>
  <c r="I1275" i="3" s="1"/>
  <c r="J1275" i="3" s="1"/>
  <c r="G1155" i="3"/>
  <c r="H1155" i="3"/>
  <c r="I1155" i="3" s="1"/>
  <c r="J1155" i="3" s="1"/>
  <c r="H1425" i="3"/>
  <c r="I1425" i="3" s="1"/>
  <c r="J1425" i="3" s="1"/>
  <c r="G983" i="3"/>
  <c r="H983" i="3"/>
  <c r="I983" i="3" s="1"/>
  <c r="J983" i="3" s="1"/>
  <c r="G1523" i="3"/>
  <c r="H1143" i="3"/>
  <c r="I1143" i="3" s="1"/>
  <c r="J1143" i="3" s="1"/>
  <c r="G1131" i="3"/>
  <c r="H1106" i="3"/>
  <c r="I1106" i="3" s="1"/>
  <c r="J1106" i="3" s="1"/>
  <c r="G1013" i="3"/>
  <c r="G863" i="3"/>
  <c r="H863" i="3"/>
  <c r="I863" i="3" s="1"/>
  <c r="J863" i="3" s="1"/>
  <c r="H1555" i="3"/>
  <c r="I1555" i="3" s="1"/>
  <c r="J1555" i="3" s="1"/>
  <c r="H1390" i="3"/>
  <c r="I1390" i="3" s="1"/>
  <c r="J1390" i="3" s="1"/>
  <c r="H1239" i="3"/>
  <c r="I1239" i="3" s="1"/>
  <c r="J1239" i="3" s="1"/>
  <c r="H1054" i="3"/>
  <c r="I1054" i="3" s="1"/>
  <c r="J1054" i="3" s="1"/>
  <c r="G968" i="3"/>
  <c r="H968" i="3"/>
  <c r="I968" i="3" s="1"/>
  <c r="J968" i="3" s="1"/>
  <c r="G1121" i="3"/>
  <c r="H1121" i="3"/>
  <c r="I1121" i="3" s="1"/>
  <c r="J1121" i="3" s="1"/>
  <c r="H1446" i="3"/>
  <c r="I1446" i="3" s="1"/>
  <c r="J1446" i="3" s="1"/>
  <c r="H1379" i="3"/>
  <c r="I1379" i="3" s="1"/>
  <c r="J1379" i="3" s="1"/>
  <c r="H1367" i="3"/>
  <c r="I1367" i="3" s="1"/>
  <c r="J1367" i="3" s="1"/>
  <c r="H1321" i="3"/>
  <c r="I1321" i="3" s="1"/>
  <c r="J1321" i="3" s="1"/>
  <c r="H1227" i="3"/>
  <c r="I1227" i="3" s="1"/>
  <c r="J1227" i="3" s="1"/>
  <c r="H1130" i="3"/>
  <c r="I1130" i="3" s="1"/>
  <c r="J1130" i="3" s="1"/>
  <c r="G1080" i="3"/>
  <c r="H800" i="3"/>
  <c r="I800" i="3" s="1"/>
  <c r="J800" i="3" s="1"/>
  <c r="G800" i="3"/>
  <c r="G1479" i="3"/>
  <c r="H1479" i="3"/>
  <c r="I1479" i="3" s="1"/>
  <c r="J1479" i="3" s="1"/>
  <c r="H1490" i="3"/>
  <c r="I1490" i="3" s="1"/>
  <c r="J1490" i="3" s="1"/>
  <c r="H1344" i="3"/>
  <c r="I1344" i="3" s="1"/>
  <c r="J1344" i="3" s="1"/>
  <c r="G862" i="3"/>
  <c r="H862" i="3"/>
  <c r="I862" i="3" s="1"/>
  <c r="J862" i="3" s="1"/>
  <c r="H1355" i="3"/>
  <c r="I1355" i="3" s="1"/>
  <c r="J1355" i="3" s="1"/>
  <c r="H1285" i="3"/>
  <c r="I1285" i="3" s="1"/>
  <c r="J1285" i="3" s="1"/>
  <c r="H1251" i="3"/>
  <c r="I1251" i="3" s="1"/>
  <c r="J1251" i="3" s="1"/>
  <c r="H1117" i="3"/>
  <c r="I1117" i="3" s="1"/>
  <c r="J1117" i="3" s="1"/>
  <c r="G1067" i="3"/>
  <c r="H1067" i="3"/>
  <c r="I1067" i="3" s="1"/>
  <c r="J1067" i="3" s="1"/>
  <c r="G1378" i="3"/>
  <c r="H1378" i="3"/>
  <c r="I1378" i="3" s="1"/>
  <c r="J1378" i="3" s="1"/>
  <c r="H1053" i="3"/>
  <c r="I1053" i="3" s="1"/>
  <c r="J1053" i="3" s="1"/>
  <c r="H1040" i="3"/>
  <c r="I1040" i="3" s="1"/>
  <c r="J1040" i="3" s="1"/>
  <c r="G1456" i="3"/>
  <c r="H1456" i="3"/>
  <c r="I1456" i="3" s="1"/>
  <c r="J1456" i="3" s="1"/>
  <c r="H1554" i="3"/>
  <c r="I1554" i="3" s="1"/>
  <c r="J1554" i="3" s="1"/>
  <c r="G1250" i="3"/>
  <c r="H1250" i="3"/>
  <c r="I1250" i="3" s="1"/>
  <c r="J1250" i="3" s="1"/>
  <c r="H1238" i="3"/>
  <c r="I1238" i="3" s="1"/>
  <c r="J1238" i="3" s="1"/>
  <c r="H966" i="3"/>
  <c r="I966" i="3" s="1"/>
  <c r="J966" i="3" s="1"/>
  <c r="G966" i="3"/>
  <c r="H736" i="3"/>
  <c r="I736" i="3" s="1"/>
  <c r="J736" i="3" s="1"/>
  <c r="G736" i="3"/>
  <c r="G1543" i="3"/>
  <c r="H1543" i="3"/>
  <c r="I1543" i="3" s="1"/>
  <c r="J1543" i="3" s="1"/>
  <c r="H1500" i="3"/>
  <c r="I1500" i="3" s="1"/>
  <c r="J1500" i="3" s="1"/>
  <c r="G1331" i="3"/>
  <c r="G1010" i="3"/>
  <c r="H1010" i="3"/>
  <c r="I1010" i="3" s="1"/>
  <c r="J1010" i="3" s="1"/>
  <c r="G979" i="3"/>
  <c r="H979" i="3"/>
  <c r="I979" i="3" s="1"/>
  <c r="J979" i="3" s="1"/>
  <c r="H921" i="3"/>
  <c r="I921" i="3" s="1"/>
  <c r="J921" i="3" s="1"/>
  <c r="H1477" i="3"/>
  <c r="I1477" i="3" s="1"/>
  <c r="J1477" i="3" s="1"/>
  <c r="H1455" i="3"/>
  <c r="I1455" i="3" s="1"/>
  <c r="J1455" i="3" s="1"/>
  <c r="H1422" i="3"/>
  <c r="I1422" i="3" s="1"/>
  <c r="J1422" i="3" s="1"/>
  <c r="G1411" i="3"/>
  <c r="H1411" i="3"/>
  <c r="I1411" i="3" s="1"/>
  <c r="J1411" i="3" s="1"/>
  <c r="H1354" i="3"/>
  <c r="I1354" i="3" s="1"/>
  <c r="J1354" i="3" s="1"/>
  <c r="H1284" i="3"/>
  <c r="I1284" i="3" s="1"/>
  <c r="J1284" i="3" s="1"/>
  <c r="H1116" i="3"/>
  <c r="I1116" i="3" s="1"/>
  <c r="J1116" i="3" s="1"/>
  <c r="H1091" i="3"/>
  <c r="I1091" i="3" s="1"/>
  <c r="J1091" i="3" s="1"/>
  <c r="H1510" i="3"/>
  <c r="I1510" i="3" s="1"/>
  <c r="J1510" i="3" s="1"/>
  <c r="H1308" i="3"/>
  <c r="I1308" i="3" s="1"/>
  <c r="J1308" i="3" s="1"/>
  <c r="H1272" i="3"/>
  <c r="I1272" i="3" s="1"/>
  <c r="J1272" i="3" s="1"/>
  <c r="G1128" i="3"/>
  <c r="G1176" i="3"/>
  <c r="H1176" i="3"/>
  <c r="I1176" i="3" s="1"/>
  <c r="J1176" i="3" s="1"/>
  <c r="G1520" i="3"/>
  <c r="H1520" i="3"/>
  <c r="I1520" i="3" s="1"/>
  <c r="J1520" i="3" s="1"/>
  <c r="G1465" i="3"/>
  <c r="H1330" i="3"/>
  <c r="I1330" i="3" s="1"/>
  <c r="J1330" i="3" s="1"/>
  <c r="H1248" i="3"/>
  <c r="I1248" i="3" s="1"/>
  <c r="J1248" i="3" s="1"/>
  <c r="H1023" i="3"/>
  <c r="I1023" i="3" s="1"/>
  <c r="J1023" i="3" s="1"/>
  <c r="H964" i="3"/>
  <c r="I964" i="3" s="1"/>
  <c r="J964" i="3" s="1"/>
  <c r="G844" i="3"/>
  <c r="H844" i="3"/>
  <c r="I844" i="3" s="1"/>
  <c r="J844" i="3" s="1"/>
  <c r="G1283" i="3"/>
  <c r="H1283" i="3"/>
  <c r="I1283" i="3" s="1"/>
  <c r="J1283" i="3" s="1"/>
  <c r="G858" i="3"/>
  <c r="G1584" i="3"/>
  <c r="H1584" i="3"/>
  <c r="I1584" i="3" s="1"/>
  <c r="J1584" i="3" s="1"/>
  <c r="G1102" i="3"/>
  <c r="H1102" i="3"/>
  <c r="I1102" i="3" s="1"/>
  <c r="J1102" i="3" s="1"/>
  <c r="H1563" i="3"/>
  <c r="I1563" i="3" s="1"/>
  <c r="J1563" i="3" s="1"/>
  <c r="G1432" i="3"/>
  <c r="H1432" i="3"/>
  <c r="I1432" i="3" s="1"/>
  <c r="J1432" i="3" s="1"/>
  <c r="H1398" i="3"/>
  <c r="I1398" i="3" s="1"/>
  <c r="J1398" i="3" s="1"/>
  <c r="G1387" i="3"/>
  <c r="H1318" i="3"/>
  <c r="I1318" i="3" s="1"/>
  <c r="J1318" i="3" s="1"/>
  <c r="H1282" i="3"/>
  <c r="I1282" i="3" s="1"/>
  <c r="J1282" i="3" s="1"/>
  <c r="H1271" i="3"/>
  <c r="I1271" i="3" s="1"/>
  <c r="J1271" i="3" s="1"/>
  <c r="G1077" i="3"/>
  <c r="H1077" i="3"/>
  <c r="I1077" i="3" s="1"/>
  <c r="J1077" i="3" s="1"/>
  <c r="G843" i="3"/>
  <c r="H843" i="3"/>
  <c r="I843" i="3" s="1"/>
  <c r="J843" i="3" s="1"/>
  <c r="G1200" i="3"/>
  <c r="H1200" i="3"/>
  <c r="I1200" i="3" s="1"/>
  <c r="J1200" i="3" s="1"/>
  <c r="H1007" i="3"/>
  <c r="I1007" i="3" s="1"/>
  <c r="J1007" i="3" s="1"/>
  <c r="H1573" i="3"/>
  <c r="I1573" i="3" s="1"/>
  <c r="J1573" i="3" s="1"/>
  <c r="H1519" i="3"/>
  <c r="I1519" i="3" s="1"/>
  <c r="J1519" i="3" s="1"/>
  <c r="H1375" i="3"/>
  <c r="I1375" i="3" s="1"/>
  <c r="J1375" i="3" s="1"/>
  <c r="H1089" i="3"/>
  <c r="I1089" i="3" s="1"/>
  <c r="J1089" i="3" s="1"/>
  <c r="G888" i="3"/>
  <c r="H829" i="3"/>
  <c r="I829" i="3" s="1"/>
  <c r="J829" i="3" s="1"/>
  <c r="H1443" i="3"/>
  <c r="I1443" i="3" s="1"/>
  <c r="J1443" i="3" s="1"/>
  <c r="H1386" i="3"/>
  <c r="I1386" i="3" s="1"/>
  <c r="J1386" i="3" s="1"/>
  <c r="G1259" i="3"/>
  <c r="G1022" i="3"/>
  <c r="H1022" i="3"/>
  <c r="I1022" i="3" s="1"/>
  <c r="J1022" i="3" s="1"/>
  <c r="G683" i="3"/>
  <c r="H683" i="3"/>
  <c r="I683" i="3" s="1"/>
  <c r="J683" i="3" s="1"/>
  <c r="G879" i="3"/>
  <c r="G869" i="3"/>
  <c r="G831" i="3"/>
  <c r="H772" i="3"/>
  <c r="I772" i="3" s="1"/>
  <c r="J772" i="3" s="1"/>
  <c r="G723" i="3"/>
  <c r="H604" i="3"/>
  <c r="I604" i="3" s="1"/>
  <c r="J604" i="3" s="1"/>
  <c r="G574" i="3"/>
  <c r="H553" i="3"/>
  <c r="I553" i="3" s="1"/>
  <c r="J553" i="3" s="1"/>
  <c r="G532" i="3"/>
  <c r="G501" i="3"/>
  <c r="G406" i="3"/>
  <c r="G791" i="3"/>
  <c r="H791" i="3"/>
  <c r="I791" i="3" s="1"/>
  <c r="J791" i="3" s="1"/>
  <c r="H762" i="3"/>
  <c r="I762" i="3" s="1"/>
  <c r="J762" i="3" s="1"/>
  <c r="H684" i="3"/>
  <c r="I684" i="3" s="1"/>
  <c r="J684" i="3" s="1"/>
  <c r="H674" i="3"/>
  <c r="I674" i="3" s="1"/>
  <c r="J674" i="3" s="1"/>
  <c r="H752" i="3"/>
  <c r="I752" i="3" s="1"/>
  <c r="J752" i="3" s="1"/>
  <c r="H742" i="3"/>
  <c r="I742" i="3" s="1"/>
  <c r="J742" i="3" s="1"/>
  <c r="H644" i="3"/>
  <c r="I644" i="3" s="1"/>
  <c r="J644" i="3" s="1"/>
  <c r="G511" i="3"/>
  <c r="H511" i="3"/>
  <c r="I511" i="3" s="1"/>
  <c r="J511" i="3" s="1"/>
  <c r="H542" i="3"/>
  <c r="I542" i="3" s="1"/>
  <c r="J542" i="3" s="1"/>
  <c r="G603" i="3"/>
  <c r="G531" i="3"/>
  <c r="G663" i="3"/>
  <c r="H663" i="3"/>
  <c r="I663" i="3" s="1"/>
  <c r="J663" i="3" s="1"/>
  <c r="G298" i="3"/>
  <c r="H298" i="3"/>
  <c r="I298" i="3" s="1"/>
  <c r="J298" i="3" s="1"/>
  <c r="G205" i="3"/>
  <c r="H205" i="3"/>
  <c r="I205" i="3" s="1"/>
  <c r="J205" i="3" s="1"/>
  <c r="H693" i="3"/>
  <c r="I693" i="3" s="1"/>
  <c r="J693" i="3" s="1"/>
  <c r="H613" i="3"/>
  <c r="I613" i="3" s="1"/>
  <c r="J613" i="3" s="1"/>
  <c r="H592" i="3"/>
  <c r="I592" i="3" s="1"/>
  <c r="J592" i="3" s="1"/>
  <c r="H562" i="3"/>
  <c r="I562" i="3" s="1"/>
  <c r="J562" i="3" s="1"/>
  <c r="H510" i="3"/>
  <c r="I510" i="3" s="1"/>
  <c r="J510" i="3" s="1"/>
  <c r="G810" i="3"/>
  <c r="H810" i="3"/>
  <c r="I810" i="3" s="1"/>
  <c r="J810" i="3" s="1"/>
  <c r="H160" i="3"/>
  <c r="I160" i="3" s="1"/>
  <c r="J160" i="3" s="1"/>
  <c r="G160" i="3"/>
  <c r="G530" i="3"/>
  <c r="H530" i="3"/>
  <c r="I530" i="3" s="1"/>
  <c r="J530" i="3" s="1"/>
  <c r="G82" i="3"/>
  <c r="H82" i="3"/>
  <c r="I82" i="3" s="1"/>
  <c r="J82" i="3" s="1"/>
  <c r="H721" i="3"/>
  <c r="I721" i="3" s="1"/>
  <c r="J721" i="3" s="1"/>
  <c r="H702" i="3"/>
  <c r="I702" i="3" s="1"/>
  <c r="J702" i="3" s="1"/>
  <c r="H612" i="3"/>
  <c r="I612" i="3" s="1"/>
  <c r="J612" i="3" s="1"/>
  <c r="H529" i="3"/>
  <c r="I529" i="3" s="1"/>
  <c r="J529" i="3" s="1"/>
  <c r="H519" i="3"/>
  <c r="I519" i="3" s="1"/>
  <c r="J519" i="3" s="1"/>
  <c r="H460" i="3"/>
  <c r="I460" i="3" s="1"/>
  <c r="J460" i="3" s="1"/>
  <c r="G342" i="3"/>
  <c r="G682" i="3"/>
  <c r="H682" i="3"/>
  <c r="I682" i="3" s="1"/>
  <c r="J682" i="3" s="1"/>
  <c r="G373" i="3"/>
  <c r="H373" i="3"/>
  <c r="I373" i="3" s="1"/>
  <c r="J373" i="3" s="1"/>
  <c r="G402" i="3"/>
  <c r="H402" i="3"/>
  <c r="I402" i="3" s="1"/>
  <c r="J402" i="3" s="1"/>
  <c r="H1030" i="3"/>
  <c r="I1030" i="3" s="1"/>
  <c r="J1030" i="3" s="1"/>
  <c r="H982" i="3"/>
  <c r="I982" i="3" s="1"/>
  <c r="J982" i="3" s="1"/>
  <c r="H934" i="3"/>
  <c r="I934" i="3" s="1"/>
  <c r="J934" i="3" s="1"/>
  <c r="H779" i="3"/>
  <c r="I779" i="3" s="1"/>
  <c r="J779" i="3" s="1"/>
  <c r="H750" i="3"/>
  <c r="I750" i="3" s="1"/>
  <c r="J750" i="3" s="1"/>
  <c r="H740" i="3"/>
  <c r="I740" i="3" s="1"/>
  <c r="J740" i="3" s="1"/>
  <c r="H642" i="3"/>
  <c r="I642" i="3" s="1"/>
  <c r="J642" i="3" s="1"/>
  <c r="H622" i="3"/>
  <c r="I622" i="3" s="1"/>
  <c r="J622" i="3" s="1"/>
  <c r="H1001" i="3"/>
  <c r="I1001" i="3" s="1"/>
  <c r="J1001" i="3" s="1"/>
  <c r="H963" i="3"/>
  <c r="I963" i="3" s="1"/>
  <c r="J963" i="3" s="1"/>
  <c r="H818" i="3"/>
  <c r="I818" i="3" s="1"/>
  <c r="J818" i="3" s="1"/>
  <c r="H808" i="3"/>
  <c r="I808" i="3" s="1"/>
  <c r="J808" i="3" s="1"/>
  <c r="H730" i="3"/>
  <c r="I730" i="3" s="1"/>
  <c r="J730" i="3" s="1"/>
  <c r="H671" i="3"/>
  <c r="I671" i="3" s="1"/>
  <c r="J671" i="3" s="1"/>
  <c r="G401" i="3"/>
  <c r="H401" i="3"/>
  <c r="I401" i="3" s="1"/>
  <c r="J401" i="3" s="1"/>
  <c r="G234" i="3"/>
  <c r="H234" i="3"/>
  <c r="I234" i="3" s="1"/>
  <c r="J234" i="3" s="1"/>
  <c r="G1011" i="3"/>
  <c r="H1039" i="3"/>
  <c r="I1039" i="3" s="1"/>
  <c r="J1039" i="3" s="1"/>
  <c r="H876" i="3"/>
  <c r="I876" i="3" s="1"/>
  <c r="J876" i="3" s="1"/>
  <c r="H866" i="3"/>
  <c r="I866" i="3" s="1"/>
  <c r="J866" i="3" s="1"/>
  <c r="H720" i="3"/>
  <c r="I720" i="3" s="1"/>
  <c r="J720" i="3" s="1"/>
  <c r="H701" i="3"/>
  <c r="I701" i="3" s="1"/>
  <c r="J701" i="3" s="1"/>
  <c r="H611" i="3"/>
  <c r="I611" i="3" s="1"/>
  <c r="J611" i="3" s="1"/>
  <c r="H528" i="3"/>
  <c r="I528" i="3" s="1"/>
  <c r="J528" i="3" s="1"/>
  <c r="H518" i="3"/>
  <c r="I518" i="3" s="1"/>
  <c r="J518" i="3" s="1"/>
  <c r="G539" i="3"/>
  <c r="G18" i="3"/>
  <c r="H18" i="3"/>
  <c r="I18" i="3" s="1"/>
  <c r="J18" i="3" s="1"/>
  <c r="H570" i="3"/>
  <c r="I570" i="3" s="1"/>
  <c r="J570" i="3" s="1"/>
  <c r="H416" i="3"/>
  <c r="I416" i="3" s="1"/>
  <c r="J416" i="3" s="1"/>
  <c r="G416" i="3"/>
  <c r="G471" i="3"/>
  <c r="H471" i="3"/>
  <c r="I471" i="3" s="1"/>
  <c r="J471" i="3" s="1"/>
  <c r="H1287" i="3"/>
  <c r="I1287" i="3" s="1"/>
  <c r="J1287" i="3" s="1"/>
  <c r="H1223" i="3"/>
  <c r="I1223" i="3" s="1"/>
  <c r="J1223" i="3" s="1"/>
  <c r="H1159" i="3"/>
  <c r="I1159" i="3" s="1"/>
  <c r="J1159" i="3" s="1"/>
  <c r="H1113" i="3"/>
  <c r="I1113" i="3" s="1"/>
  <c r="J1113" i="3" s="1"/>
  <c r="H913" i="3"/>
  <c r="I913" i="3" s="1"/>
  <c r="J913" i="3" s="1"/>
  <c r="G855" i="3"/>
  <c r="H855" i="3"/>
  <c r="I855" i="3" s="1"/>
  <c r="J855" i="3" s="1"/>
  <c r="H620" i="3"/>
  <c r="I620" i="3" s="1"/>
  <c r="J620" i="3" s="1"/>
  <c r="G599" i="3"/>
  <c r="H599" i="3"/>
  <c r="I599" i="3" s="1"/>
  <c r="J599" i="3" s="1"/>
  <c r="H579" i="3"/>
  <c r="I579" i="3" s="1"/>
  <c r="J579" i="3" s="1"/>
  <c r="H559" i="3"/>
  <c r="I559" i="3" s="1"/>
  <c r="J559" i="3" s="1"/>
  <c r="H1066" i="3"/>
  <c r="I1066" i="3" s="1"/>
  <c r="J1066" i="3" s="1"/>
  <c r="G1047" i="3"/>
  <c r="H1047" i="3"/>
  <c r="I1047" i="3" s="1"/>
  <c r="J1047" i="3" s="1"/>
  <c r="G338" i="3"/>
  <c r="H338" i="3"/>
  <c r="N338" i="3" s="1"/>
  <c r="H1094" i="3"/>
  <c r="I1094" i="3" s="1"/>
  <c r="J1094" i="3" s="1"/>
  <c r="G1056" i="3"/>
  <c r="H1037" i="3"/>
  <c r="I1037" i="3" s="1"/>
  <c r="J1037" i="3" s="1"/>
  <c r="H999" i="3"/>
  <c r="I999" i="3" s="1"/>
  <c r="J999" i="3" s="1"/>
  <c r="H961" i="3"/>
  <c r="I961" i="3" s="1"/>
  <c r="J961" i="3" s="1"/>
  <c r="G864" i="3"/>
  <c r="H816" i="3"/>
  <c r="I816" i="3" s="1"/>
  <c r="J816" i="3" s="1"/>
  <c r="H806" i="3"/>
  <c r="I806" i="3" s="1"/>
  <c r="J806" i="3" s="1"/>
  <c r="G337" i="3"/>
  <c r="H337" i="3"/>
  <c r="N337" i="3" s="1"/>
  <c r="G874" i="3"/>
  <c r="H874" i="3"/>
  <c r="I874" i="3" s="1"/>
  <c r="J874" i="3" s="1"/>
  <c r="H659" i="3"/>
  <c r="I659" i="3" s="1"/>
  <c r="J659" i="3" s="1"/>
  <c r="H588" i="3"/>
  <c r="I588" i="3" s="1"/>
  <c r="J588" i="3" s="1"/>
  <c r="H470" i="3"/>
  <c r="I470" i="3" s="1"/>
  <c r="J470" i="3" s="1"/>
  <c r="H306" i="3"/>
  <c r="I306" i="3" s="1"/>
  <c r="J306" i="3" s="1"/>
  <c r="H1542" i="3"/>
  <c r="I1542" i="3" s="1"/>
  <c r="J1542" i="3" s="1"/>
  <c r="H1478" i="3"/>
  <c r="I1478" i="3" s="1"/>
  <c r="J1478" i="3" s="1"/>
  <c r="H1414" i="3"/>
  <c r="I1414" i="3" s="1"/>
  <c r="J1414" i="3" s="1"/>
  <c r="H1350" i="3"/>
  <c r="I1350" i="3" s="1"/>
  <c r="J1350" i="3" s="1"/>
  <c r="H1286" i="3"/>
  <c r="I1286" i="3" s="1"/>
  <c r="J1286" i="3" s="1"/>
  <c r="H1222" i="3"/>
  <c r="I1222" i="3" s="1"/>
  <c r="J1222" i="3" s="1"/>
  <c r="H1158" i="3"/>
  <c r="I1158" i="3" s="1"/>
  <c r="J1158" i="3" s="1"/>
  <c r="H1112" i="3"/>
  <c r="I1112" i="3" s="1"/>
  <c r="J1112" i="3" s="1"/>
  <c r="H1084" i="3"/>
  <c r="I1084" i="3" s="1"/>
  <c r="J1084" i="3" s="1"/>
  <c r="H912" i="3"/>
  <c r="I912" i="3" s="1"/>
  <c r="J912" i="3" s="1"/>
  <c r="H619" i="3"/>
  <c r="I619" i="3" s="1"/>
  <c r="J619" i="3" s="1"/>
  <c r="H578" i="3"/>
  <c r="I578" i="3" s="1"/>
  <c r="J578" i="3" s="1"/>
  <c r="G397" i="3"/>
  <c r="H397" i="3"/>
  <c r="I397" i="3" s="1"/>
  <c r="J397" i="3" s="1"/>
  <c r="H1551" i="3"/>
  <c r="I1551" i="3" s="1"/>
  <c r="J1551" i="3" s="1"/>
  <c r="H1487" i="3"/>
  <c r="I1487" i="3" s="1"/>
  <c r="J1487" i="3" s="1"/>
  <c r="H1423" i="3"/>
  <c r="I1423" i="3" s="1"/>
  <c r="J1423" i="3" s="1"/>
  <c r="H1359" i="3"/>
  <c r="I1359" i="3" s="1"/>
  <c r="J1359" i="3" s="1"/>
  <c r="H1295" i="3"/>
  <c r="I1295" i="3" s="1"/>
  <c r="J1295" i="3" s="1"/>
  <c r="H1231" i="3"/>
  <c r="I1231" i="3" s="1"/>
  <c r="J1231" i="3" s="1"/>
  <c r="H1167" i="3"/>
  <c r="I1167" i="3" s="1"/>
  <c r="J1167" i="3" s="1"/>
  <c r="H1027" i="3"/>
  <c r="I1027" i="3" s="1"/>
  <c r="J1027" i="3" s="1"/>
  <c r="H1008" i="3"/>
  <c r="I1008" i="3" s="1"/>
  <c r="J1008" i="3" s="1"/>
  <c r="H941" i="3"/>
  <c r="I941" i="3" s="1"/>
  <c r="J941" i="3" s="1"/>
  <c r="H893" i="3"/>
  <c r="I893" i="3" s="1"/>
  <c r="J893" i="3" s="1"/>
  <c r="H757" i="3"/>
  <c r="I757" i="3" s="1"/>
  <c r="J757" i="3" s="1"/>
  <c r="G727" i="3"/>
  <c r="H727" i="3"/>
  <c r="I727" i="3" s="1"/>
  <c r="J727" i="3" s="1"/>
  <c r="H698" i="3"/>
  <c r="I698" i="3" s="1"/>
  <c r="J698" i="3" s="1"/>
  <c r="H629" i="3"/>
  <c r="I629" i="3" s="1"/>
  <c r="J629" i="3" s="1"/>
  <c r="G608" i="3"/>
  <c r="H568" i="3"/>
  <c r="I568" i="3" s="1"/>
  <c r="J568" i="3" s="1"/>
  <c r="G442" i="3"/>
  <c r="H442" i="3"/>
  <c r="I442" i="3" s="1"/>
  <c r="J442" i="3" s="1"/>
  <c r="G883" i="3"/>
  <c r="H747" i="3"/>
  <c r="I747" i="3" s="1"/>
  <c r="J747" i="3" s="1"/>
  <c r="H717" i="3"/>
  <c r="I717" i="3" s="1"/>
  <c r="J717" i="3" s="1"/>
  <c r="H688" i="3"/>
  <c r="N688" i="3" s="1"/>
  <c r="H678" i="3"/>
  <c r="I678" i="3" s="1"/>
  <c r="J678" i="3" s="1"/>
  <c r="G639" i="3"/>
  <c r="H547" i="3"/>
  <c r="I547" i="3" s="1"/>
  <c r="J547" i="3" s="1"/>
  <c r="H525" i="3"/>
  <c r="I525" i="3" s="1"/>
  <c r="J525" i="3" s="1"/>
  <c r="H352" i="3"/>
  <c r="N352" i="3" s="1"/>
  <c r="G352" i="3"/>
  <c r="H658" i="3"/>
  <c r="I658" i="3" s="1"/>
  <c r="J658" i="3" s="1"/>
  <c r="G274" i="3"/>
  <c r="H274" i="3"/>
  <c r="I274" i="3" s="1"/>
  <c r="J274" i="3" s="1"/>
  <c r="H648" i="3"/>
  <c r="I648" i="3" s="1"/>
  <c r="J648" i="3" s="1"/>
  <c r="H597" i="3"/>
  <c r="I597" i="3" s="1"/>
  <c r="J597" i="3" s="1"/>
  <c r="G618" i="3"/>
  <c r="H618" i="3"/>
  <c r="I618" i="3" s="1"/>
  <c r="J618" i="3" s="1"/>
  <c r="H756" i="3"/>
  <c r="I756" i="3" s="1"/>
  <c r="J756" i="3" s="1"/>
  <c r="G746" i="3"/>
  <c r="H746" i="3"/>
  <c r="I746" i="3" s="1"/>
  <c r="J746" i="3" s="1"/>
  <c r="H697" i="3"/>
  <c r="I697" i="3" s="1"/>
  <c r="J697" i="3" s="1"/>
  <c r="H638" i="3"/>
  <c r="I638" i="3" s="1"/>
  <c r="J638" i="3" s="1"/>
  <c r="H628" i="3"/>
  <c r="I628" i="3" s="1"/>
  <c r="J628" i="3" s="1"/>
  <c r="H617" i="3"/>
  <c r="I617" i="3" s="1"/>
  <c r="J617" i="3" s="1"/>
  <c r="G535" i="3"/>
  <c r="H535" i="3"/>
  <c r="I535" i="3" s="1"/>
  <c r="J535" i="3" s="1"/>
  <c r="G426" i="3"/>
  <c r="H426" i="3"/>
  <c r="I426" i="3" s="1"/>
  <c r="J426" i="3" s="1"/>
  <c r="H716" i="3"/>
  <c r="I716" i="3" s="1"/>
  <c r="J716" i="3" s="1"/>
  <c r="H687" i="3"/>
  <c r="I687" i="3" s="1"/>
  <c r="J687" i="3" s="1"/>
  <c r="H677" i="3"/>
  <c r="I677" i="3" s="1"/>
  <c r="J677" i="3" s="1"/>
  <c r="H546" i="3"/>
  <c r="I546" i="3" s="1"/>
  <c r="J546" i="3" s="1"/>
  <c r="H524" i="3"/>
  <c r="I524" i="3" s="1"/>
  <c r="J524" i="3" s="1"/>
  <c r="G425" i="3"/>
  <c r="H647" i="3"/>
  <c r="I647" i="3" s="1"/>
  <c r="J647" i="3" s="1"/>
  <c r="H596" i="3"/>
  <c r="I596" i="3" s="1"/>
  <c r="J596" i="3" s="1"/>
  <c r="H871" i="3"/>
  <c r="I871" i="3" s="1"/>
  <c r="J871" i="3" s="1"/>
  <c r="H288" i="3"/>
  <c r="I288" i="3" s="1"/>
  <c r="J288" i="3" s="1"/>
  <c r="G288" i="3"/>
  <c r="H606" i="3"/>
  <c r="I606" i="3" s="1"/>
  <c r="J606" i="3" s="1"/>
  <c r="G466" i="3"/>
  <c r="H466" i="3"/>
  <c r="I466" i="3" s="1"/>
  <c r="J466" i="3" s="1"/>
  <c r="G333" i="3"/>
  <c r="H333" i="3"/>
  <c r="I333" i="3" s="1"/>
  <c r="J333" i="3" s="1"/>
  <c r="H696" i="3"/>
  <c r="I696" i="3" s="1"/>
  <c r="J696" i="3" s="1"/>
  <c r="G210" i="3"/>
  <c r="H210" i="3"/>
  <c r="I210" i="3" s="1"/>
  <c r="J210" i="3" s="1"/>
  <c r="H686" i="3"/>
  <c r="I686" i="3" s="1"/>
  <c r="J686" i="3" s="1"/>
  <c r="H676" i="3"/>
  <c r="I676" i="3" s="1"/>
  <c r="J676" i="3" s="1"/>
  <c r="H666" i="3"/>
  <c r="I666" i="3" s="1"/>
  <c r="J666" i="3" s="1"/>
  <c r="H996" i="3"/>
  <c r="I996" i="3" s="1"/>
  <c r="J996" i="3" s="1"/>
  <c r="H958" i="3"/>
  <c r="I958" i="3" s="1"/>
  <c r="J958" i="3" s="1"/>
  <c r="G919" i="3"/>
  <c r="H919" i="3"/>
  <c r="I919" i="3" s="1"/>
  <c r="J919" i="3" s="1"/>
  <c r="H754" i="3"/>
  <c r="I754" i="3" s="1"/>
  <c r="J754" i="3" s="1"/>
  <c r="H656" i="3"/>
  <c r="I656" i="3" s="1"/>
  <c r="J656" i="3" s="1"/>
  <c r="H626" i="3"/>
  <c r="I626" i="3" s="1"/>
  <c r="J626" i="3" s="1"/>
  <c r="H479" i="3"/>
  <c r="I479" i="3" s="1"/>
  <c r="J479" i="3" s="1"/>
  <c r="H605" i="3"/>
  <c r="I605" i="3" s="1"/>
  <c r="J605" i="3" s="1"/>
  <c r="G938" i="3"/>
  <c r="H938" i="3"/>
  <c r="I938" i="3" s="1"/>
  <c r="J938" i="3" s="1"/>
  <c r="G437" i="3"/>
  <c r="H437" i="3"/>
  <c r="I437" i="3" s="1"/>
  <c r="J437" i="3" s="1"/>
  <c r="H224" i="3"/>
  <c r="I224" i="3" s="1"/>
  <c r="J224" i="3" s="1"/>
  <c r="G224" i="3"/>
  <c r="G594" i="3"/>
  <c r="H594" i="3"/>
  <c r="I594" i="3" s="1"/>
  <c r="J594" i="3" s="1"/>
  <c r="H543" i="3"/>
  <c r="I543" i="3" s="1"/>
  <c r="J543" i="3" s="1"/>
  <c r="G362" i="3"/>
  <c r="H362" i="3"/>
  <c r="I362" i="3" s="1"/>
  <c r="J362" i="3" s="1"/>
  <c r="G269" i="3"/>
  <c r="H269" i="3"/>
  <c r="I269" i="3" s="1"/>
  <c r="J269" i="3" s="1"/>
  <c r="H1061" i="3"/>
  <c r="I1061" i="3" s="1"/>
  <c r="J1061" i="3" s="1"/>
  <c r="H1014" i="3"/>
  <c r="I1014" i="3" s="1"/>
  <c r="J1014" i="3" s="1"/>
  <c r="H927" i="3"/>
  <c r="I927" i="3" s="1"/>
  <c r="J927" i="3" s="1"/>
  <c r="H908" i="3"/>
  <c r="I908" i="3" s="1"/>
  <c r="J908" i="3" s="1"/>
  <c r="H889" i="3"/>
  <c r="I889" i="3" s="1"/>
  <c r="J889" i="3" s="1"/>
  <c r="H850" i="3"/>
  <c r="I850" i="3" s="1"/>
  <c r="J850" i="3" s="1"/>
  <c r="G554" i="3"/>
  <c r="H554" i="3"/>
  <c r="I554" i="3" s="1"/>
  <c r="J554" i="3" s="1"/>
  <c r="G490" i="3"/>
  <c r="H490" i="3"/>
  <c r="I490" i="3" s="1"/>
  <c r="J490" i="3" s="1"/>
  <c r="G146" i="3"/>
  <c r="H146" i="3"/>
  <c r="I146" i="3" s="1"/>
  <c r="J146" i="3" s="1"/>
  <c r="G96" i="3"/>
  <c r="G32" i="3"/>
  <c r="H141" i="3"/>
  <c r="I141" i="3" s="1"/>
  <c r="J141" i="3" s="1"/>
  <c r="H77" i="3"/>
  <c r="I77" i="3" s="1"/>
  <c r="J77" i="3" s="1"/>
  <c r="H13" i="3"/>
  <c r="I13" i="3" s="1"/>
  <c r="J13" i="3" s="1"/>
  <c r="H378" i="3"/>
  <c r="I378" i="3" s="1"/>
  <c r="J378" i="3" s="1"/>
  <c r="H314" i="3"/>
  <c r="I314" i="3" s="1"/>
  <c r="J314" i="3" s="1"/>
  <c r="H250" i="3"/>
  <c r="I250" i="3" s="1"/>
  <c r="J250" i="3" s="1"/>
  <c r="H186" i="3"/>
  <c r="I186" i="3" s="1"/>
  <c r="J186" i="3" s="1"/>
  <c r="H122" i="3"/>
  <c r="I122" i="3" s="1"/>
  <c r="J122" i="3" s="1"/>
  <c r="H58" i="3"/>
  <c r="I58" i="3" s="1"/>
  <c r="J58" i="3" s="1"/>
  <c r="H396" i="3"/>
  <c r="I396" i="3" s="1"/>
  <c r="J396" i="3" s="1"/>
  <c r="H332" i="3"/>
  <c r="I332" i="3" s="1"/>
  <c r="J332" i="3" s="1"/>
  <c r="H268" i="3"/>
  <c r="I268" i="3" s="1"/>
  <c r="J268" i="3" s="1"/>
  <c r="H12" i="3"/>
  <c r="I12" i="3" s="1"/>
  <c r="J12" i="3" s="1"/>
  <c r="H85" i="3"/>
  <c r="I85" i="3" s="1"/>
  <c r="J85" i="3" s="1"/>
  <c r="H21" i="3"/>
  <c r="I21" i="3" s="1"/>
  <c r="J21" i="3" s="1"/>
  <c r="H350" i="3"/>
  <c r="I350" i="3" s="1"/>
  <c r="J350" i="3" s="1"/>
  <c r="H286" i="3"/>
  <c r="I286" i="3" s="1"/>
  <c r="J286" i="3" s="1"/>
  <c r="H222" i="3"/>
  <c r="I222" i="3" s="1"/>
  <c r="J222" i="3" s="1"/>
  <c r="H158" i="3"/>
  <c r="I158" i="3" s="1"/>
  <c r="J158" i="3" s="1"/>
  <c r="H94" i="3"/>
  <c r="I94" i="3" s="1"/>
  <c r="J94" i="3" s="1"/>
  <c r="H30" i="3"/>
  <c r="I30" i="3" s="1"/>
  <c r="J30" i="3" s="1"/>
  <c r="H258" i="3"/>
  <c r="I258" i="3" s="1"/>
  <c r="J258" i="3" s="1"/>
  <c r="H194" i="3"/>
  <c r="I194" i="3" s="1"/>
  <c r="J194" i="3" s="1"/>
  <c r="H130" i="3"/>
  <c r="I130" i="3" s="1"/>
  <c r="J130" i="3" s="1"/>
  <c r="H11" i="3"/>
  <c r="N11" i="3" s="1"/>
  <c r="H468" i="3"/>
  <c r="I468" i="3" s="1"/>
  <c r="J468" i="3" s="1"/>
  <c r="H20" i="3"/>
  <c r="I20" i="3" s="1"/>
  <c r="J20" i="3" s="1"/>
  <c r="H413" i="3"/>
  <c r="I413" i="3" s="1"/>
  <c r="J413" i="3" s="1"/>
  <c r="H349" i="3"/>
  <c r="I349" i="3" s="1"/>
  <c r="J349" i="3" s="1"/>
  <c r="H285" i="3"/>
  <c r="I285" i="3" s="1"/>
  <c r="J285" i="3" s="1"/>
  <c r="H221" i="3"/>
  <c r="I221" i="3" s="1"/>
  <c r="J221" i="3" s="1"/>
  <c r="H157" i="3"/>
  <c r="I157" i="3" s="1"/>
  <c r="J157" i="3" s="1"/>
  <c r="H93" i="3"/>
  <c r="I93" i="3" s="1"/>
  <c r="J93" i="3" s="1"/>
  <c r="H29" i="3"/>
  <c r="I29" i="3" s="1"/>
  <c r="J29" i="3" s="1"/>
  <c r="H440" i="3"/>
  <c r="I440" i="3" s="1"/>
  <c r="J440" i="3" s="1"/>
  <c r="H376" i="3"/>
  <c r="I376" i="3" s="1"/>
  <c r="J376" i="3" s="1"/>
  <c r="H312" i="3"/>
  <c r="I312" i="3" s="1"/>
  <c r="J312" i="3" s="1"/>
  <c r="H248" i="3"/>
  <c r="I248" i="3" s="1"/>
  <c r="J248" i="3" s="1"/>
  <c r="H467" i="3"/>
  <c r="I467" i="3" s="1"/>
  <c r="J467" i="3" s="1"/>
  <c r="H19" i="3"/>
  <c r="I19" i="3" s="1"/>
  <c r="J19" i="3" s="1"/>
  <c r="H476" i="3"/>
  <c r="I476" i="3" s="1"/>
  <c r="J476" i="3" s="1"/>
  <c r="H348" i="3"/>
  <c r="I348" i="3" s="1"/>
  <c r="J348" i="3" s="1"/>
  <c r="H284" i="3"/>
  <c r="I284" i="3" s="1"/>
  <c r="J284" i="3" s="1"/>
  <c r="H220" i="3"/>
  <c r="I220" i="3" s="1"/>
  <c r="J220" i="3" s="1"/>
  <c r="H156" i="3"/>
  <c r="I156" i="3" s="1"/>
  <c r="J156" i="3" s="1"/>
  <c r="H92" i="3"/>
  <c r="I92" i="3" s="1"/>
  <c r="J92" i="3" s="1"/>
  <c r="H421" i="3"/>
  <c r="I421" i="3" s="1"/>
  <c r="J421" i="3" s="1"/>
  <c r="H357" i="3"/>
  <c r="I357" i="3" s="1"/>
  <c r="J357" i="3" s="1"/>
  <c r="H293" i="3"/>
  <c r="I293" i="3" s="1"/>
  <c r="J293" i="3" s="1"/>
  <c r="H229" i="3"/>
  <c r="I229" i="3" s="1"/>
  <c r="J229" i="3" s="1"/>
  <c r="H165" i="3"/>
  <c r="I165" i="3" s="1"/>
  <c r="J165" i="3" s="1"/>
  <c r="H101" i="3"/>
  <c r="I101" i="3" s="1"/>
  <c r="J101" i="3" s="1"/>
  <c r="H9" i="3"/>
  <c r="I9" i="3" s="1"/>
  <c r="J9" i="3" s="1"/>
  <c r="H447" i="3"/>
  <c r="I447" i="3" s="1"/>
  <c r="J447" i="3" s="1"/>
  <c r="H383" i="3"/>
  <c r="I383" i="3" s="1"/>
  <c r="J383" i="3" s="1"/>
  <c r="H319" i="3"/>
  <c r="I319" i="3" s="1"/>
  <c r="J319" i="3" s="1"/>
  <c r="H255" i="3"/>
  <c r="I255" i="3" s="1"/>
  <c r="J255" i="3" s="1"/>
  <c r="H191" i="3"/>
  <c r="I191" i="3" s="1"/>
  <c r="J191" i="3" s="1"/>
  <c r="H127" i="3"/>
  <c r="I127" i="3" s="1"/>
  <c r="J127" i="3" s="1"/>
  <c r="H63" i="3"/>
  <c r="I63" i="3" s="1"/>
  <c r="J63" i="3" s="1"/>
  <c r="H200" i="3"/>
  <c r="I200" i="3" s="1"/>
  <c r="J200" i="3" s="1"/>
  <c r="H136" i="3"/>
  <c r="I136" i="3" s="1"/>
  <c r="J136" i="3" s="1"/>
  <c r="H72" i="3"/>
  <c r="I72" i="3" s="1"/>
  <c r="J72" i="3" s="1"/>
  <c r="H8" i="3"/>
  <c r="I8" i="3" s="1"/>
  <c r="J8" i="3" s="1"/>
  <c r="H273" i="3"/>
  <c r="I273" i="3" s="1"/>
  <c r="J273" i="3" s="1"/>
  <c r="H209" i="3"/>
  <c r="I209" i="3" s="1"/>
  <c r="J209" i="3" s="1"/>
  <c r="H145" i="3"/>
  <c r="I145" i="3" s="1"/>
  <c r="J145" i="3" s="1"/>
  <c r="H81" i="3"/>
  <c r="I81" i="3" s="1"/>
  <c r="J81" i="3" s="1"/>
  <c r="H17" i="3"/>
  <c r="I17" i="3" s="1"/>
  <c r="J17" i="3" s="1"/>
  <c r="H309" i="3"/>
  <c r="N309" i="3" s="1"/>
  <c r="H245" i="3"/>
  <c r="I245" i="3" s="1"/>
  <c r="J245" i="3" s="1"/>
  <c r="H181" i="3"/>
  <c r="I181" i="3" s="1"/>
  <c r="J181" i="3" s="1"/>
  <c r="H117" i="3"/>
  <c r="I117" i="3" s="1"/>
  <c r="J117" i="3" s="1"/>
  <c r="H53" i="3"/>
  <c r="I53" i="3" s="1"/>
  <c r="J53" i="3" s="1"/>
  <c r="H62" i="3"/>
  <c r="I62" i="3" s="1"/>
  <c r="J62" i="3" s="1"/>
  <c r="H427" i="3"/>
  <c r="I427" i="3" s="1"/>
  <c r="J427" i="3" s="1"/>
  <c r="H363" i="3"/>
  <c r="I363" i="3" s="1"/>
  <c r="J363" i="3" s="1"/>
  <c r="H299" i="3"/>
  <c r="I299" i="3" s="1"/>
  <c r="J299" i="3" s="1"/>
  <c r="H235" i="3"/>
  <c r="I235" i="3" s="1"/>
  <c r="J235" i="3" s="1"/>
  <c r="H171" i="3"/>
  <c r="I171" i="3" s="1"/>
  <c r="J171" i="3" s="1"/>
  <c r="H116" i="3"/>
  <c r="I116" i="3" s="1"/>
  <c r="J116" i="3" s="1"/>
  <c r="H189" i="3"/>
  <c r="I189" i="3" s="1"/>
  <c r="J189" i="3" s="1"/>
  <c r="H6" i="3"/>
  <c r="I6" i="3" s="1"/>
  <c r="J6" i="3" s="1"/>
  <c r="H170" i="3"/>
  <c r="I170" i="3" s="1"/>
  <c r="J170" i="3" s="1"/>
  <c r="H106" i="3"/>
  <c r="I106" i="3" s="1"/>
  <c r="J106" i="3" s="1"/>
  <c r="H42" i="3"/>
  <c r="I42" i="3" s="1"/>
  <c r="J42" i="3" s="1"/>
  <c r="H133" i="3"/>
  <c r="I133" i="3" s="1"/>
  <c r="J133" i="3" s="1"/>
  <c r="H69" i="3"/>
  <c r="I69" i="3" s="1"/>
  <c r="J69" i="3" s="1"/>
  <c r="H5" i="3"/>
  <c r="I5" i="3" s="1"/>
  <c r="J5" i="3" s="1"/>
  <c r="H462" i="3"/>
  <c r="I462" i="3" s="1"/>
  <c r="J462" i="3" s="1"/>
  <c r="H14" i="3"/>
  <c r="I14" i="3" s="1"/>
  <c r="J14" i="3" s="1"/>
  <c r="H407" i="3"/>
  <c r="I407" i="3" s="1"/>
  <c r="J407" i="3" s="1"/>
  <c r="H343" i="3"/>
  <c r="I343" i="3" s="1"/>
  <c r="J343" i="3" s="1"/>
  <c r="H279" i="3"/>
  <c r="I279" i="3" s="1"/>
  <c r="J279" i="3" s="1"/>
  <c r="H215" i="3"/>
  <c r="I215" i="3" s="1"/>
  <c r="J215" i="3" s="1"/>
  <c r="H151" i="3"/>
  <c r="I151" i="3" s="1"/>
  <c r="J151" i="3" s="1"/>
  <c r="H87" i="3"/>
  <c r="I87" i="3" s="1"/>
  <c r="J87" i="3" s="1"/>
  <c r="H23" i="3"/>
  <c r="I23" i="3" s="1"/>
  <c r="J23" i="3" s="1"/>
  <c r="L349" i="5" l="1"/>
  <c r="L360" i="5"/>
  <c r="L700" i="5"/>
  <c r="L348" i="5"/>
  <c r="L379" i="5"/>
  <c r="L684" i="5"/>
  <c r="L1602" i="5"/>
  <c r="L1573" i="5"/>
  <c r="L334" i="5"/>
  <c r="L697" i="5"/>
  <c r="L338" i="5"/>
  <c r="L346" i="5"/>
  <c r="L351" i="5"/>
  <c r="L376" i="5"/>
  <c r="L305" i="5"/>
  <c r="L347" i="5"/>
  <c r="L291" i="5"/>
  <c r="L1601" i="5"/>
  <c r="L1575" i="5"/>
  <c r="L1600" i="5"/>
  <c r="L362" i="5"/>
  <c r="L698" i="5"/>
</calcChain>
</file>

<file path=xl/sharedStrings.xml><?xml version="1.0" encoding="utf-8"?>
<sst xmlns="http://schemas.openxmlformats.org/spreadsheetml/2006/main" count="3749" uniqueCount="3227">
  <si>
    <t>n</t>
  </si>
  <si>
    <t>z</t>
  </si>
  <si>
    <t>halflife/s</t>
    <phoneticPr fontId="2" type="noConversion"/>
  </si>
  <si>
    <t>STABLE</t>
  </si>
  <si>
    <t>H2</t>
  </si>
  <si>
    <t>H3</t>
  </si>
  <si>
    <t>H5</t>
  </si>
  <si>
    <t>H6</t>
  </si>
  <si>
    <t>He3</t>
  </si>
  <si>
    <t>He4</t>
  </si>
  <si>
    <t>He5</t>
  </si>
  <si>
    <t>He6</t>
  </si>
  <si>
    <t>He7</t>
  </si>
  <si>
    <t>He8</t>
  </si>
  <si>
    <t>He10</t>
  </si>
  <si>
    <t>Li4</t>
  </si>
  <si>
    <t>Li5</t>
  </si>
  <si>
    <t>Li6</t>
  </si>
  <si>
    <t>Li7</t>
  </si>
  <si>
    <t>Li8</t>
  </si>
  <si>
    <t>Li9</t>
  </si>
  <si>
    <t>Li11</t>
  </si>
  <si>
    <t>Be6</t>
  </si>
  <si>
    <t>Be7</t>
  </si>
  <si>
    <t>Be8</t>
  </si>
  <si>
    <t>Be9</t>
  </si>
  <si>
    <t>Be10</t>
  </si>
  <si>
    <t>Be11</t>
  </si>
  <si>
    <t>Be12</t>
  </si>
  <si>
    <t>Be13</t>
  </si>
  <si>
    <t>Be14</t>
  </si>
  <si>
    <t>Be15</t>
  </si>
  <si>
    <t>Be16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</si>
  <si>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</si>
  <si>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</si>
  <si>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</si>
  <si>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</si>
  <si>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</si>
  <si>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</si>
  <si>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</si>
  <si>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</si>
  <si>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</si>
  <si>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B17</t>
  </si>
  <si>
    <t>B19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</si>
  <si>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</si>
  <si>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</si>
  <si>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</si>
  <si>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</si>
  <si>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</si>
  <si>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</si>
  <si>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</si>
  <si>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</si>
  <si>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</si>
  <si>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</si>
  <si>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</si>
  <si>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</si>
  <si>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</si>
  <si>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C22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</si>
  <si>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</si>
  <si>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</si>
  <si>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</si>
  <si>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</si>
  <si>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</si>
  <si>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</si>
  <si>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</si>
  <si>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</si>
  <si>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</si>
  <si>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</si>
  <si>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</si>
  <si>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</si>
  <si>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</si>
  <si>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</si>
  <si>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</si>
  <si>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</si>
  <si>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</si>
  <si>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</si>
  <si>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</si>
  <si>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</si>
  <si>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</si>
  <si>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</si>
  <si>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</si>
  <si>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</si>
  <si>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</si>
  <si>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</si>
  <si>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</si>
  <si>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</si>
  <si>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</si>
  <si>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</si>
  <si>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</si>
  <si>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</si>
  <si>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</si>
  <si>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</si>
  <si>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</si>
  <si>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</si>
  <si>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</si>
  <si>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</si>
  <si>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</si>
  <si>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</si>
  <si>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</si>
  <si>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</si>
  <si>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</si>
  <si>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</si>
  <si>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Ne16</t>
  </si>
  <si>
    <t>Ne17</t>
  </si>
  <si>
    <t>Ne18</t>
  </si>
  <si>
    <t>Ne19</t>
  </si>
  <si>
    <t>Ne20</t>
  </si>
  <si>
    <t>Ne21</t>
  </si>
  <si>
    <t>Ne22</t>
  </si>
  <si>
    <t>Ne23</t>
  </si>
  <si>
    <t>Ne24</t>
  </si>
  <si>
    <t>Ne25</t>
  </si>
  <si>
    <t>Ne26</t>
  </si>
  <si>
    <t>Ne27</t>
  </si>
  <si>
    <t>Ne28</t>
  </si>
  <si>
    <t>Ne29</t>
  </si>
  <si>
    <t>Ne30</t>
  </si>
  <si>
    <t>Ne31</t>
  </si>
  <si>
    <t>Ne32</t>
  </si>
  <si>
    <t>Ne34</t>
  </si>
  <si>
    <t>Na18</t>
  </si>
  <si>
    <t>Na20</t>
  </si>
  <si>
    <t>Na21</t>
  </si>
  <si>
    <t>Na22</t>
  </si>
  <si>
    <t>Na23</t>
  </si>
  <si>
    <t>Na24</t>
  </si>
  <si>
    <t>Na25</t>
  </si>
  <si>
    <t>Na26</t>
  </si>
  <si>
    <t>Na27</t>
  </si>
  <si>
    <t>Na28</t>
  </si>
  <si>
    <t>Na29</t>
  </si>
  <si>
    <t>Na30</t>
  </si>
  <si>
    <t>Na31</t>
  </si>
  <si>
    <t>Na32</t>
  </si>
  <si>
    <t>Na33</t>
  </si>
  <si>
    <t>Na34</t>
  </si>
  <si>
    <t>Na35</t>
  </si>
  <si>
    <t>Mg19</t>
  </si>
  <si>
    <t>Mg20</t>
  </si>
  <si>
    <t>Mg21</t>
  </si>
  <si>
    <t>Mg22</t>
  </si>
  <si>
    <t>Mg23</t>
  </si>
  <si>
    <t>Mg24</t>
  </si>
  <si>
    <t>Mg25</t>
  </si>
  <si>
    <t>Mg26</t>
  </si>
  <si>
    <t>Mg27</t>
  </si>
  <si>
    <t>Mg28</t>
  </si>
  <si>
    <t>Mg29</t>
  </si>
  <si>
    <t>Mg30</t>
  </si>
  <si>
    <t>Mg31</t>
  </si>
  <si>
    <t>Mg32</t>
  </si>
  <si>
    <t>Mg33</t>
  </si>
  <si>
    <t>Mg34</t>
  </si>
  <si>
    <t>Mg35</t>
  </si>
  <si>
    <t>Mg36</t>
  </si>
  <si>
    <t>Mg37</t>
  </si>
  <si>
    <t>Al22</t>
  </si>
  <si>
    <t>Al23</t>
  </si>
  <si>
    <t>Al24</t>
  </si>
  <si>
    <t>Al25</t>
  </si>
  <si>
    <t>Al26</t>
  </si>
  <si>
    <t>Al27</t>
  </si>
  <si>
    <t>Al28</t>
  </si>
  <si>
    <t>Al29</t>
  </si>
  <si>
    <t>Al30</t>
  </si>
  <si>
    <t>Al31</t>
  </si>
  <si>
    <t>Al32</t>
  </si>
  <si>
    <t>Al33</t>
  </si>
  <si>
    <t>Al34</t>
  </si>
  <si>
    <t>Al35</t>
  </si>
  <si>
    <t>Al36</t>
  </si>
  <si>
    <t>Al37</t>
  </si>
  <si>
    <t>Al38</t>
  </si>
  <si>
    <t>Al39</t>
  </si>
  <si>
    <t>Si22</t>
  </si>
  <si>
    <t>Si23</t>
  </si>
  <si>
    <t>Si24</t>
  </si>
  <si>
    <t>Si25</t>
  </si>
  <si>
    <t>Si26</t>
  </si>
  <si>
    <t>Si27</t>
  </si>
  <si>
    <t>Si28</t>
  </si>
  <si>
    <t>Si29</t>
  </si>
  <si>
    <t>Si30</t>
  </si>
  <si>
    <t>Si31</t>
  </si>
  <si>
    <t>Si32</t>
  </si>
  <si>
    <t>Si33</t>
  </si>
  <si>
    <t>Si34</t>
  </si>
  <si>
    <t>Si35</t>
  </si>
  <si>
    <t>Si36</t>
  </si>
  <si>
    <t>Si37</t>
  </si>
  <si>
    <t>Si38</t>
  </si>
  <si>
    <t>Si39</t>
  </si>
  <si>
    <t>Si40</t>
  </si>
  <si>
    <t>Si41</t>
  </si>
  <si>
    <t>Si42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</si>
  <si>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</si>
  <si>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</si>
  <si>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</si>
  <si>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</si>
  <si>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</si>
  <si>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</si>
  <si>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</si>
  <si>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</si>
  <si>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</si>
  <si>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</si>
  <si>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</si>
  <si>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</si>
  <si>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</si>
  <si>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</si>
  <si>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</si>
  <si>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</si>
  <si>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</si>
  <si>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</si>
  <si>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</si>
  <si>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</si>
  <si>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</si>
  <si>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</si>
  <si>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</si>
  <si>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</si>
  <si>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</si>
  <si>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</si>
  <si>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</si>
  <si>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</si>
  <si>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</si>
  <si>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</si>
  <si>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</si>
  <si>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</si>
  <si>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</si>
  <si>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</si>
  <si>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</si>
  <si>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</si>
  <si>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</si>
  <si>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</si>
  <si>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</si>
  <si>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</si>
  <si>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</si>
  <si>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S48</t>
  </si>
  <si>
    <t>Cl31</t>
  </si>
  <si>
    <t>Cl32</t>
  </si>
  <si>
    <t>Cl33</t>
  </si>
  <si>
    <t>Cl34</t>
  </si>
  <si>
    <t>Cl35</t>
  </si>
  <si>
    <t>Cl36</t>
  </si>
  <si>
    <t>Cl37</t>
  </si>
  <si>
    <t>Cl38</t>
  </si>
  <si>
    <t>Cl39</t>
  </si>
  <si>
    <t>Cl40</t>
  </si>
  <si>
    <t>Cl41</t>
  </si>
  <si>
    <t>Cl42</t>
  </si>
  <si>
    <t>Cl43</t>
  </si>
  <si>
    <t>Cl44</t>
  </si>
  <si>
    <t>Cl45</t>
  </si>
  <si>
    <t>Cl46</t>
  </si>
  <si>
    <t>Cl47</t>
  </si>
  <si>
    <t>Cl48</t>
  </si>
  <si>
    <t>Cl49</t>
  </si>
  <si>
    <t>Cl50</t>
  </si>
  <si>
    <t>Cl51</t>
  </si>
  <si>
    <t>Ar31</t>
  </si>
  <si>
    <t>Ar32</t>
  </si>
  <si>
    <t>Ar33</t>
  </si>
  <si>
    <t>Ar34</t>
  </si>
  <si>
    <t>Ar35</t>
  </si>
  <si>
    <t>Ar36</t>
  </si>
  <si>
    <t>Ar37</t>
  </si>
  <si>
    <t>Ar38</t>
  </si>
  <si>
    <t>Ar39</t>
  </si>
  <si>
    <t>Ar40</t>
  </si>
  <si>
    <t>Ar41</t>
  </si>
  <si>
    <t>Ar42</t>
  </si>
  <si>
    <t>Ar43</t>
  </si>
  <si>
    <t>Ar44</t>
  </si>
  <si>
    <t>Ar45</t>
  </si>
  <si>
    <t>Ar46</t>
  </si>
  <si>
    <t>Ar47</t>
  </si>
  <si>
    <t>Ar48</t>
  </si>
  <si>
    <t>Ar49</t>
  </si>
  <si>
    <t>Ar50</t>
  </si>
  <si>
    <t>Ar51</t>
  </si>
  <si>
    <t>Ar52</t>
  </si>
  <si>
    <t>Ar53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</si>
  <si>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</si>
  <si>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</si>
  <si>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</si>
  <si>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</si>
  <si>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</si>
  <si>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</si>
  <si>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</si>
  <si>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</si>
  <si>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</si>
  <si>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</si>
  <si>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</si>
  <si>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</si>
  <si>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</si>
  <si>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</si>
  <si>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</si>
  <si>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</si>
  <si>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</si>
  <si>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</si>
  <si>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</si>
  <si>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</si>
  <si>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</si>
  <si>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K56</t>
  </si>
  <si>
    <t>Ca35</t>
  </si>
  <si>
    <t>Ca36</t>
  </si>
  <si>
    <t>Ca37</t>
  </si>
  <si>
    <t>Ca38</t>
  </si>
  <si>
    <t>Ca39</t>
  </si>
  <si>
    <t>Ca40</t>
  </si>
  <si>
    <t>Ca41</t>
  </si>
  <si>
    <t>Ca42</t>
  </si>
  <si>
    <t>Ca43</t>
  </si>
  <si>
    <t>Ca44</t>
  </si>
  <si>
    <t>Ca45</t>
  </si>
  <si>
    <t>Ca46</t>
  </si>
  <si>
    <t>Ca47</t>
  </si>
  <si>
    <t>Ca48</t>
  </si>
  <si>
    <t>Ca49</t>
  </si>
  <si>
    <t>Ca50</t>
  </si>
  <si>
    <t>Ca51</t>
  </si>
  <si>
    <t>Ca52</t>
  </si>
  <si>
    <t>Ca53</t>
  </si>
  <si>
    <t>Ca54</t>
  </si>
  <si>
    <t>Ca55</t>
  </si>
  <si>
    <t>Ca56</t>
  </si>
  <si>
    <t>Ca57</t>
  </si>
  <si>
    <t>Ca58</t>
  </si>
  <si>
    <t>Sc40</t>
  </si>
  <si>
    <t>Sc41</t>
  </si>
  <si>
    <t>Sc42</t>
  </si>
  <si>
    <t>Sc43</t>
  </si>
  <si>
    <t>Sc44</t>
  </si>
  <si>
    <t>Sc45</t>
  </si>
  <si>
    <t>Sc46</t>
  </si>
  <si>
    <t>Sc47</t>
  </si>
  <si>
    <t>Sc48</t>
  </si>
  <si>
    <t>Sc49</t>
  </si>
  <si>
    <t>Sc50</t>
  </si>
  <si>
    <t>Sc51</t>
  </si>
  <si>
    <t>Sc52</t>
  </si>
  <si>
    <t>Sc53</t>
  </si>
  <si>
    <t>Sc54</t>
  </si>
  <si>
    <t>Sc55</t>
  </si>
  <si>
    <t>Sc56</t>
  </si>
  <si>
    <t>Sc57</t>
  </si>
  <si>
    <t>Sc58</t>
  </si>
  <si>
    <t>Sc59</t>
  </si>
  <si>
    <t>Sc60</t>
  </si>
  <si>
    <t>Sc61</t>
  </si>
  <si>
    <t>Ti39</t>
  </si>
  <si>
    <t>Ti40</t>
  </si>
  <si>
    <t>Ti41</t>
  </si>
  <si>
    <t>Ti42</t>
  </si>
  <si>
    <t>Ti43</t>
  </si>
  <si>
    <t>Ti44</t>
  </si>
  <si>
    <t>Ti45</t>
  </si>
  <si>
    <t>Ti46</t>
  </si>
  <si>
    <t>Ti47</t>
  </si>
  <si>
    <t>Ti48</t>
  </si>
  <si>
    <t>Ti49</t>
  </si>
  <si>
    <t>Ti50</t>
  </si>
  <si>
    <t>Ti51</t>
  </si>
  <si>
    <t>Ti52</t>
  </si>
  <si>
    <t>Ti53</t>
  </si>
  <si>
    <t>Ti54</t>
  </si>
  <si>
    <t>Ti55</t>
  </si>
  <si>
    <t>Ti56</t>
  </si>
  <si>
    <t>Ti57</t>
  </si>
  <si>
    <t>Ti58</t>
  </si>
  <si>
    <t>Ti59</t>
  </si>
  <si>
    <t>Ti60</t>
  </si>
  <si>
    <t>Ti61</t>
  </si>
  <si>
    <t>Ti62</t>
  </si>
  <si>
    <t>Ti63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</si>
  <si>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</si>
  <si>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</si>
  <si>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</si>
  <si>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</si>
  <si>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</si>
  <si>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</si>
  <si>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</si>
  <si>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</si>
  <si>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</si>
  <si>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</si>
  <si>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</si>
  <si>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</si>
  <si>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</si>
  <si>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</si>
  <si>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</si>
  <si>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</si>
  <si>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</si>
  <si>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</si>
  <si>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</si>
  <si>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</si>
  <si>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</si>
  <si>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</si>
  <si>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</si>
  <si>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</si>
  <si>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Cr42</t>
  </si>
  <si>
    <t>Cr43</t>
  </si>
  <si>
    <t>Cr44</t>
  </si>
  <si>
    <t>Cr45</t>
  </si>
  <si>
    <t>Cr46</t>
  </si>
  <si>
    <t>Cr47</t>
  </si>
  <si>
    <t>Cr48</t>
  </si>
  <si>
    <t>Cr49</t>
  </si>
  <si>
    <t>Cr50</t>
  </si>
  <si>
    <t>Cr51</t>
  </si>
  <si>
    <t>Cr52</t>
  </si>
  <si>
    <t>Cr53</t>
  </si>
  <si>
    <t>Cr54</t>
  </si>
  <si>
    <t>Cr55</t>
  </si>
  <si>
    <t>Cr56</t>
  </si>
  <si>
    <t>Cr57</t>
  </si>
  <si>
    <t>Cr58</t>
  </si>
  <si>
    <t>Cr59</t>
  </si>
  <si>
    <t>Cr60</t>
  </si>
  <si>
    <t>Cr61</t>
  </si>
  <si>
    <t>Cr62</t>
  </si>
  <si>
    <t>Cr63</t>
  </si>
  <si>
    <t>Cr64</t>
  </si>
  <si>
    <t>Cr65</t>
  </si>
  <si>
    <t>Cr66</t>
  </si>
  <si>
    <t>Cr68</t>
  </si>
  <si>
    <t>Mn46</t>
  </si>
  <si>
    <t>Mn47</t>
  </si>
  <si>
    <t>Mn48</t>
  </si>
  <si>
    <t>Mn49</t>
  </si>
  <si>
    <t>Mn50</t>
  </si>
  <si>
    <t>Mn51</t>
  </si>
  <si>
    <t>Mn52</t>
  </si>
  <si>
    <t>Mn53</t>
  </si>
  <si>
    <t>Mn54</t>
  </si>
  <si>
    <t>Mn55</t>
  </si>
  <si>
    <t>Mn56</t>
  </si>
  <si>
    <t>Mn57</t>
  </si>
  <si>
    <t>Mn58</t>
  </si>
  <si>
    <t>Mn59</t>
  </si>
  <si>
    <t>Mn60</t>
  </si>
  <si>
    <t>Mn61</t>
  </si>
  <si>
    <t>Mn62</t>
  </si>
  <si>
    <t>Mn63</t>
  </si>
  <si>
    <t>Mn64</t>
  </si>
  <si>
    <t>Mn65</t>
  </si>
  <si>
    <t>Mn66</t>
  </si>
  <si>
    <t>Mn67</t>
  </si>
  <si>
    <t>Mn68</t>
  </si>
  <si>
    <t>Mn69</t>
  </si>
  <si>
    <t>Mn70</t>
  </si>
  <si>
    <t>Mn71</t>
  </si>
  <si>
    <t>Fe45</t>
  </si>
  <si>
    <t>Fe46</t>
  </si>
  <si>
    <t>Fe47</t>
  </si>
  <si>
    <t>Fe48</t>
  </si>
  <si>
    <t>Fe49</t>
  </si>
  <si>
    <t>Fe50</t>
  </si>
  <si>
    <t>Fe51</t>
  </si>
  <si>
    <t>Fe52</t>
  </si>
  <si>
    <t>Fe53</t>
  </si>
  <si>
    <t>Fe54</t>
  </si>
  <si>
    <t>Fe55</t>
  </si>
  <si>
    <t>Fe56</t>
  </si>
  <si>
    <t>Fe57</t>
  </si>
  <si>
    <t>Fe58</t>
  </si>
  <si>
    <t>Fe59</t>
  </si>
  <si>
    <t>Fe60</t>
  </si>
  <si>
    <t>Fe61</t>
  </si>
  <si>
    <t>Fe62</t>
  </si>
  <si>
    <t>Fe63</t>
  </si>
  <si>
    <t>Fe64</t>
  </si>
  <si>
    <t>Fe65</t>
  </si>
  <si>
    <t>Fe66</t>
  </si>
  <si>
    <t>Fe67</t>
  </si>
  <si>
    <t>Fe68</t>
  </si>
  <si>
    <t>Fe69</t>
  </si>
  <si>
    <t>Fe70</t>
  </si>
  <si>
    <t>Fe71</t>
  </si>
  <si>
    <t>Fe72</t>
  </si>
  <si>
    <t>Fe73</t>
  </si>
  <si>
    <t>Fe74</t>
  </si>
  <si>
    <t>Co50</t>
  </si>
  <si>
    <t>Co51</t>
  </si>
  <si>
    <t>Co52</t>
  </si>
  <si>
    <t>Co53</t>
  </si>
  <si>
    <t>Co54</t>
  </si>
  <si>
    <t>Co55</t>
  </si>
  <si>
    <t>Co56</t>
  </si>
  <si>
    <t>Co57</t>
  </si>
  <si>
    <t>Co58</t>
  </si>
  <si>
    <t>Co59</t>
  </si>
  <si>
    <t>Co60</t>
  </si>
  <si>
    <t>Co61</t>
  </si>
  <si>
    <t>Co62</t>
  </si>
  <si>
    <t>Co63</t>
  </si>
  <si>
    <t>Co64</t>
  </si>
  <si>
    <t>Co65</t>
  </si>
  <si>
    <t>Co66</t>
  </si>
  <si>
    <t>Co67</t>
  </si>
  <si>
    <t>Co68</t>
  </si>
  <si>
    <t>Co69</t>
  </si>
  <si>
    <t>Co70</t>
  </si>
  <si>
    <t>Co71</t>
  </si>
  <si>
    <t>Co72</t>
  </si>
  <si>
    <t>Co73</t>
  </si>
  <si>
    <t>Co74</t>
  </si>
  <si>
    <t>Co75</t>
  </si>
  <si>
    <t>Co76</t>
  </si>
  <si>
    <t>Co77</t>
  </si>
  <si>
    <t>Ni48</t>
  </si>
  <si>
    <t>Ni49</t>
  </si>
  <si>
    <t>Ni50</t>
  </si>
  <si>
    <t>Ni51</t>
  </si>
  <si>
    <t>Ni52</t>
  </si>
  <si>
    <t>Ni53</t>
  </si>
  <si>
    <t>Ni54</t>
  </si>
  <si>
    <t>Ni55</t>
  </si>
  <si>
    <t>Ni56</t>
  </si>
  <si>
    <t>Ni57</t>
  </si>
  <si>
    <t>Ni58</t>
  </si>
  <si>
    <t>Ni59</t>
  </si>
  <si>
    <t>Ni60</t>
  </si>
  <si>
    <t>Ni61</t>
  </si>
  <si>
    <t>Ni62</t>
  </si>
  <si>
    <t>Ni63</t>
  </si>
  <si>
    <t>Ni64</t>
  </si>
  <si>
    <t>Ni65</t>
  </si>
  <si>
    <t>Ni66</t>
  </si>
  <si>
    <t>Ni67</t>
  </si>
  <si>
    <t>Ni68</t>
  </si>
  <si>
    <t>Ni69</t>
  </si>
  <si>
    <t>Ni70</t>
  </si>
  <si>
    <t>Ni71</t>
  </si>
  <si>
    <t>Ni72</t>
  </si>
  <si>
    <t>Ni73</t>
  </si>
  <si>
    <t>Ni74</t>
  </si>
  <si>
    <t>Ni75</t>
  </si>
  <si>
    <t>Ni76</t>
  </si>
  <si>
    <t>Ni77</t>
  </si>
  <si>
    <t>Ni78</t>
  </si>
  <si>
    <t>Ni79</t>
  </si>
  <si>
    <t>Ni80</t>
  </si>
  <si>
    <t>Cu55</t>
  </si>
  <si>
    <t>Cu56</t>
  </si>
  <si>
    <t>Cu57</t>
  </si>
  <si>
    <t>Cu58</t>
  </si>
  <si>
    <t>Cu59</t>
  </si>
  <si>
    <t>Cu60</t>
  </si>
  <si>
    <t>Cu61</t>
  </si>
  <si>
    <t>Cu62</t>
  </si>
  <si>
    <t>Cu63</t>
  </si>
  <si>
    <t>Cu64</t>
  </si>
  <si>
    <t>Cu65</t>
  </si>
  <si>
    <t>Cu66</t>
  </si>
  <si>
    <t>Cu67</t>
  </si>
  <si>
    <t>Cu68</t>
  </si>
  <si>
    <t>Cu69</t>
  </si>
  <si>
    <t>Cu70</t>
  </si>
  <si>
    <t>Cu71</t>
  </si>
  <si>
    <t>Cu72</t>
  </si>
  <si>
    <t>Cu73</t>
  </si>
  <si>
    <t>Cu74</t>
  </si>
  <si>
    <t>Cu75</t>
  </si>
  <si>
    <t>Cu76</t>
  </si>
  <si>
    <t>Cu77</t>
  </si>
  <si>
    <t>Cu78</t>
  </si>
  <si>
    <t>Cu79</t>
  </si>
  <si>
    <t>Cu80</t>
  </si>
  <si>
    <t>Cu81</t>
  </si>
  <si>
    <t>Cu82</t>
  </si>
  <si>
    <t>Zn54</t>
  </si>
  <si>
    <t>Zn55</t>
  </si>
  <si>
    <t>Zn56</t>
  </si>
  <si>
    <t>Zn57</t>
  </si>
  <si>
    <t>Zn58</t>
  </si>
  <si>
    <t>Zn59</t>
  </si>
  <si>
    <t>Zn60</t>
  </si>
  <si>
    <t>Zn61</t>
  </si>
  <si>
    <t>Zn62</t>
  </si>
  <si>
    <t>Zn63</t>
  </si>
  <si>
    <t>Zn64</t>
  </si>
  <si>
    <t>Zn65</t>
  </si>
  <si>
    <t>Zn66</t>
  </si>
  <si>
    <t>Zn67</t>
  </si>
  <si>
    <t>Zn68</t>
  </si>
  <si>
    <t>Zn69</t>
  </si>
  <si>
    <t>Zn70</t>
  </si>
  <si>
    <t>Zn71</t>
  </si>
  <si>
    <t>Zn72</t>
  </si>
  <si>
    <t>Zn73</t>
  </si>
  <si>
    <t>Zn74</t>
  </si>
  <si>
    <t>Zn75</t>
  </si>
  <si>
    <t>Zn76</t>
  </si>
  <si>
    <t>Zn77</t>
  </si>
  <si>
    <t>Zn78</t>
  </si>
  <si>
    <t>Zn79</t>
  </si>
  <si>
    <t>Zn80</t>
  </si>
  <si>
    <t>Zn81</t>
  </si>
  <si>
    <t>Zn82</t>
  </si>
  <si>
    <t>Zn83</t>
  </si>
  <si>
    <t>Zn84</t>
  </si>
  <si>
    <t>Zn85</t>
  </si>
  <si>
    <t>Ga60</t>
  </si>
  <si>
    <t>Ga61</t>
  </si>
  <si>
    <t>Ga62</t>
  </si>
  <si>
    <t>Ga63</t>
  </si>
  <si>
    <t>Ga64</t>
  </si>
  <si>
    <t>Ga65</t>
  </si>
  <si>
    <t>Ga66</t>
  </si>
  <si>
    <t>Ga67</t>
  </si>
  <si>
    <t>Ga68</t>
  </si>
  <si>
    <t>Ga69</t>
  </si>
  <si>
    <t>Ga70</t>
  </si>
  <si>
    <t>Ga71</t>
  </si>
  <si>
    <t>Ga72</t>
  </si>
  <si>
    <t>Ga73</t>
  </si>
  <si>
    <t>Ga74</t>
  </si>
  <si>
    <t>Ga75</t>
  </si>
  <si>
    <t>Ga76</t>
  </si>
  <si>
    <t>Ga77</t>
  </si>
  <si>
    <t>Ga78</t>
  </si>
  <si>
    <t>Ga79</t>
  </si>
  <si>
    <t>Ga80</t>
  </si>
  <si>
    <t>Ga81</t>
  </si>
  <si>
    <t>Ga82</t>
  </si>
  <si>
    <t>Ga83</t>
  </si>
  <si>
    <t>Ga84</t>
  </si>
  <si>
    <t>Ga85</t>
  </si>
  <si>
    <t>Ga86</t>
  </si>
  <si>
    <t>Ga87</t>
  </si>
  <si>
    <t>Ge59</t>
  </si>
  <si>
    <t>Ge60</t>
  </si>
  <si>
    <t>Ge61</t>
  </si>
  <si>
    <t>Ge62</t>
  </si>
  <si>
    <t>Ge63</t>
  </si>
  <si>
    <t>Ge64</t>
  </si>
  <si>
    <t>Ge65</t>
  </si>
  <si>
    <t>Ge66</t>
  </si>
  <si>
    <t>Ge67</t>
  </si>
  <si>
    <t>Ge68</t>
  </si>
  <si>
    <t>Ge69</t>
  </si>
  <si>
    <t>Ge70</t>
  </si>
  <si>
    <t>Ge71</t>
  </si>
  <si>
    <t>Ge72</t>
  </si>
  <si>
    <t>Ge73</t>
  </si>
  <si>
    <t>Ge74</t>
  </si>
  <si>
    <t>Ge75</t>
  </si>
  <si>
    <t>Ge76</t>
  </si>
  <si>
    <t>Ge77</t>
  </si>
  <si>
    <t>Ge78</t>
  </si>
  <si>
    <t>Ge79</t>
  </si>
  <si>
    <t>Ge80</t>
  </si>
  <si>
    <t>Ge81</t>
  </si>
  <si>
    <t>Ge82</t>
  </si>
  <si>
    <t>Ge83</t>
  </si>
  <si>
    <t>Ge84</t>
  </si>
  <si>
    <t>Ge85</t>
  </si>
  <si>
    <t>Ge86</t>
  </si>
  <si>
    <t>Ge87</t>
  </si>
  <si>
    <t>Ge88</t>
  </si>
  <si>
    <t>Ge89</t>
  </si>
  <si>
    <t>Ge90</t>
  </si>
  <si>
    <t>As64</t>
  </si>
  <si>
    <t>As65</t>
  </si>
  <si>
    <t>As66</t>
  </si>
  <si>
    <t>As67</t>
  </si>
  <si>
    <t>As68</t>
  </si>
  <si>
    <t>As69</t>
  </si>
  <si>
    <t>As70</t>
  </si>
  <si>
    <t>As71</t>
  </si>
  <si>
    <t>As72</t>
  </si>
  <si>
    <t>As73</t>
  </si>
  <si>
    <t>As74</t>
  </si>
  <si>
    <t>As75</t>
  </si>
  <si>
    <t>As76</t>
  </si>
  <si>
    <t>As77</t>
  </si>
  <si>
    <t>As78</t>
  </si>
  <si>
    <t>As79</t>
  </si>
  <si>
    <t>As80</t>
  </si>
  <si>
    <t>As81</t>
  </si>
  <si>
    <t>As82</t>
  </si>
  <si>
    <t>As83</t>
  </si>
  <si>
    <t>As84</t>
  </si>
  <si>
    <t>As85</t>
  </si>
  <si>
    <t>As86</t>
  </si>
  <si>
    <t>As87</t>
  </si>
  <si>
    <t>As88</t>
  </si>
  <si>
    <t>As89</t>
  </si>
  <si>
    <t>As90</t>
  </si>
  <si>
    <t>As91</t>
  </si>
  <si>
    <t>Se64</t>
  </si>
  <si>
    <t>Se65</t>
  </si>
  <si>
    <t>Se66</t>
  </si>
  <si>
    <t>Se67</t>
  </si>
  <si>
    <t>Se68</t>
  </si>
  <si>
    <t>Se69</t>
  </si>
  <si>
    <t>Se70</t>
  </si>
  <si>
    <t>Se71</t>
  </si>
  <si>
    <t>Se72</t>
  </si>
  <si>
    <t>Se73</t>
  </si>
  <si>
    <t>Se74</t>
  </si>
  <si>
    <t>Se75</t>
  </si>
  <si>
    <t>Se76</t>
  </si>
  <si>
    <t>Se77</t>
  </si>
  <si>
    <t>Se78</t>
  </si>
  <si>
    <t>Se79</t>
  </si>
  <si>
    <t>Se80</t>
  </si>
  <si>
    <t>Se81</t>
  </si>
  <si>
    <t>Se82</t>
  </si>
  <si>
    <t>Se83</t>
  </si>
  <si>
    <t>Se84</t>
  </si>
  <si>
    <t>Se85</t>
  </si>
  <si>
    <t>Se86</t>
  </si>
  <si>
    <t>Se87</t>
  </si>
  <si>
    <t>Se88</t>
  </si>
  <si>
    <t>Se89</t>
  </si>
  <si>
    <t>Se90</t>
  </si>
  <si>
    <t>Se91</t>
  </si>
  <si>
    <t>Se94</t>
  </si>
  <si>
    <t>Se95</t>
  </si>
  <si>
    <t>Br70</t>
  </si>
  <si>
    <t>Br71</t>
  </si>
  <si>
    <t>Br72</t>
  </si>
  <si>
    <t>Br73</t>
  </si>
  <si>
    <t>Br74</t>
  </si>
  <si>
    <t>Br75</t>
  </si>
  <si>
    <t>Br76</t>
  </si>
  <si>
    <t>Br77</t>
  </si>
  <si>
    <t>Br78</t>
  </si>
  <si>
    <t>Br79</t>
  </si>
  <si>
    <t>Br80</t>
  </si>
  <si>
    <t>Br81</t>
  </si>
  <si>
    <t>Br82</t>
  </si>
  <si>
    <t>Br83</t>
  </si>
  <si>
    <t>Br84</t>
  </si>
  <si>
    <t>Br85</t>
  </si>
  <si>
    <t>Br86</t>
  </si>
  <si>
    <t>Br87</t>
  </si>
  <si>
    <t>Br88</t>
  </si>
  <si>
    <t>Br89</t>
  </si>
  <si>
    <t>Br90</t>
  </si>
  <si>
    <t>Br91</t>
  </si>
  <si>
    <t>Br92</t>
  </si>
  <si>
    <t>Br93</t>
  </si>
  <si>
    <t>Br94</t>
  </si>
  <si>
    <t>Br95</t>
  </si>
  <si>
    <t>Br96</t>
  </si>
  <si>
    <t>Br97</t>
  </si>
  <si>
    <t>Br98</t>
  </si>
  <si>
    <t>Kr69</t>
  </si>
  <si>
    <t>Kr70</t>
  </si>
  <si>
    <t>Kr71</t>
  </si>
  <si>
    <t>Kr72</t>
  </si>
  <si>
    <t>Kr73</t>
  </si>
  <si>
    <t>Kr74</t>
  </si>
  <si>
    <t>Kr75</t>
  </si>
  <si>
    <t>Kr76</t>
  </si>
  <si>
    <t>Kr77</t>
  </si>
  <si>
    <t>Kr78</t>
  </si>
  <si>
    <t>Kr79</t>
  </si>
  <si>
    <t>Kr80</t>
  </si>
  <si>
    <t>Kr81</t>
  </si>
  <si>
    <t>Kr82</t>
  </si>
  <si>
    <t>Kr83</t>
  </si>
  <si>
    <t>Kr84</t>
  </si>
  <si>
    <t>Kr85</t>
  </si>
  <si>
    <t>Kr86</t>
  </si>
  <si>
    <t>Kr87</t>
  </si>
  <si>
    <t>Kr88</t>
  </si>
  <si>
    <t>Kr89</t>
  </si>
  <si>
    <t>Kr90</t>
  </si>
  <si>
    <t>Kr91</t>
  </si>
  <si>
    <t>Kr92</t>
  </si>
  <si>
    <t>Kr93</t>
  </si>
  <si>
    <t>Kr94</t>
  </si>
  <si>
    <t>Kr95</t>
  </si>
  <si>
    <t>Kr96</t>
  </si>
  <si>
    <t>Kr97</t>
  </si>
  <si>
    <t>Kr98</t>
  </si>
  <si>
    <t>Kr99</t>
  </si>
  <si>
    <t>Kr100</t>
  </si>
  <si>
    <t>Kr101</t>
  </si>
  <si>
    <t>Rb74</t>
  </si>
  <si>
    <t>Rb75</t>
  </si>
  <si>
    <t>Rb76</t>
  </si>
  <si>
    <t>Rb77</t>
  </si>
  <si>
    <t>Rb78</t>
  </si>
  <si>
    <t>Rb79</t>
  </si>
  <si>
    <t>Rb80</t>
  </si>
  <si>
    <t>Rb81</t>
  </si>
  <si>
    <t>Rb82</t>
  </si>
  <si>
    <t>Rb83</t>
  </si>
  <si>
    <t>Rb84</t>
  </si>
  <si>
    <t>Rb85</t>
  </si>
  <si>
    <t>Rb86</t>
  </si>
  <si>
    <t>Rb87</t>
  </si>
  <si>
    <t>Rb88</t>
  </si>
  <si>
    <t>Rb89</t>
  </si>
  <si>
    <t>Rb90</t>
  </si>
  <si>
    <t>Rb91</t>
  </si>
  <si>
    <t>Rb92</t>
  </si>
  <si>
    <t>Rb93</t>
  </si>
  <si>
    <t>Rb94</t>
  </si>
  <si>
    <t>Rb95</t>
  </si>
  <si>
    <t>Rb96</t>
  </si>
  <si>
    <t>Rb97</t>
  </si>
  <si>
    <t>Rb98</t>
  </si>
  <si>
    <t>Rb99</t>
  </si>
  <si>
    <t>Rb100</t>
  </si>
  <si>
    <t>Rb101</t>
  </si>
  <si>
    <t>Rb102</t>
  </si>
  <si>
    <t>Rb103</t>
  </si>
  <si>
    <t>Sr73</t>
  </si>
  <si>
    <t>Sr74</t>
  </si>
  <si>
    <t>Sr75</t>
  </si>
  <si>
    <t>Sr76</t>
  </si>
  <si>
    <t>Sr77</t>
  </si>
  <si>
    <t>Sr78</t>
  </si>
  <si>
    <t>Sr79</t>
  </si>
  <si>
    <t>Sr80</t>
  </si>
  <si>
    <t>Sr81</t>
  </si>
  <si>
    <t>Sr82</t>
  </si>
  <si>
    <t>Sr83</t>
  </si>
  <si>
    <t>Sr84</t>
  </si>
  <si>
    <t>Sr85</t>
  </si>
  <si>
    <t>Sr86</t>
  </si>
  <si>
    <t>Sr87</t>
  </si>
  <si>
    <t>Sr88</t>
  </si>
  <si>
    <t>Sr89</t>
  </si>
  <si>
    <t>Sr90</t>
  </si>
  <si>
    <t>Sr91</t>
  </si>
  <si>
    <t>Sr92</t>
  </si>
  <si>
    <t>Sr93</t>
  </si>
  <si>
    <t>Sr94</t>
  </si>
  <si>
    <t>Sr95</t>
  </si>
  <si>
    <t>Sr96</t>
  </si>
  <si>
    <t>Sr97</t>
  </si>
  <si>
    <t>Sr98</t>
  </si>
  <si>
    <t>Sr99</t>
  </si>
  <si>
    <t>Sr100</t>
  </si>
  <si>
    <t>Sr101</t>
  </si>
  <si>
    <t>Sr102</t>
  </si>
  <si>
    <t>Sr103</t>
  </si>
  <si>
    <t>Sr104</t>
  </si>
  <si>
    <t>Sr105</t>
  </si>
  <si>
    <t>Sr106</t>
  </si>
  <si>
    <t>Sr107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</si>
  <si>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</si>
  <si>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</si>
  <si>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</si>
  <si>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</si>
  <si>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</si>
  <si>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</si>
  <si>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</si>
  <si>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</si>
  <si>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</si>
  <si>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</si>
  <si>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</si>
  <si>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</si>
  <si>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</si>
  <si>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</si>
  <si>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</si>
  <si>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</si>
  <si>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</si>
  <si>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</si>
  <si>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</si>
  <si>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</si>
  <si>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</si>
  <si>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</si>
  <si>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</si>
  <si>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</si>
  <si>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</si>
  <si>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</si>
  <si>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</si>
  <si>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</si>
  <si>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</si>
  <si>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</si>
  <si>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</si>
  <si>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</si>
  <si>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</si>
  <si>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</si>
  <si>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Zr78</t>
  </si>
  <si>
    <t>Zr79</t>
  </si>
  <si>
    <t>Zr80</t>
  </si>
  <si>
    <t>Zr81</t>
  </si>
  <si>
    <t>Zr82</t>
  </si>
  <si>
    <t>Zr83</t>
  </si>
  <si>
    <t>Zr84</t>
  </si>
  <si>
    <t>Zr85</t>
  </si>
  <si>
    <t>Zr86</t>
  </si>
  <si>
    <t>Zr87</t>
  </si>
  <si>
    <t>Zr88</t>
  </si>
  <si>
    <t>Zr89</t>
  </si>
  <si>
    <t>Zr90</t>
  </si>
  <si>
    <t>Zr91</t>
  </si>
  <si>
    <t>Zr92</t>
  </si>
  <si>
    <t>Zr93</t>
  </si>
  <si>
    <t>Zr94</t>
  </si>
  <si>
    <t>Zr95</t>
  </si>
  <si>
    <t>Zr96</t>
  </si>
  <si>
    <t>Zr97</t>
  </si>
  <si>
    <t>Zr98</t>
  </si>
  <si>
    <t>Zr99</t>
  </si>
  <si>
    <t>Zr100</t>
  </si>
  <si>
    <t>Zr101</t>
  </si>
  <si>
    <t>Zr102</t>
  </si>
  <si>
    <t>Zr103</t>
  </si>
  <si>
    <t>Zr104</t>
  </si>
  <si>
    <t>Zr105</t>
  </si>
  <si>
    <t>Zr106</t>
  </si>
  <si>
    <t>Zr107</t>
  </si>
  <si>
    <t>Zr108</t>
  </si>
  <si>
    <t>Zr109</t>
  </si>
  <si>
    <t>Zr110</t>
  </si>
  <si>
    <t>Zr111</t>
  </si>
  <si>
    <t>Zr112</t>
  </si>
  <si>
    <t>Nb82</t>
  </si>
  <si>
    <t>Nb83</t>
  </si>
  <si>
    <t>Nb84</t>
  </si>
  <si>
    <t>Nb85</t>
  </si>
  <si>
    <t>Nb86</t>
  </si>
  <si>
    <t>Nb87</t>
  </si>
  <si>
    <t>Nb88</t>
  </si>
  <si>
    <t>Nb89</t>
  </si>
  <si>
    <t>Nb90</t>
  </si>
  <si>
    <t>Nb91</t>
  </si>
  <si>
    <t>Nb92</t>
  </si>
  <si>
    <t>Nb93</t>
  </si>
  <si>
    <t>Nb94</t>
  </si>
  <si>
    <t>Nb95</t>
  </si>
  <si>
    <t>Nb96</t>
  </si>
  <si>
    <t>Nb97</t>
  </si>
  <si>
    <t>Nb98</t>
  </si>
  <si>
    <t>Nb99</t>
  </si>
  <si>
    <t>Nb100</t>
  </si>
  <si>
    <t>Nb101</t>
  </si>
  <si>
    <t>Nb102</t>
  </si>
  <si>
    <t>Nb103</t>
  </si>
  <si>
    <t>Nb104</t>
  </si>
  <si>
    <t>Nb105</t>
  </si>
  <si>
    <t>Nb106</t>
  </si>
  <si>
    <t>Nb107</t>
  </si>
  <si>
    <t>Nb108</t>
  </si>
  <si>
    <t>Nb109</t>
  </si>
  <si>
    <t>Nb110</t>
  </si>
  <si>
    <t>Nb111</t>
  </si>
  <si>
    <t>Nb112</t>
  </si>
  <si>
    <t>Nb113</t>
  </si>
  <si>
    <t>Nb114</t>
  </si>
  <si>
    <t>Nb115</t>
  </si>
  <si>
    <t>Mo81</t>
  </si>
  <si>
    <t>Mo82</t>
  </si>
  <si>
    <t>Mo83</t>
  </si>
  <si>
    <t>Mo84</t>
  </si>
  <si>
    <t>Mo85</t>
  </si>
  <si>
    <t>Mo86</t>
  </si>
  <si>
    <t>Mo87</t>
  </si>
  <si>
    <t>Mo88</t>
  </si>
  <si>
    <t>Mo89</t>
  </si>
  <si>
    <t>Mo90</t>
  </si>
  <si>
    <t>Mo91</t>
  </si>
  <si>
    <t>Mo92</t>
  </si>
  <si>
    <t>Mo93</t>
  </si>
  <si>
    <t>Mo94</t>
  </si>
  <si>
    <t>Mo95</t>
  </si>
  <si>
    <t>Mo96</t>
  </si>
  <si>
    <t>Mo97</t>
  </si>
  <si>
    <t>Mo98</t>
  </si>
  <si>
    <t>Mo99</t>
  </si>
  <si>
    <t>Mo100</t>
  </si>
  <si>
    <t>Mo101</t>
  </si>
  <si>
    <t>Mo102</t>
  </si>
  <si>
    <t>Mo103</t>
  </si>
  <si>
    <t>Mo104</t>
  </si>
  <si>
    <t>Mo105</t>
  </si>
  <si>
    <t>Mo106</t>
  </si>
  <si>
    <t>Mo107</t>
  </si>
  <si>
    <t>Mo108</t>
  </si>
  <si>
    <t>Mo109</t>
  </si>
  <si>
    <t>Mo110</t>
  </si>
  <si>
    <t>Mo111</t>
  </si>
  <si>
    <t>Mo112</t>
  </si>
  <si>
    <t>Mo113</t>
  </si>
  <si>
    <t>Mo114</t>
  </si>
  <si>
    <t>Mo115</t>
  </si>
  <si>
    <t>Mo116</t>
  </si>
  <si>
    <t>Mo117</t>
  </si>
  <si>
    <t>Mo118</t>
  </si>
  <si>
    <t>Tc85</t>
  </si>
  <si>
    <t>Tc86</t>
  </si>
  <si>
    <t>Tc87</t>
  </si>
  <si>
    <t>Tc88</t>
  </si>
  <si>
    <t>Tc89</t>
  </si>
  <si>
    <t>Tc90</t>
  </si>
  <si>
    <t>Tc91</t>
  </si>
  <si>
    <t>Tc92</t>
  </si>
  <si>
    <t>Tc93</t>
  </si>
  <si>
    <t>Tc94</t>
  </si>
  <si>
    <t>Tc95</t>
  </si>
  <si>
    <t>Tc96</t>
  </si>
  <si>
    <t>Tc97</t>
  </si>
  <si>
    <t>Tc98</t>
  </si>
  <si>
    <t>Tc99</t>
  </si>
  <si>
    <t>Tc100</t>
  </si>
  <si>
    <t>Tc101</t>
  </si>
  <si>
    <t>Tc102</t>
  </si>
  <si>
    <t>Tc103</t>
  </si>
  <si>
    <t>Tc104</t>
  </si>
  <si>
    <t>Tc105</t>
  </si>
  <si>
    <t>Tc106</t>
  </si>
  <si>
    <t>Tc107</t>
  </si>
  <si>
    <t>Tc108</t>
  </si>
  <si>
    <t>Tc109</t>
  </si>
  <si>
    <t>Tc110</t>
  </si>
  <si>
    <t>Tc111</t>
  </si>
  <si>
    <t>Tc112</t>
  </si>
  <si>
    <t>Tc113</t>
  </si>
  <si>
    <t>Tc114</t>
  </si>
  <si>
    <t>Tc115</t>
  </si>
  <si>
    <t>Tc116</t>
  </si>
  <si>
    <t>Tc117</t>
  </si>
  <si>
    <t>Tc118</t>
  </si>
  <si>
    <t>Tc119</t>
  </si>
  <si>
    <t>Tc120</t>
  </si>
  <si>
    <t>Tc121</t>
  </si>
  <si>
    <t>Ru85</t>
  </si>
  <si>
    <t>Ru86</t>
  </si>
  <si>
    <t>Ru87</t>
  </si>
  <si>
    <t>Ru88</t>
  </si>
  <si>
    <t>Ru89</t>
  </si>
  <si>
    <t>Ru90</t>
  </si>
  <si>
    <t>Ru91</t>
  </si>
  <si>
    <t>Ru92</t>
  </si>
  <si>
    <t>Ru93</t>
  </si>
  <si>
    <t>Ru94</t>
  </si>
  <si>
    <t>Ru95</t>
  </si>
  <si>
    <t>Ru96</t>
  </si>
  <si>
    <t>Ru97</t>
  </si>
  <si>
    <t>Ru98</t>
  </si>
  <si>
    <t>Ru99</t>
  </si>
  <si>
    <t>Ru100</t>
  </si>
  <si>
    <t>Ru101</t>
  </si>
  <si>
    <t>Ru102</t>
  </si>
  <si>
    <t>Ru103</t>
  </si>
  <si>
    <t>Ru104</t>
  </si>
  <si>
    <t>Ru105</t>
  </si>
  <si>
    <t>Ru106</t>
  </si>
  <si>
    <t>Ru107</t>
  </si>
  <si>
    <t>Ru108</t>
  </si>
  <si>
    <t>Ru109</t>
  </si>
  <si>
    <t>Ru110</t>
  </si>
  <si>
    <t>Ru111</t>
  </si>
  <si>
    <t>Ru112</t>
  </si>
  <si>
    <t>Ru113</t>
  </si>
  <si>
    <t>Ru114</t>
  </si>
  <si>
    <t>Ru115</t>
  </si>
  <si>
    <t>Ru116</t>
  </si>
  <si>
    <t>Ru117</t>
  </si>
  <si>
    <t>Ru118</t>
  </si>
  <si>
    <t>Ru119</t>
  </si>
  <si>
    <t>Ru120</t>
  </si>
  <si>
    <t>Ru121</t>
  </si>
  <si>
    <t>Ru122</t>
  </si>
  <si>
    <t>Ru123</t>
  </si>
  <si>
    <t>Ru124</t>
  </si>
  <si>
    <t>Rh89</t>
  </si>
  <si>
    <t>Rh90</t>
  </si>
  <si>
    <t>Rh91</t>
  </si>
  <si>
    <t>Rh92</t>
  </si>
  <si>
    <t>Rh93</t>
  </si>
  <si>
    <t>Rh94</t>
  </si>
  <si>
    <t>Rh95</t>
  </si>
  <si>
    <t>Rh96</t>
  </si>
  <si>
    <t>Rh97</t>
  </si>
  <si>
    <t>Rh98</t>
  </si>
  <si>
    <t>Rh99</t>
  </si>
  <si>
    <t>Rh100</t>
  </si>
  <si>
    <t>Rh101</t>
  </si>
  <si>
    <t>Rh102</t>
  </si>
  <si>
    <t>Rh103</t>
  </si>
  <si>
    <t>Rh104</t>
  </si>
  <si>
    <t>Rh105</t>
  </si>
  <si>
    <t>Rh106</t>
  </si>
  <si>
    <t>Rh107</t>
  </si>
  <si>
    <t>Rh108</t>
  </si>
  <si>
    <t>Rh109</t>
  </si>
  <si>
    <t>Rh110</t>
  </si>
  <si>
    <t>Rh111</t>
  </si>
  <si>
    <t>Rh112</t>
  </si>
  <si>
    <t>Rh113</t>
  </si>
  <si>
    <t>Rh114</t>
  </si>
  <si>
    <t>Rh115</t>
  </si>
  <si>
    <t>Rh116</t>
  </si>
  <si>
    <t>Rh117</t>
  </si>
  <si>
    <t>Rh118</t>
  </si>
  <si>
    <t>Rh119</t>
  </si>
  <si>
    <t>Rh120</t>
  </si>
  <si>
    <t>Rh121</t>
  </si>
  <si>
    <t>Rh122</t>
  </si>
  <si>
    <t>Rh123</t>
  </si>
  <si>
    <t>Rh124</t>
  </si>
  <si>
    <t>Rh125</t>
  </si>
  <si>
    <t>Rh126</t>
  </si>
  <si>
    <t>Rh127</t>
  </si>
  <si>
    <t>Pd91</t>
  </si>
  <si>
    <t>Pd92</t>
  </si>
  <si>
    <t>Pd93</t>
  </si>
  <si>
    <t>Pd94</t>
  </si>
  <si>
    <t>Pd95</t>
  </si>
  <si>
    <t>Pd96</t>
  </si>
  <si>
    <t>Pd97</t>
  </si>
  <si>
    <t>Pd98</t>
  </si>
  <si>
    <t>Pd99</t>
  </si>
  <si>
    <t>Pd100</t>
  </si>
  <si>
    <t>Pd101</t>
  </si>
  <si>
    <t>Pd102</t>
  </si>
  <si>
    <t>Pd103</t>
  </si>
  <si>
    <t>Pd104</t>
  </si>
  <si>
    <t>Pd105</t>
  </si>
  <si>
    <t>Pd106</t>
  </si>
  <si>
    <t>Pd107</t>
  </si>
  <si>
    <t>Pd108</t>
  </si>
  <si>
    <t>Pd109</t>
  </si>
  <si>
    <t>Pd110</t>
  </si>
  <si>
    <t>Pd111</t>
  </si>
  <si>
    <t>Pd112</t>
  </si>
  <si>
    <t>Pd113</t>
  </si>
  <si>
    <t>Pd114</t>
  </si>
  <si>
    <t>Pd115</t>
  </si>
  <si>
    <t>Pd116</t>
  </si>
  <si>
    <t>Pd117</t>
  </si>
  <si>
    <t>Pd118</t>
  </si>
  <si>
    <t>Pd119</t>
  </si>
  <si>
    <t>Pd120</t>
  </si>
  <si>
    <t>Pd121</t>
  </si>
  <si>
    <t>Pd122</t>
  </si>
  <si>
    <t>Pd123</t>
  </si>
  <si>
    <t>Pd124</t>
  </si>
  <si>
    <t>Pd125</t>
  </si>
  <si>
    <t>Pd126</t>
  </si>
  <si>
    <t>Pd127</t>
  </si>
  <si>
    <t>Pd128</t>
  </si>
  <si>
    <t>Ag94</t>
  </si>
  <si>
    <t>Ag95</t>
  </si>
  <si>
    <t>Ag96</t>
  </si>
  <si>
    <t>Ag97</t>
  </si>
  <si>
    <t>Ag98</t>
  </si>
  <si>
    <t>Ag99</t>
  </si>
  <si>
    <t>Ag100</t>
  </si>
  <si>
    <t>Ag101</t>
  </si>
  <si>
    <t>Ag102</t>
  </si>
  <si>
    <t>Ag103</t>
  </si>
  <si>
    <t>Ag104</t>
  </si>
  <si>
    <t>Ag105</t>
  </si>
  <si>
    <t>Ag106</t>
  </si>
  <si>
    <t>Ag107</t>
  </si>
  <si>
    <t>Ag108</t>
  </si>
  <si>
    <t>Ag109</t>
  </si>
  <si>
    <t>Ag110</t>
  </si>
  <si>
    <t>Ag111</t>
  </si>
  <si>
    <t>Ag112</t>
  </si>
  <si>
    <t>Ag113</t>
  </si>
  <si>
    <t>Ag114</t>
  </si>
  <si>
    <t>Ag115</t>
  </si>
  <si>
    <t>Ag116</t>
  </si>
  <si>
    <t>Ag117</t>
  </si>
  <si>
    <t>Ag118</t>
  </si>
  <si>
    <t>Ag119</t>
  </si>
  <si>
    <t>Ag120</t>
  </si>
  <si>
    <t>Ag121</t>
  </si>
  <si>
    <t>Ag122</t>
  </si>
  <si>
    <t>Ag123</t>
  </si>
  <si>
    <t>Ag124</t>
  </si>
  <si>
    <t>Ag125</t>
  </si>
  <si>
    <t>Ag126</t>
  </si>
  <si>
    <t>Ag127</t>
  </si>
  <si>
    <t>Ag128</t>
  </si>
  <si>
    <t>Ag129</t>
  </si>
  <si>
    <t>Ag130</t>
  </si>
  <si>
    <t>Ag131</t>
  </si>
  <si>
    <t>Ag132</t>
  </si>
  <si>
    <t>Cd96</t>
  </si>
  <si>
    <t>Cd97</t>
  </si>
  <si>
    <t>Cd98</t>
  </si>
  <si>
    <t>Cd99</t>
  </si>
  <si>
    <t>Cd100</t>
  </si>
  <si>
    <t>Cd101</t>
  </si>
  <si>
    <t>Cd102</t>
  </si>
  <si>
    <t>Cd103</t>
  </si>
  <si>
    <t>Cd104</t>
  </si>
  <si>
    <t>Cd105</t>
  </si>
  <si>
    <t>Cd106</t>
  </si>
  <si>
    <t>Cd107</t>
  </si>
  <si>
    <t>Cd108</t>
  </si>
  <si>
    <t>Cd109</t>
  </si>
  <si>
    <t>Cd110</t>
  </si>
  <si>
    <t>Cd111</t>
  </si>
  <si>
    <t>Cd112</t>
  </si>
  <si>
    <t>Cd113</t>
  </si>
  <si>
    <t>Cd114</t>
  </si>
  <si>
    <t>Cd115</t>
  </si>
  <si>
    <t>Cd116</t>
  </si>
  <si>
    <t>Cd117</t>
  </si>
  <si>
    <t>Cd118</t>
  </si>
  <si>
    <t>Cd119</t>
  </si>
  <si>
    <t>Cd120</t>
  </si>
  <si>
    <t>Cd121</t>
  </si>
  <si>
    <t>Cd122</t>
  </si>
  <si>
    <t>Cd123</t>
  </si>
  <si>
    <t>Cd124</t>
  </si>
  <si>
    <t>Cd125</t>
  </si>
  <si>
    <t>Cd126</t>
  </si>
  <si>
    <t>Cd127</t>
  </si>
  <si>
    <t>Cd128</t>
  </si>
  <si>
    <t>Cd129</t>
  </si>
  <si>
    <t>Cd130</t>
  </si>
  <si>
    <t>Cd131</t>
  </si>
  <si>
    <t>Cd132</t>
  </si>
  <si>
    <t>Cd133</t>
  </si>
  <si>
    <t>Cd134</t>
  </si>
  <si>
    <t>In98</t>
  </si>
  <si>
    <t>In99</t>
  </si>
  <si>
    <t>In100</t>
  </si>
  <si>
    <t>In101</t>
  </si>
  <si>
    <t>In102</t>
  </si>
  <si>
    <t>In103</t>
  </si>
  <si>
    <t>In104</t>
  </si>
  <si>
    <t>In105</t>
  </si>
  <si>
    <t>In106</t>
  </si>
  <si>
    <t>In107</t>
  </si>
  <si>
    <t>In108</t>
  </si>
  <si>
    <t>In109</t>
  </si>
  <si>
    <t>In110</t>
  </si>
  <si>
    <t>In111</t>
  </si>
  <si>
    <t>In112</t>
  </si>
  <si>
    <t>In113</t>
  </si>
  <si>
    <t>In114</t>
  </si>
  <si>
    <t>In115</t>
  </si>
  <si>
    <t>In116</t>
  </si>
  <si>
    <t>In117</t>
  </si>
  <si>
    <t>In118</t>
  </si>
  <si>
    <t>In119</t>
  </si>
  <si>
    <t>In120</t>
  </si>
  <si>
    <t>In121</t>
  </si>
  <si>
    <t>In122</t>
  </si>
  <si>
    <t>In123</t>
  </si>
  <si>
    <t>In124</t>
  </si>
  <si>
    <t>In125</t>
  </si>
  <si>
    <t>In126</t>
  </si>
  <si>
    <t>In127</t>
  </si>
  <si>
    <t>In128</t>
  </si>
  <si>
    <t>In129</t>
  </si>
  <si>
    <t>In130</t>
  </si>
  <si>
    <t>In131</t>
  </si>
  <si>
    <t>In132</t>
  </si>
  <si>
    <t>In133</t>
  </si>
  <si>
    <t>In134</t>
  </si>
  <si>
    <t>In135</t>
  </si>
  <si>
    <t>In136</t>
  </si>
  <si>
    <t>In137</t>
  </si>
  <si>
    <t>Sn100</t>
  </si>
  <si>
    <t>Sn101</t>
  </si>
  <si>
    <t>Sn102</t>
  </si>
  <si>
    <t>Sn103</t>
  </si>
  <si>
    <t>Sn104</t>
  </si>
  <si>
    <t>Sn105</t>
  </si>
  <si>
    <t>Sn106</t>
  </si>
  <si>
    <t>Sn107</t>
  </si>
  <si>
    <t>Sn108</t>
  </si>
  <si>
    <t>Sn109</t>
  </si>
  <si>
    <t>Sn110</t>
  </si>
  <si>
    <t>Sn111</t>
  </si>
  <si>
    <t>Sn113</t>
  </si>
  <si>
    <t>Sn114</t>
  </si>
  <si>
    <t>Sn115</t>
  </si>
  <si>
    <t>Sn116</t>
  </si>
  <si>
    <t>Sn117</t>
  </si>
  <si>
    <t>Sn118</t>
  </si>
  <si>
    <t>Sn119</t>
  </si>
  <si>
    <t>Sn120</t>
  </si>
  <si>
    <t>Sn121</t>
  </si>
  <si>
    <t>Sn122</t>
  </si>
  <si>
    <t>Sn123</t>
  </si>
  <si>
    <t>Sn124</t>
  </si>
  <si>
    <t>Sn125</t>
  </si>
  <si>
    <t>Sn126</t>
  </si>
  <si>
    <t>Sn127</t>
  </si>
  <si>
    <t>Sn128</t>
  </si>
  <si>
    <t>Sn129</t>
  </si>
  <si>
    <t>Sn130</t>
  </si>
  <si>
    <t>Sn131</t>
  </si>
  <si>
    <t>Sn132</t>
  </si>
  <si>
    <t>Sn133</t>
  </si>
  <si>
    <t>Sn134</t>
  </si>
  <si>
    <t>Sn135</t>
  </si>
  <si>
    <t>Sn136</t>
  </si>
  <si>
    <t>Sn137</t>
  </si>
  <si>
    <t>Sn138</t>
  </si>
  <si>
    <t>Sn139</t>
  </si>
  <si>
    <t>Sb103</t>
  </si>
  <si>
    <t>Sb104</t>
  </si>
  <si>
    <t>Sb105</t>
  </si>
  <si>
    <t>Sb106</t>
  </si>
  <si>
    <t>Sb107</t>
  </si>
  <si>
    <t>Sb108</t>
  </si>
  <si>
    <t>Sb109</t>
  </si>
  <si>
    <t>Sb110</t>
  </si>
  <si>
    <t>Sb111</t>
  </si>
  <si>
    <t>Sb112</t>
  </si>
  <si>
    <t>Sb113</t>
  </si>
  <si>
    <t>Sb114</t>
  </si>
  <si>
    <t>Sb115</t>
  </si>
  <si>
    <t>Sb116</t>
  </si>
  <si>
    <t>Sb117</t>
  </si>
  <si>
    <t>Sb118</t>
  </si>
  <si>
    <t>Sb119</t>
  </si>
  <si>
    <t>Sb120</t>
  </si>
  <si>
    <t>Sb121</t>
  </si>
  <si>
    <t>Sb122</t>
  </si>
  <si>
    <t>Sb123</t>
  </si>
  <si>
    <t>Sb124</t>
  </si>
  <si>
    <t>Sb125</t>
  </si>
  <si>
    <t>Sb126</t>
  </si>
  <si>
    <t>Sb127</t>
  </si>
  <si>
    <t>Sb128</t>
  </si>
  <si>
    <t>Sb129</t>
  </si>
  <si>
    <t>Sb130</t>
  </si>
  <si>
    <t>Sb131</t>
  </si>
  <si>
    <t>Sb132</t>
  </si>
  <si>
    <t>Sb133</t>
  </si>
  <si>
    <t>Sb134</t>
  </si>
  <si>
    <t>Sb135</t>
  </si>
  <si>
    <t>Sb136</t>
  </si>
  <si>
    <t>Sb137</t>
  </si>
  <si>
    <t>Sb138</t>
  </si>
  <si>
    <t>Sb139</t>
  </si>
  <si>
    <t>Sb140</t>
  </si>
  <si>
    <t>Te105</t>
  </si>
  <si>
    <t>Te106</t>
  </si>
  <si>
    <t>Te107</t>
  </si>
  <si>
    <t>Te108</t>
  </si>
  <si>
    <t>Te109</t>
  </si>
  <si>
    <t>Te110</t>
  </si>
  <si>
    <t>Te111</t>
  </si>
  <si>
    <t>Te112</t>
  </si>
  <si>
    <t>Te113</t>
  </si>
  <si>
    <t>Te114</t>
  </si>
  <si>
    <t>Te115</t>
  </si>
  <si>
    <t>Te116</t>
  </si>
  <si>
    <t>Te117</t>
  </si>
  <si>
    <t>Te118</t>
  </si>
  <si>
    <t>Te119</t>
  </si>
  <si>
    <t>Te120</t>
  </si>
  <si>
    <t>Te121</t>
  </si>
  <si>
    <t>Te122</t>
  </si>
  <si>
    <t>Te123</t>
  </si>
  <si>
    <t>Te124</t>
  </si>
  <si>
    <t>Te125</t>
  </si>
  <si>
    <t>Te126</t>
  </si>
  <si>
    <t>Te127</t>
  </si>
  <si>
    <t>Te128</t>
  </si>
  <si>
    <t>Te129</t>
  </si>
  <si>
    <t>Te130</t>
  </si>
  <si>
    <t>Te131</t>
  </si>
  <si>
    <t>Te132</t>
  </si>
  <si>
    <t>Te133</t>
  </si>
  <si>
    <t>Te134</t>
  </si>
  <si>
    <t>Te135</t>
  </si>
  <si>
    <t>Te136</t>
  </si>
  <si>
    <t>Te137</t>
  </si>
  <si>
    <t>Te138</t>
  </si>
  <si>
    <t>Te139</t>
  </si>
  <si>
    <t>Te140</t>
  </si>
  <si>
    <t>Te141</t>
  </si>
  <si>
    <t>Te143</t>
  </si>
  <si>
    <t>I108</t>
  </si>
  <si>
    <t>I109</t>
  </si>
  <si>
    <t>I110</t>
  </si>
  <si>
    <t>I111</t>
  </si>
  <si>
    <t>I112</t>
  </si>
  <si>
    <t>I113</t>
  </si>
  <si>
    <t>I114</t>
  </si>
  <si>
    <t>I115</t>
  </si>
  <si>
    <t>I116</t>
  </si>
  <si>
    <t>I117</t>
  </si>
  <si>
    <t>I118</t>
  </si>
  <si>
    <t>I119</t>
  </si>
  <si>
    <t>I120</t>
  </si>
  <si>
    <t>I121</t>
  </si>
  <si>
    <t>I122</t>
  </si>
  <si>
    <t>I123</t>
  </si>
  <si>
    <t>I124</t>
  </si>
  <si>
    <t>I125</t>
  </si>
  <si>
    <t>I126</t>
  </si>
  <si>
    <t>I127</t>
  </si>
  <si>
    <t>I128</t>
  </si>
  <si>
    <t>I129</t>
  </si>
  <si>
    <t>I130</t>
  </si>
  <si>
    <t>I131</t>
  </si>
  <si>
    <t>I132</t>
  </si>
  <si>
    <t>I133</t>
  </si>
  <si>
    <t>I134</t>
  </si>
  <si>
    <t>I135</t>
  </si>
  <si>
    <t>I136</t>
  </si>
  <si>
    <t>I137</t>
  </si>
  <si>
    <t>I138</t>
  </si>
  <si>
    <t>I139</t>
  </si>
  <si>
    <t>I140</t>
  </si>
  <si>
    <t>I141</t>
  </si>
  <si>
    <t>I142</t>
  </si>
  <si>
    <t>I143</t>
  </si>
  <si>
    <t>I144</t>
  </si>
  <si>
    <t>I145</t>
  </si>
  <si>
    <t>Xe109</t>
  </si>
  <si>
    <t>Xe110</t>
  </si>
  <si>
    <t>Xe111</t>
  </si>
  <si>
    <t>Xe112</t>
  </si>
  <si>
    <t>Xe113</t>
  </si>
  <si>
    <t>Xe114</t>
  </si>
  <si>
    <t>Xe115</t>
  </si>
  <si>
    <t>Xe116</t>
  </si>
  <si>
    <t>Xe117</t>
  </si>
  <si>
    <t>Xe118</t>
  </si>
  <si>
    <t>Xe119</t>
  </si>
  <si>
    <t>Xe120</t>
  </si>
  <si>
    <t>Xe121</t>
  </si>
  <si>
    <t>Xe122</t>
  </si>
  <si>
    <t>Xe123</t>
  </si>
  <si>
    <t>Xe124</t>
  </si>
  <si>
    <t>Xe125</t>
  </si>
  <si>
    <t>Xe126</t>
  </si>
  <si>
    <t>Xe127</t>
  </si>
  <si>
    <t>Xe128</t>
  </si>
  <si>
    <t>Xe129</t>
  </si>
  <si>
    <t>Xe130</t>
  </si>
  <si>
    <t>Xe131</t>
  </si>
  <si>
    <t>Xe132</t>
  </si>
  <si>
    <t>Xe133</t>
  </si>
  <si>
    <t>Xe134</t>
  </si>
  <si>
    <t>Xe135</t>
  </si>
  <si>
    <t>Xe136</t>
  </si>
  <si>
    <t>Xe137</t>
  </si>
  <si>
    <t>Xe138</t>
  </si>
  <si>
    <t>Xe139</t>
  </si>
  <si>
    <t>Xe140</t>
  </si>
  <si>
    <t>Xe141</t>
  </si>
  <si>
    <t>Xe142</t>
  </si>
  <si>
    <t>Xe143</t>
  </si>
  <si>
    <t>Xe144</t>
  </si>
  <si>
    <t>Xe145</t>
  </si>
  <si>
    <t>Xe146</t>
  </si>
  <si>
    <t>Xe147</t>
  </si>
  <si>
    <t>Xe148</t>
  </si>
  <si>
    <t>Cs112</t>
  </si>
  <si>
    <t>Cs113</t>
  </si>
  <si>
    <t>Cs114</t>
  </si>
  <si>
    <t>Cs115</t>
  </si>
  <si>
    <t>Cs116</t>
  </si>
  <si>
    <t>Cs117</t>
  </si>
  <si>
    <t>Cs118</t>
  </si>
  <si>
    <t>Cs119</t>
  </si>
  <si>
    <t>Cs120</t>
  </si>
  <si>
    <t>Cs121</t>
  </si>
  <si>
    <t>Cs122</t>
  </si>
  <si>
    <t>Cs123</t>
  </si>
  <si>
    <t>Cs124</t>
  </si>
  <si>
    <t>Cs125</t>
  </si>
  <si>
    <t>Cs126</t>
  </si>
  <si>
    <t>Cs127</t>
  </si>
  <si>
    <t>Cs128</t>
  </si>
  <si>
    <t>Cs129</t>
  </si>
  <si>
    <t>Cs130</t>
  </si>
  <si>
    <t>Cs131</t>
  </si>
  <si>
    <t>Cs132</t>
  </si>
  <si>
    <t>Cs133</t>
  </si>
  <si>
    <t>Cs134</t>
  </si>
  <si>
    <t>Cs135</t>
  </si>
  <si>
    <t>Cs136</t>
  </si>
  <si>
    <t>Cs137</t>
  </si>
  <si>
    <t>Cs138</t>
  </si>
  <si>
    <t>Cs139</t>
  </si>
  <si>
    <t>Cs140</t>
  </si>
  <si>
    <t>Cs141</t>
  </si>
  <si>
    <t>Cs142</t>
  </si>
  <si>
    <t>Cs143</t>
  </si>
  <si>
    <t>Cs144</t>
  </si>
  <si>
    <t>Cs145</t>
  </si>
  <si>
    <t>Cs146</t>
  </si>
  <si>
    <t>Cs147</t>
  </si>
  <si>
    <t>Cs148</t>
  </si>
  <si>
    <t>Cs149</t>
  </si>
  <si>
    <t>Cs150</t>
  </si>
  <si>
    <t>Cs151</t>
  </si>
  <si>
    <t>Ba114</t>
  </si>
  <si>
    <t>Ba115</t>
  </si>
  <si>
    <t>Ba116</t>
  </si>
  <si>
    <t>Ba117</t>
  </si>
  <si>
    <t>Ba118</t>
  </si>
  <si>
    <t>Ba119</t>
  </si>
  <si>
    <t>Ba120</t>
  </si>
  <si>
    <t>Ba121</t>
  </si>
  <si>
    <t>Ba122</t>
  </si>
  <si>
    <t>Ba123</t>
  </si>
  <si>
    <t>Ba124</t>
  </si>
  <si>
    <t>Ba125</t>
  </si>
  <si>
    <t>Ba126</t>
  </si>
  <si>
    <t>Ba127</t>
  </si>
  <si>
    <t>Ba128</t>
  </si>
  <si>
    <t>Ba129</t>
  </si>
  <si>
    <t>Ba130</t>
  </si>
  <si>
    <t>Ba131</t>
  </si>
  <si>
    <t>Ba132</t>
  </si>
  <si>
    <t>Ba133</t>
  </si>
  <si>
    <t>Ba134</t>
  </si>
  <si>
    <t>Ba135</t>
  </si>
  <si>
    <t>Ba136</t>
  </si>
  <si>
    <t>Ba137</t>
  </si>
  <si>
    <t>Ba138</t>
  </si>
  <si>
    <t>Ba139</t>
  </si>
  <si>
    <t>Ba140</t>
  </si>
  <si>
    <t>Ba141</t>
  </si>
  <si>
    <t>Ba142</t>
  </si>
  <si>
    <t>Ba143</t>
  </si>
  <si>
    <t>Ba144</t>
  </si>
  <si>
    <t>Ba145</t>
  </si>
  <si>
    <t>Ba146</t>
  </si>
  <si>
    <t>Ba147</t>
  </si>
  <si>
    <t>Ba148</t>
  </si>
  <si>
    <t>Ba149</t>
  </si>
  <si>
    <t>Ba150</t>
  </si>
  <si>
    <t>Ba151</t>
  </si>
  <si>
    <t>Ba152</t>
  </si>
  <si>
    <t>La117</t>
  </si>
  <si>
    <t>La120</t>
  </si>
  <si>
    <t>La121</t>
  </si>
  <si>
    <t>La122</t>
  </si>
  <si>
    <t>La123</t>
  </si>
  <si>
    <t>La124</t>
  </si>
  <si>
    <t>La125</t>
  </si>
  <si>
    <t>La126</t>
  </si>
  <si>
    <t>La127</t>
  </si>
  <si>
    <t>La128</t>
  </si>
  <si>
    <t>La129</t>
  </si>
  <si>
    <t>La130</t>
  </si>
  <si>
    <t>La131</t>
  </si>
  <si>
    <t>La132</t>
  </si>
  <si>
    <t>La133</t>
  </si>
  <si>
    <t>La134</t>
  </si>
  <si>
    <t>La135</t>
  </si>
  <si>
    <t>La136</t>
  </si>
  <si>
    <t>La137</t>
  </si>
  <si>
    <t>La138</t>
  </si>
  <si>
    <t>La139</t>
  </si>
  <si>
    <t>La140</t>
  </si>
  <si>
    <t>La141</t>
  </si>
  <si>
    <t>La142</t>
  </si>
  <si>
    <t>La143</t>
  </si>
  <si>
    <t>La144</t>
  </si>
  <si>
    <t>La145</t>
  </si>
  <si>
    <t>La146</t>
  </si>
  <si>
    <t>La147</t>
  </si>
  <si>
    <t>La148</t>
  </si>
  <si>
    <t>La149</t>
  </si>
  <si>
    <t>La150</t>
  </si>
  <si>
    <t>La151</t>
  </si>
  <si>
    <t>La152</t>
  </si>
  <si>
    <t>La153</t>
  </si>
  <si>
    <t>Ce121</t>
  </si>
  <si>
    <t>Ce123</t>
  </si>
  <si>
    <t>Ce124</t>
  </si>
  <si>
    <t>Ce125</t>
  </si>
  <si>
    <t>Ce126</t>
  </si>
  <si>
    <t>Ce127</t>
  </si>
  <si>
    <t>Ce128</t>
  </si>
  <si>
    <t>Ce129</t>
  </si>
  <si>
    <t>Ce130</t>
  </si>
  <si>
    <t>Ce131</t>
  </si>
  <si>
    <t>Ce132</t>
  </si>
  <si>
    <t>Ce133</t>
  </si>
  <si>
    <t>Ce134</t>
  </si>
  <si>
    <t>Ce135</t>
  </si>
  <si>
    <t>Ce136</t>
  </si>
  <si>
    <t>Ce137</t>
  </si>
  <si>
    <t>Ce138</t>
  </si>
  <si>
    <t>Ce139</t>
  </si>
  <si>
    <t>Ce140</t>
  </si>
  <si>
    <t>Ce141</t>
  </si>
  <si>
    <t>Ce142</t>
  </si>
  <si>
    <t>Ce143</t>
  </si>
  <si>
    <t>Ce144</t>
  </si>
  <si>
    <t>Ce145</t>
  </si>
  <si>
    <t>Ce146</t>
  </si>
  <si>
    <t>Ce147</t>
  </si>
  <si>
    <t>Ce148</t>
  </si>
  <si>
    <t>Ce149</t>
  </si>
  <si>
    <t>Ce150</t>
  </si>
  <si>
    <t>Ce151</t>
  </si>
  <si>
    <t>Ce152</t>
  </si>
  <si>
    <t>Ce153</t>
  </si>
  <si>
    <t>Ce154</t>
  </si>
  <si>
    <t>Ce155</t>
  </si>
  <si>
    <t>Pr121</t>
  </si>
  <si>
    <t>Pr122</t>
  </si>
  <si>
    <t>Pr123</t>
  </si>
  <si>
    <t>Pr124</t>
  </si>
  <si>
    <t>Pr125</t>
  </si>
  <si>
    <t>Pr126</t>
  </si>
  <si>
    <t>Pr127</t>
  </si>
  <si>
    <t>Pr128</t>
  </si>
  <si>
    <t>Pr129</t>
  </si>
  <si>
    <t>Pr130</t>
  </si>
  <si>
    <t>Pr131</t>
  </si>
  <si>
    <t>Pr132</t>
  </si>
  <si>
    <t>Pr133</t>
  </si>
  <si>
    <t>Pr134</t>
  </si>
  <si>
    <t>Pr135</t>
  </si>
  <si>
    <t>Pr136</t>
  </si>
  <si>
    <t>Pr137</t>
  </si>
  <si>
    <t>Pr138</t>
  </si>
  <si>
    <t>Pr139</t>
  </si>
  <si>
    <t>Pr140</t>
  </si>
  <si>
    <t>Pr141</t>
  </si>
  <si>
    <t>Pr142</t>
  </si>
  <si>
    <t>Pr143</t>
  </si>
  <si>
    <t>Pr144</t>
  </si>
  <si>
    <t>Pr145</t>
  </si>
  <si>
    <t>Pr146</t>
  </si>
  <si>
    <t>Pr147</t>
  </si>
  <si>
    <t>Pr148</t>
  </si>
  <si>
    <t>Pr149</t>
  </si>
  <si>
    <t>Pr150</t>
  </si>
  <si>
    <t>Pr151</t>
  </si>
  <si>
    <t>Pr152</t>
  </si>
  <si>
    <t>Pr153</t>
  </si>
  <si>
    <t>Pr154</t>
  </si>
  <si>
    <t>Pr155</t>
  </si>
  <si>
    <t>Pr156</t>
  </si>
  <si>
    <t>Nd125</t>
  </si>
  <si>
    <t>Nd126</t>
  </si>
  <si>
    <t>Nd127</t>
  </si>
  <si>
    <t>Nd128</t>
  </si>
  <si>
    <t>Nd129</t>
  </si>
  <si>
    <t>Nd130</t>
  </si>
  <si>
    <t>Nd131</t>
  </si>
  <si>
    <t>Nd132</t>
  </si>
  <si>
    <t>Nd133</t>
  </si>
  <si>
    <t>Nd134</t>
  </si>
  <si>
    <t>Nd135</t>
  </si>
  <si>
    <t>Nd136</t>
  </si>
  <si>
    <t>Nd137</t>
  </si>
  <si>
    <t>Nd138</t>
  </si>
  <si>
    <t>Nd139</t>
  </si>
  <si>
    <t>Nd140</t>
  </si>
  <si>
    <t>Nd141</t>
  </si>
  <si>
    <t>Nd142</t>
  </si>
  <si>
    <t>Nd143</t>
  </si>
  <si>
    <t>Nd144</t>
  </si>
  <si>
    <t>Nd145</t>
  </si>
  <si>
    <t>Nd146</t>
  </si>
  <si>
    <t>Nd147</t>
  </si>
  <si>
    <t>Nd148</t>
  </si>
  <si>
    <t>Nd149</t>
  </si>
  <si>
    <t>Nd150</t>
  </si>
  <si>
    <t>Nd151</t>
  </si>
  <si>
    <t>Nd152</t>
  </si>
  <si>
    <t>Nd153</t>
  </si>
  <si>
    <t>Nd154</t>
  </si>
  <si>
    <t>Nd155</t>
  </si>
  <si>
    <t>Nd156</t>
  </si>
  <si>
    <t>Nd157</t>
  </si>
  <si>
    <t>Nd158</t>
  </si>
  <si>
    <t>Nd159</t>
  </si>
  <si>
    <t>Nd160</t>
  </si>
  <si>
    <t>Nd161</t>
  </si>
  <si>
    <t>Pm128</t>
  </si>
  <si>
    <t>Pm129</t>
  </si>
  <si>
    <t>Pm130</t>
  </si>
  <si>
    <t>Pm131</t>
  </si>
  <si>
    <t>Pm132</t>
  </si>
  <si>
    <t>Pm133</t>
  </si>
  <si>
    <t>Pm134</t>
  </si>
  <si>
    <t>Pm135</t>
  </si>
  <si>
    <t>Pm136</t>
  </si>
  <si>
    <t>Pm137</t>
  </si>
  <si>
    <t>Pm138</t>
  </si>
  <si>
    <t>Pm139</t>
  </si>
  <si>
    <t>Pm140</t>
  </si>
  <si>
    <t>Pm141</t>
  </si>
  <si>
    <t>Pm142</t>
  </si>
  <si>
    <t>Pm143</t>
  </si>
  <si>
    <t>Pm144</t>
  </si>
  <si>
    <t>Pm145</t>
  </si>
  <si>
    <t>Pm146</t>
  </si>
  <si>
    <t>Pm147</t>
  </si>
  <si>
    <t>Pm148</t>
  </si>
  <si>
    <t>Pm149</t>
  </si>
  <si>
    <t>Pm150</t>
  </si>
  <si>
    <t>Pm151</t>
  </si>
  <si>
    <t>Pm152</t>
  </si>
  <si>
    <t>Pm153</t>
  </si>
  <si>
    <t>Pm154</t>
  </si>
  <si>
    <t>Pm155</t>
  </si>
  <si>
    <t>Pm156</t>
  </si>
  <si>
    <t>Pm157</t>
  </si>
  <si>
    <t>Pm158</t>
  </si>
  <si>
    <t>Pm159</t>
  </si>
  <si>
    <t>Pm160</t>
  </si>
  <si>
    <t>Pm161</t>
  </si>
  <si>
    <t>Pm162</t>
  </si>
  <si>
    <t>Pm163</t>
  </si>
  <si>
    <t>Sm129</t>
  </si>
  <si>
    <t>Sm131</t>
  </si>
  <si>
    <t>Sm132</t>
  </si>
  <si>
    <t>Sm133</t>
  </si>
  <si>
    <t>Sm134</t>
  </si>
  <si>
    <t>Sm135</t>
  </si>
  <si>
    <t>Sm136</t>
  </si>
  <si>
    <t>Sm137</t>
  </si>
  <si>
    <t>Sm138</t>
  </si>
  <si>
    <t>Sm139</t>
  </si>
  <si>
    <t>Sm140</t>
  </si>
  <si>
    <t>Sm141</t>
  </si>
  <si>
    <t>Sm142</t>
  </si>
  <si>
    <t>Sm143</t>
  </si>
  <si>
    <t>Sm144</t>
  </si>
  <si>
    <t>Sm145</t>
  </si>
  <si>
    <t>Sm146</t>
  </si>
  <si>
    <t>Sm147</t>
  </si>
  <si>
    <t>Sm148</t>
  </si>
  <si>
    <t>Sm149</t>
  </si>
  <si>
    <t>Sm150</t>
  </si>
  <si>
    <t>Sm151</t>
  </si>
  <si>
    <t>Sm152</t>
  </si>
  <si>
    <t>Sm153</t>
  </si>
  <si>
    <t>Sm154</t>
  </si>
  <si>
    <t>Sm155</t>
  </si>
  <si>
    <t>Sm156</t>
  </si>
  <si>
    <t>Sm157</t>
  </si>
  <si>
    <t>Sm158</t>
  </si>
  <si>
    <t>Sm159</t>
  </si>
  <si>
    <t>Sm160</t>
  </si>
  <si>
    <t>Sm161</t>
  </si>
  <si>
    <t>Sm162</t>
  </si>
  <si>
    <t>Sm163</t>
  </si>
  <si>
    <t>Sm164</t>
  </si>
  <si>
    <t>Sm165</t>
  </si>
  <si>
    <t>Eu130</t>
  </si>
  <si>
    <t>Eu131</t>
  </si>
  <si>
    <t>Eu134</t>
  </si>
  <si>
    <t>Eu135</t>
  </si>
  <si>
    <t>Eu136</t>
  </si>
  <si>
    <t>Eu137</t>
  </si>
  <si>
    <t>Eu138</t>
  </si>
  <si>
    <t>Eu139</t>
  </si>
  <si>
    <t>Eu140</t>
  </si>
  <si>
    <t>Eu141</t>
  </si>
  <si>
    <t>Eu142</t>
  </si>
  <si>
    <t>Eu143</t>
  </si>
  <si>
    <t>Eu144</t>
  </si>
  <si>
    <t>Eu145</t>
  </si>
  <si>
    <t>Eu146</t>
  </si>
  <si>
    <t>Eu147</t>
  </si>
  <si>
    <t>Eu148</t>
  </si>
  <si>
    <t>Eu149</t>
  </si>
  <si>
    <t>Eu150</t>
  </si>
  <si>
    <t>Eu151</t>
  </si>
  <si>
    <t>Eu152</t>
  </si>
  <si>
    <t>Eu153</t>
  </si>
  <si>
    <t>Eu154</t>
  </si>
  <si>
    <t>Eu155</t>
  </si>
  <si>
    <t>Eu156</t>
  </si>
  <si>
    <t>Eu157</t>
  </si>
  <si>
    <t>Eu158</t>
  </si>
  <si>
    <t>Eu159</t>
  </si>
  <si>
    <t>Eu160</t>
  </si>
  <si>
    <t>Eu161</t>
  </si>
  <si>
    <t>Eu162</t>
  </si>
  <si>
    <t>Eu163</t>
  </si>
  <si>
    <t>Eu164</t>
  </si>
  <si>
    <t>Eu165</t>
  </si>
  <si>
    <t>Eu166</t>
  </si>
  <si>
    <t>Eu167</t>
  </si>
  <si>
    <t>Eu168</t>
  </si>
  <si>
    <t>Gd135</t>
  </si>
  <si>
    <t>Gd136</t>
  </si>
  <si>
    <t>Gd137</t>
  </si>
  <si>
    <t>Gd138</t>
  </si>
  <si>
    <t>Gd139</t>
  </si>
  <si>
    <t>Gd140</t>
  </si>
  <si>
    <t>Gd141</t>
  </si>
  <si>
    <t>Gd142</t>
  </si>
  <si>
    <t>Gd143</t>
  </si>
  <si>
    <t>Gd144</t>
  </si>
  <si>
    <t>Gd145</t>
  </si>
  <si>
    <t>Gd146</t>
  </si>
  <si>
    <t>Gd147</t>
  </si>
  <si>
    <t>Gd148</t>
  </si>
  <si>
    <t>Gd149</t>
  </si>
  <si>
    <t>Gd150</t>
  </si>
  <si>
    <t>Gd151</t>
  </si>
  <si>
    <t>Gd152</t>
  </si>
  <si>
    <t>Gd153</t>
  </si>
  <si>
    <t>Gd154</t>
  </si>
  <si>
    <t>Gd155</t>
  </si>
  <si>
    <t>Gd156</t>
  </si>
  <si>
    <t>Gd157</t>
  </si>
  <si>
    <t>Gd158</t>
  </si>
  <si>
    <t>Gd159</t>
  </si>
  <si>
    <t>Gd160</t>
  </si>
  <si>
    <t>Gd161</t>
  </si>
  <si>
    <t>Gd162</t>
  </si>
  <si>
    <t>Gd163</t>
  </si>
  <si>
    <t>Gd164</t>
  </si>
  <si>
    <t>Gd165</t>
  </si>
  <si>
    <t>Gd166</t>
  </si>
  <si>
    <t>Gd167</t>
  </si>
  <si>
    <t>Gd168</t>
  </si>
  <si>
    <t>Gd169</t>
  </si>
  <si>
    <t>Gd170</t>
  </si>
  <si>
    <t>Tb135</t>
  </si>
  <si>
    <t>Tb138</t>
  </si>
  <si>
    <t>Tb139</t>
  </si>
  <si>
    <t>Tb140</t>
  </si>
  <si>
    <t>Tb141</t>
  </si>
  <si>
    <t>Tb142</t>
  </si>
  <si>
    <t>Tb143</t>
  </si>
  <si>
    <t>Tb144</t>
  </si>
  <si>
    <t>Tb145</t>
  </si>
  <si>
    <t>Tb146</t>
  </si>
  <si>
    <t>Tb147</t>
  </si>
  <si>
    <t>Tb148</t>
  </si>
  <si>
    <t>Tb149</t>
  </si>
  <si>
    <t>Tb150</t>
  </si>
  <si>
    <t>Tb151</t>
  </si>
  <si>
    <t>Tb152</t>
  </si>
  <si>
    <t>Tb153</t>
  </si>
  <si>
    <t>Tb154</t>
  </si>
  <si>
    <t>Tb155</t>
  </si>
  <si>
    <t>Tb156</t>
  </si>
  <si>
    <t>Tb157</t>
  </si>
  <si>
    <t>Tb158</t>
  </si>
  <si>
    <t>Tb159</t>
  </si>
  <si>
    <t>Tb160</t>
  </si>
  <si>
    <t>Tb161</t>
  </si>
  <si>
    <t>Tb162</t>
  </si>
  <si>
    <t>Tb163</t>
  </si>
  <si>
    <t>Tb164</t>
  </si>
  <si>
    <t>Tb165</t>
  </si>
  <si>
    <t>Tb166</t>
  </si>
  <si>
    <t>Tb167</t>
  </si>
  <si>
    <t>Tb168</t>
  </si>
  <si>
    <t>Tb169</t>
  </si>
  <si>
    <t>Tb170</t>
  </si>
  <si>
    <t>Tb171</t>
  </si>
  <si>
    <t>Tb172</t>
  </si>
  <si>
    <t>Dy139</t>
  </si>
  <si>
    <t>Dy141</t>
  </si>
  <si>
    <t>Dy142</t>
  </si>
  <si>
    <t>Dy143</t>
  </si>
  <si>
    <t>Dy144</t>
  </si>
  <si>
    <t>Dy145</t>
  </si>
  <si>
    <t>Dy146</t>
  </si>
  <si>
    <t>Dy147</t>
  </si>
  <si>
    <t>Dy148</t>
  </si>
  <si>
    <t>Dy149</t>
  </si>
  <si>
    <t>Dy150</t>
  </si>
  <si>
    <t>Dy151</t>
  </si>
  <si>
    <t>Dy152</t>
  </si>
  <si>
    <t>Dy153</t>
  </si>
  <si>
    <t>Dy154</t>
  </si>
  <si>
    <t>Dy155</t>
  </si>
  <si>
    <t>Dy156</t>
  </si>
  <si>
    <t>Dy157</t>
  </si>
  <si>
    <t>Dy158</t>
  </si>
  <si>
    <t>Dy159</t>
  </si>
  <si>
    <t>Dy160</t>
  </si>
  <si>
    <t>Dy161</t>
  </si>
  <si>
    <t>Dy162</t>
  </si>
  <si>
    <t>Dy163</t>
  </si>
  <si>
    <t>Dy164</t>
  </si>
  <si>
    <t>Dy165</t>
  </si>
  <si>
    <t>Dy166</t>
  </si>
  <si>
    <t>Dy167</t>
  </si>
  <si>
    <t>Dy168</t>
  </si>
  <si>
    <t>Dy169</t>
  </si>
  <si>
    <t>Dy171</t>
  </si>
  <si>
    <t>Dy172</t>
  </si>
  <si>
    <t>Dy173</t>
  </si>
  <si>
    <t>Ho140</t>
  </si>
  <si>
    <t>Ho141</t>
  </si>
  <si>
    <t>Ho142</t>
  </si>
  <si>
    <t>Ho144</t>
  </si>
  <si>
    <t>Ho145</t>
  </si>
  <si>
    <t>Ho146</t>
  </si>
  <si>
    <t>Ho147</t>
  </si>
  <si>
    <t>Ho148</t>
  </si>
  <si>
    <t>Ho149</t>
  </si>
  <si>
    <t>Ho150</t>
  </si>
  <si>
    <t>Ho151</t>
  </si>
  <si>
    <t>Ho152</t>
  </si>
  <si>
    <t>Ho153</t>
  </si>
  <si>
    <t>Ho154</t>
  </si>
  <si>
    <t>Ho155</t>
  </si>
  <si>
    <t>Ho156</t>
  </si>
  <si>
    <t>Ho157</t>
  </si>
  <si>
    <t>Ho158</t>
  </si>
  <si>
    <t>Ho159</t>
  </si>
  <si>
    <t>Ho160</t>
  </si>
  <si>
    <t>Ho161</t>
  </si>
  <si>
    <t>Ho162</t>
  </si>
  <si>
    <t>Ho163</t>
  </si>
  <si>
    <t>Ho164</t>
  </si>
  <si>
    <t>Ho165</t>
  </si>
  <si>
    <t>Ho166</t>
  </si>
  <si>
    <t>Ho167</t>
  </si>
  <si>
    <t>Ho168</t>
  </si>
  <si>
    <t>Ho169</t>
  </si>
  <si>
    <t>Ho170</t>
  </si>
  <si>
    <t>Ho171</t>
  </si>
  <si>
    <t>Ho172</t>
  </si>
  <si>
    <t>Ho173</t>
  </si>
  <si>
    <t>Ho174</t>
  </si>
  <si>
    <t>Ho175</t>
  </si>
  <si>
    <t>Ho176</t>
  </si>
  <si>
    <t>Er144</t>
  </si>
  <si>
    <t>Er145</t>
  </si>
  <si>
    <t>Er146</t>
  </si>
  <si>
    <t>Er147</t>
  </si>
  <si>
    <t>Er148</t>
  </si>
  <si>
    <t>Er149</t>
  </si>
  <si>
    <t>Er150</t>
  </si>
  <si>
    <t>Er151</t>
  </si>
  <si>
    <t>Er152</t>
  </si>
  <si>
    <t>Er153</t>
  </si>
  <si>
    <t>Er154</t>
  </si>
  <si>
    <t>Er155</t>
  </si>
  <si>
    <t>Er156</t>
  </si>
  <si>
    <t>Er157</t>
  </si>
  <si>
    <t>Er158</t>
  </si>
  <si>
    <t>Er159</t>
  </si>
  <si>
    <t>Er160</t>
  </si>
  <si>
    <t>Er161</t>
  </si>
  <si>
    <t>Er162</t>
  </si>
  <si>
    <t>Er163</t>
  </si>
  <si>
    <t>Er164</t>
  </si>
  <si>
    <t>Er165</t>
  </si>
  <si>
    <t>Er166</t>
  </si>
  <si>
    <t>Er167</t>
  </si>
  <si>
    <t>Er168</t>
  </si>
  <si>
    <t>Er169</t>
  </si>
  <si>
    <t>Er170</t>
  </si>
  <si>
    <t>Er171</t>
  </si>
  <si>
    <t>Er172</t>
  </si>
  <si>
    <t>Er173</t>
  </si>
  <si>
    <t>Er174</t>
  </si>
  <si>
    <t>Er175</t>
  </si>
  <si>
    <t>Er176</t>
  </si>
  <si>
    <t>Er177</t>
  </si>
  <si>
    <t>Er178</t>
  </si>
  <si>
    <t>Tm144</t>
  </si>
  <si>
    <t>Tm145</t>
  </si>
  <si>
    <t>Tm146</t>
  </si>
  <si>
    <t>Tm147</t>
  </si>
  <si>
    <t>Tm148</t>
  </si>
  <si>
    <t>Tm149</t>
  </si>
  <si>
    <t>Tm150</t>
  </si>
  <si>
    <t>Tm151</t>
  </si>
  <si>
    <t>Tm152</t>
  </si>
  <si>
    <t>Tm153</t>
  </si>
  <si>
    <t>Tm154</t>
  </si>
  <si>
    <t>Tm155</t>
  </si>
  <si>
    <t>Tm156</t>
  </si>
  <si>
    <t>Tm157</t>
  </si>
  <si>
    <t>Tm158</t>
  </si>
  <si>
    <t>Tm159</t>
  </si>
  <si>
    <t>Tm160</t>
  </si>
  <si>
    <t>Tm161</t>
  </si>
  <si>
    <t>Tm162</t>
  </si>
  <si>
    <t>Tm163</t>
  </si>
  <si>
    <t>Tm164</t>
  </si>
  <si>
    <t>Tm165</t>
  </si>
  <si>
    <t>Tm166</t>
  </si>
  <si>
    <t>Tm167</t>
  </si>
  <si>
    <t>Tm168</t>
  </si>
  <si>
    <t>Tm169</t>
  </si>
  <si>
    <t>Tm170</t>
  </si>
  <si>
    <t>Tm171</t>
  </si>
  <si>
    <t>Tm172</t>
  </si>
  <si>
    <t>Tm173</t>
  </si>
  <si>
    <t>Tm174</t>
  </si>
  <si>
    <t>Tm175</t>
  </si>
  <si>
    <t>Tm176</t>
  </si>
  <si>
    <t>Tm177</t>
  </si>
  <si>
    <t>Tm178</t>
  </si>
  <si>
    <t>Tm179</t>
  </si>
  <si>
    <t>Tm180</t>
  </si>
  <si>
    <t>Tm181</t>
  </si>
  <si>
    <t>Yb149</t>
  </si>
  <si>
    <t>Yb150</t>
  </si>
  <si>
    <t>Yb151</t>
  </si>
  <si>
    <t>Yb152</t>
  </si>
  <si>
    <t>Yb153</t>
  </si>
  <si>
    <t>Yb154</t>
  </si>
  <si>
    <t>Yb155</t>
  </si>
  <si>
    <t>Yb156</t>
  </si>
  <si>
    <t>Yb157</t>
  </si>
  <si>
    <t>Yb158</t>
  </si>
  <si>
    <t>Yb159</t>
  </si>
  <si>
    <t>Yb160</t>
  </si>
  <si>
    <t>Yb161</t>
  </si>
  <si>
    <t>Yb162</t>
  </si>
  <si>
    <t>Yb163</t>
  </si>
  <si>
    <t>Yb164</t>
  </si>
  <si>
    <t>Yb165</t>
  </si>
  <si>
    <t>Yb166</t>
  </si>
  <si>
    <t>Yb167</t>
  </si>
  <si>
    <t>Yb168</t>
  </si>
  <si>
    <t>Yb169</t>
  </si>
  <si>
    <t>Yb170</t>
  </si>
  <si>
    <t>Yb171</t>
  </si>
  <si>
    <t>Yb172</t>
  </si>
  <si>
    <t>Yb173</t>
  </si>
  <si>
    <t>Yb174</t>
  </si>
  <si>
    <t>Yb175</t>
  </si>
  <si>
    <t>Yb176</t>
  </si>
  <si>
    <t>Yb177</t>
  </si>
  <si>
    <t>Yb178</t>
  </si>
  <si>
    <t>Yb179</t>
  </si>
  <si>
    <t>Yb180</t>
  </si>
  <si>
    <t>Yb181</t>
  </si>
  <si>
    <t>Yb182</t>
  </si>
  <si>
    <t>Yb183</t>
  </si>
  <si>
    <t>Yb184</t>
  </si>
  <si>
    <t>Yb185</t>
  </si>
  <si>
    <t>Lu150</t>
  </si>
  <si>
    <t>Lu151</t>
  </si>
  <si>
    <t>Lu152</t>
  </si>
  <si>
    <t>Lu153</t>
  </si>
  <si>
    <t>Lu154</t>
  </si>
  <si>
    <t>Lu155</t>
  </si>
  <si>
    <t>Lu156</t>
  </si>
  <si>
    <t>Lu157</t>
  </si>
  <si>
    <t>Lu158</t>
  </si>
  <si>
    <t>Lu159</t>
  </si>
  <si>
    <t>Lu160</t>
  </si>
  <si>
    <t>Lu161</t>
  </si>
  <si>
    <t>Lu162</t>
  </si>
  <si>
    <t>Lu163</t>
  </si>
  <si>
    <t>Lu164</t>
  </si>
  <si>
    <t>Lu165</t>
  </si>
  <si>
    <t>Lu166</t>
  </si>
  <si>
    <t>Lu167</t>
  </si>
  <si>
    <t>Lu168</t>
  </si>
  <si>
    <t>Lu169</t>
  </si>
  <si>
    <t>Lu170</t>
  </si>
  <si>
    <t>Lu171</t>
  </si>
  <si>
    <t>Lu172</t>
  </si>
  <si>
    <t>Lu173</t>
  </si>
  <si>
    <t>Lu174</t>
  </si>
  <si>
    <t>Lu175</t>
  </si>
  <si>
    <t>Lu176</t>
  </si>
  <si>
    <t>Lu177</t>
  </si>
  <si>
    <t>Lu178</t>
  </si>
  <si>
    <t>Lu179</t>
  </si>
  <si>
    <t>Lu180</t>
  </si>
  <si>
    <t>Lu181</t>
  </si>
  <si>
    <t>Lu182</t>
  </si>
  <si>
    <t>Lu183</t>
  </si>
  <si>
    <t>Lu184</t>
  </si>
  <si>
    <t>Lu185</t>
  </si>
  <si>
    <t>Lu186</t>
  </si>
  <si>
    <t>Lu187</t>
  </si>
  <si>
    <t>Lu188</t>
  </si>
  <si>
    <t>Hf153</t>
  </si>
  <si>
    <t>Hf154</t>
  </si>
  <si>
    <t>Hf155</t>
  </si>
  <si>
    <t>Hf156</t>
  </si>
  <si>
    <t>Hf157</t>
  </si>
  <si>
    <t>Hf158</t>
  </si>
  <si>
    <t>Hf159</t>
  </si>
  <si>
    <t>Hf160</t>
  </si>
  <si>
    <t>Hf161</t>
  </si>
  <si>
    <t>Hf162</t>
  </si>
  <si>
    <t>Hf163</t>
  </si>
  <si>
    <t>Hf164</t>
  </si>
  <si>
    <t>Hf165</t>
  </si>
  <si>
    <t>Hf166</t>
  </si>
  <si>
    <t>Hf167</t>
  </si>
  <si>
    <t>Hf168</t>
  </si>
  <si>
    <t>Hf169</t>
  </si>
  <si>
    <t>Hf170</t>
  </si>
  <si>
    <t>Hf171</t>
  </si>
  <si>
    <t>Hf172</t>
  </si>
  <si>
    <t>Hf173</t>
  </si>
  <si>
    <t>Hf174</t>
  </si>
  <si>
    <t>Hf175</t>
  </si>
  <si>
    <t>Hf176</t>
  </si>
  <si>
    <t>Hf177</t>
  </si>
  <si>
    <t>Hf178</t>
  </si>
  <si>
    <t>Hf179</t>
  </si>
  <si>
    <t>Hf180</t>
  </si>
  <si>
    <t>Hf181</t>
  </si>
  <si>
    <t>Hf182</t>
  </si>
  <si>
    <t>Hf183</t>
  </si>
  <si>
    <t>Hf184</t>
  </si>
  <si>
    <t>Hf185</t>
  </si>
  <si>
    <t>Hf186</t>
  </si>
  <si>
    <t>Hf187</t>
  </si>
  <si>
    <t>Hf190</t>
  </si>
  <si>
    <t>Ta155</t>
  </si>
  <si>
    <t>Ta156</t>
  </si>
  <si>
    <t>Ta157</t>
  </si>
  <si>
    <t>Ta158</t>
  </si>
  <si>
    <t>Ta159</t>
  </si>
  <si>
    <t>Ta160</t>
  </si>
  <si>
    <t>Ta162</t>
  </si>
  <si>
    <t>Ta163</t>
  </si>
  <si>
    <t>Ta164</t>
  </si>
  <si>
    <t>Ta165</t>
  </si>
  <si>
    <t>Ta166</t>
  </si>
  <si>
    <t>Ta167</t>
  </si>
  <si>
    <t>Ta168</t>
  </si>
  <si>
    <t>Ta169</t>
  </si>
  <si>
    <t>Ta170</t>
  </si>
  <si>
    <t>Ta171</t>
  </si>
  <si>
    <t>Ta172</t>
  </si>
  <si>
    <t>Ta173</t>
  </si>
  <si>
    <t>Ta174</t>
  </si>
  <si>
    <t>Ta175</t>
  </si>
  <si>
    <t>Ta176</t>
  </si>
  <si>
    <t>Ta177</t>
  </si>
  <si>
    <t>Ta178</t>
  </si>
  <si>
    <t>Ta179</t>
  </si>
  <si>
    <t>Ta180</t>
  </si>
  <si>
    <t>Ta181</t>
  </si>
  <si>
    <t>Ta182</t>
  </si>
  <si>
    <t>Ta183</t>
  </si>
  <si>
    <t>Ta184</t>
  </si>
  <si>
    <t>Ta185</t>
  </si>
  <si>
    <t>Ta186</t>
  </si>
  <si>
    <t>Ta187</t>
  </si>
  <si>
    <t>Ta188</t>
  </si>
  <si>
    <t>Ta189</t>
  </si>
  <si>
    <t>Ta190</t>
  </si>
  <si>
    <t>Ta191</t>
  </si>
  <si>
    <t>Ta192</t>
  </si>
  <si>
    <t>Ta193</t>
  </si>
  <si>
    <t>Ta194</t>
  </si>
  <si>
    <t>W157</t>
  </si>
  <si>
    <t>W158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</si>
  <si>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</si>
  <si>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</si>
  <si>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</si>
  <si>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</si>
  <si>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</si>
  <si>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</si>
  <si>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</si>
  <si>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</si>
  <si>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</si>
  <si>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</si>
  <si>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</si>
  <si>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</si>
  <si>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</si>
  <si>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</si>
  <si>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</si>
  <si>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</si>
  <si>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</si>
  <si>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</si>
  <si>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</si>
  <si>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</si>
  <si>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</si>
  <si>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</si>
  <si>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</si>
  <si>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</si>
  <si>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</si>
  <si>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</si>
  <si>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</si>
  <si>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</si>
  <si>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</si>
  <si>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</si>
  <si>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</si>
  <si>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W190</t>
  </si>
  <si>
    <t>W191</t>
  </si>
  <si>
    <t>W193</t>
  </si>
  <si>
    <t>W194</t>
  </si>
  <si>
    <t>W195</t>
  </si>
  <si>
    <t>W196</t>
  </si>
  <si>
    <t>W197</t>
  </si>
  <si>
    <t>Re160</t>
  </si>
  <si>
    <t>Re161</t>
  </si>
  <si>
    <t>Re162</t>
  </si>
  <si>
    <t>Re163</t>
  </si>
  <si>
    <t>Re164</t>
  </si>
  <si>
    <t>Re165</t>
  </si>
  <si>
    <t>Re166</t>
  </si>
  <si>
    <t>Re167</t>
  </si>
  <si>
    <t>Re168</t>
  </si>
  <si>
    <t>Re169</t>
  </si>
  <si>
    <t>Re170</t>
  </si>
  <si>
    <t>Re171</t>
  </si>
  <si>
    <t>Re172</t>
  </si>
  <si>
    <t>Re173</t>
  </si>
  <si>
    <t>Re174</t>
  </si>
  <si>
    <t>Re175</t>
  </si>
  <si>
    <t>Re176</t>
  </si>
  <si>
    <t>Re177</t>
  </si>
  <si>
    <t>Re178</t>
  </si>
  <si>
    <t>Re179</t>
  </si>
  <si>
    <t>Re180</t>
  </si>
  <si>
    <t>Re181</t>
  </si>
  <si>
    <t>Re182</t>
  </si>
  <si>
    <t>Re183</t>
  </si>
  <si>
    <t>Re184</t>
  </si>
  <si>
    <t>Re185</t>
  </si>
  <si>
    <t>Re186</t>
  </si>
  <si>
    <t>Re187</t>
  </si>
  <si>
    <t>Re188</t>
  </si>
  <si>
    <t>Re189</t>
  </si>
  <si>
    <t>Re190</t>
  </si>
  <si>
    <t>Re191</t>
  </si>
  <si>
    <t>Re192</t>
  </si>
  <si>
    <t>Re194</t>
  </si>
  <si>
    <t>Re195</t>
  </si>
  <si>
    <t>Re196</t>
  </si>
  <si>
    <t>Re197</t>
  </si>
  <si>
    <t>Re198</t>
  </si>
  <si>
    <t>Re199</t>
  </si>
  <si>
    <t>Os161</t>
  </si>
  <si>
    <t>Os162</t>
  </si>
  <si>
    <t>Os163</t>
  </si>
  <si>
    <t>Os164</t>
  </si>
  <si>
    <t>Os165</t>
  </si>
  <si>
    <t>Os166</t>
  </si>
  <si>
    <t>Os167</t>
  </si>
  <si>
    <t>Os168</t>
  </si>
  <si>
    <t>Os169</t>
  </si>
  <si>
    <t>Os170</t>
  </si>
  <si>
    <t>Os171</t>
  </si>
  <si>
    <t>Os172</t>
  </si>
  <si>
    <t>Os173</t>
  </si>
  <si>
    <t>Os174</t>
  </si>
  <si>
    <t>Os175</t>
  </si>
  <si>
    <t>Os176</t>
  </si>
  <si>
    <t>Os177</t>
  </si>
  <si>
    <t>Os178</t>
  </si>
  <si>
    <t>Os179</t>
  </si>
  <si>
    <t>Os180</t>
  </si>
  <si>
    <t>Os181</t>
  </si>
  <si>
    <t>Os182</t>
  </si>
  <si>
    <t>Os183</t>
  </si>
  <si>
    <t>Os184</t>
  </si>
  <si>
    <t>Os185</t>
  </si>
  <si>
    <t>Os186</t>
  </si>
  <si>
    <t>Os187</t>
  </si>
  <si>
    <t>Os188</t>
  </si>
  <si>
    <t>Os189</t>
  </si>
  <si>
    <t>Os190</t>
  </si>
  <si>
    <t>Os191</t>
  </si>
  <si>
    <t>Os192</t>
  </si>
  <si>
    <t>Os193</t>
  </si>
  <si>
    <t>Os194</t>
  </si>
  <si>
    <t>Os195</t>
  </si>
  <si>
    <t>Os196</t>
  </si>
  <si>
    <t>Os197</t>
  </si>
  <si>
    <t>Os199</t>
  </si>
  <si>
    <t>Os200</t>
  </si>
  <si>
    <t>Os201</t>
  </si>
  <si>
    <t>Os202</t>
  </si>
  <si>
    <t>Os203</t>
  </si>
  <si>
    <t>Ir164</t>
  </si>
  <si>
    <t>Ir166</t>
  </si>
  <si>
    <t>Ir167</t>
  </si>
  <si>
    <t>Ir168</t>
  </si>
  <si>
    <t>Ir169</t>
  </si>
  <si>
    <t>Ir170</t>
  </si>
  <si>
    <t>Ir171</t>
  </si>
  <si>
    <t>Ir172</t>
  </si>
  <si>
    <t>Ir173</t>
  </si>
  <si>
    <t>Ir174</t>
  </si>
  <si>
    <t>Ir175</t>
  </si>
  <si>
    <t>Ir176</t>
  </si>
  <si>
    <t>Ir177</t>
  </si>
  <si>
    <t>Ir178</t>
  </si>
  <si>
    <t>Ir179</t>
  </si>
  <si>
    <t>Ir180</t>
  </si>
  <si>
    <t>Ir181</t>
  </si>
  <si>
    <t>Ir182</t>
  </si>
  <si>
    <t>Ir183</t>
  </si>
  <si>
    <t>Ir184</t>
  </si>
  <si>
    <t>Ir185</t>
  </si>
  <si>
    <t>Ir186</t>
  </si>
  <si>
    <t>Ir187</t>
  </si>
  <si>
    <t>Ir188</t>
  </si>
  <si>
    <t>Ir189</t>
  </si>
  <si>
    <t>Ir190</t>
  </si>
  <si>
    <t>Ir191</t>
  </si>
  <si>
    <t>Ir192</t>
  </si>
  <si>
    <t>Ir193</t>
  </si>
  <si>
    <t>Ir194</t>
  </si>
  <si>
    <t>Ir195</t>
  </si>
  <si>
    <t>Ir196</t>
  </si>
  <si>
    <t>Ir197</t>
  </si>
  <si>
    <t>Ir198</t>
  </si>
  <si>
    <t>Ir199</t>
  </si>
  <si>
    <t>Ir200</t>
  </si>
  <si>
    <t>Ir201</t>
  </si>
  <si>
    <t>Ir202</t>
  </si>
  <si>
    <t>Ir203</t>
  </si>
  <si>
    <t>Ir204</t>
  </si>
  <si>
    <t>Ir205</t>
  </si>
  <si>
    <t>Pt166</t>
  </si>
  <si>
    <t>Pt167</t>
  </si>
  <si>
    <t>Pt168</t>
  </si>
  <si>
    <t>Pt169</t>
  </si>
  <si>
    <t>Pt170</t>
  </si>
  <si>
    <t>Pt171</t>
  </si>
  <si>
    <t>Pt172</t>
  </si>
  <si>
    <t>Pt173</t>
  </si>
  <si>
    <t>Pt174</t>
  </si>
  <si>
    <t>Pt175</t>
  </si>
  <si>
    <t>Pt176</t>
  </si>
  <si>
    <t>Pt177</t>
  </si>
  <si>
    <t>Pt178</t>
  </si>
  <si>
    <t>Pt179</t>
  </si>
  <si>
    <t>Pt180</t>
  </si>
  <si>
    <t>Pt181</t>
  </si>
  <si>
    <t>Pt182</t>
  </si>
  <si>
    <t>Pt183</t>
  </si>
  <si>
    <t>Pt184</t>
  </si>
  <si>
    <t>Pt185</t>
  </si>
  <si>
    <t>Pt186</t>
  </si>
  <si>
    <t>Pt187</t>
  </si>
  <si>
    <t>Pt188</t>
  </si>
  <si>
    <t>Pt189</t>
  </si>
  <si>
    <t>Pt190</t>
  </si>
  <si>
    <t>Pt191</t>
  </si>
  <si>
    <t>Pt192</t>
  </si>
  <si>
    <t>Pt193</t>
  </si>
  <si>
    <t>Pt194</t>
  </si>
  <si>
    <t>Pt195</t>
  </si>
  <si>
    <t>Pt196</t>
  </si>
  <si>
    <t>Pt197</t>
  </si>
  <si>
    <t>Pt198</t>
  </si>
  <si>
    <t>Pt199</t>
  </si>
  <si>
    <t>Pt200</t>
  </si>
  <si>
    <t>Pt201</t>
  </si>
  <si>
    <t>Pt202</t>
  </si>
  <si>
    <t>Pt203</t>
  </si>
  <si>
    <t>Pt204</t>
  </si>
  <si>
    <t>Pt205</t>
  </si>
  <si>
    <t>Pt206</t>
  </si>
  <si>
    <t>Pt207</t>
  </si>
  <si>
    <t>Pt208</t>
  </si>
  <si>
    <t>Au170</t>
  </si>
  <si>
    <t>Au171</t>
  </si>
  <si>
    <t>Au172</t>
  </si>
  <si>
    <t>Au173</t>
  </si>
  <si>
    <t>Au174</t>
  </si>
  <si>
    <t>Au176</t>
  </si>
  <si>
    <t>Au177</t>
  </si>
  <si>
    <t>Au178</t>
  </si>
  <si>
    <t>Au179</t>
  </si>
  <si>
    <t>Au180</t>
  </si>
  <si>
    <t>Au181</t>
  </si>
  <si>
    <t>Au182</t>
  </si>
  <si>
    <t>Au183</t>
  </si>
  <si>
    <t>Au184</t>
  </si>
  <si>
    <t>Au185</t>
  </si>
  <si>
    <t>Au186</t>
  </si>
  <si>
    <t>Au187</t>
  </si>
  <si>
    <t>Au188</t>
  </si>
  <si>
    <t>Au189</t>
  </si>
  <si>
    <t>Au190</t>
  </si>
  <si>
    <t>Au191</t>
  </si>
  <si>
    <t>Au192</t>
  </si>
  <si>
    <t>Au193</t>
  </si>
  <si>
    <t>Au194</t>
  </si>
  <si>
    <t>Au195</t>
  </si>
  <si>
    <t>Au196</t>
  </si>
  <si>
    <t>Au197</t>
  </si>
  <si>
    <t>Au198</t>
  </si>
  <si>
    <t>Au199</t>
  </si>
  <si>
    <t>Au200</t>
  </si>
  <si>
    <t>Au201</t>
  </si>
  <si>
    <t>Au202</t>
  </si>
  <si>
    <t>Au203</t>
  </si>
  <si>
    <t>Au204</t>
  </si>
  <si>
    <t>Au205</t>
  </si>
  <si>
    <t>Au206</t>
  </si>
  <si>
    <t>Au207</t>
  </si>
  <si>
    <t>Au208</t>
  </si>
  <si>
    <t>Au209</t>
  </si>
  <si>
    <t>Au210</t>
  </si>
  <si>
    <t>Hg171</t>
  </si>
  <si>
    <t>Hg172</t>
  </si>
  <si>
    <t>Hg173</t>
  </si>
  <si>
    <t>Hg174</t>
  </si>
  <si>
    <t>Hg175</t>
  </si>
  <si>
    <t>Hg176</t>
  </si>
  <si>
    <t>Hg177</t>
  </si>
  <si>
    <t>Hg178</t>
  </si>
  <si>
    <t>Hg179</t>
  </si>
  <si>
    <t>Hg180</t>
  </si>
  <si>
    <t>Hg181</t>
  </si>
  <si>
    <t>Hg182</t>
  </si>
  <si>
    <t>Hg183</t>
  </si>
  <si>
    <t>Hg184</t>
  </si>
  <si>
    <t>Hg185</t>
  </si>
  <si>
    <t>Hg186</t>
  </si>
  <si>
    <t>Hg187</t>
  </si>
  <si>
    <t>Hg188</t>
  </si>
  <si>
    <t>Hg189</t>
  </si>
  <si>
    <t>Hg190</t>
  </si>
  <si>
    <t>Hg191</t>
  </si>
  <si>
    <t>Hg192</t>
  </si>
  <si>
    <t>Hg193</t>
  </si>
  <si>
    <t>Hg194</t>
  </si>
  <si>
    <t>Hg195</t>
  </si>
  <si>
    <t>Hg196</t>
  </si>
  <si>
    <t>Hg197</t>
  </si>
  <si>
    <t>Hg198</t>
  </si>
  <si>
    <t>Hg199</t>
  </si>
  <si>
    <t>Hg200</t>
  </si>
  <si>
    <t>Hg201</t>
  </si>
  <si>
    <t>Hg202</t>
  </si>
  <si>
    <t>Hg203</t>
  </si>
  <si>
    <t>Hg204</t>
  </si>
  <si>
    <t>Hg205</t>
  </si>
  <si>
    <t>Hg206</t>
  </si>
  <si>
    <t>Hg207</t>
  </si>
  <si>
    <t>Hg208</t>
  </si>
  <si>
    <t>Hg209</t>
  </si>
  <si>
    <t>Hg210</t>
  </si>
  <si>
    <t>Hg211</t>
  </si>
  <si>
    <t>Hg212</t>
  </si>
  <si>
    <t>Hg213</t>
  </si>
  <si>
    <t>Hg214</t>
  </si>
  <si>
    <t>Hg215</t>
  </si>
  <si>
    <t>Hg216</t>
  </si>
  <si>
    <t>Tl176</t>
  </si>
  <si>
    <t>Tl177</t>
  </si>
  <si>
    <t>Tl178</t>
  </si>
  <si>
    <t>Tl179</t>
  </si>
  <si>
    <t>Tl180</t>
  </si>
  <si>
    <t>Tl181</t>
  </si>
  <si>
    <t>Tl182</t>
  </si>
  <si>
    <t>Tl183</t>
  </si>
  <si>
    <t>Tl184</t>
  </si>
  <si>
    <t>Tl185</t>
  </si>
  <si>
    <t>Tl186</t>
  </si>
  <si>
    <t>Tl187</t>
  </si>
  <si>
    <t>Tl188</t>
  </si>
  <si>
    <t>Tl189</t>
  </si>
  <si>
    <t>Tl190</t>
  </si>
  <si>
    <t>Tl191</t>
  </si>
  <si>
    <t>Tl192</t>
  </si>
  <si>
    <t>Tl193</t>
  </si>
  <si>
    <t>Tl194</t>
  </si>
  <si>
    <t>Tl195</t>
  </si>
  <si>
    <t>Tl196</t>
  </si>
  <si>
    <t>Tl197</t>
  </si>
  <si>
    <t>Tl198</t>
  </si>
  <si>
    <t>Tl199</t>
  </si>
  <si>
    <t>Tl200</t>
  </si>
  <si>
    <t>Tl201</t>
  </si>
  <si>
    <t>Tl202</t>
  </si>
  <si>
    <t>Tl203</t>
  </si>
  <si>
    <t>Tl204</t>
  </si>
  <si>
    <t>Tl205</t>
  </si>
  <si>
    <t>Tl206</t>
  </si>
  <si>
    <t>Tl207</t>
  </si>
  <si>
    <t>Tl208</t>
  </si>
  <si>
    <t>Tl209</t>
  </si>
  <si>
    <t>Tl210</t>
  </si>
  <si>
    <t>Tl211</t>
  </si>
  <si>
    <t>Tl212</t>
  </si>
  <si>
    <t>Tl213</t>
  </si>
  <si>
    <t>Tl214</t>
  </si>
  <si>
    <t>Tl215</t>
  </si>
  <si>
    <t>Tl216</t>
  </si>
  <si>
    <t>Tl217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</si>
  <si>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</si>
  <si>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</si>
  <si>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</si>
  <si>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</si>
  <si>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</si>
  <si>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</si>
  <si>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</si>
  <si>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</si>
  <si>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</si>
  <si>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</si>
  <si>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</si>
  <si>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</si>
  <si>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</si>
  <si>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</si>
  <si>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</si>
  <si>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</si>
  <si>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</si>
  <si>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</si>
  <si>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</si>
  <si>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</si>
  <si>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</si>
  <si>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</si>
  <si>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</si>
  <si>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</si>
  <si>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</si>
  <si>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</si>
  <si>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</si>
  <si>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</si>
  <si>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</si>
  <si>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</si>
  <si>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</si>
  <si>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</si>
  <si>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</si>
  <si>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</si>
  <si>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</si>
  <si>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</si>
  <si>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</si>
  <si>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</si>
  <si>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</si>
  <si>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</si>
  <si>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</si>
  <si>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</si>
  <si>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</si>
  <si>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Bi184</t>
  </si>
  <si>
    <t>Bi185</t>
  </si>
  <si>
    <t>Bi186</t>
  </si>
  <si>
    <t>Bi187</t>
  </si>
  <si>
    <t>Bi188</t>
  </si>
  <si>
    <t>Bi189</t>
  </si>
  <si>
    <t>Bi190</t>
  </si>
  <si>
    <t>Bi191</t>
  </si>
  <si>
    <t>Bi192</t>
  </si>
  <si>
    <t>Bi193</t>
  </si>
  <si>
    <t>Bi194</t>
  </si>
  <si>
    <t>Bi195</t>
  </si>
  <si>
    <t>Bi196</t>
  </si>
  <si>
    <t>Bi197</t>
  </si>
  <si>
    <t>Bi198</t>
  </si>
  <si>
    <t>Bi199</t>
  </si>
  <si>
    <t>Bi200</t>
  </si>
  <si>
    <t>Bi201</t>
  </si>
  <si>
    <t>Bi202</t>
  </si>
  <si>
    <t>Bi203</t>
  </si>
  <si>
    <t>Bi204</t>
  </si>
  <si>
    <t>Bi205</t>
  </si>
  <si>
    <t>Bi206</t>
  </si>
  <si>
    <t>Bi207</t>
  </si>
  <si>
    <t>Bi208</t>
  </si>
  <si>
    <t>Bi209</t>
  </si>
  <si>
    <t>Bi210</t>
  </si>
  <si>
    <t>Bi211</t>
  </si>
  <si>
    <t>Bi212</t>
  </si>
  <si>
    <t>Bi213</t>
  </si>
  <si>
    <t>Bi214</t>
  </si>
  <si>
    <t>Bi215</t>
  </si>
  <si>
    <t>Bi216</t>
  </si>
  <si>
    <t>Bi217</t>
  </si>
  <si>
    <t>Bi218</t>
  </si>
  <si>
    <t>Bi219</t>
  </si>
  <si>
    <t>Bi220</t>
  </si>
  <si>
    <t>Bi221</t>
  </si>
  <si>
    <t>Bi222</t>
  </si>
  <si>
    <t>Bi223</t>
  </si>
  <si>
    <t>Bi224</t>
  </si>
  <si>
    <t>Po186</t>
  </si>
  <si>
    <t>Po187</t>
  </si>
  <si>
    <t>Po188</t>
  </si>
  <si>
    <t>Po189</t>
  </si>
  <si>
    <t>Po190</t>
  </si>
  <si>
    <t>Po191</t>
  </si>
  <si>
    <t>Po192</t>
  </si>
  <si>
    <t>Po193</t>
  </si>
  <si>
    <t>Po194</t>
  </si>
  <si>
    <t>Po195</t>
  </si>
  <si>
    <t>Po196</t>
  </si>
  <si>
    <t>Po197</t>
  </si>
  <si>
    <t>Po198</t>
  </si>
  <si>
    <t>Po199</t>
  </si>
  <si>
    <t>Po200</t>
  </si>
  <si>
    <t>Po201</t>
  </si>
  <si>
    <t>Po202</t>
  </si>
  <si>
    <t>Po203</t>
  </si>
  <si>
    <t>Po204</t>
  </si>
  <si>
    <t>Po205</t>
  </si>
  <si>
    <t>Po206</t>
  </si>
  <si>
    <t>Po207</t>
  </si>
  <si>
    <t>Po208</t>
  </si>
  <si>
    <t>Po209</t>
  </si>
  <si>
    <t>Po210</t>
  </si>
  <si>
    <t>Po211</t>
  </si>
  <si>
    <t>Po212</t>
  </si>
  <si>
    <t>Po213</t>
  </si>
  <si>
    <t>Po214</t>
  </si>
  <si>
    <t>Po215</t>
  </si>
  <si>
    <t>Po216</t>
  </si>
  <si>
    <t>Po217</t>
  </si>
  <si>
    <t>Po218</t>
  </si>
  <si>
    <t>Po219</t>
  </si>
  <si>
    <t>Po220</t>
  </si>
  <si>
    <t>Po221</t>
  </si>
  <si>
    <t>Po222</t>
  </si>
  <si>
    <t>Po223</t>
  </si>
  <si>
    <t>Po224</t>
  </si>
  <si>
    <t>Po225</t>
  </si>
  <si>
    <t>Po226</t>
  </si>
  <si>
    <t>Po227</t>
  </si>
  <si>
    <t>At191</t>
  </si>
  <si>
    <t>At192</t>
  </si>
  <si>
    <t>At193</t>
  </si>
  <si>
    <t>At194</t>
  </si>
  <si>
    <t>At195</t>
  </si>
  <si>
    <t>At196</t>
  </si>
  <si>
    <t>At197</t>
  </si>
  <si>
    <t>At198</t>
  </si>
  <si>
    <t>At199</t>
  </si>
  <si>
    <t>At200</t>
  </si>
  <si>
    <t>At201</t>
  </si>
  <si>
    <t>At202</t>
  </si>
  <si>
    <t>At203</t>
  </si>
  <si>
    <t>At204</t>
  </si>
  <si>
    <t>At205</t>
  </si>
  <si>
    <t>At206</t>
  </si>
  <si>
    <t>At207</t>
  </si>
  <si>
    <t>At208</t>
  </si>
  <si>
    <t>At209</t>
  </si>
  <si>
    <t>At210</t>
  </si>
  <si>
    <t>At211</t>
  </si>
  <si>
    <t>At212</t>
  </si>
  <si>
    <t>At213</t>
  </si>
  <si>
    <t>At214</t>
  </si>
  <si>
    <t>At215</t>
  </si>
  <si>
    <t>At216</t>
  </si>
  <si>
    <t>At217</t>
  </si>
  <si>
    <t>At218</t>
  </si>
  <si>
    <t>At219</t>
  </si>
  <si>
    <t>At220</t>
  </si>
  <si>
    <t>At221</t>
  </si>
  <si>
    <t>At222</t>
  </si>
  <si>
    <t>At223</t>
  </si>
  <si>
    <t>At224</t>
  </si>
  <si>
    <t>At225</t>
  </si>
  <si>
    <t>At226</t>
  </si>
  <si>
    <t>At227</t>
  </si>
  <si>
    <t>At228</t>
  </si>
  <si>
    <t>At229</t>
  </si>
  <si>
    <t>Rn193</t>
  </si>
  <si>
    <t>Rn194</t>
  </si>
  <si>
    <t>Rn195</t>
  </si>
  <si>
    <t>Rn196</t>
  </si>
  <si>
    <t>Rn197</t>
  </si>
  <si>
    <t>Rn198</t>
  </si>
  <si>
    <t>Rn199</t>
  </si>
  <si>
    <t>Rn200</t>
  </si>
  <si>
    <t>Rn201</t>
  </si>
  <si>
    <t>Rn202</t>
  </si>
  <si>
    <t>Rn203</t>
  </si>
  <si>
    <t>Rn204</t>
  </si>
  <si>
    <t>Rn205</t>
  </si>
  <si>
    <t>Rn206</t>
  </si>
  <si>
    <t>Rn207</t>
  </si>
  <si>
    <t>Rn208</t>
  </si>
  <si>
    <t>Rn209</t>
  </si>
  <si>
    <t>Rn210</t>
  </si>
  <si>
    <t>Rn211</t>
  </si>
  <si>
    <t>Rn212</t>
  </si>
  <si>
    <t>Rn213</t>
  </si>
  <si>
    <t>Rn214</t>
  </si>
  <si>
    <t>Rn215</t>
  </si>
  <si>
    <t>Rn216</t>
  </si>
  <si>
    <t>Rn217</t>
  </si>
  <si>
    <t>Rn218</t>
  </si>
  <si>
    <t>Rn219</t>
  </si>
  <si>
    <t>Rn220</t>
  </si>
  <si>
    <t>Rn221</t>
  </si>
  <si>
    <t>Rn222</t>
  </si>
  <si>
    <t>Rn223</t>
  </si>
  <si>
    <t>Rn224</t>
  </si>
  <si>
    <t>Rn225</t>
  </si>
  <si>
    <t>Rn226</t>
  </si>
  <si>
    <t>Rn227</t>
  </si>
  <si>
    <t>Rn228</t>
  </si>
  <si>
    <t>Rn229</t>
  </si>
  <si>
    <t>Rn230</t>
  </si>
  <si>
    <t>Rn231</t>
  </si>
  <si>
    <t>Fr197</t>
  </si>
  <si>
    <t>Fr198</t>
  </si>
  <si>
    <t>Fr199</t>
  </si>
  <si>
    <t>Fr200</t>
  </si>
  <si>
    <t>Fr201</t>
  </si>
  <si>
    <t>Fr202</t>
  </si>
  <si>
    <t>Fr203</t>
  </si>
  <si>
    <t>Fr204</t>
  </si>
  <si>
    <t>Fr205</t>
  </si>
  <si>
    <t>Fr206</t>
  </si>
  <si>
    <t>Fr207</t>
  </si>
  <si>
    <t>Fr208</t>
  </si>
  <si>
    <t>Fr209</t>
  </si>
  <si>
    <t>Fr210</t>
  </si>
  <si>
    <t>Fr211</t>
  </si>
  <si>
    <t>Fr212</t>
  </si>
  <si>
    <t>Fr213</t>
  </si>
  <si>
    <t>Fr214</t>
  </si>
  <si>
    <t>Fr215</t>
  </si>
  <si>
    <t>Fr216</t>
  </si>
  <si>
    <t>Fr217</t>
  </si>
  <si>
    <t>Fr218</t>
  </si>
  <si>
    <t>Fr219</t>
  </si>
  <si>
    <t>Fr220</t>
  </si>
  <si>
    <t>Fr221</t>
  </si>
  <si>
    <t>Fr222</t>
  </si>
  <si>
    <t>Fr223</t>
  </si>
  <si>
    <t>Fr224</t>
  </si>
  <si>
    <t>Fr225</t>
  </si>
  <si>
    <t>Fr226</t>
  </si>
  <si>
    <t>Fr227</t>
  </si>
  <si>
    <t>Fr228</t>
  </si>
  <si>
    <t>Fr229</t>
  </si>
  <si>
    <t>Fr230</t>
  </si>
  <si>
    <t>Fr231</t>
  </si>
  <si>
    <t>Fr232</t>
  </si>
  <si>
    <t>Fr233</t>
  </si>
  <si>
    <t>Ra201</t>
  </si>
  <si>
    <t>Ra202</t>
  </si>
  <si>
    <t>Ra203</t>
  </si>
  <si>
    <t>Ra204</t>
  </si>
  <si>
    <t>Ra205</t>
  </si>
  <si>
    <t>Ra206</t>
  </si>
  <si>
    <t>Ra207</t>
  </si>
  <si>
    <t>Ra208</t>
  </si>
  <si>
    <t>Ra209</t>
  </si>
  <si>
    <t>Ra210</t>
  </si>
  <si>
    <t>Ra211</t>
  </si>
  <si>
    <t>Ra212</t>
  </si>
  <si>
    <t>Ra213</t>
  </si>
  <si>
    <t>Ra214</t>
  </si>
  <si>
    <t>Ra215</t>
  </si>
  <si>
    <t>Ra216</t>
  </si>
  <si>
    <t>Ra217</t>
  </si>
  <si>
    <t>Ra218</t>
  </si>
  <si>
    <t>Ra219</t>
  </si>
  <si>
    <t>Ra220</t>
  </si>
  <si>
    <t>Ra221</t>
  </si>
  <si>
    <t>Ra222</t>
  </si>
  <si>
    <t>Ra223</t>
  </si>
  <si>
    <t>Ra224</t>
  </si>
  <si>
    <t>Ra225</t>
  </si>
  <si>
    <t>Ra226</t>
  </si>
  <si>
    <t>Ra227</t>
  </si>
  <si>
    <t>Ra228</t>
  </si>
  <si>
    <t>Ra229</t>
  </si>
  <si>
    <t>Ra230</t>
  </si>
  <si>
    <t>Ra231</t>
  </si>
  <si>
    <t>Ra232</t>
  </si>
  <si>
    <t>Ra233</t>
  </si>
  <si>
    <t>Ra234</t>
  </si>
  <si>
    <t>Ac205</t>
  </si>
  <si>
    <t>Ac206</t>
  </si>
  <si>
    <t>Ac207</t>
  </si>
  <si>
    <t>Ac208</t>
  </si>
  <si>
    <t>Ac209</t>
  </si>
  <si>
    <t>Ac210</t>
  </si>
  <si>
    <t>Ac211</t>
  </si>
  <si>
    <t>Ac212</t>
  </si>
  <si>
    <t>Ac213</t>
  </si>
  <si>
    <t>Ac214</t>
  </si>
  <si>
    <t>Ac215</t>
  </si>
  <si>
    <t>Ac216</t>
  </si>
  <si>
    <t>Ac217</t>
  </si>
  <si>
    <t>Ac218</t>
  </si>
  <si>
    <t>Ac219</t>
  </si>
  <si>
    <t>Ac220</t>
  </si>
  <si>
    <t>Ac221</t>
  </si>
  <si>
    <t>Ac222</t>
  </si>
  <si>
    <t>Ac223</t>
  </si>
  <si>
    <t>Ac224</t>
  </si>
  <si>
    <t>Ac225</t>
  </si>
  <si>
    <t>Ac226</t>
  </si>
  <si>
    <t>Ac227</t>
  </si>
  <si>
    <t>Ac228</t>
  </si>
  <si>
    <t>Ac229</t>
  </si>
  <si>
    <t>Ac230</t>
  </si>
  <si>
    <t>Ac231</t>
  </si>
  <si>
    <t>Ac232</t>
  </si>
  <si>
    <t>Ac233</t>
  </si>
  <si>
    <t>Ac234</t>
  </si>
  <si>
    <t>Ac235</t>
  </si>
  <si>
    <t>Ac236</t>
  </si>
  <si>
    <t>Th208</t>
  </si>
  <si>
    <t>Th209</t>
  </si>
  <si>
    <t>Th210</t>
  </si>
  <si>
    <t>Th211</t>
  </si>
  <si>
    <t>Th212</t>
  </si>
  <si>
    <t>Th213</t>
  </si>
  <si>
    <t>Th214</t>
  </si>
  <si>
    <t>Th215</t>
  </si>
  <si>
    <t>Th216</t>
  </si>
  <si>
    <t>Th217</t>
  </si>
  <si>
    <t>Th218</t>
  </si>
  <si>
    <t>Th219</t>
  </si>
  <si>
    <t>Th220</t>
  </si>
  <si>
    <t>Th221</t>
  </si>
  <si>
    <t>Th222</t>
  </si>
  <si>
    <t>Th223</t>
  </si>
  <si>
    <t>Th224</t>
  </si>
  <si>
    <t>Th225</t>
  </si>
  <si>
    <t>Th226</t>
  </si>
  <si>
    <t>Th227</t>
  </si>
  <si>
    <t>Th228</t>
  </si>
  <si>
    <t>Th229</t>
  </si>
  <si>
    <t>Th230</t>
  </si>
  <si>
    <t>Th231</t>
  </si>
  <si>
    <t>Th232</t>
  </si>
  <si>
    <t>Th233</t>
  </si>
  <si>
    <t>Th234</t>
  </si>
  <si>
    <t>Th235</t>
  </si>
  <si>
    <t>Th236</t>
  </si>
  <si>
    <t>Th237</t>
  </si>
  <si>
    <t>Th238</t>
  </si>
  <si>
    <t>Pa211</t>
  </si>
  <si>
    <t>Pa212</t>
  </si>
  <si>
    <t>Pa213</t>
  </si>
  <si>
    <t>Pa214</t>
  </si>
  <si>
    <t>Pa215</t>
  </si>
  <si>
    <t>Pa216</t>
  </si>
  <si>
    <t>Pa217</t>
  </si>
  <si>
    <t>Pa218</t>
  </si>
  <si>
    <t>Pa219</t>
  </si>
  <si>
    <t>Pa220</t>
  </si>
  <si>
    <t>Pa221</t>
  </si>
  <si>
    <t>Pa222</t>
  </si>
  <si>
    <t>Pa223</t>
  </si>
  <si>
    <t>Pa224</t>
  </si>
  <si>
    <t>Pa225</t>
  </si>
  <si>
    <t>Pa226</t>
  </si>
  <si>
    <t>Pa227</t>
  </si>
  <si>
    <t>Pa228</t>
  </si>
  <si>
    <t>Pa229</t>
  </si>
  <si>
    <t>Pa230</t>
  </si>
  <si>
    <t>Pa231</t>
  </si>
  <si>
    <t>Pa232</t>
  </si>
  <si>
    <t>Pa233</t>
  </si>
  <si>
    <t>Pa234</t>
  </si>
  <si>
    <t>Pa235</t>
  </si>
  <si>
    <t>Pa236</t>
  </si>
  <si>
    <t>Pa237</t>
  </si>
  <si>
    <t>Pa238</t>
  </si>
  <si>
    <t>Pa239</t>
  </si>
  <si>
    <t>U216</t>
  </si>
  <si>
    <t>U217</t>
  </si>
  <si>
    <t>U218</t>
  </si>
  <si>
    <t>U219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</si>
  <si>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</si>
  <si>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</si>
  <si>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</si>
  <si>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</si>
  <si>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</si>
  <si>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</si>
  <si>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</si>
  <si>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</si>
  <si>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</si>
  <si>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</si>
  <si>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</si>
  <si>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</si>
  <si>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</si>
  <si>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</si>
  <si>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</si>
  <si>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</si>
  <si>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</si>
  <si>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</si>
  <si>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</si>
  <si>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</si>
  <si>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U242</t>
  </si>
  <si>
    <t>Np225</t>
  </si>
  <si>
    <t>Np226</t>
  </si>
  <si>
    <t>Np227</t>
  </si>
  <si>
    <t>Np228</t>
  </si>
  <si>
    <t>Np229</t>
  </si>
  <si>
    <t>Np230</t>
  </si>
  <si>
    <t>Np231</t>
  </si>
  <si>
    <t>Np232</t>
  </si>
  <si>
    <t>Np233</t>
  </si>
  <si>
    <t>Np234</t>
  </si>
  <si>
    <t>Np235</t>
  </si>
  <si>
    <t>Np236</t>
  </si>
  <si>
    <t>Np237</t>
  </si>
  <si>
    <t>Np238</t>
  </si>
  <si>
    <t>Np239</t>
  </si>
  <si>
    <t>Np240</t>
  </si>
  <si>
    <t>Np241</t>
  </si>
  <si>
    <t>Np242</t>
  </si>
  <si>
    <t>Np243</t>
  </si>
  <si>
    <t>Np244</t>
  </si>
  <si>
    <t>Pu228</t>
  </si>
  <si>
    <t>Pu229</t>
  </si>
  <si>
    <t>Pu230</t>
  </si>
  <si>
    <t>Pu231</t>
  </si>
  <si>
    <t>Pu232</t>
  </si>
  <si>
    <t>Pu233</t>
  </si>
  <si>
    <t>Pu234</t>
  </si>
  <si>
    <t>Pu235</t>
  </si>
  <si>
    <t>Pu236</t>
  </si>
  <si>
    <t>Pu237</t>
  </si>
  <si>
    <t>Pu238</t>
  </si>
  <si>
    <t>Pu239</t>
  </si>
  <si>
    <t>Pu240</t>
  </si>
  <si>
    <t>Pu241</t>
  </si>
  <si>
    <t>Pu242</t>
  </si>
  <si>
    <t>Pu243</t>
  </si>
  <si>
    <t>Pu244</t>
  </si>
  <si>
    <t>Pu245</t>
  </si>
  <si>
    <t>Pu246</t>
  </si>
  <si>
    <t>Pu247</t>
  </si>
  <si>
    <t>Am230</t>
  </si>
  <si>
    <t>Am232</t>
  </si>
  <si>
    <t>Am233</t>
  </si>
  <si>
    <t>Am234</t>
  </si>
  <si>
    <t>Am235</t>
  </si>
  <si>
    <t>Am236</t>
  </si>
  <si>
    <t>Am237</t>
  </si>
  <si>
    <t>Am238</t>
  </si>
  <si>
    <t>Am239</t>
  </si>
  <si>
    <t>Am240</t>
  </si>
  <si>
    <t>Am241</t>
  </si>
  <si>
    <t>Am242</t>
  </si>
  <si>
    <t>Am243</t>
  </si>
  <si>
    <t>Am244</t>
  </si>
  <si>
    <t>Am245</t>
  </si>
  <si>
    <t>Am246</t>
  </si>
  <si>
    <t>Am247</t>
  </si>
  <si>
    <t>Am248</t>
  </si>
  <si>
    <t>Cm233</t>
  </si>
  <si>
    <t>Cm234</t>
  </si>
  <si>
    <t>Cm238</t>
  </si>
  <si>
    <t>Cm239</t>
  </si>
  <si>
    <t>Cm240</t>
  </si>
  <si>
    <t>Cm241</t>
  </si>
  <si>
    <t>Cm242</t>
  </si>
  <si>
    <t>Cm243</t>
  </si>
  <si>
    <t>Cm244</t>
  </si>
  <si>
    <t>Cm245</t>
  </si>
  <si>
    <t>Cm246</t>
  </si>
  <si>
    <t>Cm247</t>
  </si>
  <si>
    <t>Cm248</t>
  </si>
  <si>
    <t>Cm249</t>
  </si>
  <si>
    <t>Cm250</t>
  </si>
  <si>
    <t>Cm251</t>
  </si>
  <si>
    <t>Bk234</t>
  </si>
  <si>
    <t>Bk237</t>
  </si>
  <si>
    <t>Bk238</t>
  </si>
  <si>
    <t>Bk240</t>
  </si>
  <si>
    <t>Bk241</t>
  </si>
  <si>
    <t>Bk242</t>
  </si>
  <si>
    <t>Bk243</t>
  </si>
  <si>
    <t>Bk244</t>
  </si>
  <si>
    <t>Bk245</t>
  </si>
  <si>
    <t>Bk246</t>
  </si>
  <si>
    <t>Bk247</t>
  </si>
  <si>
    <t>Bk248</t>
  </si>
  <si>
    <t>Bk249</t>
  </si>
  <si>
    <t>Bk250</t>
  </si>
  <si>
    <t>Bk251</t>
  </si>
  <si>
    <t>Bk253</t>
  </si>
  <si>
    <t>Cf237</t>
  </si>
  <si>
    <t>Cf238</t>
  </si>
  <si>
    <t>Cf239</t>
  </si>
  <si>
    <t>Cf240</t>
  </si>
  <si>
    <t>Cf241</t>
  </si>
  <si>
    <t>Cf242</t>
  </si>
  <si>
    <t>Cf243</t>
  </si>
  <si>
    <t>Cf244</t>
  </si>
  <si>
    <t>Cf245</t>
  </si>
  <si>
    <t>Cf246</t>
  </si>
  <si>
    <t>Cf247</t>
  </si>
  <si>
    <t>Cf248</t>
  </si>
  <si>
    <t>Cf249</t>
  </si>
  <si>
    <t>Cf250</t>
  </si>
  <si>
    <t>Cf251</t>
  </si>
  <si>
    <t>Cf252</t>
  </si>
  <si>
    <t>Cf253</t>
  </si>
  <si>
    <t>Cf254</t>
  </si>
  <si>
    <t>Cf255</t>
  </si>
  <si>
    <t>Cf256</t>
  </si>
  <si>
    <t>Es241</t>
  </si>
  <si>
    <t>Es242</t>
  </si>
  <si>
    <t>Es243</t>
  </si>
  <si>
    <t>Es244</t>
  </si>
  <si>
    <t>Es245</t>
  </si>
  <si>
    <t>Es246</t>
  </si>
  <si>
    <t>Es247</t>
  </si>
  <si>
    <t>Es248</t>
  </si>
  <si>
    <t>Es249</t>
  </si>
  <si>
    <t>Es250</t>
  </si>
  <si>
    <t>Es251</t>
  </si>
  <si>
    <t>Es252</t>
  </si>
  <si>
    <t>Es253</t>
  </si>
  <si>
    <t>Es254</t>
  </si>
  <si>
    <t>Es255</t>
  </si>
  <si>
    <t>Es256</t>
  </si>
  <si>
    <t>Es257</t>
  </si>
  <si>
    <t>Fm241</t>
  </si>
  <si>
    <t>Fm243</t>
  </si>
  <si>
    <t>Fm244</t>
  </si>
  <si>
    <t>Fm245</t>
  </si>
  <si>
    <t>Fm246</t>
  </si>
  <si>
    <t>Fm247</t>
  </si>
  <si>
    <t>Fm248</t>
  </si>
  <si>
    <t>Fm249</t>
  </si>
  <si>
    <t>Fm250</t>
  </si>
  <si>
    <t>Fm251</t>
  </si>
  <si>
    <t>Fm252</t>
  </si>
  <si>
    <t>Fm253</t>
  </si>
  <si>
    <t>Fm254</t>
  </si>
  <si>
    <t>Fm255</t>
  </si>
  <si>
    <t>Fm256</t>
  </si>
  <si>
    <t>Fm257</t>
  </si>
  <si>
    <t>Fm258</t>
  </si>
  <si>
    <t>Fm259</t>
  </si>
  <si>
    <t>Fm260</t>
  </si>
  <si>
    <t>Md245</t>
  </si>
  <si>
    <t>Md246</t>
  </si>
  <si>
    <t>Md247</t>
  </si>
  <si>
    <t>Md248</t>
  </si>
  <si>
    <t>Md249</t>
  </si>
  <si>
    <t>Md250</t>
  </si>
  <si>
    <t>Md251</t>
  </si>
  <si>
    <t>Md252</t>
  </si>
  <si>
    <t>Md253</t>
  </si>
  <si>
    <t>Md254</t>
  </si>
  <si>
    <t>Md255</t>
  </si>
  <si>
    <t>Md256</t>
  </si>
  <si>
    <t>Md257</t>
  </si>
  <si>
    <t>Md258</t>
  </si>
  <si>
    <t>Md259</t>
  </si>
  <si>
    <t>Md260</t>
  </si>
  <si>
    <t>No250</t>
  </si>
  <si>
    <t>No251</t>
  </si>
  <si>
    <t>No252</t>
  </si>
  <si>
    <t>No253</t>
  </si>
  <si>
    <t>No254</t>
  </si>
  <si>
    <t>No255</t>
  </si>
  <si>
    <t>No256</t>
  </si>
  <si>
    <t>No257</t>
  </si>
  <si>
    <t>No258</t>
  </si>
  <si>
    <t>No259</t>
  </si>
  <si>
    <t>No260</t>
  </si>
  <si>
    <t>No262</t>
  </si>
  <si>
    <t>Lr252</t>
  </si>
  <si>
    <t>Lr253</t>
  </si>
  <si>
    <t>Lr254</t>
  </si>
  <si>
    <t>Lr255</t>
  </si>
  <si>
    <t>Lr256</t>
  </si>
  <si>
    <t>Lr257</t>
  </si>
  <si>
    <t>Lr258</t>
  </si>
  <si>
    <t>Lr259</t>
  </si>
  <si>
    <t>Lr260</t>
  </si>
  <si>
    <t>Lr261</t>
  </si>
  <si>
    <t>Lr262</t>
  </si>
  <si>
    <t>Lr266</t>
  </si>
  <si>
    <t>Rf253</t>
  </si>
  <si>
    <t>Rf254</t>
  </si>
  <si>
    <t>Rf255</t>
  </si>
  <si>
    <t>Rf256</t>
  </si>
  <si>
    <t>Rf257</t>
  </si>
  <si>
    <t>Rf258</t>
  </si>
  <si>
    <t>Rf259</t>
  </si>
  <si>
    <t>Rf260</t>
  </si>
  <si>
    <t>Rf261</t>
  </si>
  <si>
    <t>Rf262</t>
  </si>
  <si>
    <t>Rf263</t>
  </si>
  <si>
    <t>Rf265</t>
  </si>
  <si>
    <t>Db255</t>
  </si>
  <si>
    <t>Db256</t>
  </si>
  <si>
    <t>Db257</t>
  </si>
  <si>
    <t>Db258</t>
  </si>
  <si>
    <t>Db259</t>
  </si>
  <si>
    <t>Db260</t>
  </si>
  <si>
    <t>Db261</t>
  </si>
  <si>
    <t>Db262</t>
  </si>
  <si>
    <t>Db263</t>
  </si>
  <si>
    <t>Db267</t>
  </si>
  <si>
    <t>Db268</t>
  </si>
  <si>
    <t>Db270</t>
  </si>
  <si>
    <t>Sg258</t>
  </si>
  <si>
    <t>Sg259</t>
  </si>
  <si>
    <t>Sg260</t>
  </si>
  <si>
    <t>Sg261</t>
  </si>
  <si>
    <t>Sg262</t>
  </si>
  <si>
    <t>Sg263</t>
  </si>
  <si>
    <t>Sg264</t>
  </si>
  <si>
    <t>Sg265</t>
  </si>
  <si>
    <t>Sg266</t>
  </si>
  <si>
    <t>Sg269</t>
  </si>
  <si>
    <t>Sg271</t>
  </si>
  <si>
    <t>Bh260</t>
  </si>
  <si>
    <t>Bh261</t>
  </si>
  <si>
    <t>Bh262</t>
  </si>
  <si>
    <t>Bh264</t>
  </si>
  <si>
    <t>Bh265</t>
  </si>
  <si>
    <t>Bh266</t>
  </si>
  <si>
    <t>Bh267</t>
  </si>
  <si>
    <t>Bh270</t>
  </si>
  <si>
    <t>Bh272</t>
  </si>
  <si>
    <t>Bh274</t>
  </si>
  <si>
    <t>Hs263</t>
  </si>
  <si>
    <t>Hs264</t>
  </si>
  <si>
    <t>Hs265</t>
  </si>
  <si>
    <t>Hs266</t>
  </si>
  <si>
    <t>Hs267</t>
  </si>
  <si>
    <t>Hs268</t>
  </si>
  <si>
    <t>Hs269</t>
  </si>
  <si>
    <t>Hs270</t>
  </si>
  <si>
    <t>Hs273</t>
  </si>
  <si>
    <t>Hs275</t>
  </si>
  <si>
    <t>Hs277</t>
  </si>
  <si>
    <t>Mt266</t>
  </si>
  <si>
    <t>Mt268</t>
  </si>
  <si>
    <t>Mt270</t>
  </si>
  <si>
    <t>Mt274</t>
  </si>
  <si>
    <t>Mt275</t>
  </si>
  <si>
    <t>Mt276</t>
  </si>
  <si>
    <t>Mt277</t>
  </si>
  <si>
    <t>Mt278</t>
  </si>
  <si>
    <t>Ds267</t>
  </si>
  <si>
    <t>Ds269</t>
  </si>
  <si>
    <t>Ds270</t>
  </si>
  <si>
    <t>Ds271</t>
  </si>
  <si>
    <t>Ds273</t>
  </si>
  <si>
    <t>Ds277</t>
  </si>
  <si>
    <t>Ds279</t>
  </si>
  <si>
    <t>Ds281</t>
  </si>
  <si>
    <t>Rg272</t>
  </si>
  <si>
    <t>Rg274</t>
  </si>
  <si>
    <t>Rg278</t>
  </si>
  <si>
    <t>Rg279</t>
  </si>
  <si>
    <t>Rg280</t>
  </si>
  <si>
    <t>Rg281</t>
  </si>
  <si>
    <t>Rg282</t>
  </si>
  <si>
    <t>Cn281</t>
  </si>
  <si>
    <t>Cn282</t>
  </si>
  <si>
    <t>Cn283</t>
  </si>
  <si>
    <t>Cn284</t>
  </si>
  <si>
    <t>Cn285</t>
  </si>
  <si>
    <t>Nh278</t>
  </si>
  <si>
    <t>Nh282</t>
  </si>
  <si>
    <t>Nh283</t>
  </si>
  <si>
    <t>Nh284</t>
  </si>
  <si>
    <t>Nh285</t>
  </si>
  <si>
    <t>Nh286</t>
  </si>
  <si>
    <t>Fl284</t>
  </si>
  <si>
    <t>Fl285</t>
  </si>
  <si>
    <t>Fl286</t>
  </si>
  <si>
    <t>Fl287</t>
  </si>
  <si>
    <t>Fl288</t>
  </si>
  <si>
    <t>Fl289</t>
  </si>
  <si>
    <t>Mc287</t>
  </si>
  <si>
    <t>Mc288</t>
  </si>
  <si>
    <t>Mc289</t>
  </si>
  <si>
    <t>Mc290</t>
  </si>
  <si>
    <t>Lv290</t>
  </si>
  <si>
    <t>Lv291</t>
  </si>
  <si>
    <t>Lv292</t>
  </si>
  <si>
    <t>Lv293</t>
  </si>
  <si>
    <t>Ts293</t>
  </si>
  <si>
    <t>Ts294</t>
  </si>
  <si>
    <t>Nuclides</t>
  </si>
  <si>
    <t>w</t>
  </si>
  <si>
    <t>Error</t>
  </si>
  <si>
    <t>T1/2</t>
  </si>
  <si>
    <t>λ</t>
  </si>
  <si>
    <t>60μA-2h</t>
    <phoneticPr fontId="2" type="noConversion"/>
  </si>
  <si>
    <t>cool-6h</t>
    <phoneticPr fontId="2" type="noConversion"/>
  </si>
  <si>
    <t>Nuclides</t>
    <phoneticPr fontId="2" type="noConversion"/>
  </si>
  <si>
    <t>12h</t>
    <phoneticPr fontId="2" type="noConversion"/>
  </si>
  <si>
    <t>24h</t>
    <phoneticPr fontId="2" type="noConversion"/>
  </si>
  <si>
    <t>48h</t>
    <phoneticPr fontId="2" type="noConversion"/>
  </si>
  <si>
    <t>96h</t>
    <phoneticPr fontId="2" type="noConversion"/>
  </si>
  <si>
    <t>12.4mSv/h</t>
    <phoneticPr fontId="2" type="noConversion"/>
  </si>
  <si>
    <t>11.2mSv/h</t>
    <phoneticPr fontId="2" type="noConversion"/>
  </si>
  <si>
    <t>8.65mSv/h</t>
    <phoneticPr fontId="2" type="noConversion"/>
  </si>
  <si>
    <t>6.96mSv/h</t>
    <phoneticPr fontId="2" type="noConversion"/>
  </si>
  <si>
    <r>
      <t>1</t>
    </r>
    <r>
      <rPr>
        <sz val="11"/>
        <color theme="1"/>
        <rFont val="等线"/>
        <family val="2"/>
      </rPr>
      <t>次</t>
    </r>
    <r>
      <rPr>
        <sz val="11"/>
        <color theme="1"/>
        <rFont val="Times New Roman"/>
        <family val="1"/>
      </rPr>
      <t>2h</t>
    </r>
    <r>
      <rPr>
        <sz val="11"/>
        <color theme="1"/>
        <rFont val="等线"/>
        <family val="2"/>
      </rPr>
      <t>辐照后冷却不同时间靶体表面剂量当量</t>
    </r>
    <phoneticPr fontId="2" type="noConversion"/>
  </si>
  <si>
    <t>cool-2d</t>
    <phoneticPr fontId="2" type="noConversion"/>
  </si>
  <si>
    <t>3.34h</t>
  </si>
  <si>
    <t>12.7h</t>
  </si>
  <si>
    <t>2.75d</t>
  </si>
  <si>
    <t>2.75h</t>
  </si>
  <si>
    <t>4.88h</t>
  </si>
  <si>
    <t>20h</t>
  </si>
  <si>
    <t>4.28d</t>
  </si>
  <si>
    <t>75.1d</t>
  </si>
  <si>
    <t>1d</t>
  </si>
  <si>
    <t>19.9h</t>
  </si>
  <si>
    <t>2.68d</t>
  </si>
  <si>
    <t>70d</t>
  </si>
  <si>
    <t>35.4d</t>
  </si>
  <si>
    <t>3.72d</t>
  </si>
  <si>
    <t>53.22d</t>
  </si>
  <si>
    <t>330d</t>
  </si>
  <si>
    <t>27.7d</t>
  </si>
  <si>
    <t>5.59d</t>
  </si>
  <si>
    <t>312.2d</t>
  </si>
  <si>
    <t>2.75y</t>
  </si>
  <si>
    <t>44.5d</t>
  </si>
  <si>
    <t>17.53h</t>
  </si>
  <si>
    <t>77.24d</t>
  </si>
  <si>
    <t>271.74d</t>
  </si>
  <si>
    <t>70.86d</t>
  </si>
  <si>
    <t>5.27y</t>
  </si>
  <si>
    <t>1.48d</t>
  </si>
  <si>
    <t>76052.05y</t>
  </si>
  <si>
    <t>核素</t>
    <phoneticPr fontId="2" type="noConversion"/>
  </si>
  <si>
    <t>半衰期</t>
    <phoneticPr fontId="2" type="noConversion"/>
  </si>
  <si>
    <t>活度/Bq</t>
    <phoneticPr fontId="2" type="noConversion"/>
  </si>
  <si>
    <t>液体靶</t>
    <phoneticPr fontId="2" type="noConversion"/>
  </si>
  <si>
    <t>30min</t>
    <phoneticPr fontId="2" type="noConversion"/>
  </si>
  <si>
    <t>6h</t>
    <phoneticPr fontId="2" type="noConversion"/>
  </si>
  <si>
    <t>1d</t>
    <phoneticPr fontId="2" type="noConversion"/>
  </si>
  <si>
    <t>2d</t>
    <phoneticPr fontId="2" type="noConversion"/>
  </si>
  <si>
    <t>4d</t>
    <phoneticPr fontId="2" type="noConversion"/>
  </si>
  <si>
    <t>表面</t>
    <phoneticPr fontId="2" type="noConversion"/>
  </si>
  <si>
    <t>30cm</t>
    <phoneticPr fontId="2" type="noConversion"/>
  </si>
  <si>
    <t>1m</t>
    <phoneticPr fontId="2" type="noConversion"/>
  </si>
  <si>
    <t>固体靶</t>
    <phoneticPr fontId="2" type="noConversion"/>
  </si>
  <si>
    <t>μm</t>
    <phoneticPr fontId="2" type="noConversion"/>
  </si>
  <si>
    <t>F18</t>
    <phoneticPr fontId="2" type="noConversion"/>
  </si>
  <si>
    <t>1h</t>
    <phoneticPr fontId="2" type="noConversion"/>
  </si>
  <si>
    <t>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</si>
</sst>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E+00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等线"/>
      <family val="2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/>
    <xf numFmtId="11" fontId="0" fillId="0" borderId="0" xfId="0" applyNumberFormat="1" applyAlignment="1">
      <alignment horizontal="center" vertical="center"/>
    </xf>
    <xf numFmtId="176" fontId="0" fillId="0" borderId="0" xfId="0" applyNumberForma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CNP_INP\INP\TARGET\LIquid_Target\INP\Liquid_Target.xlsx" TargetMode="External"/><Relationship Id="rId1" Type="http://schemas.openxmlformats.org/officeDocument/2006/relationships/externalLinkPath" Target="/MCNP_INP/INP/TARGET/LIquid_Target/INP/Liquid_Targ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Nuclides"/>
      <sheetName val="Sheet3"/>
      <sheetName val="Sheet4"/>
      <sheetName val="Sheet5"/>
    </sheetNames>
    <sheetDataSet>
      <sheetData sheetId="0"/>
      <sheetData sheetId="1">
        <row r="2">
          <cell r="B2" t="str">
            <v>n</v>
          </cell>
          <cell r="C2" t="str">
            <v>z</v>
          </cell>
          <cell r="D2" t="str">
            <v>halflife/s</v>
          </cell>
        </row>
        <row r="3">
          <cell r="A3">
            <v>1001</v>
          </cell>
          <cell r="B3">
            <v>1</v>
          </cell>
          <cell r="C3">
            <v>0</v>
          </cell>
          <cell r="D3">
            <v>613.9</v>
          </cell>
        </row>
        <row r="4">
          <cell r="A4">
            <v>1002</v>
          </cell>
          <cell r="B4">
            <v>1</v>
          </cell>
          <cell r="C4">
            <v>1</v>
          </cell>
          <cell r="D4" t="str">
            <v>STABLE</v>
          </cell>
          <cell r="E4" t="str">
            <v>H2</v>
          </cell>
        </row>
        <row r="5">
          <cell r="A5">
            <v>1003</v>
          </cell>
          <cell r="B5">
            <v>2</v>
          </cell>
          <cell r="C5">
            <v>1</v>
          </cell>
          <cell r="D5">
            <v>388789632</v>
          </cell>
          <cell r="E5" t="str">
            <v>H3</v>
          </cell>
        </row>
        <row r="6">
          <cell r="A6">
            <v>1005</v>
          </cell>
          <cell r="B6">
            <v>4</v>
          </cell>
          <cell r="C6">
            <v>1</v>
          </cell>
          <cell r="D6">
            <v>7.9947368421052595E-23</v>
          </cell>
          <cell r="E6" t="str">
            <v>H5</v>
          </cell>
        </row>
        <row r="7">
          <cell r="A7">
            <v>1006</v>
          </cell>
          <cell r="B7">
            <v>5</v>
          </cell>
          <cell r="C7">
            <v>1</v>
          </cell>
          <cell r="D7">
            <v>2.8481249999999898E-22</v>
          </cell>
          <cell r="E7" t="str">
            <v>H6</v>
          </cell>
        </row>
        <row r="8">
          <cell r="A8">
            <v>2003</v>
          </cell>
          <cell r="B8">
            <v>1</v>
          </cell>
          <cell r="C8">
            <v>2</v>
          </cell>
          <cell r="D8" t="str">
            <v>STABLE</v>
          </cell>
          <cell r="E8" t="str">
            <v>He3</v>
          </cell>
        </row>
        <row r="9">
          <cell r="A9">
            <v>2004</v>
          </cell>
          <cell r="B9">
            <v>2</v>
          </cell>
          <cell r="C9">
            <v>2</v>
          </cell>
          <cell r="D9" t="str">
            <v>STABLE</v>
          </cell>
          <cell r="E9" t="str">
            <v>He4</v>
          </cell>
        </row>
        <row r="10">
          <cell r="A10">
            <v>2005</v>
          </cell>
          <cell r="B10">
            <v>3</v>
          </cell>
          <cell r="C10">
            <v>2</v>
          </cell>
          <cell r="D10">
            <v>7.5950000000000001E-22</v>
          </cell>
          <cell r="E10" t="str">
            <v>He5</v>
          </cell>
        </row>
        <row r="11">
          <cell r="A11">
            <v>2006</v>
          </cell>
          <cell r="B11">
            <v>4</v>
          </cell>
          <cell r="C11">
            <v>2</v>
          </cell>
          <cell r="D11">
            <v>0.80669999999999997</v>
          </cell>
          <cell r="E11" t="str">
            <v>He6</v>
          </cell>
        </row>
        <row r="12">
          <cell r="A12">
            <v>2007</v>
          </cell>
          <cell r="B12">
            <v>5</v>
          </cell>
          <cell r="C12">
            <v>2</v>
          </cell>
          <cell r="D12">
            <v>3.0380000000000001E-21</v>
          </cell>
          <cell r="E12" t="str">
            <v>He7</v>
          </cell>
        </row>
        <row r="13">
          <cell r="A13">
            <v>2008</v>
          </cell>
          <cell r="B13">
            <v>6</v>
          </cell>
          <cell r="C13">
            <v>2</v>
          </cell>
          <cell r="D13">
            <v>0.1191</v>
          </cell>
          <cell r="E13" t="str">
            <v>He8</v>
          </cell>
        </row>
        <row r="14">
          <cell r="A14">
            <v>2010</v>
          </cell>
          <cell r="B14">
            <v>8</v>
          </cell>
          <cell r="C14">
            <v>2</v>
          </cell>
          <cell r="D14">
            <v>1.519E-21</v>
          </cell>
          <cell r="E14" t="str">
            <v>He10</v>
          </cell>
        </row>
        <row r="15">
          <cell r="A15">
            <v>3004</v>
          </cell>
          <cell r="B15">
            <v>1</v>
          </cell>
          <cell r="C15">
            <v>3</v>
          </cell>
          <cell r="D15">
            <v>7.5572139303482503E-23</v>
          </cell>
          <cell r="E15" t="str">
            <v>Li4</v>
          </cell>
        </row>
        <row r="16">
          <cell r="A16">
            <v>3005</v>
          </cell>
          <cell r="B16">
            <v>2</v>
          </cell>
          <cell r="C16">
            <v>3</v>
          </cell>
          <cell r="D16">
            <v>3.038E-22</v>
          </cell>
          <cell r="E16" t="str">
            <v>Li5</v>
          </cell>
        </row>
        <row r="17">
          <cell r="A17">
            <v>3006</v>
          </cell>
          <cell r="B17">
            <v>3</v>
          </cell>
          <cell r="C17">
            <v>3</v>
          </cell>
          <cell r="D17" t="str">
            <v>STABLE</v>
          </cell>
          <cell r="E17" t="str">
            <v>Li6</v>
          </cell>
        </row>
        <row r="18">
          <cell r="A18">
            <v>3007</v>
          </cell>
          <cell r="B18">
            <v>4</v>
          </cell>
          <cell r="C18">
            <v>3</v>
          </cell>
          <cell r="D18" t="str">
            <v>STABLE</v>
          </cell>
          <cell r="E18" t="str">
            <v>Li7</v>
          </cell>
        </row>
        <row r="19">
          <cell r="A19">
            <v>3008</v>
          </cell>
          <cell r="B19">
            <v>5</v>
          </cell>
          <cell r="C19">
            <v>3</v>
          </cell>
          <cell r="D19">
            <v>0.83989999999999998</v>
          </cell>
          <cell r="E19" t="str">
            <v>Li8</v>
          </cell>
        </row>
        <row r="20">
          <cell r="A20">
            <v>3009</v>
          </cell>
          <cell r="B20">
            <v>6</v>
          </cell>
          <cell r="C20">
            <v>3</v>
          </cell>
          <cell r="D20">
            <v>0.17829999999999999</v>
          </cell>
          <cell r="E20" t="str">
            <v>Li9</v>
          </cell>
        </row>
        <row r="21">
          <cell r="A21">
            <v>3011</v>
          </cell>
          <cell r="B21">
            <v>8</v>
          </cell>
          <cell r="C21">
            <v>3</v>
          </cell>
          <cell r="D21">
            <v>8.7500000000000008E-3</v>
          </cell>
          <cell r="E21" t="str">
            <v>Li11</v>
          </cell>
        </row>
        <row r="22">
          <cell r="A22">
            <v>4006</v>
          </cell>
          <cell r="B22">
            <v>2</v>
          </cell>
          <cell r="C22">
            <v>4</v>
          </cell>
          <cell r="D22">
            <v>4.9532608695652102E-21</v>
          </cell>
          <cell r="E22" t="str">
            <v>Be6</v>
          </cell>
        </row>
        <row r="23">
          <cell r="A23">
            <v>4007</v>
          </cell>
          <cell r="B23">
            <v>3</v>
          </cell>
          <cell r="C23">
            <v>4</v>
          </cell>
          <cell r="D23">
            <v>4598208</v>
          </cell>
          <cell r="E23" t="str">
            <v>Be7</v>
          </cell>
        </row>
        <row r="24">
          <cell r="A24">
            <v>4008</v>
          </cell>
          <cell r="B24">
            <v>4</v>
          </cell>
          <cell r="C24">
            <v>4</v>
          </cell>
          <cell r="D24">
            <v>8.1813285457809601E-17</v>
          </cell>
          <cell r="E24" t="str">
            <v>Be8</v>
          </cell>
        </row>
        <row r="25">
          <cell r="A25">
            <v>4009</v>
          </cell>
          <cell r="B25">
            <v>5</v>
          </cell>
          <cell r="C25">
            <v>4</v>
          </cell>
          <cell r="D25" t="str">
            <v>STABLE</v>
          </cell>
          <cell r="E25" t="str">
            <v>Be9</v>
          </cell>
        </row>
        <row r="26">
          <cell r="A26">
            <v>4010</v>
          </cell>
          <cell r="B26">
            <v>6</v>
          </cell>
          <cell r="C26">
            <v>4</v>
          </cell>
          <cell r="D26">
            <v>47651976000000</v>
          </cell>
          <cell r="E26" t="str">
            <v>Be10</v>
          </cell>
        </row>
        <row r="27">
          <cell r="A27">
            <v>4011</v>
          </cell>
          <cell r="B27">
            <v>7</v>
          </cell>
          <cell r="C27">
            <v>4</v>
          </cell>
          <cell r="D27">
            <v>13.76</v>
          </cell>
          <cell r="E27" t="str">
            <v>Be11</v>
          </cell>
        </row>
        <row r="28">
          <cell r="A28">
            <v>4012</v>
          </cell>
          <cell r="B28">
            <v>8</v>
          </cell>
          <cell r="C28">
            <v>4</v>
          </cell>
          <cell r="D28">
            <v>2.147E-2</v>
          </cell>
          <cell r="E28" t="str">
            <v>Be12</v>
          </cell>
        </row>
        <row r="29">
          <cell r="A29">
            <v>4013</v>
          </cell>
          <cell r="B29">
            <v>9</v>
          </cell>
          <cell r="C29">
            <v>4</v>
          </cell>
          <cell r="D29">
            <v>2.7000000000000001E-21</v>
          </cell>
          <cell r="E29" t="str">
            <v>Be13</v>
          </cell>
        </row>
        <row r="30">
          <cell r="A30">
            <v>4014</v>
          </cell>
          <cell r="B30">
            <v>10</v>
          </cell>
          <cell r="C30">
            <v>4</v>
          </cell>
          <cell r="D30">
            <v>4.3499999999999997E-3</v>
          </cell>
          <cell r="E30" t="str">
            <v>Be14</v>
          </cell>
        </row>
        <row r="31">
          <cell r="A31">
            <v>4015</v>
          </cell>
          <cell r="B31">
            <v>11</v>
          </cell>
          <cell r="C31">
            <v>4</v>
          </cell>
          <cell r="D31">
            <v>7.8568965517241304E-22</v>
          </cell>
          <cell r="E31" t="str">
            <v>Be15</v>
          </cell>
        </row>
        <row r="32">
          <cell r="A32">
            <v>4016</v>
          </cell>
          <cell r="B32">
            <v>12</v>
          </cell>
          <cell r="C32">
            <v>4</v>
          </cell>
          <cell r="D32">
            <v>5.69624999999999E-22</v>
          </cell>
          <cell r="E32" t="str">
            <v>Be16</v>
          </cell>
        </row>
        <row r="33">
          <cell r="A33">
            <v>5007</v>
          </cell>
          <cell r="B33">
            <v>2</v>
          </cell>
          <cell r="C33">
            <v>5</v>
          </cell>
          <cell r="D33">
            <v>3.2550000000000001E-22</v>
          </cell>
          <cell r="E33" t="str">
            <v>B7</v>
          </cell>
        </row>
        <row r="34">
          <cell r="A34">
            <v>5008</v>
          </cell>
          <cell r="B34">
            <v>3</v>
          </cell>
          <cell r="C34">
            <v>5</v>
          </cell>
          <cell r="D34">
            <v>0.77</v>
          </cell>
          <cell r="E34" t="str">
            <v>B8</v>
          </cell>
        </row>
        <row r="35">
          <cell r="A35">
            <v>5009</v>
          </cell>
          <cell r="B35">
            <v>4</v>
          </cell>
          <cell r="C35">
            <v>5</v>
          </cell>
          <cell r="D35">
            <v>8.4388888888888803E-19</v>
          </cell>
          <cell r="E35" t="str">
            <v>B9</v>
          </cell>
        </row>
        <row r="36">
          <cell r="A36">
            <v>5010</v>
          </cell>
          <cell r="B36">
            <v>5</v>
          </cell>
          <cell r="C36">
            <v>5</v>
          </cell>
          <cell r="D36" t="str">
            <v>STABLE</v>
          </cell>
          <cell r="E36" t="str">
            <v>B10</v>
          </cell>
        </row>
        <row r="37">
          <cell r="A37">
            <v>5011</v>
          </cell>
          <cell r="B37">
            <v>6</v>
          </cell>
          <cell r="C37">
            <v>5</v>
          </cell>
          <cell r="D37" t="str">
            <v>STABLE</v>
          </cell>
          <cell r="E37" t="str">
            <v>B11</v>
          </cell>
        </row>
        <row r="38">
          <cell r="A38">
            <v>5012</v>
          </cell>
          <cell r="B38">
            <v>7</v>
          </cell>
          <cell r="C38">
            <v>5</v>
          </cell>
          <cell r="D38">
            <v>2.0199999999999999E-2</v>
          </cell>
          <cell r="E38" t="str">
            <v>B12</v>
          </cell>
        </row>
        <row r="39">
          <cell r="A39">
            <v>5013</v>
          </cell>
          <cell r="B39">
            <v>8</v>
          </cell>
          <cell r="C39">
            <v>5</v>
          </cell>
          <cell r="D39">
            <v>1.7329999999999901E-2</v>
          </cell>
          <cell r="E39" t="str">
            <v>B13</v>
          </cell>
        </row>
        <row r="40">
          <cell r="A40">
            <v>5014</v>
          </cell>
          <cell r="B40">
            <v>9</v>
          </cell>
          <cell r="C40">
            <v>5</v>
          </cell>
          <cell r="D40">
            <v>1.2359999999999999E-2</v>
          </cell>
          <cell r="E40" t="str">
            <v>B14</v>
          </cell>
        </row>
        <row r="41">
          <cell r="A41">
            <v>5015</v>
          </cell>
          <cell r="B41">
            <v>10</v>
          </cell>
          <cell r="C41">
            <v>5</v>
          </cell>
          <cell r="D41">
            <v>1.018E-2</v>
          </cell>
          <cell r="E41" t="str">
            <v>B15</v>
          </cell>
        </row>
        <row r="42">
          <cell r="A42">
            <v>5017</v>
          </cell>
          <cell r="B42">
            <v>12</v>
          </cell>
          <cell r="C42">
            <v>5</v>
          </cell>
          <cell r="D42">
            <v>5.0800000000000003E-3</v>
          </cell>
          <cell r="E42" t="str">
            <v>B17</v>
          </cell>
        </row>
        <row r="43">
          <cell r="A43">
            <v>5019</v>
          </cell>
          <cell r="B43">
            <v>14</v>
          </cell>
          <cell r="C43">
            <v>5</v>
          </cell>
          <cell r="D43">
            <v>2.9199999999999999E-3</v>
          </cell>
          <cell r="E43" t="str">
            <v>B19</v>
          </cell>
        </row>
        <row r="44">
          <cell r="A44">
            <v>6008</v>
          </cell>
          <cell r="B44">
            <v>2</v>
          </cell>
          <cell r="C44">
            <v>6</v>
          </cell>
          <cell r="D44">
            <v>1.9813043478260799E-21</v>
          </cell>
          <cell r="E44" t="str">
            <v>C8</v>
          </cell>
        </row>
        <row r="45">
          <cell r="A45">
            <v>6009</v>
          </cell>
          <cell r="B45">
            <v>3</v>
          </cell>
          <cell r="C45">
            <v>6</v>
          </cell>
          <cell r="D45">
            <v>0.1265</v>
          </cell>
          <cell r="E45" t="str">
            <v>C9</v>
          </cell>
        </row>
        <row r="46">
          <cell r="A46">
            <v>6010</v>
          </cell>
          <cell r="B46">
            <v>4</v>
          </cell>
          <cell r="C46">
            <v>6</v>
          </cell>
          <cell r="D46">
            <v>19.308</v>
          </cell>
          <cell r="E46" t="str">
            <v>C10</v>
          </cell>
        </row>
        <row r="47">
          <cell r="A47">
            <v>6011</v>
          </cell>
          <cell r="B47">
            <v>5</v>
          </cell>
          <cell r="C47">
            <v>6</v>
          </cell>
          <cell r="D47">
            <v>1221.8399999999999</v>
          </cell>
          <cell r="E47" t="str">
            <v>C11</v>
          </cell>
        </row>
        <row r="48">
          <cell r="A48">
            <v>6012</v>
          </cell>
          <cell r="B48">
            <v>6</v>
          </cell>
          <cell r="C48">
            <v>6</v>
          </cell>
          <cell r="D48" t="str">
            <v>STABLE</v>
          </cell>
          <cell r="E48" t="str">
            <v>C12</v>
          </cell>
        </row>
        <row r="49">
          <cell r="A49">
            <v>6013</v>
          </cell>
          <cell r="B49">
            <v>7</v>
          </cell>
          <cell r="C49">
            <v>6</v>
          </cell>
          <cell r="D49" t="str">
            <v>STABLE</v>
          </cell>
          <cell r="E49" t="str">
            <v>C13</v>
          </cell>
        </row>
        <row r="50">
          <cell r="A50">
            <v>6014</v>
          </cell>
          <cell r="B50">
            <v>8</v>
          </cell>
          <cell r="C50">
            <v>6</v>
          </cell>
          <cell r="D50">
            <v>179878320000</v>
          </cell>
          <cell r="E50" t="str">
            <v>C14</v>
          </cell>
        </row>
        <row r="51">
          <cell r="A51">
            <v>6015</v>
          </cell>
          <cell r="B51">
            <v>9</v>
          </cell>
          <cell r="C51">
            <v>6</v>
          </cell>
          <cell r="D51">
            <v>2.4489999999999998</v>
          </cell>
          <cell r="E51" t="str">
            <v>C15</v>
          </cell>
        </row>
        <row r="52">
          <cell r="A52">
            <v>6016</v>
          </cell>
          <cell r="B52">
            <v>10</v>
          </cell>
          <cell r="C52">
            <v>6</v>
          </cell>
          <cell r="D52">
            <v>0.747</v>
          </cell>
          <cell r="E52" t="str">
            <v>C16</v>
          </cell>
        </row>
        <row r="53">
          <cell r="A53">
            <v>6017</v>
          </cell>
          <cell r="B53">
            <v>11</v>
          </cell>
          <cell r="C53">
            <v>6</v>
          </cell>
          <cell r="D53">
            <v>0.191</v>
          </cell>
          <cell r="E53" t="str">
            <v>C17</v>
          </cell>
        </row>
        <row r="54">
          <cell r="A54">
            <v>6018</v>
          </cell>
          <cell r="B54">
            <v>12</v>
          </cell>
          <cell r="C54">
            <v>6</v>
          </cell>
          <cell r="D54">
            <v>9.1999999999999998E-2</v>
          </cell>
          <cell r="E54" t="str">
            <v>C18</v>
          </cell>
        </row>
        <row r="55">
          <cell r="A55">
            <v>6019</v>
          </cell>
          <cell r="B55">
            <v>13</v>
          </cell>
          <cell r="C55">
            <v>6</v>
          </cell>
          <cell r="D55">
            <v>4.6199999999999998E-2</v>
          </cell>
          <cell r="E55" t="str">
            <v>C19</v>
          </cell>
        </row>
        <row r="56">
          <cell r="A56">
            <v>6020</v>
          </cell>
          <cell r="B56">
            <v>14</v>
          </cell>
          <cell r="C56">
            <v>6</v>
          </cell>
          <cell r="D56">
            <v>1.6199999999999999E-2</v>
          </cell>
          <cell r="E56" t="str">
            <v>C20</v>
          </cell>
        </row>
        <row r="57">
          <cell r="A57">
            <v>6022</v>
          </cell>
          <cell r="B57">
            <v>16</v>
          </cell>
          <cell r="C57">
            <v>6</v>
          </cell>
          <cell r="D57">
            <v>6.09999999999999E-3</v>
          </cell>
          <cell r="E57" t="str">
            <v>C22</v>
          </cell>
        </row>
        <row r="58">
          <cell r="A58">
            <v>7011</v>
          </cell>
          <cell r="B58">
            <v>4</v>
          </cell>
          <cell r="C58">
            <v>7</v>
          </cell>
          <cell r="D58">
            <v>5.4903614457831297E-22</v>
          </cell>
          <cell r="E58" t="str">
            <v>N11</v>
          </cell>
        </row>
        <row r="59">
          <cell r="A59">
            <v>7012</v>
          </cell>
          <cell r="B59">
            <v>5</v>
          </cell>
          <cell r="C59">
            <v>7</v>
          </cell>
          <cell r="D59">
            <v>1.0999999999999999E-2</v>
          </cell>
          <cell r="E59" t="str">
            <v>N12</v>
          </cell>
        </row>
        <row r="60">
          <cell r="A60">
            <v>7013</v>
          </cell>
          <cell r="B60">
            <v>6</v>
          </cell>
          <cell r="C60">
            <v>7</v>
          </cell>
          <cell r="D60">
            <v>597.9</v>
          </cell>
          <cell r="E60" t="str">
            <v>N13</v>
          </cell>
        </row>
        <row r="61">
          <cell r="A61">
            <v>7014</v>
          </cell>
          <cell r="B61">
            <v>7</v>
          </cell>
          <cell r="C61">
            <v>7</v>
          </cell>
          <cell r="D61" t="str">
            <v>STABLE</v>
          </cell>
          <cell r="E61" t="str">
            <v>N14</v>
          </cell>
        </row>
        <row r="62">
          <cell r="A62">
            <v>7015</v>
          </cell>
          <cell r="B62">
            <v>8</v>
          </cell>
          <cell r="C62">
            <v>7</v>
          </cell>
          <cell r="D62" t="str">
            <v>STABLE</v>
          </cell>
          <cell r="E62" t="str">
            <v>N15</v>
          </cell>
        </row>
        <row r="63">
          <cell r="A63">
            <v>7016</v>
          </cell>
          <cell r="B63">
            <v>9</v>
          </cell>
          <cell r="C63">
            <v>7</v>
          </cell>
          <cell r="D63">
            <v>7.13</v>
          </cell>
          <cell r="E63" t="str">
            <v>N16</v>
          </cell>
        </row>
        <row r="64">
          <cell r="A64">
            <v>7017</v>
          </cell>
          <cell r="B64">
            <v>10</v>
          </cell>
          <cell r="C64">
            <v>7</v>
          </cell>
          <cell r="D64">
            <v>4.1710000000000003</v>
          </cell>
          <cell r="E64" t="str">
            <v>N17</v>
          </cell>
        </row>
        <row r="65">
          <cell r="A65">
            <v>7018</v>
          </cell>
          <cell r="B65">
            <v>11</v>
          </cell>
          <cell r="C65">
            <v>7</v>
          </cell>
          <cell r="D65">
            <v>0.61899999999999999</v>
          </cell>
          <cell r="E65" t="str">
            <v>N18</v>
          </cell>
        </row>
        <row r="66">
          <cell r="A66">
            <v>7019</v>
          </cell>
          <cell r="B66">
            <v>12</v>
          </cell>
          <cell r="C66">
            <v>7</v>
          </cell>
          <cell r="D66">
            <v>0.33600000000000002</v>
          </cell>
          <cell r="E66" t="str">
            <v>N19</v>
          </cell>
        </row>
        <row r="67">
          <cell r="A67">
            <v>7020</v>
          </cell>
          <cell r="B67">
            <v>13</v>
          </cell>
          <cell r="C67">
            <v>7</v>
          </cell>
          <cell r="D67">
            <v>0.13600000000000001</v>
          </cell>
          <cell r="E67" t="str">
            <v>N20</v>
          </cell>
        </row>
        <row r="68">
          <cell r="A68">
            <v>7021</v>
          </cell>
          <cell r="B68">
            <v>14</v>
          </cell>
          <cell r="C68">
            <v>7</v>
          </cell>
          <cell r="D68">
            <v>8.48E-2</v>
          </cell>
          <cell r="E68" t="str">
            <v>N21</v>
          </cell>
        </row>
        <row r="69">
          <cell r="A69">
            <v>7022</v>
          </cell>
          <cell r="B69">
            <v>15</v>
          </cell>
          <cell r="C69">
            <v>7</v>
          </cell>
          <cell r="D69">
            <v>1.95E-2</v>
          </cell>
          <cell r="E69" t="str">
            <v>N22</v>
          </cell>
        </row>
        <row r="70">
          <cell r="A70">
            <v>7023</v>
          </cell>
          <cell r="B70">
            <v>16</v>
          </cell>
          <cell r="C70">
            <v>7</v>
          </cell>
          <cell r="D70">
            <v>1.41E-2</v>
          </cell>
          <cell r="E70" t="str">
            <v>N23</v>
          </cell>
        </row>
        <row r="71">
          <cell r="A71">
            <v>8012</v>
          </cell>
          <cell r="B71">
            <v>4</v>
          </cell>
          <cell r="C71">
            <v>8</v>
          </cell>
          <cell r="D71">
            <v>1.1392499999999899E-21</v>
          </cell>
          <cell r="E71" t="str">
            <v>O12</v>
          </cell>
        </row>
        <row r="72">
          <cell r="A72">
            <v>8013</v>
          </cell>
          <cell r="B72">
            <v>5</v>
          </cell>
          <cell r="C72">
            <v>8</v>
          </cell>
          <cell r="D72">
            <v>8.5800000000000008E-3</v>
          </cell>
          <cell r="E72" t="str">
            <v>O13</v>
          </cell>
        </row>
        <row r="73">
          <cell r="A73">
            <v>8014</v>
          </cell>
          <cell r="B73">
            <v>6</v>
          </cell>
          <cell r="C73">
            <v>8</v>
          </cell>
          <cell r="D73">
            <v>70.62</v>
          </cell>
          <cell r="E73" t="str">
            <v>O14</v>
          </cell>
        </row>
        <row r="74">
          <cell r="A74">
            <v>8015</v>
          </cell>
          <cell r="B74">
            <v>7</v>
          </cell>
          <cell r="C74">
            <v>8</v>
          </cell>
          <cell r="D74">
            <v>122.24</v>
          </cell>
          <cell r="E74" t="str">
            <v>O15</v>
          </cell>
        </row>
        <row r="75">
          <cell r="A75">
            <v>8016</v>
          </cell>
          <cell r="B75">
            <v>8</v>
          </cell>
          <cell r="C75">
            <v>8</v>
          </cell>
          <cell r="D75" t="str">
            <v>STABLE</v>
          </cell>
          <cell r="E75" t="str">
            <v>O16</v>
          </cell>
        </row>
        <row r="76">
          <cell r="A76">
            <v>8017</v>
          </cell>
          <cell r="B76">
            <v>9</v>
          </cell>
          <cell r="C76">
            <v>8</v>
          </cell>
          <cell r="D76" t="str">
            <v>STABLE</v>
          </cell>
          <cell r="E76" t="str">
            <v>O17</v>
          </cell>
        </row>
        <row r="77">
          <cell r="A77">
            <v>8018</v>
          </cell>
          <cell r="B77">
            <v>10</v>
          </cell>
          <cell r="C77">
            <v>8</v>
          </cell>
          <cell r="D77" t="str">
            <v>STABLE</v>
          </cell>
          <cell r="E77" t="str">
            <v>O18</v>
          </cell>
        </row>
        <row r="78">
          <cell r="A78">
            <v>8019</v>
          </cell>
          <cell r="B78">
            <v>11</v>
          </cell>
          <cell r="C78">
            <v>8</v>
          </cell>
          <cell r="D78">
            <v>26.88</v>
          </cell>
          <cell r="E78" t="str">
            <v>O19</v>
          </cell>
        </row>
        <row r="79">
          <cell r="A79">
            <v>8020</v>
          </cell>
          <cell r="B79">
            <v>12</v>
          </cell>
          <cell r="C79">
            <v>8</v>
          </cell>
          <cell r="D79">
            <v>13.51</v>
          </cell>
          <cell r="E79" t="str">
            <v>O20</v>
          </cell>
        </row>
        <row r="80">
          <cell r="A80">
            <v>8021</v>
          </cell>
          <cell r="B80">
            <v>13</v>
          </cell>
          <cell r="C80">
            <v>8</v>
          </cell>
          <cell r="D80">
            <v>3.42</v>
          </cell>
          <cell r="E80" t="str">
            <v>O21</v>
          </cell>
        </row>
        <row r="81">
          <cell r="A81">
            <v>8022</v>
          </cell>
          <cell r="B81">
            <v>14</v>
          </cell>
          <cell r="C81">
            <v>8</v>
          </cell>
          <cell r="D81">
            <v>2.25</v>
          </cell>
          <cell r="E81" t="str">
            <v>O22</v>
          </cell>
        </row>
        <row r="82">
          <cell r="A82">
            <v>8023</v>
          </cell>
          <cell r="B82">
            <v>15</v>
          </cell>
          <cell r="C82">
            <v>8</v>
          </cell>
          <cell r="D82">
            <v>9.7000000000000003E-2</v>
          </cell>
          <cell r="E82" t="str">
            <v>O23</v>
          </cell>
        </row>
        <row r="83">
          <cell r="A83">
            <v>8024</v>
          </cell>
          <cell r="B83">
            <v>16</v>
          </cell>
          <cell r="C83">
            <v>8</v>
          </cell>
          <cell r="D83">
            <v>7.1999999999999995E-2</v>
          </cell>
          <cell r="E83" t="str">
            <v>O24</v>
          </cell>
        </row>
        <row r="84">
          <cell r="A84">
            <v>8025</v>
          </cell>
          <cell r="B84">
            <v>17</v>
          </cell>
          <cell r="C84">
            <v>8</v>
          </cell>
          <cell r="D84">
            <v>6.3E-21</v>
          </cell>
          <cell r="E84" t="str">
            <v>O25</v>
          </cell>
        </row>
        <row r="85">
          <cell r="A85">
            <v>8026</v>
          </cell>
          <cell r="B85">
            <v>18</v>
          </cell>
          <cell r="C85">
            <v>8</v>
          </cell>
          <cell r="D85">
            <v>4.4999999999999998E-12</v>
          </cell>
          <cell r="E85" t="str">
            <v>O26</v>
          </cell>
        </row>
        <row r="86">
          <cell r="A86">
            <v>9014</v>
          </cell>
          <cell r="B86">
            <v>5</v>
          </cell>
          <cell r="C86">
            <v>9</v>
          </cell>
          <cell r="D86">
            <v>5.0076923076923E-22</v>
          </cell>
          <cell r="E86" t="str">
            <v>F14</v>
          </cell>
        </row>
        <row r="87">
          <cell r="A87">
            <v>9015</v>
          </cell>
          <cell r="B87">
            <v>6</v>
          </cell>
          <cell r="C87">
            <v>9</v>
          </cell>
          <cell r="D87">
            <v>6.9045454545454504E-22</v>
          </cell>
          <cell r="E87" t="str">
            <v>F15</v>
          </cell>
        </row>
        <row r="88">
          <cell r="A88">
            <v>9016</v>
          </cell>
          <cell r="B88">
            <v>7</v>
          </cell>
          <cell r="C88">
            <v>9</v>
          </cell>
          <cell r="D88">
            <v>1.13925E-20</v>
          </cell>
          <cell r="E88" t="str">
            <v>F16</v>
          </cell>
        </row>
        <row r="89">
          <cell r="A89">
            <v>9017</v>
          </cell>
          <cell r="B89">
            <v>8</v>
          </cell>
          <cell r="C89">
            <v>9</v>
          </cell>
          <cell r="D89">
            <v>64.489999999999995</v>
          </cell>
          <cell r="E89" t="str">
            <v>F17</v>
          </cell>
        </row>
        <row r="90">
          <cell r="A90">
            <v>9018</v>
          </cell>
          <cell r="B90">
            <v>9</v>
          </cell>
          <cell r="C90">
            <v>9</v>
          </cell>
          <cell r="D90">
            <v>6586.2</v>
          </cell>
          <cell r="E90" t="str">
            <v>F18</v>
          </cell>
        </row>
        <row r="91">
          <cell r="A91">
            <v>9019</v>
          </cell>
          <cell r="B91">
            <v>10</v>
          </cell>
          <cell r="C91">
            <v>9</v>
          </cell>
          <cell r="D91" t="str">
            <v>STABLE</v>
          </cell>
          <cell r="E91" t="str">
            <v>F19</v>
          </cell>
        </row>
        <row r="92">
          <cell r="A92">
            <v>9020</v>
          </cell>
          <cell r="B92">
            <v>11</v>
          </cell>
          <cell r="C92">
            <v>9</v>
          </cell>
          <cell r="D92">
            <v>11.07</v>
          </cell>
          <cell r="E92" t="str">
            <v>F20</v>
          </cell>
        </row>
        <row r="93">
          <cell r="A93">
            <v>9021</v>
          </cell>
          <cell r="B93">
            <v>12</v>
          </cell>
          <cell r="C93">
            <v>9</v>
          </cell>
          <cell r="D93">
            <v>4.1580000000000004</v>
          </cell>
          <cell r="E93" t="str">
            <v>F21</v>
          </cell>
        </row>
        <row r="94">
          <cell r="A94">
            <v>9022</v>
          </cell>
          <cell r="B94">
            <v>13</v>
          </cell>
          <cell r="C94">
            <v>9</v>
          </cell>
          <cell r="D94">
            <v>4.2300000000000004</v>
          </cell>
          <cell r="E94" t="str">
            <v>F22</v>
          </cell>
        </row>
        <row r="95">
          <cell r="A95">
            <v>9023</v>
          </cell>
          <cell r="B95">
            <v>14</v>
          </cell>
          <cell r="C95">
            <v>9</v>
          </cell>
          <cell r="D95">
            <v>2.23</v>
          </cell>
          <cell r="E95" t="str">
            <v>F23</v>
          </cell>
        </row>
        <row r="96">
          <cell r="A96">
            <v>9024</v>
          </cell>
          <cell r="B96">
            <v>15</v>
          </cell>
          <cell r="C96">
            <v>9</v>
          </cell>
          <cell r="D96">
            <v>0.38200000000000001</v>
          </cell>
          <cell r="E96" t="str">
            <v>F24</v>
          </cell>
        </row>
        <row r="97">
          <cell r="A97">
            <v>9025</v>
          </cell>
          <cell r="B97">
            <v>16</v>
          </cell>
          <cell r="C97">
            <v>9</v>
          </cell>
          <cell r="D97">
            <v>0.08</v>
          </cell>
          <cell r="E97" t="str">
            <v>F25</v>
          </cell>
        </row>
        <row r="98">
          <cell r="A98">
            <v>9026</v>
          </cell>
          <cell r="B98">
            <v>17</v>
          </cell>
          <cell r="C98">
            <v>9</v>
          </cell>
          <cell r="D98">
            <v>8.1999999999999903E-3</v>
          </cell>
          <cell r="E98" t="str">
            <v>F26</v>
          </cell>
        </row>
        <row r="99">
          <cell r="A99">
            <v>9027</v>
          </cell>
          <cell r="B99">
            <v>18</v>
          </cell>
          <cell r="C99">
            <v>9</v>
          </cell>
          <cell r="D99">
            <v>5.0000000000000001E-3</v>
          </cell>
          <cell r="E99" t="str">
            <v>F27</v>
          </cell>
        </row>
        <row r="100">
          <cell r="A100">
            <v>9028</v>
          </cell>
          <cell r="B100">
            <v>19</v>
          </cell>
          <cell r="C100">
            <v>9</v>
          </cell>
          <cell r="D100">
            <v>4.5999999999999998E-20</v>
          </cell>
          <cell r="E100" t="str">
            <v>F28</v>
          </cell>
        </row>
        <row r="101">
          <cell r="A101">
            <v>9029</v>
          </cell>
          <cell r="B101">
            <v>20</v>
          </cell>
          <cell r="C101">
            <v>9</v>
          </cell>
          <cell r="D101">
            <v>2.6700000000000001E-3</v>
          </cell>
          <cell r="E101" t="str">
            <v>F29</v>
          </cell>
        </row>
        <row r="102">
          <cell r="A102">
            <v>10016</v>
          </cell>
          <cell r="B102">
            <v>6</v>
          </cell>
          <cell r="C102">
            <v>10</v>
          </cell>
          <cell r="D102">
            <v>8.9999999999999994E-21</v>
          </cell>
          <cell r="E102" t="str">
            <v>Ne16</v>
          </cell>
        </row>
        <row r="103">
          <cell r="A103">
            <v>10017</v>
          </cell>
          <cell r="B103">
            <v>7</v>
          </cell>
          <cell r="C103">
            <v>10</v>
          </cell>
          <cell r="D103">
            <v>0.10920000000000001</v>
          </cell>
          <cell r="E103" t="str">
            <v>Ne17</v>
          </cell>
        </row>
        <row r="104">
          <cell r="A104">
            <v>10018</v>
          </cell>
          <cell r="B104">
            <v>8</v>
          </cell>
          <cell r="C104">
            <v>10</v>
          </cell>
          <cell r="D104">
            <v>1.667</v>
          </cell>
          <cell r="E104" t="str">
            <v>Ne18</v>
          </cell>
        </row>
        <row r="105">
          <cell r="A105">
            <v>10019</v>
          </cell>
          <cell r="B105">
            <v>9</v>
          </cell>
          <cell r="C105">
            <v>10</v>
          </cell>
          <cell r="D105">
            <v>17.22</v>
          </cell>
          <cell r="E105" t="str">
            <v>Ne19</v>
          </cell>
        </row>
        <row r="106">
          <cell r="A106">
            <v>10020</v>
          </cell>
          <cell r="B106">
            <v>10</v>
          </cell>
          <cell r="C106">
            <v>10</v>
          </cell>
          <cell r="D106" t="str">
            <v>STABLE</v>
          </cell>
          <cell r="E106" t="str">
            <v>Ne20</v>
          </cell>
        </row>
        <row r="107">
          <cell r="A107">
            <v>10021</v>
          </cell>
          <cell r="B107">
            <v>11</v>
          </cell>
          <cell r="C107">
            <v>10</v>
          </cell>
          <cell r="D107" t="str">
            <v>STABLE</v>
          </cell>
          <cell r="E107" t="str">
            <v>Ne21</v>
          </cell>
        </row>
        <row r="108">
          <cell r="A108">
            <v>10022</v>
          </cell>
          <cell r="B108">
            <v>12</v>
          </cell>
          <cell r="C108">
            <v>10</v>
          </cell>
          <cell r="D108" t="str">
            <v>STABLE</v>
          </cell>
          <cell r="E108" t="str">
            <v>Ne22</v>
          </cell>
        </row>
        <row r="109">
          <cell r="A109">
            <v>10023</v>
          </cell>
          <cell r="B109">
            <v>13</v>
          </cell>
          <cell r="C109">
            <v>10</v>
          </cell>
          <cell r="D109">
            <v>37.24</v>
          </cell>
          <cell r="E109" t="str">
            <v>Ne23</v>
          </cell>
        </row>
        <row r="110">
          <cell r="A110">
            <v>10024</v>
          </cell>
          <cell r="B110">
            <v>14</v>
          </cell>
          <cell r="C110">
            <v>10</v>
          </cell>
          <cell r="D110">
            <v>202.79999999999899</v>
          </cell>
          <cell r="E110" t="str">
            <v>Ne24</v>
          </cell>
        </row>
        <row r="111">
          <cell r="A111">
            <v>10025</v>
          </cell>
          <cell r="B111">
            <v>15</v>
          </cell>
          <cell r="C111">
            <v>10</v>
          </cell>
          <cell r="D111">
            <v>0.60199999999999998</v>
          </cell>
          <cell r="E111" t="str">
            <v>Ne25</v>
          </cell>
        </row>
        <row r="112">
          <cell r="A112">
            <v>10026</v>
          </cell>
          <cell r="B112">
            <v>16</v>
          </cell>
          <cell r="C112">
            <v>10</v>
          </cell>
          <cell r="D112">
            <v>0.19700000000000001</v>
          </cell>
          <cell r="E112" t="str">
            <v>Ne26</v>
          </cell>
        </row>
        <row r="113">
          <cell r="A113">
            <v>10027</v>
          </cell>
          <cell r="B113">
            <v>17</v>
          </cell>
          <cell r="C113">
            <v>10</v>
          </cell>
          <cell r="D113">
            <v>3.15E-2</v>
          </cell>
          <cell r="E113" t="str">
            <v>Ne27</v>
          </cell>
        </row>
        <row r="114">
          <cell r="A114">
            <v>10028</v>
          </cell>
          <cell r="B114">
            <v>18</v>
          </cell>
          <cell r="C114">
            <v>10</v>
          </cell>
          <cell r="D114">
            <v>0.02</v>
          </cell>
          <cell r="E114" t="str">
            <v>Ne28</v>
          </cell>
        </row>
        <row r="115">
          <cell r="A115">
            <v>10029</v>
          </cell>
          <cell r="B115">
            <v>19</v>
          </cell>
          <cell r="C115">
            <v>10</v>
          </cell>
          <cell r="D115">
            <v>1.4999999999999999E-2</v>
          </cell>
          <cell r="E115" t="str">
            <v>Ne29</v>
          </cell>
        </row>
        <row r="116">
          <cell r="A116">
            <v>10030</v>
          </cell>
          <cell r="B116">
            <v>20</v>
          </cell>
          <cell r="C116">
            <v>10</v>
          </cell>
          <cell r="D116">
            <v>7.3899999999999999E-3</v>
          </cell>
          <cell r="E116" t="str">
            <v>Ne30</v>
          </cell>
        </row>
        <row r="117">
          <cell r="A117">
            <v>10031</v>
          </cell>
          <cell r="B117">
            <v>21</v>
          </cell>
          <cell r="C117">
            <v>10</v>
          </cell>
          <cell r="D117">
            <v>3.3999999999999998E-3</v>
          </cell>
          <cell r="E117" t="str">
            <v>Ne31</v>
          </cell>
        </row>
        <row r="118">
          <cell r="A118">
            <v>10032</v>
          </cell>
          <cell r="B118">
            <v>22</v>
          </cell>
          <cell r="C118">
            <v>10</v>
          </cell>
          <cell r="D118">
            <v>3.5000000000000001E-3</v>
          </cell>
          <cell r="E118" t="str">
            <v>Ne32</v>
          </cell>
        </row>
        <row r="119">
          <cell r="A119">
            <v>10034</v>
          </cell>
          <cell r="B119">
            <v>24</v>
          </cell>
          <cell r="C119">
            <v>10</v>
          </cell>
          <cell r="D119">
            <v>5.9999999999999995E-8</v>
          </cell>
          <cell r="E119" t="str">
            <v>Ne34</v>
          </cell>
        </row>
        <row r="120">
          <cell r="A120">
            <v>11018</v>
          </cell>
          <cell r="B120">
            <v>7</v>
          </cell>
          <cell r="C120">
            <v>11</v>
          </cell>
          <cell r="D120">
            <v>1.3000000000000001E-21</v>
          </cell>
          <cell r="E120" t="str">
            <v>Na18</v>
          </cell>
        </row>
        <row r="121">
          <cell r="A121">
            <v>11020</v>
          </cell>
          <cell r="B121">
            <v>9</v>
          </cell>
          <cell r="C121">
            <v>11</v>
          </cell>
          <cell r="D121">
            <v>0.44789999999999902</v>
          </cell>
          <cell r="E121" t="str">
            <v>Na20</v>
          </cell>
        </row>
        <row r="122">
          <cell r="A122">
            <v>11021</v>
          </cell>
          <cell r="B122">
            <v>10</v>
          </cell>
          <cell r="C122">
            <v>11</v>
          </cell>
          <cell r="D122">
            <v>22.49</v>
          </cell>
          <cell r="E122" t="str">
            <v>Na21</v>
          </cell>
        </row>
        <row r="123">
          <cell r="A123">
            <v>11022</v>
          </cell>
          <cell r="B123">
            <v>11</v>
          </cell>
          <cell r="C123">
            <v>11</v>
          </cell>
          <cell r="D123">
            <v>82106563.679999903</v>
          </cell>
          <cell r="E123" t="str">
            <v>Na22</v>
          </cell>
        </row>
        <row r="124">
          <cell r="A124">
            <v>11023</v>
          </cell>
          <cell r="B124">
            <v>12</v>
          </cell>
          <cell r="C124">
            <v>11</v>
          </cell>
          <cell r="D124" t="str">
            <v>STABLE</v>
          </cell>
          <cell r="E124" t="str">
            <v>Na23</v>
          </cell>
        </row>
        <row r="125">
          <cell r="A125">
            <v>11024</v>
          </cell>
          <cell r="B125">
            <v>13</v>
          </cell>
          <cell r="C125">
            <v>11</v>
          </cell>
          <cell r="D125">
            <v>53989.2</v>
          </cell>
          <cell r="E125" t="str">
            <v>Na24</v>
          </cell>
        </row>
        <row r="126">
          <cell r="A126">
            <v>11025</v>
          </cell>
          <cell r="B126">
            <v>14</v>
          </cell>
          <cell r="C126">
            <v>11</v>
          </cell>
          <cell r="D126">
            <v>59.1</v>
          </cell>
          <cell r="E126" t="str">
            <v>Na25</v>
          </cell>
        </row>
        <row r="127">
          <cell r="A127">
            <v>11026</v>
          </cell>
          <cell r="B127">
            <v>15</v>
          </cell>
          <cell r="C127">
            <v>11</v>
          </cell>
          <cell r="D127">
            <v>1.07128</v>
          </cell>
          <cell r="E127" t="str">
            <v>Na26</v>
          </cell>
        </row>
        <row r="128">
          <cell r="A128">
            <v>11027</v>
          </cell>
          <cell r="B128">
            <v>16</v>
          </cell>
          <cell r="C128">
            <v>11</v>
          </cell>
          <cell r="D128">
            <v>0.30099999999999999</v>
          </cell>
          <cell r="E128" t="str">
            <v>Na27</v>
          </cell>
        </row>
        <row r="129">
          <cell r="A129">
            <v>11028</v>
          </cell>
          <cell r="B129">
            <v>17</v>
          </cell>
          <cell r="C129">
            <v>11</v>
          </cell>
          <cell r="D129">
            <v>3.0499999999999999E-2</v>
          </cell>
          <cell r="E129" t="str">
            <v>Na28</v>
          </cell>
        </row>
        <row r="130">
          <cell r="A130">
            <v>11029</v>
          </cell>
          <cell r="B130">
            <v>18</v>
          </cell>
          <cell r="C130">
            <v>11</v>
          </cell>
          <cell r="D130">
            <v>4.41E-2</v>
          </cell>
          <cell r="E130" t="str">
            <v>Na29</v>
          </cell>
        </row>
        <row r="131">
          <cell r="A131">
            <v>11030</v>
          </cell>
          <cell r="B131">
            <v>19</v>
          </cell>
          <cell r="C131">
            <v>11</v>
          </cell>
          <cell r="D131">
            <v>4.8000000000000001E-2</v>
          </cell>
          <cell r="E131" t="str">
            <v>Na30</v>
          </cell>
        </row>
        <row r="132">
          <cell r="A132">
            <v>11031</v>
          </cell>
          <cell r="B132">
            <v>20</v>
          </cell>
          <cell r="C132">
            <v>11</v>
          </cell>
          <cell r="D132">
            <v>1.7399999999999999E-2</v>
          </cell>
          <cell r="E132" t="str">
            <v>Na31</v>
          </cell>
        </row>
        <row r="133">
          <cell r="A133">
            <v>11032</v>
          </cell>
          <cell r="B133">
            <v>21</v>
          </cell>
          <cell r="C133">
            <v>11</v>
          </cell>
          <cell r="D133">
            <v>1.32E-2</v>
          </cell>
          <cell r="E133" t="str">
            <v>Na32</v>
          </cell>
        </row>
        <row r="134">
          <cell r="A134">
            <v>11033</v>
          </cell>
          <cell r="B134">
            <v>22</v>
          </cell>
          <cell r="C134">
            <v>11</v>
          </cell>
          <cell r="D134">
            <v>8.0999999999999996E-3</v>
          </cell>
          <cell r="E134" t="str">
            <v>Na33</v>
          </cell>
        </row>
        <row r="135">
          <cell r="A135">
            <v>11034</v>
          </cell>
          <cell r="B135">
            <v>23</v>
          </cell>
          <cell r="C135">
            <v>11</v>
          </cell>
          <cell r="D135">
            <v>5.0000000000000001E-3</v>
          </cell>
          <cell r="E135" t="str">
            <v>Na34</v>
          </cell>
        </row>
        <row r="136">
          <cell r="A136">
            <v>11035</v>
          </cell>
          <cell r="B136">
            <v>24</v>
          </cell>
          <cell r="C136">
            <v>11</v>
          </cell>
          <cell r="D136">
            <v>1.8E-3</v>
          </cell>
          <cell r="E136" t="str">
            <v>Na35</v>
          </cell>
        </row>
        <row r="137">
          <cell r="A137">
            <v>12019</v>
          </cell>
          <cell r="B137">
            <v>7</v>
          </cell>
          <cell r="C137">
            <v>12</v>
          </cell>
          <cell r="D137">
            <v>3.9999999999999999E-12</v>
          </cell>
          <cell r="E137" t="str">
            <v>Mg19</v>
          </cell>
        </row>
        <row r="138">
          <cell r="A138">
            <v>12020</v>
          </cell>
          <cell r="B138">
            <v>8</v>
          </cell>
          <cell r="C138">
            <v>12</v>
          </cell>
          <cell r="D138">
            <v>9.0800000000000006E-2</v>
          </cell>
          <cell r="E138" t="str">
            <v>Mg20</v>
          </cell>
        </row>
        <row r="139">
          <cell r="A139">
            <v>12021</v>
          </cell>
          <cell r="B139">
            <v>9</v>
          </cell>
          <cell r="C139">
            <v>12</v>
          </cell>
          <cell r="D139">
            <v>0.122</v>
          </cell>
          <cell r="E139" t="str">
            <v>Mg21</v>
          </cell>
        </row>
        <row r="140">
          <cell r="A140">
            <v>12022</v>
          </cell>
          <cell r="B140">
            <v>10</v>
          </cell>
          <cell r="C140">
            <v>12</v>
          </cell>
          <cell r="D140">
            <v>3.8755000000000002</v>
          </cell>
          <cell r="E140" t="str">
            <v>Mg22</v>
          </cell>
        </row>
        <row r="141">
          <cell r="A141">
            <v>12023</v>
          </cell>
          <cell r="B141">
            <v>11</v>
          </cell>
          <cell r="C141">
            <v>12</v>
          </cell>
          <cell r="D141">
            <v>11.317</v>
          </cell>
          <cell r="E141" t="str">
            <v>Mg23</v>
          </cell>
        </row>
        <row r="142">
          <cell r="A142">
            <v>12024</v>
          </cell>
          <cell r="B142">
            <v>12</v>
          </cell>
          <cell r="C142">
            <v>12</v>
          </cell>
          <cell r="D142" t="str">
            <v>STABLE</v>
          </cell>
          <cell r="E142" t="str">
            <v>Mg24</v>
          </cell>
        </row>
        <row r="143">
          <cell r="A143">
            <v>12025</v>
          </cell>
          <cell r="B143">
            <v>13</v>
          </cell>
          <cell r="C143">
            <v>12</v>
          </cell>
          <cell r="D143" t="str">
            <v>STABLE</v>
          </cell>
          <cell r="E143" t="str">
            <v>Mg25</v>
          </cell>
        </row>
        <row r="144">
          <cell r="A144">
            <v>12026</v>
          </cell>
          <cell r="B144">
            <v>14</v>
          </cell>
          <cell r="C144">
            <v>12</v>
          </cell>
          <cell r="D144" t="str">
            <v>STABLE</v>
          </cell>
          <cell r="E144" t="str">
            <v>Mg26</v>
          </cell>
        </row>
        <row r="145">
          <cell r="A145">
            <v>12027</v>
          </cell>
          <cell r="B145">
            <v>15</v>
          </cell>
          <cell r="C145">
            <v>12</v>
          </cell>
          <cell r="D145">
            <v>567.48</v>
          </cell>
          <cell r="E145" t="str">
            <v>Mg27</v>
          </cell>
        </row>
        <row r="146">
          <cell r="A146">
            <v>12028</v>
          </cell>
          <cell r="B146">
            <v>16</v>
          </cell>
          <cell r="C146">
            <v>12</v>
          </cell>
          <cell r="D146">
            <v>75294</v>
          </cell>
          <cell r="E146" t="str">
            <v>Mg28</v>
          </cell>
        </row>
        <row r="147">
          <cell r="A147">
            <v>12029</v>
          </cell>
          <cell r="B147">
            <v>17</v>
          </cell>
          <cell r="C147">
            <v>12</v>
          </cell>
          <cell r="D147">
            <v>1.3</v>
          </cell>
          <cell r="E147" t="str">
            <v>Mg29</v>
          </cell>
        </row>
        <row r="148">
          <cell r="A148">
            <v>12030</v>
          </cell>
          <cell r="B148">
            <v>18</v>
          </cell>
          <cell r="C148">
            <v>12</v>
          </cell>
          <cell r="D148">
            <v>0.317</v>
          </cell>
          <cell r="E148" t="str">
            <v>Mg30</v>
          </cell>
        </row>
        <row r="149">
          <cell r="A149">
            <v>12031</v>
          </cell>
          <cell r="B149">
            <v>19</v>
          </cell>
          <cell r="C149">
            <v>12</v>
          </cell>
          <cell r="D149">
            <v>0.23599999999999999</v>
          </cell>
          <cell r="E149" t="str">
            <v>Mg31</v>
          </cell>
        </row>
        <row r="150">
          <cell r="A150">
            <v>12032</v>
          </cell>
          <cell r="B150">
            <v>20</v>
          </cell>
          <cell r="C150">
            <v>12</v>
          </cell>
          <cell r="D150">
            <v>8.5999999999999993E-2</v>
          </cell>
          <cell r="E150" t="str">
            <v>Mg32</v>
          </cell>
        </row>
        <row r="151">
          <cell r="A151">
            <v>12033</v>
          </cell>
          <cell r="B151">
            <v>21</v>
          </cell>
          <cell r="C151">
            <v>12</v>
          </cell>
          <cell r="D151">
            <v>8.9399999999999993E-2</v>
          </cell>
          <cell r="E151" t="str">
            <v>Mg33</v>
          </cell>
        </row>
        <row r="152">
          <cell r="A152">
            <v>12034</v>
          </cell>
          <cell r="B152">
            <v>22</v>
          </cell>
          <cell r="C152">
            <v>12</v>
          </cell>
          <cell r="D152">
            <v>0.02</v>
          </cell>
          <cell r="E152" t="str">
            <v>Mg34</v>
          </cell>
        </row>
        <row r="153">
          <cell r="A153">
            <v>12035</v>
          </cell>
          <cell r="B153">
            <v>23</v>
          </cell>
          <cell r="C153">
            <v>12</v>
          </cell>
          <cell r="D153">
            <v>1.1299999999999999E-2</v>
          </cell>
          <cell r="E153" t="str">
            <v>Mg35</v>
          </cell>
        </row>
        <row r="154">
          <cell r="A154">
            <v>12036</v>
          </cell>
          <cell r="B154">
            <v>24</v>
          </cell>
          <cell r="C154">
            <v>12</v>
          </cell>
          <cell r="D154">
            <v>5.7999999999999996E-3</v>
          </cell>
          <cell r="E154" t="str">
            <v>Mg36</v>
          </cell>
        </row>
        <row r="155">
          <cell r="A155">
            <v>12037</v>
          </cell>
          <cell r="B155">
            <v>25</v>
          </cell>
          <cell r="C155">
            <v>12</v>
          </cell>
          <cell r="D155">
            <v>8.0000000000000002E-3</v>
          </cell>
          <cell r="E155" t="str">
            <v>Mg37</v>
          </cell>
        </row>
        <row r="156">
          <cell r="A156">
            <v>13022</v>
          </cell>
          <cell r="B156">
            <v>9</v>
          </cell>
          <cell r="C156">
            <v>13</v>
          </cell>
          <cell r="D156">
            <v>9.11E-2</v>
          </cell>
          <cell r="E156" t="str">
            <v>Al22</v>
          </cell>
        </row>
        <row r="157">
          <cell r="A157">
            <v>13023</v>
          </cell>
          <cell r="B157">
            <v>10</v>
          </cell>
          <cell r="C157">
            <v>13</v>
          </cell>
          <cell r="D157">
            <v>0.47</v>
          </cell>
          <cell r="E157" t="str">
            <v>Al23</v>
          </cell>
        </row>
        <row r="158">
          <cell r="A158">
            <v>13024</v>
          </cell>
          <cell r="B158">
            <v>11</v>
          </cell>
          <cell r="C158">
            <v>13</v>
          </cell>
          <cell r="D158">
            <v>2.0529999999999999</v>
          </cell>
          <cell r="E158" t="str">
            <v>Al24</v>
          </cell>
        </row>
        <row r="159">
          <cell r="A159">
            <v>13025</v>
          </cell>
          <cell r="B159">
            <v>12</v>
          </cell>
          <cell r="C159">
            <v>13</v>
          </cell>
          <cell r="D159">
            <v>7.1829999999999998</v>
          </cell>
          <cell r="E159" t="str">
            <v>Al25</v>
          </cell>
        </row>
        <row r="160">
          <cell r="A160">
            <v>13026</v>
          </cell>
          <cell r="B160">
            <v>13</v>
          </cell>
          <cell r="C160">
            <v>13</v>
          </cell>
          <cell r="D160">
            <v>22626799200000</v>
          </cell>
          <cell r="E160" t="str">
            <v>Al26</v>
          </cell>
        </row>
        <row r="161">
          <cell r="A161">
            <v>13027</v>
          </cell>
          <cell r="B161">
            <v>14</v>
          </cell>
          <cell r="C161">
            <v>13</v>
          </cell>
          <cell r="D161" t="str">
            <v>STABLE</v>
          </cell>
          <cell r="E161" t="str">
            <v>Al27</v>
          </cell>
        </row>
        <row r="162">
          <cell r="A162">
            <v>13028</v>
          </cell>
          <cell r="B162">
            <v>15</v>
          </cell>
          <cell r="C162">
            <v>13</v>
          </cell>
          <cell r="D162">
            <v>134.69999999999999</v>
          </cell>
          <cell r="E162" t="str">
            <v>Al28</v>
          </cell>
        </row>
        <row r="163">
          <cell r="A163">
            <v>13029</v>
          </cell>
          <cell r="B163">
            <v>16</v>
          </cell>
          <cell r="C163">
            <v>13</v>
          </cell>
          <cell r="D163">
            <v>393.599999999999</v>
          </cell>
          <cell r="E163" t="str">
            <v>Al29</v>
          </cell>
        </row>
        <row r="164">
          <cell r="A164">
            <v>13030</v>
          </cell>
          <cell r="B164">
            <v>17</v>
          </cell>
          <cell r="C164">
            <v>13</v>
          </cell>
          <cell r="D164">
            <v>3.62</v>
          </cell>
          <cell r="E164" t="str">
            <v>Al30</v>
          </cell>
        </row>
        <row r="165">
          <cell r="A165">
            <v>13031</v>
          </cell>
          <cell r="B165">
            <v>18</v>
          </cell>
          <cell r="C165">
            <v>13</v>
          </cell>
          <cell r="D165">
            <v>0.64400000000000002</v>
          </cell>
          <cell r="E165" t="str">
            <v>Al31</v>
          </cell>
        </row>
        <row r="166">
          <cell r="A166">
            <v>13032</v>
          </cell>
          <cell r="B166">
            <v>19</v>
          </cell>
          <cell r="C166">
            <v>13</v>
          </cell>
          <cell r="D166">
            <v>3.1899999999999998E-2</v>
          </cell>
          <cell r="E166" t="str">
            <v>Al32</v>
          </cell>
        </row>
        <row r="167">
          <cell r="A167">
            <v>13033</v>
          </cell>
          <cell r="B167">
            <v>20</v>
          </cell>
          <cell r="C167">
            <v>13</v>
          </cell>
          <cell r="D167">
            <v>4.1700000000000001E-2</v>
          </cell>
          <cell r="E167" t="str">
            <v>Al33</v>
          </cell>
        </row>
        <row r="168">
          <cell r="A168">
            <v>13034</v>
          </cell>
          <cell r="B168">
            <v>21</v>
          </cell>
          <cell r="C168">
            <v>13</v>
          </cell>
          <cell r="D168">
            <v>5.6299999999999899E-2</v>
          </cell>
          <cell r="E168" t="str">
            <v>Al34</v>
          </cell>
        </row>
        <row r="169">
          <cell r="A169">
            <v>13035</v>
          </cell>
          <cell r="B169">
            <v>22</v>
          </cell>
          <cell r="C169">
            <v>13</v>
          </cell>
          <cell r="D169">
            <v>3.7600000000000001E-2</v>
          </cell>
          <cell r="E169" t="str">
            <v>Al35</v>
          </cell>
        </row>
        <row r="170">
          <cell r="A170">
            <v>13036</v>
          </cell>
          <cell r="B170">
            <v>23</v>
          </cell>
          <cell r="C170">
            <v>13</v>
          </cell>
          <cell r="D170">
            <v>9.4E-2</v>
          </cell>
          <cell r="E170" t="str">
            <v>Al36</v>
          </cell>
        </row>
        <row r="171">
          <cell r="A171">
            <v>13037</v>
          </cell>
          <cell r="B171">
            <v>24</v>
          </cell>
          <cell r="C171">
            <v>13</v>
          </cell>
          <cell r="D171">
            <v>1.0699999999999999E-2</v>
          </cell>
          <cell r="E171" t="str">
            <v>Al37</v>
          </cell>
        </row>
        <row r="172">
          <cell r="A172">
            <v>13038</v>
          </cell>
          <cell r="B172">
            <v>25</v>
          </cell>
          <cell r="C172">
            <v>13</v>
          </cell>
          <cell r="D172">
            <v>7.6E-3</v>
          </cell>
          <cell r="E172" t="str">
            <v>Al38</v>
          </cell>
        </row>
        <row r="173">
          <cell r="A173">
            <v>13039</v>
          </cell>
          <cell r="B173">
            <v>26</v>
          </cell>
          <cell r="C173">
            <v>13</v>
          </cell>
          <cell r="D173">
            <v>7.6E-3</v>
          </cell>
          <cell r="E173" t="str">
            <v>Al39</v>
          </cell>
        </row>
        <row r="174">
          <cell r="A174">
            <v>14022</v>
          </cell>
          <cell r="B174">
            <v>8</v>
          </cell>
          <cell r="C174">
            <v>14</v>
          </cell>
          <cell r="D174">
            <v>2.9000000000000001E-2</v>
          </cell>
          <cell r="E174" t="str">
            <v>Si22</v>
          </cell>
        </row>
        <row r="175">
          <cell r="A175">
            <v>14023</v>
          </cell>
          <cell r="B175">
            <v>9</v>
          </cell>
          <cell r="C175">
            <v>14</v>
          </cell>
          <cell r="D175">
            <v>4.2299999999999997E-2</v>
          </cell>
          <cell r="E175" t="str">
            <v>Si23</v>
          </cell>
        </row>
        <row r="176">
          <cell r="A176">
            <v>14024</v>
          </cell>
          <cell r="B176">
            <v>10</v>
          </cell>
          <cell r="C176">
            <v>14</v>
          </cell>
          <cell r="D176">
            <v>0.14050000000000001</v>
          </cell>
          <cell r="E176" t="str">
            <v>Si24</v>
          </cell>
        </row>
        <row r="177">
          <cell r="A177">
            <v>14025</v>
          </cell>
          <cell r="B177">
            <v>11</v>
          </cell>
          <cell r="C177">
            <v>14</v>
          </cell>
          <cell r="D177">
            <v>0.22</v>
          </cell>
          <cell r="E177" t="str">
            <v>Si25</v>
          </cell>
        </row>
        <row r="178">
          <cell r="A178">
            <v>14026</v>
          </cell>
          <cell r="B178">
            <v>12</v>
          </cell>
          <cell r="C178">
            <v>14</v>
          </cell>
          <cell r="D178">
            <v>2.2452999999999999</v>
          </cell>
          <cell r="E178" t="str">
            <v>Si26</v>
          </cell>
        </row>
        <row r="179">
          <cell r="A179">
            <v>14027</v>
          </cell>
          <cell r="B179">
            <v>13</v>
          </cell>
          <cell r="C179">
            <v>14</v>
          </cell>
          <cell r="D179">
            <v>4.1500000000000004</v>
          </cell>
          <cell r="E179" t="str">
            <v>Si27</v>
          </cell>
        </row>
        <row r="180">
          <cell r="A180">
            <v>14028</v>
          </cell>
          <cell r="B180">
            <v>14</v>
          </cell>
          <cell r="C180">
            <v>14</v>
          </cell>
          <cell r="D180" t="str">
            <v>STABLE</v>
          </cell>
          <cell r="E180" t="str">
            <v>Si28</v>
          </cell>
        </row>
        <row r="181">
          <cell r="A181">
            <v>14029</v>
          </cell>
          <cell r="B181">
            <v>15</v>
          </cell>
          <cell r="C181">
            <v>14</v>
          </cell>
          <cell r="D181" t="str">
            <v>STABLE</v>
          </cell>
          <cell r="E181" t="str">
            <v>Si29</v>
          </cell>
        </row>
        <row r="182">
          <cell r="A182">
            <v>14030</v>
          </cell>
          <cell r="B182">
            <v>16</v>
          </cell>
          <cell r="C182">
            <v>14</v>
          </cell>
          <cell r="D182" t="str">
            <v>STABLE</v>
          </cell>
          <cell r="E182" t="str">
            <v>Si30</v>
          </cell>
        </row>
        <row r="183">
          <cell r="A183">
            <v>14031</v>
          </cell>
          <cell r="B183">
            <v>17</v>
          </cell>
          <cell r="C183">
            <v>14</v>
          </cell>
          <cell r="D183">
            <v>9441.6</v>
          </cell>
          <cell r="E183" t="str">
            <v>Si31</v>
          </cell>
        </row>
        <row r="184">
          <cell r="A184">
            <v>14032</v>
          </cell>
          <cell r="B184">
            <v>18</v>
          </cell>
          <cell r="C184">
            <v>14</v>
          </cell>
          <cell r="D184">
            <v>4828312800</v>
          </cell>
          <cell r="E184" t="str">
            <v>Si32</v>
          </cell>
        </row>
        <row r="185">
          <cell r="A185">
            <v>14033</v>
          </cell>
          <cell r="B185">
            <v>19</v>
          </cell>
          <cell r="C185">
            <v>14</v>
          </cell>
          <cell r="D185">
            <v>6.11</v>
          </cell>
          <cell r="E185" t="str">
            <v>Si33</v>
          </cell>
        </row>
        <row r="186">
          <cell r="A186">
            <v>14034</v>
          </cell>
          <cell r="B186">
            <v>20</v>
          </cell>
          <cell r="C186">
            <v>14</v>
          </cell>
          <cell r="D186">
            <v>2.77</v>
          </cell>
          <cell r="E186" t="str">
            <v>Si34</v>
          </cell>
        </row>
        <row r="187">
          <cell r="A187">
            <v>14035</v>
          </cell>
          <cell r="B187">
            <v>21</v>
          </cell>
          <cell r="C187">
            <v>14</v>
          </cell>
          <cell r="D187">
            <v>0.78</v>
          </cell>
          <cell r="E187" t="str">
            <v>Si35</v>
          </cell>
        </row>
        <row r="188">
          <cell r="A188">
            <v>14036</v>
          </cell>
          <cell r="B188">
            <v>22</v>
          </cell>
          <cell r="C188">
            <v>14</v>
          </cell>
          <cell r="D188">
            <v>0.45</v>
          </cell>
          <cell r="E188" t="str">
            <v>Si36</v>
          </cell>
        </row>
        <row r="189">
          <cell r="A189">
            <v>14037</v>
          </cell>
          <cell r="B189">
            <v>23</v>
          </cell>
          <cell r="C189">
            <v>14</v>
          </cell>
          <cell r="D189">
            <v>0.09</v>
          </cell>
          <cell r="E189" t="str">
            <v>Si37</v>
          </cell>
        </row>
        <row r="190">
          <cell r="A190">
            <v>14038</v>
          </cell>
          <cell r="B190">
            <v>24</v>
          </cell>
          <cell r="C190">
            <v>14</v>
          </cell>
          <cell r="D190">
            <v>9.5000000000000001E-2</v>
          </cell>
          <cell r="E190" t="str">
            <v>Si38</v>
          </cell>
        </row>
        <row r="191">
          <cell r="A191">
            <v>14039</v>
          </cell>
          <cell r="B191">
            <v>25</v>
          </cell>
          <cell r="C191">
            <v>14</v>
          </cell>
          <cell r="D191">
            <v>4.7500000000000001E-2</v>
          </cell>
          <cell r="E191" t="str">
            <v>Si39</v>
          </cell>
        </row>
        <row r="192">
          <cell r="A192">
            <v>14040</v>
          </cell>
          <cell r="B192">
            <v>26</v>
          </cell>
          <cell r="C192">
            <v>14</v>
          </cell>
          <cell r="D192">
            <v>3.3000000000000002E-2</v>
          </cell>
          <cell r="E192" t="str">
            <v>Si40</v>
          </cell>
        </row>
        <row r="193">
          <cell r="A193">
            <v>14041</v>
          </cell>
          <cell r="B193">
            <v>27</v>
          </cell>
          <cell r="C193">
            <v>14</v>
          </cell>
          <cell r="D193">
            <v>0.02</v>
          </cell>
          <cell r="E193" t="str">
            <v>Si41</v>
          </cell>
        </row>
        <row r="194">
          <cell r="A194">
            <v>14042</v>
          </cell>
          <cell r="B194">
            <v>28</v>
          </cell>
          <cell r="C194">
            <v>14</v>
          </cell>
          <cell r="D194">
            <v>1.2500000000000001E-2</v>
          </cell>
          <cell r="E194" t="str">
            <v>Si42</v>
          </cell>
        </row>
        <row r="195">
          <cell r="A195">
            <v>15026</v>
          </cell>
          <cell r="B195">
            <v>11</v>
          </cell>
          <cell r="C195">
            <v>15</v>
          </cell>
          <cell r="D195">
            <v>4.3700000000000003E-2</v>
          </cell>
          <cell r="E195" t="str">
            <v>P26</v>
          </cell>
        </row>
        <row r="196">
          <cell r="A196">
            <v>15027</v>
          </cell>
          <cell r="B196">
            <v>12</v>
          </cell>
          <cell r="C196">
            <v>15</v>
          </cell>
          <cell r="D196">
            <v>0.26</v>
          </cell>
          <cell r="E196" t="str">
            <v>P27</v>
          </cell>
        </row>
        <row r="197">
          <cell r="A197">
            <v>15028</v>
          </cell>
          <cell r="B197">
            <v>13</v>
          </cell>
          <cell r="C197">
            <v>15</v>
          </cell>
          <cell r="D197">
            <v>0.27029999999999998</v>
          </cell>
          <cell r="E197" t="str">
            <v>P28</v>
          </cell>
        </row>
        <row r="198">
          <cell r="A198">
            <v>15029</v>
          </cell>
          <cell r="B198">
            <v>14</v>
          </cell>
          <cell r="C198">
            <v>15</v>
          </cell>
          <cell r="D198">
            <v>4.1420000000000003</v>
          </cell>
          <cell r="E198" t="str">
            <v>P29</v>
          </cell>
        </row>
        <row r="199">
          <cell r="A199">
            <v>15030</v>
          </cell>
          <cell r="B199">
            <v>15</v>
          </cell>
          <cell r="C199">
            <v>15</v>
          </cell>
          <cell r="D199">
            <v>149.88</v>
          </cell>
          <cell r="E199" t="str">
            <v>P30</v>
          </cell>
        </row>
        <row r="200">
          <cell r="A200">
            <v>15031</v>
          </cell>
          <cell r="B200">
            <v>16</v>
          </cell>
          <cell r="C200">
            <v>15</v>
          </cell>
          <cell r="D200" t="str">
            <v>STABLE</v>
          </cell>
          <cell r="E200" t="str">
            <v>P31</v>
          </cell>
        </row>
        <row r="201">
          <cell r="A201">
            <v>15032</v>
          </cell>
          <cell r="B201">
            <v>17</v>
          </cell>
          <cell r="C201">
            <v>15</v>
          </cell>
          <cell r="D201">
            <v>1232755.2</v>
          </cell>
          <cell r="E201" t="str">
            <v>P32</v>
          </cell>
        </row>
        <row r="202">
          <cell r="A202">
            <v>15033</v>
          </cell>
          <cell r="B202">
            <v>18</v>
          </cell>
          <cell r="C202">
            <v>15</v>
          </cell>
          <cell r="D202">
            <v>2190240</v>
          </cell>
          <cell r="E202" t="str">
            <v>P33</v>
          </cell>
        </row>
        <row r="203">
          <cell r="A203">
            <v>15034</v>
          </cell>
          <cell r="B203">
            <v>19</v>
          </cell>
          <cell r="C203">
            <v>15</v>
          </cell>
          <cell r="D203">
            <v>12.43</v>
          </cell>
          <cell r="E203" t="str">
            <v>P34</v>
          </cell>
        </row>
        <row r="204">
          <cell r="A204">
            <v>15035</v>
          </cell>
          <cell r="B204">
            <v>20</v>
          </cell>
          <cell r="C204">
            <v>15</v>
          </cell>
          <cell r="D204">
            <v>47.3</v>
          </cell>
          <cell r="E204" t="str">
            <v>P35</v>
          </cell>
        </row>
        <row r="205">
          <cell r="A205">
            <v>15036</v>
          </cell>
          <cell r="B205">
            <v>21</v>
          </cell>
          <cell r="C205">
            <v>15</v>
          </cell>
          <cell r="D205">
            <v>5.6</v>
          </cell>
          <cell r="E205" t="str">
            <v>P36</v>
          </cell>
        </row>
        <row r="206">
          <cell r="A206">
            <v>15037</v>
          </cell>
          <cell r="B206">
            <v>22</v>
          </cell>
          <cell r="C206">
            <v>15</v>
          </cell>
          <cell r="D206">
            <v>2.31</v>
          </cell>
          <cell r="E206" t="str">
            <v>P37</v>
          </cell>
        </row>
        <row r="207">
          <cell r="A207">
            <v>15038</v>
          </cell>
          <cell r="B207">
            <v>23</v>
          </cell>
          <cell r="C207">
            <v>15</v>
          </cell>
          <cell r="D207">
            <v>0.64</v>
          </cell>
          <cell r="E207" t="str">
            <v>P38</v>
          </cell>
        </row>
        <row r="208">
          <cell r="A208">
            <v>15039</v>
          </cell>
          <cell r="B208">
            <v>24</v>
          </cell>
          <cell r="C208">
            <v>15</v>
          </cell>
          <cell r="D208">
            <v>0.28000000000000003</v>
          </cell>
          <cell r="E208" t="str">
            <v>P39</v>
          </cell>
        </row>
        <row r="209">
          <cell r="A209">
            <v>15040</v>
          </cell>
          <cell r="B209">
            <v>25</v>
          </cell>
          <cell r="C209">
            <v>15</v>
          </cell>
          <cell r="D209">
            <v>0.15</v>
          </cell>
          <cell r="E209" t="str">
            <v>P40</v>
          </cell>
        </row>
        <row r="210">
          <cell r="A210">
            <v>15041</v>
          </cell>
          <cell r="B210">
            <v>26</v>
          </cell>
          <cell r="C210">
            <v>15</v>
          </cell>
          <cell r="D210">
            <v>0.10100000000000001</v>
          </cell>
          <cell r="E210" t="str">
            <v>P41</v>
          </cell>
        </row>
        <row r="211">
          <cell r="A211">
            <v>15042</v>
          </cell>
          <cell r="B211">
            <v>27</v>
          </cell>
          <cell r="C211">
            <v>15</v>
          </cell>
          <cell r="D211">
            <v>4.8500000000000001E-2</v>
          </cell>
          <cell r="E211" t="str">
            <v>P42</v>
          </cell>
        </row>
        <row r="212">
          <cell r="A212">
            <v>15043</v>
          </cell>
          <cell r="B212">
            <v>28</v>
          </cell>
          <cell r="C212">
            <v>15</v>
          </cell>
          <cell r="D212">
            <v>3.6499999999999998E-2</v>
          </cell>
          <cell r="E212" t="str">
            <v>P43</v>
          </cell>
        </row>
        <row r="213">
          <cell r="A213">
            <v>15044</v>
          </cell>
          <cell r="B213">
            <v>29</v>
          </cell>
          <cell r="C213">
            <v>15</v>
          </cell>
          <cell r="D213">
            <v>1.8499999999999999E-2</v>
          </cell>
          <cell r="E213" t="str">
            <v>P44</v>
          </cell>
        </row>
        <row r="214">
          <cell r="A214">
            <v>15045</v>
          </cell>
          <cell r="B214">
            <v>30</v>
          </cell>
          <cell r="C214">
            <v>15</v>
          </cell>
          <cell r="D214">
            <v>1.9999999999999999E-7</v>
          </cell>
          <cell r="E214" t="str">
            <v>P45</v>
          </cell>
        </row>
        <row r="215">
          <cell r="A215">
            <v>15046</v>
          </cell>
          <cell r="B215">
            <v>31</v>
          </cell>
          <cell r="C215">
            <v>15</v>
          </cell>
          <cell r="D215">
            <v>1.9999999999999999E-7</v>
          </cell>
          <cell r="E215" t="str">
            <v>P46</v>
          </cell>
        </row>
        <row r="216">
          <cell r="A216">
            <v>16027</v>
          </cell>
          <cell r="B216">
            <v>11</v>
          </cell>
          <cell r="C216">
            <v>16</v>
          </cell>
          <cell r="D216">
            <v>1.55E-2</v>
          </cell>
          <cell r="E216" t="str">
            <v>S27</v>
          </cell>
        </row>
        <row r="217">
          <cell r="A217">
            <v>16028</v>
          </cell>
          <cell r="B217">
            <v>12</v>
          </cell>
          <cell r="C217">
            <v>16</v>
          </cell>
          <cell r="D217">
            <v>0.125</v>
          </cell>
          <cell r="E217" t="str">
            <v>S28</v>
          </cell>
        </row>
        <row r="218">
          <cell r="A218">
            <v>16029</v>
          </cell>
          <cell r="B218">
            <v>13</v>
          </cell>
          <cell r="C218">
            <v>16</v>
          </cell>
          <cell r="D218">
            <v>0.188</v>
          </cell>
          <cell r="E218" t="str">
            <v>S29</v>
          </cell>
        </row>
        <row r="219">
          <cell r="A219">
            <v>16030</v>
          </cell>
          <cell r="B219">
            <v>14</v>
          </cell>
          <cell r="C219">
            <v>16</v>
          </cell>
          <cell r="D219">
            <v>1.1779999999999999</v>
          </cell>
          <cell r="E219" t="str">
            <v>S30</v>
          </cell>
        </row>
        <row r="220">
          <cell r="A220">
            <v>16031</v>
          </cell>
          <cell r="B220">
            <v>15</v>
          </cell>
          <cell r="C220">
            <v>16</v>
          </cell>
          <cell r="D220">
            <v>2.5533999999999999</v>
          </cell>
          <cell r="E220" t="str">
            <v>S31</v>
          </cell>
        </row>
        <row r="221">
          <cell r="A221">
            <v>16032</v>
          </cell>
          <cell r="B221">
            <v>16</v>
          </cell>
          <cell r="C221">
            <v>16</v>
          </cell>
          <cell r="D221" t="str">
            <v>STABLE</v>
          </cell>
          <cell r="E221" t="str">
            <v>S32</v>
          </cell>
        </row>
        <row r="222">
          <cell r="A222">
            <v>16033</v>
          </cell>
          <cell r="B222">
            <v>17</v>
          </cell>
          <cell r="C222">
            <v>16</v>
          </cell>
          <cell r="D222" t="str">
            <v>STABLE</v>
          </cell>
          <cell r="E222" t="str">
            <v>S33</v>
          </cell>
        </row>
        <row r="223">
          <cell r="A223">
            <v>16034</v>
          </cell>
          <cell r="B223">
            <v>18</v>
          </cell>
          <cell r="C223">
            <v>16</v>
          </cell>
          <cell r="D223" t="str">
            <v>STABLE</v>
          </cell>
          <cell r="E223" t="str">
            <v>S34</v>
          </cell>
        </row>
        <row r="224">
          <cell r="A224">
            <v>16035</v>
          </cell>
          <cell r="B224">
            <v>19</v>
          </cell>
          <cell r="C224">
            <v>16</v>
          </cell>
          <cell r="D224">
            <v>7548768</v>
          </cell>
          <cell r="E224" t="str">
            <v>S35</v>
          </cell>
        </row>
        <row r="225">
          <cell r="A225">
            <v>16036</v>
          </cell>
          <cell r="B225">
            <v>20</v>
          </cell>
          <cell r="C225">
            <v>16</v>
          </cell>
          <cell r="D225" t="str">
            <v>STABLE</v>
          </cell>
          <cell r="E225" t="str">
            <v>S36</v>
          </cell>
        </row>
        <row r="226">
          <cell r="A226">
            <v>16037</v>
          </cell>
          <cell r="B226">
            <v>21</v>
          </cell>
          <cell r="C226">
            <v>16</v>
          </cell>
          <cell r="D226">
            <v>303</v>
          </cell>
          <cell r="E226" t="str">
            <v>S37</v>
          </cell>
        </row>
        <row r="227">
          <cell r="A227">
            <v>16038</v>
          </cell>
          <cell r="B227">
            <v>22</v>
          </cell>
          <cell r="C227">
            <v>16</v>
          </cell>
          <cell r="D227">
            <v>10218</v>
          </cell>
          <cell r="E227" t="str">
            <v>S38</v>
          </cell>
        </row>
        <row r="228">
          <cell r="A228">
            <v>16039</v>
          </cell>
          <cell r="B228">
            <v>23</v>
          </cell>
          <cell r="C228">
            <v>16</v>
          </cell>
          <cell r="D228">
            <v>11.5</v>
          </cell>
          <cell r="E228" t="str">
            <v>S39</v>
          </cell>
        </row>
        <row r="229">
          <cell r="A229">
            <v>16040</v>
          </cell>
          <cell r="B229">
            <v>24</v>
          </cell>
          <cell r="C229">
            <v>16</v>
          </cell>
          <cell r="D229">
            <v>8.8000000000000007</v>
          </cell>
          <cell r="E229" t="str">
            <v>S40</v>
          </cell>
        </row>
        <row r="230">
          <cell r="A230">
            <v>16041</v>
          </cell>
          <cell r="B230">
            <v>25</v>
          </cell>
          <cell r="C230">
            <v>16</v>
          </cell>
          <cell r="D230">
            <v>2.6</v>
          </cell>
          <cell r="E230" t="str">
            <v>S41</v>
          </cell>
        </row>
        <row r="231">
          <cell r="A231">
            <v>16042</v>
          </cell>
          <cell r="B231">
            <v>26</v>
          </cell>
          <cell r="C231">
            <v>16</v>
          </cell>
          <cell r="D231">
            <v>1.03</v>
          </cell>
          <cell r="E231" t="str">
            <v>S42</v>
          </cell>
        </row>
        <row r="232">
          <cell r="A232">
            <v>16043</v>
          </cell>
          <cell r="B232">
            <v>27</v>
          </cell>
          <cell r="C232">
            <v>16</v>
          </cell>
          <cell r="D232">
            <v>0.27300000000000002</v>
          </cell>
          <cell r="E232" t="str">
            <v>S43</v>
          </cell>
        </row>
        <row r="233">
          <cell r="A233">
            <v>16044</v>
          </cell>
          <cell r="B233">
            <v>28</v>
          </cell>
          <cell r="C233">
            <v>16</v>
          </cell>
          <cell r="D233">
            <v>0.1</v>
          </cell>
          <cell r="E233" t="str">
            <v>S44</v>
          </cell>
        </row>
        <row r="234">
          <cell r="A234">
            <v>16045</v>
          </cell>
          <cell r="B234">
            <v>29</v>
          </cell>
          <cell r="C234">
            <v>16</v>
          </cell>
          <cell r="D234">
            <v>6.8000000000000005E-2</v>
          </cell>
          <cell r="E234" t="str">
            <v>S45</v>
          </cell>
        </row>
        <row r="235">
          <cell r="A235">
            <v>16046</v>
          </cell>
          <cell r="B235">
            <v>30</v>
          </cell>
          <cell r="C235">
            <v>16</v>
          </cell>
          <cell r="D235">
            <v>0.05</v>
          </cell>
          <cell r="E235" t="str">
            <v>S46</v>
          </cell>
        </row>
        <row r="236">
          <cell r="A236">
            <v>16048</v>
          </cell>
          <cell r="B236">
            <v>32</v>
          </cell>
          <cell r="C236">
            <v>16</v>
          </cell>
          <cell r="D236">
            <v>1.9999999999999999E-7</v>
          </cell>
          <cell r="E236" t="str">
            <v>S48</v>
          </cell>
        </row>
        <row r="237">
          <cell r="A237">
            <v>17031</v>
          </cell>
          <cell r="B237">
            <v>14</v>
          </cell>
          <cell r="C237">
            <v>17</v>
          </cell>
          <cell r="D237">
            <v>0.19</v>
          </cell>
          <cell r="E237" t="str">
            <v>Cl31</v>
          </cell>
        </row>
        <row r="238">
          <cell r="A238">
            <v>17032</v>
          </cell>
          <cell r="B238">
            <v>15</v>
          </cell>
          <cell r="C238">
            <v>17</v>
          </cell>
          <cell r="D238">
            <v>0.29799999999999999</v>
          </cell>
          <cell r="E238" t="str">
            <v>Cl32</v>
          </cell>
        </row>
        <row r="239">
          <cell r="A239">
            <v>17033</v>
          </cell>
          <cell r="B239">
            <v>16</v>
          </cell>
          <cell r="C239">
            <v>17</v>
          </cell>
          <cell r="D239">
            <v>2.5110000000000001</v>
          </cell>
          <cell r="E239" t="str">
            <v>Cl33</v>
          </cell>
        </row>
        <row r="240">
          <cell r="A240">
            <v>17034</v>
          </cell>
          <cell r="B240">
            <v>17</v>
          </cell>
          <cell r="C240">
            <v>17</v>
          </cell>
          <cell r="D240">
            <v>1.5264</v>
          </cell>
          <cell r="E240" t="str">
            <v>Cl34</v>
          </cell>
        </row>
        <row r="241">
          <cell r="A241">
            <v>17035</v>
          </cell>
          <cell r="B241">
            <v>18</v>
          </cell>
          <cell r="C241">
            <v>17</v>
          </cell>
          <cell r="D241" t="str">
            <v>STABLE</v>
          </cell>
          <cell r="E241" t="str">
            <v>Cl35</v>
          </cell>
        </row>
        <row r="242">
          <cell r="A242">
            <v>17036</v>
          </cell>
          <cell r="B242">
            <v>19</v>
          </cell>
          <cell r="C242">
            <v>17</v>
          </cell>
          <cell r="D242">
            <v>9498837600000</v>
          </cell>
          <cell r="E242" t="str">
            <v>Cl36</v>
          </cell>
        </row>
        <row r="243">
          <cell r="A243">
            <v>17037</v>
          </cell>
          <cell r="B243">
            <v>20</v>
          </cell>
          <cell r="C243">
            <v>17</v>
          </cell>
          <cell r="D243" t="str">
            <v>STABLE</v>
          </cell>
          <cell r="E243" t="str">
            <v>Cl37</v>
          </cell>
        </row>
        <row r="244">
          <cell r="A244">
            <v>17038</v>
          </cell>
          <cell r="B244">
            <v>21</v>
          </cell>
          <cell r="C244">
            <v>17</v>
          </cell>
          <cell r="D244">
            <v>2234.4</v>
          </cell>
          <cell r="E244" t="str">
            <v>Cl38</v>
          </cell>
        </row>
        <row r="245">
          <cell r="A245">
            <v>17039</v>
          </cell>
          <cell r="B245">
            <v>22</v>
          </cell>
          <cell r="C245">
            <v>17</v>
          </cell>
          <cell r="D245">
            <v>3372</v>
          </cell>
          <cell r="E245" t="str">
            <v>Cl39</v>
          </cell>
        </row>
        <row r="246">
          <cell r="A246">
            <v>17040</v>
          </cell>
          <cell r="B246">
            <v>23</v>
          </cell>
          <cell r="C246">
            <v>17</v>
          </cell>
          <cell r="D246">
            <v>81</v>
          </cell>
          <cell r="E246" t="str">
            <v>Cl40</v>
          </cell>
        </row>
        <row r="247">
          <cell r="A247">
            <v>17041</v>
          </cell>
          <cell r="B247">
            <v>24</v>
          </cell>
          <cell r="C247">
            <v>17</v>
          </cell>
          <cell r="D247">
            <v>38.4</v>
          </cell>
          <cell r="E247" t="str">
            <v>Cl41</v>
          </cell>
        </row>
        <row r="248">
          <cell r="A248">
            <v>17042</v>
          </cell>
          <cell r="B248">
            <v>25</v>
          </cell>
          <cell r="C248">
            <v>17</v>
          </cell>
          <cell r="D248">
            <v>6.8</v>
          </cell>
          <cell r="E248" t="str">
            <v>Cl42</v>
          </cell>
        </row>
        <row r="249">
          <cell r="A249">
            <v>17043</v>
          </cell>
          <cell r="B249">
            <v>26</v>
          </cell>
          <cell r="C249">
            <v>17</v>
          </cell>
          <cell r="D249">
            <v>3.1749999999999998</v>
          </cell>
          <cell r="E249" t="str">
            <v>Cl43</v>
          </cell>
        </row>
        <row r="250">
          <cell r="A250">
            <v>17044</v>
          </cell>
          <cell r="B250">
            <v>27</v>
          </cell>
          <cell r="C250">
            <v>17</v>
          </cell>
          <cell r="D250">
            <v>0.65</v>
          </cell>
          <cell r="E250" t="str">
            <v>Cl44</v>
          </cell>
        </row>
        <row r="251">
          <cell r="A251">
            <v>17045</v>
          </cell>
          <cell r="B251">
            <v>28</v>
          </cell>
          <cell r="C251">
            <v>17</v>
          </cell>
          <cell r="D251">
            <v>0.4</v>
          </cell>
          <cell r="E251" t="str">
            <v>Cl45</v>
          </cell>
        </row>
        <row r="252">
          <cell r="A252">
            <v>17046</v>
          </cell>
          <cell r="B252">
            <v>29</v>
          </cell>
          <cell r="C252">
            <v>17</v>
          </cell>
          <cell r="D252">
            <v>0.23200000000000001</v>
          </cell>
          <cell r="E252" t="str">
            <v>Cl46</v>
          </cell>
        </row>
        <row r="253">
          <cell r="A253">
            <v>17047</v>
          </cell>
          <cell r="B253">
            <v>30</v>
          </cell>
          <cell r="C253">
            <v>17</v>
          </cell>
          <cell r="D253">
            <v>0.10100000000000001</v>
          </cell>
          <cell r="E253" t="str">
            <v>Cl47</v>
          </cell>
        </row>
        <row r="254">
          <cell r="A254">
            <v>17048</v>
          </cell>
          <cell r="B254">
            <v>31</v>
          </cell>
          <cell r="C254">
            <v>17</v>
          </cell>
          <cell r="D254">
            <v>1.9999999999999999E-7</v>
          </cell>
          <cell r="E254" t="str">
            <v>Cl48</v>
          </cell>
        </row>
        <row r="255">
          <cell r="A255">
            <v>17049</v>
          </cell>
          <cell r="B255">
            <v>32</v>
          </cell>
          <cell r="C255">
            <v>17</v>
          </cell>
          <cell r="D255">
            <v>1.6999999999999999E-7</v>
          </cell>
          <cell r="E255" t="str">
            <v>Cl49</v>
          </cell>
        </row>
        <row r="256">
          <cell r="A256">
            <v>17050</v>
          </cell>
          <cell r="B256">
            <v>33</v>
          </cell>
          <cell r="C256">
            <v>17</v>
          </cell>
          <cell r="D256">
            <v>6.1999999999999999E-7</v>
          </cell>
          <cell r="E256" t="str">
            <v>Cl50</v>
          </cell>
        </row>
        <row r="257">
          <cell r="A257">
            <v>17051</v>
          </cell>
          <cell r="B257">
            <v>34</v>
          </cell>
          <cell r="C257">
            <v>17</v>
          </cell>
          <cell r="D257">
            <v>1.9999999999999999E-7</v>
          </cell>
          <cell r="E257" t="str">
            <v>Cl51</v>
          </cell>
        </row>
        <row r="258">
          <cell r="A258">
            <v>18031</v>
          </cell>
          <cell r="B258">
            <v>13</v>
          </cell>
          <cell r="C258">
            <v>18</v>
          </cell>
          <cell r="D258">
            <v>1.44E-2</v>
          </cell>
          <cell r="E258" t="str">
            <v>Ar31</v>
          </cell>
        </row>
        <row r="259">
          <cell r="A259">
            <v>18032</v>
          </cell>
          <cell r="B259">
            <v>14</v>
          </cell>
          <cell r="C259">
            <v>18</v>
          </cell>
          <cell r="D259">
            <v>9.8000000000000004E-2</v>
          </cell>
          <cell r="E259" t="str">
            <v>Ar32</v>
          </cell>
        </row>
        <row r="260">
          <cell r="A260">
            <v>18033</v>
          </cell>
          <cell r="B260">
            <v>15</v>
          </cell>
          <cell r="C260">
            <v>18</v>
          </cell>
          <cell r="D260">
            <v>0.17299999999999999</v>
          </cell>
          <cell r="E260" t="str">
            <v>Ar33</v>
          </cell>
        </row>
        <row r="261">
          <cell r="A261">
            <v>18034</v>
          </cell>
          <cell r="B261">
            <v>16</v>
          </cell>
          <cell r="C261">
            <v>18</v>
          </cell>
          <cell r="D261">
            <v>0.84450000000000003</v>
          </cell>
          <cell r="E261" t="str">
            <v>Ar34</v>
          </cell>
        </row>
        <row r="262">
          <cell r="A262">
            <v>18035</v>
          </cell>
          <cell r="B262">
            <v>17</v>
          </cell>
          <cell r="C262">
            <v>18</v>
          </cell>
          <cell r="D262">
            <v>1.7756000000000001</v>
          </cell>
          <cell r="E262" t="str">
            <v>Ar35</v>
          </cell>
        </row>
        <row r="263">
          <cell r="A263">
            <v>18036</v>
          </cell>
          <cell r="B263">
            <v>18</v>
          </cell>
          <cell r="C263">
            <v>18</v>
          </cell>
          <cell r="D263" t="str">
            <v>STABLE</v>
          </cell>
          <cell r="E263" t="str">
            <v>Ar36</v>
          </cell>
        </row>
        <row r="264">
          <cell r="A264">
            <v>18037</v>
          </cell>
          <cell r="B264">
            <v>19</v>
          </cell>
          <cell r="C264">
            <v>18</v>
          </cell>
          <cell r="D264">
            <v>3027456</v>
          </cell>
          <cell r="E264" t="str">
            <v>Ar37</v>
          </cell>
        </row>
        <row r="265">
          <cell r="A265">
            <v>18038</v>
          </cell>
          <cell r="B265">
            <v>20</v>
          </cell>
          <cell r="C265">
            <v>18</v>
          </cell>
          <cell r="D265" t="str">
            <v>STABLE</v>
          </cell>
          <cell r="E265" t="str">
            <v>Ar38</v>
          </cell>
        </row>
        <row r="266">
          <cell r="A266">
            <v>18039</v>
          </cell>
          <cell r="B266">
            <v>21</v>
          </cell>
          <cell r="C266">
            <v>18</v>
          </cell>
          <cell r="D266">
            <v>8488994400</v>
          </cell>
          <cell r="E266" t="str">
            <v>Ar39</v>
          </cell>
        </row>
        <row r="267">
          <cell r="A267">
            <v>18040</v>
          </cell>
          <cell r="B267">
            <v>22</v>
          </cell>
          <cell r="C267">
            <v>18</v>
          </cell>
          <cell r="D267" t="str">
            <v>STABLE</v>
          </cell>
          <cell r="E267" t="str">
            <v>Ar40</v>
          </cell>
        </row>
        <row r="268">
          <cell r="A268">
            <v>18041</v>
          </cell>
          <cell r="B268">
            <v>23</v>
          </cell>
          <cell r="C268">
            <v>18</v>
          </cell>
          <cell r="D268">
            <v>6576.6</v>
          </cell>
          <cell r="E268" t="str">
            <v>Ar41</v>
          </cell>
        </row>
        <row r="269">
          <cell r="A269">
            <v>18042</v>
          </cell>
          <cell r="B269">
            <v>24</v>
          </cell>
          <cell r="C269">
            <v>18</v>
          </cell>
          <cell r="D269">
            <v>1038245040</v>
          </cell>
          <cell r="E269" t="str">
            <v>Ar42</v>
          </cell>
        </row>
        <row r="270">
          <cell r="A270">
            <v>18043</v>
          </cell>
          <cell r="B270">
            <v>25</v>
          </cell>
          <cell r="C270">
            <v>18</v>
          </cell>
          <cell r="D270">
            <v>322.2</v>
          </cell>
          <cell r="E270" t="str">
            <v>Ar43</v>
          </cell>
        </row>
        <row r="271">
          <cell r="A271">
            <v>18044</v>
          </cell>
          <cell r="B271">
            <v>26</v>
          </cell>
          <cell r="C271">
            <v>18</v>
          </cell>
          <cell r="D271">
            <v>712.19999999999902</v>
          </cell>
          <cell r="E271" t="str">
            <v>Ar44</v>
          </cell>
        </row>
        <row r="272">
          <cell r="A272">
            <v>18045</v>
          </cell>
          <cell r="B272">
            <v>27</v>
          </cell>
          <cell r="C272">
            <v>18</v>
          </cell>
          <cell r="D272">
            <v>21.48</v>
          </cell>
          <cell r="E272" t="str">
            <v>Ar45</v>
          </cell>
        </row>
        <row r="273">
          <cell r="A273">
            <v>18046</v>
          </cell>
          <cell r="B273">
            <v>28</v>
          </cell>
          <cell r="C273">
            <v>18</v>
          </cell>
          <cell r="D273">
            <v>8.4</v>
          </cell>
          <cell r="E273" t="str">
            <v>Ar46</v>
          </cell>
        </row>
        <row r="274">
          <cell r="A274">
            <v>18047</v>
          </cell>
          <cell r="B274">
            <v>29</v>
          </cell>
          <cell r="C274">
            <v>18</v>
          </cell>
          <cell r="D274">
            <v>1.23</v>
          </cell>
          <cell r="E274" t="str">
            <v>Ar47</v>
          </cell>
        </row>
        <row r="275">
          <cell r="A275">
            <v>18048</v>
          </cell>
          <cell r="B275">
            <v>30</v>
          </cell>
          <cell r="C275">
            <v>18</v>
          </cell>
          <cell r="D275">
            <v>0.42399999999999999</v>
          </cell>
          <cell r="E275" t="str">
            <v>Ar48</v>
          </cell>
        </row>
        <row r="276">
          <cell r="A276">
            <v>18049</v>
          </cell>
          <cell r="B276">
            <v>31</v>
          </cell>
          <cell r="C276">
            <v>18</v>
          </cell>
          <cell r="D276">
            <v>0.23599999999999999</v>
          </cell>
          <cell r="E276" t="str">
            <v>Ar49</v>
          </cell>
        </row>
        <row r="277">
          <cell r="A277">
            <v>18050</v>
          </cell>
          <cell r="B277">
            <v>32</v>
          </cell>
          <cell r="C277">
            <v>18</v>
          </cell>
          <cell r="D277">
            <v>0.106</v>
          </cell>
          <cell r="E277" t="str">
            <v>Ar50</v>
          </cell>
        </row>
        <row r="278">
          <cell r="A278">
            <v>18051</v>
          </cell>
          <cell r="B278">
            <v>33</v>
          </cell>
          <cell r="C278">
            <v>18</v>
          </cell>
          <cell r="D278">
            <v>1.9999999999999999E-7</v>
          </cell>
          <cell r="E278" t="str">
            <v>Ar51</v>
          </cell>
        </row>
        <row r="279">
          <cell r="A279">
            <v>18052</v>
          </cell>
          <cell r="B279">
            <v>34</v>
          </cell>
          <cell r="C279">
            <v>18</v>
          </cell>
          <cell r="D279">
            <v>6.1999999999999999E-7</v>
          </cell>
          <cell r="E279" t="str">
            <v>Ar52</v>
          </cell>
        </row>
        <row r="280">
          <cell r="A280">
            <v>18053</v>
          </cell>
          <cell r="B280">
            <v>35</v>
          </cell>
          <cell r="C280">
            <v>18</v>
          </cell>
          <cell r="D280">
            <v>6.1999999999999999E-7</v>
          </cell>
          <cell r="E280" t="str">
            <v>Ar53</v>
          </cell>
        </row>
        <row r="281">
          <cell r="A281">
            <v>19035</v>
          </cell>
          <cell r="B281">
            <v>16</v>
          </cell>
          <cell r="C281">
            <v>19</v>
          </cell>
          <cell r="D281">
            <v>0.17799999999999999</v>
          </cell>
          <cell r="E281" t="str">
            <v>K35</v>
          </cell>
        </row>
        <row r="282">
          <cell r="A282">
            <v>19036</v>
          </cell>
          <cell r="B282">
            <v>17</v>
          </cell>
          <cell r="C282">
            <v>19</v>
          </cell>
          <cell r="D282">
            <v>0.34200000000000003</v>
          </cell>
          <cell r="E282" t="str">
            <v>K36</v>
          </cell>
        </row>
        <row r="283">
          <cell r="A283">
            <v>19037</v>
          </cell>
          <cell r="B283">
            <v>18</v>
          </cell>
          <cell r="C283">
            <v>19</v>
          </cell>
          <cell r="D283">
            <v>1.226</v>
          </cell>
          <cell r="E283" t="str">
            <v>K37</v>
          </cell>
        </row>
        <row r="284">
          <cell r="A284">
            <v>19038</v>
          </cell>
          <cell r="B284">
            <v>19</v>
          </cell>
          <cell r="C284">
            <v>19</v>
          </cell>
          <cell r="D284">
            <v>458.16</v>
          </cell>
          <cell r="E284" t="str">
            <v>K38</v>
          </cell>
        </row>
        <row r="285">
          <cell r="A285">
            <v>19039</v>
          </cell>
          <cell r="B285">
            <v>20</v>
          </cell>
          <cell r="C285">
            <v>19</v>
          </cell>
          <cell r="D285" t="str">
            <v>STABLE</v>
          </cell>
          <cell r="E285" t="str">
            <v>K39</v>
          </cell>
        </row>
        <row r="286">
          <cell r="A286">
            <v>19040</v>
          </cell>
          <cell r="B286">
            <v>21</v>
          </cell>
          <cell r="C286">
            <v>19</v>
          </cell>
          <cell r="D286">
            <v>3.93838848E+16</v>
          </cell>
          <cell r="E286" t="str">
            <v>K40</v>
          </cell>
        </row>
        <row r="287">
          <cell r="A287">
            <v>19041</v>
          </cell>
          <cell r="B287">
            <v>22</v>
          </cell>
          <cell r="C287">
            <v>19</v>
          </cell>
          <cell r="D287" t="str">
            <v>STABLE</v>
          </cell>
          <cell r="E287" t="str">
            <v>K41</v>
          </cell>
        </row>
        <row r="288">
          <cell r="A288">
            <v>19042</v>
          </cell>
          <cell r="B288">
            <v>23</v>
          </cell>
          <cell r="C288">
            <v>19</v>
          </cell>
          <cell r="D288">
            <v>44478</v>
          </cell>
          <cell r="E288" t="str">
            <v>K42</v>
          </cell>
        </row>
        <row r="289">
          <cell r="A289">
            <v>19043</v>
          </cell>
          <cell r="B289">
            <v>24</v>
          </cell>
          <cell r="C289">
            <v>19</v>
          </cell>
          <cell r="D289">
            <v>80280</v>
          </cell>
          <cell r="E289" t="str">
            <v>K43</v>
          </cell>
        </row>
        <row r="290">
          <cell r="A290">
            <v>19044</v>
          </cell>
          <cell r="B290">
            <v>25</v>
          </cell>
          <cell r="C290">
            <v>19</v>
          </cell>
          <cell r="D290">
            <v>1327.8</v>
          </cell>
          <cell r="E290" t="str">
            <v>K44</v>
          </cell>
        </row>
        <row r="291">
          <cell r="A291">
            <v>19045</v>
          </cell>
          <cell r="B291">
            <v>26</v>
          </cell>
          <cell r="C291">
            <v>19</v>
          </cell>
          <cell r="D291">
            <v>1068.5999999999999</v>
          </cell>
          <cell r="E291" t="str">
            <v>K45</v>
          </cell>
        </row>
        <row r="292">
          <cell r="A292">
            <v>19046</v>
          </cell>
          <cell r="B292">
            <v>27</v>
          </cell>
          <cell r="C292">
            <v>19</v>
          </cell>
          <cell r="D292">
            <v>105</v>
          </cell>
          <cell r="E292" t="str">
            <v>K46</v>
          </cell>
        </row>
        <row r="293">
          <cell r="A293">
            <v>19047</v>
          </cell>
          <cell r="B293">
            <v>28</v>
          </cell>
          <cell r="C293">
            <v>19</v>
          </cell>
          <cell r="D293">
            <v>17.5</v>
          </cell>
          <cell r="E293" t="str">
            <v>K47</v>
          </cell>
        </row>
        <row r="294">
          <cell r="A294">
            <v>19048</v>
          </cell>
          <cell r="B294">
            <v>29</v>
          </cell>
          <cell r="C294">
            <v>19</v>
          </cell>
          <cell r="D294">
            <v>6.83</v>
          </cell>
          <cell r="E294" t="str">
            <v>K48</v>
          </cell>
        </row>
        <row r="295">
          <cell r="A295">
            <v>19049</v>
          </cell>
          <cell r="B295">
            <v>30</v>
          </cell>
          <cell r="C295">
            <v>19</v>
          </cell>
          <cell r="D295">
            <v>1.2629999999999999</v>
          </cell>
          <cell r="E295" t="str">
            <v>K49</v>
          </cell>
        </row>
        <row r="296">
          <cell r="A296">
            <v>19050</v>
          </cell>
          <cell r="B296">
            <v>31</v>
          </cell>
          <cell r="C296">
            <v>19</v>
          </cell>
          <cell r="D296">
            <v>0.47199999999999998</v>
          </cell>
          <cell r="E296" t="str">
            <v>K50</v>
          </cell>
        </row>
        <row r="297">
          <cell r="A297">
            <v>19051</v>
          </cell>
          <cell r="B297">
            <v>32</v>
          </cell>
          <cell r="C297">
            <v>19</v>
          </cell>
          <cell r="D297">
            <v>0.36499999999999999</v>
          </cell>
          <cell r="E297" t="str">
            <v>K51</v>
          </cell>
        </row>
        <row r="298">
          <cell r="A298">
            <v>19052</v>
          </cell>
          <cell r="B298">
            <v>33</v>
          </cell>
          <cell r="C298">
            <v>19</v>
          </cell>
          <cell r="D298">
            <v>0.11</v>
          </cell>
          <cell r="E298" t="str">
            <v>K52</v>
          </cell>
        </row>
        <row r="299">
          <cell r="A299">
            <v>19053</v>
          </cell>
          <cell r="B299">
            <v>34</v>
          </cell>
          <cell r="C299">
            <v>19</v>
          </cell>
          <cell r="D299">
            <v>0.03</v>
          </cell>
          <cell r="E299" t="str">
            <v>K53</v>
          </cell>
        </row>
        <row r="300">
          <cell r="A300">
            <v>19054</v>
          </cell>
          <cell r="B300">
            <v>35</v>
          </cell>
          <cell r="C300">
            <v>19</v>
          </cell>
          <cell r="D300">
            <v>0.01</v>
          </cell>
          <cell r="E300" t="str">
            <v>K54</v>
          </cell>
        </row>
        <row r="301">
          <cell r="A301">
            <v>19055</v>
          </cell>
          <cell r="B301">
            <v>36</v>
          </cell>
          <cell r="C301">
            <v>19</v>
          </cell>
          <cell r="D301">
            <v>3.5999999999999999E-7</v>
          </cell>
          <cell r="E301" t="str">
            <v>K55</v>
          </cell>
        </row>
        <row r="302">
          <cell r="A302">
            <v>19056</v>
          </cell>
          <cell r="B302">
            <v>37</v>
          </cell>
          <cell r="C302">
            <v>19</v>
          </cell>
          <cell r="D302">
            <v>2E-8</v>
          </cell>
          <cell r="E302" t="str">
            <v>K56</v>
          </cell>
        </row>
        <row r="303">
          <cell r="A303">
            <v>20035</v>
          </cell>
          <cell r="B303">
            <v>15</v>
          </cell>
          <cell r="C303">
            <v>20</v>
          </cell>
          <cell r="D303">
            <v>2.5700000000000001E-2</v>
          </cell>
          <cell r="E303" t="str">
            <v>Ca35</v>
          </cell>
        </row>
        <row r="304">
          <cell r="A304">
            <v>20036</v>
          </cell>
          <cell r="B304">
            <v>16</v>
          </cell>
          <cell r="C304">
            <v>20</v>
          </cell>
          <cell r="D304">
            <v>0.10199999999999999</v>
          </cell>
          <cell r="E304" t="str">
            <v>Ca36</v>
          </cell>
        </row>
        <row r="305">
          <cell r="A305">
            <v>20037</v>
          </cell>
          <cell r="B305">
            <v>17</v>
          </cell>
          <cell r="C305">
            <v>20</v>
          </cell>
          <cell r="D305">
            <v>0.18110000000000001</v>
          </cell>
          <cell r="E305" t="str">
            <v>Ca37</v>
          </cell>
        </row>
        <row r="306">
          <cell r="A306">
            <v>20038</v>
          </cell>
          <cell r="B306">
            <v>18</v>
          </cell>
          <cell r="C306">
            <v>20</v>
          </cell>
          <cell r="D306">
            <v>0.44</v>
          </cell>
          <cell r="E306" t="str">
            <v>Ca38</v>
          </cell>
        </row>
        <row r="307">
          <cell r="A307">
            <v>20039</v>
          </cell>
          <cell r="B307">
            <v>19</v>
          </cell>
          <cell r="C307">
            <v>20</v>
          </cell>
          <cell r="D307">
            <v>0.85960000000000003</v>
          </cell>
          <cell r="E307" t="str">
            <v>Ca39</v>
          </cell>
        </row>
        <row r="308">
          <cell r="A308">
            <v>20040</v>
          </cell>
          <cell r="B308">
            <v>20</v>
          </cell>
          <cell r="C308">
            <v>20</v>
          </cell>
          <cell r="D308">
            <v>9.4672799999999999E+28</v>
          </cell>
          <cell r="E308" t="str">
            <v>Ca40</v>
          </cell>
        </row>
        <row r="309">
          <cell r="A309">
            <v>20041</v>
          </cell>
          <cell r="B309">
            <v>21</v>
          </cell>
          <cell r="C309">
            <v>20</v>
          </cell>
          <cell r="D309">
            <v>3136825440000</v>
          </cell>
          <cell r="E309" t="str">
            <v>Ca41</v>
          </cell>
        </row>
        <row r="310">
          <cell r="A310">
            <v>20042</v>
          </cell>
          <cell r="B310">
            <v>22</v>
          </cell>
          <cell r="C310">
            <v>20</v>
          </cell>
          <cell r="D310" t="str">
            <v>STABLE</v>
          </cell>
          <cell r="E310" t="str">
            <v>Ca42</v>
          </cell>
        </row>
        <row r="311">
          <cell r="A311">
            <v>20043</v>
          </cell>
          <cell r="B311">
            <v>23</v>
          </cell>
          <cell r="C311">
            <v>20</v>
          </cell>
          <cell r="D311" t="str">
            <v>STABLE</v>
          </cell>
          <cell r="E311" t="str">
            <v>Ca43</v>
          </cell>
        </row>
        <row r="312">
          <cell r="A312">
            <v>20044</v>
          </cell>
          <cell r="B312">
            <v>24</v>
          </cell>
          <cell r="C312">
            <v>20</v>
          </cell>
          <cell r="D312" t="str">
            <v>STABLE</v>
          </cell>
          <cell r="E312" t="str">
            <v>Ca44</v>
          </cell>
        </row>
        <row r="313">
          <cell r="A313">
            <v>20045</v>
          </cell>
          <cell r="B313">
            <v>25</v>
          </cell>
          <cell r="C313">
            <v>20</v>
          </cell>
          <cell r="D313">
            <v>14049504</v>
          </cell>
          <cell r="E313" t="str">
            <v>Ca45</v>
          </cell>
        </row>
        <row r="314">
          <cell r="A314">
            <v>20046</v>
          </cell>
          <cell r="B314">
            <v>26</v>
          </cell>
          <cell r="C314">
            <v>20</v>
          </cell>
          <cell r="D314">
            <v>8.8361279999999998E+22</v>
          </cell>
          <cell r="E314" t="str">
            <v>Ca46</v>
          </cell>
        </row>
        <row r="315">
          <cell r="A315">
            <v>20047</v>
          </cell>
          <cell r="B315">
            <v>27</v>
          </cell>
          <cell r="C315">
            <v>20</v>
          </cell>
          <cell r="D315">
            <v>391910.39999999898</v>
          </cell>
          <cell r="E315" t="str">
            <v>Ca47</v>
          </cell>
        </row>
        <row r="316">
          <cell r="A316">
            <v>20048</v>
          </cell>
          <cell r="B316">
            <v>28</v>
          </cell>
          <cell r="C316">
            <v>20</v>
          </cell>
          <cell r="D316">
            <v>1.8303407999999899E+30</v>
          </cell>
          <cell r="E316" t="str">
            <v>Ca48</v>
          </cell>
        </row>
        <row r="317">
          <cell r="A317">
            <v>20049</v>
          </cell>
          <cell r="B317">
            <v>29</v>
          </cell>
          <cell r="C317">
            <v>20</v>
          </cell>
          <cell r="D317">
            <v>523.08000000000004</v>
          </cell>
          <cell r="E317" t="str">
            <v>Ca49</v>
          </cell>
        </row>
        <row r="318">
          <cell r="A318">
            <v>20050</v>
          </cell>
          <cell r="B318">
            <v>30</v>
          </cell>
          <cell r="C318">
            <v>20</v>
          </cell>
          <cell r="D318">
            <v>13.9</v>
          </cell>
          <cell r="E318" t="str">
            <v>Ca50</v>
          </cell>
        </row>
        <row r="319">
          <cell r="A319">
            <v>20051</v>
          </cell>
          <cell r="B319">
            <v>31</v>
          </cell>
          <cell r="C319">
            <v>20</v>
          </cell>
          <cell r="D319">
            <v>10</v>
          </cell>
          <cell r="E319" t="str">
            <v>Ca51</v>
          </cell>
        </row>
        <row r="320">
          <cell r="A320">
            <v>20052</v>
          </cell>
          <cell r="B320">
            <v>32</v>
          </cell>
          <cell r="C320">
            <v>20</v>
          </cell>
          <cell r="D320">
            <v>4.5999999999999996</v>
          </cell>
          <cell r="E320" t="str">
            <v>Ca52</v>
          </cell>
        </row>
        <row r="321">
          <cell r="A321">
            <v>20053</v>
          </cell>
          <cell r="B321">
            <v>33</v>
          </cell>
          <cell r="C321">
            <v>20</v>
          </cell>
          <cell r="D321">
            <v>0.46100000000000002</v>
          </cell>
          <cell r="E321" t="str">
            <v>Ca53</v>
          </cell>
        </row>
        <row r="322">
          <cell r="A322">
            <v>20054</v>
          </cell>
          <cell r="B322">
            <v>34</v>
          </cell>
          <cell r="C322">
            <v>20</v>
          </cell>
          <cell r="D322">
            <v>0.107</v>
          </cell>
          <cell r="E322" t="str">
            <v>Ca54</v>
          </cell>
        </row>
        <row r="323">
          <cell r="A323">
            <v>20055</v>
          </cell>
          <cell r="B323">
            <v>35</v>
          </cell>
          <cell r="C323">
            <v>20</v>
          </cell>
          <cell r="D323">
            <v>2.1999999999999999E-2</v>
          </cell>
          <cell r="E323" t="str">
            <v>Ca55</v>
          </cell>
        </row>
        <row r="324">
          <cell r="A324">
            <v>20056</v>
          </cell>
          <cell r="B324">
            <v>36</v>
          </cell>
          <cell r="C324">
            <v>20</v>
          </cell>
          <cell r="D324">
            <v>1.0999999999999999E-2</v>
          </cell>
          <cell r="E324" t="str">
            <v>Ca56</v>
          </cell>
        </row>
        <row r="325">
          <cell r="A325">
            <v>20057</v>
          </cell>
          <cell r="B325">
            <v>37</v>
          </cell>
          <cell r="C325">
            <v>20</v>
          </cell>
          <cell r="D325">
            <v>6.1999999999999999E-7</v>
          </cell>
          <cell r="E325" t="str">
            <v>Ca57</v>
          </cell>
        </row>
        <row r="326">
          <cell r="A326">
            <v>20058</v>
          </cell>
          <cell r="B326">
            <v>38</v>
          </cell>
          <cell r="C326">
            <v>20</v>
          </cell>
          <cell r="D326">
            <v>6.1999999999999999E-7</v>
          </cell>
          <cell r="E326" t="str">
            <v>Ca58</v>
          </cell>
        </row>
        <row r="327">
          <cell r="A327">
            <v>21040</v>
          </cell>
          <cell r="B327">
            <v>19</v>
          </cell>
          <cell r="C327">
            <v>21</v>
          </cell>
          <cell r="D327">
            <v>0.18229999999999999</v>
          </cell>
          <cell r="E327" t="str">
            <v>Sc40</v>
          </cell>
        </row>
        <row r="328">
          <cell r="A328">
            <v>21041</v>
          </cell>
          <cell r="B328">
            <v>20</v>
          </cell>
          <cell r="C328">
            <v>21</v>
          </cell>
          <cell r="D328">
            <v>0.59629999999999905</v>
          </cell>
          <cell r="E328" t="str">
            <v>Sc41</v>
          </cell>
        </row>
        <row r="329">
          <cell r="A329">
            <v>21042</v>
          </cell>
          <cell r="B329">
            <v>21</v>
          </cell>
          <cell r="C329">
            <v>21</v>
          </cell>
          <cell r="D329">
            <v>0.68069999999999997</v>
          </cell>
          <cell r="E329" t="str">
            <v>Sc42</v>
          </cell>
        </row>
        <row r="330">
          <cell r="A330">
            <v>21043</v>
          </cell>
          <cell r="B330">
            <v>22</v>
          </cell>
          <cell r="C330">
            <v>21</v>
          </cell>
          <cell r="D330">
            <v>14007.6</v>
          </cell>
          <cell r="E330" t="str">
            <v>Sc43</v>
          </cell>
        </row>
        <row r="331">
          <cell r="A331">
            <v>21044</v>
          </cell>
          <cell r="B331">
            <v>23</v>
          </cell>
          <cell r="C331">
            <v>21</v>
          </cell>
          <cell r="D331">
            <v>14292</v>
          </cell>
          <cell r="E331" t="str">
            <v>Sc44</v>
          </cell>
        </row>
        <row r="332">
          <cell r="A332">
            <v>21045</v>
          </cell>
          <cell r="B332">
            <v>24</v>
          </cell>
          <cell r="C332">
            <v>21</v>
          </cell>
          <cell r="D332" t="str">
            <v>STABLE</v>
          </cell>
          <cell r="E332" t="str">
            <v>Sc45</v>
          </cell>
        </row>
        <row r="333">
          <cell r="A333">
            <v>21046</v>
          </cell>
          <cell r="B333">
            <v>25</v>
          </cell>
          <cell r="C333">
            <v>21</v>
          </cell>
          <cell r="D333">
            <v>7239456</v>
          </cell>
          <cell r="E333" t="str">
            <v>Sc46</v>
          </cell>
        </row>
        <row r="334">
          <cell r="A334">
            <v>21047</v>
          </cell>
          <cell r="B334">
            <v>26</v>
          </cell>
          <cell r="C334">
            <v>21</v>
          </cell>
          <cell r="D334">
            <v>289370.88</v>
          </cell>
          <cell r="E334" t="str">
            <v>Sc47</v>
          </cell>
        </row>
        <row r="335">
          <cell r="A335">
            <v>21048</v>
          </cell>
          <cell r="B335">
            <v>27</v>
          </cell>
          <cell r="C335">
            <v>21</v>
          </cell>
          <cell r="D335">
            <v>157212</v>
          </cell>
          <cell r="E335" t="str">
            <v>Sc48</v>
          </cell>
        </row>
        <row r="336">
          <cell r="A336">
            <v>21049</v>
          </cell>
          <cell r="B336">
            <v>28</v>
          </cell>
          <cell r="C336">
            <v>21</v>
          </cell>
          <cell r="D336">
            <v>3430.8</v>
          </cell>
          <cell r="E336" t="str">
            <v>Sc49</v>
          </cell>
        </row>
        <row r="337">
          <cell r="A337">
            <v>21050</v>
          </cell>
          <cell r="B337">
            <v>29</v>
          </cell>
          <cell r="C337">
            <v>21</v>
          </cell>
          <cell r="D337">
            <v>102.5</v>
          </cell>
          <cell r="E337" t="str">
            <v>Sc50</v>
          </cell>
        </row>
        <row r="338">
          <cell r="A338">
            <v>21051</v>
          </cell>
          <cell r="B338">
            <v>30</v>
          </cell>
          <cell r="C338">
            <v>21</v>
          </cell>
          <cell r="D338">
            <v>12.4</v>
          </cell>
          <cell r="E338" t="str">
            <v>Sc51</v>
          </cell>
        </row>
        <row r="339">
          <cell r="A339">
            <v>21052</v>
          </cell>
          <cell r="B339">
            <v>31</v>
          </cell>
          <cell r="C339">
            <v>21</v>
          </cell>
          <cell r="D339">
            <v>0.2</v>
          </cell>
          <cell r="E339" t="str">
            <v>Sc52</v>
          </cell>
        </row>
        <row r="340">
          <cell r="A340">
            <v>21053</v>
          </cell>
          <cell r="B340">
            <v>32</v>
          </cell>
          <cell r="C340">
            <v>21</v>
          </cell>
          <cell r="D340">
            <v>2.4</v>
          </cell>
          <cell r="E340" t="str">
            <v>Sc53</v>
          </cell>
        </row>
        <row r="341">
          <cell r="A341">
            <v>21054</v>
          </cell>
          <cell r="B341">
            <v>33</v>
          </cell>
          <cell r="C341">
            <v>21</v>
          </cell>
          <cell r="D341">
            <v>0.52600000000000002</v>
          </cell>
          <cell r="E341" t="str">
            <v>Sc54</v>
          </cell>
        </row>
        <row r="342">
          <cell r="A342">
            <v>21055</v>
          </cell>
          <cell r="B342">
            <v>34</v>
          </cell>
          <cell r="C342">
            <v>21</v>
          </cell>
          <cell r="D342">
            <v>9.6000000000000002E-2</v>
          </cell>
          <cell r="E342" t="str">
            <v>Sc55</v>
          </cell>
        </row>
        <row r="343">
          <cell r="A343">
            <v>21056</v>
          </cell>
          <cell r="B343">
            <v>35</v>
          </cell>
          <cell r="C343">
            <v>21</v>
          </cell>
          <cell r="D343">
            <v>3.1E-2</v>
          </cell>
          <cell r="E343" t="str">
            <v>Sc56</v>
          </cell>
        </row>
        <row r="344">
          <cell r="A344">
            <v>21057</v>
          </cell>
          <cell r="B344">
            <v>36</v>
          </cell>
          <cell r="C344">
            <v>21</v>
          </cell>
          <cell r="D344">
            <v>2E-3</v>
          </cell>
          <cell r="E344" t="str">
            <v>Sc57</v>
          </cell>
        </row>
        <row r="345">
          <cell r="A345">
            <v>21058</v>
          </cell>
          <cell r="B345">
            <v>37</v>
          </cell>
          <cell r="C345">
            <v>21</v>
          </cell>
          <cell r="D345">
            <v>1.2E-2</v>
          </cell>
          <cell r="E345" t="str">
            <v>Sc58</v>
          </cell>
        </row>
        <row r="346">
          <cell r="A346">
            <v>21059</v>
          </cell>
          <cell r="B346">
            <v>38</v>
          </cell>
          <cell r="C346">
            <v>21</v>
          </cell>
          <cell r="D346">
            <v>3.5999999999999999E-7</v>
          </cell>
          <cell r="E346" t="str">
            <v>Sc59</v>
          </cell>
        </row>
        <row r="347">
          <cell r="A347">
            <v>21060</v>
          </cell>
          <cell r="B347">
            <v>39</v>
          </cell>
          <cell r="C347">
            <v>21</v>
          </cell>
          <cell r="D347">
            <v>3.5999999999999999E-7</v>
          </cell>
          <cell r="E347" t="str">
            <v>Sc60</v>
          </cell>
        </row>
        <row r="348">
          <cell r="A348">
            <v>21061</v>
          </cell>
          <cell r="B348">
            <v>40</v>
          </cell>
          <cell r="C348">
            <v>21</v>
          </cell>
          <cell r="D348">
            <v>3.5999999999999999E-7</v>
          </cell>
          <cell r="E348" t="str">
            <v>Sc61</v>
          </cell>
        </row>
        <row r="349">
          <cell r="A349">
            <v>22039</v>
          </cell>
          <cell r="B349">
            <v>17</v>
          </cell>
          <cell r="C349">
            <v>22</v>
          </cell>
          <cell r="D349">
            <v>3.1E-2</v>
          </cell>
          <cell r="E349" t="str">
            <v>Ti39</v>
          </cell>
        </row>
        <row r="350">
          <cell r="A350">
            <v>22040</v>
          </cell>
          <cell r="B350">
            <v>18</v>
          </cell>
          <cell r="C350">
            <v>22</v>
          </cell>
          <cell r="D350">
            <v>5.2400000000000002E-2</v>
          </cell>
          <cell r="E350" t="str">
            <v>Ti40</v>
          </cell>
        </row>
        <row r="351">
          <cell r="A351">
            <v>22041</v>
          </cell>
          <cell r="B351">
            <v>19</v>
          </cell>
          <cell r="C351">
            <v>22</v>
          </cell>
          <cell r="D351">
            <v>8.1900000000000001E-2</v>
          </cell>
          <cell r="E351" t="str">
            <v>Ti41</v>
          </cell>
        </row>
        <row r="352">
          <cell r="A352">
            <v>22042</v>
          </cell>
          <cell r="B352">
            <v>20</v>
          </cell>
          <cell r="C352">
            <v>22</v>
          </cell>
          <cell r="D352">
            <v>0.20865</v>
          </cell>
          <cell r="E352" t="str">
            <v>Ti42</v>
          </cell>
        </row>
        <row r="353">
          <cell r="A353">
            <v>22043</v>
          </cell>
          <cell r="B353">
            <v>21</v>
          </cell>
          <cell r="C353">
            <v>22</v>
          </cell>
          <cell r="D353">
            <v>0.50900000000000001</v>
          </cell>
          <cell r="E353" t="str">
            <v>Ti43</v>
          </cell>
        </row>
        <row r="354">
          <cell r="A354">
            <v>22044</v>
          </cell>
          <cell r="B354">
            <v>22</v>
          </cell>
          <cell r="C354">
            <v>22</v>
          </cell>
          <cell r="D354">
            <v>1893456000</v>
          </cell>
          <cell r="E354" t="str">
            <v>Ti44</v>
          </cell>
        </row>
        <row r="355">
          <cell r="A355">
            <v>22045</v>
          </cell>
          <cell r="B355">
            <v>23</v>
          </cell>
          <cell r="C355">
            <v>22</v>
          </cell>
          <cell r="D355">
            <v>11088</v>
          </cell>
          <cell r="E355" t="str">
            <v>Ti45</v>
          </cell>
        </row>
        <row r="356">
          <cell r="A356">
            <v>22046</v>
          </cell>
          <cell r="B356">
            <v>24</v>
          </cell>
          <cell r="C356">
            <v>22</v>
          </cell>
          <cell r="D356" t="str">
            <v>STABLE</v>
          </cell>
          <cell r="E356" t="str">
            <v>Ti46</v>
          </cell>
        </row>
        <row r="357">
          <cell r="A357">
            <v>22047</v>
          </cell>
          <cell r="B357">
            <v>25</v>
          </cell>
          <cell r="C357">
            <v>22</v>
          </cell>
          <cell r="D357" t="str">
            <v>STABLE</v>
          </cell>
          <cell r="E357" t="str">
            <v>Ti47</v>
          </cell>
        </row>
        <row r="358">
          <cell r="A358">
            <v>22048</v>
          </cell>
          <cell r="B358">
            <v>26</v>
          </cell>
          <cell r="C358">
            <v>22</v>
          </cell>
          <cell r="D358" t="str">
            <v>STABLE</v>
          </cell>
          <cell r="E358" t="str">
            <v>Ti48</v>
          </cell>
        </row>
        <row r="359">
          <cell r="A359">
            <v>22049</v>
          </cell>
          <cell r="B359">
            <v>27</v>
          </cell>
          <cell r="C359">
            <v>22</v>
          </cell>
          <cell r="D359" t="str">
            <v>STABLE</v>
          </cell>
          <cell r="E359" t="str">
            <v>Ti49</v>
          </cell>
        </row>
        <row r="360">
          <cell r="A360">
            <v>22050</v>
          </cell>
          <cell r="B360">
            <v>28</v>
          </cell>
          <cell r="C360">
            <v>22</v>
          </cell>
          <cell r="D360" t="str">
            <v>STABLE</v>
          </cell>
          <cell r="E360" t="str">
            <v>Ti50</v>
          </cell>
        </row>
        <row r="361">
          <cell r="A361">
            <v>22051</v>
          </cell>
          <cell r="B361">
            <v>29</v>
          </cell>
          <cell r="C361">
            <v>22</v>
          </cell>
          <cell r="D361">
            <v>345.599999999999</v>
          </cell>
          <cell r="E361" t="str">
            <v>Ti51</v>
          </cell>
        </row>
        <row r="362">
          <cell r="A362">
            <v>22052</v>
          </cell>
          <cell r="B362">
            <v>30</v>
          </cell>
          <cell r="C362">
            <v>22</v>
          </cell>
          <cell r="D362">
            <v>102</v>
          </cell>
          <cell r="E362" t="str">
            <v>Ti52</v>
          </cell>
        </row>
        <row r="363">
          <cell r="A363">
            <v>22053</v>
          </cell>
          <cell r="B363">
            <v>31</v>
          </cell>
          <cell r="C363">
            <v>22</v>
          </cell>
          <cell r="D363">
            <v>32.700000000000003</v>
          </cell>
          <cell r="E363" t="str">
            <v>Ti53</v>
          </cell>
        </row>
        <row r="364">
          <cell r="A364">
            <v>22054</v>
          </cell>
          <cell r="B364">
            <v>32</v>
          </cell>
          <cell r="C364">
            <v>22</v>
          </cell>
          <cell r="D364">
            <v>2.1</v>
          </cell>
          <cell r="E364" t="str">
            <v>Ti54</v>
          </cell>
        </row>
        <row r="365">
          <cell r="A365">
            <v>22055</v>
          </cell>
          <cell r="B365">
            <v>33</v>
          </cell>
          <cell r="C365">
            <v>22</v>
          </cell>
          <cell r="D365">
            <v>1.3</v>
          </cell>
          <cell r="E365" t="str">
            <v>Ti55</v>
          </cell>
        </row>
        <row r="366">
          <cell r="A366">
            <v>22056</v>
          </cell>
          <cell r="B366">
            <v>34</v>
          </cell>
          <cell r="C366">
            <v>22</v>
          </cell>
          <cell r="D366">
            <v>0.2</v>
          </cell>
          <cell r="E366" t="str">
            <v>Ti56</v>
          </cell>
        </row>
        <row r="367">
          <cell r="A367">
            <v>22057</v>
          </cell>
          <cell r="B367">
            <v>35</v>
          </cell>
          <cell r="C367">
            <v>22</v>
          </cell>
          <cell r="D367">
            <v>9.8000000000000004E-2</v>
          </cell>
          <cell r="E367" t="str">
            <v>Ti57</v>
          </cell>
        </row>
        <row r="368">
          <cell r="A368">
            <v>22058</v>
          </cell>
          <cell r="B368">
            <v>36</v>
          </cell>
          <cell r="C368">
            <v>22</v>
          </cell>
          <cell r="D368">
            <v>5.8000000000000003E-2</v>
          </cell>
          <cell r="E368" t="str">
            <v>Ti58</v>
          </cell>
        </row>
        <row r="369">
          <cell r="A369">
            <v>22059</v>
          </cell>
          <cell r="B369">
            <v>37</v>
          </cell>
          <cell r="C369">
            <v>22</v>
          </cell>
          <cell r="D369">
            <v>2.8500000000000001E-2</v>
          </cell>
          <cell r="E369" t="str">
            <v>Ti59</v>
          </cell>
        </row>
        <row r="370">
          <cell r="A370">
            <v>22060</v>
          </cell>
          <cell r="B370">
            <v>38</v>
          </cell>
          <cell r="C370">
            <v>22</v>
          </cell>
          <cell r="D370">
            <v>2.2200000000000001E-2</v>
          </cell>
          <cell r="E370" t="str">
            <v>Ti60</v>
          </cell>
        </row>
        <row r="371">
          <cell r="A371">
            <v>22061</v>
          </cell>
          <cell r="B371">
            <v>39</v>
          </cell>
          <cell r="C371">
            <v>22</v>
          </cell>
          <cell r="D371">
            <v>1.4999999999999999E-2</v>
          </cell>
          <cell r="E371" t="str">
            <v>Ti61</v>
          </cell>
        </row>
        <row r="372">
          <cell r="A372">
            <v>22062</v>
          </cell>
          <cell r="B372">
            <v>40</v>
          </cell>
          <cell r="C372">
            <v>22</v>
          </cell>
          <cell r="D372">
            <v>6.1999999999999999E-7</v>
          </cell>
          <cell r="E372" t="str">
            <v>Ti62</v>
          </cell>
        </row>
        <row r="373">
          <cell r="A373">
            <v>22063</v>
          </cell>
          <cell r="B373">
            <v>41</v>
          </cell>
          <cell r="C373">
            <v>22</v>
          </cell>
          <cell r="D373">
            <v>3.5999999999999999E-7</v>
          </cell>
          <cell r="E373" t="str">
            <v>Ti63</v>
          </cell>
        </row>
        <row r="374">
          <cell r="A374">
            <v>23043</v>
          </cell>
          <cell r="B374">
            <v>20</v>
          </cell>
          <cell r="C374">
            <v>23</v>
          </cell>
          <cell r="D374">
            <v>7.9299999999999995E-2</v>
          </cell>
          <cell r="E374" t="str">
            <v>V43</v>
          </cell>
        </row>
        <row r="375">
          <cell r="A375">
            <v>23044</v>
          </cell>
          <cell r="B375">
            <v>21</v>
          </cell>
          <cell r="C375">
            <v>23</v>
          </cell>
          <cell r="D375">
            <v>0.111</v>
          </cell>
          <cell r="E375" t="str">
            <v>V44</v>
          </cell>
        </row>
        <row r="376">
          <cell r="A376">
            <v>23045</v>
          </cell>
          <cell r="B376">
            <v>22</v>
          </cell>
          <cell r="C376">
            <v>23</v>
          </cell>
          <cell r="D376">
            <v>0.54700000000000004</v>
          </cell>
          <cell r="E376" t="str">
            <v>V45</v>
          </cell>
        </row>
        <row r="377">
          <cell r="A377">
            <v>23046</v>
          </cell>
          <cell r="B377">
            <v>23</v>
          </cell>
          <cell r="C377">
            <v>23</v>
          </cell>
          <cell r="D377">
            <v>0.42249999999999999</v>
          </cell>
          <cell r="E377" t="str">
            <v>V46</v>
          </cell>
        </row>
        <row r="378">
          <cell r="A378">
            <v>23047</v>
          </cell>
          <cell r="B378">
            <v>24</v>
          </cell>
          <cell r="C378">
            <v>23</v>
          </cell>
          <cell r="D378">
            <v>1956</v>
          </cell>
          <cell r="E378" t="str">
            <v>V47</v>
          </cell>
        </row>
        <row r="379">
          <cell r="A379">
            <v>23048</v>
          </cell>
          <cell r="B379">
            <v>25</v>
          </cell>
          <cell r="C379">
            <v>23</v>
          </cell>
          <cell r="D379">
            <v>1380110.4</v>
          </cell>
          <cell r="E379" t="str">
            <v>V48</v>
          </cell>
        </row>
        <row r="380">
          <cell r="A380">
            <v>23049</v>
          </cell>
          <cell r="B380">
            <v>26</v>
          </cell>
          <cell r="C380">
            <v>23</v>
          </cell>
          <cell r="D380">
            <v>28512000</v>
          </cell>
          <cell r="E380" t="str">
            <v>V49</v>
          </cell>
        </row>
        <row r="381">
          <cell r="A381">
            <v>23050</v>
          </cell>
          <cell r="B381">
            <v>27</v>
          </cell>
          <cell r="C381">
            <v>23</v>
          </cell>
          <cell r="D381">
            <v>6.6270959999999998E+24</v>
          </cell>
          <cell r="E381" t="str">
            <v>V50</v>
          </cell>
        </row>
        <row r="382">
          <cell r="A382">
            <v>23051</v>
          </cell>
          <cell r="B382">
            <v>28</v>
          </cell>
          <cell r="C382">
            <v>23</v>
          </cell>
          <cell r="D382" t="str">
            <v>STABLE</v>
          </cell>
          <cell r="E382" t="str">
            <v>V51</v>
          </cell>
        </row>
        <row r="383">
          <cell r="A383">
            <v>23052</v>
          </cell>
          <cell r="B383">
            <v>29</v>
          </cell>
          <cell r="C383">
            <v>23</v>
          </cell>
          <cell r="D383">
            <v>224.57999999999899</v>
          </cell>
          <cell r="E383" t="str">
            <v>V52</v>
          </cell>
        </row>
        <row r="384">
          <cell r="A384">
            <v>23053</v>
          </cell>
          <cell r="B384">
            <v>30</v>
          </cell>
          <cell r="C384">
            <v>23</v>
          </cell>
          <cell r="D384">
            <v>92.58</v>
          </cell>
          <cell r="E384" t="str">
            <v>V53</v>
          </cell>
        </row>
        <row r="385">
          <cell r="A385">
            <v>23054</v>
          </cell>
          <cell r="B385">
            <v>31</v>
          </cell>
          <cell r="C385">
            <v>23</v>
          </cell>
          <cell r="D385">
            <v>49.8</v>
          </cell>
          <cell r="E385" t="str">
            <v>V54</v>
          </cell>
        </row>
        <row r="386">
          <cell r="A386">
            <v>23055</v>
          </cell>
          <cell r="B386">
            <v>32</v>
          </cell>
          <cell r="C386">
            <v>23</v>
          </cell>
          <cell r="D386">
            <v>6.54</v>
          </cell>
          <cell r="E386" t="str">
            <v>V55</v>
          </cell>
        </row>
        <row r="387">
          <cell r="A387">
            <v>23056</v>
          </cell>
          <cell r="B387">
            <v>33</v>
          </cell>
          <cell r="C387">
            <v>23</v>
          </cell>
          <cell r="D387">
            <v>0.216</v>
          </cell>
          <cell r="E387" t="str">
            <v>V56</v>
          </cell>
        </row>
        <row r="388">
          <cell r="A388">
            <v>23057</v>
          </cell>
          <cell r="B388">
            <v>34</v>
          </cell>
          <cell r="C388">
            <v>23</v>
          </cell>
          <cell r="D388">
            <v>0.34699999999999998</v>
          </cell>
          <cell r="E388" t="str">
            <v>V57</v>
          </cell>
        </row>
        <row r="389">
          <cell r="A389">
            <v>23058</v>
          </cell>
          <cell r="B389">
            <v>35</v>
          </cell>
          <cell r="C389">
            <v>23</v>
          </cell>
          <cell r="D389">
            <v>0.19</v>
          </cell>
          <cell r="E389" t="str">
            <v>V58</v>
          </cell>
        </row>
        <row r="390">
          <cell r="A390">
            <v>23059</v>
          </cell>
          <cell r="B390">
            <v>36</v>
          </cell>
          <cell r="C390">
            <v>23</v>
          </cell>
          <cell r="D390">
            <v>9.1999999999999998E-2</v>
          </cell>
          <cell r="E390" t="str">
            <v>V59</v>
          </cell>
        </row>
        <row r="391">
          <cell r="A391">
            <v>23060</v>
          </cell>
          <cell r="B391">
            <v>37</v>
          </cell>
          <cell r="C391">
            <v>23</v>
          </cell>
          <cell r="D391">
            <v>0.04</v>
          </cell>
          <cell r="E391" t="str">
            <v>V60</v>
          </cell>
        </row>
        <row r="392">
          <cell r="A392">
            <v>23061</v>
          </cell>
          <cell r="B392">
            <v>38</v>
          </cell>
          <cell r="C392">
            <v>23</v>
          </cell>
          <cell r="D392">
            <v>4.8299999999999899E-2</v>
          </cell>
          <cell r="E392" t="str">
            <v>V61</v>
          </cell>
        </row>
        <row r="393">
          <cell r="A393">
            <v>23062</v>
          </cell>
          <cell r="B393">
            <v>39</v>
          </cell>
          <cell r="C393">
            <v>23</v>
          </cell>
          <cell r="D393">
            <v>3.3500000000000002E-2</v>
          </cell>
          <cell r="E393" t="str">
            <v>V62</v>
          </cell>
        </row>
        <row r="394">
          <cell r="A394">
            <v>23063</v>
          </cell>
          <cell r="B394">
            <v>40</v>
          </cell>
          <cell r="C394">
            <v>23</v>
          </cell>
          <cell r="D394">
            <v>1.9599999999999999E-2</v>
          </cell>
          <cell r="E394" t="str">
            <v>V63</v>
          </cell>
        </row>
        <row r="395">
          <cell r="A395">
            <v>23064</v>
          </cell>
          <cell r="B395">
            <v>41</v>
          </cell>
          <cell r="C395">
            <v>23</v>
          </cell>
          <cell r="D395">
            <v>1.4999999999999999E-2</v>
          </cell>
          <cell r="E395" t="str">
            <v>V64</v>
          </cell>
        </row>
        <row r="396">
          <cell r="A396">
            <v>23065</v>
          </cell>
          <cell r="B396">
            <v>42</v>
          </cell>
          <cell r="C396">
            <v>23</v>
          </cell>
          <cell r="D396">
            <v>3.5999999999999999E-7</v>
          </cell>
          <cell r="E396" t="str">
            <v>V65</v>
          </cell>
        </row>
        <row r="397">
          <cell r="A397">
            <v>23066</v>
          </cell>
          <cell r="B397">
            <v>43</v>
          </cell>
          <cell r="C397">
            <v>23</v>
          </cell>
          <cell r="D397">
            <v>3.5999999999999999E-7</v>
          </cell>
          <cell r="E397" t="str">
            <v>V66</v>
          </cell>
        </row>
        <row r="398">
          <cell r="A398">
            <v>24042</v>
          </cell>
          <cell r="B398">
            <v>18</v>
          </cell>
          <cell r="C398">
            <v>24</v>
          </cell>
          <cell r="D398">
            <v>1.3299999999999999E-2</v>
          </cell>
          <cell r="E398" t="str">
            <v>Cr42</v>
          </cell>
        </row>
        <row r="399">
          <cell r="A399">
            <v>24043</v>
          </cell>
          <cell r="B399">
            <v>19</v>
          </cell>
          <cell r="C399">
            <v>24</v>
          </cell>
          <cell r="D399">
            <v>2.12E-2</v>
          </cell>
          <cell r="E399" t="str">
            <v>Cr43</v>
          </cell>
        </row>
        <row r="400">
          <cell r="A400">
            <v>24044</v>
          </cell>
          <cell r="B400">
            <v>20</v>
          </cell>
          <cell r="C400">
            <v>24</v>
          </cell>
          <cell r="D400">
            <v>4.2799999999999998E-2</v>
          </cell>
          <cell r="E400" t="str">
            <v>Cr44</v>
          </cell>
        </row>
        <row r="401">
          <cell r="A401">
            <v>24045</v>
          </cell>
          <cell r="B401">
            <v>21</v>
          </cell>
          <cell r="C401">
            <v>24</v>
          </cell>
          <cell r="D401">
            <v>6.0900000000000003E-2</v>
          </cell>
          <cell r="E401" t="str">
            <v>Cr45</v>
          </cell>
        </row>
        <row r="402">
          <cell r="A402">
            <v>24046</v>
          </cell>
          <cell r="B402">
            <v>22</v>
          </cell>
          <cell r="C402">
            <v>24</v>
          </cell>
          <cell r="D402">
            <v>0.26</v>
          </cell>
          <cell r="E402" t="str">
            <v>Cr46</v>
          </cell>
        </row>
        <row r="403">
          <cell r="A403">
            <v>24047</v>
          </cell>
          <cell r="B403">
            <v>23</v>
          </cell>
          <cell r="C403">
            <v>24</v>
          </cell>
          <cell r="D403">
            <v>0.5</v>
          </cell>
          <cell r="E403" t="str">
            <v>Cr47</v>
          </cell>
        </row>
        <row r="404">
          <cell r="A404">
            <v>24048</v>
          </cell>
          <cell r="B404">
            <v>24</v>
          </cell>
          <cell r="C404">
            <v>24</v>
          </cell>
          <cell r="D404">
            <v>77616</v>
          </cell>
          <cell r="E404" t="str">
            <v>Cr48</v>
          </cell>
        </row>
        <row r="405">
          <cell r="A405">
            <v>24049</v>
          </cell>
          <cell r="B405">
            <v>25</v>
          </cell>
          <cell r="C405">
            <v>24</v>
          </cell>
          <cell r="D405">
            <v>2538</v>
          </cell>
          <cell r="E405" t="str">
            <v>Cr49</v>
          </cell>
        </row>
        <row r="406">
          <cell r="A406">
            <v>24050</v>
          </cell>
          <cell r="B406">
            <v>26</v>
          </cell>
          <cell r="C406">
            <v>24</v>
          </cell>
          <cell r="D406">
            <v>4.1024880000000004E+25</v>
          </cell>
          <cell r="E406" t="str">
            <v>Cr50</v>
          </cell>
        </row>
        <row r="407">
          <cell r="A407">
            <v>24051</v>
          </cell>
          <cell r="B407">
            <v>27</v>
          </cell>
          <cell r="C407">
            <v>24</v>
          </cell>
          <cell r="D407">
            <v>2393496</v>
          </cell>
          <cell r="E407" t="str">
            <v>Cr51</v>
          </cell>
        </row>
        <row r="408">
          <cell r="A408">
            <v>24052</v>
          </cell>
          <cell r="B408">
            <v>28</v>
          </cell>
          <cell r="C408">
            <v>24</v>
          </cell>
          <cell r="D408" t="str">
            <v>STABLE</v>
          </cell>
          <cell r="E408" t="str">
            <v>Cr52</v>
          </cell>
        </row>
        <row r="409">
          <cell r="A409">
            <v>24053</v>
          </cell>
          <cell r="B409">
            <v>29</v>
          </cell>
          <cell r="C409">
            <v>24</v>
          </cell>
          <cell r="D409" t="str">
            <v>STABLE</v>
          </cell>
          <cell r="E409" t="str">
            <v>Cr53</v>
          </cell>
        </row>
        <row r="410">
          <cell r="A410">
            <v>24054</v>
          </cell>
          <cell r="B410">
            <v>30</v>
          </cell>
          <cell r="C410">
            <v>24</v>
          </cell>
          <cell r="D410" t="str">
            <v>STABLE</v>
          </cell>
          <cell r="E410" t="str">
            <v>Cr54</v>
          </cell>
        </row>
        <row r="411">
          <cell r="A411">
            <v>24055</v>
          </cell>
          <cell r="B411">
            <v>31</v>
          </cell>
          <cell r="C411">
            <v>24</v>
          </cell>
          <cell r="D411">
            <v>209.82</v>
          </cell>
          <cell r="E411" t="str">
            <v>Cr55</v>
          </cell>
        </row>
        <row r="412">
          <cell r="A412">
            <v>24056</v>
          </cell>
          <cell r="B412">
            <v>32</v>
          </cell>
          <cell r="C412">
            <v>24</v>
          </cell>
          <cell r="D412">
            <v>356.4</v>
          </cell>
          <cell r="E412" t="str">
            <v>Cr56</v>
          </cell>
        </row>
        <row r="413">
          <cell r="A413">
            <v>24057</v>
          </cell>
          <cell r="B413">
            <v>33</v>
          </cell>
          <cell r="C413">
            <v>24</v>
          </cell>
          <cell r="D413">
            <v>21.1</v>
          </cell>
          <cell r="E413" t="str">
            <v>Cr57</v>
          </cell>
        </row>
        <row r="414">
          <cell r="A414">
            <v>24058</v>
          </cell>
          <cell r="B414">
            <v>34</v>
          </cell>
          <cell r="C414">
            <v>24</v>
          </cell>
          <cell r="D414">
            <v>7</v>
          </cell>
          <cell r="E414" t="str">
            <v>Cr58</v>
          </cell>
        </row>
        <row r="415">
          <cell r="A415">
            <v>24059</v>
          </cell>
          <cell r="B415">
            <v>35</v>
          </cell>
          <cell r="C415">
            <v>24</v>
          </cell>
          <cell r="D415">
            <v>1.05</v>
          </cell>
          <cell r="E415" t="str">
            <v>Cr59</v>
          </cell>
        </row>
        <row r="416">
          <cell r="A416">
            <v>24060</v>
          </cell>
          <cell r="B416">
            <v>36</v>
          </cell>
          <cell r="C416">
            <v>24</v>
          </cell>
          <cell r="D416">
            <v>0.49199999999999999</v>
          </cell>
          <cell r="E416" t="str">
            <v>Cr60</v>
          </cell>
        </row>
        <row r="417">
          <cell r="A417">
            <v>24061</v>
          </cell>
          <cell r="B417">
            <v>37</v>
          </cell>
          <cell r="C417">
            <v>24</v>
          </cell>
          <cell r="D417">
            <v>0.23400000000000001</v>
          </cell>
          <cell r="E417" t="str">
            <v>Cr61</v>
          </cell>
        </row>
        <row r="418">
          <cell r="A418">
            <v>24062</v>
          </cell>
          <cell r="B418">
            <v>38</v>
          </cell>
          <cell r="C418">
            <v>24</v>
          </cell>
          <cell r="D418">
            <v>0.2</v>
          </cell>
          <cell r="E418" t="str">
            <v>Cr62</v>
          </cell>
        </row>
        <row r="419">
          <cell r="A419">
            <v>24063</v>
          </cell>
          <cell r="B419">
            <v>39</v>
          </cell>
          <cell r="C419">
            <v>24</v>
          </cell>
          <cell r="D419">
            <v>0.129</v>
          </cell>
          <cell r="E419" t="str">
            <v>Cr63</v>
          </cell>
        </row>
        <row r="420">
          <cell r="A420">
            <v>24064</v>
          </cell>
          <cell r="B420">
            <v>40</v>
          </cell>
          <cell r="C420">
            <v>24</v>
          </cell>
          <cell r="D420">
            <v>4.2900000000000001E-2</v>
          </cell>
          <cell r="E420" t="str">
            <v>Cr64</v>
          </cell>
        </row>
        <row r="421">
          <cell r="A421">
            <v>24065</v>
          </cell>
          <cell r="B421">
            <v>41</v>
          </cell>
          <cell r="C421">
            <v>24</v>
          </cell>
          <cell r="D421">
            <v>2.8000000000000001E-2</v>
          </cell>
          <cell r="E421" t="str">
            <v>Cr65</v>
          </cell>
        </row>
        <row r="422">
          <cell r="A422">
            <v>24066</v>
          </cell>
          <cell r="B422">
            <v>42</v>
          </cell>
          <cell r="C422">
            <v>24</v>
          </cell>
          <cell r="D422">
            <v>2.3E-2</v>
          </cell>
          <cell r="E422" t="str">
            <v>Cr66</v>
          </cell>
        </row>
        <row r="423">
          <cell r="A423">
            <v>24068</v>
          </cell>
          <cell r="B423">
            <v>44</v>
          </cell>
          <cell r="C423">
            <v>24</v>
          </cell>
          <cell r="D423">
            <v>5.9999999999999995E-8</v>
          </cell>
          <cell r="E423" t="str">
            <v>Cr68</v>
          </cell>
        </row>
        <row r="424">
          <cell r="A424">
            <v>25046</v>
          </cell>
          <cell r="B424">
            <v>21</v>
          </cell>
          <cell r="C424">
            <v>25</v>
          </cell>
          <cell r="D424">
            <v>3.6200000000000003E-2</v>
          </cell>
          <cell r="E424" t="str">
            <v>Mn46</v>
          </cell>
        </row>
        <row r="425">
          <cell r="A425">
            <v>25047</v>
          </cell>
          <cell r="B425">
            <v>22</v>
          </cell>
          <cell r="C425">
            <v>25</v>
          </cell>
          <cell r="D425">
            <v>8.7999999999999995E-2</v>
          </cell>
          <cell r="E425" t="str">
            <v>Mn47</v>
          </cell>
        </row>
        <row r="426">
          <cell r="A426">
            <v>25048</v>
          </cell>
          <cell r="B426">
            <v>23</v>
          </cell>
          <cell r="C426">
            <v>25</v>
          </cell>
          <cell r="D426">
            <v>0.15809999999999999</v>
          </cell>
          <cell r="E426" t="str">
            <v>Mn48</v>
          </cell>
        </row>
        <row r="427">
          <cell r="A427">
            <v>25049</v>
          </cell>
          <cell r="B427">
            <v>24</v>
          </cell>
          <cell r="C427">
            <v>25</v>
          </cell>
          <cell r="D427">
            <v>0.38200000000000001</v>
          </cell>
          <cell r="E427" t="str">
            <v>Mn49</v>
          </cell>
        </row>
        <row r="428">
          <cell r="A428">
            <v>25050</v>
          </cell>
          <cell r="B428">
            <v>25</v>
          </cell>
          <cell r="C428">
            <v>25</v>
          </cell>
          <cell r="D428">
            <v>0.28319</v>
          </cell>
          <cell r="E428" t="str">
            <v>Mn50</v>
          </cell>
        </row>
        <row r="429">
          <cell r="A429">
            <v>25051</v>
          </cell>
          <cell r="B429">
            <v>26</v>
          </cell>
          <cell r="C429">
            <v>25</v>
          </cell>
          <cell r="D429">
            <v>2772</v>
          </cell>
          <cell r="E429" t="str">
            <v>Mn51</v>
          </cell>
        </row>
        <row r="430">
          <cell r="A430">
            <v>25052</v>
          </cell>
          <cell r="B430">
            <v>27</v>
          </cell>
          <cell r="C430">
            <v>25</v>
          </cell>
          <cell r="D430">
            <v>483062.4</v>
          </cell>
          <cell r="E430" t="str">
            <v>Mn52</v>
          </cell>
        </row>
        <row r="431">
          <cell r="A431">
            <v>25053</v>
          </cell>
          <cell r="B431">
            <v>28</v>
          </cell>
          <cell r="C431">
            <v>25</v>
          </cell>
          <cell r="D431">
            <v>118025424000000</v>
          </cell>
          <cell r="E431" t="str">
            <v>Mn53</v>
          </cell>
        </row>
        <row r="432">
          <cell r="A432">
            <v>25054</v>
          </cell>
          <cell r="B432">
            <v>29</v>
          </cell>
          <cell r="C432">
            <v>25</v>
          </cell>
          <cell r="D432">
            <v>26974080</v>
          </cell>
          <cell r="E432" t="str">
            <v>Mn54</v>
          </cell>
        </row>
        <row r="433">
          <cell r="A433">
            <v>25055</v>
          </cell>
          <cell r="B433">
            <v>30</v>
          </cell>
          <cell r="C433">
            <v>25</v>
          </cell>
          <cell r="D433" t="str">
            <v>STABLE</v>
          </cell>
          <cell r="E433" t="str">
            <v>Mn55</v>
          </cell>
        </row>
        <row r="434">
          <cell r="A434">
            <v>25056</v>
          </cell>
          <cell r="B434">
            <v>31</v>
          </cell>
          <cell r="C434">
            <v>25</v>
          </cell>
          <cell r="D434">
            <v>9284.03999999999</v>
          </cell>
          <cell r="E434" t="str">
            <v>Mn56</v>
          </cell>
        </row>
        <row r="435">
          <cell r="A435">
            <v>25057</v>
          </cell>
          <cell r="B435">
            <v>32</v>
          </cell>
          <cell r="C435">
            <v>25</v>
          </cell>
          <cell r="D435">
            <v>85.4</v>
          </cell>
          <cell r="E435" t="str">
            <v>Mn57</v>
          </cell>
        </row>
        <row r="436">
          <cell r="A436">
            <v>25058</v>
          </cell>
          <cell r="B436">
            <v>33</v>
          </cell>
          <cell r="C436">
            <v>25</v>
          </cell>
          <cell r="D436">
            <v>3</v>
          </cell>
          <cell r="E436" t="str">
            <v>Mn58</v>
          </cell>
        </row>
        <row r="437">
          <cell r="A437">
            <v>25059</v>
          </cell>
          <cell r="B437">
            <v>34</v>
          </cell>
          <cell r="C437">
            <v>25</v>
          </cell>
          <cell r="D437">
            <v>4.59</v>
          </cell>
          <cell r="E437" t="str">
            <v>Mn59</v>
          </cell>
        </row>
        <row r="438">
          <cell r="A438">
            <v>25060</v>
          </cell>
          <cell r="B438">
            <v>35</v>
          </cell>
          <cell r="C438">
            <v>25</v>
          </cell>
          <cell r="D438">
            <v>0.28000000000000003</v>
          </cell>
          <cell r="E438" t="str">
            <v>Mn60</v>
          </cell>
        </row>
        <row r="439">
          <cell r="A439">
            <v>25061</v>
          </cell>
          <cell r="B439">
            <v>36</v>
          </cell>
          <cell r="C439">
            <v>25</v>
          </cell>
          <cell r="D439">
            <v>0.70899999999999996</v>
          </cell>
          <cell r="E439" t="str">
            <v>Mn61</v>
          </cell>
        </row>
        <row r="440">
          <cell r="A440">
            <v>25062</v>
          </cell>
          <cell r="B440">
            <v>37</v>
          </cell>
          <cell r="C440">
            <v>25</v>
          </cell>
          <cell r="D440">
            <v>9.1999999999999998E-2</v>
          </cell>
          <cell r="E440" t="str">
            <v>Mn62</v>
          </cell>
        </row>
        <row r="441">
          <cell r="A441">
            <v>25063</v>
          </cell>
          <cell r="B441">
            <v>38</v>
          </cell>
          <cell r="C441">
            <v>25</v>
          </cell>
          <cell r="D441">
            <v>0.27600000000000002</v>
          </cell>
          <cell r="E441" t="str">
            <v>Mn63</v>
          </cell>
        </row>
        <row r="442">
          <cell r="A442">
            <v>25064</v>
          </cell>
          <cell r="B442">
            <v>39</v>
          </cell>
          <cell r="C442">
            <v>25</v>
          </cell>
          <cell r="D442">
            <v>0.09</v>
          </cell>
          <cell r="E442" t="str">
            <v>Mn64</v>
          </cell>
        </row>
        <row r="443">
          <cell r="A443">
            <v>25065</v>
          </cell>
          <cell r="B443">
            <v>40</v>
          </cell>
          <cell r="C443">
            <v>25</v>
          </cell>
          <cell r="D443">
            <v>9.1899999999999996E-2</v>
          </cell>
          <cell r="E443" t="str">
            <v>Mn65</v>
          </cell>
        </row>
        <row r="444">
          <cell r="A444">
            <v>25066</v>
          </cell>
          <cell r="B444">
            <v>41</v>
          </cell>
          <cell r="C444">
            <v>25</v>
          </cell>
          <cell r="D444">
            <v>6.5000000000000002E-2</v>
          </cell>
          <cell r="E444" t="str">
            <v>Mn66</v>
          </cell>
        </row>
        <row r="445">
          <cell r="A445">
            <v>25067</v>
          </cell>
          <cell r="B445">
            <v>42</v>
          </cell>
          <cell r="C445">
            <v>25</v>
          </cell>
          <cell r="D445">
            <v>4.7E-2</v>
          </cell>
          <cell r="E445" t="str">
            <v>Mn67</v>
          </cell>
        </row>
        <row r="446">
          <cell r="A446">
            <v>25068</v>
          </cell>
          <cell r="B446">
            <v>43</v>
          </cell>
          <cell r="C446">
            <v>25</v>
          </cell>
          <cell r="D446">
            <v>2.8000000000000001E-2</v>
          </cell>
          <cell r="E446" t="str">
            <v>Mn68</v>
          </cell>
        </row>
        <row r="447">
          <cell r="A447">
            <v>25069</v>
          </cell>
          <cell r="B447">
            <v>44</v>
          </cell>
          <cell r="C447">
            <v>25</v>
          </cell>
          <cell r="D447">
            <v>1.6E-2</v>
          </cell>
          <cell r="E447" t="str">
            <v>Mn69</v>
          </cell>
        </row>
        <row r="448">
          <cell r="A448">
            <v>25070</v>
          </cell>
          <cell r="B448">
            <v>45</v>
          </cell>
          <cell r="C448">
            <v>25</v>
          </cell>
          <cell r="D448">
            <v>3.5999999999999999E-7</v>
          </cell>
          <cell r="E448" t="str">
            <v>Mn70</v>
          </cell>
        </row>
        <row r="449">
          <cell r="A449">
            <v>25071</v>
          </cell>
          <cell r="B449">
            <v>46</v>
          </cell>
          <cell r="C449">
            <v>25</v>
          </cell>
          <cell r="D449">
            <v>6.37E-7</v>
          </cell>
          <cell r="E449" t="str">
            <v>Mn71</v>
          </cell>
        </row>
        <row r="450">
          <cell r="A450">
            <v>26045</v>
          </cell>
          <cell r="B450">
            <v>19</v>
          </cell>
          <cell r="C450">
            <v>26</v>
          </cell>
          <cell r="D450">
            <v>2.4499999999999999E-3</v>
          </cell>
          <cell r="E450" t="str">
            <v>Fe45</v>
          </cell>
        </row>
        <row r="451">
          <cell r="A451">
            <v>26046</v>
          </cell>
          <cell r="B451">
            <v>20</v>
          </cell>
          <cell r="C451">
            <v>26</v>
          </cell>
          <cell r="D451">
            <v>1.2999999999999999E-2</v>
          </cell>
          <cell r="E451" t="str">
            <v>Fe46</v>
          </cell>
        </row>
        <row r="452">
          <cell r="A452">
            <v>26047</v>
          </cell>
          <cell r="B452">
            <v>21</v>
          </cell>
          <cell r="C452">
            <v>26</v>
          </cell>
          <cell r="D452">
            <v>2.1899999999999999E-2</v>
          </cell>
          <cell r="E452" t="str">
            <v>Fe47</v>
          </cell>
        </row>
        <row r="453">
          <cell r="A453">
            <v>26048</v>
          </cell>
          <cell r="B453">
            <v>22</v>
          </cell>
          <cell r="C453">
            <v>26</v>
          </cell>
          <cell r="D453">
            <v>4.53E-2</v>
          </cell>
          <cell r="E453" t="str">
            <v>Fe48</v>
          </cell>
        </row>
        <row r="454">
          <cell r="A454">
            <v>26049</v>
          </cell>
          <cell r="B454">
            <v>23</v>
          </cell>
          <cell r="C454">
            <v>26</v>
          </cell>
          <cell r="D454">
            <v>6.4699999999999994E-2</v>
          </cell>
          <cell r="E454" t="str">
            <v>Fe49</v>
          </cell>
        </row>
        <row r="455">
          <cell r="A455">
            <v>26050</v>
          </cell>
          <cell r="B455">
            <v>24</v>
          </cell>
          <cell r="C455">
            <v>26</v>
          </cell>
          <cell r="D455">
            <v>0.155</v>
          </cell>
          <cell r="E455" t="str">
            <v>Fe50</v>
          </cell>
        </row>
        <row r="456">
          <cell r="A456">
            <v>26051</v>
          </cell>
          <cell r="B456">
            <v>25</v>
          </cell>
          <cell r="C456">
            <v>26</v>
          </cell>
          <cell r="D456">
            <v>0.30499999999999999</v>
          </cell>
          <cell r="E456" t="str">
            <v>Fe51</v>
          </cell>
        </row>
        <row r="457">
          <cell r="A457">
            <v>26052</v>
          </cell>
          <cell r="B457">
            <v>26</v>
          </cell>
          <cell r="C457">
            <v>26</v>
          </cell>
          <cell r="D457">
            <v>29790</v>
          </cell>
          <cell r="E457" t="str">
            <v>Fe52</v>
          </cell>
        </row>
        <row r="458">
          <cell r="A458">
            <v>26053</v>
          </cell>
          <cell r="B458">
            <v>27</v>
          </cell>
          <cell r="C458">
            <v>26</v>
          </cell>
          <cell r="D458">
            <v>510.599999999999</v>
          </cell>
          <cell r="E458" t="str">
            <v>Fe53</v>
          </cell>
        </row>
        <row r="459">
          <cell r="A459">
            <v>26054</v>
          </cell>
          <cell r="B459">
            <v>28</v>
          </cell>
          <cell r="C459">
            <v>26</v>
          </cell>
          <cell r="D459" t="str">
            <v>STABLE</v>
          </cell>
          <cell r="E459" t="str">
            <v>Fe54</v>
          </cell>
        </row>
        <row r="460">
          <cell r="A460">
            <v>26055</v>
          </cell>
          <cell r="B460">
            <v>29</v>
          </cell>
          <cell r="C460">
            <v>26</v>
          </cell>
          <cell r="D460">
            <v>86594054.400000006</v>
          </cell>
          <cell r="E460" t="str">
            <v>Fe55</v>
          </cell>
        </row>
        <row r="461">
          <cell r="A461">
            <v>26056</v>
          </cell>
          <cell r="B461">
            <v>30</v>
          </cell>
          <cell r="C461">
            <v>26</v>
          </cell>
          <cell r="D461" t="str">
            <v>STABLE</v>
          </cell>
          <cell r="E461" t="str">
            <v>Fe56</v>
          </cell>
        </row>
        <row r="462">
          <cell r="A462">
            <v>26057</v>
          </cell>
          <cell r="B462">
            <v>31</v>
          </cell>
          <cell r="C462">
            <v>26</v>
          </cell>
          <cell r="D462" t="str">
            <v>STABLE</v>
          </cell>
          <cell r="E462" t="str">
            <v>Fe57</v>
          </cell>
        </row>
        <row r="463">
          <cell r="A463">
            <v>26058</v>
          </cell>
          <cell r="B463">
            <v>32</v>
          </cell>
          <cell r="C463">
            <v>26</v>
          </cell>
          <cell r="D463" t="str">
            <v>STABLE</v>
          </cell>
          <cell r="E463" t="str">
            <v>Fe58</v>
          </cell>
        </row>
        <row r="464">
          <cell r="A464">
            <v>26059</v>
          </cell>
          <cell r="B464">
            <v>33</v>
          </cell>
          <cell r="C464">
            <v>26</v>
          </cell>
          <cell r="D464">
            <v>3844368</v>
          </cell>
          <cell r="E464" t="str">
            <v>Fe59</v>
          </cell>
        </row>
        <row r="465">
          <cell r="A465">
            <v>26060</v>
          </cell>
          <cell r="B465">
            <v>34</v>
          </cell>
          <cell r="C465">
            <v>26</v>
          </cell>
          <cell r="D465">
            <v>82680912000000</v>
          </cell>
          <cell r="E465" t="str">
            <v>Fe60</v>
          </cell>
        </row>
        <row r="466">
          <cell r="A466">
            <v>26061</v>
          </cell>
          <cell r="B466">
            <v>35</v>
          </cell>
          <cell r="C466">
            <v>26</v>
          </cell>
          <cell r="D466">
            <v>358.8</v>
          </cell>
          <cell r="E466" t="str">
            <v>Fe61</v>
          </cell>
        </row>
        <row r="467">
          <cell r="A467">
            <v>26062</v>
          </cell>
          <cell r="B467">
            <v>36</v>
          </cell>
          <cell r="C467">
            <v>26</v>
          </cell>
          <cell r="D467">
            <v>68</v>
          </cell>
          <cell r="E467" t="str">
            <v>Fe62</v>
          </cell>
        </row>
        <row r="468">
          <cell r="A468">
            <v>26063</v>
          </cell>
          <cell r="B468">
            <v>37</v>
          </cell>
          <cell r="C468">
            <v>26</v>
          </cell>
          <cell r="D468">
            <v>6.1</v>
          </cell>
          <cell r="E468" t="str">
            <v>Fe63</v>
          </cell>
        </row>
        <row r="469">
          <cell r="A469">
            <v>26064</v>
          </cell>
          <cell r="B469">
            <v>38</v>
          </cell>
          <cell r="C469">
            <v>26</v>
          </cell>
          <cell r="D469">
            <v>2</v>
          </cell>
          <cell r="E469" t="str">
            <v>Fe64</v>
          </cell>
        </row>
        <row r="470">
          <cell r="A470">
            <v>26065</v>
          </cell>
          <cell r="B470">
            <v>39</v>
          </cell>
          <cell r="C470">
            <v>26</v>
          </cell>
          <cell r="D470">
            <v>0.81</v>
          </cell>
          <cell r="E470" t="str">
            <v>Fe65</v>
          </cell>
        </row>
        <row r="471">
          <cell r="A471">
            <v>26066</v>
          </cell>
          <cell r="B471">
            <v>40</v>
          </cell>
          <cell r="C471">
            <v>26</v>
          </cell>
          <cell r="D471">
            <v>0.35099999999999998</v>
          </cell>
          <cell r="E471" t="str">
            <v>Fe66</v>
          </cell>
        </row>
        <row r="472">
          <cell r="A472">
            <v>26067</v>
          </cell>
          <cell r="B472">
            <v>41</v>
          </cell>
          <cell r="C472">
            <v>26</v>
          </cell>
          <cell r="D472">
            <v>0.39500000000000002</v>
          </cell>
          <cell r="E472" t="str">
            <v>Fe67</v>
          </cell>
        </row>
        <row r="473">
          <cell r="A473">
            <v>26068</v>
          </cell>
          <cell r="B473">
            <v>42</v>
          </cell>
          <cell r="C473">
            <v>26</v>
          </cell>
          <cell r="D473">
            <v>0.188</v>
          </cell>
          <cell r="E473" t="str">
            <v>Fe68</v>
          </cell>
        </row>
        <row r="474">
          <cell r="A474">
            <v>26069</v>
          </cell>
          <cell r="B474">
            <v>43</v>
          </cell>
          <cell r="C474">
            <v>26</v>
          </cell>
          <cell r="D474">
            <v>0.16200000000000001</v>
          </cell>
          <cell r="E474" t="str">
            <v>Fe69</v>
          </cell>
        </row>
        <row r="475">
          <cell r="A475">
            <v>26070</v>
          </cell>
          <cell r="B475">
            <v>44</v>
          </cell>
          <cell r="C475">
            <v>26</v>
          </cell>
          <cell r="D475">
            <v>6.3E-2</v>
          </cell>
          <cell r="E475" t="str">
            <v>Fe70</v>
          </cell>
        </row>
        <row r="476">
          <cell r="A476">
            <v>26071</v>
          </cell>
          <cell r="B476">
            <v>45</v>
          </cell>
          <cell r="C476">
            <v>26</v>
          </cell>
          <cell r="D476">
            <v>3.5000000000000003E-2</v>
          </cell>
          <cell r="E476" t="str">
            <v>Fe71</v>
          </cell>
        </row>
        <row r="477">
          <cell r="A477">
            <v>26072</v>
          </cell>
          <cell r="B477">
            <v>46</v>
          </cell>
          <cell r="C477">
            <v>26</v>
          </cell>
          <cell r="D477">
            <v>1.9E-2</v>
          </cell>
          <cell r="E477" t="str">
            <v>Fe72</v>
          </cell>
        </row>
        <row r="478">
          <cell r="A478">
            <v>26073</v>
          </cell>
          <cell r="B478">
            <v>47</v>
          </cell>
          <cell r="C478">
            <v>26</v>
          </cell>
          <cell r="D478">
            <v>6.3300000000000002E-7</v>
          </cell>
          <cell r="E478" t="str">
            <v>Fe73</v>
          </cell>
        </row>
        <row r="479">
          <cell r="A479">
            <v>26074</v>
          </cell>
          <cell r="B479">
            <v>48</v>
          </cell>
          <cell r="C479">
            <v>26</v>
          </cell>
          <cell r="D479">
            <v>6.3799999999999997E-7</v>
          </cell>
          <cell r="E479" t="str">
            <v>Fe74</v>
          </cell>
        </row>
        <row r="480">
          <cell r="A480">
            <v>27050</v>
          </cell>
          <cell r="B480">
            <v>23</v>
          </cell>
          <cell r="C480">
            <v>27</v>
          </cell>
          <cell r="D480">
            <v>3.8800000000000001E-2</v>
          </cell>
          <cell r="E480" t="str">
            <v>Co50</v>
          </cell>
        </row>
        <row r="481">
          <cell r="A481">
            <v>27051</v>
          </cell>
          <cell r="B481">
            <v>24</v>
          </cell>
          <cell r="C481">
            <v>27</v>
          </cell>
          <cell r="D481">
            <v>1.9999999999999999E-7</v>
          </cell>
          <cell r="E481" t="str">
            <v>Co51</v>
          </cell>
        </row>
        <row r="482">
          <cell r="A482">
            <v>27052</v>
          </cell>
          <cell r="B482">
            <v>25</v>
          </cell>
          <cell r="C482">
            <v>27</v>
          </cell>
          <cell r="D482">
            <v>0.104</v>
          </cell>
          <cell r="E482" t="str">
            <v>Co52</v>
          </cell>
        </row>
        <row r="483">
          <cell r="A483">
            <v>27053</v>
          </cell>
          <cell r="B483">
            <v>26</v>
          </cell>
          <cell r="C483">
            <v>27</v>
          </cell>
          <cell r="D483">
            <v>0.24</v>
          </cell>
          <cell r="E483" t="str">
            <v>Co53</v>
          </cell>
        </row>
        <row r="484">
          <cell r="A484">
            <v>27054</v>
          </cell>
          <cell r="B484">
            <v>27</v>
          </cell>
          <cell r="C484">
            <v>27</v>
          </cell>
          <cell r="D484">
            <v>0.193</v>
          </cell>
          <cell r="E484" t="str">
            <v>Co54</v>
          </cell>
        </row>
        <row r="485">
          <cell r="A485">
            <v>27055</v>
          </cell>
          <cell r="B485">
            <v>28</v>
          </cell>
          <cell r="C485">
            <v>27</v>
          </cell>
          <cell r="D485">
            <v>63108</v>
          </cell>
          <cell r="E485" t="str">
            <v>Co55</v>
          </cell>
        </row>
        <row r="486">
          <cell r="A486">
            <v>27056</v>
          </cell>
          <cell r="B486">
            <v>29</v>
          </cell>
          <cell r="C486">
            <v>27</v>
          </cell>
          <cell r="D486">
            <v>6673190.4000000004</v>
          </cell>
          <cell r="E486" t="str">
            <v>Co56</v>
          </cell>
        </row>
        <row r="487">
          <cell r="A487">
            <v>27057</v>
          </cell>
          <cell r="B487">
            <v>30</v>
          </cell>
          <cell r="C487">
            <v>27</v>
          </cell>
          <cell r="D487">
            <v>23478336</v>
          </cell>
          <cell r="E487" t="str">
            <v>Co57</v>
          </cell>
        </row>
        <row r="488">
          <cell r="A488">
            <v>27058</v>
          </cell>
          <cell r="B488">
            <v>31</v>
          </cell>
          <cell r="C488">
            <v>27</v>
          </cell>
          <cell r="D488">
            <v>6122304</v>
          </cell>
          <cell r="E488" t="str">
            <v>Co58</v>
          </cell>
        </row>
        <row r="489">
          <cell r="A489">
            <v>27059</v>
          </cell>
          <cell r="B489">
            <v>32</v>
          </cell>
          <cell r="C489">
            <v>27</v>
          </cell>
          <cell r="D489" t="str">
            <v>STABLE</v>
          </cell>
          <cell r="E489" t="str">
            <v>Co59</v>
          </cell>
        </row>
        <row r="490">
          <cell r="A490">
            <v>27060</v>
          </cell>
          <cell r="B490">
            <v>33</v>
          </cell>
          <cell r="C490">
            <v>27</v>
          </cell>
          <cell r="D490">
            <v>166344192</v>
          </cell>
          <cell r="E490" t="str">
            <v>Co60</v>
          </cell>
        </row>
        <row r="491">
          <cell r="A491">
            <v>27061</v>
          </cell>
          <cell r="B491">
            <v>34</v>
          </cell>
          <cell r="C491">
            <v>27</v>
          </cell>
          <cell r="D491">
            <v>5936.4</v>
          </cell>
          <cell r="E491" t="str">
            <v>Co61</v>
          </cell>
        </row>
        <row r="492">
          <cell r="A492">
            <v>27062</v>
          </cell>
          <cell r="B492">
            <v>35</v>
          </cell>
          <cell r="C492">
            <v>27</v>
          </cell>
          <cell r="D492">
            <v>90</v>
          </cell>
          <cell r="E492" t="str">
            <v>Co62</v>
          </cell>
        </row>
        <row r="493">
          <cell r="A493">
            <v>27063</v>
          </cell>
          <cell r="B493">
            <v>36</v>
          </cell>
          <cell r="C493">
            <v>27</v>
          </cell>
          <cell r="D493">
            <v>27.4</v>
          </cell>
          <cell r="E493" t="str">
            <v>Co63</v>
          </cell>
        </row>
        <row r="494">
          <cell r="A494">
            <v>27064</v>
          </cell>
          <cell r="B494">
            <v>37</v>
          </cell>
          <cell r="C494">
            <v>27</v>
          </cell>
          <cell r="D494">
            <v>0.3</v>
          </cell>
          <cell r="E494" t="str">
            <v>Co64</v>
          </cell>
        </row>
        <row r="495">
          <cell r="A495">
            <v>27065</v>
          </cell>
          <cell r="B495">
            <v>38</v>
          </cell>
          <cell r="C495">
            <v>27</v>
          </cell>
          <cell r="D495">
            <v>1.1599999999999999</v>
          </cell>
          <cell r="E495" t="str">
            <v>Co65</v>
          </cell>
        </row>
        <row r="496">
          <cell r="A496">
            <v>27066</v>
          </cell>
          <cell r="B496">
            <v>39</v>
          </cell>
          <cell r="C496">
            <v>27</v>
          </cell>
          <cell r="D496">
            <v>0.20899999999999999</v>
          </cell>
          <cell r="E496" t="str">
            <v>Co66</v>
          </cell>
        </row>
        <row r="497">
          <cell r="A497">
            <v>27067</v>
          </cell>
          <cell r="B497">
            <v>40</v>
          </cell>
          <cell r="C497">
            <v>27</v>
          </cell>
          <cell r="D497">
            <v>0.32900000000000001</v>
          </cell>
          <cell r="E497" t="str">
            <v>Co67</v>
          </cell>
        </row>
        <row r="498">
          <cell r="A498">
            <v>27068</v>
          </cell>
          <cell r="B498">
            <v>41</v>
          </cell>
          <cell r="C498">
            <v>27</v>
          </cell>
          <cell r="D498">
            <v>9.9000000000000005E-2</v>
          </cell>
          <cell r="E498" t="str">
            <v>Co68</v>
          </cell>
        </row>
        <row r="499">
          <cell r="A499">
            <v>27069</v>
          </cell>
          <cell r="B499">
            <v>42</v>
          </cell>
          <cell r="C499">
            <v>27</v>
          </cell>
          <cell r="D499">
            <v>0.18</v>
          </cell>
          <cell r="E499" t="str">
            <v>Co69</v>
          </cell>
        </row>
        <row r="500">
          <cell r="A500">
            <v>27070</v>
          </cell>
          <cell r="B500">
            <v>43</v>
          </cell>
          <cell r="C500">
            <v>27</v>
          </cell>
          <cell r="D500">
            <v>1.4E-2</v>
          </cell>
          <cell r="E500" t="str">
            <v>Co70</v>
          </cell>
        </row>
        <row r="501">
          <cell r="A501">
            <v>27071</v>
          </cell>
          <cell r="B501">
            <v>44</v>
          </cell>
          <cell r="C501">
            <v>27</v>
          </cell>
          <cell r="D501">
            <v>0.08</v>
          </cell>
          <cell r="E501" t="str">
            <v>Co71</v>
          </cell>
        </row>
        <row r="502">
          <cell r="A502">
            <v>27072</v>
          </cell>
          <cell r="B502">
            <v>45</v>
          </cell>
          <cell r="C502">
            <v>27</v>
          </cell>
          <cell r="D502">
            <v>5.7299999999999997E-2</v>
          </cell>
          <cell r="E502" t="str">
            <v>Co72</v>
          </cell>
        </row>
        <row r="503">
          <cell r="A503">
            <v>27073</v>
          </cell>
          <cell r="B503">
            <v>46</v>
          </cell>
          <cell r="C503">
            <v>27</v>
          </cell>
          <cell r="D503">
            <v>4.0500000000000001E-2</v>
          </cell>
          <cell r="E503" t="str">
            <v>Co73</v>
          </cell>
        </row>
        <row r="504">
          <cell r="A504">
            <v>27074</v>
          </cell>
          <cell r="B504">
            <v>47</v>
          </cell>
          <cell r="C504">
            <v>27</v>
          </cell>
          <cell r="D504">
            <v>3.1399999999999997E-2</v>
          </cell>
          <cell r="E504" t="str">
            <v>Co74</v>
          </cell>
        </row>
        <row r="505">
          <cell r="A505">
            <v>27075</v>
          </cell>
          <cell r="B505">
            <v>48</v>
          </cell>
          <cell r="C505">
            <v>27</v>
          </cell>
          <cell r="D505">
            <v>2.6499999999999999E-2</v>
          </cell>
          <cell r="E505" t="str">
            <v>Co75</v>
          </cell>
        </row>
        <row r="506">
          <cell r="A506">
            <v>27076</v>
          </cell>
          <cell r="B506">
            <v>49</v>
          </cell>
          <cell r="C506">
            <v>27</v>
          </cell>
          <cell r="D506">
            <v>2.1700000000000001E-2</v>
          </cell>
          <cell r="E506" t="str">
            <v>Co76</v>
          </cell>
        </row>
        <row r="507">
          <cell r="A507">
            <v>27077</v>
          </cell>
          <cell r="B507">
            <v>50</v>
          </cell>
          <cell r="C507">
            <v>27</v>
          </cell>
          <cell r="D507">
            <v>1.2999999999999999E-2</v>
          </cell>
          <cell r="E507" t="str">
            <v>Co77</v>
          </cell>
        </row>
        <row r="508">
          <cell r="A508">
            <v>28048</v>
          </cell>
          <cell r="B508">
            <v>20</v>
          </cell>
          <cell r="C508">
            <v>28</v>
          </cell>
          <cell r="D508">
            <v>2.0999999999999999E-3</v>
          </cell>
          <cell r="E508" t="str">
            <v>Ni48</v>
          </cell>
        </row>
        <row r="509">
          <cell r="A509">
            <v>28049</v>
          </cell>
          <cell r="B509">
            <v>21</v>
          </cell>
          <cell r="C509">
            <v>28</v>
          </cell>
          <cell r="D509">
            <v>7.4999999999999997E-3</v>
          </cell>
          <cell r="E509" t="str">
            <v>Ni49</v>
          </cell>
        </row>
        <row r="510">
          <cell r="A510">
            <v>28050</v>
          </cell>
          <cell r="B510">
            <v>22</v>
          </cell>
          <cell r="C510">
            <v>28</v>
          </cell>
          <cell r="D510">
            <v>1.8499999999999999E-2</v>
          </cell>
          <cell r="E510" t="str">
            <v>Ni50</v>
          </cell>
        </row>
        <row r="511">
          <cell r="A511">
            <v>28051</v>
          </cell>
          <cell r="B511">
            <v>23</v>
          </cell>
          <cell r="C511">
            <v>28</v>
          </cell>
          <cell r="D511">
            <v>2.3800000000000002E-2</v>
          </cell>
          <cell r="E511" t="str">
            <v>Ni51</v>
          </cell>
        </row>
        <row r="512">
          <cell r="A512">
            <v>28052</v>
          </cell>
          <cell r="B512">
            <v>24</v>
          </cell>
          <cell r="C512">
            <v>28</v>
          </cell>
          <cell r="D512">
            <v>4.0799999999999899E-2</v>
          </cell>
          <cell r="E512" t="str">
            <v>Ni52</v>
          </cell>
        </row>
        <row r="513">
          <cell r="A513">
            <v>28053</v>
          </cell>
          <cell r="B513">
            <v>25</v>
          </cell>
          <cell r="C513">
            <v>28</v>
          </cell>
          <cell r="D513">
            <v>5.5199999999999999E-2</v>
          </cell>
          <cell r="E513" t="str">
            <v>Ni53</v>
          </cell>
        </row>
        <row r="514">
          <cell r="A514">
            <v>28054</v>
          </cell>
          <cell r="B514">
            <v>26</v>
          </cell>
          <cell r="C514">
            <v>28</v>
          </cell>
          <cell r="D514">
            <v>0.1142</v>
          </cell>
          <cell r="E514" t="str">
            <v>Ni54</v>
          </cell>
        </row>
        <row r="515">
          <cell r="A515">
            <v>28055</v>
          </cell>
          <cell r="B515">
            <v>27</v>
          </cell>
          <cell r="C515">
            <v>28</v>
          </cell>
          <cell r="D515">
            <v>0.20469999999999999</v>
          </cell>
          <cell r="E515" t="str">
            <v>Ni55</v>
          </cell>
        </row>
        <row r="516">
          <cell r="A516">
            <v>28056</v>
          </cell>
          <cell r="B516">
            <v>28</v>
          </cell>
          <cell r="C516">
            <v>28</v>
          </cell>
          <cell r="D516">
            <v>524880</v>
          </cell>
          <cell r="E516" t="str">
            <v>Ni56</v>
          </cell>
        </row>
        <row r="517">
          <cell r="A517">
            <v>28057</v>
          </cell>
          <cell r="B517">
            <v>29</v>
          </cell>
          <cell r="C517">
            <v>28</v>
          </cell>
          <cell r="D517">
            <v>128160</v>
          </cell>
          <cell r="E517" t="str">
            <v>Ni57</v>
          </cell>
        </row>
        <row r="518">
          <cell r="A518">
            <v>28058</v>
          </cell>
          <cell r="B518">
            <v>30</v>
          </cell>
          <cell r="C518">
            <v>28</v>
          </cell>
          <cell r="D518" t="str">
            <v>STABLE</v>
          </cell>
          <cell r="E518" t="str">
            <v>Ni58</v>
          </cell>
        </row>
        <row r="519">
          <cell r="A519">
            <v>28059</v>
          </cell>
          <cell r="B519">
            <v>31</v>
          </cell>
          <cell r="C519">
            <v>28</v>
          </cell>
          <cell r="D519">
            <v>2398377600000</v>
          </cell>
          <cell r="E519" t="str">
            <v>Ni59</v>
          </cell>
        </row>
        <row r="520">
          <cell r="A520">
            <v>28060</v>
          </cell>
          <cell r="B520">
            <v>32</v>
          </cell>
          <cell r="C520">
            <v>28</v>
          </cell>
          <cell r="D520" t="str">
            <v>STABLE</v>
          </cell>
          <cell r="E520" t="str">
            <v>Ni60</v>
          </cell>
        </row>
        <row r="521">
          <cell r="A521">
            <v>28061</v>
          </cell>
          <cell r="B521">
            <v>33</v>
          </cell>
          <cell r="C521">
            <v>28</v>
          </cell>
          <cell r="D521" t="str">
            <v>STABLE</v>
          </cell>
          <cell r="E521" t="str">
            <v>Ni61</v>
          </cell>
        </row>
        <row r="522">
          <cell r="A522">
            <v>28062</v>
          </cell>
          <cell r="B522">
            <v>34</v>
          </cell>
          <cell r="C522">
            <v>28</v>
          </cell>
          <cell r="D522" t="str">
            <v>STABLE</v>
          </cell>
          <cell r="E522" t="str">
            <v>Ni62</v>
          </cell>
        </row>
        <row r="523">
          <cell r="A523">
            <v>28063</v>
          </cell>
          <cell r="B523">
            <v>35</v>
          </cell>
          <cell r="C523">
            <v>28</v>
          </cell>
          <cell r="D523">
            <v>3193629120</v>
          </cell>
          <cell r="E523" t="str">
            <v>Ni63</v>
          </cell>
        </row>
        <row r="524">
          <cell r="A524">
            <v>28064</v>
          </cell>
          <cell r="B524">
            <v>36</v>
          </cell>
          <cell r="C524">
            <v>28</v>
          </cell>
          <cell r="D524" t="str">
            <v>STABLE</v>
          </cell>
          <cell r="E524" t="str">
            <v>Ni64</v>
          </cell>
        </row>
        <row r="525">
          <cell r="A525">
            <v>28065</v>
          </cell>
          <cell r="B525">
            <v>37</v>
          </cell>
          <cell r="C525">
            <v>28</v>
          </cell>
          <cell r="D525">
            <v>9063</v>
          </cell>
          <cell r="E525" t="str">
            <v>Ni65</v>
          </cell>
        </row>
        <row r="526">
          <cell r="A526">
            <v>28066</v>
          </cell>
          <cell r="B526">
            <v>38</v>
          </cell>
          <cell r="C526">
            <v>28</v>
          </cell>
          <cell r="D526">
            <v>196560</v>
          </cell>
          <cell r="E526" t="str">
            <v>Ni66</v>
          </cell>
        </row>
        <row r="527">
          <cell r="A527">
            <v>28067</v>
          </cell>
          <cell r="B527">
            <v>39</v>
          </cell>
          <cell r="C527">
            <v>28</v>
          </cell>
          <cell r="D527">
            <v>21</v>
          </cell>
          <cell r="E527" t="str">
            <v>Ni67</v>
          </cell>
        </row>
        <row r="528">
          <cell r="A528">
            <v>28068</v>
          </cell>
          <cell r="B528">
            <v>40</v>
          </cell>
          <cell r="C528">
            <v>28</v>
          </cell>
          <cell r="D528">
            <v>29</v>
          </cell>
          <cell r="E528" t="str">
            <v>Ni68</v>
          </cell>
        </row>
        <row r="529">
          <cell r="A529">
            <v>28069</v>
          </cell>
          <cell r="B529">
            <v>41</v>
          </cell>
          <cell r="C529">
            <v>28</v>
          </cell>
          <cell r="D529">
            <v>11.4</v>
          </cell>
          <cell r="E529" t="str">
            <v>Ni69</v>
          </cell>
        </row>
        <row r="530">
          <cell r="A530">
            <v>28070</v>
          </cell>
          <cell r="B530">
            <v>42</v>
          </cell>
          <cell r="C530">
            <v>28</v>
          </cell>
          <cell r="D530">
            <v>6</v>
          </cell>
          <cell r="E530" t="str">
            <v>Ni70</v>
          </cell>
        </row>
        <row r="531">
          <cell r="A531">
            <v>28071</v>
          </cell>
          <cell r="B531">
            <v>43</v>
          </cell>
          <cell r="C531">
            <v>28</v>
          </cell>
          <cell r="D531">
            <v>2.56</v>
          </cell>
          <cell r="E531" t="str">
            <v>Ni71</v>
          </cell>
        </row>
        <row r="532">
          <cell r="A532">
            <v>28072</v>
          </cell>
          <cell r="B532">
            <v>44</v>
          </cell>
          <cell r="C532">
            <v>28</v>
          </cell>
          <cell r="D532">
            <v>1.587</v>
          </cell>
          <cell r="E532" t="str">
            <v>Ni72</v>
          </cell>
        </row>
        <row r="533">
          <cell r="A533">
            <v>28073</v>
          </cell>
          <cell r="B533">
            <v>45</v>
          </cell>
          <cell r="C533">
            <v>28</v>
          </cell>
          <cell r="D533">
            <v>0.84199999999999997</v>
          </cell>
          <cell r="E533" t="str">
            <v>Ni73</v>
          </cell>
        </row>
        <row r="534">
          <cell r="A534">
            <v>28074</v>
          </cell>
          <cell r="B534">
            <v>46</v>
          </cell>
          <cell r="C534">
            <v>28</v>
          </cell>
          <cell r="D534">
            <v>0.50770000000000004</v>
          </cell>
          <cell r="E534" t="str">
            <v>Ni74</v>
          </cell>
        </row>
        <row r="535">
          <cell r="A535">
            <v>28075</v>
          </cell>
          <cell r="B535">
            <v>47</v>
          </cell>
          <cell r="C535">
            <v>28</v>
          </cell>
          <cell r="D535">
            <v>0.33179999999999998</v>
          </cell>
          <cell r="E535" t="str">
            <v>Ni75</v>
          </cell>
        </row>
        <row r="536">
          <cell r="A536">
            <v>28076</v>
          </cell>
          <cell r="B536">
            <v>48</v>
          </cell>
          <cell r="C536">
            <v>28</v>
          </cell>
          <cell r="D536">
            <v>0.23469999999999999</v>
          </cell>
          <cell r="E536" t="str">
            <v>Ni76</v>
          </cell>
        </row>
        <row r="537">
          <cell r="A537">
            <v>28077</v>
          </cell>
          <cell r="B537">
            <v>49</v>
          </cell>
          <cell r="C537">
            <v>28</v>
          </cell>
          <cell r="D537">
            <v>0.15840000000000001</v>
          </cell>
          <cell r="E537" t="str">
            <v>Ni77</v>
          </cell>
        </row>
        <row r="538">
          <cell r="A538">
            <v>28078</v>
          </cell>
          <cell r="B538">
            <v>50</v>
          </cell>
          <cell r="C538">
            <v>28</v>
          </cell>
          <cell r="D538">
            <v>0.1222</v>
          </cell>
          <cell r="E538" t="str">
            <v>Ni78</v>
          </cell>
        </row>
        <row r="539">
          <cell r="A539">
            <v>28079</v>
          </cell>
          <cell r="B539">
            <v>51</v>
          </cell>
          <cell r="C539">
            <v>28</v>
          </cell>
          <cell r="D539">
            <v>4.2999999999999997E-2</v>
          </cell>
          <cell r="E539" t="str">
            <v>Ni79</v>
          </cell>
        </row>
        <row r="540">
          <cell r="A540">
            <v>28080</v>
          </cell>
          <cell r="B540">
            <v>52</v>
          </cell>
          <cell r="C540">
            <v>28</v>
          </cell>
          <cell r="D540">
            <v>2.4E-2</v>
          </cell>
          <cell r="E540" t="str">
            <v>Ni80</v>
          </cell>
        </row>
        <row r="541">
          <cell r="A541">
            <v>29055</v>
          </cell>
          <cell r="B541">
            <v>26</v>
          </cell>
          <cell r="C541">
            <v>29</v>
          </cell>
          <cell r="D541">
            <v>2.7E-2</v>
          </cell>
          <cell r="E541" t="str">
            <v>Cu55</v>
          </cell>
        </row>
        <row r="542">
          <cell r="A542">
            <v>29056</v>
          </cell>
          <cell r="B542">
            <v>27</v>
          </cell>
          <cell r="C542">
            <v>29</v>
          </cell>
          <cell r="D542">
            <v>9.2999999999999999E-2</v>
          </cell>
          <cell r="E542" t="str">
            <v>Cu56</v>
          </cell>
        </row>
        <row r="543">
          <cell r="A543">
            <v>29057</v>
          </cell>
          <cell r="B543">
            <v>28</v>
          </cell>
          <cell r="C543">
            <v>29</v>
          </cell>
          <cell r="D543">
            <v>0.1963</v>
          </cell>
          <cell r="E543" t="str">
            <v>Cu57</v>
          </cell>
        </row>
        <row r="544">
          <cell r="A544">
            <v>29058</v>
          </cell>
          <cell r="B544">
            <v>29</v>
          </cell>
          <cell r="C544">
            <v>29</v>
          </cell>
          <cell r="D544">
            <v>3.2040000000000002</v>
          </cell>
          <cell r="E544" t="str">
            <v>Cu58</v>
          </cell>
        </row>
        <row r="545">
          <cell r="A545">
            <v>29059</v>
          </cell>
          <cell r="B545">
            <v>30</v>
          </cell>
          <cell r="C545">
            <v>29</v>
          </cell>
          <cell r="D545">
            <v>81.5</v>
          </cell>
          <cell r="E545" t="str">
            <v>Cu59</v>
          </cell>
        </row>
        <row r="546">
          <cell r="A546">
            <v>29060</v>
          </cell>
          <cell r="B546">
            <v>31</v>
          </cell>
          <cell r="C546">
            <v>29</v>
          </cell>
          <cell r="D546">
            <v>1422</v>
          </cell>
          <cell r="E546" t="str">
            <v>Cu60</v>
          </cell>
        </row>
        <row r="547">
          <cell r="A547">
            <v>29061</v>
          </cell>
          <cell r="B547">
            <v>32</v>
          </cell>
          <cell r="C547">
            <v>29</v>
          </cell>
          <cell r="D547">
            <v>12020.4</v>
          </cell>
          <cell r="E547" t="str">
            <v>Cu61</v>
          </cell>
        </row>
        <row r="548">
          <cell r="A548">
            <v>29062</v>
          </cell>
          <cell r="B548">
            <v>33</v>
          </cell>
          <cell r="C548">
            <v>29</v>
          </cell>
          <cell r="D548">
            <v>580.38</v>
          </cell>
          <cell r="E548" t="str">
            <v>Cu62</v>
          </cell>
        </row>
        <row r="549">
          <cell r="A549">
            <v>29063</v>
          </cell>
          <cell r="B549">
            <v>34</v>
          </cell>
          <cell r="C549">
            <v>29</v>
          </cell>
          <cell r="D549" t="str">
            <v>STABLE</v>
          </cell>
          <cell r="E549" t="str">
            <v>Cu63</v>
          </cell>
        </row>
        <row r="550">
          <cell r="A550">
            <v>29064</v>
          </cell>
          <cell r="B550">
            <v>35</v>
          </cell>
          <cell r="C550">
            <v>29</v>
          </cell>
          <cell r="D550">
            <v>45723.6</v>
          </cell>
          <cell r="E550" t="str">
            <v>Cu64</v>
          </cell>
        </row>
        <row r="551">
          <cell r="A551">
            <v>29065</v>
          </cell>
          <cell r="B551">
            <v>36</v>
          </cell>
          <cell r="C551">
            <v>29</v>
          </cell>
          <cell r="D551" t="str">
            <v>STABLE</v>
          </cell>
          <cell r="E551" t="str">
            <v>Cu65</v>
          </cell>
        </row>
        <row r="552">
          <cell r="A552">
            <v>29066</v>
          </cell>
          <cell r="B552">
            <v>37</v>
          </cell>
          <cell r="C552">
            <v>29</v>
          </cell>
          <cell r="D552">
            <v>307.2</v>
          </cell>
          <cell r="E552" t="str">
            <v>Cu66</v>
          </cell>
        </row>
        <row r="553">
          <cell r="A553">
            <v>29067</v>
          </cell>
          <cell r="B553">
            <v>38</v>
          </cell>
          <cell r="C553">
            <v>29</v>
          </cell>
          <cell r="D553">
            <v>222588</v>
          </cell>
          <cell r="E553" t="str">
            <v>Cu67</v>
          </cell>
        </row>
        <row r="554">
          <cell r="A554">
            <v>29068</v>
          </cell>
          <cell r="B554">
            <v>39</v>
          </cell>
          <cell r="C554">
            <v>29</v>
          </cell>
          <cell r="D554">
            <v>30.9</v>
          </cell>
          <cell r="E554" t="str">
            <v>Cu68</v>
          </cell>
        </row>
        <row r="555">
          <cell r="A555">
            <v>29069</v>
          </cell>
          <cell r="B555">
            <v>40</v>
          </cell>
          <cell r="C555">
            <v>29</v>
          </cell>
          <cell r="D555">
            <v>171</v>
          </cell>
          <cell r="E555" t="str">
            <v>Cu69</v>
          </cell>
        </row>
        <row r="556">
          <cell r="A556">
            <v>29070</v>
          </cell>
          <cell r="B556">
            <v>41</v>
          </cell>
          <cell r="C556">
            <v>29</v>
          </cell>
          <cell r="D556">
            <v>44.5</v>
          </cell>
          <cell r="E556" t="str">
            <v>Cu70</v>
          </cell>
        </row>
        <row r="557">
          <cell r="A557">
            <v>29071</v>
          </cell>
          <cell r="B557">
            <v>42</v>
          </cell>
          <cell r="C557">
            <v>29</v>
          </cell>
          <cell r="D557">
            <v>19.399999999999999</v>
          </cell>
          <cell r="E557" t="str">
            <v>Cu71</v>
          </cell>
        </row>
        <row r="558">
          <cell r="A558">
            <v>29072</v>
          </cell>
          <cell r="B558">
            <v>43</v>
          </cell>
          <cell r="C558">
            <v>29</v>
          </cell>
          <cell r="D558">
            <v>6.63</v>
          </cell>
          <cell r="E558" t="str">
            <v>Cu72</v>
          </cell>
        </row>
        <row r="559">
          <cell r="A559">
            <v>29073</v>
          </cell>
          <cell r="B559">
            <v>44</v>
          </cell>
          <cell r="C559">
            <v>29</v>
          </cell>
          <cell r="D559">
            <v>4.2</v>
          </cell>
          <cell r="E559" t="str">
            <v>Cu73</v>
          </cell>
        </row>
        <row r="560">
          <cell r="A560">
            <v>29074</v>
          </cell>
          <cell r="B560">
            <v>45</v>
          </cell>
          <cell r="C560">
            <v>29</v>
          </cell>
          <cell r="D560">
            <v>1.5940000000000001</v>
          </cell>
          <cell r="E560" t="str">
            <v>Cu74</v>
          </cell>
        </row>
        <row r="561">
          <cell r="A561">
            <v>29075</v>
          </cell>
          <cell r="B561">
            <v>46</v>
          </cell>
          <cell r="C561">
            <v>29</v>
          </cell>
          <cell r="D561">
            <v>1.224</v>
          </cell>
          <cell r="E561" t="str">
            <v>Cu75</v>
          </cell>
        </row>
        <row r="562">
          <cell r="A562">
            <v>29076</v>
          </cell>
          <cell r="B562">
            <v>47</v>
          </cell>
          <cell r="C562">
            <v>29</v>
          </cell>
          <cell r="D562">
            <v>0.63800000000000001</v>
          </cell>
          <cell r="E562" t="str">
            <v>Cu76</v>
          </cell>
        </row>
        <row r="563">
          <cell r="A563">
            <v>29077</v>
          </cell>
          <cell r="B563">
            <v>48</v>
          </cell>
          <cell r="C563">
            <v>29</v>
          </cell>
          <cell r="D563">
            <v>0.46810000000000002</v>
          </cell>
          <cell r="E563" t="str">
            <v>Cu77</v>
          </cell>
        </row>
        <row r="564">
          <cell r="A564">
            <v>29078</v>
          </cell>
          <cell r="B564">
            <v>49</v>
          </cell>
          <cell r="C564">
            <v>29</v>
          </cell>
          <cell r="D564">
            <v>0.33500000000000002</v>
          </cell>
          <cell r="E564" t="str">
            <v>Cu78</v>
          </cell>
        </row>
        <row r="565">
          <cell r="A565">
            <v>29079</v>
          </cell>
          <cell r="B565">
            <v>50</v>
          </cell>
          <cell r="C565">
            <v>29</v>
          </cell>
          <cell r="D565">
            <v>0.24099999999999999</v>
          </cell>
          <cell r="E565" t="str">
            <v>Cu79</v>
          </cell>
        </row>
        <row r="566">
          <cell r="A566">
            <v>29080</v>
          </cell>
          <cell r="B566">
            <v>51</v>
          </cell>
          <cell r="C566">
            <v>29</v>
          </cell>
          <cell r="D566">
            <v>0.17</v>
          </cell>
          <cell r="E566" t="str">
            <v>Cu80</v>
          </cell>
        </row>
        <row r="567">
          <cell r="A567">
            <v>29081</v>
          </cell>
          <cell r="B567">
            <v>52</v>
          </cell>
          <cell r="C567">
            <v>29</v>
          </cell>
          <cell r="D567">
            <v>6.3200000000000005E-7</v>
          </cell>
          <cell r="E567" t="str">
            <v>Cu81</v>
          </cell>
        </row>
        <row r="568">
          <cell r="A568">
            <v>29082</v>
          </cell>
          <cell r="B568">
            <v>53</v>
          </cell>
          <cell r="C568">
            <v>29</v>
          </cell>
          <cell r="D568">
            <v>6.3600000000000003E-7</v>
          </cell>
          <cell r="E568" t="str">
            <v>Cu82</v>
          </cell>
        </row>
        <row r="569">
          <cell r="A569">
            <v>30054</v>
          </cell>
          <cell r="B569">
            <v>24</v>
          </cell>
          <cell r="C569">
            <v>30</v>
          </cell>
          <cell r="D569">
            <v>1.5900000000000001E-3</v>
          </cell>
          <cell r="E569" t="str">
            <v>Zn54</v>
          </cell>
        </row>
        <row r="570">
          <cell r="A570">
            <v>30055</v>
          </cell>
          <cell r="B570">
            <v>25</v>
          </cell>
          <cell r="C570">
            <v>30</v>
          </cell>
          <cell r="D570">
            <v>1.9800000000000002E-2</v>
          </cell>
          <cell r="E570" t="str">
            <v>Zn55</v>
          </cell>
        </row>
        <row r="571">
          <cell r="A571">
            <v>30056</v>
          </cell>
          <cell r="B571">
            <v>26</v>
          </cell>
          <cell r="C571">
            <v>30</v>
          </cell>
          <cell r="D571">
            <v>0.03</v>
          </cell>
          <cell r="E571" t="str">
            <v>Zn56</v>
          </cell>
        </row>
        <row r="572">
          <cell r="A572">
            <v>30057</v>
          </cell>
          <cell r="B572">
            <v>27</v>
          </cell>
          <cell r="C572">
            <v>30</v>
          </cell>
          <cell r="D572">
            <v>3.7999999999999999E-2</v>
          </cell>
          <cell r="E572" t="str">
            <v>Zn57</v>
          </cell>
        </row>
        <row r="573">
          <cell r="A573">
            <v>30058</v>
          </cell>
          <cell r="B573">
            <v>28</v>
          </cell>
          <cell r="C573">
            <v>30</v>
          </cell>
          <cell r="D573">
            <v>8.5999999999999993E-2</v>
          </cell>
          <cell r="E573" t="str">
            <v>Zn58</v>
          </cell>
        </row>
        <row r="574">
          <cell r="A574">
            <v>30059</v>
          </cell>
          <cell r="B574">
            <v>29</v>
          </cell>
          <cell r="C574">
            <v>30</v>
          </cell>
          <cell r="D574">
            <v>0.182</v>
          </cell>
          <cell r="E574" t="str">
            <v>Zn59</v>
          </cell>
        </row>
        <row r="575">
          <cell r="A575">
            <v>30060</v>
          </cell>
          <cell r="B575">
            <v>30</v>
          </cell>
          <cell r="C575">
            <v>30</v>
          </cell>
          <cell r="D575">
            <v>142.79999999999899</v>
          </cell>
          <cell r="E575" t="str">
            <v>Zn60</v>
          </cell>
        </row>
        <row r="576">
          <cell r="A576">
            <v>30061</v>
          </cell>
          <cell r="B576">
            <v>31</v>
          </cell>
          <cell r="C576">
            <v>30</v>
          </cell>
          <cell r="D576">
            <v>89.1</v>
          </cell>
          <cell r="E576" t="str">
            <v>Zn61</v>
          </cell>
        </row>
        <row r="577">
          <cell r="A577">
            <v>30062</v>
          </cell>
          <cell r="B577">
            <v>32</v>
          </cell>
          <cell r="C577">
            <v>30</v>
          </cell>
          <cell r="D577">
            <v>33069.599999999999</v>
          </cell>
          <cell r="E577" t="str">
            <v>Zn62</v>
          </cell>
        </row>
        <row r="578">
          <cell r="A578">
            <v>30063</v>
          </cell>
          <cell r="B578">
            <v>33</v>
          </cell>
          <cell r="C578">
            <v>30</v>
          </cell>
          <cell r="D578">
            <v>2308.1999999999998</v>
          </cell>
          <cell r="E578" t="str">
            <v>Zn63</v>
          </cell>
        </row>
        <row r="579">
          <cell r="A579">
            <v>30064</v>
          </cell>
          <cell r="B579">
            <v>34</v>
          </cell>
          <cell r="C579">
            <v>30</v>
          </cell>
          <cell r="D579">
            <v>2.209032E+28</v>
          </cell>
          <cell r="E579" t="str">
            <v>Zn64</v>
          </cell>
        </row>
        <row r="580">
          <cell r="A580">
            <v>30065</v>
          </cell>
          <cell r="B580">
            <v>35</v>
          </cell>
          <cell r="C580">
            <v>30</v>
          </cell>
          <cell r="D580">
            <v>21075552</v>
          </cell>
          <cell r="E580" t="str">
            <v>Zn65</v>
          </cell>
        </row>
        <row r="581">
          <cell r="A581">
            <v>30066</v>
          </cell>
          <cell r="B581">
            <v>36</v>
          </cell>
          <cell r="C581">
            <v>30</v>
          </cell>
          <cell r="D581" t="str">
            <v>STABLE</v>
          </cell>
          <cell r="E581" t="str">
            <v>Zn66</v>
          </cell>
        </row>
        <row r="582">
          <cell r="A582">
            <v>30067</v>
          </cell>
          <cell r="B582">
            <v>37</v>
          </cell>
          <cell r="C582">
            <v>30</v>
          </cell>
          <cell r="D582" t="str">
            <v>STABLE</v>
          </cell>
          <cell r="E582" t="str">
            <v>Zn67</v>
          </cell>
        </row>
        <row r="583">
          <cell r="A583">
            <v>30068</v>
          </cell>
          <cell r="B583">
            <v>38</v>
          </cell>
          <cell r="C583">
            <v>30</v>
          </cell>
          <cell r="D583" t="str">
            <v>STABLE</v>
          </cell>
          <cell r="E583" t="str">
            <v>Zn68</v>
          </cell>
        </row>
        <row r="584">
          <cell r="A584">
            <v>30069</v>
          </cell>
          <cell r="B584">
            <v>39</v>
          </cell>
          <cell r="C584">
            <v>30</v>
          </cell>
          <cell r="D584">
            <v>3384</v>
          </cell>
          <cell r="E584" t="str">
            <v>Zn69</v>
          </cell>
        </row>
        <row r="585">
          <cell r="A585">
            <v>30070</v>
          </cell>
          <cell r="B585">
            <v>40</v>
          </cell>
          <cell r="C585">
            <v>30</v>
          </cell>
          <cell r="D585">
            <v>7.2582480000000003E+24</v>
          </cell>
          <cell r="E585" t="str">
            <v>Zn70</v>
          </cell>
        </row>
        <row r="586">
          <cell r="A586">
            <v>30071</v>
          </cell>
          <cell r="B586">
            <v>41</v>
          </cell>
          <cell r="C586">
            <v>30</v>
          </cell>
          <cell r="D586">
            <v>147</v>
          </cell>
          <cell r="E586" t="str">
            <v>Zn71</v>
          </cell>
        </row>
        <row r="587">
          <cell r="A587">
            <v>30072</v>
          </cell>
          <cell r="B587">
            <v>42</v>
          </cell>
          <cell r="C587">
            <v>30</v>
          </cell>
          <cell r="D587">
            <v>167400</v>
          </cell>
          <cell r="E587" t="str">
            <v>Zn72</v>
          </cell>
        </row>
        <row r="588">
          <cell r="A588">
            <v>30073</v>
          </cell>
          <cell r="B588">
            <v>43</v>
          </cell>
          <cell r="C588">
            <v>30</v>
          </cell>
          <cell r="D588">
            <v>23.5</v>
          </cell>
          <cell r="E588" t="str">
            <v>Zn73</v>
          </cell>
        </row>
        <row r="589">
          <cell r="A589">
            <v>30074</v>
          </cell>
          <cell r="B589">
            <v>44</v>
          </cell>
          <cell r="C589">
            <v>30</v>
          </cell>
          <cell r="D589">
            <v>95.6</v>
          </cell>
          <cell r="E589" t="str">
            <v>Zn74</v>
          </cell>
        </row>
        <row r="590">
          <cell r="A590">
            <v>30075</v>
          </cell>
          <cell r="B590">
            <v>45</v>
          </cell>
          <cell r="C590">
            <v>30</v>
          </cell>
          <cell r="D590">
            <v>10.199999999999999</v>
          </cell>
          <cell r="E590" t="str">
            <v>Zn75</v>
          </cell>
        </row>
        <row r="591">
          <cell r="A591">
            <v>30076</v>
          </cell>
          <cell r="B591">
            <v>46</v>
          </cell>
          <cell r="C591">
            <v>30</v>
          </cell>
          <cell r="D591">
            <v>5.7</v>
          </cell>
          <cell r="E591" t="str">
            <v>Zn76</v>
          </cell>
        </row>
        <row r="592">
          <cell r="A592">
            <v>30077</v>
          </cell>
          <cell r="B592">
            <v>47</v>
          </cell>
          <cell r="C592">
            <v>30</v>
          </cell>
          <cell r="D592">
            <v>2.08</v>
          </cell>
          <cell r="E592" t="str">
            <v>Zn77</v>
          </cell>
        </row>
        <row r="593">
          <cell r="A593">
            <v>30078</v>
          </cell>
          <cell r="B593">
            <v>48</v>
          </cell>
          <cell r="C593">
            <v>30</v>
          </cell>
          <cell r="D593">
            <v>1.47</v>
          </cell>
          <cell r="E593" t="str">
            <v>Zn78</v>
          </cell>
        </row>
        <row r="594">
          <cell r="A594">
            <v>30079</v>
          </cell>
          <cell r="B594">
            <v>49</v>
          </cell>
          <cell r="C594">
            <v>30</v>
          </cell>
          <cell r="D594">
            <v>0.746</v>
          </cell>
          <cell r="E594" t="str">
            <v>Zn79</v>
          </cell>
        </row>
        <row r="595">
          <cell r="A595">
            <v>30080</v>
          </cell>
          <cell r="B595">
            <v>50</v>
          </cell>
          <cell r="C595">
            <v>30</v>
          </cell>
          <cell r="D595">
            <v>0.56189999999999996</v>
          </cell>
          <cell r="E595" t="str">
            <v>Zn80</v>
          </cell>
        </row>
        <row r="596">
          <cell r="A596">
            <v>30081</v>
          </cell>
          <cell r="B596">
            <v>51</v>
          </cell>
          <cell r="C596">
            <v>30</v>
          </cell>
          <cell r="D596">
            <v>0.30349999999999999</v>
          </cell>
          <cell r="E596" t="str">
            <v>Zn81</v>
          </cell>
        </row>
        <row r="597">
          <cell r="A597">
            <v>30082</v>
          </cell>
          <cell r="B597">
            <v>52</v>
          </cell>
          <cell r="C597">
            <v>30</v>
          </cell>
          <cell r="D597">
            <v>0.22800000000000001</v>
          </cell>
          <cell r="E597" t="str">
            <v>Zn82</v>
          </cell>
        </row>
        <row r="598">
          <cell r="A598">
            <v>30083</v>
          </cell>
          <cell r="B598">
            <v>53</v>
          </cell>
          <cell r="C598">
            <v>30</v>
          </cell>
          <cell r="D598">
            <v>0.11700000000000001</v>
          </cell>
          <cell r="E598" t="str">
            <v>Zn83</v>
          </cell>
        </row>
        <row r="599">
          <cell r="A599">
            <v>30084</v>
          </cell>
          <cell r="B599">
            <v>54</v>
          </cell>
          <cell r="C599">
            <v>30</v>
          </cell>
          <cell r="D599">
            <v>6.3300000000000002E-7</v>
          </cell>
          <cell r="E599" t="str">
            <v>Zn84</v>
          </cell>
        </row>
        <row r="600">
          <cell r="A600">
            <v>30085</v>
          </cell>
          <cell r="B600">
            <v>55</v>
          </cell>
          <cell r="C600">
            <v>30</v>
          </cell>
          <cell r="D600">
            <v>6.37E-7</v>
          </cell>
          <cell r="E600" t="str">
            <v>Zn85</v>
          </cell>
        </row>
        <row r="601">
          <cell r="A601">
            <v>31060</v>
          </cell>
          <cell r="B601">
            <v>29</v>
          </cell>
          <cell r="C601">
            <v>31</v>
          </cell>
          <cell r="D601">
            <v>7.0000000000000007E-2</v>
          </cell>
          <cell r="E601" t="str">
            <v>Ga60</v>
          </cell>
        </row>
        <row r="602">
          <cell r="A602">
            <v>31061</v>
          </cell>
          <cell r="B602">
            <v>30</v>
          </cell>
          <cell r="C602">
            <v>31</v>
          </cell>
          <cell r="D602">
            <v>0.16700000000000001</v>
          </cell>
          <cell r="E602" t="str">
            <v>Ga61</v>
          </cell>
        </row>
        <row r="603">
          <cell r="A603">
            <v>31062</v>
          </cell>
          <cell r="B603">
            <v>31</v>
          </cell>
          <cell r="C603">
            <v>31</v>
          </cell>
          <cell r="D603">
            <v>0.116121</v>
          </cell>
          <cell r="E603" t="str">
            <v>Ga62</v>
          </cell>
        </row>
        <row r="604">
          <cell r="A604">
            <v>31063</v>
          </cell>
          <cell r="B604">
            <v>32</v>
          </cell>
          <cell r="C604">
            <v>31</v>
          </cell>
          <cell r="D604">
            <v>32.4</v>
          </cell>
          <cell r="E604" t="str">
            <v>Ga63</v>
          </cell>
        </row>
        <row r="605">
          <cell r="A605">
            <v>31064</v>
          </cell>
          <cell r="B605">
            <v>33</v>
          </cell>
          <cell r="C605">
            <v>31</v>
          </cell>
          <cell r="D605">
            <v>157.61999999999901</v>
          </cell>
          <cell r="E605" t="str">
            <v>Ga64</v>
          </cell>
        </row>
        <row r="606">
          <cell r="A606">
            <v>31065</v>
          </cell>
          <cell r="B606">
            <v>34</v>
          </cell>
          <cell r="C606">
            <v>31</v>
          </cell>
          <cell r="D606">
            <v>912</v>
          </cell>
          <cell r="E606" t="str">
            <v>Ga65</v>
          </cell>
        </row>
        <row r="607">
          <cell r="A607">
            <v>31066</v>
          </cell>
          <cell r="B607">
            <v>35</v>
          </cell>
          <cell r="C607">
            <v>31</v>
          </cell>
          <cell r="D607">
            <v>34164</v>
          </cell>
          <cell r="E607" t="str">
            <v>Ga66</v>
          </cell>
        </row>
        <row r="608">
          <cell r="A608">
            <v>31067</v>
          </cell>
          <cell r="B608">
            <v>36</v>
          </cell>
          <cell r="C608">
            <v>31</v>
          </cell>
          <cell r="D608">
            <v>281810.88</v>
          </cell>
          <cell r="E608" t="str">
            <v>Ga67</v>
          </cell>
        </row>
        <row r="609">
          <cell r="A609">
            <v>31068</v>
          </cell>
          <cell r="B609">
            <v>37</v>
          </cell>
          <cell r="C609">
            <v>31</v>
          </cell>
          <cell r="D609">
            <v>4062.5999999999899</v>
          </cell>
          <cell r="E609" t="str">
            <v>Ga68</v>
          </cell>
        </row>
        <row r="610">
          <cell r="A610">
            <v>31069</v>
          </cell>
          <cell r="B610">
            <v>38</v>
          </cell>
          <cell r="C610">
            <v>31</v>
          </cell>
          <cell r="D610" t="str">
            <v>STABLE</v>
          </cell>
          <cell r="E610" t="str">
            <v>Ga69</v>
          </cell>
        </row>
        <row r="611">
          <cell r="A611">
            <v>31070</v>
          </cell>
          <cell r="B611">
            <v>39</v>
          </cell>
          <cell r="C611">
            <v>31</v>
          </cell>
          <cell r="D611">
            <v>1268.4000000000001</v>
          </cell>
          <cell r="E611" t="str">
            <v>Ga70</v>
          </cell>
        </row>
        <row r="612">
          <cell r="A612">
            <v>31071</v>
          </cell>
          <cell r="B612">
            <v>40</v>
          </cell>
          <cell r="C612">
            <v>31</v>
          </cell>
          <cell r="D612" t="str">
            <v>STABLE</v>
          </cell>
          <cell r="E612" t="str">
            <v>Ga71</v>
          </cell>
        </row>
        <row r="613">
          <cell r="A613">
            <v>31072</v>
          </cell>
          <cell r="B613">
            <v>41</v>
          </cell>
          <cell r="C613">
            <v>31</v>
          </cell>
          <cell r="D613">
            <v>50760</v>
          </cell>
          <cell r="E613" t="str">
            <v>Ga72</v>
          </cell>
        </row>
        <row r="614">
          <cell r="A614">
            <v>31073</v>
          </cell>
          <cell r="B614">
            <v>42</v>
          </cell>
          <cell r="C614">
            <v>31</v>
          </cell>
          <cell r="D614">
            <v>17496</v>
          </cell>
          <cell r="E614" t="str">
            <v>Ga73</v>
          </cell>
        </row>
        <row r="615">
          <cell r="A615">
            <v>31074</v>
          </cell>
          <cell r="B615">
            <v>43</v>
          </cell>
          <cell r="C615">
            <v>31</v>
          </cell>
          <cell r="D615">
            <v>487.19999999999902</v>
          </cell>
          <cell r="E615" t="str">
            <v>Ga74</v>
          </cell>
        </row>
        <row r="616">
          <cell r="A616">
            <v>31075</v>
          </cell>
          <cell r="B616">
            <v>44</v>
          </cell>
          <cell r="C616">
            <v>31</v>
          </cell>
          <cell r="D616">
            <v>126</v>
          </cell>
          <cell r="E616" t="str">
            <v>Ga75</v>
          </cell>
        </row>
        <row r="617">
          <cell r="A617">
            <v>31076</v>
          </cell>
          <cell r="B617">
            <v>45</v>
          </cell>
          <cell r="C617">
            <v>31</v>
          </cell>
          <cell r="D617">
            <v>32.6</v>
          </cell>
          <cell r="E617" t="str">
            <v>Ga76</v>
          </cell>
        </row>
        <row r="618">
          <cell r="A618">
            <v>31077</v>
          </cell>
          <cell r="B618">
            <v>46</v>
          </cell>
          <cell r="C618">
            <v>31</v>
          </cell>
          <cell r="D618">
            <v>13.2</v>
          </cell>
          <cell r="E618" t="str">
            <v>Ga77</v>
          </cell>
        </row>
        <row r="619">
          <cell r="A619">
            <v>31078</v>
          </cell>
          <cell r="B619">
            <v>47</v>
          </cell>
          <cell r="C619">
            <v>31</v>
          </cell>
          <cell r="D619">
            <v>5.09</v>
          </cell>
          <cell r="E619" t="str">
            <v>Ga78</v>
          </cell>
        </row>
        <row r="620">
          <cell r="A620">
            <v>31079</v>
          </cell>
          <cell r="B620">
            <v>48</v>
          </cell>
          <cell r="C620">
            <v>31</v>
          </cell>
          <cell r="D620">
            <v>2.847</v>
          </cell>
          <cell r="E620" t="str">
            <v>Ga79</v>
          </cell>
        </row>
        <row r="621">
          <cell r="A621">
            <v>31080</v>
          </cell>
          <cell r="B621">
            <v>49</v>
          </cell>
          <cell r="C621">
            <v>31</v>
          </cell>
          <cell r="D621">
            <v>1.9</v>
          </cell>
          <cell r="E621" t="str">
            <v>Ga80</v>
          </cell>
        </row>
        <row r="622">
          <cell r="A622">
            <v>31081</v>
          </cell>
          <cell r="B622">
            <v>50</v>
          </cell>
          <cell r="C622">
            <v>31</v>
          </cell>
          <cell r="D622">
            <v>1.2170000000000001</v>
          </cell>
          <cell r="E622" t="str">
            <v>Ga81</v>
          </cell>
        </row>
        <row r="623">
          <cell r="A623">
            <v>31082</v>
          </cell>
          <cell r="B623">
            <v>51</v>
          </cell>
          <cell r="C623">
            <v>31</v>
          </cell>
          <cell r="D623">
            <v>0.59899999999999998</v>
          </cell>
          <cell r="E623" t="str">
            <v>Ga82</v>
          </cell>
        </row>
        <row r="624">
          <cell r="A624">
            <v>31083</v>
          </cell>
          <cell r="B624">
            <v>52</v>
          </cell>
          <cell r="C624">
            <v>31</v>
          </cell>
          <cell r="D624">
            <v>0.30809999999999998</v>
          </cell>
          <cell r="E624" t="str">
            <v>Ga83</v>
          </cell>
        </row>
        <row r="625">
          <cell r="A625">
            <v>31084</v>
          </cell>
          <cell r="B625">
            <v>53</v>
          </cell>
          <cell r="C625">
            <v>31</v>
          </cell>
          <cell r="D625">
            <v>8.5000000000000006E-2</v>
          </cell>
          <cell r="E625" t="str">
            <v>Ga84</v>
          </cell>
        </row>
        <row r="626">
          <cell r="A626">
            <v>31085</v>
          </cell>
          <cell r="B626">
            <v>54</v>
          </cell>
          <cell r="C626">
            <v>31</v>
          </cell>
          <cell r="D626">
            <v>9.1999999999999998E-2</v>
          </cell>
          <cell r="E626" t="str">
            <v>Ga85</v>
          </cell>
        </row>
        <row r="627">
          <cell r="A627">
            <v>31086</v>
          </cell>
          <cell r="B627">
            <v>55</v>
          </cell>
          <cell r="C627">
            <v>31</v>
          </cell>
          <cell r="D627">
            <v>4.2999999999999997E-2</v>
          </cell>
          <cell r="E627" t="str">
            <v>Ga86</v>
          </cell>
        </row>
        <row r="628">
          <cell r="A628">
            <v>31087</v>
          </cell>
          <cell r="B628">
            <v>56</v>
          </cell>
          <cell r="C628">
            <v>31</v>
          </cell>
          <cell r="D628">
            <v>6.3399999999999999E-7</v>
          </cell>
          <cell r="E628" t="str">
            <v>Ga87</v>
          </cell>
        </row>
        <row r="629">
          <cell r="A629">
            <v>32059</v>
          </cell>
          <cell r="B629">
            <v>27</v>
          </cell>
          <cell r="C629">
            <v>32</v>
          </cell>
          <cell r="D629">
            <v>3.5999999999999999E-7</v>
          </cell>
          <cell r="E629" t="str">
            <v>Ge59</v>
          </cell>
        </row>
        <row r="630">
          <cell r="A630">
            <v>32060</v>
          </cell>
          <cell r="B630">
            <v>28</v>
          </cell>
          <cell r="C630">
            <v>32</v>
          </cell>
          <cell r="D630">
            <v>1.1000000000000001E-7</v>
          </cell>
          <cell r="E630" t="str">
            <v>Ge60</v>
          </cell>
        </row>
        <row r="631">
          <cell r="A631">
            <v>32061</v>
          </cell>
          <cell r="B631">
            <v>29</v>
          </cell>
          <cell r="C631">
            <v>32</v>
          </cell>
          <cell r="D631">
            <v>4.3999999999999997E-2</v>
          </cell>
          <cell r="E631" t="str">
            <v>Ge61</v>
          </cell>
        </row>
        <row r="632">
          <cell r="A632">
            <v>32062</v>
          </cell>
          <cell r="B632">
            <v>30</v>
          </cell>
          <cell r="C632">
            <v>32</v>
          </cell>
          <cell r="D632">
            <v>0.129</v>
          </cell>
          <cell r="E632" t="str">
            <v>Ge62</v>
          </cell>
        </row>
        <row r="633">
          <cell r="A633">
            <v>32063</v>
          </cell>
          <cell r="B633">
            <v>31</v>
          </cell>
          <cell r="C633">
            <v>32</v>
          </cell>
          <cell r="D633">
            <v>0.15</v>
          </cell>
          <cell r="E633" t="str">
            <v>Ge63</v>
          </cell>
        </row>
        <row r="634">
          <cell r="A634">
            <v>32064</v>
          </cell>
          <cell r="B634">
            <v>32</v>
          </cell>
          <cell r="C634">
            <v>32</v>
          </cell>
          <cell r="D634">
            <v>63.7</v>
          </cell>
          <cell r="E634" t="str">
            <v>Ge64</v>
          </cell>
        </row>
        <row r="635">
          <cell r="A635">
            <v>32065</v>
          </cell>
          <cell r="B635">
            <v>33</v>
          </cell>
          <cell r="C635">
            <v>32</v>
          </cell>
          <cell r="D635">
            <v>30.9</v>
          </cell>
          <cell r="E635" t="str">
            <v>Ge65</v>
          </cell>
        </row>
        <row r="636">
          <cell r="A636">
            <v>32066</v>
          </cell>
          <cell r="B636">
            <v>34</v>
          </cell>
          <cell r="C636">
            <v>32</v>
          </cell>
          <cell r="D636">
            <v>8135.99999999999</v>
          </cell>
          <cell r="E636" t="str">
            <v>Ge66</v>
          </cell>
        </row>
        <row r="637">
          <cell r="A637">
            <v>32067</v>
          </cell>
          <cell r="B637">
            <v>35</v>
          </cell>
          <cell r="C637">
            <v>32</v>
          </cell>
          <cell r="D637">
            <v>1134</v>
          </cell>
          <cell r="E637" t="str">
            <v>Ge67</v>
          </cell>
        </row>
        <row r="638">
          <cell r="A638">
            <v>32068</v>
          </cell>
          <cell r="B638">
            <v>36</v>
          </cell>
          <cell r="C638">
            <v>32</v>
          </cell>
          <cell r="D638">
            <v>23408352</v>
          </cell>
          <cell r="E638" t="str">
            <v>Ge68</v>
          </cell>
        </row>
        <row r="639">
          <cell r="A639">
            <v>32069</v>
          </cell>
          <cell r="B639">
            <v>37</v>
          </cell>
          <cell r="C639">
            <v>32</v>
          </cell>
          <cell r="D639">
            <v>140580</v>
          </cell>
          <cell r="E639" t="str">
            <v>Ge69</v>
          </cell>
        </row>
        <row r="640">
          <cell r="A640">
            <v>32070</v>
          </cell>
          <cell r="B640">
            <v>38</v>
          </cell>
          <cell r="C640">
            <v>32</v>
          </cell>
          <cell r="D640" t="str">
            <v>STABLE</v>
          </cell>
          <cell r="E640" t="str">
            <v>Ge70</v>
          </cell>
        </row>
        <row r="641">
          <cell r="A641">
            <v>32071</v>
          </cell>
          <cell r="B641">
            <v>39</v>
          </cell>
          <cell r="C641">
            <v>32</v>
          </cell>
          <cell r="D641">
            <v>987552</v>
          </cell>
          <cell r="E641" t="str">
            <v>Ge71</v>
          </cell>
        </row>
        <row r="642">
          <cell r="A642">
            <v>32072</v>
          </cell>
          <cell r="B642">
            <v>40</v>
          </cell>
          <cell r="C642">
            <v>32</v>
          </cell>
          <cell r="D642" t="str">
            <v>STABLE</v>
          </cell>
          <cell r="E642" t="str">
            <v>Ge72</v>
          </cell>
        </row>
        <row r="643">
          <cell r="A643">
            <v>32073</v>
          </cell>
          <cell r="B643">
            <v>41</v>
          </cell>
          <cell r="C643">
            <v>32</v>
          </cell>
          <cell r="D643" t="str">
            <v>STABLE</v>
          </cell>
          <cell r="E643" t="str">
            <v>Ge73</v>
          </cell>
        </row>
        <row r="644">
          <cell r="A644">
            <v>32074</v>
          </cell>
          <cell r="B644">
            <v>42</v>
          </cell>
          <cell r="C644">
            <v>32</v>
          </cell>
          <cell r="D644" t="str">
            <v>STABLE</v>
          </cell>
          <cell r="E644" t="str">
            <v>Ge74</v>
          </cell>
        </row>
        <row r="645">
          <cell r="A645">
            <v>32075</v>
          </cell>
          <cell r="B645">
            <v>43</v>
          </cell>
          <cell r="C645">
            <v>32</v>
          </cell>
          <cell r="D645">
            <v>4966.8</v>
          </cell>
          <cell r="E645" t="str">
            <v>Ge75</v>
          </cell>
        </row>
        <row r="646">
          <cell r="A646">
            <v>32076</v>
          </cell>
          <cell r="B646">
            <v>44</v>
          </cell>
          <cell r="C646">
            <v>32</v>
          </cell>
          <cell r="D646" t="str">
            <v>STABLE</v>
          </cell>
          <cell r="E646" t="str">
            <v>Ge76</v>
          </cell>
        </row>
        <row r="647">
          <cell r="A647">
            <v>32077</v>
          </cell>
          <cell r="B647">
            <v>45</v>
          </cell>
          <cell r="C647">
            <v>32</v>
          </cell>
          <cell r="D647">
            <v>40680</v>
          </cell>
          <cell r="E647" t="str">
            <v>Ge77</v>
          </cell>
        </row>
        <row r="648">
          <cell r="A648">
            <v>32078</v>
          </cell>
          <cell r="B648">
            <v>46</v>
          </cell>
          <cell r="C648">
            <v>32</v>
          </cell>
          <cell r="D648">
            <v>5280</v>
          </cell>
          <cell r="E648" t="str">
            <v>Ge78</v>
          </cell>
        </row>
        <row r="649">
          <cell r="A649">
            <v>32079</v>
          </cell>
          <cell r="B649">
            <v>47</v>
          </cell>
          <cell r="C649">
            <v>32</v>
          </cell>
          <cell r="D649">
            <v>18.98</v>
          </cell>
          <cell r="E649" t="str">
            <v>Ge79</v>
          </cell>
        </row>
        <row r="650">
          <cell r="A650">
            <v>32080</v>
          </cell>
          <cell r="B650">
            <v>48</v>
          </cell>
          <cell r="C650">
            <v>32</v>
          </cell>
          <cell r="D650">
            <v>29.5</v>
          </cell>
          <cell r="E650" t="str">
            <v>Ge80</v>
          </cell>
        </row>
        <row r="651">
          <cell r="A651">
            <v>32081</v>
          </cell>
          <cell r="B651">
            <v>49</v>
          </cell>
          <cell r="C651">
            <v>32</v>
          </cell>
          <cell r="D651">
            <v>7.6</v>
          </cell>
          <cell r="E651" t="str">
            <v>Ge81</v>
          </cell>
        </row>
        <row r="652">
          <cell r="A652">
            <v>32082</v>
          </cell>
          <cell r="B652">
            <v>50</v>
          </cell>
          <cell r="C652">
            <v>32</v>
          </cell>
          <cell r="D652">
            <v>4.5599999999999996</v>
          </cell>
          <cell r="E652" t="str">
            <v>Ge82</v>
          </cell>
        </row>
        <row r="653">
          <cell r="A653">
            <v>32083</v>
          </cell>
          <cell r="B653">
            <v>51</v>
          </cell>
          <cell r="C653">
            <v>32</v>
          </cell>
          <cell r="D653">
            <v>1.85</v>
          </cell>
          <cell r="E653" t="str">
            <v>Ge83</v>
          </cell>
        </row>
        <row r="654">
          <cell r="A654">
            <v>32084</v>
          </cell>
          <cell r="B654">
            <v>52</v>
          </cell>
          <cell r="C654">
            <v>32</v>
          </cell>
          <cell r="D654">
            <v>0.95399999999999996</v>
          </cell>
          <cell r="E654" t="str">
            <v>Ge84</v>
          </cell>
        </row>
        <row r="655">
          <cell r="A655">
            <v>32085</v>
          </cell>
          <cell r="B655">
            <v>53</v>
          </cell>
          <cell r="C655">
            <v>32</v>
          </cell>
          <cell r="D655">
            <v>0.503</v>
          </cell>
          <cell r="E655" t="str">
            <v>Ge85</v>
          </cell>
        </row>
        <row r="656">
          <cell r="A656">
            <v>32086</v>
          </cell>
          <cell r="B656">
            <v>54</v>
          </cell>
          <cell r="C656">
            <v>32</v>
          </cell>
          <cell r="D656">
            <v>0.22600000000000001</v>
          </cell>
          <cell r="E656" t="str">
            <v>Ge86</v>
          </cell>
        </row>
        <row r="657">
          <cell r="A657">
            <v>32087</v>
          </cell>
          <cell r="B657">
            <v>55</v>
          </cell>
          <cell r="C657">
            <v>32</v>
          </cell>
          <cell r="D657">
            <v>0.14000000000000001</v>
          </cell>
          <cell r="E657" t="str">
            <v>Ge87</v>
          </cell>
        </row>
        <row r="658">
          <cell r="A658">
            <v>32088</v>
          </cell>
          <cell r="B658">
            <v>56</v>
          </cell>
          <cell r="C658">
            <v>32</v>
          </cell>
          <cell r="D658">
            <v>2.9999999999999999E-7</v>
          </cell>
          <cell r="E658" t="str">
            <v>Ge88</v>
          </cell>
        </row>
        <row r="659">
          <cell r="A659">
            <v>32089</v>
          </cell>
          <cell r="B659">
            <v>57</v>
          </cell>
          <cell r="C659">
            <v>32</v>
          </cell>
          <cell r="D659">
            <v>2.9999999999999999E-7</v>
          </cell>
          <cell r="E659" t="str">
            <v>Ge89</v>
          </cell>
        </row>
        <row r="660">
          <cell r="A660">
            <v>32090</v>
          </cell>
          <cell r="B660">
            <v>58</v>
          </cell>
          <cell r="C660">
            <v>32</v>
          </cell>
          <cell r="D660">
            <v>6.3499999999999996E-7</v>
          </cell>
          <cell r="E660" t="str">
            <v>Ge90</v>
          </cell>
        </row>
        <row r="661">
          <cell r="A661">
            <v>33064</v>
          </cell>
          <cell r="B661">
            <v>31</v>
          </cell>
          <cell r="C661">
            <v>33</v>
          </cell>
          <cell r="D661">
            <v>1.7999999999999999E-2</v>
          </cell>
          <cell r="E661" t="str">
            <v>As64</v>
          </cell>
        </row>
        <row r="662">
          <cell r="A662">
            <v>33065</v>
          </cell>
          <cell r="B662">
            <v>32</v>
          </cell>
          <cell r="C662">
            <v>33</v>
          </cell>
          <cell r="D662">
            <v>0.128</v>
          </cell>
          <cell r="E662" t="str">
            <v>As65</v>
          </cell>
        </row>
        <row r="663">
          <cell r="A663">
            <v>33066</v>
          </cell>
          <cell r="B663">
            <v>33</v>
          </cell>
          <cell r="C663">
            <v>33</v>
          </cell>
          <cell r="D663">
            <v>9.5769999999999994E-2</v>
          </cell>
          <cell r="E663" t="str">
            <v>As66</v>
          </cell>
        </row>
        <row r="664">
          <cell r="A664">
            <v>33067</v>
          </cell>
          <cell r="B664">
            <v>34</v>
          </cell>
          <cell r="C664">
            <v>33</v>
          </cell>
          <cell r="D664">
            <v>42.5</v>
          </cell>
          <cell r="E664" t="str">
            <v>As67</v>
          </cell>
        </row>
        <row r="665">
          <cell r="A665">
            <v>33068</v>
          </cell>
          <cell r="B665">
            <v>35</v>
          </cell>
          <cell r="C665">
            <v>33</v>
          </cell>
          <cell r="D665">
            <v>151.6</v>
          </cell>
          <cell r="E665" t="str">
            <v>As68</v>
          </cell>
        </row>
        <row r="666">
          <cell r="A666">
            <v>33069</v>
          </cell>
          <cell r="B666">
            <v>36</v>
          </cell>
          <cell r="C666">
            <v>33</v>
          </cell>
          <cell r="D666">
            <v>912</v>
          </cell>
          <cell r="E666" t="str">
            <v>As69</v>
          </cell>
        </row>
        <row r="667">
          <cell r="A667">
            <v>33070</v>
          </cell>
          <cell r="B667">
            <v>37</v>
          </cell>
          <cell r="C667">
            <v>33</v>
          </cell>
          <cell r="D667">
            <v>3156</v>
          </cell>
          <cell r="E667" t="str">
            <v>As70</v>
          </cell>
        </row>
        <row r="668">
          <cell r="A668">
            <v>33071</v>
          </cell>
          <cell r="B668">
            <v>38</v>
          </cell>
          <cell r="C668">
            <v>33</v>
          </cell>
          <cell r="D668">
            <v>235080</v>
          </cell>
          <cell r="E668" t="str">
            <v>As71</v>
          </cell>
        </row>
        <row r="669">
          <cell r="A669">
            <v>33072</v>
          </cell>
          <cell r="B669">
            <v>39</v>
          </cell>
          <cell r="C669">
            <v>33</v>
          </cell>
          <cell r="D669">
            <v>93600</v>
          </cell>
          <cell r="E669" t="str">
            <v>As72</v>
          </cell>
        </row>
        <row r="670">
          <cell r="A670">
            <v>33073</v>
          </cell>
          <cell r="B670">
            <v>40</v>
          </cell>
          <cell r="C670">
            <v>33</v>
          </cell>
          <cell r="D670">
            <v>6937920</v>
          </cell>
          <cell r="E670" t="str">
            <v>As73</v>
          </cell>
        </row>
        <row r="671">
          <cell r="A671">
            <v>33074</v>
          </cell>
          <cell r="B671">
            <v>41</v>
          </cell>
          <cell r="C671">
            <v>33</v>
          </cell>
          <cell r="D671">
            <v>1535328</v>
          </cell>
          <cell r="E671" t="str">
            <v>As74</v>
          </cell>
        </row>
        <row r="672">
          <cell r="A672">
            <v>33075</v>
          </cell>
          <cell r="B672">
            <v>42</v>
          </cell>
          <cell r="C672">
            <v>33</v>
          </cell>
          <cell r="D672" t="str">
            <v>STABLE</v>
          </cell>
          <cell r="E672" t="str">
            <v>As75</v>
          </cell>
        </row>
        <row r="673">
          <cell r="A673">
            <v>33076</v>
          </cell>
          <cell r="B673">
            <v>43</v>
          </cell>
          <cell r="C673">
            <v>33</v>
          </cell>
          <cell r="D673">
            <v>94538.880000000005</v>
          </cell>
          <cell r="E673" t="str">
            <v>As76</v>
          </cell>
        </row>
        <row r="674">
          <cell r="A674">
            <v>33077</v>
          </cell>
          <cell r="B674">
            <v>44</v>
          </cell>
          <cell r="C674">
            <v>33</v>
          </cell>
          <cell r="D674">
            <v>139788</v>
          </cell>
          <cell r="E674" t="str">
            <v>As77</v>
          </cell>
        </row>
        <row r="675">
          <cell r="A675">
            <v>33078</v>
          </cell>
          <cell r="B675">
            <v>45</v>
          </cell>
          <cell r="C675">
            <v>33</v>
          </cell>
          <cell r="D675">
            <v>5442</v>
          </cell>
          <cell r="E675" t="str">
            <v>As78</v>
          </cell>
        </row>
        <row r="676">
          <cell r="A676">
            <v>33079</v>
          </cell>
          <cell r="B676">
            <v>46</v>
          </cell>
          <cell r="C676">
            <v>33</v>
          </cell>
          <cell r="D676">
            <v>540.6</v>
          </cell>
          <cell r="E676" t="str">
            <v>As79</v>
          </cell>
        </row>
        <row r="677">
          <cell r="A677">
            <v>33080</v>
          </cell>
          <cell r="B677">
            <v>47</v>
          </cell>
          <cell r="C677">
            <v>33</v>
          </cell>
          <cell r="D677">
            <v>15.2</v>
          </cell>
          <cell r="E677" t="str">
            <v>As80</v>
          </cell>
        </row>
        <row r="678">
          <cell r="A678">
            <v>33081</v>
          </cell>
          <cell r="B678">
            <v>48</v>
          </cell>
          <cell r="C678">
            <v>33</v>
          </cell>
          <cell r="D678">
            <v>33.299999999999997</v>
          </cell>
          <cell r="E678" t="str">
            <v>As81</v>
          </cell>
        </row>
        <row r="679">
          <cell r="A679">
            <v>33082</v>
          </cell>
          <cell r="B679">
            <v>49</v>
          </cell>
          <cell r="C679">
            <v>33</v>
          </cell>
          <cell r="D679">
            <v>19.100000000000001</v>
          </cell>
          <cell r="E679" t="str">
            <v>As82</v>
          </cell>
        </row>
        <row r="680">
          <cell r="A680">
            <v>33083</v>
          </cell>
          <cell r="B680">
            <v>50</v>
          </cell>
          <cell r="C680">
            <v>33</v>
          </cell>
          <cell r="D680">
            <v>13.4</v>
          </cell>
          <cell r="E680" t="str">
            <v>As83</v>
          </cell>
        </row>
        <row r="681">
          <cell r="A681">
            <v>33084</v>
          </cell>
          <cell r="B681">
            <v>51</v>
          </cell>
          <cell r="C681">
            <v>33</v>
          </cell>
          <cell r="D681">
            <v>4.0199999999999996</v>
          </cell>
          <cell r="E681" t="str">
            <v>As84</v>
          </cell>
        </row>
        <row r="682">
          <cell r="A682">
            <v>33085</v>
          </cell>
          <cell r="B682">
            <v>52</v>
          </cell>
          <cell r="C682">
            <v>33</v>
          </cell>
          <cell r="D682">
            <v>2.0209999999999999</v>
          </cell>
          <cell r="E682" t="str">
            <v>As85</v>
          </cell>
        </row>
        <row r="683">
          <cell r="A683">
            <v>33086</v>
          </cell>
          <cell r="B683">
            <v>53</v>
          </cell>
          <cell r="C683">
            <v>33</v>
          </cell>
          <cell r="D683">
            <v>0.94499999999999995</v>
          </cell>
          <cell r="E683" t="str">
            <v>As86</v>
          </cell>
        </row>
        <row r="684">
          <cell r="A684">
            <v>33087</v>
          </cell>
          <cell r="B684">
            <v>54</v>
          </cell>
          <cell r="C684">
            <v>33</v>
          </cell>
          <cell r="D684">
            <v>0.48399999999999999</v>
          </cell>
          <cell r="E684" t="str">
            <v>As87</v>
          </cell>
        </row>
        <row r="685">
          <cell r="A685">
            <v>33088</v>
          </cell>
          <cell r="B685">
            <v>55</v>
          </cell>
          <cell r="C685">
            <v>33</v>
          </cell>
          <cell r="D685">
            <v>0.2</v>
          </cell>
          <cell r="E685" t="str">
            <v>As88</v>
          </cell>
        </row>
        <row r="686">
          <cell r="A686">
            <v>33089</v>
          </cell>
          <cell r="B686">
            <v>56</v>
          </cell>
          <cell r="C686">
            <v>33</v>
          </cell>
          <cell r="D686">
            <v>2.9999999999999999E-7</v>
          </cell>
          <cell r="E686" t="str">
            <v>As89</v>
          </cell>
        </row>
        <row r="687">
          <cell r="A687">
            <v>33090</v>
          </cell>
          <cell r="B687">
            <v>57</v>
          </cell>
          <cell r="C687">
            <v>33</v>
          </cell>
          <cell r="D687">
            <v>2.9999999999999999E-7</v>
          </cell>
          <cell r="E687" t="str">
            <v>As90</v>
          </cell>
        </row>
        <row r="688">
          <cell r="A688">
            <v>33091</v>
          </cell>
          <cell r="B688">
            <v>58</v>
          </cell>
          <cell r="C688">
            <v>33</v>
          </cell>
          <cell r="D688">
            <v>1.4999999999999999E-7</v>
          </cell>
          <cell r="E688" t="str">
            <v>As91</v>
          </cell>
        </row>
        <row r="689">
          <cell r="A689">
            <v>34064</v>
          </cell>
          <cell r="B689">
            <v>30</v>
          </cell>
          <cell r="C689">
            <v>34</v>
          </cell>
          <cell r="D689">
            <v>1.8E-7</v>
          </cell>
          <cell r="E689" t="str">
            <v>Se64</v>
          </cell>
        </row>
        <row r="690">
          <cell r="A690">
            <v>34065</v>
          </cell>
          <cell r="B690">
            <v>31</v>
          </cell>
          <cell r="C690">
            <v>34</v>
          </cell>
          <cell r="D690">
            <v>3.3000000000000002E-2</v>
          </cell>
          <cell r="E690" t="str">
            <v>Se65</v>
          </cell>
        </row>
        <row r="691">
          <cell r="A691">
            <v>34066</v>
          </cell>
          <cell r="B691">
            <v>32</v>
          </cell>
          <cell r="C691">
            <v>34</v>
          </cell>
          <cell r="D691">
            <v>4.2000000000000003E-2</v>
          </cell>
          <cell r="E691" t="str">
            <v>Se66</v>
          </cell>
        </row>
        <row r="692">
          <cell r="A692">
            <v>34067</v>
          </cell>
          <cell r="B692">
            <v>33</v>
          </cell>
          <cell r="C692">
            <v>34</v>
          </cell>
          <cell r="D692">
            <v>0.13600000000000001</v>
          </cell>
          <cell r="E692" t="str">
            <v>Se67</v>
          </cell>
        </row>
        <row r="693">
          <cell r="A693">
            <v>34068</v>
          </cell>
          <cell r="B693">
            <v>34</v>
          </cell>
          <cell r="C693">
            <v>34</v>
          </cell>
          <cell r="D693">
            <v>35.5</v>
          </cell>
          <cell r="E693" t="str">
            <v>Se68</v>
          </cell>
        </row>
        <row r="694">
          <cell r="A694">
            <v>34069</v>
          </cell>
          <cell r="B694">
            <v>35</v>
          </cell>
          <cell r="C694">
            <v>34</v>
          </cell>
          <cell r="D694">
            <v>27.4</v>
          </cell>
          <cell r="E694" t="str">
            <v>Se69</v>
          </cell>
        </row>
        <row r="695">
          <cell r="A695">
            <v>34070</v>
          </cell>
          <cell r="B695">
            <v>36</v>
          </cell>
          <cell r="C695">
            <v>34</v>
          </cell>
          <cell r="D695">
            <v>2466</v>
          </cell>
          <cell r="E695" t="str">
            <v>Se70</v>
          </cell>
        </row>
        <row r="696">
          <cell r="A696">
            <v>34071</v>
          </cell>
          <cell r="B696">
            <v>37</v>
          </cell>
          <cell r="C696">
            <v>34</v>
          </cell>
          <cell r="D696">
            <v>284.39999999999998</v>
          </cell>
          <cell r="E696" t="str">
            <v>Se71</v>
          </cell>
        </row>
        <row r="697">
          <cell r="A697">
            <v>34072</v>
          </cell>
          <cell r="B697">
            <v>38</v>
          </cell>
          <cell r="C697">
            <v>34</v>
          </cell>
          <cell r="D697">
            <v>725760</v>
          </cell>
          <cell r="E697" t="str">
            <v>Se72</v>
          </cell>
        </row>
        <row r="698">
          <cell r="A698">
            <v>34073</v>
          </cell>
          <cell r="B698">
            <v>39</v>
          </cell>
          <cell r="C698">
            <v>34</v>
          </cell>
          <cell r="D698">
            <v>25740</v>
          </cell>
          <cell r="E698" t="str">
            <v>Se73</v>
          </cell>
        </row>
        <row r="699">
          <cell r="A699">
            <v>34074</v>
          </cell>
          <cell r="B699">
            <v>40</v>
          </cell>
          <cell r="C699">
            <v>34</v>
          </cell>
          <cell r="D699" t="str">
            <v>STABLE</v>
          </cell>
          <cell r="E699" t="str">
            <v>Se74</v>
          </cell>
        </row>
        <row r="700">
          <cell r="A700">
            <v>34075</v>
          </cell>
          <cell r="B700">
            <v>41</v>
          </cell>
          <cell r="C700">
            <v>34</v>
          </cell>
          <cell r="D700">
            <v>10348992</v>
          </cell>
          <cell r="E700" t="str">
            <v>Se75</v>
          </cell>
        </row>
        <row r="701">
          <cell r="A701">
            <v>34076</v>
          </cell>
          <cell r="B701">
            <v>42</v>
          </cell>
          <cell r="C701">
            <v>34</v>
          </cell>
          <cell r="D701" t="str">
            <v>STABLE</v>
          </cell>
          <cell r="E701" t="str">
            <v>Se76</v>
          </cell>
        </row>
        <row r="702">
          <cell r="A702">
            <v>34077</v>
          </cell>
          <cell r="B702">
            <v>43</v>
          </cell>
          <cell r="C702">
            <v>34</v>
          </cell>
          <cell r="D702" t="str">
            <v>STABLE</v>
          </cell>
          <cell r="E702" t="str">
            <v>Se77</v>
          </cell>
        </row>
        <row r="703">
          <cell r="A703">
            <v>34078</v>
          </cell>
          <cell r="B703">
            <v>44</v>
          </cell>
          <cell r="C703">
            <v>34</v>
          </cell>
          <cell r="D703" t="str">
            <v>STABLE</v>
          </cell>
          <cell r="E703" t="str">
            <v>Se78</v>
          </cell>
        </row>
        <row r="704">
          <cell r="A704">
            <v>34079</v>
          </cell>
          <cell r="B704">
            <v>45</v>
          </cell>
          <cell r="C704">
            <v>34</v>
          </cell>
          <cell r="D704">
            <v>10287777600000</v>
          </cell>
          <cell r="E704" t="str">
            <v>Se79</v>
          </cell>
        </row>
        <row r="705">
          <cell r="A705">
            <v>34080</v>
          </cell>
          <cell r="B705">
            <v>46</v>
          </cell>
          <cell r="C705">
            <v>34</v>
          </cell>
          <cell r="D705" t="str">
            <v>STABLE</v>
          </cell>
          <cell r="E705" t="str">
            <v>Se80</v>
          </cell>
        </row>
        <row r="706">
          <cell r="A706">
            <v>34081</v>
          </cell>
          <cell r="B706">
            <v>47</v>
          </cell>
          <cell r="C706">
            <v>34</v>
          </cell>
          <cell r="D706">
            <v>1107</v>
          </cell>
          <cell r="E706" t="str">
            <v>Se81</v>
          </cell>
        </row>
        <row r="707">
          <cell r="A707">
            <v>34082</v>
          </cell>
          <cell r="B707">
            <v>48</v>
          </cell>
          <cell r="C707">
            <v>34</v>
          </cell>
          <cell r="D707" t="str">
            <v>STABLE</v>
          </cell>
          <cell r="E707" t="str">
            <v>Se82</v>
          </cell>
        </row>
        <row r="708">
          <cell r="A708">
            <v>34083</v>
          </cell>
          <cell r="B708">
            <v>49</v>
          </cell>
          <cell r="C708">
            <v>34</v>
          </cell>
          <cell r="D708">
            <v>1335</v>
          </cell>
          <cell r="E708" t="str">
            <v>Se83</v>
          </cell>
        </row>
        <row r="709">
          <cell r="A709">
            <v>34084</v>
          </cell>
          <cell r="B709">
            <v>50</v>
          </cell>
          <cell r="C709">
            <v>34</v>
          </cell>
          <cell r="D709">
            <v>195.6</v>
          </cell>
          <cell r="E709" t="str">
            <v>Se84</v>
          </cell>
        </row>
        <row r="710">
          <cell r="A710">
            <v>34085</v>
          </cell>
          <cell r="B710">
            <v>51</v>
          </cell>
          <cell r="C710">
            <v>34</v>
          </cell>
          <cell r="D710">
            <v>32.9</v>
          </cell>
          <cell r="E710" t="str">
            <v>Se85</v>
          </cell>
        </row>
        <row r="711">
          <cell r="A711">
            <v>34086</v>
          </cell>
          <cell r="B711">
            <v>52</v>
          </cell>
          <cell r="C711">
            <v>34</v>
          </cell>
          <cell r="D711">
            <v>14.3</v>
          </cell>
          <cell r="E711" t="str">
            <v>Se86</v>
          </cell>
        </row>
        <row r="712">
          <cell r="A712">
            <v>34087</v>
          </cell>
          <cell r="B712">
            <v>53</v>
          </cell>
          <cell r="C712">
            <v>34</v>
          </cell>
          <cell r="D712">
            <v>5.5</v>
          </cell>
          <cell r="E712" t="str">
            <v>Se87</v>
          </cell>
        </row>
        <row r="713">
          <cell r="A713">
            <v>34088</v>
          </cell>
          <cell r="B713">
            <v>54</v>
          </cell>
          <cell r="C713">
            <v>34</v>
          </cell>
          <cell r="D713">
            <v>1.53</v>
          </cell>
          <cell r="E713" t="str">
            <v>Se88</v>
          </cell>
        </row>
        <row r="714">
          <cell r="A714">
            <v>34089</v>
          </cell>
          <cell r="B714">
            <v>55</v>
          </cell>
          <cell r="C714">
            <v>34</v>
          </cell>
          <cell r="D714">
            <v>0.43</v>
          </cell>
          <cell r="E714" t="str">
            <v>Se89</v>
          </cell>
        </row>
        <row r="715">
          <cell r="A715">
            <v>34090</v>
          </cell>
          <cell r="B715">
            <v>56</v>
          </cell>
          <cell r="C715">
            <v>34</v>
          </cell>
          <cell r="D715">
            <v>0.19500000000000001</v>
          </cell>
          <cell r="E715" t="str">
            <v>Se90</v>
          </cell>
        </row>
        <row r="716">
          <cell r="A716">
            <v>34091</v>
          </cell>
          <cell r="B716">
            <v>57</v>
          </cell>
          <cell r="C716">
            <v>34</v>
          </cell>
          <cell r="D716">
            <v>0.27</v>
          </cell>
          <cell r="E716" t="str">
            <v>Se91</v>
          </cell>
        </row>
        <row r="717">
          <cell r="A717">
            <v>34094</v>
          </cell>
          <cell r="B717">
            <v>60</v>
          </cell>
          <cell r="C717">
            <v>34</v>
          </cell>
          <cell r="D717">
            <v>1.4999999999999999E-7</v>
          </cell>
          <cell r="E717" t="str">
            <v>Se94</v>
          </cell>
        </row>
        <row r="718">
          <cell r="A718">
            <v>34095</v>
          </cell>
          <cell r="B718">
            <v>61</v>
          </cell>
          <cell r="C718">
            <v>34</v>
          </cell>
          <cell r="D718">
            <v>3.9200000000000002E-7</v>
          </cell>
          <cell r="E718" t="str">
            <v>Se95</v>
          </cell>
        </row>
        <row r="719">
          <cell r="A719">
            <v>35070</v>
          </cell>
          <cell r="B719">
            <v>35</v>
          </cell>
          <cell r="C719">
            <v>35</v>
          </cell>
          <cell r="D719">
            <v>7.9099999999999906E-2</v>
          </cell>
          <cell r="E719" t="str">
            <v>Br70</v>
          </cell>
        </row>
        <row r="720">
          <cell r="A720">
            <v>35071</v>
          </cell>
          <cell r="B720">
            <v>36</v>
          </cell>
          <cell r="C720">
            <v>35</v>
          </cell>
          <cell r="D720">
            <v>21.4</v>
          </cell>
          <cell r="E720" t="str">
            <v>Br71</v>
          </cell>
        </row>
        <row r="721">
          <cell r="A721">
            <v>35072</v>
          </cell>
          <cell r="B721">
            <v>37</v>
          </cell>
          <cell r="C721">
            <v>35</v>
          </cell>
          <cell r="D721">
            <v>78.599999999999994</v>
          </cell>
          <cell r="E721" t="str">
            <v>Br72</v>
          </cell>
        </row>
        <row r="722">
          <cell r="A722">
            <v>35073</v>
          </cell>
          <cell r="B722">
            <v>38</v>
          </cell>
          <cell r="C722">
            <v>35</v>
          </cell>
          <cell r="D722">
            <v>204</v>
          </cell>
          <cell r="E722" t="str">
            <v>Br73</v>
          </cell>
        </row>
        <row r="723">
          <cell r="A723">
            <v>35074</v>
          </cell>
          <cell r="B723">
            <v>39</v>
          </cell>
          <cell r="C723">
            <v>35</v>
          </cell>
          <cell r="D723">
            <v>1524</v>
          </cell>
          <cell r="E723" t="str">
            <v>Br74</v>
          </cell>
        </row>
        <row r="724">
          <cell r="A724">
            <v>35075</v>
          </cell>
          <cell r="B724">
            <v>40</v>
          </cell>
          <cell r="C724">
            <v>35</v>
          </cell>
          <cell r="D724">
            <v>5802</v>
          </cell>
          <cell r="E724" t="str">
            <v>Br75</v>
          </cell>
        </row>
        <row r="725">
          <cell r="A725">
            <v>35076</v>
          </cell>
          <cell r="B725">
            <v>41</v>
          </cell>
          <cell r="C725">
            <v>35</v>
          </cell>
          <cell r="D725">
            <v>58320</v>
          </cell>
          <cell r="E725" t="str">
            <v>Br76</v>
          </cell>
        </row>
        <row r="726">
          <cell r="A726">
            <v>35077</v>
          </cell>
          <cell r="B726">
            <v>42</v>
          </cell>
          <cell r="C726">
            <v>35</v>
          </cell>
          <cell r="D726">
            <v>205329.6</v>
          </cell>
          <cell r="E726" t="str">
            <v>Br77</v>
          </cell>
        </row>
        <row r="727">
          <cell r="A727">
            <v>35078</v>
          </cell>
          <cell r="B727">
            <v>43</v>
          </cell>
          <cell r="C727">
            <v>35</v>
          </cell>
          <cell r="D727">
            <v>387</v>
          </cell>
          <cell r="E727" t="str">
            <v>Br78</v>
          </cell>
        </row>
        <row r="728">
          <cell r="A728">
            <v>35079</v>
          </cell>
          <cell r="B728">
            <v>44</v>
          </cell>
          <cell r="C728">
            <v>35</v>
          </cell>
          <cell r="D728" t="str">
            <v>STABLE</v>
          </cell>
          <cell r="E728" t="str">
            <v>Br79</v>
          </cell>
        </row>
        <row r="729">
          <cell r="A729">
            <v>35080</v>
          </cell>
          <cell r="B729">
            <v>45</v>
          </cell>
          <cell r="C729">
            <v>35</v>
          </cell>
          <cell r="D729">
            <v>1060.8</v>
          </cell>
          <cell r="E729" t="str">
            <v>Br80</v>
          </cell>
        </row>
        <row r="730">
          <cell r="A730">
            <v>35081</v>
          </cell>
          <cell r="B730">
            <v>46</v>
          </cell>
          <cell r="C730">
            <v>35</v>
          </cell>
          <cell r="D730" t="str">
            <v>STABLE</v>
          </cell>
          <cell r="E730" t="str">
            <v>Br81</v>
          </cell>
        </row>
        <row r="731">
          <cell r="A731">
            <v>35082</v>
          </cell>
          <cell r="B731">
            <v>47</v>
          </cell>
          <cell r="C731">
            <v>35</v>
          </cell>
          <cell r="D731">
            <v>127015.19999999899</v>
          </cell>
          <cell r="E731" t="str">
            <v>Br82</v>
          </cell>
        </row>
        <row r="732">
          <cell r="A732">
            <v>35083</v>
          </cell>
          <cell r="B732">
            <v>48</v>
          </cell>
          <cell r="C732">
            <v>35</v>
          </cell>
          <cell r="D732">
            <v>8546.4</v>
          </cell>
          <cell r="E732" t="str">
            <v>Br83</v>
          </cell>
        </row>
        <row r="733">
          <cell r="A733">
            <v>35084</v>
          </cell>
          <cell r="B733">
            <v>49</v>
          </cell>
          <cell r="C733">
            <v>35</v>
          </cell>
          <cell r="D733">
            <v>1905.6</v>
          </cell>
          <cell r="E733" t="str">
            <v>Br84</v>
          </cell>
        </row>
        <row r="734">
          <cell r="A734">
            <v>35085</v>
          </cell>
          <cell r="B734">
            <v>50</v>
          </cell>
          <cell r="C734">
            <v>35</v>
          </cell>
          <cell r="D734">
            <v>174</v>
          </cell>
          <cell r="E734" t="str">
            <v>Br85</v>
          </cell>
        </row>
        <row r="735">
          <cell r="A735">
            <v>35086</v>
          </cell>
          <cell r="B735">
            <v>51</v>
          </cell>
          <cell r="C735">
            <v>35</v>
          </cell>
          <cell r="D735">
            <v>55.1</v>
          </cell>
          <cell r="E735" t="str">
            <v>Br86</v>
          </cell>
        </row>
        <row r="736">
          <cell r="A736">
            <v>35087</v>
          </cell>
          <cell r="B736">
            <v>52</v>
          </cell>
          <cell r="C736">
            <v>35</v>
          </cell>
          <cell r="D736">
            <v>55.65</v>
          </cell>
          <cell r="E736" t="str">
            <v>Br87</v>
          </cell>
        </row>
        <row r="737">
          <cell r="A737">
            <v>35088</v>
          </cell>
          <cell r="B737">
            <v>53</v>
          </cell>
          <cell r="C737">
            <v>35</v>
          </cell>
          <cell r="D737">
            <v>16.34</v>
          </cell>
          <cell r="E737" t="str">
            <v>Br88</v>
          </cell>
        </row>
        <row r="738">
          <cell r="A738">
            <v>35089</v>
          </cell>
          <cell r="B738">
            <v>54</v>
          </cell>
          <cell r="C738">
            <v>35</v>
          </cell>
          <cell r="D738">
            <v>4.3570000000000002</v>
          </cell>
          <cell r="E738" t="str">
            <v>Br89</v>
          </cell>
        </row>
        <row r="739">
          <cell r="A739">
            <v>35090</v>
          </cell>
          <cell r="B739">
            <v>55</v>
          </cell>
          <cell r="C739">
            <v>35</v>
          </cell>
          <cell r="D739">
            <v>1.92</v>
          </cell>
          <cell r="E739" t="str">
            <v>Br90</v>
          </cell>
        </row>
        <row r="740">
          <cell r="A740">
            <v>35091</v>
          </cell>
          <cell r="B740">
            <v>56</v>
          </cell>
          <cell r="C740">
            <v>35</v>
          </cell>
          <cell r="D740">
            <v>0.54300000000000004</v>
          </cell>
          <cell r="E740" t="str">
            <v>Br91</v>
          </cell>
        </row>
        <row r="741">
          <cell r="A741">
            <v>35092</v>
          </cell>
          <cell r="B741">
            <v>57</v>
          </cell>
          <cell r="C741">
            <v>35</v>
          </cell>
          <cell r="D741">
            <v>0.314</v>
          </cell>
          <cell r="E741" t="str">
            <v>Br92</v>
          </cell>
        </row>
        <row r="742">
          <cell r="A742">
            <v>35093</v>
          </cell>
          <cell r="B742">
            <v>58</v>
          </cell>
          <cell r="C742">
            <v>35</v>
          </cell>
          <cell r="D742">
            <v>0.10199999999999999</v>
          </cell>
          <cell r="E742" t="str">
            <v>Br93</v>
          </cell>
        </row>
        <row r="743">
          <cell r="A743">
            <v>35094</v>
          </cell>
          <cell r="B743">
            <v>59</v>
          </cell>
          <cell r="C743">
            <v>35</v>
          </cell>
          <cell r="D743">
            <v>7.0000000000000007E-2</v>
          </cell>
          <cell r="E743" t="str">
            <v>Br94</v>
          </cell>
        </row>
        <row r="744">
          <cell r="A744">
            <v>35095</v>
          </cell>
          <cell r="B744">
            <v>60</v>
          </cell>
          <cell r="C744">
            <v>35</v>
          </cell>
          <cell r="D744">
            <v>1.4999999999999999E-7</v>
          </cell>
          <cell r="E744" t="str">
            <v>Br95</v>
          </cell>
        </row>
        <row r="745">
          <cell r="A745">
            <v>35096</v>
          </cell>
          <cell r="B745">
            <v>61</v>
          </cell>
          <cell r="C745">
            <v>35</v>
          </cell>
          <cell r="D745">
            <v>1.4999999999999999E-7</v>
          </cell>
          <cell r="E745" t="str">
            <v>Br96</v>
          </cell>
        </row>
        <row r="746">
          <cell r="A746">
            <v>35097</v>
          </cell>
          <cell r="B746">
            <v>62</v>
          </cell>
          <cell r="C746">
            <v>35</v>
          </cell>
          <cell r="D746">
            <v>2.9999999999999999E-7</v>
          </cell>
          <cell r="E746" t="str">
            <v>Br97</v>
          </cell>
        </row>
        <row r="747">
          <cell r="A747">
            <v>35098</v>
          </cell>
          <cell r="B747">
            <v>63</v>
          </cell>
          <cell r="C747">
            <v>35</v>
          </cell>
          <cell r="D747">
            <v>6.3399999999999999E-7</v>
          </cell>
          <cell r="E747" t="str">
            <v>Br98</v>
          </cell>
        </row>
        <row r="748">
          <cell r="A748">
            <v>36069</v>
          </cell>
          <cell r="B748">
            <v>33</v>
          </cell>
          <cell r="C748">
            <v>36</v>
          </cell>
          <cell r="D748">
            <v>2.8000000000000001E-2</v>
          </cell>
          <cell r="E748" t="str">
            <v>Kr69</v>
          </cell>
        </row>
        <row r="749">
          <cell r="A749">
            <v>36070</v>
          </cell>
          <cell r="B749">
            <v>34</v>
          </cell>
          <cell r="C749">
            <v>36</v>
          </cell>
          <cell r="D749">
            <v>0.04</v>
          </cell>
          <cell r="E749" t="str">
            <v>Kr70</v>
          </cell>
        </row>
        <row r="750">
          <cell r="A750">
            <v>36071</v>
          </cell>
          <cell r="B750">
            <v>35</v>
          </cell>
          <cell r="C750">
            <v>36</v>
          </cell>
          <cell r="D750">
            <v>0.1</v>
          </cell>
          <cell r="E750" t="str">
            <v>Kr71</v>
          </cell>
        </row>
        <row r="751">
          <cell r="A751">
            <v>36072</v>
          </cell>
          <cell r="B751">
            <v>36</v>
          </cell>
          <cell r="C751">
            <v>36</v>
          </cell>
          <cell r="D751">
            <v>17.100000000000001</v>
          </cell>
          <cell r="E751" t="str">
            <v>Kr72</v>
          </cell>
        </row>
        <row r="752">
          <cell r="A752">
            <v>36073</v>
          </cell>
          <cell r="B752">
            <v>37</v>
          </cell>
          <cell r="C752">
            <v>36</v>
          </cell>
          <cell r="D752">
            <v>27.3</v>
          </cell>
          <cell r="E752" t="str">
            <v>Kr73</v>
          </cell>
        </row>
        <row r="753">
          <cell r="A753">
            <v>36074</v>
          </cell>
          <cell r="B753">
            <v>38</v>
          </cell>
          <cell r="C753">
            <v>36</v>
          </cell>
          <cell r="D753">
            <v>690</v>
          </cell>
          <cell r="E753" t="str">
            <v>Kr74</v>
          </cell>
        </row>
        <row r="754">
          <cell r="A754">
            <v>36075</v>
          </cell>
          <cell r="B754">
            <v>39</v>
          </cell>
          <cell r="C754">
            <v>36</v>
          </cell>
          <cell r="D754">
            <v>276</v>
          </cell>
          <cell r="E754" t="str">
            <v>Kr75</v>
          </cell>
        </row>
        <row r="755">
          <cell r="A755">
            <v>36076</v>
          </cell>
          <cell r="B755">
            <v>40</v>
          </cell>
          <cell r="C755">
            <v>36</v>
          </cell>
          <cell r="D755">
            <v>53280</v>
          </cell>
          <cell r="E755" t="str">
            <v>Kr76</v>
          </cell>
        </row>
        <row r="756">
          <cell r="A756">
            <v>36077</v>
          </cell>
          <cell r="B756">
            <v>41</v>
          </cell>
          <cell r="C756">
            <v>36</v>
          </cell>
          <cell r="D756">
            <v>4464</v>
          </cell>
          <cell r="E756" t="str">
            <v>Kr77</v>
          </cell>
        </row>
        <row r="757">
          <cell r="A757">
            <v>36078</v>
          </cell>
          <cell r="B757">
            <v>42</v>
          </cell>
          <cell r="C757">
            <v>36</v>
          </cell>
          <cell r="D757">
            <v>4.73364E+28</v>
          </cell>
          <cell r="E757" t="str">
            <v>Kr78</v>
          </cell>
        </row>
        <row r="758">
          <cell r="A758">
            <v>36079</v>
          </cell>
          <cell r="B758">
            <v>43</v>
          </cell>
          <cell r="C758">
            <v>36</v>
          </cell>
          <cell r="D758">
            <v>126144</v>
          </cell>
          <cell r="E758" t="str">
            <v>Kr79</v>
          </cell>
        </row>
        <row r="759">
          <cell r="A759">
            <v>36080</v>
          </cell>
          <cell r="B759">
            <v>44</v>
          </cell>
          <cell r="C759">
            <v>36</v>
          </cell>
          <cell r="D759" t="str">
            <v>STABLE</v>
          </cell>
          <cell r="E759" t="str">
            <v>Kr80</v>
          </cell>
        </row>
        <row r="760">
          <cell r="A760">
            <v>36081</v>
          </cell>
          <cell r="B760">
            <v>45</v>
          </cell>
          <cell r="C760">
            <v>36</v>
          </cell>
          <cell r="D760">
            <v>7226690400000</v>
          </cell>
          <cell r="E760" t="str">
            <v>Kr81</v>
          </cell>
        </row>
        <row r="761">
          <cell r="A761">
            <v>36082</v>
          </cell>
          <cell r="B761">
            <v>46</v>
          </cell>
          <cell r="C761">
            <v>36</v>
          </cell>
          <cell r="D761" t="str">
            <v>STABLE</v>
          </cell>
          <cell r="E761" t="str">
            <v>Kr82</v>
          </cell>
        </row>
        <row r="762">
          <cell r="A762">
            <v>36083</v>
          </cell>
          <cell r="B762">
            <v>47</v>
          </cell>
          <cell r="C762">
            <v>36</v>
          </cell>
          <cell r="D762" t="str">
            <v>STABLE</v>
          </cell>
          <cell r="E762" t="str">
            <v>Kr83</v>
          </cell>
        </row>
        <row r="763">
          <cell r="A763">
            <v>36084</v>
          </cell>
          <cell r="B763">
            <v>48</v>
          </cell>
          <cell r="C763">
            <v>36</v>
          </cell>
          <cell r="D763" t="str">
            <v>STABLE</v>
          </cell>
          <cell r="E763" t="str">
            <v>Kr84</v>
          </cell>
        </row>
        <row r="764">
          <cell r="A764">
            <v>36085</v>
          </cell>
          <cell r="B764">
            <v>49</v>
          </cell>
          <cell r="C764">
            <v>36</v>
          </cell>
          <cell r="D764">
            <v>338897066.39999998</v>
          </cell>
          <cell r="E764" t="str">
            <v>Kr85</v>
          </cell>
        </row>
        <row r="765">
          <cell r="A765">
            <v>36086</v>
          </cell>
          <cell r="B765">
            <v>50</v>
          </cell>
          <cell r="C765">
            <v>36</v>
          </cell>
          <cell r="D765" t="str">
            <v>STABLE</v>
          </cell>
          <cell r="E765" t="str">
            <v>Kr86</v>
          </cell>
        </row>
        <row r="766">
          <cell r="A766">
            <v>36087</v>
          </cell>
          <cell r="B766">
            <v>51</v>
          </cell>
          <cell r="C766">
            <v>36</v>
          </cell>
          <cell r="D766">
            <v>4578</v>
          </cell>
          <cell r="E766" t="str">
            <v>Kr87</v>
          </cell>
        </row>
        <row r="767">
          <cell r="A767">
            <v>36088</v>
          </cell>
          <cell r="B767">
            <v>52</v>
          </cell>
          <cell r="C767">
            <v>36</v>
          </cell>
          <cell r="D767">
            <v>10170</v>
          </cell>
          <cell r="E767" t="str">
            <v>Kr88</v>
          </cell>
        </row>
        <row r="768">
          <cell r="A768">
            <v>36089</v>
          </cell>
          <cell r="B768">
            <v>53</v>
          </cell>
          <cell r="C768">
            <v>36</v>
          </cell>
          <cell r="D768">
            <v>189</v>
          </cell>
          <cell r="E768" t="str">
            <v>Kr89</v>
          </cell>
        </row>
        <row r="769">
          <cell r="A769">
            <v>36090</v>
          </cell>
          <cell r="B769">
            <v>54</v>
          </cell>
          <cell r="C769">
            <v>36</v>
          </cell>
          <cell r="D769">
            <v>32.32</v>
          </cell>
          <cell r="E769" t="str">
            <v>Kr90</v>
          </cell>
        </row>
        <row r="770">
          <cell r="A770">
            <v>36091</v>
          </cell>
          <cell r="B770">
            <v>55</v>
          </cell>
          <cell r="C770">
            <v>36</v>
          </cell>
          <cell r="D770">
            <v>8.57</v>
          </cell>
          <cell r="E770" t="str">
            <v>Kr91</v>
          </cell>
        </row>
        <row r="771">
          <cell r="A771">
            <v>36092</v>
          </cell>
          <cell r="B771">
            <v>56</v>
          </cell>
          <cell r="C771">
            <v>36</v>
          </cell>
          <cell r="D771">
            <v>1.84</v>
          </cell>
          <cell r="E771" t="str">
            <v>Kr92</v>
          </cell>
        </row>
        <row r="772">
          <cell r="A772">
            <v>36093</v>
          </cell>
          <cell r="B772">
            <v>57</v>
          </cell>
          <cell r="C772">
            <v>36</v>
          </cell>
          <cell r="D772">
            <v>1.286</v>
          </cell>
          <cell r="E772" t="str">
            <v>Kr93</v>
          </cell>
        </row>
        <row r="773">
          <cell r="A773">
            <v>36094</v>
          </cell>
          <cell r="B773">
            <v>58</v>
          </cell>
          <cell r="C773">
            <v>36</v>
          </cell>
          <cell r="D773">
            <v>0.21199999999999999</v>
          </cell>
          <cell r="E773" t="str">
            <v>Kr94</v>
          </cell>
        </row>
        <row r="774">
          <cell r="A774">
            <v>36095</v>
          </cell>
          <cell r="B774">
            <v>59</v>
          </cell>
          <cell r="C774">
            <v>36</v>
          </cell>
          <cell r="D774">
            <v>0.114</v>
          </cell>
          <cell r="E774" t="str">
            <v>Kr95</v>
          </cell>
        </row>
        <row r="775">
          <cell r="A775">
            <v>36096</v>
          </cell>
          <cell r="B775">
            <v>60</v>
          </cell>
          <cell r="C775">
            <v>36</v>
          </cell>
          <cell r="D775">
            <v>0.08</v>
          </cell>
          <cell r="E775" t="str">
            <v>Kr96</v>
          </cell>
        </row>
        <row r="776">
          <cell r="A776">
            <v>36097</v>
          </cell>
          <cell r="B776">
            <v>61</v>
          </cell>
          <cell r="C776">
            <v>36</v>
          </cell>
          <cell r="D776">
            <v>6.3E-2</v>
          </cell>
          <cell r="E776" t="str">
            <v>Kr97</v>
          </cell>
        </row>
        <row r="777">
          <cell r="A777">
            <v>36098</v>
          </cell>
          <cell r="B777">
            <v>62</v>
          </cell>
          <cell r="C777">
            <v>36</v>
          </cell>
          <cell r="D777">
            <v>4.5999999999999999E-2</v>
          </cell>
          <cell r="E777" t="str">
            <v>Kr98</v>
          </cell>
        </row>
        <row r="778">
          <cell r="A778">
            <v>36099</v>
          </cell>
          <cell r="B778">
            <v>63</v>
          </cell>
          <cell r="C778">
            <v>36</v>
          </cell>
          <cell r="D778">
            <v>1.2999999999999999E-2</v>
          </cell>
          <cell r="E778" t="str">
            <v>Kr99</v>
          </cell>
        </row>
        <row r="779">
          <cell r="A779">
            <v>36100</v>
          </cell>
          <cell r="B779">
            <v>64</v>
          </cell>
          <cell r="C779">
            <v>36</v>
          </cell>
          <cell r="D779">
            <v>7.0000000000000001E-3</v>
          </cell>
          <cell r="E779" t="str">
            <v>Kr100</v>
          </cell>
        </row>
        <row r="780">
          <cell r="A780">
            <v>36101</v>
          </cell>
          <cell r="B780">
            <v>65</v>
          </cell>
          <cell r="C780">
            <v>36</v>
          </cell>
          <cell r="D780">
            <v>6.3499999999999996E-7</v>
          </cell>
          <cell r="E780" t="str">
            <v>Kr101</v>
          </cell>
        </row>
        <row r="781">
          <cell r="A781">
            <v>37074</v>
          </cell>
          <cell r="B781">
            <v>37</v>
          </cell>
          <cell r="C781">
            <v>37</v>
          </cell>
          <cell r="D781">
            <v>6.4899999999999999E-2</v>
          </cell>
          <cell r="E781" t="str">
            <v>Rb74</v>
          </cell>
        </row>
        <row r="782">
          <cell r="A782">
            <v>37075</v>
          </cell>
          <cell r="B782">
            <v>38</v>
          </cell>
          <cell r="C782">
            <v>37</v>
          </cell>
          <cell r="D782">
            <v>19</v>
          </cell>
          <cell r="E782" t="str">
            <v>Rb75</v>
          </cell>
        </row>
        <row r="783">
          <cell r="A783">
            <v>37076</v>
          </cell>
          <cell r="B783">
            <v>39</v>
          </cell>
          <cell r="C783">
            <v>37</v>
          </cell>
          <cell r="D783">
            <v>36.5</v>
          </cell>
          <cell r="E783" t="str">
            <v>Rb76</v>
          </cell>
        </row>
        <row r="784">
          <cell r="A784">
            <v>37077</v>
          </cell>
          <cell r="B784">
            <v>40</v>
          </cell>
          <cell r="C784">
            <v>37</v>
          </cell>
          <cell r="D784">
            <v>226.2</v>
          </cell>
          <cell r="E784" t="str">
            <v>Rb77</v>
          </cell>
        </row>
        <row r="785">
          <cell r="A785">
            <v>37078</v>
          </cell>
          <cell r="B785">
            <v>41</v>
          </cell>
          <cell r="C785">
            <v>37</v>
          </cell>
          <cell r="D785">
            <v>1059.5999999999999</v>
          </cell>
          <cell r="E785" t="str">
            <v>Rb78</v>
          </cell>
        </row>
        <row r="786">
          <cell r="A786">
            <v>37079</v>
          </cell>
          <cell r="B786">
            <v>42</v>
          </cell>
          <cell r="C786">
            <v>37</v>
          </cell>
          <cell r="D786">
            <v>1374</v>
          </cell>
          <cell r="E786" t="str">
            <v>Rb79</v>
          </cell>
        </row>
        <row r="787">
          <cell r="A787">
            <v>37080</v>
          </cell>
          <cell r="B787">
            <v>43</v>
          </cell>
          <cell r="C787">
            <v>37</v>
          </cell>
          <cell r="D787">
            <v>33.4</v>
          </cell>
          <cell r="E787" t="str">
            <v>Rb80</v>
          </cell>
        </row>
        <row r="788">
          <cell r="A788">
            <v>37081</v>
          </cell>
          <cell r="B788">
            <v>44</v>
          </cell>
          <cell r="C788">
            <v>37</v>
          </cell>
          <cell r="D788">
            <v>16459.2</v>
          </cell>
          <cell r="E788" t="str">
            <v>Rb81</v>
          </cell>
        </row>
        <row r="789">
          <cell r="A789">
            <v>37082</v>
          </cell>
          <cell r="B789">
            <v>45</v>
          </cell>
          <cell r="C789">
            <v>37</v>
          </cell>
          <cell r="D789">
            <v>75.45</v>
          </cell>
          <cell r="E789" t="str">
            <v>Rb82</v>
          </cell>
        </row>
        <row r="790">
          <cell r="A790">
            <v>37083</v>
          </cell>
          <cell r="B790">
            <v>46</v>
          </cell>
          <cell r="C790">
            <v>37</v>
          </cell>
          <cell r="D790">
            <v>7447680</v>
          </cell>
          <cell r="E790" t="str">
            <v>Rb83</v>
          </cell>
        </row>
        <row r="791">
          <cell r="A791">
            <v>37084</v>
          </cell>
          <cell r="B791">
            <v>47</v>
          </cell>
          <cell r="C791">
            <v>37</v>
          </cell>
          <cell r="D791">
            <v>2835648</v>
          </cell>
          <cell r="E791" t="str">
            <v>Rb84</v>
          </cell>
        </row>
        <row r="792">
          <cell r="A792">
            <v>37085</v>
          </cell>
          <cell r="B792">
            <v>48</v>
          </cell>
          <cell r="C792">
            <v>37</v>
          </cell>
          <cell r="D792" t="str">
            <v>STABLE</v>
          </cell>
          <cell r="E792" t="str">
            <v>Rb85</v>
          </cell>
        </row>
        <row r="793">
          <cell r="A793">
            <v>37086</v>
          </cell>
          <cell r="B793">
            <v>49</v>
          </cell>
          <cell r="C793">
            <v>37</v>
          </cell>
          <cell r="D793">
            <v>1610668.8</v>
          </cell>
          <cell r="E793" t="str">
            <v>Rb86</v>
          </cell>
        </row>
        <row r="794">
          <cell r="A794">
            <v>37087</v>
          </cell>
          <cell r="B794">
            <v>50</v>
          </cell>
          <cell r="C794">
            <v>37</v>
          </cell>
          <cell r="D794">
            <v>1.56841272E+18</v>
          </cell>
          <cell r="E794" t="str">
            <v>Rb87</v>
          </cell>
        </row>
        <row r="795">
          <cell r="A795">
            <v>37088</v>
          </cell>
          <cell r="B795">
            <v>51</v>
          </cell>
          <cell r="C795">
            <v>37</v>
          </cell>
          <cell r="D795">
            <v>1066.3799999999901</v>
          </cell>
          <cell r="E795" t="str">
            <v>Rb88</v>
          </cell>
        </row>
        <row r="796">
          <cell r="A796">
            <v>37089</v>
          </cell>
          <cell r="B796">
            <v>52</v>
          </cell>
          <cell r="C796">
            <v>37</v>
          </cell>
          <cell r="D796">
            <v>919.2</v>
          </cell>
          <cell r="E796" t="str">
            <v>Rb89</v>
          </cell>
        </row>
        <row r="797">
          <cell r="A797">
            <v>37090</v>
          </cell>
          <cell r="B797">
            <v>53</v>
          </cell>
          <cell r="C797">
            <v>37</v>
          </cell>
          <cell r="D797">
            <v>158</v>
          </cell>
          <cell r="E797" t="str">
            <v>Rb90</v>
          </cell>
        </row>
        <row r="798">
          <cell r="A798">
            <v>37091</v>
          </cell>
          <cell r="B798">
            <v>54</v>
          </cell>
          <cell r="C798">
            <v>37</v>
          </cell>
          <cell r="D798">
            <v>58.2</v>
          </cell>
          <cell r="E798" t="str">
            <v>Rb91</v>
          </cell>
        </row>
        <row r="799">
          <cell r="A799">
            <v>37092</v>
          </cell>
          <cell r="B799">
            <v>55</v>
          </cell>
          <cell r="C799">
            <v>37</v>
          </cell>
          <cell r="D799">
            <v>4.492</v>
          </cell>
          <cell r="E799" t="str">
            <v>Rb92</v>
          </cell>
        </row>
        <row r="800">
          <cell r="A800">
            <v>37093</v>
          </cell>
          <cell r="B800">
            <v>56</v>
          </cell>
          <cell r="C800">
            <v>37</v>
          </cell>
          <cell r="D800">
            <v>5.84</v>
          </cell>
          <cell r="E800" t="str">
            <v>Rb93</v>
          </cell>
        </row>
        <row r="801">
          <cell r="A801">
            <v>37094</v>
          </cell>
          <cell r="B801">
            <v>57</v>
          </cell>
          <cell r="C801">
            <v>37</v>
          </cell>
          <cell r="D801">
            <v>2.702</v>
          </cell>
          <cell r="E801" t="str">
            <v>Rb94</v>
          </cell>
        </row>
        <row r="802">
          <cell r="A802">
            <v>37095</v>
          </cell>
          <cell r="B802">
            <v>58</v>
          </cell>
          <cell r="C802">
            <v>37</v>
          </cell>
          <cell r="D802">
            <v>0.37769999999999998</v>
          </cell>
          <cell r="E802" t="str">
            <v>Rb95</v>
          </cell>
        </row>
        <row r="803">
          <cell r="A803">
            <v>37096</v>
          </cell>
          <cell r="B803">
            <v>59</v>
          </cell>
          <cell r="C803">
            <v>37</v>
          </cell>
          <cell r="D803">
            <v>0.20300000000000001</v>
          </cell>
          <cell r="E803" t="str">
            <v>Rb96</v>
          </cell>
        </row>
        <row r="804">
          <cell r="A804">
            <v>37097</v>
          </cell>
          <cell r="B804">
            <v>60</v>
          </cell>
          <cell r="C804">
            <v>37</v>
          </cell>
          <cell r="D804">
            <v>0.1691</v>
          </cell>
          <cell r="E804" t="str">
            <v>Rb97</v>
          </cell>
        </row>
        <row r="805">
          <cell r="A805">
            <v>37098</v>
          </cell>
          <cell r="B805">
            <v>61</v>
          </cell>
          <cell r="C805">
            <v>37</v>
          </cell>
          <cell r="D805">
            <v>0.10199999999999999</v>
          </cell>
          <cell r="E805" t="str">
            <v>Rb98</v>
          </cell>
        </row>
        <row r="806">
          <cell r="A806">
            <v>37099</v>
          </cell>
          <cell r="B806">
            <v>62</v>
          </cell>
          <cell r="C806">
            <v>37</v>
          </cell>
          <cell r="D806">
            <v>5.3999999999999999E-2</v>
          </cell>
          <cell r="E806" t="str">
            <v>Rb99</v>
          </cell>
        </row>
        <row r="807">
          <cell r="A807">
            <v>37100</v>
          </cell>
          <cell r="B807">
            <v>63</v>
          </cell>
          <cell r="C807">
            <v>37</v>
          </cell>
          <cell r="D807">
            <v>5.0999999999999997E-2</v>
          </cell>
          <cell r="E807" t="str">
            <v>Rb100</v>
          </cell>
        </row>
        <row r="808">
          <cell r="A808">
            <v>37101</v>
          </cell>
          <cell r="B808">
            <v>64</v>
          </cell>
          <cell r="C808">
            <v>37</v>
          </cell>
          <cell r="D808">
            <v>3.2000000000000001E-2</v>
          </cell>
          <cell r="E808" t="str">
            <v>Rb101</v>
          </cell>
        </row>
        <row r="809">
          <cell r="A809">
            <v>37102</v>
          </cell>
          <cell r="B809">
            <v>65</v>
          </cell>
          <cell r="C809">
            <v>37</v>
          </cell>
          <cell r="D809">
            <v>3.6999999999999998E-2</v>
          </cell>
          <cell r="E809" t="str">
            <v>Rb102</v>
          </cell>
        </row>
        <row r="810">
          <cell r="A810">
            <v>37103</v>
          </cell>
          <cell r="B810">
            <v>66</v>
          </cell>
          <cell r="C810">
            <v>37</v>
          </cell>
          <cell r="D810">
            <v>2.3E-2</v>
          </cell>
          <cell r="E810" t="str">
            <v>Rb103</v>
          </cell>
        </row>
        <row r="811">
          <cell r="A811">
            <v>38073</v>
          </cell>
          <cell r="B811">
            <v>35</v>
          </cell>
          <cell r="C811">
            <v>38</v>
          </cell>
          <cell r="D811">
            <v>2.5000000000000001E-2</v>
          </cell>
          <cell r="E811" t="str">
            <v>Sr73</v>
          </cell>
        </row>
        <row r="812">
          <cell r="A812">
            <v>38074</v>
          </cell>
          <cell r="B812">
            <v>36</v>
          </cell>
          <cell r="C812">
            <v>38</v>
          </cell>
          <cell r="D812">
            <v>2.7E-2</v>
          </cell>
          <cell r="E812" t="str">
            <v>Sr74</v>
          </cell>
        </row>
        <row r="813">
          <cell r="A813">
            <v>38075</v>
          </cell>
          <cell r="B813">
            <v>37</v>
          </cell>
          <cell r="C813">
            <v>38</v>
          </cell>
          <cell r="D813">
            <v>8.7999999999999995E-2</v>
          </cell>
          <cell r="E813" t="str">
            <v>Sr75</v>
          </cell>
        </row>
        <row r="814">
          <cell r="A814">
            <v>38076</v>
          </cell>
          <cell r="B814">
            <v>38</v>
          </cell>
          <cell r="C814">
            <v>38</v>
          </cell>
          <cell r="D814">
            <v>7.89</v>
          </cell>
          <cell r="E814" t="str">
            <v>Sr76</v>
          </cell>
        </row>
        <row r="815">
          <cell r="A815">
            <v>38077</v>
          </cell>
          <cell r="B815">
            <v>39</v>
          </cell>
          <cell r="C815">
            <v>38</v>
          </cell>
          <cell r="D815">
            <v>9</v>
          </cell>
          <cell r="E815" t="str">
            <v>Sr77</v>
          </cell>
        </row>
        <row r="816">
          <cell r="A816">
            <v>38078</v>
          </cell>
          <cell r="B816">
            <v>40</v>
          </cell>
          <cell r="C816">
            <v>38</v>
          </cell>
          <cell r="D816">
            <v>160</v>
          </cell>
          <cell r="E816" t="str">
            <v>Sr78</v>
          </cell>
        </row>
        <row r="817">
          <cell r="A817">
            <v>38079</v>
          </cell>
          <cell r="B817">
            <v>41</v>
          </cell>
          <cell r="C817">
            <v>38</v>
          </cell>
          <cell r="D817">
            <v>135</v>
          </cell>
          <cell r="E817" t="str">
            <v>Sr79</v>
          </cell>
        </row>
        <row r="818">
          <cell r="A818">
            <v>38080</v>
          </cell>
          <cell r="B818">
            <v>42</v>
          </cell>
          <cell r="C818">
            <v>38</v>
          </cell>
          <cell r="D818">
            <v>6378</v>
          </cell>
          <cell r="E818" t="str">
            <v>Sr80</v>
          </cell>
        </row>
        <row r="819">
          <cell r="A819">
            <v>38081</v>
          </cell>
          <cell r="B819">
            <v>43</v>
          </cell>
          <cell r="C819">
            <v>38</v>
          </cell>
          <cell r="D819">
            <v>1338</v>
          </cell>
          <cell r="E819" t="str">
            <v>Sr81</v>
          </cell>
        </row>
        <row r="820">
          <cell r="A820">
            <v>38082</v>
          </cell>
          <cell r="B820">
            <v>44</v>
          </cell>
          <cell r="C820">
            <v>38</v>
          </cell>
          <cell r="D820">
            <v>2189376</v>
          </cell>
          <cell r="E820" t="str">
            <v>Sr82</v>
          </cell>
        </row>
        <row r="821">
          <cell r="A821">
            <v>38083</v>
          </cell>
          <cell r="B821">
            <v>45</v>
          </cell>
          <cell r="C821">
            <v>38</v>
          </cell>
          <cell r="D821">
            <v>116675.999999999</v>
          </cell>
          <cell r="E821" t="str">
            <v>Sr83</v>
          </cell>
        </row>
        <row r="822">
          <cell r="A822">
            <v>38084</v>
          </cell>
          <cell r="B822">
            <v>46</v>
          </cell>
          <cell r="C822">
            <v>38</v>
          </cell>
          <cell r="D822" t="str">
            <v>STABLE</v>
          </cell>
          <cell r="E822" t="str">
            <v>Sr84</v>
          </cell>
        </row>
        <row r="823">
          <cell r="A823">
            <v>38085</v>
          </cell>
          <cell r="B823">
            <v>47</v>
          </cell>
          <cell r="C823">
            <v>38</v>
          </cell>
          <cell r="D823">
            <v>5602953.5999999996</v>
          </cell>
          <cell r="E823" t="str">
            <v>Sr85</v>
          </cell>
        </row>
        <row r="824">
          <cell r="A824">
            <v>38086</v>
          </cell>
          <cell r="B824">
            <v>48</v>
          </cell>
          <cell r="C824">
            <v>38</v>
          </cell>
          <cell r="D824" t="str">
            <v>STABLE</v>
          </cell>
          <cell r="E824" t="str">
            <v>Sr86</v>
          </cell>
        </row>
        <row r="825">
          <cell r="A825">
            <v>38087</v>
          </cell>
          <cell r="B825">
            <v>49</v>
          </cell>
          <cell r="C825">
            <v>38</v>
          </cell>
          <cell r="D825" t="str">
            <v>STABLE</v>
          </cell>
          <cell r="E825" t="str">
            <v>Sr87</v>
          </cell>
        </row>
        <row r="826">
          <cell r="A826">
            <v>38088</v>
          </cell>
          <cell r="B826">
            <v>50</v>
          </cell>
          <cell r="C826">
            <v>38</v>
          </cell>
          <cell r="D826" t="str">
            <v>STABLE</v>
          </cell>
          <cell r="E826" t="str">
            <v>Sr88</v>
          </cell>
        </row>
        <row r="827">
          <cell r="A827">
            <v>38089</v>
          </cell>
          <cell r="B827">
            <v>51</v>
          </cell>
          <cell r="C827">
            <v>38</v>
          </cell>
          <cell r="D827">
            <v>4368643.2</v>
          </cell>
          <cell r="E827" t="str">
            <v>Sr89</v>
          </cell>
        </row>
        <row r="828">
          <cell r="A828">
            <v>38090</v>
          </cell>
          <cell r="B828">
            <v>52</v>
          </cell>
          <cell r="C828">
            <v>38</v>
          </cell>
          <cell r="D828">
            <v>912014640</v>
          </cell>
          <cell r="E828" t="str">
            <v>Sr90</v>
          </cell>
        </row>
        <row r="829">
          <cell r="A829">
            <v>38091</v>
          </cell>
          <cell r="B829">
            <v>53</v>
          </cell>
          <cell r="C829">
            <v>38</v>
          </cell>
          <cell r="D829">
            <v>34740</v>
          </cell>
          <cell r="E829" t="str">
            <v>Sr91</v>
          </cell>
        </row>
        <row r="830">
          <cell r="A830">
            <v>38092</v>
          </cell>
          <cell r="B830">
            <v>54</v>
          </cell>
          <cell r="C830">
            <v>38</v>
          </cell>
          <cell r="D830">
            <v>9399.6</v>
          </cell>
          <cell r="E830" t="str">
            <v>Sr92</v>
          </cell>
        </row>
        <row r="831">
          <cell r="A831">
            <v>38093</v>
          </cell>
          <cell r="B831">
            <v>55</v>
          </cell>
          <cell r="C831">
            <v>38</v>
          </cell>
          <cell r="D831">
            <v>445.79999999999899</v>
          </cell>
          <cell r="E831" t="str">
            <v>Sr93</v>
          </cell>
        </row>
        <row r="832">
          <cell r="A832">
            <v>38094</v>
          </cell>
          <cell r="B832">
            <v>56</v>
          </cell>
          <cell r="C832">
            <v>38</v>
          </cell>
          <cell r="D832">
            <v>75.3</v>
          </cell>
          <cell r="E832" t="str">
            <v>Sr94</v>
          </cell>
        </row>
        <row r="833">
          <cell r="A833">
            <v>38095</v>
          </cell>
          <cell r="B833">
            <v>57</v>
          </cell>
          <cell r="C833">
            <v>38</v>
          </cell>
          <cell r="D833">
            <v>23.9</v>
          </cell>
          <cell r="E833" t="str">
            <v>Sr95</v>
          </cell>
        </row>
        <row r="834">
          <cell r="A834">
            <v>38096</v>
          </cell>
          <cell r="B834">
            <v>58</v>
          </cell>
          <cell r="C834">
            <v>38</v>
          </cell>
          <cell r="D834">
            <v>1.07</v>
          </cell>
          <cell r="E834" t="str">
            <v>Sr96</v>
          </cell>
        </row>
        <row r="835">
          <cell r="A835">
            <v>38097</v>
          </cell>
          <cell r="B835">
            <v>59</v>
          </cell>
          <cell r="C835">
            <v>38</v>
          </cell>
          <cell r="D835">
            <v>0.42899999999999999</v>
          </cell>
          <cell r="E835" t="str">
            <v>Sr97</v>
          </cell>
        </row>
        <row r="836">
          <cell r="A836">
            <v>38098</v>
          </cell>
          <cell r="B836">
            <v>60</v>
          </cell>
          <cell r="C836">
            <v>38</v>
          </cell>
          <cell r="D836">
            <v>0.65300000000000002</v>
          </cell>
          <cell r="E836" t="str">
            <v>Sr98</v>
          </cell>
        </row>
        <row r="837">
          <cell r="A837">
            <v>38099</v>
          </cell>
          <cell r="B837">
            <v>61</v>
          </cell>
          <cell r="C837">
            <v>38</v>
          </cell>
          <cell r="D837">
            <v>0.26900000000000002</v>
          </cell>
          <cell r="E837" t="str">
            <v>Sr99</v>
          </cell>
        </row>
        <row r="838">
          <cell r="A838">
            <v>38100</v>
          </cell>
          <cell r="B838">
            <v>62</v>
          </cell>
          <cell r="C838">
            <v>38</v>
          </cell>
          <cell r="D838">
            <v>0.20200000000000001</v>
          </cell>
          <cell r="E838" t="str">
            <v>Sr100</v>
          </cell>
        </row>
        <row r="839">
          <cell r="A839">
            <v>38101</v>
          </cell>
          <cell r="B839">
            <v>63</v>
          </cell>
          <cell r="C839">
            <v>38</v>
          </cell>
          <cell r="D839">
            <v>0.11799999999999999</v>
          </cell>
          <cell r="E839" t="str">
            <v>Sr101</v>
          </cell>
        </row>
        <row r="840">
          <cell r="A840">
            <v>38102</v>
          </cell>
          <cell r="B840">
            <v>64</v>
          </cell>
          <cell r="C840">
            <v>38</v>
          </cell>
          <cell r="D840">
            <v>6.9000000000000006E-2</v>
          </cell>
          <cell r="E840" t="str">
            <v>Sr102</v>
          </cell>
        </row>
        <row r="841">
          <cell r="A841">
            <v>38103</v>
          </cell>
          <cell r="B841">
            <v>65</v>
          </cell>
          <cell r="C841">
            <v>38</v>
          </cell>
          <cell r="D841">
            <v>5.2999999999999999E-2</v>
          </cell>
          <cell r="E841" t="str">
            <v>Sr103</v>
          </cell>
        </row>
        <row r="842">
          <cell r="A842">
            <v>38104</v>
          </cell>
          <cell r="B842">
            <v>66</v>
          </cell>
          <cell r="C842">
            <v>38</v>
          </cell>
          <cell r="D842">
            <v>5.2999999999999999E-2</v>
          </cell>
          <cell r="E842" t="str">
            <v>Sr104</v>
          </cell>
        </row>
        <row r="843">
          <cell r="A843">
            <v>38105</v>
          </cell>
          <cell r="B843">
            <v>67</v>
          </cell>
          <cell r="C843">
            <v>38</v>
          </cell>
          <cell r="D843">
            <v>3.9E-2</v>
          </cell>
          <cell r="E843" t="str">
            <v>Sr105</v>
          </cell>
        </row>
        <row r="844">
          <cell r="A844">
            <v>38106</v>
          </cell>
          <cell r="B844">
            <v>68</v>
          </cell>
          <cell r="C844">
            <v>38</v>
          </cell>
          <cell r="D844">
            <v>0.02</v>
          </cell>
          <cell r="E844" t="str">
            <v>Sr106</v>
          </cell>
        </row>
        <row r="845">
          <cell r="A845">
            <v>38107</v>
          </cell>
          <cell r="B845">
            <v>69</v>
          </cell>
          <cell r="C845">
            <v>38</v>
          </cell>
          <cell r="D845">
            <v>3.9499999999999998E-7</v>
          </cell>
          <cell r="E845" t="str">
            <v>Sr107</v>
          </cell>
        </row>
        <row r="846">
          <cell r="A846">
            <v>39076</v>
          </cell>
          <cell r="B846">
            <v>37</v>
          </cell>
          <cell r="C846">
            <v>39</v>
          </cell>
          <cell r="D846">
            <v>1.9999999999999999E-7</v>
          </cell>
          <cell r="E846" t="str">
            <v>Y76</v>
          </cell>
        </row>
        <row r="847">
          <cell r="A847">
            <v>39077</v>
          </cell>
          <cell r="B847">
            <v>38</v>
          </cell>
          <cell r="C847">
            <v>39</v>
          </cell>
          <cell r="D847">
            <v>5.7000000000000002E-2</v>
          </cell>
          <cell r="E847" t="str">
            <v>Y77</v>
          </cell>
        </row>
        <row r="848">
          <cell r="A848">
            <v>39078</v>
          </cell>
          <cell r="B848">
            <v>39</v>
          </cell>
          <cell r="C848">
            <v>39</v>
          </cell>
          <cell r="D848">
            <v>5.2999999999999999E-2</v>
          </cell>
          <cell r="E848" t="str">
            <v>Y78</v>
          </cell>
        </row>
        <row r="849">
          <cell r="A849">
            <v>39079</v>
          </cell>
          <cell r="B849">
            <v>40</v>
          </cell>
          <cell r="C849">
            <v>39</v>
          </cell>
          <cell r="D849">
            <v>14.8</v>
          </cell>
          <cell r="E849" t="str">
            <v>Y79</v>
          </cell>
        </row>
        <row r="850">
          <cell r="A850">
            <v>39080</v>
          </cell>
          <cell r="B850">
            <v>41</v>
          </cell>
          <cell r="C850">
            <v>39</v>
          </cell>
          <cell r="D850">
            <v>30.1</v>
          </cell>
          <cell r="E850" t="str">
            <v>Y80</v>
          </cell>
        </row>
        <row r="851">
          <cell r="A851">
            <v>39081</v>
          </cell>
          <cell r="B851">
            <v>42</v>
          </cell>
          <cell r="C851">
            <v>39</v>
          </cell>
          <cell r="D851">
            <v>70.400000000000006</v>
          </cell>
          <cell r="E851" t="str">
            <v>Y81</v>
          </cell>
        </row>
        <row r="852">
          <cell r="A852">
            <v>39082</v>
          </cell>
          <cell r="B852">
            <v>43</v>
          </cell>
          <cell r="C852">
            <v>39</v>
          </cell>
          <cell r="D852">
            <v>8.3000000000000007</v>
          </cell>
          <cell r="E852" t="str">
            <v>Y82</v>
          </cell>
        </row>
        <row r="853">
          <cell r="A853">
            <v>39083</v>
          </cell>
          <cell r="B853">
            <v>44</v>
          </cell>
          <cell r="C853">
            <v>39</v>
          </cell>
          <cell r="D853">
            <v>424.8</v>
          </cell>
          <cell r="E853" t="str">
            <v>Y83</v>
          </cell>
        </row>
        <row r="854">
          <cell r="A854">
            <v>39084</v>
          </cell>
          <cell r="B854">
            <v>45</v>
          </cell>
          <cell r="C854">
            <v>39</v>
          </cell>
          <cell r="D854">
            <v>2370</v>
          </cell>
          <cell r="E854" t="str">
            <v>Y84</v>
          </cell>
        </row>
        <row r="855">
          <cell r="A855">
            <v>39085</v>
          </cell>
          <cell r="B855">
            <v>46</v>
          </cell>
          <cell r="C855">
            <v>39</v>
          </cell>
          <cell r="D855">
            <v>9648</v>
          </cell>
          <cell r="E855" t="str">
            <v>Y85</v>
          </cell>
        </row>
        <row r="856">
          <cell r="A856">
            <v>39086</v>
          </cell>
          <cell r="B856">
            <v>47</v>
          </cell>
          <cell r="C856">
            <v>39</v>
          </cell>
          <cell r="D856">
            <v>53064</v>
          </cell>
          <cell r="E856" t="str">
            <v>Y86</v>
          </cell>
        </row>
        <row r="857">
          <cell r="A857">
            <v>39087</v>
          </cell>
          <cell r="B857">
            <v>48</v>
          </cell>
          <cell r="C857">
            <v>39</v>
          </cell>
          <cell r="D857">
            <v>287280</v>
          </cell>
          <cell r="E857" t="str">
            <v>Y87</v>
          </cell>
        </row>
        <row r="858">
          <cell r="A858">
            <v>39088</v>
          </cell>
          <cell r="B858">
            <v>49</v>
          </cell>
          <cell r="C858">
            <v>39</v>
          </cell>
          <cell r="D858">
            <v>9212486.4000000004</v>
          </cell>
          <cell r="E858" t="str">
            <v>Y88</v>
          </cell>
        </row>
        <row r="859">
          <cell r="A859">
            <v>39089</v>
          </cell>
          <cell r="B859">
            <v>50</v>
          </cell>
          <cell r="C859">
            <v>39</v>
          </cell>
          <cell r="D859" t="str">
            <v>STABLE</v>
          </cell>
          <cell r="E859" t="str">
            <v>Y89</v>
          </cell>
        </row>
        <row r="860">
          <cell r="A860">
            <v>39090</v>
          </cell>
          <cell r="B860">
            <v>51</v>
          </cell>
          <cell r="C860">
            <v>39</v>
          </cell>
          <cell r="D860">
            <v>230590.8</v>
          </cell>
          <cell r="E860" t="str">
            <v>Y90</v>
          </cell>
        </row>
        <row r="861">
          <cell r="A861">
            <v>39091</v>
          </cell>
          <cell r="B861">
            <v>52</v>
          </cell>
          <cell r="C861">
            <v>39</v>
          </cell>
          <cell r="D861">
            <v>5055264</v>
          </cell>
          <cell r="E861" t="str">
            <v>Y91</v>
          </cell>
        </row>
        <row r="862">
          <cell r="A862">
            <v>39092</v>
          </cell>
          <cell r="B862">
            <v>53</v>
          </cell>
          <cell r="C862">
            <v>39</v>
          </cell>
          <cell r="D862">
            <v>12744</v>
          </cell>
          <cell r="E862" t="str">
            <v>Y92</v>
          </cell>
        </row>
        <row r="863">
          <cell r="A863">
            <v>39093</v>
          </cell>
          <cell r="B863">
            <v>54</v>
          </cell>
          <cell r="C863">
            <v>39</v>
          </cell>
          <cell r="D863">
            <v>36648</v>
          </cell>
          <cell r="E863" t="str">
            <v>Y93</v>
          </cell>
        </row>
        <row r="864">
          <cell r="A864">
            <v>39094</v>
          </cell>
          <cell r="B864">
            <v>55</v>
          </cell>
          <cell r="C864">
            <v>39</v>
          </cell>
          <cell r="D864">
            <v>1122</v>
          </cell>
          <cell r="E864" t="str">
            <v>Y94</v>
          </cell>
        </row>
        <row r="865">
          <cell r="A865">
            <v>39095</v>
          </cell>
          <cell r="B865">
            <v>56</v>
          </cell>
          <cell r="C865">
            <v>39</v>
          </cell>
          <cell r="D865">
            <v>618</v>
          </cell>
          <cell r="E865" t="str">
            <v>Y95</v>
          </cell>
        </row>
        <row r="866">
          <cell r="A866">
            <v>39096</v>
          </cell>
          <cell r="B866">
            <v>57</v>
          </cell>
          <cell r="C866">
            <v>39</v>
          </cell>
          <cell r="D866">
            <v>5.34</v>
          </cell>
          <cell r="E866" t="str">
            <v>Y96</v>
          </cell>
        </row>
        <row r="867">
          <cell r="A867">
            <v>39097</v>
          </cell>
          <cell r="B867">
            <v>58</v>
          </cell>
          <cell r="C867">
            <v>39</v>
          </cell>
          <cell r="D867">
            <v>3.75</v>
          </cell>
          <cell r="E867" t="str">
            <v>Y97</v>
          </cell>
        </row>
        <row r="868">
          <cell r="A868">
            <v>39098</v>
          </cell>
          <cell r="B868">
            <v>59</v>
          </cell>
          <cell r="C868">
            <v>39</v>
          </cell>
          <cell r="D868">
            <v>0.54800000000000004</v>
          </cell>
          <cell r="E868" t="str">
            <v>Y98</v>
          </cell>
        </row>
        <row r="869">
          <cell r="A869">
            <v>39099</v>
          </cell>
          <cell r="B869">
            <v>60</v>
          </cell>
          <cell r="C869">
            <v>39</v>
          </cell>
          <cell r="D869">
            <v>1.484</v>
          </cell>
          <cell r="E869" t="str">
            <v>Y99</v>
          </cell>
        </row>
        <row r="870">
          <cell r="A870">
            <v>39100</v>
          </cell>
          <cell r="B870">
            <v>61</v>
          </cell>
          <cell r="C870">
            <v>39</v>
          </cell>
          <cell r="D870">
            <v>0.73499999999999999</v>
          </cell>
          <cell r="E870" t="str">
            <v>Y100</v>
          </cell>
        </row>
        <row r="871">
          <cell r="A871">
            <v>39101</v>
          </cell>
          <cell r="B871">
            <v>62</v>
          </cell>
          <cell r="C871">
            <v>39</v>
          </cell>
          <cell r="D871">
            <v>0.45</v>
          </cell>
          <cell r="E871" t="str">
            <v>Y101</v>
          </cell>
        </row>
        <row r="872">
          <cell r="A872">
            <v>39102</v>
          </cell>
          <cell r="B872">
            <v>63</v>
          </cell>
          <cell r="C872">
            <v>39</v>
          </cell>
          <cell r="D872">
            <v>0.36</v>
          </cell>
          <cell r="E872" t="str">
            <v>Y102</v>
          </cell>
        </row>
        <row r="873">
          <cell r="A873">
            <v>39103</v>
          </cell>
          <cell r="B873">
            <v>64</v>
          </cell>
          <cell r="C873">
            <v>39</v>
          </cell>
          <cell r="D873">
            <v>0.23</v>
          </cell>
          <cell r="E873" t="str">
            <v>Y103</v>
          </cell>
        </row>
        <row r="874">
          <cell r="A874">
            <v>39104</v>
          </cell>
          <cell r="B874">
            <v>65</v>
          </cell>
          <cell r="C874">
            <v>39</v>
          </cell>
          <cell r="D874">
            <v>0.19700000000000001</v>
          </cell>
          <cell r="E874" t="str">
            <v>Y104</v>
          </cell>
        </row>
        <row r="875">
          <cell r="A875">
            <v>39105</v>
          </cell>
          <cell r="B875">
            <v>66</v>
          </cell>
          <cell r="C875">
            <v>39</v>
          </cell>
          <cell r="D875">
            <v>9.5000000000000001E-2</v>
          </cell>
          <cell r="E875" t="str">
            <v>Y105</v>
          </cell>
        </row>
        <row r="876">
          <cell r="A876">
            <v>39106</v>
          </cell>
          <cell r="B876">
            <v>67</v>
          </cell>
          <cell r="C876">
            <v>39</v>
          </cell>
          <cell r="D876">
            <v>7.9000000000000001E-2</v>
          </cell>
          <cell r="E876" t="str">
            <v>Y106</v>
          </cell>
        </row>
        <row r="877">
          <cell r="A877">
            <v>39107</v>
          </cell>
          <cell r="B877">
            <v>68</v>
          </cell>
          <cell r="C877">
            <v>39</v>
          </cell>
          <cell r="D877">
            <v>3.5000000000000001E-3</v>
          </cell>
          <cell r="E877" t="str">
            <v>Y107</v>
          </cell>
        </row>
        <row r="878">
          <cell r="A878">
            <v>39108</v>
          </cell>
          <cell r="B878">
            <v>69</v>
          </cell>
          <cell r="C878">
            <v>39</v>
          </cell>
          <cell r="D878">
            <v>0.03</v>
          </cell>
          <cell r="E878" t="str">
            <v>Y108</v>
          </cell>
        </row>
        <row r="879">
          <cell r="A879">
            <v>39109</v>
          </cell>
          <cell r="B879">
            <v>70</v>
          </cell>
          <cell r="C879">
            <v>39</v>
          </cell>
          <cell r="D879">
            <v>2.5000000000000001E-2</v>
          </cell>
          <cell r="E879" t="str">
            <v>Y109</v>
          </cell>
        </row>
        <row r="880">
          <cell r="A880">
            <v>40078</v>
          </cell>
          <cell r="B880">
            <v>38</v>
          </cell>
          <cell r="C880">
            <v>40</v>
          </cell>
          <cell r="D880">
            <v>1.6999999999999999E-7</v>
          </cell>
          <cell r="E880" t="str">
            <v>Zr78</v>
          </cell>
        </row>
        <row r="881">
          <cell r="A881">
            <v>40079</v>
          </cell>
          <cell r="B881">
            <v>39</v>
          </cell>
          <cell r="C881">
            <v>40</v>
          </cell>
          <cell r="D881">
            <v>5.6000000000000001E-2</v>
          </cell>
          <cell r="E881" t="str">
            <v>Zr79</v>
          </cell>
        </row>
        <row r="882">
          <cell r="A882">
            <v>40080</v>
          </cell>
          <cell r="B882">
            <v>40</v>
          </cell>
          <cell r="C882">
            <v>40</v>
          </cell>
          <cell r="D882">
            <v>4.5999999999999996</v>
          </cell>
          <cell r="E882" t="str">
            <v>Zr80</v>
          </cell>
        </row>
        <row r="883">
          <cell r="A883">
            <v>40081</v>
          </cell>
          <cell r="B883">
            <v>41</v>
          </cell>
          <cell r="C883">
            <v>40</v>
          </cell>
          <cell r="D883">
            <v>5.5</v>
          </cell>
          <cell r="E883" t="str">
            <v>Zr81</v>
          </cell>
        </row>
        <row r="884">
          <cell r="A884">
            <v>40082</v>
          </cell>
          <cell r="B884">
            <v>42</v>
          </cell>
          <cell r="C884">
            <v>40</v>
          </cell>
          <cell r="D884">
            <v>32</v>
          </cell>
          <cell r="E884" t="str">
            <v>Zr82</v>
          </cell>
        </row>
        <row r="885">
          <cell r="A885">
            <v>40083</v>
          </cell>
          <cell r="B885">
            <v>43</v>
          </cell>
          <cell r="C885">
            <v>40</v>
          </cell>
          <cell r="D885">
            <v>42</v>
          </cell>
          <cell r="E885" t="str">
            <v>Zr83</v>
          </cell>
        </row>
        <row r="886">
          <cell r="A886">
            <v>40084</v>
          </cell>
          <cell r="B886">
            <v>44</v>
          </cell>
          <cell r="C886">
            <v>40</v>
          </cell>
          <cell r="D886">
            <v>1548</v>
          </cell>
          <cell r="E886" t="str">
            <v>Zr84</v>
          </cell>
        </row>
        <row r="887">
          <cell r="A887">
            <v>40085</v>
          </cell>
          <cell r="B887">
            <v>45</v>
          </cell>
          <cell r="C887">
            <v>40</v>
          </cell>
          <cell r="D887">
            <v>471.6</v>
          </cell>
          <cell r="E887" t="str">
            <v>Zr85</v>
          </cell>
        </row>
        <row r="888">
          <cell r="A888">
            <v>40086</v>
          </cell>
          <cell r="B888">
            <v>46</v>
          </cell>
          <cell r="C888">
            <v>40</v>
          </cell>
          <cell r="D888">
            <v>59400</v>
          </cell>
          <cell r="E888" t="str">
            <v>Zr86</v>
          </cell>
        </row>
        <row r="889">
          <cell r="A889">
            <v>40087</v>
          </cell>
          <cell r="B889">
            <v>47</v>
          </cell>
          <cell r="C889">
            <v>40</v>
          </cell>
          <cell r="D889">
            <v>6048</v>
          </cell>
          <cell r="E889" t="str">
            <v>Zr87</v>
          </cell>
        </row>
        <row r="890">
          <cell r="A890">
            <v>40088</v>
          </cell>
          <cell r="B890">
            <v>48</v>
          </cell>
          <cell r="C890">
            <v>40</v>
          </cell>
          <cell r="D890">
            <v>7205760</v>
          </cell>
          <cell r="E890" t="str">
            <v>Zr88</v>
          </cell>
        </row>
        <row r="891">
          <cell r="A891">
            <v>40089</v>
          </cell>
          <cell r="B891">
            <v>49</v>
          </cell>
          <cell r="C891">
            <v>40</v>
          </cell>
          <cell r="D891">
            <v>282276</v>
          </cell>
          <cell r="E891" t="str">
            <v>Zr89</v>
          </cell>
        </row>
        <row r="892">
          <cell r="A892">
            <v>40090</v>
          </cell>
          <cell r="B892">
            <v>50</v>
          </cell>
          <cell r="C892">
            <v>40</v>
          </cell>
          <cell r="D892" t="str">
            <v>STABLE</v>
          </cell>
          <cell r="E892" t="str">
            <v>Zr90</v>
          </cell>
        </row>
        <row r="893">
          <cell r="A893">
            <v>40091</v>
          </cell>
          <cell r="B893">
            <v>51</v>
          </cell>
          <cell r="C893">
            <v>40</v>
          </cell>
          <cell r="D893" t="str">
            <v>STABLE</v>
          </cell>
          <cell r="E893" t="str">
            <v>Zr91</v>
          </cell>
        </row>
        <row r="894">
          <cell r="A894">
            <v>40092</v>
          </cell>
          <cell r="B894">
            <v>52</v>
          </cell>
          <cell r="C894">
            <v>40</v>
          </cell>
          <cell r="D894" t="str">
            <v>STABLE</v>
          </cell>
          <cell r="E894" t="str">
            <v>Zr92</v>
          </cell>
        </row>
        <row r="895">
          <cell r="A895">
            <v>40093</v>
          </cell>
          <cell r="B895">
            <v>53</v>
          </cell>
          <cell r="C895">
            <v>40</v>
          </cell>
          <cell r="D895">
            <v>50807736000000</v>
          </cell>
          <cell r="E895" t="str">
            <v>Zr93</v>
          </cell>
        </row>
        <row r="896">
          <cell r="A896">
            <v>40094</v>
          </cell>
          <cell r="B896">
            <v>54</v>
          </cell>
          <cell r="C896">
            <v>40</v>
          </cell>
          <cell r="D896" t="str">
            <v>STABLE</v>
          </cell>
          <cell r="E896" t="str">
            <v>Zr94</v>
          </cell>
        </row>
        <row r="897">
          <cell r="A897">
            <v>40095</v>
          </cell>
          <cell r="B897">
            <v>55</v>
          </cell>
          <cell r="C897">
            <v>40</v>
          </cell>
          <cell r="D897">
            <v>5532364.7999999998</v>
          </cell>
          <cell r="E897" t="str">
            <v>Zr95</v>
          </cell>
        </row>
        <row r="898">
          <cell r="A898">
            <v>40096</v>
          </cell>
          <cell r="B898">
            <v>56</v>
          </cell>
          <cell r="C898">
            <v>40</v>
          </cell>
          <cell r="D898">
            <v>7.4160360000000004E+26</v>
          </cell>
          <cell r="E898" t="str">
            <v>Zr96</v>
          </cell>
        </row>
        <row r="899">
          <cell r="A899">
            <v>40097</v>
          </cell>
          <cell r="B899">
            <v>57</v>
          </cell>
          <cell r="C899">
            <v>40</v>
          </cell>
          <cell r="D899">
            <v>60296.3999999999</v>
          </cell>
          <cell r="E899" t="str">
            <v>Zr97</v>
          </cell>
        </row>
        <row r="900">
          <cell r="A900">
            <v>40098</v>
          </cell>
          <cell r="B900">
            <v>58</v>
          </cell>
          <cell r="C900">
            <v>40</v>
          </cell>
          <cell r="D900">
            <v>30.7</v>
          </cell>
          <cell r="E900" t="str">
            <v>Zr98</v>
          </cell>
        </row>
        <row r="901">
          <cell r="A901">
            <v>40099</v>
          </cell>
          <cell r="B901">
            <v>59</v>
          </cell>
          <cell r="C901">
            <v>40</v>
          </cell>
          <cell r="D901">
            <v>2.1</v>
          </cell>
          <cell r="E901" t="str">
            <v>Zr99</v>
          </cell>
        </row>
        <row r="902">
          <cell r="A902">
            <v>40100</v>
          </cell>
          <cell r="B902">
            <v>60</v>
          </cell>
          <cell r="C902">
            <v>40</v>
          </cell>
          <cell r="D902">
            <v>7.1</v>
          </cell>
          <cell r="E902" t="str">
            <v>Zr100</v>
          </cell>
        </row>
        <row r="903">
          <cell r="A903">
            <v>40101</v>
          </cell>
          <cell r="B903">
            <v>61</v>
          </cell>
          <cell r="C903">
            <v>40</v>
          </cell>
          <cell r="D903">
            <v>2.2999999999999998</v>
          </cell>
          <cell r="E903" t="str">
            <v>Zr101</v>
          </cell>
        </row>
        <row r="904">
          <cell r="A904">
            <v>40102</v>
          </cell>
          <cell r="B904">
            <v>62</v>
          </cell>
          <cell r="C904">
            <v>40</v>
          </cell>
          <cell r="D904">
            <v>2.9</v>
          </cell>
          <cell r="E904" t="str">
            <v>Zr102</v>
          </cell>
        </row>
        <row r="905">
          <cell r="A905">
            <v>40103</v>
          </cell>
          <cell r="B905">
            <v>63</v>
          </cell>
          <cell r="C905">
            <v>40</v>
          </cell>
          <cell r="D905">
            <v>1.32</v>
          </cell>
          <cell r="E905" t="str">
            <v>Zr103</v>
          </cell>
        </row>
        <row r="906">
          <cell r="A906">
            <v>40104</v>
          </cell>
          <cell r="B906">
            <v>64</v>
          </cell>
          <cell r="C906">
            <v>40</v>
          </cell>
          <cell r="D906">
            <v>0.87</v>
          </cell>
          <cell r="E906" t="str">
            <v>Zr104</v>
          </cell>
        </row>
        <row r="907">
          <cell r="A907">
            <v>40105</v>
          </cell>
          <cell r="B907">
            <v>65</v>
          </cell>
          <cell r="C907">
            <v>40</v>
          </cell>
          <cell r="D907">
            <v>0.67</v>
          </cell>
          <cell r="E907" t="str">
            <v>Zr105</v>
          </cell>
        </row>
        <row r="908">
          <cell r="A908">
            <v>40106</v>
          </cell>
          <cell r="B908">
            <v>66</v>
          </cell>
          <cell r="C908">
            <v>40</v>
          </cell>
          <cell r="D908">
            <v>0.18</v>
          </cell>
          <cell r="E908" t="str">
            <v>Zr106</v>
          </cell>
        </row>
        <row r="909">
          <cell r="A909">
            <v>40107</v>
          </cell>
          <cell r="B909">
            <v>67</v>
          </cell>
          <cell r="C909">
            <v>40</v>
          </cell>
          <cell r="D909">
            <v>0.14599999999999999</v>
          </cell>
          <cell r="E909" t="str">
            <v>Zr107</v>
          </cell>
        </row>
        <row r="910">
          <cell r="A910">
            <v>40108</v>
          </cell>
          <cell r="B910">
            <v>68</v>
          </cell>
          <cell r="C910">
            <v>40</v>
          </cell>
          <cell r="D910">
            <v>7.7399999999999997E-2</v>
          </cell>
          <cell r="E910" t="str">
            <v>Zr108</v>
          </cell>
        </row>
        <row r="911">
          <cell r="A911">
            <v>40109</v>
          </cell>
          <cell r="B911">
            <v>69</v>
          </cell>
          <cell r="C911">
            <v>40</v>
          </cell>
          <cell r="D911">
            <v>5.6000000000000001E-2</v>
          </cell>
          <cell r="E911" t="str">
            <v>Zr109</v>
          </cell>
        </row>
        <row r="912">
          <cell r="A912">
            <v>40110</v>
          </cell>
          <cell r="B912">
            <v>70</v>
          </cell>
          <cell r="C912">
            <v>40</v>
          </cell>
          <cell r="D912">
            <v>3.7499999999999999E-2</v>
          </cell>
          <cell r="E912" t="str">
            <v>Zr110</v>
          </cell>
        </row>
        <row r="913">
          <cell r="A913">
            <v>40111</v>
          </cell>
          <cell r="B913">
            <v>71</v>
          </cell>
          <cell r="C913">
            <v>40</v>
          </cell>
          <cell r="D913">
            <v>2.4E-2</v>
          </cell>
          <cell r="E913" t="str">
            <v>Zr111</v>
          </cell>
        </row>
        <row r="914">
          <cell r="A914">
            <v>40112</v>
          </cell>
          <cell r="B914">
            <v>72</v>
          </cell>
          <cell r="C914">
            <v>40</v>
          </cell>
          <cell r="D914">
            <v>0.03</v>
          </cell>
          <cell r="E914" t="str">
            <v>Zr112</v>
          </cell>
        </row>
        <row r="915">
          <cell r="A915">
            <v>41082</v>
          </cell>
          <cell r="B915">
            <v>41</v>
          </cell>
          <cell r="C915">
            <v>41</v>
          </cell>
          <cell r="D915">
            <v>0.05</v>
          </cell>
          <cell r="E915" t="str">
            <v>Nb82</v>
          </cell>
        </row>
        <row r="916">
          <cell r="A916">
            <v>41083</v>
          </cell>
          <cell r="B916">
            <v>42</v>
          </cell>
          <cell r="C916">
            <v>41</v>
          </cell>
          <cell r="D916">
            <v>3.9</v>
          </cell>
          <cell r="E916" t="str">
            <v>Nb83</v>
          </cell>
        </row>
        <row r="917">
          <cell r="A917">
            <v>41084</v>
          </cell>
          <cell r="B917">
            <v>43</v>
          </cell>
          <cell r="C917">
            <v>41</v>
          </cell>
          <cell r="D917">
            <v>9.8000000000000007</v>
          </cell>
          <cell r="E917" t="str">
            <v>Nb84</v>
          </cell>
        </row>
        <row r="918">
          <cell r="A918">
            <v>41085</v>
          </cell>
          <cell r="B918">
            <v>44</v>
          </cell>
          <cell r="C918">
            <v>41</v>
          </cell>
          <cell r="D918">
            <v>20.5</v>
          </cell>
          <cell r="E918" t="str">
            <v>Nb85</v>
          </cell>
        </row>
        <row r="919">
          <cell r="A919">
            <v>41086</v>
          </cell>
          <cell r="B919">
            <v>45</v>
          </cell>
          <cell r="C919">
            <v>41</v>
          </cell>
          <cell r="D919">
            <v>88</v>
          </cell>
          <cell r="E919" t="str">
            <v>Nb86</v>
          </cell>
        </row>
        <row r="920">
          <cell r="A920">
            <v>41087</v>
          </cell>
          <cell r="B920">
            <v>46</v>
          </cell>
          <cell r="C920">
            <v>41</v>
          </cell>
          <cell r="D920">
            <v>222</v>
          </cell>
          <cell r="E920" t="str">
            <v>Nb87</v>
          </cell>
        </row>
        <row r="921">
          <cell r="A921">
            <v>41088</v>
          </cell>
          <cell r="B921">
            <v>47</v>
          </cell>
          <cell r="C921">
            <v>41</v>
          </cell>
          <cell r="D921">
            <v>873</v>
          </cell>
          <cell r="E921" t="str">
            <v>Nb88</v>
          </cell>
        </row>
        <row r="922">
          <cell r="A922">
            <v>41089</v>
          </cell>
          <cell r="B922">
            <v>48</v>
          </cell>
          <cell r="C922">
            <v>41</v>
          </cell>
          <cell r="D922">
            <v>7307.99999999999</v>
          </cell>
          <cell r="E922" t="str">
            <v>Nb89</v>
          </cell>
        </row>
        <row r="923">
          <cell r="A923">
            <v>41090</v>
          </cell>
          <cell r="B923">
            <v>49</v>
          </cell>
          <cell r="C923">
            <v>41</v>
          </cell>
          <cell r="D923">
            <v>52560</v>
          </cell>
          <cell r="E923" t="str">
            <v>Nb90</v>
          </cell>
        </row>
        <row r="924">
          <cell r="A924">
            <v>41091</v>
          </cell>
          <cell r="B924">
            <v>50</v>
          </cell>
          <cell r="C924">
            <v>41</v>
          </cell>
          <cell r="D924">
            <v>21459168000</v>
          </cell>
          <cell r="E924" t="str">
            <v>Nb91</v>
          </cell>
        </row>
        <row r="925">
          <cell r="A925">
            <v>41092</v>
          </cell>
          <cell r="B925">
            <v>51</v>
          </cell>
          <cell r="C925">
            <v>41</v>
          </cell>
          <cell r="D925">
            <v>1095048720000000</v>
          </cell>
          <cell r="E925" t="str">
            <v>Nb92</v>
          </cell>
        </row>
        <row r="926">
          <cell r="A926">
            <v>41093</v>
          </cell>
          <cell r="B926">
            <v>52</v>
          </cell>
          <cell r="C926">
            <v>41</v>
          </cell>
          <cell r="D926" t="str">
            <v>STABLE</v>
          </cell>
          <cell r="E926" t="str">
            <v>Nb93</v>
          </cell>
        </row>
        <row r="927">
          <cell r="A927">
            <v>41094</v>
          </cell>
          <cell r="B927">
            <v>53</v>
          </cell>
          <cell r="C927">
            <v>41</v>
          </cell>
          <cell r="D927">
            <v>640619280000</v>
          </cell>
          <cell r="E927" t="str">
            <v>Nb94</v>
          </cell>
        </row>
        <row r="928">
          <cell r="A928">
            <v>41095</v>
          </cell>
          <cell r="B928">
            <v>54</v>
          </cell>
          <cell r="C928">
            <v>41</v>
          </cell>
          <cell r="D928">
            <v>3023222.4</v>
          </cell>
          <cell r="E928" t="str">
            <v>Nb95</v>
          </cell>
        </row>
        <row r="929">
          <cell r="A929">
            <v>41096</v>
          </cell>
          <cell r="B929">
            <v>55</v>
          </cell>
          <cell r="C929">
            <v>41</v>
          </cell>
          <cell r="D929">
            <v>84060</v>
          </cell>
          <cell r="E929" t="str">
            <v>Nb96</v>
          </cell>
        </row>
        <row r="930">
          <cell r="A930">
            <v>41097</v>
          </cell>
          <cell r="B930">
            <v>56</v>
          </cell>
          <cell r="C930">
            <v>41</v>
          </cell>
          <cell r="D930">
            <v>4326</v>
          </cell>
          <cell r="E930" t="str">
            <v>Nb97</v>
          </cell>
        </row>
        <row r="931">
          <cell r="A931">
            <v>41098</v>
          </cell>
          <cell r="B931">
            <v>57</v>
          </cell>
          <cell r="C931">
            <v>41</v>
          </cell>
          <cell r="D931">
            <v>2.86</v>
          </cell>
          <cell r="E931" t="str">
            <v>Nb98</v>
          </cell>
        </row>
        <row r="932">
          <cell r="A932">
            <v>41099</v>
          </cell>
          <cell r="B932">
            <v>58</v>
          </cell>
          <cell r="C932">
            <v>41</v>
          </cell>
          <cell r="D932">
            <v>15</v>
          </cell>
          <cell r="E932" t="str">
            <v>Nb99</v>
          </cell>
        </row>
        <row r="933">
          <cell r="A933">
            <v>41100</v>
          </cell>
          <cell r="B933">
            <v>59</v>
          </cell>
          <cell r="C933">
            <v>41</v>
          </cell>
          <cell r="D933">
            <v>1.5</v>
          </cell>
          <cell r="E933" t="str">
            <v>Nb100</v>
          </cell>
        </row>
        <row r="934">
          <cell r="A934">
            <v>41101</v>
          </cell>
          <cell r="B934">
            <v>60</v>
          </cell>
          <cell r="C934">
            <v>41</v>
          </cell>
          <cell r="D934">
            <v>7.1</v>
          </cell>
          <cell r="E934" t="str">
            <v>Nb101</v>
          </cell>
        </row>
        <row r="935">
          <cell r="A935">
            <v>41102</v>
          </cell>
          <cell r="B935">
            <v>61</v>
          </cell>
          <cell r="C935">
            <v>41</v>
          </cell>
          <cell r="D935">
            <v>4.3</v>
          </cell>
          <cell r="E935" t="str">
            <v>Nb102</v>
          </cell>
        </row>
        <row r="936">
          <cell r="A936">
            <v>41103</v>
          </cell>
          <cell r="B936">
            <v>62</v>
          </cell>
          <cell r="C936">
            <v>41</v>
          </cell>
          <cell r="D936">
            <v>1.5</v>
          </cell>
          <cell r="E936" t="str">
            <v>Nb103</v>
          </cell>
        </row>
        <row r="937">
          <cell r="A937">
            <v>41104</v>
          </cell>
          <cell r="B937">
            <v>63</v>
          </cell>
          <cell r="C937">
            <v>41</v>
          </cell>
          <cell r="D937">
            <v>4.9000000000000004</v>
          </cell>
          <cell r="E937" t="str">
            <v>Nb104</v>
          </cell>
        </row>
        <row r="938">
          <cell r="A938">
            <v>41105</v>
          </cell>
          <cell r="B938">
            <v>64</v>
          </cell>
          <cell r="C938">
            <v>41</v>
          </cell>
          <cell r="D938">
            <v>2.95</v>
          </cell>
          <cell r="E938" t="str">
            <v>Nb105</v>
          </cell>
        </row>
        <row r="939">
          <cell r="A939">
            <v>41106</v>
          </cell>
          <cell r="B939">
            <v>65</v>
          </cell>
          <cell r="C939">
            <v>41</v>
          </cell>
          <cell r="D939">
            <v>1.02</v>
          </cell>
          <cell r="E939" t="str">
            <v>Nb106</v>
          </cell>
        </row>
        <row r="940">
          <cell r="A940">
            <v>41107</v>
          </cell>
          <cell r="B940">
            <v>66</v>
          </cell>
          <cell r="C940">
            <v>41</v>
          </cell>
          <cell r="D940">
            <v>0.3</v>
          </cell>
          <cell r="E940" t="str">
            <v>Nb107</v>
          </cell>
        </row>
        <row r="941">
          <cell r="A941">
            <v>41108</v>
          </cell>
          <cell r="B941">
            <v>67</v>
          </cell>
          <cell r="C941">
            <v>41</v>
          </cell>
          <cell r="D941">
            <v>0.19800000000000001</v>
          </cell>
          <cell r="E941" t="str">
            <v>Nb108</v>
          </cell>
        </row>
        <row r="942">
          <cell r="A942">
            <v>41109</v>
          </cell>
          <cell r="B942">
            <v>68</v>
          </cell>
          <cell r="C942">
            <v>41</v>
          </cell>
          <cell r="D942">
            <v>0.106</v>
          </cell>
          <cell r="E942" t="str">
            <v>Nb109</v>
          </cell>
        </row>
        <row r="943">
          <cell r="A943">
            <v>41110</v>
          </cell>
          <cell r="B943">
            <v>69</v>
          </cell>
          <cell r="C943">
            <v>41</v>
          </cell>
          <cell r="D943">
            <v>8.5999999999999993E-2</v>
          </cell>
          <cell r="E943" t="str">
            <v>Nb110</v>
          </cell>
        </row>
        <row r="944">
          <cell r="A944">
            <v>41111</v>
          </cell>
          <cell r="B944">
            <v>70</v>
          </cell>
          <cell r="C944">
            <v>41</v>
          </cell>
          <cell r="D944">
            <v>5.0999999999999997E-2</v>
          </cell>
          <cell r="E944" t="str">
            <v>Nb111</v>
          </cell>
        </row>
        <row r="945">
          <cell r="A945">
            <v>41112</v>
          </cell>
          <cell r="B945">
            <v>71</v>
          </cell>
          <cell r="C945">
            <v>41</v>
          </cell>
          <cell r="D945">
            <v>3.3000000000000002E-2</v>
          </cell>
          <cell r="E945" t="str">
            <v>Nb112</v>
          </cell>
        </row>
        <row r="946">
          <cell r="A946">
            <v>41113</v>
          </cell>
          <cell r="B946">
            <v>72</v>
          </cell>
          <cell r="C946">
            <v>41</v>
          </cell>
          <cell r="D946">
            <v>3.2000000000000001E-2</v>
          </cell>
          <cell r="E946" t="str">
            <v>Nb113</v>
          </cell>
        </row>
        <row r="947">
          <cell r="A947">
            <v>41114</v>
          </cell>
          <cell r="B947">
            <v>73</v>
          </cell>
          <cell r="C947">
            <v>41</v>
          </cell>
          <cell r="D947">
            <v>1.7000000000000001E-2</v>
          </cell>
          <cell r="E947" t="str">
            <v>Nb114</v>
          </cell>
        </row>
        <row r="948">
          <cell r="A948">
            <v>41115</v>
          </cell>
          <cell r="B948">
            <v>74</v>
          </cell>
          <cell r="C948">
            <v>41</v>
          </cell>
          <cell r="D948">
            <v>2.3E-2</v>
          </cell>
          <cell r="E948" t="str">
            <v>Nb115</v>
          </cell>
        </row>
        <row r="949">
          <cell r="A949">
            <v>42081</v>
          </cell>
          <cell r="B949">
            <v>39</v>
          </cell>
          <cell r="C949">
            <v>42</v>
          </cell>
          <cell r="D949">
            <v>4.4999999999999998E-7</v>
          </cell>
          <cell r="E949" t="str">
            <v>Mo81</v>
          </cell>
        </row>
        <row r="950">
          <cell r="A950">
            <v>42082</v>
          </cell>
          <cell r="B950">
            <v>40</v>
          </cell>
          <cell r="C950">
            <v>42</v>
          </cell>
          <cell r="D950">
            <v>4.3700000000000001E-7</v>
          </cell>
          <cell r="E950" t="str">
            <v>Mo82</v>
          </cell>
        </row>
        <row r="951">
          <cell r="A951">
            <v>42083</v>
          </cell>
          <cell r="B951">
            <v>41</v>
          </cell>
          <cell r="C951">
            <v>42</v>
          </cell>
          <cell r="D951">
            <v>6.0000000000000001E-3</v>
          </cell>
          <cell r="E951" t="str">
            <v>Mo83</v>
          </cell>
        </row>
        <row r="952">
          <cell r="A952">
            <v>42084</v>
          </cell>
          <cell r="B952">
            <v>42</v>
          </cell>
          <cell r="C952">
            <v>42</v>
          </cell>
          <cell r="D952">
            <v>2.2999999999999998</v>
          </cell>
          <cell r="E952" t="str">
            <v>Mo84</v>
          </cell>
        </row>
        <row r="953">
          <cell r="A953">
            <v>42085</v>
          </cell>
          <cell r="B953">
            <v>43</v>
          </cell>
          <cell r="C953">
            <v>42</v>
          </cell>
          <cell r="D953">
            <v>3.2</v>
          </cell>
          <cell r="E953" t="str">
            <v>Mo85</v>
          </cell>
        </row>
        <row r="954">
          <cell r="A954">
            <v>42086</v>
          </cell>
          <cell r="B954">
            <v>44</v>
          </cell>
          <cell r="C954">
            <v>42</v>
          </cell>
          <cell r="D954">
            <v>19.100000000000001</v>
          </cell>
          <cell r="E954" t="str">
            <v>Mo86</v>
          </cell>
        </row>
        <row r="955">
          <cell r="A955">
            <v>42087</v>
          </cell>
          <cell r="B955">
            <v>45</v>
          </cell>
          <cell r="C955">
            <v>42</v>
          </cell>
          <cell r="D955">
            <v>14.02</v>
          </cell>
          <cell r="E955" t="str">
            <v>Mo87</v>
          </cell>
        </row>
        <row r="956">
          <cell r="A956">
            <v>42088</v>
          </cell>
          <cell r="B956">
            <v>46</v>
          </cell>
          <cell r="C956">
            <v>42</v>
          </cell>
          <cell r="D956">
            <v>480</v>
          </cell>
          <cell r="E956" t="str">
            <v>Mo88</v>
          </cell>
        </row>
        <row r="957">
          <cell r="A957">
            <v>42089</v>
          </cell>
          <cell r="B957">
            <v>47</v>
          </cell>
          <cell r="C957">
            <v>42</v>
          </cell>
          <cell r="D957">
            <v>126.6</v>
          </cell>
          <cell r="E957" t="str">
            <v>Mo89</v>
          </cell>
        </row>
        <row r="958">
          <cell r="A958">
            <v>42090</v>
          </cell>
          <cell r="B958">
            <v>48</v>
          </cell>
          <cell r="C958">
            <v>42</v>
          </cell>
          <cell r="D958">
            <v>20016</v>
          </cell>
          <cell r="E958" t="str">
            <v>Mo90</v>
          </cell>
        </row>
        <row r="959">
          <cell r="A959">
            <v>42091</v>
          </cell>
          <cell r="B959">
            <v>49</v>
          </cell>
          <cell r="C959">
            <v>42</v>
          </cell>
          <cell r="D959">
            <v>929.4</v>
          </cell>
          <cell r="E959" t="str">
            <v>Mo91</v>
          </cell>
        </row>
        <row r="960">
          <cell r="A960">
            <v>42092</v>
          </cell>
          <cell r="B960">
            <v>50</v>
          </cell>
          <cell r="C960">
            <v>42</v>
          </cell>
          <cell r="D960" t="str">
            <v>STABLE</v>
          </cell>
          <cell r="E960" t="str">
            <v>Mo92</v>
          </cell>
        </row>
        <row r="961">
          <cell r="A961">
            <v>42093</v>
          </cell>
          <cell r="B961">
            <v>51</v>
          </cell>
          <cell r="C961">
            <v>42</v>
          </cell>
          <cell r="D961">
            <v>126230400000</v>
          </cell>
          <cell r="E961" t="str">
            <v>Mo93</v>
          </cell>
        </row>
        <row r="962">
          <cell r="A962">
            <v>42094</v>
          </cell>
          <cell r="B962">
            <v>52</v>
          </cell>
          <cell r="C962">
            <v>42</v>
          </cell>
          <cell r="D962" t="str">
            <v>STABLE</v>
          </cell>
          <cell r="E962" t="str">
            <v>Mo94</v>
          </cell>
        </row>
        <row r="963">
          <cell r="A963">
            <v>42095</v>
          </cell>
          <cell r="B963">
            <v>53</v>
          </cell>
          <cell r="C963">
            <v>42</v>
          </cell>
          <cell r="D963" t="str">
            <v>STABLE</v>
          </cell>
          <cell r="E963" t="str">
            <v>Mo95</v>
          </cell>
        </row>
        <row r="964">
          <cell r="A964">
            <v>42096</v>
          </cell>
          <cell r="B964">
            <v>54</v>
          </cell>
          <cell r="C964">
            <v>42</v>
          </cell>
          <cell r="D964" t="str">
            <v>STABLE</v>
          </cell>
          <cell r="E964" t="str">
            <v>Mo96</v>
          </cell>
        </row>
        <row r="965">
          <cell r="A965">
            <v>42097</v>
          </cell>
          <cell r="B965">
            <v>55</v>
          </cell>
          <cell r="C965">
            <v>42</v>
          </cell>
          <cell r="D965" t="str">
            <v>STABLE</v>
          </cell>
          <cell r="E965" t="str">
            <v>Mo97</v>
          </cell>
        </row>
        <row r="966">
          <cell r="A966">
            <v>42098</v>
          </cell>
          <cell r="B966">
            <v>56</v>
          </cell>
          <cell r="C966">
            <v>42</v>
          </cell>
          <cell r="D966" t="str">
            <v>STABLE</v>
          </cell>
          <cell r="E966" t="str">
            <v>Mo98</v>
          </cell>
        </row>
        <row r="967">
          <cell r="A967">
            <v>42099</v>
          </cell>
          <cell r="B967">
            <v>57</v>
          </cell>
          <cell r="C967">
            <v>42</v>
          </cell>
          <cell r="D967">
            <v>237513.60000000001</v>
          </cell>
          <cell r="E967" t="str">
            <v>Mo99</v>
          </cell>
        </row>
        <row r="968">
          <cell r="A968">
            <v>42100</v>
          </cell>
          <cell r="B968">
            <v>58</v>
          </cell>
          <cell r="C968">
            <v>42</v>
          </cell>
          <cell r="D968">
            <v>2.3037048000000002E+26</v>
          </cell>
          <cell r="E968" t="str">
            <v>Mo100</v>
          </cell>
        </row>
        <row r="969">
          <cell r="A969">
            <v>42101</v>
          </cell>
          <cell r="B969">
            <v>59</v>
          </cell>
          <cell r="C969">
            <v>42</v>
          </cell>
          <cell r="D969">
            <v>876.599999999999</v>
          </cell>
          <cell r="E969" t="str">
            <v>Mo101</v>
          </cell>
        </row>
        <row r="970">
          <cell r="A970">
            <v>42102</v>
          </cell>
          <cell r="B970">
            <v>60</v>
          </cell>
          <cell r="C970">
            <v>42</v>
          </cell>
          <cell r="D970">
            <v>678</v>
          </cell>
          <cell r="E970" t="str">
            <v>Mo102</v>
          </cell>
        </row>
        <row r="971">
          <cell r="A971">
            <v>42103</v>
          </cell>
          <cell r="B971">
            <v>61</v>
          </cell>
          <cell r="C971">
            <v>42</v>
          </cell>
          <cell r="D971">
            <v>67.5</v>
          </cell>
          <cell r="E971" t="str">
            <v>Mo103</v>
          </cell>
        </row>
        <row r="972">
          <cell r="A972">
            <v>42104</v>
          </cell>
          <cell r="B972">
            <v>62</v>
          </cell>
          <cell r="C972">
            <v>42</v>
          </cell>
          <cell r="D972">
            <v>60</v>
          </cell>
          <cell r="E972" t="str">
            <v>Mo104</v>
          </cell>
        </row>
        <row r="973">
          <cell r="A973">
            <v>42105</v>
          </cell>
          <cell r="B973">
            <v>63</v>
          </cell>
          <cell r="C973">
            <v>42</v>
          </cell>
          <cell r="D973">
            <v>35.6</v>
          </cell>
          <cell r="E973" t="str">
            <v>Mo105</v>
          </cell>
        </row>
        <row r="974">
          <cell r="A974">
            <v>42106</v>
          </cell>
          <cell r="B974">
            <v>64</v>
          </cell>
          <cell r="C974">
            <v>42</v>
          </cell>
          <cell r="D974">
            <v>8.73</v>
          </cell>
          <cell r="E974" t="str">
            <v>Mo106</v>
          </cell>
        </row>
        <row r="975">
          <cell r="A975">
            <v>42107</v>
          </cell>
          <cell r="B975">
            <v>65</v>
          </cell>
          <cell r="C975">
            <v>42</v>
          </cell>
          <cell r="D975">
            <v>3.5</v>
          </cell>
          <cell r="E975" t="str">
            <v>Mo107</v>
          </cell>
        </row>
        <row r="976">
          <cell r="A976">
            <v>42108</v>
          </cell>
          <cell r="B976">
            <v>66</v>
          </cell>
          <cell r="C976">
            <v>42</v>
          </cell>
          <cell r="D976">
            <v>1.0900000000000001</v>
          </cell>
          <cell r="E976" t="str">
            <v>Mo108</v>
          </cell>
        </row>
        <row r="977">
          <cell r="A977">
            <v>42109</v>
          </cell>
          <cell r="B977">
            <v>67</v>
          </cell>
          <cell r="C977">
            <v>42</v>
          </cell>
          <cell r="D977">
            <v>0.66</v>
          </cell>
          <cell r="E977" t="str">
            <v>Mo109</v>
          </cell>
        </row>
        <row r="978">
          <cell r="A978">
            <v>42110</v>
          </cell>
          <cell r="B978">
            <v>68</v>
          </cell>
          <cell r="C978">
            <v>42</v>
          </cell>
          <cell r="D978">
            <v>0.29599999999999999</v>
          </cell>
          <cell r="E978" t="str">
            <v>Mo110</v>
          </cell>
        </row>
        <row r="979">
          <cell r="A979">
            <v>42111</v>
          </cell>
          <cell r="B979">
            <v>69</v>
          </cell>
          <cell r="C979">
            <v>42</v>
          </cell>
          <cell r="D979">
            <v>0.186</v>
          </cell>
          <cell r="E979" t="str">
            <v>Mo111</v>
          </cell>
        </row>
        <row r="980">
          <cell r="A980">
            <v>42112</v>
          </cell>
          <cell r="B980">
            <v>70</v>
          </cell>
          <cell r="C980">
            <v>42</v>
          </cell>
          <cell r="D980">
            <v>0.12</v>
          </cell>
          <cell r="E980" t="str">
            <v>Mo112</v>
          </cell>
        </row>
        <row r="981">
          <cell r="A981">
            <v>42113</v>
          </cell>
          <cell r="B981">
            <v>71</v>
          </cell>
          <cell r="C981">
            <v>42</v>
          </cell>
          <cell r="D981">
            <v>0.08</v>
          </cell>
          <cell r="E981" t="str">
            <v>Mo113</v>
          </cell>
        </row>
        <row r="982">
          <cell r="A982">
            <v>42114</v>
          </cell>
          <cell r="B982">
            <v>72</v>
          </cell>
          <cell r="C982">
            <v>42</v>
          </cell>
          <cell r="D982">
            <v>5.8000000000000003E-2</v>
          </cell>
          <cell r="E982" t="str">
            <v>Mo114</v>
          </cell>
        </row>
        <row r="983">
          <cell r="A983">
            <v>42115</v>
          </cell>
          <cell r="B983">
            <v>73</v>
          </cell>
          <cell r="C983">
            <v>42</v>
          </cell>
          <cell r="D983">
            <v>4.5499999999999999E-2</v>
          </cell>
          <cell r="E983" t="str">
            <v>Mo115</v>
          </cell>
        </row>
        <row r="984">
          <cell r="A984">
            <v>42116</v>
          </cell>
          <cell r="B984">
            <v>74</v>
          </cell>
          <cell r="C984">
            <v>42</v>
          </cell>
          <cell r="D984">
            <v>3.2000000000000001E-2</v>
          </cell>
          <cell r="E984" t="str">
            <v>Mo116</v>
          </cell>
        </row>
        <row r="985">
          <cell r="A985">
            <v>42117</v>
          </cell>
          <cell r="B985">
            <v>75</v>
          </cell>
          <cell r="C985">
            <v>42</v>
          </cell>
          <cell r="D985">
            <v>2.1999999999999999E-2</v>
          </cell>
          <cell r="E985" t="str">
            <v>Mo117</v>
          </cell>
        </row>
        <row r="986">
          <cell r="A986">
            <v>42118</v>
          </cell>
          <cell r="B986">
            <v>76</v>
          </cell>
          <cell r="C986">
            <v>42</v>
          </cell>
          <cell r="D986">
            <v>1.9E-2</v>
          </cell>
          <cell r="E986" t="str">
            <v>Mo118</v>
          </cell>
        </row>
        <row r="987">
          <cell r="A987">
            <v>43085</v>
          </cell>
          <cell r="B987">
            <v>42</v>
          </cell>
          <cell r="C987">
            <v>43</v>
          </cell>
          <cell r="D987">
            <v>0.5</v>
          </cell>
          <cell r="E987" t="str">
            <v>Tc85</v>
          </cell>
        </row>
        <row r="988">
          <cell r="A988">
            <v>43086</v>
          </cell>
          <cell r="B988">
            <v>43</v>
          </cell>
          <cell r="C988">
            <v>43</v>
          </cell>
          <cell r="D988">
            <v>5.5E-2</v>
          </cell>
          <cell r="E988" t="str">
            <v>Tc86</v>
          </cell>
        </row>
        <row r="989">
          <cell r="A989">
            <v>43087</v>
          </cell>
          <cell r="B989">
            <v>44</v>
          </cell>
          <cell r="C989">
            <v>43</v>
          </cell>
          <cell r="D989">
            <v>2.2000000000000002</v>
          </cell>
          <cell r="E989" t="str">
            <v>Tc87</v>
          </cell>
        </row>
        <row r="990">
          <cell r="A990">
            <v>43088</v>
          </cell>
          <cell r="B990">
            <v>45</v>
          </cell>
          <cell r="C990">
            <v>43</v>
          </cell>
          <cell r="D990">
            <v>6.4</v>
          </cell>
          <cell r="E990" t="str">
            <v>Tc88</v>
          </cell>
        </row>
        <row r="991">
          <cell r="A991">
            <v>43089</v>
          </cell>
          <cell r="B991">
            <v>46</v>
          </cell>
          <cell r="C991">
            <v>43</v>
          </cell>
          <cell r="D991">
            <v>12.8</v>
          </cell>
          <cell r="E991" t="str">
            <v>Tc89</v>
          </cell>
        </row>
        <row r="992">
          <cell r="A992">
            <v>43090</v>
          </cell>
          <cell r="B992">
            <v>47</v>
          </cell>
          <cell r="C992">
            <v>43</v>
          </cell>
          <cell r="D992">
            <v>8.6999999999999993</v>
          </cell>
          <cell r="E992" t="str">
            <v>Tc90</v>
          </cell>
        </row>
        <row r="993">
          <cell r="A993">
            <v>43091</v>
          </cell>
          <cell r="B993">
            <v>48</v>
          </cell>
          <cell r="C993">
            <v>43</v>
          </cell>
          <cell r="D993">
            <v>188.4</v>
          </cell>
          <cell r="E993" t="str">
            <v>Tc91</v>
          </cell>
        </row>
        <row r="994">
          <cell r="A994">
            <v>43092</v>
          </cell>
          <cell r="B994">
            <v>49</v>
          </cell>
          <cell r="C994">
            <v>43</v>
          </cell>
          <cell r="D994">
            <v>255</v>
          </cell>
          <cell r="E994" t="str">
            <v>Tc92</v>
          </cell>
        </row>
        <row r="995">
          <cell r="A995">
            <v>43093</v>
          </cell>
          <cell r="B995">
            <v>50</v>
          </cell>
          <cell r="C995">
            <v>43</v>
          </cell>
          <cell r="D995">
            <v>9900</v>
          </cell>
          <cell r="E995" t="str">
            <v>Tc93</v>
          </cell>
        </row>
        <row r="996">
          <cell r="A996">
            <v>43094</v>
          </cell>
          <cell r="B996">
            <v>51</v>
          </cell>
          <cell r="C996">
            <v>43</v>
          </cell>
          <cell r="D996">
            <v>17580</v>
          </cell>
          <cell r="E996" t="str">
            <v>Tc94</v>
          </cell>
        </row>
        <row r="997">
          <cell r="A997">
            <v>43095</v>
          </cell>
          <cell r="B997">
            <v>52</v>
          </cell>
          <cell r="C997">
            <v>43</v>
          </cell>
          <cell r="D997">
            <v>72000</v>
          </cell>
          <cell r="E997" t="str">
            <v>Tc95</v>
          </cell>
        </row>
        <row r="998">
          <cell r="A998">
            <v>43096</v>
          </cell>
          <cell r="B998">
            <v>53</v>
          </cell>
          <cell r="C998">
            <v>43</v>
          </cell>
          <cell r="D998">
            <v>369792</v>
          </cell>
          <cell r="E998" t="str">
            <v>Tc96</v>
          </cell>
        </row>
        <row r="999">
          <cell r="A999">
            <v>43097</v>
          </cell>
          <cell r="B999">
            <v>54</v>
          </cell>
          <cell r="C999">
            <v>43</v>
          </cell>
          <cell r="D999">
            <v>132857496000000</v>
          </cell>
          <cell r="E999" t="str">
            <v>Tc97</v>
          </cell>
        </row>
        <row r="1000">
          <cell r="A1000">
            <v>43098</v>
          </cell>
          <cell r="B1000">
            <v>55</v>
          </cell>
          <cell r="C1000">
            <v>43</v>
          </cell>
          <cell r="D1000">
            <v>132541920000000</v>
          </cell>
          <cell r="E1000" t="str">
            <v>Tc98</v>
          </cell>
        </row>
        <row r="1001">
          <cell r="A1001">
            <v>43099</v>
          </cell>
          <cell r="B1001">
            <v>56</v>
          </cell>
          <cell r="C1001">
            <v>43</v>
          </cell>
          <cell r="D1001">
            <v>6661809360000</v>
          </cell>
          <cell r="E1001" t="str">
            <v>Tc99</v>
          </cell>
        </row>
        <row r="1002">
          <cell r="A1002">
            <v>43100</v>
          </cell>
          <cell r="B1002">
            <v>57</v>
          </cell>
          <cell r="C1002">
            <v>43</v>
          </cell>
          <cell r="D1002">
            <v>15.46</v>
          </cell>
          <cell r="E1002" t="str">
            <v>Tc100</v>
          </cell>
        </row>
        <row r="1003">
          <cell r="A1003">
            <v>43101</v>
          </cell>
          <cell r="B1003">
            <v>58</v>
          </cell>
          <cell r="C1003">
            <v>43</v>
          </cell>
          <cell r="D1003">
            <v>841.19999999999902</v>
          </cell>
          <cell r="E1003" t="str">
            <v>Tc101</v>
          </cell>
        </row>
        <row r="1004">
          <cell r="A1004">
            <v>43102</v>
          </cell>
          <cell r="B1004">
            <v>59</v>
          </cell>
          <cell r="C1004">
            <v>43</v>
          </cell>
          <cell r="D1004">
            <v>5.28</v>
          </cell>
          <cell r="E1004" t="str">
            <v>Tc102</v>
          </cell>
        </row>
        <row r="1005">
          <cell r="A1005">
            <v>43103</v>
          </cell>
          <cell r="B1005">
            <v>60</v>
          </cell>
          <cell r="C1005">
            <v>43</v>
          </cell>
          <cell r="D1005">
            <v>54.2</v>
          </cell>
          <cell r="E1005" t="str">
            <v>Tc103</v>
          </cell>
        </row>
        <row r="1006">
          <cell r="A1006">
            <v>43104</v>
          </cell>
          <cell r="B1006">
            <v>61</v>
          </cell>
          <cell r="C1006">
            <v>43</v>
          </cell>
          <cell r="D1006">
            <v>1098</v>
          </cell>
          <cell r="E1006" t="str">
            <v>Tc104</v>
          </cell>
        </row>
        <row r="1007">
          <cell r="A1007">
            <v>43105</v>
          </cell>
          <cell r="B1007">
            <v>62</v>
          </cell>
          <cell r="C1007">
            <v>43</v>
          </cell>
          <cell r="D1007">
            <v>456</v>
          </cell>
          <cell r="E1007" t="str">
            <v>Tc105</v>
          </cell>
        </row>
        <row r="1008">
          <cell r="A1008">
            <v>43106</v>
          </cell>
          <cell r="B1008">
            <v>63</v>
          </cell>
          <cell r="C1008">
            <v>43</v>
          </cell>
          <cell r="D1008">
            <v>35.6</v>
          </cell>
          <cell r="E1008" t="str">
            <v>Tc106</v>
          </cell>
        </row>
        <row r="1009">
          <cell r="A1009">
            <v>43107</v>
          </cell>
          <cell r="B1009">
            <v>64</v>
          </cell>
          <cell r="C1009">
            <v>43</v>
          </cell>
          <cell r="D1009">
            <v>21.2</v>
          </cell>
          <cell r="E1009" t="str">
            <v>Tc107</v>
          </cell>
        </row>
        <row r="1010">
          <cell r="A1010">
            <v>43108</v>
          </cell>
          <cell r="B1010">
            <v>65</v>
          </cell>
          <cell r="C1010">
            <v>43</v>
          </cell>
          <cell r="D1010">
            <v>5.17</v>
          </cell>
          <cell r="E1010" t="str">
            <v>Tc108</v>
          </cell>
        </row>
        <row r="1011">
          <cell r="A1011">
            <v>43109</v>
          </cell>
          <cell r="B1011">
            <v>66</v>
          </cell>
          <cell r="C1011">
            <v>43</v>
          </cell>
          <cell r="D1011">
            <v>0.86</v>
          </cell>
          <cell r="E1011" t="str">
            <v>Tc109</v>
          </cell>
        </row>
        <row r="1012">
          <cell r="A1012">
            <v>43110</v>
          </cell>
          <cell r="B1012">
            <v>67</v>
          </cell>
          <cell r="C1012">
            <v>43</v>
          </cell>
          <cell r="D1012">
            <v>0.92</v>
          </cell>
          <cell r="E1012" t="str">
            <v>Tc110</v>
          </cell>
        </row>
        <row r="1013">
          <cell r="A1013">
            <v>43111</v>
          </cell>
          <cell r="B1013">
            <v>68</v>
          </cell>
          <cell r="C1013">
            <v>43</v>
          </cell>
          <cell r="D1013">
            <v>0.35</v>
          </cell>
          <cell r="E1013" t="str">
            <v>Tc111</v>
          </cell>
        </row>
        <row r="1014">
          <cell r="A1014">
            <v>43112</v>
          </cell>
          <cell r="B1014">
            <v>69</v>
          </cell>
          <cell r="C1014">
            <v>43</v>
          </cell>
          <cell r="D1014">
            <v>0.27100000000000002</v>
          </cell>
          <cell r="E1014" t="str">
            <v>Tc112</v>
          </cell>
        </row>
        <row r="1015">
          <cell r="A1015">
            <v>43113</v>
          </cell>
          <cell r="B1015">
            <v>70</v>
          </cell>
          <cell r="C1015">
            <v>43</v>
          </cell>
          <cell r="D1015">
            <v>0.152</v>
          </cell>
          <cell r="E1015" t="str">
            <v>Tc113</v>
          </cell>
        </row>
        <row r="1016">
          <cell r="A1016">
            <v>43114</v>
          </cell>
          <cell r="B1016">
            <v>71</v>
          </cell>
          <cell r="C1016">
            <v>43</v>
          </cell>
          <cell r="D1016">
            <v>0.1</v>
          </cell>
          <cell r="E1016" t="str">
            <v>Tc114</v>
          </cell>
        </row>
        <row r="1017">
          <cell r="A1017">
            <v>43115</v>
          </cell>
          <cell r="B1017">
            <v>72</v>
          </cell>
          <cell r="C1017">
            <v>43</v>
          </cell>
          <cell r="D1017">
            <v>7.8E-2</v>
          </cell>
          <cell r="E1017" t="str">
            <v>Tc115</v>
          </cell>
        </row>
        <row r="1018">
          <cell r="A1018">
            <v>43116</v>
          </cell>
          <cell r="B1018">
            <v>73</v>
          </cell>
          <cell r="C1018">
            <v>43</v>
          </cell>
          <cell r="D1018">
            <v>5.7000000000000002E-2</v>
          </cell>
          <cell r="E1018" t="str">
            <v>Tc116</v>
          </cell>
        </row>
        <row r="1019">
          <cell r="A1019">
            <v>43117</v>
          </cell>
          <cell r="B1019">
            <v>74</v>
          </cell>
          <cell r="C1019">
            <v>43</v>
          </cell>
          <cell r="D1019">
            <v>4.4499999999999998E-2</v>
          </cell>
          <cell r="E1019" t="str">
            <v>Tc117</v>
          </cell>
        </row>
        <row r="1020">
          <cell r="A1020">
            <v>43118</v>
          </cell>
          <cell r="B1020">
            <v>75</v>
          </cell>
          <cell r="C1020">
            <v>43</v>
          </cell>
          <cell r="D1020">
            <v>0.03</v>
          </cell>
          <cell r="E1020" t="str">
            <v>Tc118</v>
          </cell>
        </row>
        <row r="1021">
          <cell r="A1021">
            <v>43119</v>
          </cell>
          <cell r="B1021">
            <v>76</v>
          </cell>
          <cell r="C1021">
            <v>43</v>
          </cell>
          <cell r="D1021">
            <v>2.1999999999999999E-2</v>
          </cell>
          <cell r="E1021" t="str">
            <v>Tc119</v>
          </cell>
        </row>
        <row r="1022">
          <cell r="A1022">
            <v>43120</v>
          </cell>
          <cell r="B1022">
            <v>77</v>
          </cell>
          <cell r="C1022">
            <v>43</v>
          </cell>
          <cell r="D1022">
            <v>2.1000000000000001E-2</v>
          </cell>
          <cell r="E1022" t="str">
            <v>Tc120</v>
          </cell>
        </row>
        <row r="1023">
          <cell r="A1023">
            <v>43121</v>
          </cell>
          <cell r="B1023">
            <v>78</v>
          </cell>
          <cell r="C1023">
            <v>43</v>
          </cell>
          <cell r="D1023">
            <v>2.1999999999999999E-2</v>
          </cell>
          <cell r="E1023" t="str">
            <v>Tc121</v>
          </cell>
        </row>
        <row r="1024">
          <cell r="A1024">
            <v>44085</v>
          </cell>
          <cell r="B1024">
            <v>41</v>
          </cell>
          <cell r="C1024">
            <v>44</v>
          </cell>
          <cell r="D1024">
            <v>4.4999999999999998E-7</v>
          </cell>
          <cell r="E1024" t="str">
            <v>Ru85</v>
          </cell>
        </row>
        <row r="1025">
          <cell r="A1025">
            <v>44086</v>
          </cell>
          <cell r="B1025">
            <v>42</v>
          </cell>
          <cell r="C1025">
            <v>44</v>
          </cell>
          <cell r="D1025">
            <v>4.3799999999999998E-7</v>
          </cell>
          <cell r="E1025" t="str">
            <v>Ru86</v>
          </cell>
        </row>
        <row r="1026">
          <cell r="A1026">
            <v>44087</v>
          </cell>
          <cell r="B1026">
            <v>43</v>
          </cell>
          <cell r="C1026">
            <v>44</v>
          </cell>
          <cell r="D1026">
            <v>1.5E-6</v>
          </cell>
          <cell r="E1026" t="str">
            <v>Ru87</v>
          </cell>
        </row>
        <row r="1027">
          <cell r="A1027">
            <v>44088</v>
          </cell>
          <cell r="B1027">
            <v>44</v>
          </cell>
          <cell r="C1027">
            <v>44</v>
          </cell>
          <cell r="D1027">
            <v>1.2</v>
          </cell>
          <cell r="E1027" t="str">
            <v>Ru88</v>
          </cell>
        </row>
        <row r="1028">
          <cell r="A1028">
            <v>44089</v>
          </cell>
          <cell r="B1028">
            <v>45</v>
          </cell>
          <cell r="C1028">
            <v>44</v>
          </cell>
          <cell r="D1028">
            <v>1.5</v>
          </cell>
          <cell r="E1028" t="str">
            <v>Ru89</v>
          </cell>
        </row>
        <row r="1029">
          <cell r="A1029">
            <v>44090</v>
          </cell>
          <cell r="B1029">
            <v>46</v>
          </cell>
          <cell r="C1029">
            <v>44</v>
          </cell>
          <cell r="D1029">
            <v>11.7</v>
          </cell>
          <cell r="E1029" t="str">
            <v>Ru90</v>
          </cell>
        </row>
        <row r="1030">
          <cell r="A1030">
            <v>44091</v>
          </cell>
          <cell r="B1030">
            <v>47</v>
          </cell>
          <cell r="C1030">
            <v>44</v>
          </cell>
          <cell r="D1030">
            <v>8</v>
          </cell>
          <cell r="E1030" t="str">
            <v>Ru91</v>
          </cell>
        </row>
        <row r="1031">
          <cell r="A1031">
            <v>44092</v>
          </cell>
          <cell r="B1031">
            <v>48</v>
          </cell>
          <cell r="C1031">
            <v>44</v>
          </cell>
          <cell r="D1031">
            <v>219</v>
          </cell>
          <cell r="E1031" t="str">
            <v>Ru92</v>
          </cell>
        </row>
        <row r="1032">
          <cell r="A1032">
            <v>44093</v>
          </cell>
          <cell r="B1032">
            <v>49</v>
          </cell>
          <cell r="C1032">
            <v>44</v>
          </cell>
          <cell r="D1032">
            <v>59.7</v>
          </cell>
          <cell r="E1032" t="str">
            <v>Ru93</v>
          </cell>
        </row>
        <row r="1033">
          <cell r="A1033">
            <v>44094</v>
          </cell>
          <cell r="B1033">
            <v>50</v>
          </cell>
          <cell r="C1033">
            <v>44</v>
          </cell>
          <cell r="D1033">
            <v>3108</v>
          </cell>
          <cell r="E1033" t="str">
            <v>Ru94</v>
          </cell>
        </row>
        <row r="1034">
          <cell r="A1034">
            <v>44095</v>
          </cell>
          <cell r="B1034">
            <v>51</v>
          </cell>
          <cell r="C1034">
            <v>44</v>
          </cell>
          <cell r="D1034">
            <v>5914.8</v>
          </cell>
          <cell r="E1034" t="str">
            <v>Ru95</v>
          </cell>
        </row>
        <row r="1035">
          <cell r="A1035">
            <v>44096</v>
          </cell>
          <cell r="B1035">
            <v>52</v>
          </cell>
          <cell r="C1035">
            <v>44</v>
          </cell>
          <cell r="D1035" t="str">
            <v>STABLE</v>
          </cell>
          <cell r="E1035" t="str">
            <v>Ru96</v>
          </cell>
        </row>
        <row r="1036">
          <cell r="A1036">
            <v>44097</v>
          </cell>
          <cell r="B1036">
            <v>53</v>
          </cell>
          <cell r="C1036">
            <v>44</v>
          </cell>
          <cell r="D1036">
            <v>244512</v>
          </cell>
          <cell r="E1036" t="str">
            <v>Ru97</v>
          </cell>
        </row>
        <row r="1037">
          <cell r="A1037">
            <v>44098</v>
          </cell>
          <cell r="B1037">
            <v>54</v>
          </cell>
          <cell r="C1037">
            <v>44</v>
          </cell>
          <cell r="D1037" t="str">
            <v>STABLE</v>
          </cell>
          <cell r="E1037" t="str">
            <v>Ru98</v>
          </cell>
        </row>
        <row r="1038">
          <cell r="A1038">
            <v>44099</v>
          </cell>
          <cell r="B1038">
            <v>55</v>
          </cell>
          <cell r="C1038">
            <v>44</v>
          </cell>
          <cell r="D1038" t="str">
            <v>STABLE</v>
          </cell>
          <cell r="E1038" t="str">
            <v>Ru99</v>
          </cell>
        </row>
        <row r="1039">
          <cell r="A1039">
            <v>44100</v>
          </cell>
          <cell r="B1039">
            <v>56</v>
          </cell>
          <cell r="C1039">
            <v>44</v>
          </cell>
          <cell r="D1039" t="str">
            <v>STABLE</v>
          </cell>
          <cell r="E1039" t="str">
            <v>Ru100</v>
          </cell>
        </row>
        <row r="1040">
          <cell r="A1040">
            <v>44101</v>
          </cell>
          <cell r="B1040">
            <v>57</v>
          </cell>
          <cell r="C1040">
            <v>44</v>
          </cell>
          <cell r="D1040" t="str">
            <v>STABLE</v>
          </cell>
          <cell r="E1040" t="str">
            <v>Ru101</v>
          </cell>
        </row>
        <row r="1041">
          <cell r="A1041">
            <v>44102</v>
          </cell>
          <cell r="B1041">
            <v>58</v>
          </cell>
          <cell r="C1041">
            <v>44</v>
          </cell>
          <cell r="D1041" t="str">
            <v>STABLE</v>
          </cell>
          <cell r="E1041" t="str">
            <v>Ru102</v>
          </cell>
        </row>
        <row r="1042">
          <cell r="A1042">
            <v>44103</v>
          </cell>
          <cell r="B1042">
            <v>59</v>
          </cell>
          <cell r="C1042">
            <v>44</v>
          </cell>
          <cell r="D1042">
            <v>3390940.8</v>
          </cell>
          <cell r="E1042" t="str">
            <v>Ru103</v>
          </cell>
        </row>
        <row r="1043">
          <cell r="A1043">
            <v>44104</v>
          </cell>
          <cell r="B1043">
            <v>60</v>
          </cell>
          <cell r="C1043">
            <v>44</v>
          </cell>
          <cell r="D1043" t="str">
            <v>STABLE</v>
          </cell>
          <cell r="E1043" t="str">
            <v>Ru104</v>
          </cell>
        </row>
        <row r="1044">
          <cell r="A1044">
            <v>44105</v>
          </cell>
          <cell r="B1044">
            <v>61</v>
          </cell>
          <cell r="C1044">
            <v>44</v>
          </cell>
          <cell r="D1044">
            <v>15984</v>
          </cell>
          <cell r="E1044" t="str">
            <v>Ru105</v>
          </cell>
        </row>
        <row r="1045">
          <cell r="A1045">
            <v>44106</v>
          </cell>
          <cell r="B1045">
            <v>62</v>
          </cell>
          <cell r="C1045">
            <v>44</v>
          </cell>
          <cell r="D1045">
            <v>32123520</v>
          </cell>
          <cell r="E1045" t="str">
            <v>Ru106</v>
          </cell>
        </row>
        <row r="1046">
          <cell r="A1046">
            <v>44107</v>
          </cell>
          <cell r="B1046">
            <v>63</v>
          </cell>
          <cell r="C1046">
            <v>44</v>
          </cell>
          <cell r="D1046">
            <v>225</v>
          </cell>
          <cell r="E1046" t="str">
            <v>Ru107</v>
          </cell>
        </row>
        <row r="1047">
          <cell r="A1047">
            <v>44108</v>
          </cell>
          <cell r="B1047">
            <v>64</v>
          </cell>
          <cell r="C1047">
            <v>44</v>
          </cell>
          <cell r="D1047">
            <v>273</v>
          </cell>
          <cell r="E1047" t="str">
            <v>Ru108</v>
          </cell>
        </row>
        <row r="1048">
          <cell r="A1048">
            <v>44109</v>
          </cell>
          <cell r="B1048">
            <v>65</v>
          </cell>
          <cell r="C1048">
            <v>44</v>
          </cell>
          <cell r="D1048">
            <v>34.5</v>
          </cell>
          <cell r="E1048" t="str">
            <v>Ru109</v>
          </cell>
        </row>
        <row r="1049">
          <cell r="A1049">
            <v>44110</v>
          </cell>
          <cell r="B1049">
            <v>66</v>
          </cell>
          <cell r="C1049">
            <v>44</v>
          </cell>
          <cell r="D1049">
            <v>11.6</v>
          </cell>
          <cell r="E1049" t="str">
            <v>Ru110</v>
          </cell>
        </row>
        <row r="1050">
          <cell r="A1050">
            <v>44111</v>
          </cell>
          <cell r="B1050">
            <v>67</v>
          </cell>
          <cell r="C1050">
            <v>44</v>
          </cell>
          <cell r="D1050">
            <v>2.12</v>
          </cell>
          <cell r="E1050" t="str">
            <v>Ru111</v>
          </cell>
        </row>
        <row r="1051">
          <cell r="A1051">
            <v>44112</v>
          </cell>
          <cell r="B1051">
            <v>68</v>
          </cell>
          <cell r="C1051">
            <v>44</v>
          </cell>
          <cell r="D1051">
            <v>1.75</v>
          </cell>
          <cell r="E1051" t="str">
            <v>Ru112</v>
          </cell>
        </row>
        <row r="1052">
          <cell r="A1052">
            <v>44113</v>
          </cell>
          <cell r="B1052">
            <v>69</v>
          </cell>
          <cell r="C1052">
            <v>44</v>
          </cell>
          <cell r="D1052">
            <v>0.8</v>
          </cell>
          <cell r="E1052" t="str">
            <v>Ru113</v>
          </cell>
        </row>
        <row r="1053">
          <cell r="A1053">
            <v>44114</v>
          </cell>
          <cell r="B1053">
            <v>70</v>
          </cell>
          <cell r="C1053">
            <v>44</v>
          </cell>
          <cell r="D1053">
            <v>0.52</v>
          </cell>
          <cell r="E1053" t="str">
            <v>Ru114</v>
          </cell>
        </row>
        <row r="1054">
          <cell r="A1054">
            <v>44115</v>
          </cell>
          <cell r="B1054">
            <v>71</v>
          </cell>
          <cell r="C1054">
            <v>44</v>
          </cell>
          <cell r="D1054">
            <v>0.318</v>
          </cell>
          <cell r="E1054" t="str">
            <v>Ru115</v>
          </cell>
        </row>
        <row r="1055">
          <cell r="A1055">
            <v>44116</v>
          </cell>
          <cell r="B1055">
            <v>72</v>
          </cell>
          <cell r="C1055">
            <v>44</v>
          </cell>
          <cell r="D1055">
            <v>0.20399999999999999</v>
          </cell>
          <cell r="E1055" t="str">
            <v>Ru116</v>
          </cell>
        </row>
        <row r="1056">
          <cell r="A1056">
            <v>44117</v>
          </cell>
          <cell r="B1056">
            <v>73</v>
          </cell>
          <cell r="C1056">
            <v>44</v>
          </cell>
          <cell r="D1056">
            <v>0.151</v>
          </cell>
          <cell r="E1056" t="str">
            <v>Ru117</v>
          </cell>
        </row>
        <row r="1057">
          <cell r="A1057">
            <v>44118</v>
          </cell>
          <cell r="B1057">
            <v>74</v>
          </cell>
          <cell r="C1057">
            <v>44</v>
          </cell>
          <cell r="D1057">
            <v>0.123</v>
          </cell>
          <cell r="E1057" t="str">
            <v>Ru118</v>
          </cell>
        </row>
        <row r="1058">
          <cell r="A1058">
            <v>44119</v>
          </cell>
          <cell r="B1058">
            <v>75</v>
          </cell>
          <cell r="C1058">
            <v>44</v>
          </cell>
          <cell r="D1058">
            <v>6.9500000000000006E-2</v>
          </cell>
          <cell r="E1058" t="str">
            <v>Ru119</v>
          </cell>
        </row>
        <row r="1059">
          <cell r="A1059">
            <v>44120</v>
          </cell>
          <cell r="B1059">
            <v>76</v>
          </cell>
          <cell r="C1059">
            <v>44</v>
          </cell>
          <cell r="D1059">
            <v>4.4999999999999998E-2</v>
          </cell>
          <cell r="E1059" t="str">
            <v>Ru120</v>
          </cell>
        </row>
        <row r="1060">
          <cell r="A1060">
            <v>44121</v>
          </cell>
          <cell r="B1060">
            <v>77</v>
          </cell>
          <cell r="C1060">
            <v>44</v>
          </cell>
          <cell r="D1060">
            <v>2.9000000000000001E-2</v>
          </cell>
          <cell r="E1060" t="str">
            <v>Ru121</v>
          </cell>
        </row>
        <row r="1061">
          <cell r="A1061">
            <v>44122</v>
          </cell>
          <cell r="B1061">
            <v>78</v>
          </cell>
          <cell r="C1061">
            <v>44</v>
          </cell>
          <cell r="D1061">
            <v>2.5000000000000001E-2</v>
          </cell>
          <cell r="E1061" t="str">
            <v>Ru122</v>
          </cell>
        </row>
        <row r="1062">
          <cell r="A1062">
            <v>44123</v>
          </cell>
          <cell r="B1062">
            <v>79</v>
          </cell>
          <cell r="C1062">
            <v>44</v>
          </cell>
          <cell r="D1062">
            <v>1.9E-2</v>
          </cell>
          <cell r="E1062" t="str">
            <v>Ru123</v>
          </cell>
        </row>
        <row r="1063">
          <cell r="A1063">
            <v>44124</v>
          </cell>
          <cell r="B1063">
            <v>80</v>
          </cell>
          <cell r="C1063">
            <v>44</v>
          </cell>
          <cell r="D1063">
            <v>1.4999999999999999E-2</v>
          </cell>
          <cell r="E1063" t="str">
            <v>Ru124</v>
          </cell>
        </row>
        <row r="1064">
          <cell r="A1064">
            <v>45089</v>
          </cell>
          <cell r="B1064">
            <v>44</v>
          </cell>
          <cell r="C1064">
            <v>45</v>
          </cell>
          <cell r="D1064">
            <v>1.5E-6</v>
          </cell>
          <cell r="E1064" t="str">
            <v>Rh89</v>
          </cell>
        </row>
        <row r="1065">
          <cell r="A1065">
            <v>45090</v>
          </cell>
          <cell r="B1065">
            <v>45</v>
          </cell>
          <cell r="C1065">
            <v>45</v>
          </cell>
          <cell r="D1065">
            <v>1.2E-2</v>
          </cell>
          <cell r="E1065" t="str">
            <v>Rh90</v>
          </cell>
        </row>
        <row r="1066">
          <cell r="A1066">
            <v>45091</v>
          </cell>
          <cell r="B1066">
            <v>46</v>
          </cell>
          <cell r="C1066">
            <v>45</v>
          </cell>
          <cell r="D1066">
            <v>1.47</v>
          </cell>
          <cell r="E1066" t="str">
            <v>Rh91</v>
          </cell>
        </row>
        <row r="1067">
          <cell r="A1067">
            <v>45092</v>
          </cell>
          <cell r="B1067">
            <v>47</v>
          </cell>
          <cell r="C1067">
            <v>45</v>
          </cell>
          <cell r="D1067">
            <v>5.7</v>
          </cell>
          <cell r="E1067" t="str">
            <v>Rh92</v>
          </cell>
        </row>
        <row r="1068">
          <cell r="A1068">
            <v>45093</v>
          </cell>
          <cell r="B1068">
            <v>48</v>
          </cell>
          <cell r="C1068">
            <v>45</v>
          </cell>
          <cell r="D1068">
            <v>12.2</v>
          </cell>
          <cell r="E1068" t="str">
            <v>Rh93</v>
          </cell>
        </row>
        <row r="1069">
          <cell r="A1069">
            <v>45094</v>
          </cell>
          <cell r="B1069">
            <v>49</v>
          </cell>
          <cell r="C1069">
            <v>45</v>
          </cell>
          <cell r="D1069">
            <v>66</v>
          </cell>
          <cell r="E1069" t="str">
            <v>Rh94</v>
          </cell>
        </row>
        <row r="1070">
          <cell r="A1070">
            <v>45095</v>
          </cell>
          <cell r="B1070">
            <v>50</v>
          </cell>
          <cell r="C1070">
            <v>45</v>
          </cell>
          <cell r="D1070">
            <v>301.2</v>
          </cell>
          <cell r="E1070" t="str">
            <v>Rh95</v>
          </cell>
        </row>
        <row r="1071">
          <cell r="A1071">
            <v>45096</v>
          </cell>
          <cell r="B1071">
            <v>51</v>
          </cell>
          <cell r="C1071">
            <v>45</v>
          </cell>
          <cell r="D1071">
            <v>594</v>
          </cell>
          <cell r="E1071" t="str">
            <v>Rh96</v>
          </cell>
        </row>
        <row r="1072">
          <cell r="A1072">
            <v>45097</v>
          </cell>
          <cell r="B1072">
            <v>52</v>
          </cell>
          <cell r="C1072">
            <v>45</v>
          </cell>
          <cell r="D1072">
            <v>1842</v>
          </cell>
          <cell r="E1072" t="str">
            <v>Rh97</v>
          </cell>
        </row>
        <row r="1073">
          <cell r="A1073">
            <v>45098</v>
          </cell>
          <cell r="B1073">
            <v>53</v>
          </cell>
          <cell r="C1073">
            <v>45</v>
          </cell>
          <cell r="D1073">
            <v>523.20000000000005</v>
          </cell>
          <cell r="E1073" t="str">
            <v>Rh98</v>
          </cell>
        </row>
        <row r="1074">
          <cell r="A1074">
            <v>45099</v>
          </cell>
          <cell r="B1074">
            <v>54</v>
          </cell>
          <cell r="C1074">
            <v>45</v>
          </cell>
          <cell r="D1074">
            <v>1391040</v>
          </cell>
          <cell r="E1074" t="str">
            <v>Rh99</v>
          </cell>
        </row>
        <row r="1075">
          <cell r="A1075">
            <v>45100</v>
          </cell>
          <cell r="B1075">
            <v>55</v>
          </cell>
          <cell r="C1075">
            <v>45</v>
          </cell>
          <cell r="D1075">
            <v>74880</v>
          </cell>
          <cell r="E1075" t="str">
            <v>Rh100</v>
          </cell>
        </row>
        <row r="1076">
          <cell r="A1076">
            <v>45101</v>
          </cell>
          <cell r="B1076">
            <v>56</v>
          </cell>
          <cell r="C1076">
            <v>45</v>
          </cell>
          <cell r="D1076">
            <v>104140080</v>
          </cell>
          <cell r="E1076" t="str">
            <v>Rh101</v>
          </cell>
        </row>
        <row r="1077">
          <cell r="A1077">
            <v>45102</v>
          </cell>
          <cell r="B1077">
            <v>57</v>
          </cell>
          <cell r="C1077">
            <v>45</v>
          </cell>
          <cell r="D1077">
            <v>17910720</v>
          </cell>
          <cell r="E1077" t="str">
            <v>Rh102</v>
          </cell>
        </row>
        <row r="1078">
          <cell r="A1078">
            <v>45103</v>
          </cell>
          <cell r="B1078">
            <v>58</v>
          </cell>
          <cell r="C1078">
            <v>45</v>
          </cell>
          <cell r="D1078" t="str">
            <v>STABLE</v>
          </cell>
          <cell r="E1078" t="str">
            <v>Rh103</v>
          </cell>
        </row>
        <row r="1079">
          <cell r="A1079">
            <v>45104</v>
          </cell>
          <cell r="B1079">
            <v>59</v>
          </cell>
          <cell r="C1079">
            <v>45</v>
          </cell>
          <cell r="D1079">
            <v>42.3</v>
          </cell>
          <cell r="E1079" t="str">
            <v>Rh104</v>
          </cell>
        </row>
        <row r="1080">
          <cell r="A1080">
            <v>45105</v>
          </cell>
          <cell r="B1080">
            <v>60</v>
          </cell>
          <cell r="C1080">
            <v>45</v>
          </cell>
          <cell r="D1080">
            <v>127296</v>
          </cell>
          <cell r="E1080" t="str">
            <v>Rh105</v>
          </cell>
        </row>
        <row r="1081">
          <cell r="A1081">
            <v>45106</v>
          </cell>
          <cell r="B1081">
            <v>61</v>
          </cell>
          <cell r="C1081">
            <v>45</v>
          </cell>
          <cell r="D1081">
            <v>30.07</v>
          </cell>
          <cell r="E1081" t="str">
            <v>Rh106</v>
          </cell>
        </row>
        <row r="1082">
          <cell r="A1082">
            <v>45107</v>
          </cell>
          <cell r="B1082">
            <v>62</v>
          </cell>
          <cell r="C1082">
            <v>45</v>
          </cell>
          <cell r="D1082">
            <v>1302</v>
          </cell>
          <cell r="E1082" t="str">
            <v>Rh107</v>
          </cell>
        </row>
        <row r="1083">
          <cell r="A1083">
            <v>45108</v>
          </cell>
          <cell r="B1083">
            <v>63</v>
          </cell>
          <cell r="C1083">
            <v>45</v>
          </cell>
          <cell r="D1083">
            <v>16.8</v>
          </cell>
          <cell r="E1083" t="str">
            <v>Rh108</v>
          </cell>
        </row>
        <row r="1084">
          <cell r="A1084">
            <v>45109</v>
          </cell>
          <cell r="B1084">
            <v>64</v>
          </cell>
          <cell r="C1084">
            <v>45</v>
          </cell>
          <cell r="D1084">
            <v>80</v>
          </cell>
          <cell r="E1084" t="str">
            <v>Rh109</v>
          </cell>
        </row>
        <row r="1085">
          <cell r="A1085">
            <v>45110</v>
          </cell>
          <cell r="B1085">
            <v>65</v>
          </cell>
          <cell r="C1085">
            <v>45</v>
          </cell>
          <cell r="D1085">
            <v>28.5</v>
          </cell>
          <cell r="E1085" t="str">
            <v>Rh110</v>
          </cell>
        </row>
        <row r="1086">
          <cell r="A1086">
            <v>45111</v>
          </cell>
          <cell r="B1086">
            <v>66</v>
          </cell>
          <cell r="C1086">
            <v>45</v>
          </cell>
          <cell r="D1086">
            <v>11</v>
          </cell>
          <cell r="E1086" t="str">
            <v>Rh111</v>
          </cell>
        </row>
        <row r="1087">
          <cell r="A1087">
            <v>45112</v>
          </cell>
          <cell r="B1087">
            <v>67</v>
          </cell>
          <cell r="C1087">
            <v>45</v>
          </cell>
          <cell r="D1087">
            <v>3.6</v>
          </cell>
          <cell r="E1087" t="str">
            <v>Rh112</v>
          </cell>
        </row>
        <row r="1088">
          <cell r="A1088">
            <v>45113</v>
          </cell>
          <cell r="B1088">
            <v>68</v>
          </cell>
          <cell r="C1088">
            <v>45</v>
          </cell>
          <cell r="D1088">
            <v>2.8</v>
          </cell>
          <cell r="E1088" t="str">
            <v>Rh113</v>
          </cell>
        </row>
        <row r="1089">
          <cell r="A1089">
            <v>45114</v>
          </cell>
          <cell r="B1089">
            <v>69</v>
          </cell>
          <cell r="C1089">
            <v>45</v>
          </cell>
          <cell r="D1089">
            <v>1.85</v>
          </cell>
          <cell r="E1089" t="str">
            <v>Rh114</v>
          </cell>
        </row>
        <row r="1090">
          <cell r="A1090">
            <v>45115</v>
          </cell>
          <cell r="B1090">
            <v>70</v>
          </cell>
          <cell r="C1090">
            <v>45</v>
          </cell>
          <cell r="D1090">
            <v>0.99</v>
          </cell>
          <cell r="E1090" t="str">
            <v>Rh115</v>
          </cell>
        </row>
        <row r="1091">
          <cell r="A1091">
            <v>45116</v>
          </cell>
          <cell r="B1091">
            <v>71</v>
          </cell>
          <cell r="C1091">
            <v>45</v>
          </cell>
          <cell r="D1091">
            <v>0.68</v>
          </cell>
          <cell r="E1091" t="str">
            <v>Rh116</v>
          </cell>
        </row>
        <row r="1092">
          <cell r="A1092">
            <v>45117</v>
          </cell>
          <cell r="B1092">
            <v>72</v>
          </cell>
          <cell r="C1092">
            <v>45</v>
          </cell>
          <cell r="D1092">
            <v>0.44</v>
          </cell>
          <cell r="E1092" t="str">
            <v>Rh117</v>
          </cell>
        </row>
        <row r="1093">
          <cell r="A1093">
            <v>45118</v>
          </cell>
          <cell r="B1093">
            <v>73</v>
          </cell>
          <cell r="C1093">
            <v>45</v>
          </cell>
          <cell r="D1093">
            <v>0.26600000000000001</v>
          </cell>
          <cell r="E1093" t="str">
            <v>Rh118</v>
          </cell>
        </row>
        <row r="1094">
          <cell r="A1094">
            <v>45119</v>
          </cell>
          <cell r="B1094">
            <v>74</v>
          </cell>
          <cell r="C1094">
            <v>45</v>
          </cell>
          <cell r="D1094">
            <v>0.17100000000000001</v>
          </cell>
          <cell r="E1094" t="str">
            <v>Rh119</v>
          </cell>
        </row>
        <row r="1095">
          <cell r="A1095">
            <v>45120</v>
          </cell>
          <cell r="B1095">
            <v>75</v>
          </cell>
          <cell r="C1095">
            <v>45</v>
          </cell>
          <cell r="D1095">
            <v>0.13600000000000001</v>
          </cell>
          <cell r="E1095" t="str">
            <v>Rh120</v>
          </cell>
        </row>
        <row r="1096">
          <cell r="A1096">
            <v>45121</v>
          </cell>
          <cell r="B1096">
            <v>76</v>
          </cell>
          <cell r="C1096">
            <v>45</v>
          </cell>
          <cell r="D1096">
            <v>0.151</v>
          </cell>
          <cell r="E1096" t="str">
            <v>Rh121</v>
          </cell>
        </row>
        <row r="1097">
          <cell r="A1097">
            <v>45122</v>
          </cell>
          <cell r="B1097">
            <v>77</v>
          </cell>
          <cell r="C1097">
            <v>45</v>
          </cell>
          <cell r="D1097">
            <v>2.9999999999999999E-7</v>
          </cell>
          <cell r="E1097" t="str">
            <v>Rh122</v>
          </cell>
        </row>
        <row r="1098">
          <cell r="A1098">
            <v>45123</v>
          </cell>
          <cell r="B1098">
            <v>78</v>
          </cell>
          <cell r="C1098">
            <v>45</v>
          </cell>
          <cell r="D1098">
            <v>4.2000000000000003E-2</v>
          </cell>
          <cell r="E1098" t="str">
            <v>Rh123</v>
          </cell>
        </row>
        <row r="1099">
          <cell r="A1099">
            <v>45124</v>
          </cell>
          <cell r="B1099">
            <v>79</v>
          </cell>
          <cell r="C1099">
            <v>45</v>
          </cell>
          <cell r="D1099">
            <v>0.03</v>
          </cell>
          <cell r="E1099" t="str">
            <v>Rh124</v>
          </cell>
        </row>
        <row r="1100">
          <cell r="A1100">
            <v>45125</v>
          </cell>
          <cell r="B1100">
            <v>80</v>
          </cell>
          <cell r="C1100">
            <v>45</v>
          </cell>
          <cell r="D1100">
            <v>2.6499999999999999E-2</v>
          </cell>
          <cell r="E1100" t="str">
            <v>Rh125</v>
          </cell>
        </row>
        <row r="1101">
          <cell r="A1101">
            <v>45126</v>
          </cell>
          <cell r="B1101">
            <v>81</v>
          </cell>
          <cell r="C1101">
            <v>45</v>
          </cell>
          <cell r="D1101">
            <v>1.9E-2</v>
          </cell>
          <cell r="E1101" t="str">
            <v>Rh126</v>
          </cell>
        </row>
        <row r="1102">
          <cell r="A1102">
            <v>45127</v>
          </cell>
          <cell r="B1102">
            <v>82</v>
          </cell>
          <cell r="C1102">
            <v>45</v>
          </cell>
          <cell r="D1102">
            <v>0.02</v>
          </cell>
          <cell r="E1102" t="str">
            <v>Rh127</v>
          </cell>
        </row>
        <row r="1103">
          <cell r="A1103">
            <v>46091</v>
          </cell>
          <cell r="B1103">
            <v>45</v>
          </cell>
          <cell r="C1103">
            <v>46</v>
          </cell>
          <cell r="D1103">
            <v>9.9999999999999995E-7</v>
          </cell>
          <cell r="E1103" t="str">
            <v>Pd91</v>
          </cell>
        </row>
        <row r="1104">
          <cell r="A1104">
            <v>46092</v>
          </cell>
          <cell r="B1104">
            <v>46</v>
          </cell>
          <cell r="C1104">
            <v>46</v>
          </cell>
          <cell r="D1104">
            <v>0.7</v>
          </cell>
          <cell r="E1104" t="str">
            <v>Pd92</v>
          </cell>
        </row>
        <row r="1105">
          <cell r="A1105">
            <v>46093</v>
          </cell>
          <cell r="B1105">
            <v>47</v>
          </cell>
          <cell r="C1105">
            <v>46</v>
          </cell>
          <cell r="D1105">
            <v>1</v>
          </cell>
          <cell r="E1105" t="str">
            <v>Pd93</v>
          </cell>
        </row>
        <row r="1106">
          <cell r="A1106">
            <v>46094</v>
          </cell>
          <cell r="B1106">
            <v>48</v>
          </cell>
          <cell r="C1106">
            <v>46</v>
          </cell>
          <cell r="D1106">
            <v>9.6</v>
          </cell>
          <cell r="E1106" t="str">
            <v>Pd94</v>
          </cell>
        </row>
        <row r="1107">
          <cell r="A1107">
            <v>46095</v>
          </cell>
          <cell r="B1107">
            <v>49</v>
          </cell>
          <cell r="C1107">
            <v>46</v>
          </cell>
          <cell r="D1107">
            <v>5</v>
          </cell>
          <cell r="E1107" t="str">
            <v>Pd95</v>
          </cell>
        </row>
        <row r="1108">
          <cell r="A1108">
            <v>46096</v>
          </cell>
          <cell r="B1108">
            <v>50</v>
          </cell>
          <cell r="C1108">
            <v>46</v>
          </cell>
          <cell r="D1108">
            <v>122</v>
          </cell>
          <cell r="E1108" t="str">
            <v>Pd96</v>
          </cell>
        </row>
        <row r="1109">
          <cell r="A1109">
            <v>46097</v>
          </cell>
          <cell r="B1109">
            <v>51</v>
          </cell>
          <cell r="C1109">
            <v>46</v>
          </cell>
          <cell r="D1109">
            <v>186</v>
          </cell>
          <cell r="E1109" t="str">
            <v>Pd97</v>
          </cell>
        </row>
        <row r="1110">
          <cell r="A1110">
            <v>46098</v>
          </cell>
          <cell r="B1110">
            <v>52</v>
          </cell>
          <cell r="C1110">
            <v>46</v>
          </cell>
          <cell r="D1110">
            <v>1062</v>
          </cell>
          <cell r="E1110" t="str">
            <v>Pd98</v>
          </cell>
        </row>
        <row r="1111">
          <cell r="A1111">
            <v>46099</v>
          </cell>
          <cell r="B1111">
            <v>53</v>
          </cell>
          <cell r="C1111">
            <v>46</v>
          </cell>
          <cell r="D1111">
            <v>1284</v>
          </cell>
          <cell r="E1111" t="str">
            <v>Pd99</v>
          </cell>
        </row>
        <row r="1112">
          <cell r="A1112">
            <v>46100</v>
          </cell>
          <cell r="B1112">
            <v>54</v>
          </cell>
          <cell r="C1112">
            <v>46</v>
          </cell>
          <cell r="D1112">
            <v>313632</v>
          </cell>
          <cell r="E1112" t="str">
            <v>Pd100</v>
          </cell>
        </row>
        <row r="1113">
          <cell r="A1113">
            <v>46101</v>
          </cell>
          <cell r="B1113">
            <v>55</v>
          </cell>
          <cell r="C1113">
            <v>46</v>
          </cell>
          <cell r="D1113">
            <v>30492</v>
          </cell>
          <cell r="E1113" t="str">
            <v>Pd101</v>
          </cell>
        </row>
        <row r="1114">
          <cell r="A1114">
            <v>46102</v>
          </cell>
          <cell r="B1114">
            <v>56</v>
          </cell>
          <cell r="C1114">
            <v>46</v>
          </cell>
          <cell r="D1114" t="str">
            <v>STABLE</v>
          </cell>
          <cell r="E1114" t="str">
            <v>Pd102</v>
          </cell>
        </row>
        <row r="1115">
          <cell r="A1115">
            <v>46103</v>
          </cell>
          <cell r="B1115">
            <v>57</v>
          </cell>
          <cell r="C1115">
            <v>46</v>
          </cell>
          <cell r="D1115">
            <v>1468022.4</v>
          </cell>
          <cell r="E1115" t="str">
            <v>Pd103</v>
          </cell>
        </row>
        <row r="1116">
          <cell r="A1116">
            <v>46104</v>
          </cell>
          <cell r="B1116">
            <v>58</v>
          </cell>
          <cell r="C1116">
            <v>46</v>
          </cell>
          <cell r="D1116" t="str">
            <v>STABLE</v>
          </cell>
          <cell r="E1116" t="str">
            <v>Pd104</v>
          </cell>
        </row>
        <row r="1117">
          <cell r="A1117">
            <v>46105</v>
          </cell>
          <cell r="B1117">
            <v>59</v>
          </cell>
          <cell r="C1117">
            <v>46</v>
          </cell>
          <cell r="D1117" t="str">
            <v>STABLE</v>
          </cell>
          <cell r="E1117" t="str">
            <v>Pd105</v>
          </cell>
        </row>
        <row r="1118">
          <cell r="A1118">
            <v>46106</v>
          </cell>
          <cell r="B1118">
            <v>60</v>
          </cell>
          <cell r="C1118">
            <v>46</v>
          </cell>
          <cell r="D1118" t="str">
            <v>STABLE</v>
          </cell>
          <cell r="E1118" t="str">
            <v>Pd106</v>
          </cell>
        </row>
        <row r="1119">
          <cell r="A1119">
            <v>46107</v>
          </cell>
          <cell r="B1119">
            <v>61</v>
          </cell>
          <cell r="C1119">
            <v>46</v>
          </cell>
          <cell r="D1119">
            <v>205124400000000</v>
          </cell>
          <cell r="E1119" t="str">
            <v>Pd107</v>
          </cell>
        </row>
        <row r="1120">
          <cell r="A1120">
            <v>46108</v>
          </cell>
          <cell r="B1120">
            <v>62</v>
          </cell>
          <cell r="C1120">
            <v>46</v>
          </cell>
          <cell r="D1120" t="str">
            <v>STABLE</v>
          </cell>
          <cell r="E1120" t="str">
            <v>Pd108</v>
          </cell>
        </row>
        <row r="1121">
          <cell r="A1121">
            <v>46109</v>
          </cell>
          <cell r="B1121">
            <v>63</v>
          </cell>
          <cell r="C1121">
            <v>46</v>
          </cell>
          <cell r="D1121">
            <v>49324.32</v>
          </cell>
          <cell r="E1121" t="str">
            <v>Pd109</v>
          </cell>
        </row>
        <row r="1122">
          <cell r="A1122">
            <v>46110</v>
          </cell>
          <cell r="B1122">
            <v>64</v>
          </cell>
          <cell r="C1122">
            <v>46</v>
          </cell>
          <cell r="D1122" t="str">
            <v>STABLE</v>
          </cell>
          <cell r="E1122" t="str">
            <v>Pd110</v>
          </cell>
        </row>
        <row r="1123">
          <cell r="A1123">
            <v>46111</v>
          </cell>
          <cell r="B1123">
            <v>65</v>
          </cell>
          <cell r="C1123">
            <v>46</v>
          </cell>
          <cell r="D1123">
            <v>1404</v>
          </cell>
          <cell r="E1123" t="str">
            <v>Pd111</v>
          </cell>
        </row>
        <row r="1124">
          <cell r="A1124">
            <v>46112</v>
          </cell>
          <cell r="B1124">
            <v>66</v>
          </cell>
          <cell r="C1124">
            <v>46</v>
          </cell>
          <cell r="D1124">
            <v>75744</v>
          </cell>
          <cell r="E1124" t="str">
            <v>Pd112</v>
          </cell>
        </row>
        <row r="1125">
          <cell r="A1125">
            <v>46113</v>
          </cell>
          <cell r="B1125">
            <v>67</v>
          </cell>
          <cell r="C1125">
            <v>46</v>
          </cell>
          <cell r="D1125">
            <v>93</v>
          </cell>
          <cell r="E1125" t="str">
            <v>Pd113</v>
          </cell>
        </row>
        <row r="1126">
          <cell r="A1126">
            <v>46114</v>
          </cell>
          <cell r="B1126">
            <v>68</v>
          </cell>
          <cell r="C1126">
            <v>46</v>
          </cell>
          <cell r="D1126">
            <v>145.19999999999999</v>
          </cell>
          <cell r="E1126" t="str">
            <v>Pd114</v>
          </cell>
        </row>
        <row r="1127">
          <cell r="A1127">
            <v>46115</v>
          </cell>
          <cell r="B1127">
            <v>69</v>
          </cell>
          <cell r="C1127">
            <v>46</v>
          </cell>
          <cell r="D1127">
            <v>25</v>
          </cell>
          <cell r="E1127" t="str">
            <v>Pd115</v>
          </cell>
        </row>
        <row r="1128">
          <cell r="A1128">
            <v>46116</v>
          </cell>
          <cell r="B1128">
            <v>70</v>
          </cell>
          <cell r="C1128">
            <v>46</v>
          </cell>
          <cell r="D1128">
            <v>11.8</v>
          </cell>
          <cell r="E1128" t="str">
            <v>Pd116</v>
          </cell>
        </row>
        <row r="1129">
          <cell r="A1129">
            <v>46117</v>
          </cell>
          <cell r="B1129">
            <v>71</v>
          </cell>
          <cell r="C1129">
            <v>46</v>
          </cell>
          <cell r="D1129">
            <v>4.3</v>
          </cell>
          <cell r="E1129" t="str">
            <v>Pd117</v>
          </cell>
        </row>
        <row r="1130">
          <cell r="A1130">
            <v>46118</v>
          </cell>
          <cell r="B1130">
            <v>72</v>
          </cell>
          <cell r="C1130">
            <v>46</v>
          </cell>
          <cell r="D1130">
            <v>1.9</v>
          </cell>
          <cell r="E1130" t="str">
            <v>Pd118</v>
          </cell>
        </row>
        <row r="1131">
          <cell r="A1131">
            <v>46119</v>
          </cell>
          <cell r="B1131">
            <v>73</v>
          </cell>
          <cell r="C1131">
            <v>46</v>
          </cell>
          <cell r="D1131">
            <v>0.92</v>
          </cell>
          <cell r="E1131" t="str">
            <v>Pd119</v>
          </cell>
        </row>
        <row r="1132">
          <cell r="A1132">
            <v>46120</v>
          </cell>
          <cell r="B1132">
            <v>74</v>
          </cell>
          <cell r="C1132">
            <v>46</v>
          </cell>
          <cell r="D1132">
            <v>0.49199999999999999</v>
          </cell>
          <cell r="E1132" t="str">
            <v>Pd120</v>
          </cell>
        </row>
        <row r="1133">
          <cell r="A1133">
            <v>46121</v>
          </cell>
          <cell r="B1133">
            <v>75</v>
          </cell>
          <cell r="C1133">
            <v>46</v>
          </cell>
          <cell r="D1133">
            <v>0.28499999999999998</v>
          </cell>
          <cell r="E1133" t="str">
            <v>Pd121</v>
          </cell>
        </row>
        <row r="1134">
          <cell r="A1134">
            <v>46122</v>
          </cell>
          <cell r="B1134">
            <v>76</v>
          </cell>
          <cell r="C1134">
            <v>46</v>
          </cell>
          <cell r="D1134">
            <v>0.17499999999999999</v>
          </cell>
          <cell r="E1134" t="str">
            <v>Pd122</v>
          </cell>
        </row>
        <row r="1135">
          <cell r="A1135">
            <v>46123</v>
          </cell>
          <cell r="B1135">
            <v>77</v>
          </cell>
          <cell r="C1135">
            <v>46</v>
          </cell>
          <cell r="D1135">
            <v>0.108</v>
          </cell>
          <cell r="E1135" t="str">
            <v>Pd123</v>
          </cell>
        </row>
        <row r="1136">
          <cell r="A1136">
            <v>46124</v>
          </cell>
          <cell r="B1136">
            <v>78</v>
          </cell>
          <cell r="C1136">
            <v>46</v>
          </cell>
          <cell r="D1136">
            <v>3.7999999999999999E-2</v>
          </cell>
          <cell r="E1136" t="str">
            <v>Pd124</v>
          </cell>
        </row>
        <row r="1137">
          <cell r="A1137">
            <v>46125</v>
          </cell>
          <cell r="B1137">
            <v>79</v>
          </cell>
          <cell r="C1137">
            <v>46</v>
          </cell>
          <cell r="D1137">
            <v>5.7000000000000002E-2</v>
          </cell>
          <cell r="E1137" t="str">
            <v>Pd125</v>
          </cell>
        </row>
        <row r="1138">
          <cell r="A1138">
            <v>46126</v>
          </cell>
          <cell r="B1138">
            <v>80</v>
          </cell>
          <cell r="C1138">
            <v>46</v>
          </cell>
          <cell r="D1138">
            <v>4.8599999999999997E-2</v>
          </cell>
          <cell r="E1138" t="str">
            <v>Pd126</v>
          </cell>
        </row>
        <row r="1139">
          <cell r="A1139">
            <v>46127</v>
          </cell>
          <cell r="B1139">
            <v>81</v>
          </cell>
          <cell r="C1139">
            <v>46</v>
          </cell>
          <cell r="D1139">
            <v>3.7999999999999999E-2</v>
          </cell>
          <cell r="E1139" t="str">
            <v>Pd127</v>
          </cell>
        </row>
        <row r="1140">
          <cell r="A1140">
            <v>46128</v>
          </cell>
          <cell r="B1140">
            <v>82</v>
          </cell>
          <cell r="C1140">
            <v>46</v>
          </cell>
          <cell r="D1140">
            <v>3.5000000000000003E-2</v>
          </cell>
          <cell r="E1140" t="str">
            <v>Pd128</v>
          </cell>
        </row>
        <row r="1141">
          <cell r="A1141">
            <v>47094</v>
          </cell>
          <cell r="B1141">
            <v>47</v>
          </cell>
          <cell r="C1141">
            <v>47</v>
          </cell>
          <cell r="D1141">
            <v>2.5999999999999999E-2</v>
          </cell>
          <cell r="E1141" t="str">
            <v>Ag94</v>
          </cell>
        </row>
        <row r="1142">
          <cell r="A1142">
            <v>47095</v>
          </cell>
          <cell r="B1142">
            <v>48</v>
          </cell>
          <cell r="C1142">
            <v>47</v>
          </cell>
          <cell r="D1142">
            <v>1.75</v>
          </cell>
          <cell r="E1142" t="str">
            <v>Ag95</v>
          </cell>
        </row>
        <row r="1143">
          <cell r="A1143">
            <v>47096</v>
          </cell>
          <cell r="B1143">
            <v>49</v>
          </cell>
          <cell r="C1143">
            <v>47</v>
          </cell>
          <cell r="D1143">
            <v>4.4000000000000004</v>
          </cell>
          <cell r="E1143" t="str">
            <v>Ag96</v>
          </cell>
        </row>
        <row r="1144">
          <cell r="A1144">
            <v>47097</v>
          </cell>
          <cell r="B1144">
            <v>50</v>
          </cell>
          <cell r="C1144">
            <v>47</v>
          </cell>
          <cell r="D1144">
            <v>25.5</v>
          </cell>
          <cell r="E1144" t="str">
            <v>Ag97</v>
          </cell>
        </row>
        <row r="1145">
          <cell r="A1145">
            <v>47098</v>
          </cell>
          <cell r="B1145">
            <v>51</v>
          </cell>
          <cell r="C1145">
            <v>47</v>
          </cell>
          <cell r="D1145">
            <v>47.5</v>
          </cell>
          <cell r="E1145" t="str">
            <v>Ag98</v>
          </cell>
        </row>
        <row r="1146">
          <cell r="A1146">
            <v>47099</v>
          </cell>
          <cell r="B1146">
            <v>52</v>
          </cell>
          <cell r="C1146">
            <v>47</v>
          </cell>
          <cell r="D1146">
            <v>124</v>
          </cell>
          <cell r="E1146" t="str">
            <v>Ag99</v>
          </cell>
        </row>
        <row r="1147">
          <cell r="A1147">
            <v>47100</v>
          </cell>
          <cell r="B1147">
            <v>53</v>
          </cell>
          <cell r="C1147">
            <v>47</v>
          </cell>
          <cell r="D1147">
            <v>120.6</v>
          </cell>
          <cell r="E1147" t="str">
            <v>Ag100</v>
          </cell>
        </row>
        <row r="1148">
          <cell r="A1148">
            <v>47101</v>
          </cell>
          <cell r="B1148">
            <v>54</v>
          </cell>
          <cell r="C1148">
            <v>47</v>
          </cell>
          <cell r="D1148">
            <v>666</v>
          </cell>
          <cell r="E1148" t="str">
            <v>Ag101</v>
          </cell>
        </row>
        <row r="1149">
          <cell r="A1149">
            <v>47102</v>
          </cell>
          <cell r="B1149">
            <v>55</v>
          </cell>
          <cell r="C1149">
            <v>47</v>
          </cell>
          <cell r="D1149">
            <v>774</v>
          </cell>
          <cell r="E1149" t="str">
            <v>Ag102</v>
          </cell>
        </row>
        <row r="1150">
          <cell r="A1150">
            <v>47103</v>
          </cell>
          <cell r="B1150">
            <v>56</v>
          </cell>
          <cell r="C1150">
            <v>47</v>
          </cell>
          <cell r="D1150">
            <v>3942</v>
          </cell>
          <cell r="E1150" t="str">
            <v>Ag103</v>
          </cell>
        </row>
        <row r="1151">
          <cell r="A1151">
            <v>47104</v>
          </cell>
          <cell r="B1151">
            <v>57</v>
          </cell>
          <cell r="C1151">
            <v>47</v>
          </cell>
          <cell r="D1151">
            <v>4152</v>
          </cell>
          <cell r="E1151" t="str">
            <v>Ag104</v>
          </cell>
        </row>
        <row r="1152">
          <cell r="A1152">
            <v>47105</v>
          </cell>
          <cell r="B1152">
            <v>58</v>
          </cell>
          <cell r="C1152">
            <v>47</v>
          </cell>
          <cell r="D1152">
            <v>3567456</v>
          </cell>
          <cell r="E1152" t="str">
            <v>Ag105</v>
          </cell>
        </row>
        <row r="1153">
          <cell r="A1153">
            <v>47106</v>
          </cell>
          <cell r="B1153">
            <v>59</v>
          </cell>
          <cell r="C1153">
            <v>47</v>
          </cell>
          <cell r="D1153">
            <v>1437.6</v>
          </cell>
          <cell r="E1153" t="str">
            <v>Ag106</v>
          </cell>
        </row>
        <row r="1154">
          <cell r="A1154">
            <v>47107</v>
          </cell>
          <cell r="B1154">
            <v>60</v>
          </cell>
          <cell r="C1154">
            <v>47</v>
          </cell>
          <cell r="D1154" t="str">
            <v>STABLE</v>
          </cell>
          <cell r="E1154" t="str">
            <v>Ag107</v>
          </cell>
        </row>
        <row r="1155">
          <cell r="A1155">
            <v>47108</v>
          </cell>
          <cell r="B1155">
            <v>61</v>
          </cell>
          <cell r="C1155">
            <v>47</v>
          </cell>
          <cell r="D1155">
            <v>142.91999999999999</v>
          </cell>
          <cell r="E1155" t="str">
            <v>Ag108</v>
          </cell>
        </row>
        <row r="1156">
          <cell r="A1156">
            <v>47109</v>
          </cell>
          <cell r="B1156">
            <v>62</v>
          </cell>
          <cell r="C1156">
            <v>47</v>
          </cell>
          <cell r="D1156" t="str">
            <v>STABLE</v>
          </cell>
          <cell r="E1156" t="str">
            <v>Ag109</v>
          </cell>
        </row>
        <row r="1157">
          <cell r="A1157">
            <v>47110</v>
          </cell>
          <cell r="B1157">
            <v>63</v>
          </cell>
          <cell r="C1157">
            <v>47</v>
          </cell>
          <cell r="D1157">
            <v>24.6</v>
          </cell>
          <cell r="E1157" t="str">
            <v>Ag110</v>
          </cell>
        </row>
        <row r="1158">
          <cell r="A1158">
            <v>47111</v>
          </cell>
          <cell r="B1158">
            <v>64</v>
          </cell>
          <cell r="C1158">
            <v>47</v>
          </cell>
          <cell r="D1158">
            <v>643680</v>
          </cell>
          <cell r="E1158" t="str">
            <v>Ag111</v>
          </cell>
        </row>
        <row r="1159">
          <cell r="A1159">
            <v>47112</v>
          </cell>
          <cell r="B1159">
            <v>65</v>
          </cell>
          <cell r="C1159">
            <v>47</v>
          </cell>
          <cell r="D1159">
            <v>11268</v>
          </cell>
          <cell r="E1159" t="str">
            <v>Ag112</v>
          </cell>
        </row>
        <row r="1160">
          <cell r="A1160">
            <v>47113</v>
          </cell>
          <cell r="B1160">
            <v>66</v>
          </cell>
          <cell r="C1160">
            <v>47</v>
          </cell>
          <cell r="D1160">
            <v>19332</v>
          </cell>
          <cell r="E1160" t="str">
            <v>Ag113</v>
          </cell>
        </row>
        <row r="1161">
          <cell r="A1161">
            <v>47114</v>
          </cell>
          <cell r="B1161">
            <v>67</v>
          </cell>
          <cell r="C1161">
            <v>47</v>
          </cell>
          <cell r="D1161">
            <v>4.5999999999999996</v>
          </cell>
          <cell r="E1161" t="str">
            <v>Ag114</v>
          </cell>
        </row>
        <row r="1162">
          <cell r="A1162">
            <v>47115</v>
          </cell>
          <cell r="B1162">
            <v>68</v>
          </cell>
          <cell r="C1162">
            <v>47</v>
          </cell>
          <cell r="D1162">
            <v>1200</v>
          </cell>
          <cell r="E1162" t="str">
            <v>Ag115</v>
          </cell>
        </row>
        <row r="1163">
          <cell r="A1163">
            <v>47116</v>
          </cell>
          <cell r="B1163">
            <v>69</v>
          </cell>
          <cell r="C1163">
            <v>47</v>
          </cell>
          <cell r="D1163">
            <v>237</v>
          </cell>
          <cell r="E1163" t="str">
            <v>Ag116</v>
          </cell>
        </row>
        <row r="1164">
          <cell r="A1164">
            <v>47117</v>
          </cell>
          <cell r="B1164">
            <v>70</v>
          </cell>
          <cell r="C1164">
            <v>47</v>
          </cell>
          <cell r="D1164">
            <v>72.8</v>
          </cell>
          <cell r="E1164" t="str">
            <v>Ag117</v>
          </cell>
        </row>
        <row r="1165">
          <cell r="A1165">
            <v>47118</v>
          </cell>
          <cell r="B1165">
            <v>71</v>
          </cell>
          <cell r="C1165">
            <v>47</v>
          </cell>
          <cell r="D1165">
            <v>3.76</v>
          </cell>
          <cell r="E1165" t="str">
            <v>Ag118</v>
          </cell>
        </row>
        <row r="1166">
          <cell r="A1166">
            <v>47119</v>
          </cell>
          <cell r="B1166">
            <v>72</v>
          </cell>
          <cell r="C1166">
            <v>47</v>
          </cell>
          <cell r="D1166">
            <v>6</v>
          </cell>
          <cell r="E1166" t="str">
            <v>Ag119</v>
          </cell>
        </row>
        <row r="1167">
          <cell r="A1167">
            <v>47120</v>
          </cell>
          <cell r="B1167">
            <v>73</v>
          </cell>
          <cell r="C1167">
            <v>47</v>
          </cell>
          <cell r="D1167">
            <v>1.23</v>
          </cell>
          <cell r="E1167" t="str">
            <v>Ag120</v>
          </cell>
        </row>
        <row r="1168">
          <cell r="A1168">
            <v>47121</v>
          </cell>
          <cell r="B1168">
            <v>74</v>
          </cell>
          <cell r="C1168">
            <v>47</v>
          </cell>
          <cell r="D1168">
            <v>0.78</v>
          </cell>
          <cell r="E1168" t="str">
            <v>Ag121</v>
          </cell>
        </row>
        <row r="1169">
          <cell r="A1169">
            <v>47122</v>
          </cell>
          <cell r="B1169">
            <v>75</v>
          </cell>
          <cell r="C1169">
            <v>47</v>
          </cell>
          <cell r="D1169">
            <v>0.52900000000000003</v>
          </cell>
          <cell r="E1169" t="str">
            <v>Ag122</v>
          </cell>
        </row>
        <row r="1170">
          <cell r="A1170">
            <v>47123</v>
          </cell>
          <cell r="B1170">
            <v>76</v>
          </cell>
          <cell r="C1170">
            <v>47</v>
          </cell>
          <cell r="D1170">
            <v>0.3</v>
          </cell>
          <cell r="E1170" t="str">
            <v>Ag123</v>
          </cell>
        </row>
        <row r="1171">
          <cell r="A1171">
            <v>47124</v>
          </cell>
          <cell r="B1171">
            <v>77</v>
          </cell>
          <cell r="C1171">
            <v>47</v>
          </cell>
          <cell r="D1171">
            <v>0.191</v>
          </cell>
          <cell r="E1171" t="str">
            <v>Ag124</v>
          </cell>
        </row>
        <row r="1172">
          <cell r="A1172">
            <v>47125</v>
          </cell>
          <cell r="B1172">
            <v>78</v>
          </cell>
          <cell r="C1172">
            <v>47</v>
          </cell>
          <cell r="D1172">
            <v>0.159</v>
          </cell>
          <cell r="E1172" t="str">
            <v>Ag125</v>
          </cell>
        </row>
        <row r="1173">
          <cell r="A1173">
            <v>47126</v>
          </cell>
          <cell r="B1173">
            <v>79</v>
          </cell>
          <cell r="C1173">
            <v>47</v>
          </cell>
          <cell r="D1173">
            <v>5.1999999999999998E-2</v>
          </cell>
          <cell r="E1173" t="str">
            <v>Ag126</v>
          </cell>
        </row>
        <row r="1174">
          <cell r="A1174">
            <v>47127</v>
          </cell>
          <cell r="B1174">
            <v>80</v>
          </cell>
          <cell r="C1174">
            <v>47</v>
          </cell>
          <cell r="D1174">
            <v>0.109</v>
          </cell>
          <cell r="E1174" t="str">
            <v>Ag127</v>
          </cell>
        </row>
        <row r="1175">
          <cell r="A1175">
            <v>47128</v>
          </cell>
          <cell r="B1175">
            <v>81</v>
          </cell>
          <cell r="C1175">
            <v>47</v>
          </cell>
          <cell r="D1175">
            <v>5.8000000000000003E-2</v>
          </cell>
          <cell r="E1175" t="str">
            <v>Ag128</v>
          </cell>
        </row>
        <row r="1176">
          <cell r="A1176">
            <v>47129</v>
          </cell>
          <cell r="B1176">
            <v>82</v>
          </cell>
          <cell r="C1176">
            <v>47</v>
          </cell>
          <cell r="D1176">
            <v>4.5999999999999999E-2</v>
          </cell>
          <cell r="E1176" t="str">
            <v>Ag129</v>
          </cell>
        </row>
        <row r="1177">
          <cell r="A1177">
            <v>47130</v>
          </cell>
          <cell r="B1177">
            <v>83</v>
          </cell>
          <cell r="C1177">
            <v>47</v>
          </cell>
          <cell r="D1177">
            <v>4.2000000000000003E-2</v>
          </cell>
          <cell r="E1177" t="str">
            <v>Ag130</v>
          </cell>
        </row>
        <row r="1178">
          <cell r="A1178">
            <v>47131</v>
          </cell>
          <cell r="B1178">
            <v>84</v>
          </cell>
          <cell r="C1178">
            <v>47</v>
          </cell>
          <cell r="D1178">
            <v>3.5000000000000003E-2</v>
          </cell>
          <cell r="E1178" t="str">
            <v>Ag131</v>
          </cell>
        </row>
        <row r="1179">
          <cell r="A1179">
            <v>47132</v>
          </cell>
          <cell r="B1179">
            <v>85</v>
          </cell>
          <cell r="C1179">
            <v>47</v>
          </cell>
          <cell r="D1179">
            <v>2.8000000000000001E-2</v>
          </cell>
          <cell r="E1179" t="str">
            <v>Ag132</v>
          </cell>
        </row>
        <row r="1180">
          <cell r="A1180">
            <v>48096</v>
          </cell>
          <cell r="B1180">
            <v>48</v>
          </cell>
          <cell r="C1180">
            <v>48</v>
          </cell>
          <cell r="D1180">
            <v>1.03</v>
          </cell>
          <cell r="E1180" t="str">
            <v>Cd96</v>
          </cell>
        </row>
        <row r="1181">
          <cell r="A1181">
            <v>48097</v>
          </cell>
          <cell r="B1181">
            <v>49</v>
          </cell>
          <cell r="C1181">
            <v>48</v>
          </cell>
          <cell r="D1181">
            <v>1.1000000000000001</v>
          </cell>
          <cell r="E1181" t="str">
            <v>Cd97</v>
          </cell>
        </row>
        <row r="1182">
          <cell r="A1182">
            <v>48098</v>
          </cell>
          <cell r="B1182">
            <v>50</v>
          </cell>
          <cell r="C1182">
            <v>48</v>
          </cell>
          <cell r="D1182">
            <v>9.1999999999999993</v>
          </cell>
          <cell r="E1182" t="str">
            <v>Cd98</v>
          </cell>
        </row>
        <row r="1183">
          <cell r="A1183">
            <v>48099</v>
          </cell>
          <cell r="B1183">
            <v>51</v>
          </cell>
          <cell r="C1183">
            <v>48</v>
          </cell>
          <cell r="D1183">
            <v>16</v>
          </cell>
          <cell r="E1183" t="str">
            <v>Cd99</v>
          </cell>
        </row>
        <row r="1184">
          <cell r="A1184">
            <v>48100</v>
          </cell>
          <cell r="B1184">
            <v>52</v>
          </cell>
          <cell r="C1184">
            <v>48</v>
          </cell>
          <cell r="D1184">
            <v>49.1</v>
          </cell>
          <cell r="E1184" t="str">
            <v>Cd100</v>
          </cell>
        </row>
        <row r="1185">
          <cell r="A1185">
            <v>48101</v>
          </cell>
          <cell r="B1185">
            <v>53</v>
          </cell>
          <cell r="C1185">
            <v>48</v>
          </cell>
          <cell r="D1185">
            <v>81.599999999999994</v>
          </cell>
          <cell r="E1185" t="str">
            <v>Cd101</v>
          </cell>
        </row>
        <row r="1186">
          <cell r="A1186">
            <v>48102</v>
          </cell>
          <cell r="B1186">
            <v>54</v>
          </cell>
          <cell r="C1186">
            <v>48</v>
          </cell>
          <cell r="D1186">
            <v>330</v>
          </cell>
          <cell r="E1186" t="str">
            <v>Cd102</v>
          </cell>
        </row>
        <row r="1187">
          <cell r="A1187">
            <v>48103</v>
          </cell>
          <cell r="B1187">
            <v>55</v>
          </cell>
          <cell r="C1187">
            <v>48</v>
          </cell>
          <cell r="D1187">
            <v>438</v>
          </cell>
          <cell r="E1187" t="str">
            <v>Cd103</v>
          </cell>
        </row>
        <row r="1188">
          <cell r="A1188">
            <v>48104</v>
          </cell>
          <cell r="B1188">
            <v>56</v>
          </cell>
          <cell r="C1188">
            <v>48</v>
          </cell>
          <cell r="D1188">
            <v>3462</v>
          </cell>
          <cell r="E1188" t="str">
            <v>Cd104</v>
          </cell>
        </row>
        <row r="1189">
          <cell r="A1189">
            <v>48105</v>
          </cell>
          <cell r="B1189">
            <v>57</v>
          </cell>
          <cell r="C1189">
            <v>48</v>
          </cell>
          <cell r="D1189">
            <v>3330</v>
          </cell>
          <cell r="E1189" t="str">
            <v>Cd105</v>
          </cell>
        </row>
        <row r="1190">
          <cell r="A1190">
            <v>48106</v>
          </cell>
          <cell r="B1190">
            <v>58</v>
          </cell>
          <cell r="C1190">
            <v>48</v>
          </cell>
          <cell r="D1190">
            <v>1.1360736E+28</v>
          </cell>
          <cell r="E1190" t="str">
            <v>Cd106</v>
          </cell>
        </row>
        <row r="1191">
          <cell r="A1191">
            <v>48107</v>
          </cell>
          <cell r="B1191">
            <v>59</v>
          </cell>
          <cell r="C1191">
            <v>48</v>
          </cell>
          <cell r="D1191">
            <v>23400</v>
          </cell>
          <cell r="E1191" t="str">
            <v>Cd107</v>
          </cell>
        </row>
        <row r="1192">
          <cell r="A1192">
            <v>48108</v>
          </cell>
          <cell r="B1192">
            <v>60</v>
          </cell>
          <cell r="C1192">
            <v>48</v>
          </cell>
          <cell r="D1192">
            <v>5.9959439999999997E+25</v>
          </cell>
          <cell r="E1192" t="str">
            <v>Cd108</v>
          </cell>
        </row>
        <row r="1193">
          <cell r="A1193">
            <v>48109</v>
          </cell>
          <cell r="B1193">
            <v>61</v>
          </cell>
          <cell r="C1193">
            <v>48</v>
          </cell>
          <cell r="D1193">
            <v>39864960</v>
          </cell>
          <cell r="E1193" t="str">
            <v>Cd109</v>
          </cell>
        </row>
        <row r="1194">
          <cell r="A1194">
            <v>48110</v>
          </cell>
          <cell r="B1194">
            <v>62</v>
          </cell>
          <cell r="C1194">
            <v>48</v>
          </cell>
          <cell r="D1194" t="str">
            <v>STABLE</v>
          </cell>
          <cell r="E1194" t="str">
            <v>Cd110</v>
          </cell>
        </row>
        <row r="1195">
          <cell r="A1195">
            <v>48111</v>
          </cell>
          <cell r="B1195">
            <v>63</v>
          </cell>
          <cell r="C1195">
            <v>48</v>
          </cell>
          <cell r="D1195" t="str">
            <v>STABLE</v>
          </cell>
          <cell r="E1195" t="str">
            <v>Cd111</v>
          </cell>
        </row>
        <row r="1196">
          <cell r="A1196">
            <v>48112</v>
          </cell>
          <cell r="B1196">
            <v>64</v>
          </cell>
          <cell r="C1196">
            <v>48</v>
          </cell>
          <cell r="D1196" t="str">
            <v>STABLE</v>
          </cell>
          <cell r="E1196" t="str">
            <v>Cd112</v>
          </cell>
        </row>
        <row r="1197">
          <cell r="A1197">
            <v>48113</v>
          </cell>
          <cell r="B1197">
            <v>65</v>
          </cell>
          <cell r="C1197">
            <v>48</v>
          </cell>
          <cell r="D1197">
            <v>2.5246080000000001E+23</v>
          </cell>
          <cell r="E1197" t="str">
            <v>Cd113</v>
          </cell>
        </row>
        <row r="1198">
          <cell r="A1198">
            <v>48114</v>
          </cell>
          <cell r="B1198">
            <v>66</v>
          </cell>
          <cell r="C1198">
            <v>48</v>
          </cell>
          <cell r="D1198">
            <v>6.627096E+25</v>
          </cell>
          <cell r="E1198" t="str">
            <v>Cd114</v>
          </cell>
        </row>
        <row r="1199">
          <cell r="A1199">
            <v>48115</v>
          </cell>
          <cell r="B1199">
            <v>67</v>
          </cell>
          <cell r="C1199">
            <v>48</v>
          </cell>
          <cell r="D1199">
            <v>192456</v>
          </cell>
          <cell r="E1199" t="str">
            <v>Cd115</v>
          </cell>
        </row>
        <row r="1200">
          <cell r="A1200">
            <v>48116</v>
          </cell>
          <cell r="B1200">
            <v>68</v>
          </cell>
          <cell r="C1200">
            <v>48</v>
          </cell>
          <cell r="D1200">
            <v>1.0414008E+27</v>
          </cell>
          <cell r="E1200" t="str">
            <v>Cd116</v>
          </cell>
        </row>
        <row r="1201">
          <cell r="A1201">
            <v>48117</v>
          </cell>
          <cell r="B1201">
            <v>69</v>
          </cell>
          <cell r="C1201">
            <v>48</v>
          </cell>
          <cell r="D1201">
            <v>8964</v>
          </cell>
          <cell r="E1201" t="str">
            <v>Cd117</v>
          </cell>
        </row>
        <row r="1202">
          <cell r="A1202">
            <v>48118</v>
          </cell>
          <cell r="B1202">
            <v>70</v>
          </cell>
          <cell r="C1202">
            <v>48</v>
          </cell>
          <cell r="D1202">
            <v>3018</v>
          </cell>
          <cell r="E1202" t="str">
            <v>Cd118</v>
          </cell>
        </row>
        <row r="1203">
          <cell r="A1203">
            <v>48119</v>
          </cell>
          <cell r="B1203">
            <v>71</v>
          </cell>
          <cell r="C1203">
            <v>48</v>
          </cell>
          <cell r="D1203">
            <v>161.4</v>
          </cell>
          <cell r="E1203" t="str">
            <v>Cd119</v>
          </cell>
        </row>
        <row r="1204">
          <cell r="A1204">
            <v>48120</v>
          </cell>
          <cell r="B1204">
            <v>72</v>
          </cell>
          <cell r="C1204">
            <v>48</v>
          </cell>
          <cell r="D1204">
            <v>50.8</v>
          </cell>
          <cell r="E1204" t="str">
            <v>Cd120</v>
          </cell>
        </row>
        <row r="1205">
          <cell r="A1205">
            <v>48121</v>
          </cell>
          <cell r="B1205">
            <v>73</v>
          </cell>
          <cell r="C1205">
            <v>48</v>
          </cell>
          <cell r="D1205">
            <v>13.5</v>
          </cell>
          <cell r="E1205" t="str">
            <v>Cd121</v>
          </cell>
        </row>
        <row r="1206">
          <cell r="A1206">
            <v>48122</v>
          </cell>
          <cell r="B1206">
            <v>74</v>
          </cell>
          <cell r="C1206">
            <v>48</v>
          </cell>
          <cell r="D1206">
            <v>5.24</v>
          </cell>
          <cell r="E1206" t="str">
            <v>Cd122</v>
          </cell>
        </row>
        <row r="1207">
          <cell r="A1207">
            <v>48123</v>
          </cell>
          <cell r="B1207">
            <v>75</v>
          </cell>
          <cell r="C1207">
            <v>48</v>
          </cell>
          <cell r="D1207">
            <v>2.1</v>
          </cell>
          <cell r="E1207" t="str">
            <v>Cd123</v>
          </cell>
        </row>
        <row r="1208">
          <cell r="A1208">
            <v>48124</v>
          </cell>
          <cell r="B1208">
            <v>76</v>
          </cell>
          <cell r="C1208">
            <v>48</v>
          </cell>
          <cell r="D1208">
            <v>1.25</v>
          </cell>
          <cell r="E1208" t="str">
            <v>Cd124</v>
          </cell>
        </row>
        <row r="1209">
          <cell r="A1209">
            <v>48125</v>
          </cell>
          <cell r="B1209">
            <v>77</v>
          </cell>
          <cell r="C1209">
            <v>48</v>
          </cell>
          <cell r="D1209">
            <v>0.68</v>
          </cell>
          <cell r="E1209" t="str">
            <v>Cd125</v>
          </cell>
        </row>
        <row r="1210">
          <cell r="A1210">
            <v>48126</v>
          </cell>
          <cell r="B1210">
            <v>78</v>
          </cell>
          <cell r="C1210">
            <v>48</v>
          </cell>
          <cell r="D1210">
            <v>0.51500000000000001</v>
          </cell>
          <cell r="E1210" t="str">
            <v>Cd126</v>
          </cell>
        </row>
        <row r="1211">
          <cell r="A1211">
            <v>48127</v>
          </cell>
          <cell r="B1211">
            <v>79</v>
          </cell>
          <cell r="C1211">
            <v>48</v>
          </cell>
          <cell r="D1211">
            <v>0.37</v>
          </cell>
          <cell r="E1211" t="str">
            <v>Cd127</v>
          </cell>
        </row>
        <row r="1212">
          <cell r="A1212">
            <v>48128</v>
          </cell>
          <cell r="B1212">
            <v>80</v>
          </cell>
          <cell r="C1212">
            <v>48</v>
          </cell>
          <cell r="D1212">
            <v>0.28000000000000003</v>
          </cell>
          <cell r="E1212" t="str">
            <v>Cd128</v>
          </cell>
        </row>
        <row r="1213">
          <cell r="A1213">
            <v>48129</v>
          </cell>
          <cell r="B1213">
            <v>81</v>
          </cell>
          <cell r="C1213">
            <v>48</v>
          </cell>
          <cell r="D1213">
            <v>0.154</v>
          </cell>
          <cell r="E1213" t="str">
            <v>Cd129</v>
          </cell>
        </row>
        <row r="1214">
          <cell r="A1214">
            <v>48130</v>
          </cell>
          <cell r="B1214">
            <v>82</v>
          </cell>
          <cell r="C1214">
            <v>48</v>
          </cell>
          <cell r="D1214">
            <v>0.16200000000000001</v>
          </cell>
          <cell r="E1214" t="str">
            <v>Cd130</v>
          </cell>
        </row>
        <row r="1215">
          <cell r="A1215">
            <v>48131</v>
          </cell>
          <cell r="B1215">
            <v>83</v>
          </cell>
          <cell r="C1215">
            <v>48</v>
          </cell>
          <cell r="D1215">
            <v>6.8000000000000005E-2</v>
          </cell>
          <cell r="E1215" t="str">
            <v>Cd131</v>
          </cell>
        </row>
        <row r="1216">
          <cell r="A1216">
            <v>48132</v>
          </cell>
          <cell r="B1216">
            <v>84</v>
          </cell>
          <cell r="C1216">
            <v>48</v>
          </cell>
          <cell r="D1216">
            <v>9.7000000000000003E-2</v>
          </cell>
          <cell r="E1216" t="str">
            <v>Cd132</v>
          </cell>
        </row>
        <row r="1217">
          <cell r="A1217">
            <v>48133</v>
          </cell>
          <cell r="B1217">
            <v>85</v>
          </cell>
          <cell r="C1217">
            <v>48</v>
          </cell>
          <cell r="D1217">
            <v>5.7000000000000002E-2</v>
          </cell>
          <cell r="E1217" t="str">
            <v>Cd133</v>
          </cell>
        </row>
        <row r="1218">
          <cell r="A1218">
            <v>48134</v>
          </cell>
          <cell r="B1218">
            <v>86</v>
          </cell>
          <cell r="C1218">
            <v>48</v>
          </cell>
          <cell r="D1218">
            <v>6.5000000000000002E-2</v>
          </cell>
          <cell r="E1218" t="str">
            <v>Cd134</v>
          </cell>
        </row>
        <row r="1219">
          <cell r="A1219">
            <v>49098</v>
          </cell>
          <cell r="B1219">
            <v>49</v>
          </cell>
          <cell r="C1219">
            <v>49</v>
          </cell>
          <cell r="D1219">
            <v>3.2000000000000001E-2</v>
          </cell>
          <cell r="E1219" t="str">
            <v>In98</v>
          </cell>
        </row>
        <row r="1220">
          <cell r="A1220">
            <v>49099</v>
          </cell>
          <cell r="B1220">
            <v>50</v>
          </cell>
          <cell r="C1220">
            <v>49</v>
          </cell>
          <cell r="D1220">
            <v>3</v>
          </cell>
          <cell r="E1220" t="str">
            <v>In99</v>
          </cell>
        </row>
        <row r="1221">
          <cell r="A1221">
            <v>49100</v>
          </cell>
          <cell r="B1221">
            <v>51</v>
          </cell>
          <cell r="C1221">
            <v>49</v>
          </cell>
          <cell r="D1221">
            <v>5.8</v>
          </cell>
          <cell r="E1221" t="str">
            <v>In100</v>
          </cell>
        </row>
        <row r="1222">
          <cell r="A1222">
            <v>49101</v>
          </cell>
          <cell r="B1222">
            <v>52</v>
          </cell>
          <cell r="C1222">
            <v>49</v>
          </cell>
          <cell r="D1222">
            <v>15.1</v>
          </cell>
          <cell r="E1222" t="str">
            <v>In101</v>
          </cell>
        </row>
        <row r="1223">
          <cell r="A1223">
            <v>49102</v>
          </cell>
          <cell r="B1223">
            <v>53</v>
          </cell>
          <cell r="C1223">
            <v>49</v>
          </cell>
          <cell r="D1223">
            <v>23.3</v>
          </cell>
          <cell r="E1223" t="str">
            <v>In102</v>
          </cell>
        </row>
        <row r="1224">
          <cell r="A1224">
            <v>49103</v>
          </cell>
          <cell r="B1224">
            <v>54</v>
          </cell>
          <cell r="C1224">
            <v>49</v>
          </cell>
          <cell r="D1224">
            <v>65</v>
          </cell>
          <cell r="E1224" t="str">
            <v>In103</v>
          </cell>
        </row>
        <row r="1225">
          <cell r="A1225">
            <v>49104</v>
          </cell>
          <cell r="B1225">
            <v>55</v>
          </cell>
          <cell r="C1225">
            <v>49</v>
          </cell>
          <cell r="D1225">
            <v>108</v>
          </cell>
          <cell r="E1225" t="str">
            <v>In104</v>
          </cell>
        </row>
        <row r="1226">
          <cell r="A1226">
            <v>49105</v>
          </cell>
          <cell r="B1226">
            <v>56</v>
          </cell>
          <cell r="C1226">
            <v>49</v>
          </cell>
          <cell r="D1226">
            <v>304.2</v>
          </cell>
          <cell r="E1226" t="str">
            <v>In105</v>
          </cell>
        </row>
        <row r="1227">
          <cell r="A1227">
            <v>49106</v>
          </cell>
          <cell r="B1227">
            <v>57</v>
          </cell>
          <cell r="C1227">
            <v>49</v>
          </cell>
          <cell r="D1227">
            <v>372</v>
          </cell>
          <cell r="E1227" t="str">
            <v>In106</v>
          </cell>
        </row>
        <row r="1228">
          <cell r="A1228">
            <v>49107</v>
          </cell>
          <cell r="B1228">
            <v>58</v>
          </cell>
          <cell r="C1228">
            <v>49</v>
          </cell>
          <cell r="D1228">
            <v>1944</v>
          </cell>
          <cell r="E1228" t="str">
            <v>In107</v>
          </cell>
        </row>
        <row r="1229">
          <cell r="A1229">
            <v>49108</v>
          </cell>
          <cell r="B1229">
            <v>59</v>
          </cell>
          <cell r="C1229">
            <v>49</v>
          </cell>
          <cell r="D1229">
            <v>3480</v>
          </cell>
          <cell r="E1229" t="str">
            <v>In108</v>
          </cell>
        </row>
        <row r="1230">
          <cell r="A1230">
            <v>49109</v>
          </cell>
          <cell r="B1230">
            <v>60</v>
          </cell>
          <cell r="C1230">
            <v>49</v>
          </cell>
          <cell r="D1230">
            <v>15001.199999999901</v>
          </cell>
          <cell r="E1230" t="str">
            <v>In109</v>
          </cell>
        </row>
        <row r="1231">
          <cell r="A1231">
            <v>49110</v>
          </cell>
          <cell r="B1231">
            <v>61</v>
          </cell>
          <cell r="C1231">
            <v>49</v>
          </cell>
          <cell r="D1231">
            <v>17640</v>
          </cell>
          <cell r="E1231" t="str">
            <v>In110</v>
          </cell>
        </row>
        <row r="1232">
          <cell r="A1232">
            <v>49111</v>
          </cell>
          <cell r="B1232">
            <v>62</v>
          </cell>
          <cell r="C1232">
            <v>49</v>
          </cell>
          <cell r="D1232">
            <v>242326.08</v>
          </cell>
          <cell r="E1232" t="str">
            <v>In111</v>
          </cell>
        </row>
        <row r="1233">
          <cell r="A1233">
            <v>49112</v>
          </cell>
          <cell r="B1233">
            <v>63</v>
          </cell>
          <cell r="C1233">
            <v>49</v>
          </cell>
          <cell r="D1233">
            <v>892.8</v>
          </cell>
          <cell r="E1233" t="str">
            <v>In112</v>
          </cell>
        </row>
        <row r="1234">
          <cell r="A1234">
            <v>49113</v>
          </cell>
          <cell r="B1234">
            <v>64</v>
          </cell>
          <cell r="C1234">
            <v>49</v>
          </cell>
          <cell r="D1234" t="str">
            <v>STABLE</v>
          </cell>
          <cell r="E1234" t="str">
            <v>In113</v>
          </cell>
        </row>
        <row r="1235">
          <cell r="A1235">
            <v>49114</v>
          </cell>
          <cell r="B1235">
            <v>65</v>
          </cell>
          <cell r="C1235">
            <v>49</v>
          </cell>
          <cell r="D1235">
            <v>71.900000000000006</v>
          </cell>
          <cell r="E1235" t="str">
            <v>In114</v>
          </cell>
        </row>
        <row r="1236">
          <cell r="A1236">
            <v>49115</v>
          </cell>
          <cell r="B1236">
            <v>66</v>
          </cell>
          <cell r="C1236">
            <v>49</v>
          </cell>
          <cell r="D1236">
            <v>1.3916901599999999E+22</v>
          </cell>
          <cell r="E1236" t="str">
            <v>In115</v>
          </cell>
        </row>
        <row r="1237">
          <cell r="A1237">
            <v>49116</v>
          </cell>
          <cell r="B1237">
            <v>67</v>
          </cell>
          <cell r="C1237">
            <v>49</v>
          </cell>
          <cell r="D1237">
            <v>14.1</v>
          </cell>
          <cell r="E1237" t="str">
            <v>In116</v>
          </cell>
        </row>
        <row r="1238">
          <cell r="A1238">
            <v>49117</v>
          </cell>
          <cell r="B1238">
            <v>68</v>
          </cell>
          <cell r="C1238">
            <v>49</v>
          </cell>
          <cell r="D1238">
            <v>2592</v>
          </cell>
          <cell r="E1238" t="str">
            <v>In117</v>
          </cell>
        </row>
        <row r="1239">
          <cell r="A1239">
            <v>49118</v>
          </cell>
          <cell r="B1239">
            <v>69</v>
          </cell>
          <cell r="C1239">
            <v>49</v>
          </cell>
          <cell r="D1239">
            <v>5</v>
          </cell>
          <cell r="E1239" t="str">
            <v>In118</v>
          </cell>
        </row>
        <row r="1240">
          <cell r="A1240">
            <v>49119</v>
          </cell>
          <cell r="B1240">
            <v>70</v>
          </cell>
          <cell r="C1240">
            <v>49</v>
          </cell>
          <cell r="D1240">
            <v>144</v>
          </cell>
          <cell r="E1240" t="str">
            <v>In119</v>
          </cell>
        </row>
        <row r="1241">
          <cell r="A1241">
            <v>49120</v>
          </cell>
          <cell r="B1241">
            <v>71</v>
          </cell>
          <cell r="C1241">
            <v>49</v>
          </cell>
          <cell r="D1241">
            <v>3.08</v>
          </cell>
          <cell r="E1241" t="str">
            <v>In120</v>
          </cell>
        </row>
        <row r="1242">
          <cell r="A1242">
            <v>49121</v>
          </cell>
          <cell r="B1242">
            <v>72</v>
          </cell>
          <cell r="C1242">
            <v>49</v>
          </cell>
          <cell r="D1242">
            <v>23.1</v>
          </cell>
          <cell r="E1242" t="str">
            <v>In121</v>
          </cell>
        </row>
        <row r="1243">
          <cell r="A1243">
            <v>49122</v>
          </cell>
          <cell r="B1243">
            <v>73</v>
          </cell>
          <cell r="C1243">
            <v>49</v>
          </cell>
          <cell r="D1243">
            <v>1.5</v>
          </cell>
          <cell r="E1243" t="str">
            <v>In122</v>
          </cell>
        </row>
        <row r="1244">
          <cell r="A1244">
            <v>49123</v>
          </cell>
          <cell r="B1244">
            <v>74</v>
          </cell>
          <cell r="C1244">
            <v>49</v>
          </cell>
          <cell r="D1244">
            <v>6.17</v>
          </cell>
          <cell r="E1244" t="str">
            <v>In123</v>
          </cell>
        </row>
        <row r="1245">
          <cell r="A1245">
            <v>49124</v>
          </cell>
          <cell r="B1245">
            <v>75</v>
          </cell>
          <cell r="C1245">
            <v>49</v>
          </cell>
          <cell r="D1245">
            <v>3.12</v>
          </cell>
          <cell r="E1245" t="str">
            <v>In124</v>
          </cell>
        </row>
        <row r="1246">
          <cell r="A1246">
            <v>49125</v>
          </cell>
          <cell r="B1246">
            <v>76</v>
          </cell>
          <cell r="C1246">
            <v>49</v>
          </cell>
          <cell r="D1246">
            <v>2.36</v>
          </cell>
          <cell r="E1246" t="str">
            <v>In125</v>
          </cell>
        </row>
        <row r="1247">
          <cell r="A1247">
            <v>49126</v>
          </cell>
          <cell r="B1247">
            <v>77</v>
          </cell>
          <cell r="C1247">
            <v>49</v>
          </cell>
          <cell r="D1247">
            <v>1.53</v>
          </cell>
          <cell r="E1247" t="str">
            <v>In126</v>
          </cell>
        </row>
        <row r="1248">
          <cell r="A1248">
            <v>49127</v>
          </cell>
          <cell r="B1248">
            <v>78</v>
          </cell>
          <cell r="C1248">
            <v>49</v>
          </cell>
          <cell r="D1248">
            <v>1.0900000000000001</v>
          </cell>
          <cell r="E1248" t="str">
            <v>In127</v>
          </cell>
        </row>
        <row r="1249">
          <cell r="A1249">
            <v>49128</v>
          </cell>
          <cell r="B1249">
            <v>79</v>
          </cell>
          <cell r="C1249">
            <v>49</v>
          </cell>
          <cell r="D1249">
            <v>0.84</v>
          </cell>
          <cell r="E1249" t="str">
            <v>In128</v>
          </cell>
        </row>
        <row r="1250">
          <cell r="A1250">
            <v>49129</v>
          </cell>
          <cell r="B1250">
            <v>80</v>
          </cell>
          <cell r="C1250">
            <v>49</v>
          </cell>
          <cell r="D1250">
            <v>0.61099999999999999</v>
          </cell>
          <cell r="E1250" t="str">
            <v>In129</v>
          </cell>
        </row>
        <row r="1251">
          <cell r="A1251">
            <v>49130</v>
          </cell>
          <cell r="B1251">
            <v>81</v>
          </cell>
          <cell r="C1251">
            <v>49</v>
          </cell>
          <cell r="D1251">
            <v>0.28999999999999998</v>
          </cell>
          <cell r="E1251" t="str">
            <v>In130</v>
          </cell>
        </row>
        <row r="1252">
          <cell r="A1252">
            <v>49131</v>
          </cell>
          <cell r="B1252">
            <v>82</v>
          </cell>
          <cell r="C1252">
            <v>49</v>
          </cell>
          <cell r="D1252">
            <v>0.28000000000000003</v>
          </cell>
          <cell r="E1252" t="str">
            <v>In131</v>
          </cell>
        </row>
        <row r="1253">
          <cell r="A1253">
            <v>49132</v>
          </cell>
          <cell r="B1253">
            <v>83</v>
          </cell>
          <cell r="C1253">
            <v>49</v>
          </cell>
          <cell r="D1253">
            <v>0.20699999999999999</v>
          </cell>
          <cell r="E1253" t="str">
            <v>In132</v>
          </cell>
        </row>
        <row r="1254">
          <cell r="A1254">
            <v>49133</v>
          </cell>
          <cell r="B1254">
            <v>84</v>
          </cell>
          <cell r="C1254">
            <v>49</v>
          </cell>
          <cell r="D1254">
            <v>0.16500000000000001</v>
          </cell>
          <cell r="E1254" t="str">
            <v>In133</v>
          </cell>
        </row>
        <row r="1255">
          <cell r="A1255">
            <v>49134</v>
          </cell>
          <cell r="B1255">
            <v>85</v>
          </cell>
          <cell r="C1255">
            <v>49</v>
          </cell>
          <cell r="D1255">
            <v>0.14000000000000001</v>
          </cell>
          <cell r="E1255" t="str">
            <v>In134</v>
          </cell>
        </row>
        <row r="1256">
          <cell r="A1256">
            <v>49135</v>
          </cell>
          <cell r="B1256">
            <v>86</v>
          </cell>
          <cell r="C1256">
            <v>49</v>
          </cell>
          <cell r="D1256">
            <v>9.1999999999999998E-2</v>
          </cell>
          <cell r="E1256" t="str">
            <v>In135</v>
          </cell>
        </row>
        <row r="1257">
          <cell r="A1257">
            <v>49136</v>
          </cell>
          <cell r="B1257">
            <v>87</v>
          </cell>
          <cell r="C1257">
            <v>49</v>
          </cell>
          <cell r="D1257">
            <v>8.5000000000000006E-2</v>
          </cell>
          <cell r="E1257" t="str">
            <v>In136</v>
          </cell>
        </row>
        <row r="1258">
          <cell r="A1258">
            <v>49137</v>
          </cell>
          <cell r="B1258">
            <v>88</v>
          </cell>
          <cell r="C1258">
            <v>49</v>
          </cell>
          <cell r="D1258">
            <v>6.5000000000000002E-2</v>
          </cell>
          <cell r="E1258" t="str">
            <v>In137</v>
          </cell>
        </row>
        <row r="1259">
          <cell r="A1259">
            <v>50100</v>
          </cell>
          <cell r="B1259">
            <v>50</v>
          </cell>
          <cell r="C1259">
            <v>50</v>
          </cell>
          <cell r="D1259">
            <v>1.1599999999999999</v>
          </cell>
          <cell r="E1259" t="str">
            <v>Sn100</v>
          </cell>
        </row>
        <row r="1260">
          <cell r="A1260">
            <v>50101</v>
          </cell>
          <cell r="B1260">
            <v>51</v>
          </cell>
          <cell r="C1260">
            <v>50</v>
          </cell>
          <cell r="D1260">
            <v>1.7</v>
          </cell>
          <cell r="E1260" t="str">
            <v>Sn101</v>
          </cell>
        </row>
        <row r="1261">
          <cell r="A1261">
            <v>50102</v>
          </cell>
          <cell r="B1261">
            <v>52</v>
          </cell>
          <cell r="C1261">
            <v>50</v>
          </cell>
          <cell r="D1261">
            <v>3.8</v>
          </cell>
          <cell r="E1261" t="str">
            <v>Sn102</v>
          </cell>
        </row>
        <row r="1262">
          <cell r="A1262">
            <v>50103</v>
          </cell>
          <cell r="B1262">
            <v>53</v>
          </cell>
          <cell r="C1262">
            <v>50</v>
          </cell>
          <cell r="D1262">
            <v>7</v>
          </cell>
          <cell r="E1262" t="str">
            <v>Sn103</v>
          </cell>
        </row>
        <row r="1263">
          <cell r="A1263">
            <v>50104</v>
          </cell>
          <cell r="B1263">
            <v>54</v>
          </cell>
          <cell r="C1263">
            <v>50</v>
          </cell>
          <cell r="D1263">
            <v>20.8</v>
          </cell>
          <cell r="E1263" t="str">
            <v>Sn104</v>
          </cell>
        </row>
        <row r="1264">
          <cell r="A1264">
            <v>50105</v>
          </cell>
          <cell r="B1264">
            <v>55</v>
          </cell>
          <cell r="C1264">
            <v>50</v>
          </cell>
          <cell r="D1264">
            <v>32.700000000000003</v>
          </cell>
          <cell r="E1264" t="str">
            <v>Sn105</v>
          </cell>
        </row>
        <row r="1265">
          <cell r="A1265">
            <v>50106</v>
          </cell>
          <cell r="B1265">
            <v>56</v>
          </cell>
          <cell r="C1265">
            <v>50</v>
          </cell>
          <cell r="D1265">
            <v>115</v>
          </cell>
          <cell r="E1265" t="str">
            <v>Sn106</v>
          </cell>
        </row>
        <row r="1266">
          <cell r="A1266">
            <v>50107</v>
          </cell>
          <cell r="B1266">
            <v>57</v>
          </cell>
          <cell r="C1266">
            <v>50</v>
          </cell>
          <cell r="D1266">
            <v>174</v>
          </cell>
          <cell r="E1266" t="str">
            <v>Sn107</v>
          </cell>
        </row>
        <row r="1267">
          <cell r="A1267">
            <v>50108</v>
          </cell>
          <cell r="B1267">
            <v>58</v>
          </cell>
          <cell r="C1267">
            <v>50</v>
          </cell>
          <cell r="D1267">
            <v>618</v>
          </cell>
          <cell r="E1267" t="str">
            <v>Sn108</v>
          </cell>
        </row>
        <row r="1268">
          <cell r="A1268">
            <v>50109</v>
          </cell>
          <cell r="B1268">
            <v>59</v>
          </cell>
          <cell r="C1268">
            <v>50</v>
          </cell>
          <cell r="D1268">
            <v>1080</v>
          </cell>
          <cell r="E1268" t="str">
            <v>Sn109</v>
          </cell>
        </row>
        <row r="1269">
          <cell r="A1269">
            <v>50110</v>
          </cell>
          <cell r="B1269">
            <v>60</v>
          </cell>
          <cell r="C1269">
            <v>50</v>
          </cell>
          <cell r="D1269">
            <v>14796</v>
          </cell>
          <cell r="E1269" t="str">
            <v>Sn110</v>
          </cell>
        </row>
        <row r="1270">
          <cell r="A1270">
            <v>50111</v>
          </cell>
          <cell r="B1270">
            <v>61</v>
          </cell>
          <cell r="C1270">
            <v>50</v>
          </cell>
          <cell r="D1270">
            <v>2118</v>
          </cell>
          <cell r="E1270" t="str">
            <v>Sn111</v>
          </cell>
        </row>
        <row r="1271">
          <cell r="A1271">
            <v>50113</v>
          </cell>
          <cell r="B1271">
            <v>63</v>
          </cell>
          <cell r="C1271">
            <v>50</v>
          </cell>
          <cell r="D1271">
            <v>9943776</v>
          </cell>
          <cell r="E1271" t="str">
            <v>Sn113</v>
          </cell>
        </row>
        <row r="1272">
          <cell r="A1272">
            <v>50114</v>
          </cell>
          <cell r="B1272">
            <v>64</v>
          </cell>
          <cell r="C1272">
            <v>50</v>
          </cell>
          <cell r="D1272" t="str">
            <v>STABLE</v>
          </cell>
          <cell r="E1272" t="str">
            <v>Sn114</v>
          </cell>
        </row>
        <row r="1273">
          <cell r="A1273">
            <v>50115</v>
          </cell>
          <cell r="B1273">
            <v>65</v>
          </cell>
          <cell r="C1273">
            <v>50</v>
          </cell>
          <cell r="D1273" t="str">
            <v>STABLE</v>
          </cell>
          <cell r="E1273" t="str">
            <v>Sn115</v>
          </cell>
        </row>
        <row r="1274">
          <cell r="A1274">
            <v>50116</v>
          </cell>
          <cell r="B1274">
            <v>66</v>
          </cell>
          <cell r="C1274">
            <v>50</v>
          </cell>
          <cell r="D1274" t="str">
            <v>STABLE</v>
          </cell>
          <cell r="E1274" t="str">
            <v>Sn116</v>
          </cell>
        </row>
        <row r="1275">
          <cell r="A1275">
            <v>50117</v>
          </cell>
          <cell r="B1275">
            <v>67</v>
          </cell>
          <cell r="C1275">
            <v>50</v>
          </cell>
          <cell r="D1275" t="str">
            <v>STABLE</v>
          </cell>
          <cell r="E1275" t="str">
            <v>Sn117</v>
          </cell>
        </row>
        <row r="1276">
          <cell r="A1276">
            <v>50118</v>
          </cell>
          <cell r="B1276">
            <v>68</v>
          </cell>
          <cell r="C1276">
            <v>50</v>
          </cell>
          <cell r="D1276" t="str">
            <v>STABLE</v>
          </cell>
          <cell r="E1276" t="str">
            <v>Sn118</v>
          </cell>
        </row>
        <row r="1277">
          <cell r="A1277">
            <v>50119</v>
          </cell>
          <cell r="B1277">
            <v>69</v>
          </cell>
          <cell r="C1277">
            <v>50</v>
          </cell>
          <cell r="D1277" t="str">
            <v>STABLE</v>
          </cell>
          <cell r="E1277" t="str">
            <v>Sn119</v>
          </cell>
        </row>
        <row r="1278">
          <cell r="A1278">
            <v>50120</v>
          </cell>
          <cell r="B1278">
            <v>70</v>
          </cell>
          <cell r="C1278">
            <v>50</v>
          </cell>
          <cell r="D1278" t="str">
            <v>STABLE</v>
          </cell>
          <cell r="E1278" t="str">
            <v>Sn120</v>
          </cell>
        </row>
        <row r="1279">
          <cell r="A1279">
            <v>50121</v>
          </cell>
          <cell r="B1279">
            <v>71</v>
          </cell>
          <cell r="C1279">
            <v>50</v>
          </cell>
          <cell r="D1279">
            <v>97308</v>
          </cell>
          <cell r="E1279" t="str">
            <v>Sn121</v>
          </cell>
        </row>
        <row r="1280">
          <cell r="A1280">
            <v>50122</v>
          </cell>
          <cell r="B1280">
            <v>72</v>
          </cell>
          <cell r="C1280">
            <v>50</v>
          </cell>
          <cell r="D1280" t="str">
            <v>STABLE</v>
          </cell>
          <cell r="E1280" t="str">
            <v>Sn122</v>
          </cell>
        </row>
        <row r="1281">
          <cell r="A1281">
            <v>50123</v>
          </cell>
          <cell r="B1281">
            <v>73</v>
          </cell>
          <cell r="C1281">
            <v>50</v>
          </cell>
          <cell r="D1281">
            <v>11162879.999999899</v>
          </cell>
          <cell r="E1281" t="str">
            <v>Sn123</v>
          </cell>
        </row>
        <row r="1282">
          <cell r="A1282">
            <v>50124</v>
          </cell>
          <cell r="B1282">
            <v>74</v>
          </cell>
          <cell r="C1282">
            <v>50</v>
          </cell>
          <cell r="D1282">
            <v>3.786912E+28</v>
          </cell>
          <cell r="E1282" t="str">
            <v>Sn124</v>
          </cell>
        </row>
        <row r="1283">
          <cell r="A1283">
            <v>50125</v>
          </cell>
          <cell r="B1283">
            <v>75</v>
          </cell>
          <cell r="C1283">
            <v>50</v>
          </cell>
          <cell r="D1283">
            <v>832896</v>
          </cell>
          <cell r="E1283" t="str">
            <v>Sn125</v>
          </cell>
        </row>
        <row r="1284">
          <cell r="A1284">
            <v>50126</v>
          </cell>
          <cell r="B1284">
            <v>76</v>
          </cell>
          <cell r="C1284">
            <v>50</v>
          </cell>
          <cell r="D1284">
            <v>7258248000000</v>
          </cell>
          <cell r="E1284" t="str">
            <v>Sn126</v>
          </cell>
        </row>
        <row r="1285">
          <cell r="A1285">
            <v>50127</v>
          </cell>
          <cell r="B1285">
            <v>77</v>
          </cell>
          <cell r="C1285">
            <v>50</v>
          </cell>
          <cell r="D1285">
            <v>7560</v>
          </cell>
          <cell r="E1285" t="str">
            <v>Sn127</v>
          </cell>
        </row>
        <row r="1286">
          <cell r="A1286">
            <v>50128</v>
          </cell>
          <cell r="B1286">
            <v>78</v>
          </cell>
          <cell r="C1286">
            <v>50</v>
          </cell>
          <cell r="D1286">
            <v>3544.2</v>
          </cell>
          <cell r="E1286" t="str">
            <v>Sn128</v>
          </cell>
        </row>
        <row r="1287">
          <cell r="A1287">
            <v>50129</v>
          </cell>
          <cell r="B1287">
            <v>79</v>
          </cell>
          <cell r="C1287">
            <v>50</v>
          </cell>
          <cell r="D1287">
            <v>133.80000000000001</v>
          </cell>
          <cell r="E1287" t="str">
            <v>Sn129</v>
          </cell>
        </row>
        <row r="1288">
          <cell r="A1288">
            <v>50130</v>
          </cell>
          <cell r="B1288">
            <v>80</v>
          </cell>
          <cell r="C1288">
            <v>50</v>
          </cell>
          <cell r="D1288">
            <v>223.2</v>
          </cell>
          <cell r="E1288" t="str">
            <v>Sn130</v>
          </cell>
        </row>
        <row r="1289">
          <cell r="A1289">
            <v>50131</v>
          </cell>
          <cell r="B1289">
            <v>81</v>
          </cell>
          <cell r="C1289">
            <v>50</v>
          </cell>
          <cell r="D1289">
            <v>56</v>
          </cell>
          <cell r="E1289" t="str">
            <v>Sn131</v>
          </cell>
        </row>
        <row r="1290">
          <cell r="A1290">
            <v>50132</v>
          </cell>
          <cell r="B1290">
            <v>82</v>
          </cell>
          <cell r="C1290">
            <v>50</v>
          </cell>
          <cell r="D1290">
            <v>39.700000000000003</v>
          </cell>
          <cell r="E1290" t="str">
            <v>Sn132</v>
          </cell>
        </row>
        <row r="1291">
          <cell r="A1291">
            <v>50133</v>
          </cell>
          <cell r="B1291">
            <v>83</v>
          </cell>
          <cell r="C1291">
            <v>50</v>
          </cell>
          <cell r="D1291">
            <v>1.46</v>
          </cell>
          <cell r="E1291" t="str">
            <v>Sn133</v>
          </cell>
        </row>
        <row r="1292">
          <cell r="A1292">
            <v>50134</v>
          </cell>
          <cell r="B1292">
            <v>84</v>
          </cell>
          <cell r="C1292">
            <v>50</v>
          </cell>
          <cell r="D1292">
            <v>1.05</v>
          </cell>
          <cell r="E1292" t="str">
            <v>Sn134</v>
          </cell>
        </row>
        <row r="1293">
          <cell r="A1293">
            <v>50135</v>
          </cell>
          <cell r="B1293">
            <v>85</v>
          </cell>
          <cell r="C1293">
            <v>50</v>
          </cell>
          <cell r="D1293">
            <v>0.53</v>
          </cell>
          <cell r="E1293" t="str">
            <v>Sn135</v>
          </cell>
        </row>
        <row r="1294">
          <cell r="A1294">
            <v>50136</v>
          </cell>
          <cell r="B1294">
            <v>86</v>
          </cell>
          <cell r="C1294">
            <v>50</v>
          </cell>
          <cell r="D1294">
            <v>0.28999999999999998</v>
          </cell>
          <cell r="E1294" t="str">
            <v>Sn136</v>
          </cell>
        </row>
        <row r="1295">
          <cell r="A1295">
            <v>50137</v>
          </cell>
          <cell r="B1295">
            <v>87</v>
          </cell>
          <cell r="C1295">
            <v>50</v>
          </cell>
          <cell r="D1295">
            <v>0.19</v>
          </cell>
          <cell r="E1295" t="str">
            <v>Sn137</v>
          </cell>
        </row>
        <row r="1296">
          <cell r="A1296">
            <v>50138</v>
          </cell>
          <cell r="B1296">
            <v>88</v>
          </cell>
          <cell r="C1296">
            <v>50</v>
          </cell>
          <cell r="D1296">
            <v>0.14000000000000001</v>
          </cell>
          <cell r="E1296" t="str">
            <v>Sn138</v>
          </cell>
        </row>
        <row r="1297">
          <cell r="A1297">
            <v>50139</v>
          </cell>
          <cell r="B1297">
            <v>89</v>
          </cell>
          <cell r="C1297">
            <v>50</v>
          </cell>
          <cell r="D1297">
            <v>0.13</v>
          </cell>
          <cell r="E1297" t="str">
            <v>Sn139</v>
          </cell>
        </row>
        <row r="1298">
          <cell r="A1298">
            <v>51103</v>
          </cell>
          <cell r="B1298">
            <v>52</v>
          </cell>
          <cell r="C1298">
            <v>51</v>
          </cell>
          <cell r="D1298">
            <v>1.5E-6</v>
          </cell>
          <cell r="E1298" t="str">
            <v>Sb103</v>
          </cell>
        </row>
        <row r="1299">
          <cell r="A1299">
            <v>51104</v>
          </cell>
          <cell r="B1299">
            <v>53</v>
          </cell>
          <cell r="C1299">
            <v>51</v>
          </cell>
          <cell r="D1299">
            <v>0.44</v>
          </cell>
          <cell r="E1299" t="str">
            <v>Sb104</v>
          </cell>
        </row>
        <row r="1300">
          <cell r="A1300">
            <v>51105</v>
          </cell>
          <cell r="B1300">
            <v>54</v>
          </cell>
          <cell r="C1300">
            <v>51</v>
          </cell>
          <cell r="D1300">
            <v>1.22</v>
          </cell>
          <cell r="E1300" t="str">
            <v>Sb105</v>
          </cell>
        </row>
        <row r="1301">
          <cell r="A1301">
            <v>51106</v>
          </cell>
          <cell r="B1301">
            <v>55</v>
          </cell>
          <cell r="C1301">
            <v>51</v>
          </cell>
          <cell r="D1301">
            <v>0.6</v>
          </cell>
          <cell r="E1301" t="str">
            <v>Sb106</v>
          </cell>
        </row>
        <row r="1302">
          <cell r="A1302">
            <v>51107</v>
          </cell>
          <cell r="B1302">
            <v>56</v>
          </cell>
          <cell r="C1302">
            <v>51</v>
          </cell>
          <cell r="D1302">
            <v>4</v>
          </cell>
          <cell r="E1302" t="str">
            <v>Sb107</v>
          </cell>
        </row>
        <row r="1303">
          <cell r="A1303">
            <v>51108</v>
          </cell>
          <cell r="B1303">
            <v>57</v>
          </cell>
          <cell r="C1303">
            <v>51</v>
          </cell>
          <cell r="D1303">
            <v>7.4</v>
          </cell>
          <cell r="E1303" t="str">
            <v>Sb108</v>
          </cell>
        </row>
        <row r="1304">
          <cell r="A1304">
            <v>51109</v>
          </cell>
          <cell r="B1304">
            <v>58</v>
          </cell>
          <cell r="C1304">
            <v>51</v>
          </cell>
          <cell r="D1304">
            <v>17</v>
          </cell>
          <cell r="E1304" t="str">
            <v>Sb109</v>
          </cell>
        </row>
        <row r="1305">
          <cell r="A1305">
            <v>51110</v>
          </cell>
          <cell r="B1305">
            <v>59</v>
          </cell>
          <cell r="C1305">
            <v>51</v>
          </cell>
          <cell r="D1305">
            <v>23</v>
          </cell>
          <cell r="E1305" t="str">
            <v>Sb110</v>
          </cell>
        </row>
        <row r="1306">
          <cell r="A1306">
            <v>51111</v>
          </cell>
          <cell r="B1306">
            <v>60</v>
          </cell>
          <cell r="C1306">
            <v>51</v>
          </cell>
          <cell r="D1306">
            <v>75</v>
          </cell>
          <cell r="E1306" t="str">
            <v>Sb111</v>
          </cell>
        </row>
        <row r="1307">
          <cell r="A1307">
            <v>51112</v>
          </cell>
          <cell r="B1307">
            <v>61</v>
          </cell>
          <cell r="C1307">
            <v>51</v>
          </cell>
          <cell r="D1307">
            <v>53.5</v>
          </cell>
          <cell r="E1307" t="str">
            <v>Sb112</v>
          </cell>
        </row>
        <row r="1308">
          <cell r="A1308">
            <v>51113</v>
          </cell>
          <cell r="B1308">
            <v>62</v>
          </cell>
          <cell r="C1308">
            <v>51</v>
          </cell>
          <cell r="D1308">
            <v>400.2</v>
          </cell>
          <cell r="E1308" t="str">
            <v>Sb113</v>
          </cell>
        </row>
        <row r="1309">
          <cell r="A1309">
            <v>51114</v>
          </cell>
          <cell r="B1309">
            <v>63</v>
          </cell>
          <cell r="C1309">
            <v>51</v>
          </cell>
          <cell r="D1309">
            <v>209.4</v>
          </cell>
          <cell r="E1309" t="str">
            <v>Sb114</v>
          </cell>
        </row>
        <row r="1310">
          <cell r="A1310">
            <v>51115</v>
          </cell>
          <cell r="B1310">
            <v>64</v>
          </cell>
          <cell r="C1310">
            <v>51</v>
          </cell>
          <cell r="D1310">
            <v>1926</v>
          </cell>
          <cell r="E1310" t="str">
            <v>Sb115</v>
          </cell>
        </row>
        <row r="1311">
          <cell r="A1311">
            <v>51116</v>
          </cell>
          <cell r="B1311">
            <v>65</v>
          </cell>
          <cell r="C1311">
            <v>51</v>
          </cell>
          <cell r="D1311">
            <v>948</v>
          </cell>
          <cell r="E1311" t="str">
            <v>Sb116</v>
          </cell>
        </row>
        <row r="1312">
          <cell r="A1312">
            <v>51117</v>
          </cell>
          <cell r="B1312">
            <v>66</v>
          </cell>
          <cell r="C1312">
            <v>51</v>
          </cell>
          <cell r="D1312">
            <v>10080</v>
          </cell>
          <cell r="E1312" t="str">
            <v>Sb117</v>
          </cell>
        </row>
        <row r="1313">
          <cell r="A1313">
            <v>51118</v>
          </cell>
          <cell r="B1313">
            <v>67</v>
          </cell>
          <cell r="C1313">
            <v>51</v>
          </cell>
          <cell r="D1313">
            <v>216</v>
          </cell>
          <cell r="E1313" t="str">
            <v>Sb118</v>
          </cell>
        </row>
        <row r="1314">
          <cell r="A1314">
            <v>51119</v>
          </cell>
          <cell r="B1314">
            <v>68</v>
          </cell>
          <cell r="C1314">
            <v>51</v>
          </cell>
          <cell r="D1314">
            <v>137484</v>
          </cell>
          <cell r="E1314" t="str">
            <v>Sb119</v>
          </cell>
        </row>
        <row r="1315">
          <cell r="A1315">
            <v>51120</v>
          </cell>
          <cell r="B1315">
            <v>69</v>
          </cell>
          <cell r="C1315">
            <v>51</v>
          </cell>
          <cell r="D1315">
            <v>953.4</v>
          </cell>
          <cell r="E1315" t="str">
            <v>Sb120</v>
          </cell>
        </row>
        <row r="1316">
          <cell r="A1316">
            <v>51121</v>
          </cell>
          <cell r="B1316">
            <v>70</v>
          </cell>
          <cell r="C1316">
            <v>51</v>
          </cell>
          <cell r="D1316" t="str">
            <v>STABLE</v>
          </cell>
          <cell r="E1316" t="str">
            <v>Sb121</v>
          </cell>
        </row>
        <row r="1317">
          <cell r="A1317">
            <v>51122</v>
          </cell>
          <cell r="B1317">
            <v>71</v>
          </cell>
          <cell r="C1317">
            <v>51</v>
          </cell>
          <cell r="D1317">
            <v>235336.32000000001</v>
          </cell>
          <cell r="E1317" t="str">
            <v>Sb122</v>
          </cell>
        </row>
        <row r="1318">
          <cell r="A1318">
            <v>51123</v>
          </cell>
          <cell r="B1318">
            <v>72</v>
          </cell>
          <cell r="C1318">
            <v>51</v>
          </cell>
          <cell r="D1318" t="str">
            <v>STABLE</v>
          </cell>
          <cell r="E1318" t="str">
            <v>Sb123</v>
          </cell>
        </row>
        <row r="1319">
          <cell r="A1319">
            <v>51124</v>
          </cell>
          <cell r="B1319">
            <v>73</v>
          </cell>
          <cell r="C1319">
            <v>51</v>
          </cell>
          <cell r="D1319">
            <v>5201280</v>
          </cell>
          <cell r="E1319" t="str">
            <v>Sb124</v>
          </cell>
        </row>
        <row r="1320">
          <cell r="A1320">
            <v>51125</v>
          </cell>
          <cell r="B1320">
            <v>74</v>
          </cell>
          <cell r="C1320">
            <v>51</v>
          </cell>
          <cell r="D1320">
            <v>87053533.055999994</v>
          </cell>
          <cell r="E1320" t="str">
            <v>Sb125</v>
          </cell>
        </row>
        <row r="1321">
          <cell r="A1321">
            <v>51126</v>
          </cell>
          <cell r="B1321">
            <v>75</v>
          </cell>
          <cell r="C1321">
            <v>51</v>
          </cell>
          <cell r="D1321">
            <v>1067040</v>
          </cell>
          <cell r="E1321" t="str">
            <v>Sb126</v>
          </cell>
        </row>
        <row r="1322">
          <cell r="A1322">
            <v>51127</v>
          </cell>
          <cell r="B1322">
            <v>76</v>
          </cell>
          <cell r="C1322">
            <v>51</v>
          </cell>
          <cell r="D1322">
            <v>332640</v>
          </cell>
          <cell r="E1322" t="str">
            <v>Sb127</v>
          </cell>
        </row>
        <row r="1323">
          <cell r="A1323">
            <v>51128</v>
          </cell>
          <cell r="B1323">
            <v>77</v>
          </cell>
          <cell r="C1323">
            <v>51</v>
          </cell>
          <cell r="D1323">
            <v>32580</v>
          </cell>
          <cell r="E1323" t="str">
            <v>Sb128</v>
          </cell>
        </row>
        <row r="1324">
          <cell r="A1324">
            <v>51129</v>
          </cell>
          <cell r="B1324">
            <v>78</v>
          </cell>
          <cell r="C1324">
            <v>51</v>
          </cell>
          <cell r="D1324">
            <v>15717.5999999999</v>
          </cell>
          <cell r="E1324" t="str">
            <v>Sb129</v>
          </cell>
        </row>
        <row r="1325">
          <cell r="A1325">
            <v>51130</v>
          </cell>
          <cell r="B1325">
            <v>79</v>
          </cell>
          <cell r="C1325">
            <v>51</v>
          </cell>
          <cell r="D1325">
            <v>2370</v>
          </cell>
          <cell r="E1325" t="str">
            <v>Sb130</v>
          </cell>
        </row>
        <row r="1326">
          <cell r="A1326">
            <v>51131</v>
          </cell>
          <cell r="B1326">
            <v>80</v>
          </cell>
          <cell r="C1326">
            <v>51</v>
          </cell>
          <cell r="D1326">
            <v>1381.8</v>
          </cell>
          <cell r="E1326" t="str">
            <v>Sb131</v>
          </cell>
        </row>
        <row r="1327">
          <cell r="A1327">
            <v>51132</v>
          </cell>
          <cell r="B1327">
            <v>81</v>
          </cell>
          <cell r="C1327">
            <v>51</v>
          </cell>
          <cell r="D1327">
            <v>167.4</v>
          </cell>
          <cell r="E1327" t="str">
            <v>Sb132</v>
          </cell>
        </row>
        <row r="1328">
          <cell r="A1328">
            <v>51133</v>
          </cell>
          <cell r="B1328">
            <v>82</v>
          </cell>
          <cell r="C1328">
            <v>51</v>
          </cell>
          <cell r="D1328">
            <v>140.39999999999901</v>
          </cell>
          <cell r="E1328" t="str">
            <v>Sb133</v>
          </cell>
        </row>
        <row r="1329">
          <cell r="A1329">
            <v>51134</v>
          </cell>
          <cell r="B1329">
            <v>83</v>
          </cell>
          <cell r="C1329">
            <v>51</v>
          </cell>
          <cell r="D1329">
            <v>0.78</v>
          </cell>
          <cell r="E1329" t="str">
            <v>Sb134</v>
          </cell>
        </row>
        <row r="1330">
          <cell r="A1330">
            <v>51135</v>
          </cell>
          <cell r="B1330">
            <v>84</v>
          </cell>
          <cell r="C1330">
            <v>51</v>
          </cell>
          <cell r="D1330">
            <v>1.679</v>
          </cell>
          <cell r="E1330" t="str">
            <v>Sb135</v>
          </cell>
        </row>
        <row r="1331">
          <cell r="A1331">
            <v>51136</v>
          </cell>
          <cell r="B1331">
            <v>85</v>
          </cell>
          <cell r="C1331">
            <v>51</v>
          </cell>
          <cell r="D1331">
            <v>0.92300000000000004</v>
          </cell>
          <cell r="E1331" t="str">
            <v>Sb136</v>
          </cell>
        </row>
        <row r="1332">
          <cell r="A1332">
            <v>51137</v>
          </cell>
          <cell r="B1332">
            <v>86</v>
          </cell>
          <cell r="C1332">
            <v>51</v>
          </cell>
          <cell r="D1332">
            <v>0.49199999999999999</v>
          </cell>
          <cell r="E1332" t="str">
            <v>Sb137</v>
          </cell>
        </row>
        <row r="1333">
          <cell r="A1333">
            <v>51138</v>
          </cell>
          <cell r="B1333">
            <v>87</v>
          </cell>
          <cell r="C1333">
            <v>51</v>
          </cell>
          <cell r="D1333">
            <v>0.34799999999999998</v>
          </cell>
          <cell r="E1333" t="str">
            <v>Sb138</v>
          </cell>
        </row>
        <row r="1334">
          <cell r="A1334">
            <v>51139</v>
          </cell>
          <cell r="B1334">
            <v>88</v>
          </cell>
          <cell r="C1334">
            <v>51</v>
          </cell>
          <cell r="D1334">
            <v>9.2999999999999999E-2</v>
          </cell>
          <cell r="E1334" t="str">
            <v>Sb139</v>
          </cell>
        </row>
        <row r="1335">
          <cell r="A1335">
            <v>51140</v>
          </cell>
          <cell r="B1335">
            <v>89</v>
          </cell>
          <cell r="C1335">
            <v>51</v>
          </cell>
          <cell r="D1335">
            <v>4.0699999999999998E-7</v>
          </cell>
          <cell r="E1335" t="str">
            <v>Sb140</v>
          </cell>
        </row>
        <row r="1336">
          <cell r="A1336">
            <v>52105</v>
          </cell>
          <cell r="B1336">
            <v>53</v>
          </cell>
          <cell r="C1336">
            <v>52</v>
          </cell>
          <cell r="D1336">
            <v>6.1999999999999999E-7</v>
          </cell>
          <cell r="E1336" t="str">
            <v>Te105</v>
          </cell>
        </row>
        <row r="1337">
          <cell r="A1337">
            <v>52106</v>
          </cell>
          <cell r="B1337">
            <v>54</v>
          </cell>
          <cell r="C1337">
            <v>52</v>
          </cell>
          <cell r="D1337">
            <v>6.9999999999999994E-5</v>
          </cell>
          <cell r="E1337" t="str">
            <v>Te106</v>
          </cell>
        </row>
        <row r="1338">
          <cell r="A1338">
            <v>52107</v>
          </cell>
          <cell r="B1338">
            <v>55</v>
          </cell>
          <cell r="C1338">
            <v>52</v>
          </cell>
          <cell r="D1338">
            <v>3.0999999999999999E-3</v>
          </cell>
          <cell r="E1338" t="str">
            <v>Te107</v>
          </cell>
        </row>
        <row r="1339">
          <cell r="A1339">
            <v>52108</v>
          </cell>
          <cell r="B1339">
            <v>56</v>
          </cell>
          <cell r="C1339">
            <v>52</v>
          </cell>
          <cell r="D1339">
            <v>2.1</v>
          </cell>
          <cell r="E1339" t="str">
            <v>Te108</v>
          </cell>
        </row>
        <row r="1340">
          <cell r="A1340">
            <v>52109</v>
          </cell>
          <cell r="B1340">
            <v>57</v>
          </cell>
          <cell r="C1340">
            <v>52</v>
          </cell>
          <cell r="D1340">
            <v>4.5999999999999996</v>
          </cell>
          <cell r="E1340" t="str">
            <v>Te109</v>
          </cell>
        </row>
        <row r="1341">
          <cell r="A1341">
            <v>52110</v>
          </cell>
          <cell r="B1341">
            <v>58</v>
          </cell>
          <cell r="C1341">
            <v>52</v>
          </cell>
          <cell r="D1341">
            <v>18.600000000000001</v>
          </cell>
          <cell r="E1341" t="str">
            <v>Te110</v>
          </cell>
        </row>
        <row r="1342">
          <cell r="A1342">
            <v>52111</v>
          </cell>
          <cell r="B1342">
            <v>59</v>
          </cell>
          <cell r="C1342">
            <v>52</v>
          </cell>
          <cell r="D1342">
            <v>19.3</v>
          </cell>
          <cell r="E1342" t="str">
            <v>Te111</v>
          </cell>
        </row>
        <row r="1343">
          <cell r="A1343">
            <v>52112</v>
          </cell>
          <cell r="B1343">
            <v>60</v>
          </cell>
          <cell r="C1343">
            <v>52</v>
          </cell>
          <cell r="D1343">
            <v>120</v>
          </cell>
          <cell r="E1343" t="str">
            <v>Te112</v>
          </cell>
        </row>
        <row r="1344">
          <cell r="A1344">
            <v>52113</v>
          </cell>
          <cell r="B1344">
            <v>61</v>
          </cell>
          <cell r="C1344">
            <v>52</v>
          </cell>
          <cell r="D1344">
            <v>102</v>
          </cell>
          <cell r="E1344" t="str">
            <v>Te113</v>
          </cell>
        </row>
        <row r="1345">
          <cell r="A1345">
            <v>52114</v>
          </cell>
          <cell r="B1345">
            <v>62</v>
          </cell>
          <cell r="C1345">
            <v>52</v>
          </cell>
          <cell r="D1345">
            <v>912</v>
          </cell>
          <cell r="E1345" t="str">
            <v>Te114</v>
          </cell>
        </row>
        <row r="1346">
          <cell r="A1346">
            <v>52115</v>
          </cell>
          <cell r="B1346">
            <v>63</v>
          </cell>
          <cell r="C1346">
            <v>52</v>
          </cell>
          <cell r="D1346">
            <v>348</v>
          </cell>
          <cell r="E1346" t="str">
            <v>Te115</v>
          </cell>
        </row>
        <row r="1347">
          <cell r="A1347">
            <v>52116</v>
          </cell>
          <cell r="B1347">
            <v>64</v>
          </cell>
          <cell r="C1347">
            <v>52</v>
          </cell>
          <cell r="D1347">
            <v>8964</v>
          </cell>
          <cell r="E1347" t="str">
            <v>Te116</v>
          </cell>
        </row>
        <row r="1348">
          <cell r="A1348">
            <v>52117</v>
          </cell>
          <cell r="B1348">
            <v>65</v>
          </cell>
          <cell r="C1348">
            <v>52</v>
          </cell>
          <cell r="D1348">
            <v>3720</v>
          </cell>
          <cell r="E1348" t="str">
            <v>Te117</v>
          </cell>
        </row>
        <row r="1349">
          <cell r="A1349">
            <v>52118</v>
          </cell>
          <cell r="B1349">
            <v>66</v>
          </cell>
          <cell r="C1349">
            <v>52</v>
          </cell>
          <cell r="D1349">
            <v>518400</v>
          </cell>
          <cell r="E1349" t="str">
            <v>Te118</v>
          </cell>
        </row>
        <row r="1350">
          <cell r="A1350">
            <v>52119</v>
          </cell>
          <cell r="B1350">
            <v>67</v>
          </cell>
          <cell r="C1350">
            <v>52</v>
          </cell>
          <cell r="D1350">
            <v>57780</v>
          </cell>
          <cell r="E1350" t="str">
            <v>Te119</v>
          </cell>
        </row>
        <row r="1351">
          <cell r="A1351">
            <v>52120</v>
          </cell>
          <cell r="B1351">
            <v>68</v>
          </cell>
          <cell r="C1351">
            <v>52</v>
          </cell>
          <cell r="D1351" t="str">
            <v>STABLE</v>
          </cell>
          <cell r="E1351" t="str">
            <v>Te120</v>
          </cell>
        </row>
        <row r="1352">
          <cell r="A1352">
            <v>52121</v>
          </cell>
          <cell r="B1352">
            <v>69</v>
          </cell>
          <cell r="C1352">
            <v>52</v>
          </cell>
          <cell r="D1352">
            <v>1656288</v>
          </cell>
          <cell r="E1352" t="str">
            <v>Te121</v>
          </cell>
        </row>
        <row r="1353">
          <cell r="A1353">
            <v>52122</v>
          </cell>
          <cell r="B1353">
            <v>70</v>
          </cell>
          <cell r="C1353">
            <v>52</v>
          </cell>
          <cell r="D1353" t="str">
            <v>STABLE</v>
          </cell>
          <cell r="E1353" t="str">
            <v>Te122</v>
          </cell>
        </row>
        <row r="1354">
          <cell r="A1354">
            <v>52123</v>
          </cell>
          <cell r="B1354">
            <v>71</v>
          </cell>
          <cell r="C1354">
            <v>52</v>
          </cell>
          <cell r="D1354">
            <v>2.9032991999999999E+24</v>
          </cell>
          <cell r="E1354" t="str">
            <v>Te123</v>
          </cell>
        </row>
        <row r="1355">
          <cell r="A1355">
            <v>52124</v>
          </cell>
          <cell r="B1355">
            <v>72</v>
          </cell>
          <cell r="C1355">
            <v>52</v>
          </cell>
          <cell r="D1355" t="str">
            <v>STABLE</v>
          </cell>
          <cell r="E1355" t="str">
            <v>Te124</v>
          </cell>
        </row>
        <row r="1356">
          <cell r="A1356">
            <v>52125</v>
          </cell>
          <cell r="B1356">
            <v>73</v>
          </cell>
          <cell r="C1356">
            <v>52</v>
          </cell>
          <cell r="D1356" t="str">
            <v>STABLE</v>
          </cell>
          <cell r="E1356" t="str">
            <v>Te125</v>
          </cell>
        </row>
        <row r="1357">
          <cell r="A1357">
            <v>52126</v>
          </cell>
          <cell r="B1357">
            <v>74</v>
          </cell>
          <cell r="C1357">
            <v>52</v>
          </cell>
          <cell r="D1357" t="str">
            <v>STABLE</v>
          </cell>
          <cell r="E1357" t="str">
            <v>Te126</v>
          </cell>
        </row>
        <row r="1358">
          <cell r="A1358">
            <v>52127</v>
          </cell>
          <cell r="B1358">
            <v>75</v>
          </cell>
          <cell r="C1358">
            <v>52</v>
          </cell>
          <cell r="D1358">
            <v>33660</v>
          </cell>
          <cell r="E1358" t="str">
            <v>Te127</v>
          </cell>
        </row>
        <row r="1359">
          <cell r="A1359">
            <v>52128</v>
          </cell>
          <cell r="B1359">
            <v>76</v>
          </cell>
          <cell r="C1359">
            <v>52</v>
          </cell>
          <cell r="D1359">
            <v>7.6053815999999996E+31</v>
          </cell>
          <cell r="E1359" t="str">
            <v>Te128</v>
          </cell>
        </row>
        <row r="1360">
          <cell r="A1360">
            <v>52129</v>
          </cell>
          <cell r="B1360">
            <v>77</v>
          </cell>
          <cell r="C1360">
            <v>52</v>
          </cell>
          <cell r="D1360">
            <v>4194</v>
          </cell>
          <cell r="E1360" t="str">
            <v>Te129</v>
          </cell>
        </row>
        <row r="1361">
          <cell r="A1361">
            <v>52130</v>
          </cell>
          <cell r="B1361">
            <v>78</v>
          </cell>
          <cell r="C1361">
            <v>52</v>
          </cell>
          <cell r="D1361">
            <v>9.46728E+31</v>
          </cell>
          <cell r="E1361" t="str">
            <v>Te130</v>
          </cell>
        </row>
        <row r="1362">
          <cell r="A1362">
            <v>52131</v>
          </cell>
          <cell r="B1362">
            <v>79</v>
          </cell>
          <cell r="C1362">
            <v>52</v>
          </cell>
          <cell r="D1362">
            <v>1500</v>
          </cell>
          <cell r="E1362" t="str">
            <v>Te131</v>
          </cell>
        </row>
        <row r="1363">
          <cell r="A1363">
            <v>52132</v>
          </cell>
          <cell r="B1363">
            <v>80</v>
          </cell>
          <cell r="C1363">
            <v>52</v>
          </cell>
          <cell r="D1363">
            <v>276825.59999999998</v>
          </cell>
          <cell r="E1363" t="str">
            <v>Te132</v>
          </cell>
        </row>
        <row r="1364">
          <cell r="A1364">
            <v>52133</v>
          </cell>
          <cell r="B1364">
            <v>81</v>
          </cell>
          <cell r="C1364">
            <v>52</v>
          </cell>
          <cell r="D1364">
            <v>750</v>
          </cell>
          <cell r="E1364" t="str">
            <v>Te133</v>
          </cell>
        </row>
        <row r="1365">
          <cell r="A1365">
            <v>52134</v>
          </cell>
          <cell r="B1365">
            <v>82</v>
          </cell>
          <cell r="C1365">
            <v>52</v>
          </cell>
          <cell r="D1365">
            <v>2508</v>
          </cell>
          <cell r="E1365" t="str">
            <v>Te134</v>
          </cell>
        </row>
        <row r="1366">
          <cell r="A1366">
            <v>52135</v>
          </cell>
          <cell r="B1366">
            <v>83</v>
          </cell>
          <cell r="C1366">
            <v>52</v>
          </cell>
          <cell r="D1366">
            <v>19</v>
          </cell>
          <cell r="E1366" t="str">
            <v>Te135</v>
          </cell>
        </row>
        <row r="1367">
          <cell r="A1367">
            <v>52136</v>
          </cell>
          <cell r="B1367">
            <v>84</v>
          </cell>
          <cell r="C1367">
            <v>52</v>
          </cell>
          <cell r="D1367">
            <v>17.63</v>
          </cell>
          <cell r="E1367" t="str">
            <v>Te136</v>
          </cell>
        </row>
        <row r="1368">
          <cell r="A1368">
            <v>52137</v>
          </cell>
          <cell r="B1368">
            <v>85</v>
          </cell>
          <cell r="C1368">
            <v>52</v>
          </cell>
          <cell r="D1368">
            <v>2.4900000000000002</v>
          </cell>
          <cell r="E1368" t="str">
            <v>Te137</v>
          </cell>
        </row>
        <row r="1369">
          <cell r="A1369">
            <v>52138</v>
          </cell>
          <cell r="B1369">
            <v>86</v>
          </cell>
          <cell r="C1369">
            <v>52</v>
          </cell>
          <cell r="D1369">
            <v>1.4</v>
          </cell>
          <cell r="E1369" t="str">
            <v>Te138</v>
          </cell>
        </row>
        <row r="1370">
          <cell r="A1370">
            <v>52139</v>
          </cell>
          <cell r="B1370">
            <v>87</v>
          </cell>
          <cell r="C1370">
            <v>52</v>
          </cell>
          <cell r="D1370">
            <v>1.4999999999999999E-7</v>
          </cell>
          <cell r="E1370" t="str">
            <v>Te139</v>
          </cell>
        </row>
        <row r="1371">
          <cell r="A1371">
            <v>52140</v>
          </cell>
          <cell r="B1371">
            <v>88</v>
          </cell>
          <cell r="C1371">
            <v>52</v>
          </cell>
          <cell r="D1371">
            <v>2.9999999999999999E-7</v>
          </cell>
          <cell r="E1371" t="str">
            <v>Te140</v>
          </cell>
        </row>
        <row r="1372">
          <cell r="A1372">
            <v>52141</v>
          </cell>
          <cell r="B1372">
            <v>89</v>
          </cell>
          <cell r="C1372">
            <v>52</v>
          </cell>
          <cell r="D1372">
            <v>1.4999999999999999E-7</v>
          </cell>
          <cell r="E1372" t="str">
            <v>Te141</v>
          </cell>
        </row>
        <row r="1373">
          <cell r="A1373">
            <v>52143</v>
          </cell>
          <cell r="B1373">
            <v>91</v>
          </cell>
          <cell r="C1373">
            <v>52</v>
          </cell>
          <cell r="D1373">
            <v>4.08E-7</v>
          </cell>
          <cell r="E1373" t="str">
            <v>Te143</v>
          </cell>
        </row>
        <row r="1374">
          <cell r="A1374">
            <v>53108</v>
          </cell>
          <cell r="B1374">
            <v>55</v>
          </cell>
          <cell r="C1374">
            <v>53</v>
          </cell>
          <cell r="D1374">
            <v>3.5999999999999997E-2</v>
          </cell>
          <cell r="E1374" t="str">
            <v>I108</v>
          </cell>
        </row>
        <row r="1375">
          <cell r="A1375">
            <v>53109</v>
          </cell>
          <cell r="B1375">
            <v>56</v>
          </cell>
          <cell r="C1375">
            <v>53</v>
          </cell>
          <cell r="D1375">
            <v>9.3499999999999996E-5</v>
          </cell>
          <cell r="E1375" t="str">
            <v>I109</v>
          </cell>
        </row>
        <row r="1376">
          <cell r="A1376">
            <v>53110</v>
          </cell>
          <cell r="B1376">
            <v>57</v>
          </cell>
          <cell r="C1376">
            <v>53</v>
          </cell>
          <cell r="D1376">
            <v>0.65</v>
          </cell>
          <cell r="E1376" t="str">
            <v>I110</v>
          </cell>
        </row>
        <row r="1377">
          <cell r="A1377">
            <v>53111</v>
          </cell>
          <cell r="B1377">
            <v>58</v>
          </cell>
          <cell r="C1377">
            <v>53</v>
          </cell>
          <cell r="D1377">
            <v>2.5</v>
          </cell>
          <cell r="E1377" t="str">
            <v>I111</v>
          </cell>
        </row>
        <row r="1378">
          <cell r="A1378">
            <v>53112</v>
          </cell>
          <cell r="B1378">
            <v>59</v>
          </cell>
          <cell r="C1378">
            <v>53</v>
          </cell>
          <cell r="D1378">
            <v>3.34</v>
          </cell>
          <cell r="E1378" t="str">
            <v>I112</v>
          </cell>
        </row>
        <row r="1379">
          <cell r="A1379">
            <v>53113</v>
          </cell>
          <cell r="B1379">
            <v>60</v>
          </cell>
          <cell r="C1379">
            <v>53</v>
          </cell>
          <cell r="D1379">
            <v>6.6</v>
          </cell>
          <cell r="E1379" t="str">
            <v>I113</v>
          </cell>
        </row>
        <row r="1380">
          <cell r="A1380">
            <v>53114</v>
          </cell>
          <cell r="B1380">
            <v>61</v>
          </cell>
          <cell r="C1380">
            <v>53</v>
          </cell>
          <cell r="D1380">
            <v>2.1</v>
          </cell>
          <cell r="E1380" t="str">
            <v>I114</v>
          </cell>
        </row>
        <row r="1381">
          <cell r="A1381">
            <v>53115</v>
          </cell>
          <cell r="B1381">
            <v>62</v>
          </cell>
          <cell r="C1381">
            <v>53</v>
          </cell>
          <cell r="D1381">
            <v>78</v>
          </cell>
          <cell r="E1381" t="str">
            <v>I115</v>
          </cell>
        </row>
        <row r="1382">
          <cell r="A1382">
            <v>53116</v>
          </cell>
          <cell r="B1382">
            <v>63</v>
          </cell>
          <cell r="C1382">
            <v>53</v>
          </cell>
          <cell r="D1382">
            <v>2.91</v>
          </cell>
          <cell r="E1382" t="str">
            <v>I116</v>
          </cell>
        </row>
        <row r="1383">
          <cell r="A1383">
            <v>53117</v>
          </cell>
          <cell r="B1383">
            <v>64</v>
          </cell>
          <cell r="C1383">
            <v>53</v>
          </cell>
          <cell r="D1383">
            <v>133.19999999999999</v>
          </cell>
          <cell r="E1383" t="str">
            <v>I117</v>
          </cell>
        </row>
        <row r="1384">
          <cell r="A1384">
            <v>53118</v>
          </cell>
          <cell r="B1384">
            <v>65</v>
          </cell>
          <cell r="C1384">
            <v>53</v>
          </cell>
          <cell r="D1384">
            <v>822</v>
          </cell>
          <cell r="E1384" t="str">
            <v>I118</v>
          </cell>
        </row>
        <row r="1385">
          <cell r="A1385">
            <v>53119</v>
          </cell>
          <cell r="B1385">
            <v>66</v>
          </cell>
          <cell r="C1385">
            <v>53</v>
          </cell>
          <cell r="D1385">
            <v>1146</v>
          </cell>
          <cell r="E1385" t="str">
            <v>I119</v>
          </cell>
        </row>
        <row r="1386">
          <cell r="A1386">
            <v>53120</v>
          </cell>
          <cell r="B1386">
            <v>67</v>
          </cell>
          <cell r="C1386">
            <v>53</v>
          </cell>
          <cell r="D1386">
            <v>4896</v>
          </cell>
          <cell r="E1386" t="str">
            <v>I120</v>
          </cell>
        </row>
        <row r="1387">
          <cell r="A1387">
            <v>53121</v>
          </cell>
          <cell r="B1387">
            <v>68</v>
          </cell>
          <cell r="C1387">
            <v>53</v>
          </cell>
          <cell r="D1387">
            <v>7632</v>
          </cell>
          <cell r="E1387" t="str">
            <v>I121</v>
          </cell>
        </row>
        <row r="1388">
          <cell r="A1388">
            <v>53122</v>
          </cell>
          <cell r="B1388">
            <v>69</v>
          </cell>
          <cell r="C1388">
            <v>53</v>
          </cell>
          <cell r="D1388">
            <v>217.79999999999899</v>
          </cell>
          <cell r="E1388" t="str">
            <v>I122</v>
          </cell>
        </row>
        <row r="1389">
          <cell r="A1389">
            <v>53123</v>
          </cell>
          <cell r="B1389">
            <v>70</v>
          </cell>
          <cell r="C1389">
            <v>53</v>
          </cell>
          <cell r="D1389">
            <v>47604.6</v>
          </cell>
          <cell r="E1389" t="str">
            <v>I123</v>
          </cell>
        </row>
        <row r="1390">
          <cell r="A1390">
            <v>53124</v>
          </cell>
          <cell r="B1390">
            <v>71</v>
          </cell>
          <cell r="C1390">
            <v>53</v>
          </cell>
          <cell r="D1390">
            <v>360806.40000000002</v>
          </cell>
          <cell r="E1390" t="str">
            <v>I124</v>
          </cell>
        </row>
        <row r="1391">
          <cell r="A1391">
            <v>53125</v>
          </cell>
          <cell r="B1391">
            <v>72</v>
          </cell>
          <cell r="C1391">
            <v>53</v>
          </cell>
          <cell r="D1391">
            <v>5132764.8</v>
          </cell>
          <cell r="E1391" t="str">
            <v>I125</v>
          </cell>
        </row>
        <row r="1392">
          <cell r="A1392">
            <v>53126</v>
          </cell>
          <cell r="B1392">
            <v>73</v>
          </cell>
          <cell r="C1392">
            <v>53</v>
          </cell>
          <cell r="D1392">
            <v>1117152</v>
          </cell>
          <cell r="E1392" t="str">
            <v>I126</v>
          </cell>
        </row>
        <row r="1393">
          <cell r="A1393">
            <v>53127</v>
          </cell>
          <cell r="B1393">
            <v>74</v>
          </cell>
          <cell r="C1393">
            <v>53</v>
          </cell>
          <cell r="D1393" t="str">
            <v>STABLE</v>
          </cell>
          <cell r="E1393" t="str">
            <v>I127</v>
          </cell>
        </row>
        <row r="1394">
          <cell r="A1394">
            <v>53128</v>
          </cell>
          <cell r="B1394">
            <v>75</v>
          </cell>
          <cell r="C1394">
            <v>53</v>
          </cell>
          <cell r="D1394">
            <v>1499.3999999999901</v>
          </cell>
          <cell r="E1394" t="str">
            <v>I128</v>
          </cell>
        </row>
        <row r="1395">
          <cell r="A1395">
            <v>53129</v>
          </cell>
          <cell r="B1395">
            <v>76</v>
          </cell>
          <cell r="C1395">
            <v>53</v>
          </cell>
          <cell r="D1395">
            <v>495454320000000</v>
          </cell>
          <cell r="E1395" t="str">
            <v>I129</v>
          </cell>
        </row>
        <row r="1396">
          <cell r="A1396">
            <v>53130</v>
          </cell>
          <cell r="B1396">
            <v>77</v>
          </cell>
          <cell r="C1396">
            <v>53</v>
          </cell>
          <cell r="D1396">
            <v>44496</v>
          </cell>
          <cell r="E1396" t="str">
            <v>I130</v>
          </cell>
        </row>
        <row r="1397">
          <cell r="A1397">
            <v>53131</v>
          </cell>
          <cell r="B1397">
            <v>78</v>
          </cell>
          <cell r="C1397">
            <v>53</v>
          </cell>
          <cell r="D1397">
            <v>693377.28</v>
          </cell>
          <cell r="E1397" t="str">
            <v>I131</v>
          </cell>
        </row>
        <row r="1398">
          <cell r="A1398">
            <v>53132</v>
          </cell>
          <cell r="B1398">
            <v>79</v>
          </cell>
          <cell r="C1398">
            <v>53</v>
          </cell>
          <cell r="D1398">
            <v>8262</v>
          </cell>
          <cell r="E1398" t="str">
            <v>I132</v>
          </cell>
        </row>
        <row r="1399">
          <cell r="A1399">
            <v>53133</v>
          </cell>
          <cell r="B1399">
            <v>80</v>
          </cell>
          <cell r="C1399">
            <v>53</v>
          </cell>
          <cell r="D1399">
            <v>74988</v>
          </cell>
          <cell r="E1399" t="str">
            <v>I133</v>
          </cell>
        </row>
        <row r="1400">
          <cell r="A1400">
            <v>53134</v>
          </cell>
          <cell r="B1400">
            <v>81</v>
          </cell>
          <cell r="C1400">
            <v>53</v>
          </cell>
          <cell r="D1400">
            <v>3150</v>
          </cell>
          <cell r="E1400" t="str">
            <v>I134</v>
          </cell>
        </row>
        <row r="1401">
          <cell r="A1401">
            <v>53135</v>
          </cell>
          <cell r="B1401">
            <v>82</v>
          </cell>
          <cell r="C1401">
            <v>53</v>
          </cell>
          <cell r="D1401">
            <v>23688</v>
          </cell>
          <cell r="E1401" t="str">
            <v>I135</v>
          </cell>
        </row>
        <row r="1402">
          <cell r="A1402">
            <v>53136</v>
          </cell>
          <cell r="B1402">
            <v>83</v>
          </cell>
          <cell r="C1402">
            <v>53</v>
          </cell>
          <cell r="D1402">
            <v>83.4</v>
          </cell>
          <cell r="E1402" t="str">
            <v>I136</v>
          </cell>
        </row>
        <row r="1403">
          <cell r="A1403">
            <v>53137</v>
          </cell>
          <cell r="B1403">
            <v>84</v>
          </cell>
          <cell r="C1403">
            <v>53</v>
          </cell>
          <cell r="D1403">
            <v>24.5</v>
          </cell>
          <cell r="E1403" t="str">
            <v>I137</v>
          </cell>
        </row>
        <row r="1404">
          <cell r="A1404">
            <v>53138</v>
          </cell>
          <cell r="B1404">
            <v>85</v>
          </cell>
          <cell r="C1404">
            <v>53</v>
          </cell>
          <cell r="D1404">
            <v>6.23</v>
          </cell>
          <cell r="E1404" t="str">
            <v>I138</v>
          </cell>
        </row>
        <row r="1405">
          <cell r="A1405">
            <v>53139</v>
          </cell>
          <cell r="B1405">
            <v>86</v>
          </cell>
          <cell r="C1405">
            <v>53</v>
          </cell>
          <cell r="D1405">
            <v>2.2799999999999998</v>
          </cell>
          <cell r="E1405" t="str">
            <v>I139</v>
          </cell>
        </row>
        <row r="1406">
          <cell r="A1406">
            <v>53140</v>
          </cell>
          <cell r="B1406">
            <v>87</v>
          </cell>
          <cell r="C1406">
            <v>53</v>
          </cell>
          <cell r="D1406">
            <v>0.86</v>
          </cell>
          <cell r="E1406" t="str">
            <v>I140</v>
          </cell>
        </row>
        <row r="1407">
          <cell r="A1407">
            <v>53141</v>
          </cell>
          <cell r="B1407">
            <v>88</v>
          </cell>
          <cell r="C1407">
            <v>53</v>
          </cell>
          <cell r="D1407">
            <v>0.43</v>
          </cell>
          <cell r="E1407" t="str">
            <v>I141</v>
          </cell>
        </row>
        <row r="1408">
          <cell r="A1408">
            <v>53142</v>
          </cell>
          <cell r="B1408">
            <v>89</v>
          </cell>
          <cell r="C1408">
            <v>53</v>
          </cell>
          <cell r="D1408">
            <v>0.222</v>
          </cell>
          <cell r="E1408" t="str">
            <v>I142</v>
          </cell>
        </row>
        <row r="1409">
          <cell r="A1409">
            <v>53143</v>
          </cell>
          <cell r="B1409">
            <v>90</v>
          </cell>
          <cell r="C1409">
            <v>53</v>
          </cell>
          <cell r="D1409">
            <v>0.13</v>
          </cell>
          <cell r="E1409" t="str">
            <v>I143</v>
          </cell>
        </row>
        <row r="1410">
          <cell r="A1410">
            <v>53144</v>
          </cell>
          <cell r="B1410">
            <v>91</v>
          </cell>
          <cell r="C1410">
            <v>53</v>
          </cell>
          <cell r="D1410">
            <v>2.9999999999999999E-7</v>
          </cell>
          <cell r="E1410" t="str">
            <v>I144</v>
          </cell>
        </row>
        <row r="1411">
          <cell r="A1411">
            <v>53145</v>
          </cell>
          <cell r="B1411">
            <v>92</v>
          </cell>
          <cell r="C1411">
            <v>53</v>
          </cell>
          <cell r="D1411">
            <v>4.0699999999999998E-7</v>
          </cell>
          <cell r="E1411" t="str">
            <v>I145</v>
          </cell>
        </row>
        <row r="1412">
          <cell r="A1412">
            <v>54109</v>
          </cell>
          <cell r="B1412">
            <v>55</v>
          </cell>
          <cell r="C1412">
            <v>54</v>
          </cell>
          <cell r="D1412">
            <v>1.2999999999999999E-2</v>
          </cell>
          <cell r="E1412" t="str">
            <v>Xe109</v>
          </cell>
        </row>
        <row r="1413">
          <cell r="A1413">
            <v>54110</v>
          </cell>
          <cell r="B1413">
            <v>56</v>
          </cell>
          <cell r="C1413">
            <v>54</v>
          </cell>
          <cell r="D1413">
            <v>9.2999999999999999E-2</v>
          </cell>
          <cell r="E1413" t="str">
            <v>Xe110</v>
          </cell>
        </row>
        <row r="1414">
          <cell r="A1414">
            <v>54111</v>
          </cell>
          <cell r="B1414">
            <v>57</v>
          </cell>
          <cell r="C1414">
            <v>54</v>
          </cell>
          <cell r="D1414">
            <v>0.81</v>
          </cell>
          <cell r="E1414" t="str">
            <v>Xe111</v>
          </cell>
        </row>
        <row r="1415">
          <cell r="A1415">
            <v>54112</v>
          </cell>
          <cell r="B1415">
            <v>58</v>
          </cell>
          <cell r="C1415">
            <v>54</v>
          </cell>
          <cell r="D1415">
            <v>2.7</v>
          </cell>
          <cell r="E1415" t="str">
            <v>Xe112</v>
          </cell>
        </row>
        <row r="1416">
          <cell r="A1416">
            <v>54113</v>
          </cell>
          <cell r="B1416">
            <v>59</v>
          </cell>
          <cell r="C1416">
            <v>54</v>
          </cell>
          <cell r="D1416">
            <v>2.74</v>
          </cell>
          <cell r="E1416" t="str">
            <v>Xe113</v>
          </cell>
        </row>
        <row r="1417">
          <cell r="A1417">
            <v>54114</v>
          </cell>
          <cell r="B1417">
            <v>60</v>
          </cell>
          <cell r="C1417">
            <v>54</v>
          </cell>
          <cell r="D1417">
            <v>10</v>
          </cell>
          <cell r="E1417" t="str">
            <v>Xe114</v>
          </cell>
        </row>
        <row r="1418">
          <cell r="A1418">
            <v>54115</v>
          </cell>
          <cell r="B1418">
            <v>61</v>
          </cell>
          <cell r="C1418">
            <v>54</v>
          </cell>
          <cell r="D1418">
            <v>18</v>
          </cell>
          <cell r="E1418" t="str">
            <v>Xe115</v>
          </cell>
        </row>
        <row r="1419">
          <cell r="A1419">
            <v>54116</v>
          </cell>
          <cell r="B1419">
            <v>62</v>
          </cell>
          <cell r="C1419">
            <v>54</v>
          </cell>
          <cell r="D1419">
            <v>59</v>
          </cell>
          <cell r="E1419" t="str">
            <v>Xe116</v>
          </cell>
        </row>
        <row r="1420">
          <cell r="A1420">
            <v>54117</v>
          </cell>
          <cell r="B1420">
            <v>63</v>
          </cell>
          <cell r="C1420">
            <v>54</v>
          </cell>
          <cell r="D1420">
            <v>61</v>
          </cell>
          <cell r="E1420" t="str">
            <v>Xe117</v>
          </cell>
        </row>
        <row r="1421">
          <cell r="A1421">
            <v>54118</v>
          </cell>
          <cell r="B1421">
            <v>64</v>
          </cell>
          <cell r="C1421">
            <v>54</v>
          </cell>
          <cell r="D1421">
            <v>228</v>
          </cell>
          <cell r="E1421" t="str">
            <v>Xe118</v>
          </cell>
        </row>
        <row r="1422">
          <cell r="A1422">
            <v>54119</v>
          </cell>
          <cell r="B1422">
            <v>65</v>
          </cell>
          <cell r="C1422">
            <v>54</v>
          </cell>
          <cell r="D1422">
            <v>348</v>
          </cell>
          <cell r="E1422" t="str">
            <v>Xe119</v>
          </cell>
        </row>
        <row r="1423">
          <cell r="A1423">
            <v>54120</v>
          </cell>
          <cell r="B1423">
            <v>66</v>
          </cell>
          <cell r="C1423">
            <v>54</v>
          </cell>
          <cell r="D1423">
            <v>2400</v>
          </cell>
          <cell r="E1423" t="str">
            <v>Xe120</v>
          </cell>
        </row>
        <row r="1424">
          <cell r="A1424">
            <v>54121</v>
          </cell>
          <cell r="B1424">
            <v>67</v>
          </cell>
          <cell r="C1424">
            <v>54</v>
          </cell>
          <cell r="D1424">
            <v>2406</v>
          </cell>
          <cell r="E1424" t="str">
            <v>Xe121</v>
          </cell>
        </row>
        <row r="1425">
          <cell r="A1425">
            <v>54122</v>
          </cell>
          <cell r="B1425">
            <v>68</v>
          </cell>
          <cell r="C1425">
            <v>54</v>
          </cell>
          <cell r="D1425">
            <v>72360</v>
          </cell>
          <cell r="E1425" t="str">
            <v>Xe122</v>
          </cell>
        </row>
        <row r="1426">
          <cell r="A1426">
            <v>54123</v>
          </cell>
          <cell r="B1426">
            <v>69</v>
          </cell>
          <cell r="C1426">
            <v>54</v>
          </cell>
          <cell r="D1426">
            <v>7488</v>
          </cell>
          <cell r="E1426" t="str">
            <v>Xe123</v>
          </cell>
        </row>
        <row r="1427">
          <cell r="A1427">
            <v>54124</v>
          </cell>
          <cell r="B1427">
            <v>70</v>
          </cell>
          <cell r="C1427">
            <v>54</v>
          </cell>
          <cell r="D1427">
            <v>5.049216E+21</v>
          </cell>
          <cell r="E1427" t="str">
            <v>Xe124</v>
          </cell>
        </row>
        <row r="1428">
          <cell r="A1428">
            <v>54125</v>
          </cell>
          <cell r="B1428">
            <v>71</v>
          </cell>
          <cell r="C1428">
            <v>54</v>
          </cell>
          <cell r="D1428">
            <v>60839.999999999898</v>
          </cell>
          <cell r="E1428" t="str">
            <v>Xe125</v>
          </cell>
        </row>
        <row r="1429">
          <cell r="A1429">
            <v>54126</v>
          </cell>
          <cell r="B1429">
            <v>72</v>
          </cell>
          <cell r="C1429">
            <v>54</v>
          </cell>
          <cell r="D1429" t="str">
            <v>STABLE</v>
          </cell>
          <cell r="E1429" t="str">
            <v>Xe126</v>
          </cell>
        </row>
        <row r="1430">
          <cell r="A1430">
            <v>54127</v>
          </cell>
          <cell r="B1430">
            <v>73</v>
          </cell>
          <cell r="C1430">
            <v>54</v>
          </cell>
          <cell r="D1430">
            <v>3140294.4</v>
          </cell>
          <cell r="E1430" t="str">
            <v>Xe127</v>
          </cell>
        </row>
        <row r="1431">
          <cell r="A1431">
            <v>54128</v>
          </cell>
          <cell r="B1431">
            <v>74</v>
          </cell>
          <cell r="C1431">
            <v>54</v>
          </cell>
          <cell r="D1431" t="str">
            <v>STABLE</v>
          </cell>
          <cell r="E1431" t="str">
            <v>Xe128</v>
          </cell>
        </row>
        <row r="1432">
          <cell r="A1432">
            <v>54129</v>
          </cell>
          <cell r="B1432">
            <v>75</v>
          </cell>
          <cell r="C1432">
            <v>54</v>
          </cell>
          <cell r="D1432" t="str">
            <v>STABLE</v>
          </cell>
          <cell r="E1432" t="str">
            <v>Xe129</v>
          </cell>
        </row>
        <row r="1433">
          <cell r="A1433">
            <v>54130</v>
          </cell>
          <cell r="B1433">
            <v>76</v>
          </cell>
          <cell r="C1433">
            <v>54</v>
          </cell>
          <cell r="D1433" t="str">
            <v>STABLE</v>
          </cell>
          <cell r="E1433" t="str">
            <v>Xe130</v>
          </cell>
        </row>
        <row r="1434">
          <cell r="A1434">
            <v>54131</v>
          </cell>
          <cell r="B1434">
            <v>77</v>
          </cell>
          <cell r="C1434">
            <v>54</v>
          </cell>
          <cell r="D1434" t="str">
            <v>STABLE</v>
          </cell>
          <cell r="E1434" t="str">
            <v>Xe131</v>
          </cell>
        </row>
        <row r="1435">
          <cell r="A1435">
            <v>54132</v>
          </cell>
          <cell r="B1435">
            <v>78</v>
          </cell>
          <cell r="C1435">
            <v>54</v>
          </cell>
          <cell r="D1435" t="str">
            <v>STABLE</v>
          </cell>
          <cell r="E1435" t="str">
            <v>Xe132</v>
          </cell>
        </row>
        <row r="1436">
          <cell r="A1436">
            <v>54133</v>
          </cell>
          <cell r="B1436">
            <v>79</v>
          </cell>
          <cell r="C1436">
            <v>54</v>
          </cell>
          <cell r="D1436">
            <v>453383.99999999901</v>
          </cell>
          <cell r="E1436" t="str">
            <v>Xe133</v>
          </cell>
        </row>
        <row r="1437">
          <cell r="A1437">
            <v>54134</v>
          </cell>
          <cell r="B1437">
            <v>80</v>
          </cell>
          <cell r="C1437">
            <v>54</v>
          </cell>
          <cell r="D1437">
            <v>1.8303407999999899E+30</v>
          </cell>
          <cell r="E1437" t="str">
            <v>Xe134</v>
          </cell>
        </row>
        <row r="1438">
          <cell r="A1438">
            <v>54135</v>
          </cell>
          <cell r="B1438">
            <v>81</v>
          </cell>
          <cell r="C1438">
            <v>54</v>
          </cell>
          <cell r="D1438">
            <v>32904</v>
          </cell>
          <cell r="E1438" t="str">
            <v>Xe135</v>
          </cell>
        </row>
        <row r="1439">
          <cell r="A1439">
            <v>54136</v>
          </cell>
          <cell r="B1439">
            <v>82</v>
          </cell>
          <cell r="C1439">
            <v>54</v>
          </cell>
          <cell r="D1439">
            <v>7.573824E+28</v>
          </cell>
          <cell r="E1439" t="str">
            <v>Xe136</v>
          </cell>
        </row>
        <row r="1440">
          <cell r="A1440">
            <v>54137</v>
          </cell>
          <cell r="B1440">
            <v>83</v>
          </cell>
          <cell r="C1440">
            <v>54</v>
          </cell>
          <cell r="D1440">
            <v>229.08</v>
          </cell>
          <cell r="E1440" t="str">
            <v>Xe137</v>
          </cell>
        </row>
        <row r="1441">
          <cell r="A1441">
            <v>54138</v>
          </cell>
          <cell r="B1441">
            <v>84</v>
          </cell>
          <cell r="C1441">
            <v>54</v>
          </cell>
          <cell r="D1441">
            <v>848.4</v>
          </cell>
          <cell r="E1441" t="str">
            <v>Xe138</v>
          </cell>
        </row>
        <row r="1442">
          <cell r="A1442">
            <v>54139</v>
          </cell>
          <cell r="B1442">
            <v>85</v>
          </cell>
          <cell r="C1442">
            <v>54</v>
          </cell>
          <cell r="D1442">
            <v>39.68</v>
          </cell>
          <cell r="E1442" t="str">
            <v>Xe139</v>
          </cell>
        </row>
        <row r="1443">
          <cell r="A1443">
            <v>54140</v>
          </cell>
          <cell r="B1443">
            <v>86</v>
          </cell>
          <cell r="C1443">
            <v>54</v>
          </cell>
          <cell r="D1443">
            <v>13.6</v>
          </cell>
          <cell r="E1443" t="str">
            <v>Xe140</v>
          </cell>
        </row>
        <row r="1444">
          <cell r="A1444">
            <v>54141</v>
          </cell>
          <cell r="B1444">
            <v>87</v>
          </cell>
          <cell r="C1444">
            <v>54</v>
          </cell>
          <cell r="D1444">
            <v>1.73</v>
          </cell>
          <cell r="E1444" t="str">
            <v>Xe141</v>
          </cell>
        </row>
        <row r="1445">
          <cell r="A1445">
            <v>54142</v>
          </cell>
          <cell r="B1445">
            <v>88</v>
          </cell>
          <cell r="C1445">
            <v>54</v>
          </cell>
          <cell r="D1445">
            <v>1.23</v>
          </cell>
          <cell r="E1445" t="str">
            <v>Xe142</v>
          </cell>
        </row>
        <row r="1446">
          <cell r="A1446">
            <v>54143</v>
          </cell>
          <cell r="B1446">
            <v>89</v>
          </cell>
          <cell r="C1446">
            <v>54</v>
          </cell>
          <cell r="D1446">
            <v>0.51100000000000001</v>
          </cell>
          <cell r="E1446" t="str">
            <v>Xe143</v>
          </cell>
        </row>
        <row r="1447">
          <cell r="A1447">
            <v>54144</v>
          </cell>
          <cell r="B1447">
            <v>90</v>
          </cell>
          <cell r="C1447">
            <v>54</v>
          </cell>
          <cell r="D1447">
            <v>0.38800000000000001</v>
          </cell>
          <cell r="E1447" t="str">
            <v>Xe144</v>
          </cell>
        </row>
        <row r="1448">
          <cell r="A1448">
            <v>54145</v>
          </cell>
          <cell r="B1448">
            <v>91</v>
          </cell>
          <cell r="C1448">
            <v>54</v>
          </cell>
          <cell r="D1448">
            <v>0.188</v>
          </cell>
          <cell r="E1448" t="str">
            <v>Xe145</v>
          </cell>
        </row>
        <row r="1449">
          <cell r="A1449">
            <v>54146</v>
          </cell>
          <cell r="B1449">
            <v>92</v>
          </cell>
          <cell r="C1449">
            <v>54</v>
          </cell>
          <cell r="D1449">
            <v>0.14599999999999999</v>
          </cell>
          <cell r="E1449" t="str">
            <v>Xe146</v>
          </cell>
        </row>
        <row r="1450">
          <cell r="A1450">
            <v>54147</v>
          </cell>
          <cell r="B1450">
            <v>93</v>
          </cell>
          <cell r="C1450">
            <v>54</v>
          </cell>
          <cell r="D1450">
            <v>0.1</v>
          </cell>
          <cell r="E1450" t="str">
            <v>Xe147</v>
          </cell>
        </row>
        <row r="1451">
          <cell r="A1451">
            <v>54148</v>
          </cell>
          <cell r="B1451">
            <v>94</v>
          </cell>
          <cell r="C1451">
            <v>54</v>
          </cell>
          <cell r="D1451">
            <v>4.08E-7</v>
          </cell>
          <cell r="E1451" t="str">
            <v>Xe148</v>
          </cell>
        </row>
        <row r="1452">
          <cell r="A1452">
            <v>55112</v>
          </cell>
          <cell r="B1452">
            <v>57</v>
          </cell>
          <cell r="C1452">
            <v>55</v>
          </cell>
          <cell r="D1452">
            <v>4.8999999999999998E-4</v>
          </cell>
          <cell r="E1452" t="str">
            <v>Cs112</v>
          </cell>
        </row>
        <row r="1453">
          <cell r="A1453">
            <v>55113</v>
          </cell>
          <cell r="B1453">
            <v>58</v>
          </cell>
          <cell r="C1453">
            <v>55</v>
          </cell>
          <cell r="D1453">
            <v>1.77E-5</v>
          </cell>
          <cell r="E1453" t="str">
            <v>Cs113</v>
          </cell>
        </row>
        <row r="1454">
          <cell r="A1454">
            <v>55114</v>
          </cell>
          <cell r="B1454">
            <v>59</v>
          </cell>
          <cell r="C1454">
            <v>55</v>
          </cell>
          <cell r="D1454">
            <v>0.56999999999999995</v>
          </cell>
          <cell r="E1454" t="str">
            <v>Cs114</v>
          </cell>
        </row>
        <row r="1455">
          <cell r="A1455">
            <v>55115</v>
          </cell>
          <cell r="B1455">
            <v>60</v>
          </cell>
          <cell r="C1455">
            <v>55</v>
          </cell>
          <cell r="D1455">
            <v>1.4</v>
          </cell>
          <cell r="E1455" t="str">
            <v>Cs115</v>
          </cell>
        </row>
        <row r="1456">
          <cell r="A1456">
            <v>55116</v>
          </cell>
          <cell r="B1456">
            <v>61</v>
          </cell>
          <cell r="C1456">
            <v>55</v>
          </cell>
          <cell r="D1456">
            <v>0.7</v>
          </cell>
          <cell r="E1456" t="str">
            <v>Cs116</v>
          </cell>
        </row>
        <row r="1457">
          <cell r="A1457">
            <v>55117</v>
          </cell>
          <cell r="B1457">
            <v>62</v>
          </cell>
          <cell r="C1457">
            <v>55</v>
          </cell>
          <cell r="D1457">
            <v>8.4</v>
          </cell>
          <cell r="E1457" t="str">
            <v>Cs117</v>
          </cell>
        </row>
        <row r="1458">
          <cell r="A1458">
            <v>55118</v>
          </cell>
          <cell r="B1458">
            <v>63</v>
          </cell>
          <cell r="C1458">
            <v>55</v>
          </cell>
          <cell r="D1458">
            <v>14</v>
          </cell>
          <cell r="E1458" t="str">
            <v>Cs118</v>
          </cell>
        </row>
        <row r="1459">
          <cell r="A1459">
            <v>55119</v>
          </cell>
          <cell r="B1459">
            <v>64</v>
          </cell>
          <cell r="C1459">
            <v>55</v>
          </cell>
          <cell r="D1459">
            <v>43</v>
          </cell>
          <cell r="E1459" t="str">
            <v>Cs119</v>
          </cell>
        </row>
        <row r="1460">
          <cell r="A1460">
            <v>55120</v>
          </cell>
          <cell r="B1460">
            <v>65</v>
          </cell>
          <cell r="C1460">
            <v>55</v>
          </cell>
          <cell r="D1460">
            <v>61.3</v>
          </cell>
          <cell r="E1460" t="str">
            <v>Cs120</v>
          </cell>
        </row>
        <row r="1461">
          <cell r="A1461">
            <v>55121</v>
          </cell>
          <cell r="B1461">
            <v>66</v>
          </cell>
          <cell r="C1461">
            <v>55</v>
          </cell>
          <cell r="D1461">
            <v>155</v>
          </cell>
          <cell r="E1461" t="str">
            <v>Cs121</v>
          </cell>
        </row>
        <row r="1462">
          <cell r="A1462">
            <v>55122</v>
          </cell>
          <cell r="B1462">
            <v>67</v>
          </cell>
          <cell r="C1462">
            <v>55</v>
          </cell>
          <cell r="D1462">
            <v>21.18</v>
          </cell>
          <cell r="E1462" t="str">
            <v>Cs122</v>
          </cell>
        </row>
        <row r="1463">
          <cell r="A1463">
            <v>55123</v>
          </cell>
          <cell r="B1463">
            <v>68</v>
          </cell>
          <cell r="C1463">
            <v>55</v>
          </cell>
          <cell r="D1463">
            <v>352.8</v>
          </cell>
          <cell r="E1463" t="str">
            <v>Cs123</v>
          </cell>
        </row>
        <row r="1464">
          <cell r="A1464">
            <v>55124</v>
          </cell>
          <cell r="B1464">
            <v>69</v>
          </cell>
          <cell r="C1464">
            <v>55</v>
          </cell>
          <cell r="D1464">
            <v>30.9</v>
          </cell>
          <cell r="E1464" t="str">
            <v>Cs124</v>
          </cell>
        </row>
        <row r="1465">
          <cell r="A1465">
            <v>55125</v>
          </cell>
          <cell r="B1465">
            <v>70</v>
          </cell>
          <cell r="C1465">
            <v>55</v>
          </cell>
          <cell r="D1465">
            <v>2802</v>
          </cell>
          <cell r="E1465" t="str">
            <v>Cs125</v>
          </cell>
        </row>
        <row r="1466">
          <cell r="A1466">
            <v>55126</v>
          </cell>
          <cell r="B1466">
            <v>71</v>
          </cell>
          <cell r="C1466">
            <v>55</v>
          </cell>
          <cell r="D1466">
            <v>98.399999999999906</v>
          </cell>
          <cell r="E1466" t="str">
            <v>Cs126</v>
          </cell>
        </row>
        <row r="1467">
          <cell r="A1467">
            <v>55127</v>
          </cell>
          <cell r="B1467">
            <v>72</v>
          </cell>
          <cell r="C1467">
            <v>55</v>
          </cell>
          <cell r="D1467">
            <v>22500</v>
          </cell>
          <cell r="E1467" t="str">
            <v>Cs127</v>
          </cell>
        </row>
        <row r="1468">
          <cell r="A1468">
            <v>55128</v>
          </cell>
          <cell r="B1468">
            <v>73</v>
          </cell>
          <cell r="C1468">
            <v>55</v>
          </cell>
          <cell r="D1468">
            <v>219.6</v>
          </cell>
          <cell r="E1468" t="str">
            <v>Cs128</v>
          </cell>
        </row>
        <row r="1469">
          <cell r="A1469">
            <v>55129</v>
          </cell>
          <cell r="B1469">
            <v>74</v>
          </cell>
          <cell r="C1469">
            <v>55</v>
          </cell>
          <cell r="D1469">
            <v>115416</v>
          </cell>
          <cell r="E1469" t="str">
            <v>Cs129</v>
          </cell>
        </row>
        <row r="1470">
          <cell r="A1470">
            <v>55130</v>
          </cell>
          <cell r="B1470">
            <v>75</v>
          </cell>
          <cell r="C1470">
            <v>55</v>
          </cell>
          <cell r="D1470">
            <v>1752.6</v>
          </cell>
          <cell r="E1470" t="str">
            <v>Cs130</v>
          </cell>
        </row>
        <row r="1471">
          <cell r="A1471">
            <v>55131</v>
          </cell>
          <cell r="B1471">
            <v>76</v>
          </cell>
          <cell r="C1471">
            <v>55</v>
          </cell>
          <cell r="D1471">
            <v>837129.6</v>
          </cell>
          <cell r="E1471" t="str">
            <v>Cs131</v>
          </cell>
        </row>
        <row r="1472">
          <cell r="A1472">
            <v>55132</v>
          </cell>
          <cell r="B1472">
            <v>77</v>
          </cell>
          <cell r="C1472">
            <v>55</v>
          </cell>
          <cell r="D1472">
            <v>559872</v>
          </cell>
          <cell r="E1472" t="str">
            <v>Cs132</v>
          </cell>
        </row>
        <row r="1473">
          <cell r="A1473">
            <v>55133</v>
          </cell>
          <cell r="B1473">
            <v>78</v>
          </cell>
          <cell r="C1473">
            <v>55</v>
          </cell>
          <cell r="D1473" t="str">
            <v>STABLE</v>
          </cell>
          <cell r="E1473" t="str">
            <v>Cs133</v>
          </cell>
        </row>
        <row r="1474">
          <cell r="A1474">
            <v>55134</v>
          </cell>
          <cell r="B1474">
            <v>79</v>
          </cell>
          <cell r="C1474">
            <v>55</v>
          </cell>
          <cell r="D1474">
            <v>65172755.519999899</v>
          </cell>
          <cell r="E1474" t="str">
            <v>Cs134</v>
          </cell>
        </row>
        <row r="1475">
          <cell r="A1475">
            <v>55135</v>
          </cell>
          <cell r="B1475">
            <v>80</v>
          </cell>
          <cell r="C1475">
            <v>55</v>
          </cell>
          <cell r="D1475">
            <v>72582480000000</v>
          </cell>
          <cell r="E1475" t="str">
            <v>Cs135</v>
          </cell>
        </row>
        <row r="1476">
          <cell r="A1476">
            <v>55136</v>
          </cell>
          <cell r="B1476">
            <v>81</v>
          </cell>
          <cell r="C1476">
            <v>55</v>
          </cell>
          <cell r="D1476">
            <v>1126656</v>
          </cell>
          <cell r="E1476" t="str">
            <v>Cs136</v>
          </cell>
        </row>
        <row r="1477">
          <cell r="A1477">
            <v>55137</v>
          </cell>
          <cell r="B1477">
            <v>82</v>
          </cell>
          <cell r="C1477">
            <v>55</v>
          </cell>
          <cell r="D1477">
            <v>949252608</v>
          </cell>
          <cell r="E1477" t="str">
            <v>Cs137</v>
          </cell>
        </row>
        <row r="1478">
          <cell r="A1478">
            <v>55138</v>
          </cell>
          <cell r="B1478">
            <v>83</v>
          </cell>
          <cell r="C1478">
            <v>55</v>
          </cell>
          <cell r="D1478">
            <v>2004.6</v>
          </cell>
          <cell r="E1478" t="str">
            <v>Cs138</v>
          </cell>
        </row>
        <row r="1479">
          <cell r="A1479">
            <v>55139</v>
          </cell>
          <cell r="B1479">
            <v>84</v>
          </cell>
          <cell r="C1479">
            <v>55</v>
          </cell>
          <cell r="D1479">
            <v>556.19999999999902</v>
          </cell>
          <cell r="E1479" t="str">
            <v>Cs139</v>
          </cell>
        </row>
        <row r="1480">
          <cell r="A1480">
            <v>55140</v>
          </cell>
          <cell r="B1480">
            <v>85</v>
          </cell>
          <cell r="C1480">
            <v>55</v>
          </cell>
          <cell r="D1480">
            <v>63.7</v>
          </cell>
          <cell r="E1480" t="str">
            <v>Cs140</v>
          </cell>
        </row>
        <row r="1481">
          <cell r="A1481">
            <v>55141</v>
          </cell>
          <cell r="B1481">
            <v>86</v>
          </cell>
          <cell r="C1481">
            <v>55</v>
          </cell>
          <cell r="D1481">
            <v>24.84</v>
          </cell>
          <cell r="E1481" t="str">
            <v>Cs141</v>
          </cell>
        </row>
        <row r="1482">
          <cell r="A1482">
            <v>55142</v>
          </cell>
          <cell r="B1482">
            <v>87</v>
          </cell>
          <cell r="C1482">
            <v>55</v>
          </cell>
          <cell r="D1482">
            <v>1.6839999999999999</v>
          </cell>
          <cell r="E1482" t="str">
            <v>Cs142</v>
          </cell>
        </row>
        <row r="1483">
          <cell r="A1483">
            <v>55143</v>
          </cell>
          <cell r="B1483">
            <v>88</v>
          </cell>
          <cell r="C1483">
            <v>55</v>
          </cell>
          <cell r="D1483">
            <v>1.7909999999999999</v>
          </cell>
          <cell r="E1483" t="str">
            <v>Cs143</v>
          </cell>
        </row>
        <row r="1484">
          <cell r="A1484">
            <v>55144</v>
          </cell>
          <cell r="B1484">
            <v>89</v>
          </cell>
          <cell r="C1484">
            <v>55</v>
          </cell>
          <cell r="D1484">
            <v>0.99399999999999999</v>
          </cell>
          <cell r="E1484" t="str">
            <v>Cs144</v>
          </cell>
        </row>
        <row r="1485">
          <cell r="A1485">
            <v>55145</v>
          </cell>
          <cell r="B1485">
            <v>90</v>
          </cell>
          <cell r="C1485">
            <v>55</v>
          </cell>
          <cell r="D1485">
            <v>0.58699999999999997</v>
          </cell>
          <cell r="E1485" t="str">
            <v>Cs145</v>
          </cell>
        </row>
        <row r="1486">
          <cell r="A1486">
            <v>55146</v>
          </cell>
          <cell r="B1486">
            <v>91</v>
          </cell>
          <cell r="C1486">
            <v>55</v>
          </cell>
          <cell r="D1486">
            <v>0.32200000000000001</v>
          </cell>
          <cell r="E1486" t="str">
            <v>Cs146</v>
          </cell>
        </row>
        <row r="1487">
          <cell r="A1487">
            <v>55147</v>
          </cell>
          <cell r="B1487">
            <v>92</v>
          </cell>
          <cell r="C1487">
            <v>55</v>
          </cell>
          <cell r="D1487">
            <v>0.23</v>
          </cell>
          <cell r="E1487" t="str">
            <v>Cs147</v>
          </cell>
        </row>
        <row r="1488">
          <cell r="A1488">
            <v>55148</v>
          </cell>
          <cell r="B1488">
            <v>93</v>
          </cell>
          <cell r="C1488">
            <v>55</v>
          </cell>
          <cell r="D1488">
            <v>0.14599999999999999</v>
          </cell>
          <cell r="E1488" t="str">
            <v>Cs148</v>
          </cell>
        </row>
        <row r="1489">
          <cell r="A1489">
            <v>55149</v>
          </cell>
          <cell r="B1489">
            <v>94</v>
          </cell>
          <cell r="C1489">
            <v>55</v>
          </cell>
          <cell r="D1489">
            <v>0.05</v>
          </cell>
          <cell r="E1489" t="str">
            <v>Cs149</v>
          </cell>
        </row>
        <row r="1490">
          <cell r="A1490">
            <v>55150</v>
          </cell>
          <cell r="B1490">
            <v>95</v>
          </cell>
          <cell r="C1490">
            <v>55</v>
          </cell>
          <cell r="D1490">
            <v>0.05</v>
          </cell>
          <cell r="E1490" t="str">
            <v>Cs150</v>
          </cell>
        </row>
        <row r="1491">
          <cell r="A1491">
            <v>55151</v>
          </cell>
          <cell r="B1491">
            <v>96</v>
          </cell>
          <cell r="C1491">
            <v>55</v>
          </cell>
          <cell r="D1491">
            <v>0.05</v>
          </cell>
          <cell r="E1491" t="str">
            <v>Cs151</v>
          </cell>
        </row>
        <row r="1492">
          <cell r="A1492">
            <v>56114</v>
          </cell>
          <cell r="B1492">
            <v>58</v>
          </cell>
          <cell r="C1492">
            <v>56</v>
          </cell>
          <cell r="D1492">
            <v>0.43</v>
          </cell>
          <cell r="E1492" t="str">
            <v>Ba114</v>
          </cell>
        </row>
        <row r="1493">
          <cell r="A1493">
            <v>56115</v>
          </cell>
          <cell r="B1493">
            <v>59</v>
          </cell>
          <cell r="C1493">
            <v>56</v>
          </cell>
          <cell r="D1493">
            <v>0.45</v>
          </cell>
          <cell r="E1493" t="str">
            <v>Ba115</v>
          </cell>
        </row>
        <row r="1494">
          <cell r="A1494">
            <v>56116</v>
          </cell>
          <cell r="B1494">
            <v>60</v>
          </cell>
          <cell r="C1494">
            <v>56</v>
          </cell>
          <cell r="D1494">
            <v>1.3</v>
          </cell>
          <cell r="E1494" t="str">
            <v>Ba116</v>
          </cell>
        </row>
        <row r="1495">
          <cell r="A1495">
            <v>56117</v>
          </cell>
          <cell r="B1495">
            <v>61</v>
          </cell>
          <cell r="C1495">
            <v>56</v>
          </cell>
          <cell r="D1495">
            <v>1.75</v>
          </cell>
          <cell r="E1495" t="str">
            <v>Ba117</v>
          </cell>
        </row>
        <row r="1496">
          <cell r="A1496">
            <v>56118</v>
          </cell>
          <cell r="B1496">
            <v>62</v>
          </cell>
          <cell r="C1496">
            <v>56</v>
          </cell>
          <cell r="D1496">
            <v>5.5</v>
          </cell>
          <cell r="E1496" t="str">
            <v>Ba118</v>
          </cell>
        </row>
        <row r="1497">
          <cell r="A1497">
            <v>56119</v>
          </cell>
          <cell r="B1497">
            <v>63</v>
          </cell>
          <cell r="C1497">
            <v>56</v>
          </cell>
          <cell r="D1497">
            <v>5.4</v>
          </cell>
          <cell r="E1497" t="str">
            <v>Ba119</v>
          </cell>
        </row>
        <row r="1498">
          <cell r="A1498">
            <v>56120</v>
          </cell>
          <cell r="B1498">
            <v>64</v>
          </cell>
          <cell r="C1498">
            <v>56</v>
          </cell>
          <cell r="D1498">
            <v>24</v>
          </cell>
          <cell r="E1498" t="str">
            <v>Ba120</v>
          </cell>
        </row>
        <row r="1499">
          <cell r="A1499">
            <v>56121</v>
          </cell>
          <cell r="B1499">
            <v>65</v>
          </cell>
          <cell r="C1499">
            <v>56</v>
          </cell>
          <cell r="D1499">
            <v>29.7</v>
          </cell>
          <cell r="E1499" t="str">
            <v>Ba121</v>
          </cell>
        </row>
        <row r="1500">
          <cell r="A1500">
            <v>56122</v>
          </cell>
          <cell r="B1500">
            <v>66</v>
          </cell>
          <cell r="C1500">
            <v>56</v>
          </cell>
          <cell r="D1500">
            <v>117</v>
          </cell>
          <cell r="E1500" t="str">
            <v>Ba122</v>
          </cell>
        </row>
        <row r="1501">
          <cell r="A1501">
            <v>56123</v>
          </cell>
          <cell r="B1501">
            <v>67</v>
          </cell>
          <cell r="C1501">
            <v>56</v>
          </cell>
          <cell r="D1501">
            <v>162</v>
          </cell>
          <cell r="E1501" t="str">
            <v>Ba123</v>
          </cell>
        </row>
        <row r="1502">
          <cell r="A1502">
            <v>56124</v>
          </cell>
          <cell r="B1502">
            <v>68</v>
          </cell>
          <cell r="C1502">
            <v>56</v>
          </cell>
          <cell r="D1502">
            <v>660</v>
          </cell>
          <cell r="E1502" t="str">
            <v>Ba124</v>
          </cell>
        </row>
        <row r="1503">
          <cell r="A1503">
            <v>56125</v>
          </cell>
          <cell r="B1503">
            <v>69</v>
          </cell>
          <cell r="C1503">
            <v>56</v>
          </cell>
          <cell r="D1503">
            <v>198</v>
          </cell>
          <cell r="E1503" t="str">
            <v>Ba125</v>
          </cell>
        </row>
        <row r="1504">
          <cell r="A1504">
            <v>56126</v>
          </cell>
          <cell r="B1504">
            <v>70</v>
          </cell>
          <cell r="C1504">
            <v>56</v>
          </cell>
          <cell r="D1504">
            <v>6000</v>
          </cell>
          <cell r="E1504" t="str">
            <v>Ba126</v>
          </cell>
        </row>
        <row r="1505">
          <cell r="A1505">
            <v>56127</v>
          </cell>
          <cell r="B1505">
            <v>71</v>
          </cell>
          <cell r="C1505">
            <v>56</v>
          </cell>
          <cell r="D1505">
            <v>762</v>
          </cell>
          <cell r="E1505" t="str">
            <v>Ba127</v>
          </cell>
        </row>
        <row r="1506">
          <cell r="A1506">
            <v>56128</v>
          </cell>
          <cell r="B1506">
            <v>72</v>
          </cell>
          <cell r="C1506">
            <v>56</v>
          </cell>
          <cell r="D1506">
            <v>209952</v>
          </cell>
          <cell r="E1506" t="str">
            <v>Ba128</v>
          </cell>
        </row>
        <row r="1507">
          <cell r="A1507">
            <v>56129</v>
          </cell>
          <cell r="B1507">
            <v>73</v>
          </cell>
          <cell r="C1507">
            <v>56</v>
          </cell>
          <cell r="D1507">
            <v>8028</v>
          </cell>
          <cell r="E1507" t="str">
            <v>Ba129</v>
          </cell>
        </row>
        <row r="1508">
          <cell r="A1508">
            <v>56130</v>
          </cell>
          <cell r="B1508">
            <v>74</v>
          </cell>
          <cell r="C1508">
            <v>56</v>
          </cell>
          <cell r="D1508" t="str">
            <v>STABLE</v>
          </cell>
          <cell r="E1508" t="str">
            <v>Ba130</v>
          </cell>
        </row>
        <row r="1509">
          <cell r="A1509">
            <v>56131</v>
          </cell>
          <cell r="B1509">
            <v>75</v>
          </cell>
          <cell r="C1509">
            <v>56</v>
          </cell>
          <cell r="D1509">
            <v>993600</v>
          </cell>
          <cell r="E1509" t="str">
            <v>Ba131</v>
          </cell>
        </row>
        <row r="1510">
          <cell r="A1510">
            <v>56132</v>
          </cell>
          <cell r="B1510">
            <v>76</v>
          </cell>
          <cell r="C1510">
            <v>56</v>
          </cell>
          <cell r="D1510">
            <v>9.4672799999999999E+28</v>
          </cell>
          <cell r="E1510" t="str">
            <v>Ba132</v>
          </cell>
        </row>
        <row r="1511">
          <cell r="A1511">
            <v>56133</v>
          </cell>
          <cell r="B1511">
            <v>77</v>
          </cell>
          <cell r="C1511">
            <v>56</v>
          </cell>
          <cell r="D1511">
            <v>332964237.60000002</v>
          </cell>
          <cell r="E1511" t="str">
            <v>Ba133</v>
          </cell>
        </row>
        <row r="1512">
          <cell r="A1512">
            <v>56134</v>
          </cell>
          <cell r="B1512">
            <v>78</v>
          </cell>
          <cell r="C1512">
            <v>56</v>
          </cell>
          <cell r="D1512" t="str">
            <v>STABLE</v>
          </cell>
          <cell r="E1512" t="str">
            <v>Ba134</v>
          </cell>
        </row>
        <row r="1513">
          <cell r="A1513">
            <v>56135</v>
          </cell>
          <cell r="B1513">
            <v>79</v>
          </cell>
          <cell r="C1513">
            <v>56</v>
          </cell>
          <cell r="D1513" t="str">
            <v>STABLE</v>
          </cell>
          <cell r="E1513" t="str">
            <v>Ba135</v>
          </cell>
        </row>
        <row r="1514">
          <cell r="A1514">
            <v>56136</v>
          </cell>
          <cell r="B1514">
            <v>80</v>
          </cell>
          <cell r="C1514">
            <v>56</v>
          </cell>
          <cell r="D1514" t="str">
            <v>STABLE</v>
          </cell>
          <cell r="E1514" t="str">
            <v>Ba136</v>
          </cell>
        </row>
        <row r="1515">
          <cell r="A1515">
            <v>56137</v>
          </cell>
          <cell r="B1515">
            <v>81</v>
          </cell>
          <cell r="C1515">
            <v>56</v>
          </cell>
          <cell r="D1515" t="str">
            <v>STABLE</v>
          </cell>
          <cell r="E1515" t="str">
            <v>Ba137</v>
          </cell>
        </row>
        <row r="1516">
          <cell r="A1516">
            <v>56138</v>
          </cell>
          <cell r="B1516">
            <v>82</v>
          </cell>
          <cell r="C1516">
            <v>56</v>
          </cell>
          <cell r="D1516" t="str">
            <v>STABLE</v>
          </cell>
          <cell r="E1516" t="str">
            <v>Ba138</v>
          </cell>
        </row>
        <row r="1517">
          <cell r="A1517">
            <v>56139</v>
          </cell>
          <cell r="B1517">
            <v>83</v>
          </cell>
          <cell r="C1517">
            <v>56</v>
          </cell>
          <cell r="D1517">
            <v>4983.6000000000004</v>
          </cell>
          <cell r="E1517" t="str">
            <v>Ba139</v>
          </cell>
        </row>
        <row r="1518">
          <cell r="A1518">
            <v>56140</v>
          </cell>
          <cell r="B1518">
            <v>84</v>
          </cell>
          <cell r="C1518">
            <v>56</v>
          </cell>
          <cell r="D1518">
            <v>1101833.28</v>
          </cell>
          <cell r="E1518" t="str">
            <v>Ba140</v>
          </cell>
        </row>
        <row r="1519">
          <cell r="A1519">
            <v>56141</v>
          </cell>
          <cell r="B1519">
            <v>85</v>
          </cell>
          <cell r="C1519">
            <v>56</v>
          </cell>
          <cell r="D1519">
            <v>1096.2</v>
          </cell>
          <cell r="E1519" t="str">
            <v>Ba141</v>
          </cell>
        </row>
        <row r="1520">
          <cell r="A1520">
            <v>56142</v>
          </cell>
          <cell r="B1520">
            <v>86</v>
          </cell>
          <cell r="C1520">
            <v>56</v>
          </cell>
          <cell r="D1520">
            <v>636</v>
          </cell>
          <cell r="E1520" t="str">
            <v>Ba142</v>
          </cell>
        </row>
        <row r="1521">
          <cell r="A1521">
            <v>56143</v>
          </cell>
          <cell r="B1521">
            <v>87</v>
          </cell>
          <cell r="C1521">
            <v>56</v>
          </cell>
          <cell r="D1521">
            <v>14.5</v>
          </cell>
          <cell r="E1521" t="str">
            <v>Ba143</v>
          </cell>
        </row>
        <row r="1522">
          <cell r="A1522">
            <v>56144</v>
          </cell>
          <cell r="B1522">
            <v>88</v>
          </cell>
          <cell r="C1522">
            <v>56</v>
          </cell>
          <cell r="D1522">
            <v>11.5</v>
          </cell>
          <cell r="E1522" t="str">
            <v>Ba144</v>
          </cell>
        </row>
        <row r="1523">
          <cell r="A1523">
            <v>56145</v>
          </cell>
          <cell r="B1523">
            <v>89</v>
          </cell>
          <cell r="C1523">
            <v>56</v>
          </cell>
          <cell r="D1523">
            <v>4.3099999999999996</v>
          </cell>
          <cell r="E1523" t="str">
            <v>Ba145</v>
          </cell>
        </row>
        <row r="1524">
          <cell r="A1524">
            <v>56146</v>
          </cell>
          <cell r="B1524">
            <v>90</v>
          </cell>
          <cell r="C1524">
            <v>56</v>
          </cell>
          <cell r="D1524">
            <v>2.2200000000000002</v>
          </cell>
          <cell r="E1524" t="str">
            <v>Ba146</v>
          </cell>
        </row>
        <row r="1525">
          <cell r="A1525">
            <v>56147</v>
          </cell>
          <cell r="B1525">
            <v>91</v>
          </cell>
          <cell r="C1525">
            <v>56</v>
          </cell>
          <cell r="D1525">
            <v>0.89400000000000002</v>
          </cell>
          <cell r="E1525" t="str">
            <v>Ba147</v>
          </cell>
        </row>
        <row r="1526">
          <cell r="A1526">
            <v>56148</v>
          </cell>
          <cell r="B1526">
            <v>92</v>
          </cell>
          <cell r="C1526">
            <v>56</v>
          </cell>
          <cell r="D1526">
            <v>0.61199999999999999</v>
          </cell>
          <cell r="E1526" t="str">
            <v>Ba148</v>
          </cell>
        </row>
        <row r="1527">
          <cell r="A1527">
            <v>56149</v>
          </cell>
          <cell r="B1527">
            <v>93</v>
          </cell>
          <cell r="C1527">
            <v>56</v>
          </cell>
          <cell r="D1527">
            <v>0.34399999999999997</v>
          </cell>
          <cell r="E1527" t="str">
            <v>Ba149</v>
          </cell>
        </row>
        <row r="1528">
          <cell r="A1528">
            <v>56150</v>
          </cell>
          <cell r="B1528">
            <v>94</v>
          </cell>
          <cell r="C1528">
            <v>56</v>
          </cell>
          <cell r="D1528">
            <v>0.3</v>
          </cell>
          <cell r="E1528" t="str">
            <v>Ba150</v>
          </cell>
        </row>
        <row r="1529">
          <cell r="A1529">
            <v>56151</v>
          </cell>
          <cell r="B1529">
            <v>95</v>
          </cell>
          <cell r="C1529">
            <v>56</v>
          </cell>
          <cell r="D1529">
            <v>2.9999999999999999E-7</v>
          </cell>
          <cell r="E1529" t="str">
            <v>Ba151</v>
          </cell>
        </row>
        <row r="1530">
          <cell r="A1530">
            <v>56152</v>
          </cell>
          <cell r="B1530">
            <v>96</v>
          </cell>
          <cell r="C1530">
            <v>56</v>
          </cell>
          <cell r="D1530">
            <v>4.0600000000000001E-7</v>
          </cell>
          <cell r="E1530" t="str">
            <v>Ba152</v>
          </cell>
        </row>
        <row r="1531">
          <cell r="A1531">
            <v>57117</v>
          </cell>
          <cell r="B1531">
            <v>60</v>
          </cell>
          <cell r="C1531">
            <v>57</v>
          </cell>
          <cell r="D1531">
            <v>2.35E-2</v>
          </cell>
          <cell r="E1531" t="str">
            <v>La117</v>
          </cell>
        </row>
        <row r="1532">
          <cell r="A1532">
            <v>57120</v>
          </cell>
          <cell r="B1532">
            <v>63</v>
          </cell>
          <cell r="C1532">
            <v>57</v>
          </cell>
          <cell r="D1532">
            <v>2.8</v>
          </cell>
          <cell r="E1532" t="str">
            <v>La120</v>
          </cell>
        </row>
        <row r="1533">
          <cell r="A1533">
            <v>57121</v>
          </cell>
          <cell r="B1533">
            <v>64</v>
          </cell>
          <cell r="C1533">
            <v>57</v>
          </cell>
          <cell r="D1533">
            <v>5.3</v>
          </cell>
          <cell r="E1533" t="str">
            <v>La121</v>
          </cell>
        </row>
        <row r="1534">
          <cell r="A1534">
            <v>57122</v>
          </cell>
          <cell r="B1534">
            <v>65</v>
          </cell>
          <cell r="C1534">
            <v>57</v>
          </cell>
          <cell r="D1534">
            <v>8.6</v>
          </cell>
          <cell r="E1534" t="str">
            <v>La122</v>
          </cell>
        </row>
        <row r="1535">
          <cell r="A1535">
            <v>57123</v>
          </cell>
          <cell r="B1535">
            <v>66</v>
          </cell>
          <cell r="C1535">
            <v>57</v>
          </cell>
          <cell r="D1535">
            <v>17</v>
          </cell>
          <cell r="E1535" t="str">
            <v>La123</v>
          </cell>
        </row>
        <row r="1536">
          <cell r="A1536">
            <v>57124</v>
          </cell>
          <cell r="B1536">
            <v>67</v>
          </cell>
          <cell r="C1536">
            <v>57</v>
          </cell>
          <cell r="D1536">
            <v>29.21</v>
          </cell>
          <cell r="E1536" t="str">
            <v>La124</v>
          </cell>
        </row>
        <row r="1537">
          <cell r="A1537">
            <v>57125</v>
          </cell>
          <cell r="B1537">
            <v>68</v>
          </cell>
          <cell r="C1537">
            <v>57</v>
          </cell>
          <cell r="D1537">
            <v>64.8</v>
          </cell>
          <cell r="E1537" t="str">
            <v>La125</v>
          </cell>
        </row>
        <row r="1538">
          <cell r="A1538">
            <v>57126</v>
          </cell>
          <cell r="B1538">
            <v>69</v>
          </cell>
          <cell r="C1538">
            <v>57</v>
          </cell>
          <cell r="D1538">
            <v>54</v>
          </cell>
          <cell r="E1538" t="str">
            <v>La126</v>
          </cell>
        </row>
        <row r="1539">
          <cell r="A1539">
            <v>57127</v>
          </cell>
          <cell r="B1539">
            <v>70</v>
          </cell>
          <cell r="C1539">
            <v>57</v>
          </cell>
          <cell r="D1539">
            <v>306</v>
          </cell>
          <cell r="E1539" t="str">
            <v>La127</v>
          </cell>
        </row>
        <row r="1540">
          <cell r="A1540">
            <v>57128</v>
          </cell>
          <cell r="B1540">
            <v>71</v>
          </cell>
          <cell r="C1540">
            <v>57</v>
          </cell>
          <cell r="D1540">
            <v>310.79999999999899</v>
          </cell>
          <cell r="E1540" t="str">
            <v>La128</v>
          </cell>
        </row>
        <row r="1541">
          <cell r="A1541">
            <v>57129</v>
          </cell>
          <cell r="B1541">
            <v>72</v>
          </cell>
          <cell r="C1541">
            <v>57</v>
          </cell>
          <cell r="D1541">
            <v>696</v>
          </cell>
          <cell r="E1541" t="str">
            <v>La129</v>
          </cell>
        </row>
        <row r="1542">
          <cell r="A1542">
            <v>57130</v>
          </cell>
          <cell r="B1542">
            <v>73</v>
          </cell>
          <cell r="C1542">
            <v>57</v>
          </cell>
          <cell r="D1542">
            <v>522</v>
          </cell>
          <cell r="E1542" t="str">
            <v>La130</v>
          </cell>
        </row>
        <row r="1543">
          <cell r="A1543">
            <v>57131</v>
          </cell>
          <cell r="B1543">
            <v>74</v>
          </cell>
          <cell r="C1543">
            <v>57</v>
          </cell>
          <cell r="D1543">
            <v>3540</v>
          </cell>
          <cell r="E1543" t="str">
            <v>La131</v>
          </cell>
        </row>
        <row r="1544">
          <cell r="A1544">
            <v>57132</v>
          </cell>
          <cell r="B1544">
            <v>75</v>
          </cell>
          <cell r="C1544">
            <v>57</v>
          </cell>
          <cell r="D1544">
            <v>17280</v>
          </cell>
          <cell r="E1544" t="str">
            <v>La132</v>
          </cell>
        </row>
        <row r="1545">
          <cell r="A1545">
            <v>57133</v>
          </cell>
          <cell r="B1545">
            <v>76</v>
          </cell>
          <cell r="C1545">
            <v>57</v>
          </cell>
          <cell r="D1545">
            <v>14083.199999999901</v>
          </cell>
          <cell r="E1545" t="str">
            <v>La133</v>
          </cell>
        </row>
        <row r="1546">
          <cell r="A1546">
            <v>57134</v>
          </cell>
          <cell r="B1546">
            <v>77</v>
          </cell>
          <cell r="C1546">
            <v>57</v>
          </cell>
          <cell r="D1546">
            <v>387</v>
          </cell>
          <cell r="E1546" t="str">
            <v>La134</v>
          </cell>
        </row>
        <row r="1547">
          <cell r="A1547">
            <v>57135</v>
          </cell>
          <cell r="B1547">
            <v>78</v>
          </cell>
          <cell r="C1547">
            <v>57</v>
          </cell>
          <cell r="D1547">
            <v>70200</v>
          </cell>
          <cell r="E1547" t="str">
            <v>La135</v>
          </cell>
        </row>
        <row r="1548">
          <cell r="A1548">
            <v>57136</v>
          </cell>
          <cell r="B1548">
            <v>79</v>
          </cell>
          <cell r="C1548">
            <v>57</v>
          </cell>
          <cell r="D1548">
            <v>592.19999999999902</v>
          </cell>
          <cell r="E1548" t="str">
            <v>La136</v>
          </cell>
        </row>
        <row r="1549">
          <cell r="A1549">
            <v>57137</v>
          </cell>
          <cell r="B1549">
            <v>80</v>
          </cell>
          <cell r="C1549">
            <v>57</v>
          </cell>
          <cell r="D1549">
            <v>1893456000000</v>
          </cell>
          <cell r="E1549" t="str">
            <v>La137</v>
          </cell>
        </row>
        <row r="1550">
          <cell r="A1550">
            <v>57138</v>
          </cell>
          <cell r="B1550">
            <v>81</v>
          </cell>
          <cell r="C1550">
            <v>57</v>
          </cell>
          <cell r="D1550">
            <v>3.2188752E+18</v>
          </cell>
          <cell r="E1550" t="str">
            <v>La138</v>
          </cell>
        </row>
        <row r="1551">
          <cell r="A1551">
            <v>57139</v>
          </cell>
          <cell r="B1551">
            <v>82</v>
          </cell>
          <cell r="C1551">
            <v>57</v>
          </cell>
          <cell r="D1551" t="str">
            <v>STABLE</v>
          </cell>
          <cell r="E1551" t="str">
            <v>La139</v>
          </cell>
        </row>
        <row r="1552">
          <cell r="A1552">
            <v>57140</v>
          </cell>
          <cell r="B1552">
            <v>83</v>
          </cell>
          <cell r="C1552">
            <v>57</v>
          </cell>
          <cell r="D1552">
            <v>145026.72</v>
          </cell>
          <cell r="E1552" t="str">
            <v>La140</v>
          </cell>
        </row>
        <row r="1553">
          <cell r="A1553">
            <v>57141</v>
          </cell>
          <cell r="B1553">
            <v>84</v>
          </cell>
          <cell r="C1553">
            <v>57</v>
          </cell>
          <cell r="D1553">
            <v>14112</v>
          </cell>
          <cell r="E1553" t="str">
            <v>La141</v>
          </cell>
        </row>
        <row r="1554">
          <cell r="A1554">
            <v>57142</v>
          </cell>
          <cell r="B1554">
            <v>85</v>
          </cell>
          <cell r="C1554">
            <v>57</v>
          </cell>
          <cell r="D1554">
            <v>5466</v>
          </cell>
          <cell r="E1554" t="str">
            <v>La142</v>
          </cell>
        </row>
        <row r="1555">
          <cell r="A1555">
            <v>57143</v>
          </cell>
          <cell r="B1555">
            <v>86</v>
          </cell>
          <cell r="C1555">
            <v>57</v>
          </cell>
          <cell r="D1555">
            <v>852</v>
          </cell>
          <cell r="E1555" t="str">
            <v>La143</v>
          </cell>
        </row>
        <row r="1556">
          <cell r="A1556">
            <v>57144</v>
          </cell>
          <cell r="B1556">
            <v>87</v>
          </cell>
          <cell r="C1556">
            <v>57</v>
          </cell>
          <cell r="D1556">
            <v>40.799999999999997</v>
          </cell>
          <cell r="E1556" t="str">
            <v>La144</v>
          </cell>
        </row>
        <row r="1557">
          <cell r="A1557">
            <v>57145</v>
          </cell>
          <cell r="B1557">
            <v>88</v>
          </cell>
          <cell r="C1557">
            <v>57</v>
          </cell>
          <cell r="D1557">
            <v>24.8</v>
          </cell>
          <cell r="E1557" t="str">
            <v>La145</v>
          </cell>
        </row>
        <row r="1558">
          <cell r="A1558">
            <v>57146</v>
          </cell>
          <cell r="B1558">
            <v>89</v>
          </cell>
          <cell r="C1558">
            <v>57</v>
          </cell>
          <cell r="D1558">
            <v>6.27</v>
          </cell>
          <cell r="E1558" t="str">
            <v>La146</v>
          </cell>
        </row>
        <row r="1559">
          <cell r="A1559">
            <v>57147</v>
          </cell>
          <cell r="B1559">
            <v>90</v>
          </cell>
          <cell r="C1559">
            <v>57</v>
          </cell>
          <cell r="D1559">
            <v>4.0599999999999996</v>
          </cell>
          <cell r="E1559" t="str">
            <v>La147</v>
          </cell>
        </row>
        <row r="1560">
          <cell r="A1560">
            <v>57148</v>
          </cell>
          <cell r="B1560">
            <v>91</v>
          </cell>
          <cell r="C1560">
            <v>57</v>
          </cell>
          <cell r="D1560">
            <v>1.26</v>
          </cell>
          <cell r="E1560" t="str">
            <v>La148</v>
          </cell>
        </row>
        <row r="1561">
          <cell r="A1561">
            <v>57149</v>
          </cell>
          <cell r="B1561">
            <v>92</v>
          </cell>
          <cell r="C1561">
            <v>57</v>
          </cell>
          <cell r="D1561">
            <v>1.05</v>
          </cell>
          <cell r="E1561" t="str">
            <v>La149</v>
          </cell>
        </row>
        <row r="1562">
          <cell r="A1562">
            <v>57150</v>
          </cell>
          <cell r="B1562">
            <v>93</v>
          </cell>
          <cell r="C1562">
            <v>57</v>
          </cell>
          <cell r="D1562">
            <v>0.59</v>
          </cell>
          <cell r="E1562" t="str">
            <v>La150</v>
          </cell>
        </row>
        <row r="1563">
          <cell r="A1563">
            <v>57151</v>
          </cell>
          <cell r="B1563">
            <v>94</v>
          </cell>
          <cell r="C1563">
            <v>57</v>
          </cell>
          <cell r="D1563">
            <v>2.9999999999999999E-7</v>
          </cell>
          <cell r="E1563" t="str">
            <v>La151</v>
          </cell>
        </row>
        <row r="1564">
          <cell r="A1564">
            <v>57152</v>
          </cell>
          <cell r="B1564">
            <v>95</v>
          </cell>
          <cell r="C1564">
            <v>57</v>
          </cell>
          <cell r="D1564">
            <v>1.4999999999999999E-7</v>
          </cell>
          <cell r="E1564" t="str">
            <v>La152</v>
          </cell>
        </row>
        <row r="1565">
          <cell r="A1565">
            <v>57153</v>
          </cell>
          <cell r="B1565">
            <v>96</v>
          </cell>
          <cell r="C1565">
            <v>57</v>
          </cell>
          <cell r="D1565">
            <v>9.9999999999999995E-8</v>
          </cell>
          <cell r="E1565" t="str">
            <v>La153</v>
          </cell>
        </row>
        <row r="1566">
          <cell r="A1566">
            <v>58121</v>
          </cell>
          <cell r="B1566">
            <v>63</v>
          </cell>
          <cell r="C1566">
            <v>58</v>
          </cell>
          <cell r="D1566">
            <v>1.1000000000000001</v>
          </cell>
          <cell r="E1566" t="str">
            <v>Ce121</v>
          </cell>
        </row>
        <row r="1567">
          <cell r="A1567">
            <v>58123</v>
          </cell>
          <cell r="B1567">
            <v>65</v>
          </cell>
          <cell r="C1567">
            <v>58</v>
          </cell>
          <cell r="D1567">
            <v>3.8</v>
          </cell>
          <cell r="E1567" t="str">
            <v>Ce123</v>
          </cell>
        </row>
        <row r="1568">
          <cell r="A1568">
            <v>58124</v>
          </cell>
          <cell r="B1568">
            <v>66</v>
          </cell>
          <cell r="C1568">
            <v>58</v>
          </cell>
          <cell r="D1568">
            <v>6</v>
          </cell>
          <cell r="E1568" t="str">
            <v>Ce124</v>
          </cell>
        </row>
        <row r="1569">
          <cell r="A1569">
            <v>58125</v>
          </cell>
          <cell r="B1569">
            <v>67</v>
          </cell>
          <cell r="C1569">
            <v>58</v>
          </cell>
          <cell r="D1569">
            <v>9.6999999999999993</v>
          </cell>
          <cell r="E1569" t="str">
            <v>Ce125</v>
          </cell>
        </row>
        <row r="1570">
          <cell r="A1570">
            <v>58126</v>
          </cell>
          <cell r="B1570">
            <v>68</v>
          </cell>
          <cell r="C1570">
            <v>58</v>
          </cell>
          <cell r="D1570">
            <v>51</v>
          </cell>
          <cell r="E1570" t="str">
            <v>Ce126</v>
          </cell>
        </row>
        <row r="1571">
          <cell r="A1571">
            <v>58127</v>
          </cell>
          <cell r="B1571">
            <v>69</v>
          </cell>
          <cell r="C1571">
            <v>58</v>
          </cell>
          <cell r="D1571">
            <v>34</v>
          </cell>
          <cell r="E1571" t="str">
            <v>Ce127</v>
          </cell>
        </row>
        <row r="1572">
          <cell r="A1572">
            <v>58128</v>
          </cell>
          <cell r="B1572">
            <v>70</v>
          </cell>
          <cell r="C1572">
            <v>58</v>
          </cell>
          <cell r="D1572">
            <v>235.8</v>
          </cell>
          <cell r="E1572" t="str">
            <v>Ce128</v>
          </cell>
        </row>
        <row r="1573">
          <cell r="A1573">
            <v>58129</v>
          </cell>
          <cell r="B1573">
            <v>71</v>
          </cell>
          <cell r="C1573">
            <v>58</v>
          </cell>
          <cell r="D1573">
            <v>210</v>
          </cell>
          <cell r="E1573" t="str">
            <v>Ce129</v>
          </cell>
        </row>
        <row r="1574">
          <cell r="A1574">
            <v>58130</v>
          </cell>
          <cell r="B1574">
            <v>72</v>
          </cell>
          <cell r="C1574">
            <v>58</v>
          </cell>
          <cell r="D1574">
            <v>1374</v>
          </cell>
          <cell r="E1574" t="str">
            <v>Ce130</v>
          </cell>
        </row>
        <row r="1575">
          <cell r="A1575">
            <v>58131</v>
          </cell>
          <cell r="B1575">
            <v>73</v>
          </cell>
          <cell r="C1575">
            <v>58</v>
          </cell>
          <cell r="D1575">
            <v>618</v>
          </cell>
          <cell r="E1575" t="str">
            <v>Ce131</v>
          </cell>
        </row>
        <row r="1576">
          <cell r="A1576">
            <v>58132</v>
          </cell>
          <cell r="B1576">
            <v>74</v>
          </cell>
          <cell r="C1576">
            <v>58</v>
          </cell>
          <cell r="D1576">
            <v>12636</v>
          </cell>
          <cell r="E1576" t="str">
            <v>Ce132</v>
          </cell>
        </row>
        <row r="1577">
          <cell r="A1577">
            <v>58133</v>
          </cell>
          <cell r="B1577">
            <v>75</v>
          </cell>
          <cell r="C1577">
            <v>58</v>
          </cell>
          <cell r="D1577">
            <v>5820</v>
          </cell>
          <cell r="E1577" t="str">
            <v>Ce133</v>
          </cell>
        </row>
        <row r="1578">
          <cell r="A1578">
            <v>58134</v>
          </cell>
          <cell r="B1578">
            <v>76</v>
          </cell>
          <cell r="C1578">
            <v>58</v>
          </cell>
          <cell r="D1578">
            <v>273024</v>
          </cell>
          <cell r="E1578" t="str">
            <v>Ce134</v>
          </cell>
        </row>
        <row r="1579">
          <cell r="A1579">
            <v>58135</v>
          </cell>
          <cell r="B1579">
            <v>77</v>
          </cell>
          <cell r="C1579">
            <v>58</v>
          </cell>
          <cell r="D1579">
            <v>63720</v>
          </cell>
          <cell r="E1579" t="str">
            <v>Ce135</v>
          </cell>
        </row>
        <row r="1580">
          <cell r="A1580">
            <v>58136</v>
          </cell>
          <cell r="B1580">
            <v>78</v>
          </cell>
          <cell r="C1580">
            <v>58</v>
          </cell>
          <cell r="D1580">
            <v>2.209032E+21</v>
          </cell>
          <cell r="E1580" t="str">
            <v>Ce136</v>
          </cell>
        </row>
        <row r="1581">
          <cell r="A1581">
            <v>58137</v>
          </cell>
          <cell r="B1581">
            <v>79</v>
          </cell>
          <cell r="C1581">
            <v>58</v>
          </cell>
          <cell r="D1581">
            <v>32400</v>
          </cell>
          <cell r="E1581" t="str">
            <v>Ce137</v>
          </cell>
        </row>
        <row r="1582">
          <cell r="A1582">
            <v>58138</v>
          </cell>
          <cell r="B1582">
            <v>80</v>
          </cell>
          <cell r="C1582">
            <v>58</v>
          </cell>
          <cell r="D1582">
            <v>2.8401840000000003E+21</v>
          </cell>
          <cell r="E1582" t="str">
            <v>Ce138</v>
          </cell>
        </row>
        <row r="1583">
          <cell r="A1583">
            <v>58139</v>
          </cell>
          <cell r="B1583">
            <v>81</v>
          </cell>
          <cell r="C1583">
            <v>58</v>
          </cell>
          <cell r="D1583">
            <v>11892182.3999999</v>
          </cell>
          <cell r="E1583" t="str">
            <v>Ce139</v>
          </cell>
        </row>
        <row r="1584">
          <cell r="A1584">
            <v>58140</v>
          </cell>
          <cell r="B1584">
            <v>82</v>
          </cell>
          <cell r="C1584">
            <v>58</v>
          </cell>
          <cell r="D1584" t="str">
            <v>STABLE</v>
          </cell>
          <cell r="E1584" t="str">
            <v>Ce140</v>
          </cell>
        </row>
        <row r="1585">
          <cell r="A1585">
            <v>58141</v>
          </cell>
          <cell r="B1585">
            <v>83</v>
          </cell>
          <cell r="C1585">
            <v>58</v>
          </cell>
          <cell r="D1585">
            <v>2808950.4</v>
          </cell>
          <cell r="E1585" t="str">
            <v>Ce141</v>
          </cell>
        </row>
        <row r="1586">
          <cell r="A1586">
            <v>58142</v>
          </cell>
          <cell r="B1586">
            <v>84</v>
          </cell>
          <cell r="C1586">
            <v>58</v>
          </cell>
          <cell r="D1586">
            <v>1.57788E+24</v>
          </cell>
          <cell r="E1586" t="str">
            <v>Ce142</v>
          </cell>
        </row>
        <row r="1587">
          <cell r="A1587">
            <v>58143</v>
          </cell>
          <cell r="B1587">
            <v>85</v>
          </cell>
          <cell r="C1587">
            <v>58</v>
          </cell>
          <cell r="D1587">
            <v>118940.4</v>
          </cell>
          <cell r="E1587" t="str">
            <v>Ce143</v>
          </cell>
        </row>
        <row r="1588">
          <cell r="A1588">
            <v>58144</v>
          </cell>
          <cell r="B1588">
            <v>86</v>
          </cell>
          <cell r="C1588">
            <v>58</v>
          </cell>
          <cell r="D1588">
            <v>24616224</v>
          </cell>
          <cell r="E1588" t="str">
            <v>Ce144</v>
          </cell>
        </row>
        <row r="1589">
          <cell r="A1589">
            <v>58145</v>
          </cell>
          <cell r="B1589">
            <v>87</v>
          </cell>
          <cell r="C1589">
            <v>58</v>
          </cell>
          <cell r="D1589">
            <v>180.6</v>
          </cell>
          <cell r="E1589" t="str">
            <v>Ce145</v>
          </cell>
        </row>
        <row r="1590">
          <cell r="A1590">
            <v>58146</v>
          </cell>
          <cell r="B1590">
            <v>88</v>
          </cell>
          <cell r="C1590">
            <v>58</v>
          </cell>
          <cell r="D1590">
            <v>809.4</v>
          </cell>
          <cell r="E1590" t="str">
            <v>Ce146</v>
          </cell>
        </row>
        <row r="1591">
          <cell r="A1591">
            <v>58147</v>
          </cell>
          <cell r="B1591">
            <v>89</v>
          </cell>
          <cell r="C1591">
            <v>58</v>
          </cell>
          <cell r="D1591">
            <v>56.4</v>
          </cell>
          <cell r="E1591" t="str">
            <v>Ce147</v>
          </cell>
        </row>
        <row r="1592">
          <cell r="A1592">
            <v>58148</v>
          </cell>
          <cell r="B1592">
            <v>90</v>
          </cell>
          <cell r="C1592">
            <v>58</v>
          </cell>
          <cell r="D1592">
            <v>56.8</v>
          </cell>
          <cell r="E1592" t="str">
            <v>Ce148</v>
          </cell>
        </row>
        <row r="1593">
          <cell r="A1593">
            <v>58149</v>
          </cell>
          <cell r="B1593">
            <v>91</v>
          </cell>
          <cell r="C1593">
            <v>58</v>
          </cell>
          <cell r="D1593">
            <v>5.3</v>
          </cell>
          <cell r="E1593" t="str">
            <v>Ce149</v>
          </cell>
        </row>
        <row r="1594">
          <cell r="A1594">
            <v>58150</v>
          </cell>
          <cell r="B1594">
            <v>92</v>
          </cell>
          <cell r="C1594">
            <v>58</v>
          </cell>
          <cell r="D1594">
            <v>4</v>
          </cell>
          <cell r="E1594" t="str">
            <v>Ce150</v>
          </cell>
        </row>
        <row r="1595">
          <cell r="A1595">
            <v>58151</v>
          </cell>
          <cell r="B1595">
            <v>93</v>
          </cell>
          <cell r="C1595">
            <v>58</v>
          </cell>
          <cell r="D1595">
            <v>1.76</v>
          </cell>
          <cell r="E1595" t="str">
            <v>Ce151</v>
          </cell>
        </row>
        <row r="1596">
          <cell r="A1596">
            <v>58152</v>
          </cell>
          <cell r="B1596">
            <v>94</v>
          </cell>
          <cell r="C1596">
            <v>58</v>
          </cell>
          <cell r="D1596">
            <v>1.4</v>
          </cell>
          <cell r="E1596" t="str">
            <v>Ce152</v>
          </cell>
        </row>
        <row r="1597">
          <cell r="A1597">
            <v>58153</v>
          </cell>
          <cell r="B1597">
            <v>95</v>
          </cell>
          <cell r="C1597">
            <v>58</v>
          </cell>
          <cell r="D1597">
            <v>9.9999999999999995E-8</v>
          </cell>
          <cell r="E1597" t="str">
            <v>Ce153</v>
          </cell>
        </row>
        <row r="1598">
          <cell r="A1598">
            <v>58154</v>
          </cell>
          <cell r="B1598">
            <v>96</v>
          </cell>
          <cell r="C1598">
            <v>58</v>
          </cell>
          <cell r="D1598">
            <v>9.9999999999999995E-8</v>
          </cell>
          <cell r="E1598" t="str">
            <v>Ce154</v>
          </cell>
        </row>
        <row r="1599">
          <cell r="A1599">
            <v>58155</v>
          </cell>
          <cell r="B1599">
            <v>97</v>
          </cell>
          <cell r="C1599">
            <v>58</v>
          </cell>
          <cell r="D1599">
            <v>2.9999999999999999E-7</v>
          </cell>
          <cell r="E1599" t="str">
            <v>Ce155</v>
          </cell>
        </row>
        <row r="1600">
          <cell r="A1600">
            <v>59121</v>
          </cell>
          <cell r="B1600">
            <v>62</v>
          </cell>
          <cell r="C1600">
            <v>59</v>
          </cell>
          <cell r="D1600">
            <v>0.01</v>
          </cell>
          <cell r="E1600" t="str">
            <v>Pr121</v>
          </cell>
        </row>
        <row r="1601">
          <cell r="A1601">
            <v>59122</v>
          </cell>
          <cell r="B1601">
            <v>63</v>
          </cell>
          <cell r="C1601">
            <v>59</v>
          </cell>
          <cell r="D1601">
            <v>0.5</v>
          </cell>
          <cell r="E1601" t="str">
            <v>Pr122</v>
          </cell>
        </row>
        <row r="1602">
          <cell r="A1602">
            <v>59123</v>
          </cell>
          <cell r="B1602">
            <v>64</v>
          </cell>
          <cell r="C1602">
            <v>59</v>
          </cell>
          <cell r="D1602">
            <v>0.8</v>
          </cell>
          <cell r="E1602" t="str">
            <v>Pr123</v>
          </cell>
        </row>
        <row r="1603">
          <cell r="A1603">
            <v>59124</v>
          </cell>
          <cell r="B1603">
            <v>65</v>
          </cell>
          <cell r="C1603">
            <v>59</v>
          </cell>
          <cell r="D1603">
            <v>1.2</v>
          </cell>
          <cell r="E1603" t="str">
            <v>Pr124</v>
          </cell>
        </row>
        <row r="1604">
          <cell r="A1604">
            <v>59125</v>
          </cell>
          <cell r="B1604">
            <v>66</v>
          </cell>
          <cell r="C1604">
            <v>59</v>
          </cell>
          <cell r="D1604">
            <v>3.3</v>
          </cell>
          <cell r="E1604" t="str">
            <v>Pr125</v>
          </cell>
        </row>
        <row r="1605">
          <cell r="A1605">
            <v>59126</v>
          </cell>
          <cell r="B1605">
            <v>67</v>
          </cell>
          <cell r="C1605">
            <v>59</v>
          </cell>
          <cell r="D1605">
            <v>3.14</v>
          </cell>
          <cell r="E1605" t="str">
            <v>Pr126</v>
          </cell>
        </row>
        <row r="1606">
          <cell r="A1606">
            <v>59127</v>
          </cell>
          <cell r="B1606">
            <v>68</v>
          </cell>
          <cell r="C1606">
            <v>59</v>
          </cell>
          <cell r="D1606">
            <v>4.2</v>
          </cell>
          <cell r="E1606" t="str">
            <v>Pr127</v>
          </cell>
        </row>
        <row r="1607">
          <cell r="A1607">
            <v>59128</v>
          </cell>
          <cell r="B1607">
            <v>69</v>
          </cell>
          <cell r="C1607">
            <v>59</v>
          </cell>
          <cell r="D1607">
            <v>2.85</v>
          </cell>
          <cell r="E1607" t="str">
            <v>Pr128</v>
          </cell>
        </row>
        <row r="1608">
          <cell r="A1608">
            <v>59129</v>
          </cell>
          <cell r="B1608">
            <v>70</v>
          </cell>
          <cell r="C1608">
            <v>59</v>
          </cell>
          <cell r="D1608">
            <v>30</v>
          </cell>
          <cell r="E1608" t="str">
            <v>Pr129</v>
          </cell>
        </row>
        <row r="1609">
          <cell r="A1609">
            <v>59130</v>
          </cell>
          <cell r="B1609">
            <v>71</v>
          </cell>
          <cell r="C1609">
            <v>59</v>
          </cell>
          <cell r="D1609">
            <v>40</v>
          </cell>
          <cell r="E1609" t="str">
            <v>Pr130</v>
          </cell>
        </row>
        <row r="1610">
          <cell r="A1610">
            <v>59131</v>
          </cell>
          <cell r="B1610">
            <v>72</v>
          </cell>
          <cell r="C1610">
            <v>59</v>
          </cell>
          <cell r="D1610">
            <v>90.6</v>
          </cell>
          <cell r="E1610" t="str">
            <v>Pr131</v>
          </cell>
        </row>
        <row r="1611">
          <cell r="A1611">
            <v>59132</v>
          </cell>
          <cell r="B1611">
            <v>73</v>
          </cell>
          <cell r="C1611">
            <v>59</v>
          </cell>
          <cell r="D1611">
            <v>96</v>
          </cell>
          <cell r="E1611" t="str">
            <v>Pr132</v>
          </cell>
        </row>
        <row r="1612">
          <cell r="A1612">
            <v>59133</v>
          </cell>
          <cell r="B1612">
            <v>74</v>
          </cell>
          <cell r="C1612">
            <v>59</v>
          </cell>
          <cell r="D1612">
            <v>390</v>
          </cell>
          <cell r="E1612" t="str">
            <v>Pr133</v>
          </cell>
        </row>
        <row r="1613">
          <cell r="A1613">
            <v>59134</v>
          </cell>
          <cell r="B1613">
            <v>75</v>
          </cell>
          <cell r="C1613">
            <v>59</v>
          </cell>
          <cell r="D1613">
            <v>660</v>
          </cell>
          <cell r="E1613" t="str">
            <v>Pr134</v>
          </cell>
        </row>
        <row r="1614">
          <cell r="A1614">
            <v>59135</v>
          </cell>
          <cell r="B1614">
            <v>76</v>
          </cell>
          <cell r="C1614">
            <v>59</v>
          </cell>
          <cell r="D1614">
            <v>1440</v>
          </cell>
          <cell r="E1614" t="str">
            <v>Pr135</v>
          </cell>
        </row>
        <row r="1615">
          <cell r="A1615">
            <v>59136</v>
          </cell>
          <cell r="B1615">
            <v>77</v>
          </cell>
          <cell r="C1615">
            <v>59</v>
          </cell>
          <cell r="D1615">
            <v>786</v>
          </cell>
          <cell r="E1615" t="str">
            <v>Pr136</v>
          </cell>
        </row>
        <row r="1616">
          <cell r="A1616">
            <v>59137</v>
          </cell>
          <cell r="B1616">
            <v>78</v>
          </cell>
          <cell r="C1616">
            <v>59</v>
          </cell>
          <cell r="D1616">
            <v>4608</v>
          </cell>
          <cell r="E1616" t="str">
            <v>Pr137</v>
          </cell>
        </row>
        <row r="1617">
          <cell r="A1617">
            <v>59138</v>
          </cell>
          <cell r="B1617">
            <v>79</v>
          </cell>
          <cell r="C1617">
            <v>59</v>
          </cell>
          <cell r="D1617">
            <v>87</v>
          </cell>
          <cell r="E1617" t="str">
            <v>Pr138</v>
          </cell>
        </row>
        <row r="1618">
          <cell r="A1618">
            <v>59139</v>
          </cell>
          <cell r="B1618">
            <v>80</v>
          </cell>
          <cell r="C1618">
            <v>59</v>
          </cell>
          <cell r="D1618">
            <v>15876</v>
          </cell>
          <cell r="E1618" t="str">
            <v>Pr139</v>
          </cell>
        </row>
        <row r="1619">
          <cell r="A1619">
            <v>59140</v>
          </cell>
          <cell r="B1619">
            <v>81</v>
          </cell>
          <cell r="C1619">
            <v>59</v>
          </cell>
          <cell r="D1619">
            <v>203.4</v>
          </cell>
          <cell r="E1619" t="str">
            <v>Pr140</v>
          </cell>
        </row>
        <row r="1620">
          <cell r="A1620">
            <v>59141</v>
          </cell>
          <cell r="B1620">
            <v>82</v>
          </cell>
          <cell r="C1620">
            <v>59</v>
          </cell>
          <cell r="D1620" t="str">
            <v>STABLE</v>
          </cell>
          <cell r="E1620" t="str">
            <v>Pr141</v>
          </cell>
        </row>
        <row r="1621">
          <cell r="A1621">
            <v>59142</v>
          </cell>
          <cell r="B1621">
            <v>83</v>
          </cell>
          <cell r="C1621">
            <v>59</v>
          </cell>
          <cell r="D1621">
            <v>68832</v>
          </cell>
          <cell r="E1621" t="str">
            <v>Pr142</v>
          </cell>
        </row>
        <row r="1622">
          <cell r="A1622">
            <v>59143</v>
          </cell>
          <cell r="B1622">
            <v>84</v>
          </cell>
          <cell r="C1622">
            <v>59</v>
          </cell>
          <cell r="D1622">
            <v>1172448</v>
          </cell>
          <cell r="E1622" t="str">
            <v>Pr143</v>
          </cell>
        </row>
        <row r="1623">
          <cell r="A1623">
            <v>59144</v>
          </cell>
          <cell r="B1623">
            <v>85</v>
          </cell>
          <cell r="C1623">
            <v>59</v>
          </cell>
          <cell r="D1623">
            <v>1036.8</v>
          </cell>
          <cell r="E1623" t="str">
            <v>Pr144</v>
          </cell>
        </row>
        <row r="1624">
          <cell r="A1624">
            <v>59145</v>
          </cell>
          <cell r="B1624">
            <v>86</v>
          </cell>
          <cell r="C1624">
            <v>59</v>
          </cell>
          <cell r="D1624">
            <v>21542.400000000001</v>
          </cell>
          <cell r="E1624" t="str">
            <v>Pr145</v>
          </cell>
        </row>
        <row r="1625">
          <cell r="A1625">
            <v>59146</v>
          </cell>
          <cell r="B1625">
            <v>87</v>
          </cell>
          <cell r="C1625">
            <v>59</v>
          </cell>
          <cell r="D1625">
            <v>1449</v>
          </cell>
          <cell r="E1625" t="str">
            <v>Pr146</v>
          </cell>
        </row>
        <row r="1626">
          <cell r="A1626">
            <v>59147</v>
          </cell>
          <cell r="B1626">
            <v>88</v>
          </cell>
          <cell r="C1626">
            <v>59</v>
          </cell>
          <cell r="D1626">
            <v>804</v>
          </cell>
          <cell r="E1626" t="str">
            <v>Pr147</v>
          </cell>
        </row>
        <row r="1627">
          <cell r="A1627">
            <v>59148</v>
          </cell>
          <cell r="B1627">
            <v>89</v>
          </cell>
          <cell r="C1627">
            <v>59</v>
          </cell>
          <cell r="D1627">
            <v>137.4</v>
          </cell>
          <cell r="E1627" t="str">
            <v>Pr148</v>
          </cell>
        </row>
        <row r="1628">
          <cell r="A1628">
            <v>59149</v>
          </cell>
          <cell r="B1628">
            <v>90</v>
          </cell>
          <cell r="C1628">
            <v>59</v>
          </cell>
          <cell r="D1628">
            <v>135.6</v>
          </cell>
          <cell r="E1628" t="str">
            <v>Pr149</v>
          </cell>
        </row>
        <row r="1629">
          <cell r="A1629">
            <v>59150</v>
          </cell>
          <cell r="B1629">
            <v>91</v>
          </cell>
          <cell r="C1629">
            <v>59</v>
          </cell>
          <cell r="D1629">
            <v>6.19</v>
          </cell>
          <cell r="E1629" t="str">
            <v>Pr150</v>
          </cell>
        </row>
        <row r="1630">
          <cell r="A1630">
            <v>59151</v>
          </cell>
          <cell r="B1630">
            <v>92</v>
          </cell>
          <cell r="C1630">
            <v>59</v>
          </cell>
          <cell r="D1630">
            <v>18.899999999999999</v>
          </cell>
          <cell r="E1630" t="str">
            <v>Pr151</v>
          </cell>
        </row>
        <row r="1631">
          <cell r="A1631">
            <v>59152</v>
          </cell>
          <cell r="B1631">
            <v>93</v>
          </cell>
          <cell r="C1631">
            <v>59</v>
          </cell>
          <cell r="D1631">
            <v>3.57</v>
          </cell>
          <cell r="E1631" t="str">
            <v>Pr152</v>
          </cell>
        </row>
        <row r="1632">
          <cell r="A1632">
            <v>59153</v>
          </cell>
          <cell r="B1632">
            <v>94</v>
          </cell>
          <cell r="C1632">
            <v>59</v>
          </cell>
          <cell r="D1632">
            <v>4.28</v>
          </cell>
          <cell r="E1632" t="str">
            <v>Pr153</v>
          </cell>
        </row>
        <row r="1633">
          <cell r="A1633">
            <v>59154</v>
          </cell>
          <cell r="B1633">
            <v>95</v>
          </cell>
          <cell r="C1633">
            <v>59</v>
          </cell>
          <cell r="D1633">
            <v>2.2999999999999998</v>
          </cell>
          <cell r="E1633" t="str">
            <v>Pr154</v>
          </cell>
        </row>
        <row r="1634">
          <cell r="A1634">
            <v>59155</v>
          </cell>
          <cell r="B1634">
            <v>96</v>
          </cell>
          <cell r="C1634">
            <v>59</v>
          </cell>
          <cell r="D1634">
            <v>2.9999999999999999E-7</v>
          </cell>
          <cell r="E1634" t="str">
            <v>Pr155</v>
          </cell>
        </row>
        <row r="1635">
          <cell r="A1635">
            <v>59156</v>
          </cell>
          <cell r="B1635">
            <v>97</v>
          </cell>
          <cell r="C1635">
            <v>59</v>
          </cell>
          <cell r="D1635">
            <v>2.9999999999999999E-7</v>
          </cell>
          <cell r="E1635" t="str">
            <v>Pr156</v>
          </cell>
        </row>
        <row r="1636">
          <cell r="A1636">
            <v>60125</v>
          </cell>
          <cell r="B1636">
            <v>65</v>
          </cell>
          <cell r="C1636">
            <v>60</v>
          </cell>
          <cell r="D1636">
            <v>0.65</v>
          </cell>
          <cell r="E1636" t="str">
            <v>Nd125</v>
          </cell>
        </row>
        <row r="1637">
          <cell r="A1637">
            <v>60126</v>
          </cell>
          <cell r="B1637">
            <v>66</v>
          </cell>
          <cell r="C1637">
            <v>60</v>
          </cell>
          <cell r="D1637">
            <v>1.9999999999999999E-7</v>
          </cell>
          <cell r="E1637" t="str">
            <v>Nd126</v>
          </cell>
        </row>
        <row r="1638">
          <cell r="A1638">
            <v>60127</v>
          </cell>
          <cell r="B1638">
            <v>67</v>
          </cell>
          <cell r="C1638">
            <v>60</v>
          </cell>
          <cell r="D1638">
            <v>1.8</v>
          </cell>
          <cell r="E1638" t="str">
            <v>Nd127</v>
          </cell>
        </row>
        <row r="1639">
          <cell r="A1639">
            <v>60128</v>
          </cell>
          <cell r="B1639">
            <v>68</v>
          </cell>
          <cell r="C1639">
            <v>60</v>
          </cell>
          <cell r="D1639">
            <v>5</v>
          </cell>
          <cell r="E1639" t="str">
            <v>Nd128</v>
          </cell>
        </row>
        <row r="1640">
          <cell r="A1640">
            <v>60129</v>
          </cell>
          <cell r="B1640">
            <v>69</v>
          </cell>
          <cell r="C1640">
            <v>60</v>
          </cell>
          <cell r="D1640">
            <v>6.7</v>
          </cell>
          <cell r="E1640" t="str">
            <v>Nd129</v>
          </cell>
        </row>
        <row r="1641">
          <cell r="A1641">
            <v>60130</v>
          </cell>
          <cell r="B1641">
            <v>70</v>
          </cell>
          <cell r="C1641">
            <v>60</v>
          </cell>
          <cell r="D1641">
            <v>21</v>
          </cell>
          <cell r="E1641" t="str">
            <v>Nd130</v>
          </cell>
        </row>
        <row r="1642">
          <cell r="A1642">
            <v>60131</v>
          </cell>
          <cell r="B1642">
            <v>71</v>
          </cell>
          <cell r="C1642">
            <v>60</v>
          </cell>
          <cell r="D1642">
            <v>25.4</v>
          </cell>
          <cell r="E1642" t="str">
            <v>Nd131</v>
          </cell>
        </row>
        <row r="1643">
          <cell r="A1643">
            <v>60132</v>
          </cell>
          <cell r="B1643">
            <v>72</v>
          </cell>
          <cell r="C1643">
            <v>60</v>
          </cell>
          <cell r="D1643">
            <v>94</v>
          </cell>
          <cell r="E1643" t="str">
            <v>Nd132</v>
          </cell>
        </row>
        <row r="1644">
          <cell r="A1644">
            <v>60133</v>
          </cell>
          <cell r="B1644">
            <v>73</v>
          </cell>
          <cell r="C1644">
            <v>60</v>
          </cell>
          <cell r="D1644">
            <v>70</v>
          </cell>
          <cell r="E1644" t="str">
            <v>Nd133</v>
          </cell>
        </row>
        <row r="1645">
          <cell r="A1645">
            <v>60134</v>
          </cell>
          <cell r="B1645">
            <v>74</v>
          </cell>
          <cell r="C1645">
            <v>60</v>
          </cell>
          <cell r="D1645">
            <v>510</v>
          </cell>
          <cell r="E1645" t="str">
            <v>Nd134</v>
          </cell>
        </row>
        <row r="1646">
          <cell r="A1646">
            <v>60135</v>
          </cell>
          <cell r="B1646">
            <v>75</v>
          </cell>
          <cell r="C1646">
            <v>60</v>
          </cell>
          <cell r="D1646">
            <v>744</v>
          </cell>
          <cell r="E1646" t="str">
            <v>Nd135</v>
          </cell>
        </row>
        <row r="1647">
          <cell r="A1647">
            <v>60136</v>
          </cell>
          <cell r="B1647">
            <v>76</v>
          </cell>
          <cell r="C1647">
            <v>60</v>
          </cell>
          <cell r="D1647">
            <v>3039</v>
          </cell>
          <cell r="E1647" t="str">
            <v>Nd136</v>
          </cell>
        </row>
        <row r="1648">
          <cell r="A1648">
            <v>60137</v>
          </cell>
          <cell r="B1648">
            <v>77</v>
          </cell>
          <cell r="C1648">
            <v>60</v>
          </cell>
          <cell r="D1648">
            <v>2310</v>
          </cell>
          <cell r="E1648" t="str">
            <v>Nd137</v>
          </cell>
        </row>
        <row r="1649">
          <cell r="A1649">
            <v>60138</v>
          </cell>
          <cell r="B1649">
            <v>78</v>
          </cell>
          <cell r="C1649">
            <v>60</v>
          </cell>
          <cell r="D1649">
            <v>18144</v>
          </cell>
          <cell r="E1649" t="str">
            <v>Nd138</v>
          </cell>
        </row>
        <row r="1650">
          <cell r="A1650">
            <v>60139</v>
          </cell>
          <cell r="B1650">
            <v>79</v>
          </cell>
          <cell r="C1650">
            <v>60</v>
          </cell>
          <cell r="D1650">
            <v>1782</v>
          </cell>
          <cell r="E1650" t="str">
            <v>Nd139</v>
          </cell>
        </row>
        <row r="1651">
          <cell r="A1651">
            <v>60140</v>
          </cell>
          <cell r="B1651">
            <v>80</v>
          </cell>
          <cell r="C1651">
            <v>60</v>
          </cell>
          <cell r="D1651">
            <v>291168</v>
          </cell>
          <cell r="E1651" t="str">
            <v>Nd140</v>
          </cell>
        </row>
        <row r="1652">
          <cell r="A1652">
            <v>60141</v>
          </cell>
          <cell r="B1652">
            <v>81</v>
          </cell>
          <cell r="C1652">
            <v>60</v>
          </cell>
          <cell r="D1652">
            <v>8964</v>
          </cell>
          <cell r="E1652" t="str">
            <v>Nd141</v>
          </cell>
        </row>
        <row r="1653">
          <cell r="A1653">
            <v>60142</v>
          </cell>
          <cell r="B1653">
            <v>82</v>
          </cell>
          <cell r="C1653">
            <v>60</v>
          </cell>
          <cell r="D1653" t="str">
            <v>STABLE</v>
          </cell>
          <cell r="E1653" t="str">
            <v>Nd142</v>
          </cell>
        </row>
        <row r="1654">
          <cell r="A1654">
            <v>60143</v>
          </cell>
          <cell r="B1654">
            <v>83</v>
          </cell>
          <cell r="C1654">
            <v>60</v>
          </cell>
          <cell r="D1654" t="str">
            <v>STABLE</v>
          </cell>
          <cell r="E1654" t="str">
            <v>Nd143</v>
          </cell>
        </row>
        <row r="1655">
          <cell r="A1655">
            <v>60144</v>
          </cell>
          <cell r="B1655">
            <v>84</v>
          </cell>
          <cell r="C1655">
            <v>60</v>
          </cell>
          <cell r="D1655">
            <v>7.2266904000000002E+22</v>
          </cell>
          <cell r="E1655" t="str">
            <v>Nd144</v>
          </cell>
        </row>
        <row r="1656">
          <cell r="A1656">
            <v>60145</v>
          </cell>
          <cell r="B1656">
            <v>85</v>
          </cell>
          <cell r="C1656">
            <v>60</v>
          </cell>
          <cell r="D1656" t="str">
            <v>STABLE</v>
          </cell>
          <cell r="E1656" t="str">
            <v>Nd145</v>
          </cell>
        </row>
        <row r="1657">
          <cell r="A1657">
            <v>60146</v>
          </cell>
          <cell r="B1657">
            <v>86</v>
          </cell>
          <cell r="C1657">
            <v>60</v>
          </cell>
          <cell r="D1657" t="str">
            <v>STABLE</v>
          </cell>
          <cell r="E1657" t="str">
            <v>Nd146</v>
          </cell>
        </row>
        <row r="1658">
          <cell r="A1658">
            <v>60147</v>
          </cell>
          <cell r="B1658">
            <v>87</v>
          </cell>
          <cell r="C1658">
            <v>60</v>
          </cell>
          <cell r="D1658">
            <v>948672</v>
          </cell>
          <cell r="E1658" t="str">
            <v>Nd147</v>
          </cell>
        </row>
        <row r="1659">
          <cell r="A1659">
            <v>60148</v>
          </cell>
          <cell r="B1659">
            <v>88</v>
          </cell>
          <cell r="C1659">
            <v>60</v>
          </cell>
          <cell r="D1659" t="str">
            <v>STABLE</v>
          </cell>
          <cell r="E1659" t="str">
            <v>Nd148</v>
          </cell>
        </row>
        <row r="1660">
          <cell r="A1660">
            <v>60149</v>
          </cell>
          <cell r="B1660">
            <v>89</v>
          </cell>
          <cell r="C1660">
            <v>60</v>
          </cell>
          <cell r="D1660">
            <v>6220.8</v>
          </cell>
          <cell r="E1660" t="str">
            <v>Nd149</v>
          </cell>
        </row>
        <row r="1661">
          <cell r="A1661">
            <v>60150</v>
          </cell>
          <cell r="B1661">
            <v>90</v>
          </cell>
          <cell r="C1661">
            <v>60</v>
          </cell>
          <cell r="D1661">
            <v>2.8717416000000001E+26</v>
          </cell>
          <cell r="E1661" t="str">
            <v>Nd150</v>
          </cell>
        </row>
        <row r="1662">
          <cell r="A1662">
            <v>60151</v>
          </cell>
          <cell r="B1662">
            <v>91</v>
          </cell>
          <cell r="C1662">
            <v>60</v>
          </cell>
          <cell r="D1662">
            <v>746.4</v>
          </cell>
          <cell r="E1662" t="str">
            <v>Nd151</v>
          </cell>
        </row>
        <row r="1663">
          <cell r="A1663">
            <v>60152</v>
          </cell>
          <cell r="B1663">
            <v>92</v>
          </cell>
          <cell r="C1663">
            <v>60</v>
          </cell>
          <cell r="D1663">
            <v>684</v>
          </cell>
          <cell r="E1663" t="str">
            <v>Nd152</v>
          </cell>
        </row>
        <row r="1664">
          <cell r="A1664">
            <v>60153</v>
          </cell>
          <cell r="B1664">
            <v>93</v>
          </cell>
          <cell r="C1664">
            <v>60</v>
          </cell>
          <cell r="D1664">
            <v>31.6</v>
          </cell>
          <cell r="E1664" t="str">
            <v>Nd153</v>
          </cell>
        </row>
        <row r="1665">
          <cell r="A1665">
            <v>60154</v>
          </cell>
          <cell r="B1665">
            <v>94</v>
          </cell>
          <cell r="C1665">
            <v>60</v>
          </cell>
          <cell r="D1665">
            <v>25.9</v>
          </cell>
          <cell r="E1665" t="str">
            <v>Nd154</v>
          </cell>
        </row>
        <row r="1666">
          <cell r="A1666">
            <v>60155</v>
          </cell>
          <cell r="B1666">
            <v>95</v>
          </cell>
          <cell r="C1666">
            <v>60</v>
          </cell>
          <cell r="D1666">
            <v>8.9</v>
          </cell>
          <cell r="E1666" t="str">
            <v>Nd155</v>
          </cell>
        </row>
        <row r="1667">
          <cell r="A1667">
            <v>60156</v>
          </cell>
          <cell r="B1667">
            <v>96</v>
          </cell>
          <cell r="C1667">
            <v>60</v>
          </cell>
          <cell r="D1667">
            <v>5.0599999999999996</v>
          </cell>
          <cell r="E1667" t="str">
            <v>Nd156</v>
          </cell>
        </row>
        <row r="1668">
          <cell r="A1668">
            <v>60157</v>
          </cell>
          <cell r="B1668">
            <v>97</v>
          </cell>
          <cell r="C1668">
            <v>60</v>
          </cell>
          <cell r="D1668">
            <v>0.1</v>
          </cell>
          <cell r="E1668" t="str">
            <v>Nd157</v>
          </cell>
        </row>
        <row r="1669">
          <cell r="A1669">
            <v>60158</v>
          </cell>
          <cell r="B1669">
            <v>98</v>
          </cell>
          <cell r="C1669">
            <v>60</v>
          </cell>
          <cell r="D1669">
            <v>1.6E-7</v>
          </cell>
          <cell r="E1669" t="str">
            <v>Nd158</v>
          </cell>
        </row>
        <row r="1670">
          <cell r="A1670">
            <v>60159</v>
          </cell>
          <cell r="B1670">
            <v>99</v>
          </cell>
          <cell r="C1670">
            <v>60</v>
          </cell>
          <cell r="D1670">
            <v>1.6E-7</v>
          </cell>
          <cell r="E1670" t="str">
            <v>Nd159</v>
          </cell>
        </row>
        <row r="1671">
          <cell r="A1671">
            <v>60160</v>
          </cell>
          <cell r="B1671">
            <v>100</v>
          </cell>
          <cell r="C1671">
            <v>60</v>
          </cell>
          <cell r="D1671">
            <v>1.6E-7</v>
          </cell>
          <cell r="E1671" t="str">
            <v>Nd160</v>
          </cell>
        </row>
        <row r="1672">
          <cell r="A1672">
            <v>60161</v>
          </cell>
          <cell r="B1672">
            <v>101</v>
          </cell>
          <cell r="C1672">
            <v>60</v>
          </cell>
          <cell r="D1672">
            <v>1.6E-7</v>
          </cell>
          <cell r="E1672" t="str">
            <v>Nd161</v>
          </cell>
        </row>
        <row r="1673">
          <cell r="A1673">
            <v>61128</v>
          </cell>
          <cell r="B1673">
            <v>67</v>
          </cell>
          <cell r="C1673">
            <v>61</v>
          </cell>
          <cell r="D1673">
            <v>1</v>
          </cell>
          <cell r="E1673" t="str">
            <v>Pm128</v>
          </cell>
        </row>
        <row r="1674">
          <cell r="A1674">
            <v>61129</v>
          </cell>
          <cell r="B1674">
            <v>68</v>
          </cell>
          <cell r="C1674">
            <v>61</v>
          </cell>
          <cell r="D1674">
            <v>2.4</v>
          </cell>
          <cell r="E1674" t="str">
            <v>Pm129</v>
          </cell>
        </row>
        <row r="1675">
          <cell r="A1675">
            <v>61130</v>
          </cell>
          <cell r="B1675">
            <v>69</v>
          </cell>
          <cell r="C1675">
            <v>61</v>
          </cell>
          <cell r="D1675">
            <v>2.6</v>
          </cell>
          <cell r="E1675" t="str">
            <v>Pm130</v>
          </cell>
        </row>
        <row r="1676">
          <cell r="A1676">
            <v>61131</v>
          </cell>
          <cell r="B1676">
            <v>70</v>
          </cell>
          <cell r="C1676">
            <v>61</v>
          </cell>
          <cell r="D1676">
            <v>6.3</v>
          </cell>
          <cell r="E1676" t="str">
            <v>Pm131</v>
          </cell>
        </row>
        <row r="1677">
          <cell r="A1677">
            <v>61132</v>
          </cell>
          <cell r="B1677">
            <v>71</v>
          </cell>
          <cell r="C1677">
            <v>61</v>
          </cell>
          <cell r="D1677">
            <v>6.2</v>
          </cell>
          <cell r="E1677" t="str">
            <v>Pm132</v>
          </cell>
        </row>
        <row r="1678">
          <cell r="A1678">
            <v>61133</v>
          </cell>
          <cell r="B1678">
            <v>72</v>
          </cell>
          <cell r="C1678">
            <v>61</v>
          </cell>
          <cell r="D1678">
            <v>13.5</v>
          </cell>
          <cell r="E1678" t="str">
            <v>Pm133</v>
          </cell>
        </row>
        <row r="1679">
          <cell r="A1679">
            <v>61134</v>
          </cell>
          <cell r="B1679">
            <v>73</v>
          </cell>
          <cell r="C1679">
            <v>61</v>
          </cell>
          <cell r="D1679">
            <v>5</v>
          </cell>
          <cell r="E1679" t="str">
            <v>Pm134</v>
          </cell>
        </row>
        <row r="1680">
          <cell r="A1680">
            <v>61135</v>
          </cell>
          <cell r="B1680">
            <v>74</v>
          </cell>
          <cell r="C1680">
            <v>61</v>
          </cell>
          <cell r="D1680">
            <v>49</v>
          </cell>
          <cell r="E1680" t="str">
            <v>Pm135</v>
          </cell>
        </row>
        <row r="1681">
          <cell r="A1681">
            <v>61136</v>
          </cell>
          <cell r="B1681">
            <v>75</v>
          </cell>
          <cell r="C1681">
            <v>61</v>
          </cell>
          <cell r="D1681">
            <v>107</v>
          </cell>
          <cell r="E1681" t="str">
            <v>Pm136</v>
          </cell>
        </row>
        <row r="1682">
          <cell r="A1682">
            <v>61137</v>
          </cell>
          <cell r="B1682">
            <v>76</v>
          </cell>
          <cell r="C1682">
            <v>61</v>
          </cell>
          <cell r="D1682">
            <v>144</v>
          </cell>
          <cell r="E1682" t="str">
            <v>Pm137</v>
          </cell>
        </row>
        <row r="1683">
          <cell r="A1683">
            <v>61138</v>
          </cell>
          <cell r="B1683">
            <v>77</v>
          </cell>
          <cell r="C1683">
            <v>61</v>
          </cell>
          <cell r="D1683">
            <v>10</v>
          </cell>
          <cell r="E1683" t="str">
            <v>Pm138</v>
          </cell>
        </row>
        <row r="1684">
          <cell r="A1684">
            <v>61139</v>
          </cell>
          <cell r="B1684">
            <v>78</v>
          </cell>
          <cell r="C1684">
            <v>61</v>
          </cell>
          <cell r="D1684">
            <v>249</v>
          </cell>
          <cell r="E1684" t="str">
            <v>Pm139</v>
          </cell>
        </row>
        <row r="1685">
          <cell r="A1685">
            <v>61140</v>
          </cell>
          <cell r="B1685">
            <v>79</v>
          </cell>
          <cell r="C1685">
            <v>61</v>
          </cell>
          <cell r="D1685">
            <v>9.1999999999999993</v>
          </cell>
          <cell r="E1685" t="str">
            <v>Pm140</v>
          </cell>
        </row>
        <row r="1686">
          <cell r="A1686">
            <v>61141</v>
          </cell>
          <cell r="B1686">
            <v>80</v>
          </cell>
          <cell r="C1686">
            <v>61</v>
          </cell>
          <cell r="D1686">
            <v>1254</v>
          </cell>
          <cell r="E1686" t="str">
            <v>Pm141</v>
          </cell>
        </row>
        <row r="1687">
          <cell r="A1687">
            <v>61142</v>
          </cell>
          <cell r="B1687">
            <v>81</v>
          </cell>
          <cell r="C1687">
            <v>61</v>
          </cell>
          <cell r="D1687">
            <v>40.5</v>
          </cell>
          <cell r="E1687" t="str">
            <v>Pm142</v>
          </cell>
        </row>
        <row r="1688">
          <cell r="A1688">
            <v>61143</v>
          </cell>
          <cell r="B1688">
            <v>82</v>
          </cell>
          <cell r="C1688">
            <v>61</v>
          </cell>
          <cell r="D1688">
            <v>22896000</v>
          </cell>
          <cell r="E1688" t="str">
            <v>Pm143</v>
          </cell>
        </row>
        <row r="1689">
          <cell r="A1689">
            <v>61144</v>
          </cell>
          <cell r="B1689">
            <v>83</v>
          </cell>
          <cell r="C1689">
            <v>61</v>
          </cell>
          <cell r="D1689">
            <v>31363200</v>
          </cell>
          <cell r="E1689" t="str">
            <v>Pm144</v>
          </cell>
        </row>
        <row r="1690">
          <cell r="A1690">
            <v>61145</v>
          </cell>
          <cell r="B1690">
            <v>84</v>
          </cell>
          <cell r="C1690">
            <v>61</v>
          </cell>
          <cell r="D1690">
            <v>558569520</v>
          </cell>
          <cell r="E1690" t="str">
            <v>Pm145</v>
          </cell>
        </row>
        <row r="1691">
          <cell r="A1691">
            <v>61146</v>
          </cell>
          <cell r="B1691">
            <v>85</v>
          </cell>
          <cell r="C1691">
            <v>61</v>
          </cell>
          <cell r="D1691">
            <v>174513528</v>
          </cell>
          <cell r="E1691" t="str">
            <v>Pm146</v>
          </cell>
        </row>
        <row r="1692">
          <cell r="A1692">
            <v>61147</v>
          </cell>
          <cell r="B1692">
            <v>86</v>
          </cell>
          <cell r="C1692">
            <v>61</v>
          </cell>
          <cell r="D1692">
            <v>82788207.840000004</v>
          </cell>
          <cell r="E1692" t="str">
            <v>Pm147</v>
          </cell>
        </row>
        <row r="1693">
          <cell r="A1693">
            <v>61148</v>
          </cell>
          <cell r="B1693">
            <v>87</v>
          </cell>
          <cell r="C1693">
            <v>61</v>
          </cell>
          <cell r="D1693">
            <v>463795.20000000001</v>
          </cell>
          <cell r="E1693" t="str">
            <v>Pm148</v>
          </cell>
        </row>
        <row r="1694">
          <cell r="A1694">
            <v>61149</v>
          </cell>
          <cell r="B1694">
            <v>88</v>
          </cell>
          <cell r="C1694">
            <v>61</v>
          </cell>
          <cell r="D1694">
            <v>191088</v>
          </cell>
          <cell r="E1694" t="str">
            <v>Pm149</v>
          </cell>
        </row>
        <row r="1695">
          <cell r="A1695">
            <v>61150</v>
          </cell>
          <cell r="B1695">
            <v>89</v>
          </cell>
          <cell r="C1695">
            <v>61</v>
          </cell>
          <cell r="D1695">
            <v>9712.7999999999993</v>
          </cell>
          <cell r="E1695" t="str">
            <v>Pm150</v>
          </cell>
        </row>
        <row r="1696">
          <cell r="A1696">
            <v>61151</v>
          </cell>
          <cell r="B1696">
            <v>90</v>
          </cell>
          <cell r="C1696">
            <v>61</v>
          </cell>
          <cell r="D1696">
            <v>102240</v>
          </cell>
          <cell r="E1696" t="str">
            <v>Pm151</v>
          </cell>
        </row>
        <row r="1697">
          <cell r="A1697">
            <v>61152</v>
          </cell>
          <cell r="B1697">
            <v>91</v>
          </cell>
          <cell r="C1697">
            <v>61</v>
          </cell>
          <cell r="D1697">
            <v>247.2</v>
          </cell>
          <cell r="E1697" t="str">
            <v>Pm152</v>
          </cell>
        </row>
        <row r="1698">
          <cell r="A1698">
            <v>61153</v>
          </cell>
          <cell r="B1698">
            <v>92</v>
          </cell>
          <cell r="C1698">
            <v>61</v>
          </cell>
          <cell r="D1698">
            <v>315</v>
          </cell>
          <cell r="E1698" t="str">
            <v>Pm153</v>
          </cell>
        </row>
        <row r="1699">
          <cell r="A1699">
            <v>61154</v>
          </cell>
          <cell r="B1699">
            <v>93</v>
          </cell>
          <cell r="C1699">
            <v>61</v>
          </cell>
          <cell r="D1699">
            <v>160.80000000000001</v>
          </cell>
          <cell r="E1699" t="str">
            <v>Pm154</v>
          </cell>
        </row>
        <row r="1700">
          <cell r="A1700">
            <v>61155</v>
          </cell>
          <cell r="B1700">
            <v>94</v>
          </cell>
          <cell r="C1700">
            <v>61</v>
          </cell>
          <cell r="D1700">
            <v>41.5</v>
          </cell>
          <cell r="E1700" t="str">
            <v>Pm155</v>
          </cell>
        </row>
        <row r="1701">
          <cell r="A1701">
            <v>61156</v>
          </cell>
          <cell r="B1701">
            <v>95</v>
          </cell>
          <cell r="C1701">
            <v>61</v>
          </cell>
          <cell r="D1701">
            <v>26.7</v>
          </cell>
          <cell r="E1701" t="str">
            <v>Pm156</v>
          </cell>
        </row>
        <row r="1702">
          <cell r="A1702">
            <v>61157</v>
          </cell>
          <cell r="B1702">
            <v>96</v>
          </cell>
          <cell r="C1702">
            <v>61</v>
          </cell>
          <cell r="D1702">
            <v>10.56</v>
          </cell>
          <cell r="E1702" t="str">
            <v>Pm157</v>
          </cell>
        </row>
        <row r="1703">
          <cell r="A1703">
            <v>61158</v>
          </cell>
          <cell r="B1703">
            <v>97</v>
          </cell>
          <cell r="C1703">
            <v>61</v>
          </cell>
          <cell r="D1703">
            <v>4.8</v>
          </cell>
          <cell r="E1703" t="str">
            <v>Pm158</v>
          </cell>
        </row>
        <row r="1704">
          <cell r="A1704">
            <v>61159</v>
          </cell>
          <cell r="B1704">
            <v>98</v>
          </cell>
          <cell r="C1704">
            <v>61</v>
          </cell>
          <cell r="D1704">
            <v>1.5</v>
          </cell>
          <cell r="E1704" t="str">
            <v>Pm159</v>
          </cell>
        </row>
        <row r="1705">
          <cell r="A1705">
            <v>61160</v>
          </cell>
          <cell r="B1705">
            <v>99</v>
          </cell>
          <cell r="C1705">
            <v>61</v>
          </cell>
          <cell r="D1705">
            <v>1.6E-7</v>
          </cell>
          <cell r="E1705" t="str">
            <v>Pm160</v>
          </cell>
        </row>
        <row r="1706">
          <cell r="A1706">
            <v>61161</v>
          </cell>
          <cell r="B1706">
            <v>100</v>
          </cell>
          <cell r="C1706">
            <v>61</v>
          </cell>
          <cell r="D1706">
            <v>1.6E-7</v>
          </cell>
          <cell r="E1706" t="str">
            <v>Pm161</v>
          </cell>
        </row>
        <row r="1707">
          <cell r="A1707">
            <v>61162</v>
          </cell>
          <cell r="B1707">
            <v>101</v>
          </cell>
          <cell r="C1707">
            <v>61</v>
          </cell>
          <cell r="D1707">
            <v>1.6E-7</v>
          </cell>
          <cell r="E1707" t="str">
            <v>Pm162</v>
          </cell>
        </row>
        <row r="1708">
          <cell r="A1708">
            <v>61163</v>
          </cell>
          <cell r="B1708">
            <v>102</v>
          </cell>
          <cell r="C1708">
            <v>61</v>
          </cell>
          <cell r="D1708">
            <v>1.6E-7</v>
          </cell>
          <cell r="E1708" t="str">
            <v>Pm163</v>
          </cell>
        </row>
        <row r="1709">
          <cell r="A1709">
            <v>62129</v>
          </cell>
          <cell r="B1709">
            <v>67</v>
          </cell>
          <cell r="C1709">
            <v>62</v>
          </cell>
          <cell r="D1709">
            <v>0.55000000000000004</v>
          </cell>
          <cell r="E1709" t="str">
            <v>Sm129</v>
          </cell>
        </row>
        <row r="1710">
          <cell r="A1710">
            <v>62131</v>
          </cell>
          <cell r="B1710">
            <v>69</v>
          </cell>
          <cell r="C1710">
            <v>62</v>
          </cell>
          <cell r="D1710">
            <v>1.2</v>
          </cell>
          <cell r="E1710" t="str">
            <v>Sm131</v>
          </cell>
        </row>
        <row r="1711">
          <cell r="A1711">
            <v>62132</v>
          </cell>
          <cell r="B1711">
            <v>70</v>
          </cell>
          <cell r="C1711">
            <v>62</v>
          </cell>
          <cell r="D1711">
            <v>4</v>
          </cell>
          <cell r="E1711" t="str">
            <v>Sm132</v>
          </cell>
        </row>
        <row r="1712">
          <cell r="A1712">
            <v>62133</v>
          </cell>
          <cell r="B1712">
            <v>71</v>
          </cell>
          <cell r="C1712">
            <v>62</v>
          </cell>
          <cell r="D1712">
            <v>2.89</v>
          </cell>
          <cell r="E1712" t="str">
            <v>Sm133</v>
          </cell>
        </row>
        <row r="1713">
          <cell r="A1713">
            <v>62134</v>
          </cell>
          <cell r="B1713">
            <v>72</v>
          </cell>
          <cell r="C1713">
            <v>62</v>
          </cell>
          <cell r="D1713">
            <v>9.5</v>
          </cell>
          <cell r="E1713" t="str">
            <v>Sm134</v>
          </cell>
        </row>
        <row r="1714">
          <cell r="A1714">
            <v>62135</v>
          </cell>
          <cell r="B1714">
            <v>73</v>
          </cell>
          <cell r="C1714">
            <v>62</v>
          </cell>
          <cell r="D1714">
            <v>10.3</v>
          </cell>
          <cell r="E1714" t="str">
            <v>Sm135</v>
          </cell>
        </row>
        <row r="1715">
          <cell r="A1715">
            <v>62136</v>
          </cell>
          <cell r="B1715">
            <v>74</v>
          </cell>
          <cell r="C1715">
            <v>62</v>
          </cell>
          <cell r="D1715">
            <v>47</v>
          </cell>
          <cell r="E1715" t="str">
            <v>Sm136</v>
          </cell>
        </row>
        <row r="1716">
          <cell r="A1716">
            <v>62137</v>
          </cell>
          <cell r="B1716">
            <v>75</v>
          </cell>
          <cell r="C1716">
            <v>62</v>
          </cell>
          <cell r="D1716">
            <v>45</v>
          </cell>
          <cell r="E1716" t="str">
            <v>Sm137</v>
          </cell>
        </row>
        <row r="1717">
          <cell r="A1717">
            <v>62138</v>
          </cell>
          <cell r="B1717">
            <v>76</v>
          </cell>
          <cell r="C1717">
            <v>62</v>
          </cell>
          <cell r="D1717">
            <v>186</v>
          </cell>
          <cell r="E1717" t="str">
            <v>Sm138</v>
          </cell>
        </row>
        <row r="1718">
          <cell r="A1718">
            <v>62139</v>
          </cell>
          <cell r="B1718">
            <v>77</v>
          </cell>
          <cell r="C1718">
            <v>62</v>
          </cell>
          <cell r="D1718">
            <v>154.19999999999999</v>
          </cell>
          <cell r="E1718" t="str">
            <v>Sm139</v>
          </cell>
        </row>
        <row r="1719">
          <cell r="A1719">
            <v>62140</v>
          </cell>
          <cell r="B1719">
            <v>78</v>
          </cell>
          <cell r="C1719">
            <v>62</v>
          </cell>
          <cell r="D1719">
            <v>889.2</v>
          </cell>
          <cell r="E1719" t="str">
            <v>Sm140</v>
          </cell>
        </row>
        <row r="1720">
          <cell r="A1720">
            <v>62141</v>
          </cell>
          <cell r="B1720">
            <v>79</v>
          </cell>
          <cell r="C1720">
            <v>62</v>
          </cell>
          <cell r="D1720">
            <v>612</v>
          </cell>
          <cell r="E1720" t="str">
            <v>Sm141</v>
          </cell>
        </row>
        <row r="1721">
          <cell r="A1721">
            <v>62142</v>
          </cell>
          <cell r="B1721">
            <v>80</v>
          </cell>
          <cell r="C1721">
            <v>62</v>
          </cell>
          <cell r="D1721">
            <v>4349.3999999999996</v>
          </cell>
          <cell r="E1721" t="str">
            <v>Sm142</v>
          </cell>
        </row>
        <row r="1722">
          <cell r="A1722">
            <v>62143</v>
          </cell>
          <cell r="B1722">
            <v>81</v>
          </cell>
          <cell r="C1722">
            <v>62</v>
          </cell>
          <cell r="D1722">
            <v>525</v>
          </cell>
          <cell r="E1722" t="str">
            <v>Sm143</v>
          </cell>
        </row>
        <row r="1723">
          <cell r="A1723">
            <v>62144</v>
          </cell>
          <cell r="B1723">
            <v>82</v>
          </cell>
          <cell r="C1723">
            <v>62</v>
          </cell>
          <cell r="D1723" t="str">
            <v>STABLE</v>
          </cell>
          <cell r="E1723" t="str">
            <v>Sm144</v>
          </cell>
        </row>
        <row r="1724">
          <cell r="A1724">
            <v>62145</v>
          </cell>
          <cell r="B1724">
            <v>83</v>
          </cell>
          <cell r="C1724">
            <v>62</v>
          </cell>
          <cell r="D1724">
            <v>29376000</v>
          </cell>
          <cell r="E1724" t="str">
            <v>Sm145</v>
          </cell>
        </row>
        <row r="1725">
          <cell r="A1725">
            <v>62146</v>
          </cell>
          <cell r="B1725">
            <v>84</v>
          </cell>
          <cell r="C1725">
            <v>62</v>
          </cell>
          <cell r="D1725">
            <v>3250432800000000</v>
          </cell>
          <cell r="E1725" t="str">
            <v>Sm146</v>
          </cell>
        </row>
        <row r="1726">
          <cell r="A1726">
            <v>62147</v>
          </cell>
          <cell r="B1726">
            <v>85</v>
          </cell>
          <cell r="C1726">
            <v>62</v>
          </cell>
          <cell r="D1726">
            <v>3.3451056E+18</v>
          </cell>
          <cell r="E1726" t="str">
            <v>Sm147</v>
          </cell>
        </row>
        <row r="1727">
          <cell r="A1727">
            <v>62148</v>
          </cell>
          <cell r="B1727">
            <v>86</v>
          </cell>
          <cell r="C1727">
            <v>62</v>
          </cell>
          <cell r="D1727">
            <v>2.2090319999999999E+23</v>
          </cell>
          <cell r="E1727" t="str">
            <v>Sm148</v>
          </cell>
        </row>
        <row r="1728">
          <cell r="A1728">
            <v>62149</v>
          </cell>
          <cell r="B1728">
            <v>87</v>
          </cell>
          <cell r="C1728">
            <v>62</v>
          </cell>
          <cell r="D1728" t="str">
            <v>STABLE</v>
          </cell>
          <cell r="E1728" t="str">
            <v>Sm149</v>
          </cell>
        </row>
        <row r="1729">
          <cell r="A1729">
            <v>62150</v>
          </cell>
          <cell r="B1729">
            <v>88</v>
          </cell>
          <cell r="C1729">
            <v>62</v>
          </cell>
          <cell r="D1729" t="str">
            <v>STABLE</v>
          </cell>
          <cell r="E1729" t="str">
            <v>Sm150</v>
          </cell>
        </row>
        <row r="1730">
          <cell r="A1730">
            <v>62151</v>
          </cell>
          <cell r="B1730">
            <v>89</v>
          </cell>
          <cell r="C1730">
            <v>62</v>
          </cell>
          <cell r="D1730">
            <v>2840184000</v>
          </cell>
          <cell r="E1730" t="str">
            <v>Sm151</v>
          </cell>
        </row>
        <row r="1731">
          <cell r="A1731">
            <v>62152</v>
          </cell>
          <cell r="B1731">
            <v>90</v>
          </cell>
          <cell r="C1731">
            <v>62</v>
          </cell>
          <cell r="D1731" t="str">
            <v>STABLE</v>
          </cell>
          <cell r="E1731" t="str">
            <v>Sm152</v>
          </cell>
        </row>
        <row r="1732">
          <cell r="A1732">
            <v>62153</v>
          </cell>
          <cell r="B1732">
            <v>91</v>
          </cell>
          <cell r="C1732">
            <v>62</v>
          </cell>
          <cell r="D1732">
            <v>166622.39999999999</v>
          </cell>
          <cell r="E1732" t="str">
            <v>Sm153</v>
          </cell>
        </row>
        <row r="1733">
          <cell r="A1733">
            <v>62154</v>
          </cell>
          <cell r="B1733">
            <v>92</v>
          </cell>
          <cell r="C1733">
            <v>62</v>
          </cell>
          <cell r="D1733" t="str">
            <v>STABLE</v>
          </cell>
          <cell r="E1733" t="str">
            <v>Sm154</v>
          </cell>
        </row>
        <row r="1734">
          <cell r="A1734">
            <v>62155</v>
          </cell>
          <cell r="B1734">
            <v>93</v>
          </cell>
          <cell r="C1734">
            <v>62</v>
          </cell>
          <cell r="D1734">
            <v>1338</v>
          </cell>
          <cell r="E1734" t="str">
            <v>Sm155</v>
          </cell>
        </row>
        <row r="1735">
          <cell r="A1735">
            <v>62156</v>
          </cell>
          <cell r="B1735">
            <v>94</v>
          </cell>
          <cell r="C1735">
            <v>62</v>
          </cell>
          <cell r="D1735">
            <v>33840</v>
          </cell>
          <cell r="E1735" t="str">
            <v>Sm156</v>
          </cell>
        </row>
        <row r="1736">
          <cell r="A1736">
            <v>62157</v>
          </cell>
          <cell r="B1736">
            <v>95</v>
          </cell>
          <cell r="C1736">
            <v>62</v>
          </cell>
          <cell r="D1736">
            <v>481.79999999999899</v>
          </cell>
          <cell r="E1736" t="str">
            <v>Sm157</v>
          </cell>
        </row>
        <row r="1737">
          <cell r="A1737">
            <v>62158</v>
          </cell>
          <cell r="B1737">
            <v>96</v>
          </cell>
          <cell r="C1737">
            <v>62</v>
          </cell>
          <cell r="D1737">
            <v>318</v>
          </cell>
          <cell r="E1737" t="str">
            <v>Sm158</v>
          </cell>
        </row>
        <row r="1738">
          <cell r="A1738">
            <v>62159</v>
          </cell>
          <cell r="B1738">
            <v>97</v>
          </cell>
          <cell r="C1738">
            <v>62</v>
          </cell>
          <cell r="D1738">
            <v>11.37</v>
          </cell>
          <cell r="E1738" t="str">
            <v>Sm159</v>
          </cell>
        </row>
        <row r="1739">
          <cell r="A1739">
            <v>62160</v>
          </cell>
          <cell r="B1739">
            <v>98</v>
          </cell>
          <cell r="C1739">
            <v>62</v>
          </cell>
          <cell r="D1739">
            <v>9.6</v>
          </cell>
          <cell r="E1739" t="str">
            <v>Sm160</v>
          </cell>
        </row>
        <row r="1740">
          <cell r="A1740">
            <v>62161</v>
          </cell>
          <cell r="B1740">
            <v>99</v>
          </cell>
          <cell r="C1740">
            <v>62</v>
          </cell>
          <cell r="D1740">
            <v>4.8</v>
          </cell>
          <cell r="E1740" t="str">
            <v>Sm161</v>
          </cell>
        </row>
        <row r="1741">
          <cell r="A1741">
            <v>62162</v>
          </cell>
          <cell r="B1741">
            <v>100</v>
          </cell>
          <cell r="C1741">
            <v>62</v>
          </cell>
          <cell r="D1741">
            <v>2.4</v>
          </cell>
          <cell r="E1741" t="str">
            <v>Sm162</v>
          </cell>
        </row>
        <row r="1742">
          <cell r="A1742">
            <v>62163</v>
          </cell>
          <cell r="B1742">
            <v>101</v>
          </cell>
          <cell r="C1742">
            <v>62</v>
          </cell>
          <cell r="D1742">
            <v>1.6E-7</v>
          </cell>
          <cell r="E1742" t="str">
            <v>Sm163</v>
          </cell>
        </row>
        <row r="1743">
          <cell r="A1743">
            <v>62164</v>
          </cell>
          <cell r="B1743">
            <v>102</v>
          </cell>
          <cell r="C1743">
            <v>62</v>
          </cell>
          <cell r="D1743">
            <v>1.6E-7</v>
          </cell>
          <cell r="E1743" t="str">
            <v>Sm164</v>
          </cell>
        </row>
        <row r="1744">
          <cell r="A1744">
            <v>62165</v>
          </cell>
          <cell r="B1744">
            <v>103</v>
          </cell>
          <cell r="C1744">
            <v>62</v>
          </cell>
          <cell r="D1744">
            <v>1.6E-7</v>
          </cell>
          <cell r="E1744" t="str">
            <v>Sm165</v>
          </cell>
        </row>
        <row r="1745">
          <cell r="A1745">
            <v>63130</v>
          </cell>
          <cell r="B1745">
            <v>67</v>
          </cell>
          <cell r="C1745">
            <v>63</v>
          </cell>
          <cell r="D1745">
            <v>8.9999999999999998E-4</v>
          </cell>
          <cell r="E1745" t="str">
            <v>Eu130</v>
          </cell>
        </row>
        <row r="1746">
          <cell r="A1746">
            <v>63131</v>
          </cell>
          <cell r="B1746">
            <v>68</v>
          </cell>
          <cell r="C1746">
            <v>63</v>
          </cell>
          <cell r="D1746">
            <v>1.78E-2</v>
          </cell>
          <cell r="E1746" t="str">
            <v>Eu131</v>
          </cell>
        </row>
        <row r="1747">
          <cell r="A1747">
            <v>63134</v>
          </cell>
          <cell r="B1747">
            <v>71</v>
          </cell>
          <cell r="C1747">
            <v>63</v>
          </cell>
          <cell r="D1747">
            <v>0.5</v>
          </cell>
          <cell r="E1747" t="str">
            <v>Eu134</v>
          </cell>
        </row>
        <row r="1748">
          <cell r="A1748">
            <v>63135</v>
          </cell>
          <cell r="B1748">
            <v>72</v>
          </cell>
          <cell r="C1748">
            <v>63</v>
          </cell>
          <cell r="D1748">
            <v>1.5</v>
          </cell>
          <cell r="E1748" t="str">
            <v>Eu135</v>
          </cell>
        </row>
        <row r="1749">
          <cell r="A1749">
            <v>63136</v>
          </cell>
          <cell r="B1749">
            <v>73</v>
          </cell>
          <cell r="C1749">
            <v>63</v>
          </cell>
          <cell r="D1749">
            <v>3.3</v>
          </cell>
          <cell r="E1749" t="str">
            <v>Eu136</v>
          </cell>
        </row>
        <row r="1750">
          <cell r="A1750">
            <v>63137</v>
          </cell>
          <cell r="B1750">
            <v>74</v>
          </cell>
          <cell r="C1750">
            <v>63</v>
          </cell>
          <cell r="D1750">
            <v>11</v>
          </cell>
          <cell r="E1750" t="str">
            <v>Eu137</v>
          </cell>
        </row>
        <row r="1751">
          <cell r="A1751">
            <v>63138</v>
          </cell>
          <cell r="B1751">
            <v>75</v>
          </cell>
          <cell r="C1751">
            <v>63</v>
          </cell>
          <cell r="D1751">
            <v>12.1</v>
          </cell>
          <cell r="E1751" t="str">
            <v>Eu138</v>
          </cell>
        </row>
        <row r="1752">
          <cell r="A1752">
            <v>63139</v>
          </cell>
          <cell r="B1752">
            <v>76</v>
          </cell>
          <cell r="C1752">
            <v>63</v>
          </cell>
          <cell r="D1752">
            <v>17.899999999999999</v>
          </cell>
          <cell r="E1752" t="str">
            <v>Eu139</v>
          </cell>
        </row>
        <row r="1753">
          <cell r="A1753">
            <v>63140</v>
          </cell>
          <cell r="B1753">
            <v>77</v>
          </cell>
          <cell r="C1753">
            <v>63</v>
          </cell>
          <cell r="D1753">
            <v>1.51</v>
          </cell>
          <cell r="E1753" t="str">
            <v>Eu140</v>
          </cell>
        </row>
        <row r="1754">
          <cell r="A1754">
            <v>63141</v>
          </cell>
          <cell r="B1754">
            <v>78</v>
          </cell>
          <cell r="C1754">
            <v>63</v>
          </cell>
          <cell r="D1754">
            <v>40.700000000000003</v>
          </cell>
          <cell r="E1754" t="str">
            <v>Eu141</v>
          </cell>
        </row>
        <row r="1755">
          <cell r="A1755">
            <v>63142</v>
          </cell>
          <cell r="B1755">
            <v>79</v>
          </cell>
          <cell r="C1755">
            <v>63</v>
          </cell>
          <cell r="D1755">
            <v>2.34</v>
          </cell>
          <cell r="E1755" t="str">
            <v>Eu142</v>
          </cell>
        </row>
        <row r="1756">
          <cell r="A1756">
            <v>63143</v>
          </cell>
          <cell r="B1756">
            <v>80</v>
          </cell>
          <cell r="C1756">
            <v>63</v>
          </cell>
          <cell r="D1756">
            <v>155.39999999999901</v>
          </cell>
          <cell r="E1756" t="str">
            <v>Eu143</v>
          </cell>
        </row>
        <row r="1757">
          <cell r="A1757">
            <v>63144</v>
          </cell>
          <cell r="B1757">
            <v>81</v>
          </cell>
          <cell r="C1757">
            <v>63</v>
          </cell>
          <cell r="D1757">
            <v>10.199999999999999</v>
          </cell>
          <cell r="E1757" t="str">
            <v>Eu144</v>
          </cell>
        </row>
        <row r="1758">
          <cell r="A1758">
            <v>63145</v>
          </cell>
          <cell r="B1758">
            <v>82</v>
          </cell>
          <cell r="C1758">
            <v>63</v>
          </cell>
          <cell r="D1758">
            <v>512352</v>
          </cell>
          <cell r="E1758" t="str">
            <v>Eu145</v>
          </cell>
        </row>
        <row r="1759">
          <cell r="A1759">
            <v>63146</v>
          </cell>
          <cell r="B1759">
            <v>83</v>
          </cell>
          <cell r="C1759">
            <v>63</v>
          </cell>
          <cell r="D1759">
            <v>398304</v>
          </cell>
          <cell r="E1759" t="str">
            <v>Eu146</v>
          </cell>
        </row>
        <row r="1760">
          <cell r="A1760">
            <v>63147</v>
          </cell>
          <cell r="B1760">
            <v>84</v>
          </cell>
          <cell r="C1760">
            <v>63</v>
          </cell>
          <cell r="D1760">
            <v>2082240</v>
          </cell>
          <cell r="E1760" t="str">
            <v>Eu147</v>
          </cell>
        </row>
        <row r="1761">
          <cell r="A1761">
            <v>63148</v>
          </cell>
          <cell r="B1761">
            <v>85</v>
          </cell>
          <cell r="C1761">
            <v>63</v>
          </cell>
          <cell r="D1761">
            <v>4708800</v>
          </cell>
          <cell r="E1761" t="str">
            <v>Eu148</v>
          </cell>
        </row>
        <row r="1762">
          <cell r="A1762">
            <v>63149</v>
          </cell>
          <cell r="B1762">
            <v>86</v>
          </cell>
          <cell r="C1762">
            <v>63</v>
          </cell>
          <cell r="D1762">
            <v>8043839.9999999898</v>
          </cell>
          <cell r="E1762" t="str">
            <v>Eu149</v>
          </cell>
        </row>
        <row r="1763">
          <cell r="A1763">
            <v>63150</v>
          </cell>
          <cell r="B1763">
            <v>87</v>
          </cell>
          <cell r="C1763">
            <v>63</v>
          </cell>
          <cell r="D1763">
            <v>1164475440</v>
          </cell>
          <cell r="E1763" t="str">
            <v>Eu150</v>
          </cell>
        </row>
        <row r="1764">
          <cell r="A1764">
            <v>63151</v>
          </cell>
          <cell r="B1764">
            <v>88</v>
          </cell>
          <cell r="C1764">
            <v>63</v>
          </cell>
          <cell r="D1764">
            <v>5.3647920000000002E+25</v>
          </cell>
          <cell r="E1764" t="str">
            <v>Eu151</v>
          </cell>
        </row>
        <row r="1765">
          <cell r="A1765">
            <v>63152</v>
          </cell>
          <cell r="B1765">
            <v>89</v>
          </cell>
          <cell r="C1765">
            <v>63</v>
          </cell>
          <cell r="D1765">
            <v>426564079.19999999</v>
          </cell>
          <cell r="E1765" t="str">
            <v>Eu152</v>
          </cell>
        </row>
        <row r="1766">
          <cell r="A1766">
            <v>63153</v>
          </cell>
          <cell r="B1766">
            <v>90</v>
          </cell>
          <cell r="C1766">
            <v>63</v>
          </cell>
          <cell r="D1766" t="str">
            <v>STABLE</v>
          </cell>
          <cell r="E1766" t="str">
            <v>Eu153</v>
          </cell>
        </row>
        <row r="1767">
          <cell r="A1767">
            <v>63154</v>
          </cell>
          <cell r="B1767">
            <v>91</v>
          </cell>
          <cell r="C1767">
            <v>63</v>
          </cell>
          <cell r="D1767">
            <v>271426917.60000002</v>
          </cell>
          <cell r="E1767" t="str">
            <v>Eu154</v>
          </cell>
        </row>
        <row r="1768">
          <cell r="A1768">
            <v>63155</v>
          </cell>
          <cell r="B1768">
            <v>92</v>
          </cell>
          <cell r="C1768">
            <v>63</v>
          </cell>
          <cell r="D1768">
            <v>149993272.80000001</v>
          </cell>
          <cell r="E1768" t="str">
            <v>Eu155</v>
          </cell>
        </row>
        <row r="1769">
          <cell r="A1769">
            <v>63156</v>
          </cell>
          <cell r="B1769">
            <v>93</v>
          </cell>
          <cell r="C1769">
            <v>63</v>
          </cell>
          <cell r="D1769">
            <v>1312416</v>
          </cell>
          <cell r="E1769" t="str">
            <v>Eu156</v>
          </cell>
        </row>
        <row r="1770">
          <cell r="A1770">
            <v>63157</v>
          </cell>
          <cell r="B1770">
            <v>94</v>
          </cell>
          <cell r="C1770">
            <v>63</v>
          </cell>
          <cell r="D1770">
            <v>54648</v>
          </cell>
          <cell r="E1770" t="str">
            <v>Eu157</v>
          </cell>
        </row>
        <row r="1771">
          <cell r="A1771">
            <v>63158</v>
          </cell>
          <cell r="B1771">
            <v>95</v>
          </cell>
          <cell r="C1771">
            <v>63</v>
          </cell>
          <cell r="D1771">
            <v>2754</v>
          </cell>
          <cell r="E1771" t="str">
            <v>Eu158</v>
          </cell>
        </row>
        <row r="1772">
          <cell r="A1772">
            <v>63159</v>
          </cell>
          <cell r="B1772">
            <v>96</v>
          </cell>
          <cell r="C1772">
            <v>63</v>
          </cell>
          <cell r="D1772">
            <v>1086</v>
          </cell>
          <cell r="E1772" t="str">
            <v>Eu159</v>
          </cell>
        </row>
        <row r="1773">
          <cell r="A1773">
            <v>63160</v>
          </cell>
          <cell r="B1773">
            <v>97</v>
          </cell>
          <cell r="C1773">
            <v>63</v>
          </cell>
          <cell r="D1773">
            <v>38</v>
          </cell>
          <cell r="E1773" t="str">
            <v>Eu160</v>
          </cell>
        </row>
        <row r="1774">
          <cell r="A1774">
            <v>63161</v>
          </cell>
          <cell r="B1774">
            <v>98</v>
          </cell>
          <cell r="C1774">
            <v>63</v>
          </cell>
          <cell r="D1774">
            <v>26</v>
          </cell>
          <cell r="E1774" t="str">
            <v>Eu161</v>
          </cell>
        </row>
        <row r="1775">
          <cell r="A1775">
            <v>63162</v>
          </cell>
          <cell r="B1775">
            <v>99</v>
          </cell>
          <cell r="C1775">
            <v>63</v>
          </cell>
          <cell r="D1775">
            <v>10.6</v>
          </cell>
          <cell r="E1775" t="str">
            <v>Eu162</v>
          </cell>
        </row>
        <row r="1776">
          <cell r="A1776">
            <v>63163</v>
          </cell>
          <cell r="B1776">
            <v>100</v>
          </cell>
          <cell r="C1776">
            <v>63</v>
          </cell>
          <cell r="D1776">
            <v>7.7</v>
          </cell>
          <cell r="E1776" t="str">
            <v>Eu163</v>
          </cell>
        </row>
        <row r="1777">
          <cell r="A1777">
            <v>63164</v>
          </cell>
          <cell r="B1777">
            <v>101</v>
          </cell>
          <cell r="C1777">
            <v>63</v>
          </cell>
          <cell r="D1777">
            <v>4.2</v>
          </cell>
          <cell r="E1777" t="str">
            <v>Eu164</v>
          </cell>
        </row>
        <row r="1778">
          <cell r="A1778">
            <v>63165</v>
          </cell>
          <cell r="B1778">
            <v>102</v>
          </cell>
          <cell r="C1778">
            <v>63</v>
          </cell>
          <cell r="D1778">
            <v>2.2999999999999998</v>
          </cell>
          <cell r="E1778" t="str">
            <v>Eu165</v>
          </cell>
        </row>
        <row r="1779">
          <cell r="A1779">
            <v>63166</v>
          </cell>
          <cell r="B1779">
            <v>103</v>
          </cell>
          <cell r="C1779">
            <v>63</v>
          </cell>
          <cell r="D1779">
            <v>1.7</v>
          </cell>
          <cell r="E1779" t="str">
            <v>Eu166</v>
          </cell>
        </row>
        <row r="1780">
          <cell r="A1780">
            <v>63167</v>
          </cell>
          <cell r="B1780">
            <v>104</v>
          </cell>
          <cell r="C1780">
            <v>63</v>
          </cell>
          <cell r="D1780">
            <v>1.6E-7</v>
          </cell>
          <cell r="E1780" t="str">
            <v>Eu167</v>
          </cell>
        </row>
        <row r="1781">
          <cell r="A1781">
            <v>63168</v>
          </cell>
          <cell r="B1781">
            <v>105</v>
          </cell>
          <cell r="C1781">
            <v>63</v>
          </cell>
          <cell r="D1781">
            <v>1.6E-7</v>
          </cell>
          <cell r="E1781" t="str">
            <v>Eu168</v>
          </cell>
        </row>
        <row r="1782">
          <cell r="A1782">
            <v>64135</v>
          </cell>
          <cell r="B1782">
            <v>71</v>
          </cell>
          <cell r="C1782">
            <v>64</v>
          </cell>
          <cell r="D1782">
            <v>1.1000000000000001</v>
          </cell>
          <cell r="E1782" t="str">
            <v>Gd135</v>
          </cell>
        </row>
        <row r="1783">
          <cell r="A1783">
            <v>64136</v>
          </cell>
          <cell r="B1783">
            <v>72</v>
          </cell>
          <cell r="C1783">
            <v>64</v>
          </cell>
          <cell r="D1783">
            <v>1.9999999999999999E-7</v>
          </cell>
          <cell r="E1783" t="str">
            <v>Gd136</v>
          </cell>
        </row>
        <row r="1784">
          <cell r="A1784">
            <v>64137</v>
          </cell>
          <cell r="B1784">
            <v>73</v>
          </cell>
          <cell r="C1784">
            <v>64</v>
          </cell>
          <cell r="D1784">
            <v>2.2000000000000002</v>
          </cell>
          <cell r="E1784" t="str">
            <v>Gd137</v>
          </cell>
        </row>
        <row r="1785">
          <cell r="A1785">
            <v>64138</v>
          </cell>
          <cell r="B1785">
            <v>74</v>
          </cell>
          <cell r="C1785">
            <v>64</v>
          </cell>
          <cell r="D1785">
            <v>4.7</v>
          </cell>
          <cell r="E1785" t="str">
            <v>Gd138</v>
          </cell>
        </row>
        <row r="1786">
          <cell r="A1786">
            <v>64139</v>
          </cell>
          <cell r="B1786">
            <v>75</v>
          </cell>
          <cell r="C1786">
            <v>64</v>
          </cell>
          <cell r="D1786">
            <v>5.8</v>
          </cell>
          <cell r="E1786" t="str">
            <v>Gd139</v>
          </cell>
        </row>
        <row r="1787">
          <cell r="A1787">
            <v>64140</v>
          </cell>
          <cell r="B1787">
            <v>76</v>
          </cell>
          <cell r="C1787">
            <v>64</v>
          </cell>
          <cell r="D1787">
            <v>15.8</v>
          </cell>
          <cell r="E1787" t="str">
            <v>Gd140</v>
          </cell>
        </row>
        <row r="1788">
          <cell r="A1788">
            <v>64141</v>
          </cell>
          <cell r="B1788">
            <v>77</v>
          </cell>
          <cell r="C1788">
            <v>64</v>
          </cell>
          <cell r="D1788">
            <v>14</v>
          </cell>
          <cell r="E1788" t="str">
            <v>Gd141</v>
          </cell>
        </row>
        <row r="1789">
          <cell r="A1789">
            <v>64142</v>
          </cell>
          <cell r="B1789">
            <v>78</v>
          </cell>
          <cell r="C1789">
            <v>64</v>
          </cell>
          <cell r="D1789">
            <v>70.2</v>
          </cell>
          <cell r="E1789" t="str">
            <v>Gd142</v>
          </cell>
        </row>
        <row r="1790">
          <cell r="A1790">
            <v>64143</v>
          </cell>
          <cell r="B1790">
            <v>79</v>
          </cell>
          <cell r="C1790">
            <v>64</v>
          </cell>
          <cell r="D1790">
            <v>39</v>
          </cell>
          <cell r="E1790" t="str">
            <v>Gd143</v>
          </cell>
        </row>
        <row r="1791">
          <cell r="A1791">
            <v>64144</v>
          </cell>
          <cell r="B1791">
            <v>80</v>
          </cell>
          <cell r="C1791">
            <v>64</v>
          </cell>
          <cell r="D1791">
            <v>268.2</v>
          </cell>
          <cell r="E1791" t="str">
            <v>Gd144</v>
          </cell>
        </row>
        <row r="1792">
          <cell r="A1792">
            <v>64145</v>
          </cell>
          <cell r="B1792">
            <v>81</v>
          </cell>
          <cell r="C1792">
            <v>64</v>
          </cell>
          <cell r="D1792">
            <v>1380</v>
          </cell>
          <cell r="E1792" t="str">
            <v>Gd145</v>
          </cell>
        </row>
        <row r="1793">
          <cell r="A1793">
            <v>64146</v>
          </cell>
          <cell r="B1793">
            <v>82</v>
          </cell>
          <cell r="C1793">
            <v>64</v>
          </cell>
          <cell r="D1793">
            <v>4170528</v>
          </cell>
          <cell r="E1793" t="str">
            <v>Gd146</v>
          </cell>
        </row>
        <row r="1794">
          <cell r="A1794">
            <v>64147</v>
          </cell>
          <cell r="B1794">
            <v>83</v>
          </cell>
          <cell r="C1794">
            <v>64</v>
          </cell>
          <cell r="D1794">
            <v>137016</v>
          </cell>
          <cell r="E1794" t="str">
            <v>Gd147</v>
          </cell>
        </row>
        <row r="1795">
          <cell r="A1795">
            <v>64148</v>
          </cell>
          <cell r="B1795">
            <v>84</v>
          </cell>
          <cell r="C1795">
            <v>64</v>
          </cell>
          <cell r="D1795">
            <v>2243745360</v>
          </cell>
          <cell r="E1795" t="str">
            <v>Gd148</v>
          </cell>
        </row>
        <row r="1796">
          <cell r="A1796">
            <v>64149</v>
          </cell>
          <cell r="B1796">
            <v>85</v>
          </cell>
          <cell r="C1796">
            <v>64</v>
          </cell>
          <cell r="D1796">
            <v>801792</v>
          </cell>
          <cell r="E1796" t="str">
            <v>Gd149</v>
          </cell>
        </row>
        <row r="1797">
          <cell r="A1797">
            <v>64150</v>
          </cell>
          <cell r="B1797">
            <v>86</v>
          </cell>
          <cell r="C1797">
            <v>64</v>
          </cell>
          <cell r="D1797">
            <v>56488104000000</v>
          </cell>
          <cell r="E1797" t="str">
            <v>Gd150</v>
          </cell>
        </row>
        <row r="1798">
          <cell r="A1798">
            <v>64151</v>
          </cell>
          <cell r="B1798">
            <v>87</v>
          </cell>
          <cell r="C1798">
            <v>64</v>
          </cell>
          <cell r="D1798">
            <v>10704960</v>
          </cell>
          <cell r="E1798" t="str">
            <v>Gd151</v>
          </cell>
        </row>
        <row r="1799">
          <cell r="A1799">
            <v>64152</v>
          </cell>
          <cell r="B1799">
            <v>88</v>
          </cell>
          <cell r="C1799">
            <v>64</v>
          </cell>
          <cell r="D1799">
            <v>3.4082208E+21</v>
          </cell>
          <cell r="E1799" t="str">
            <v>Gd152</v>
          </cell>
        </row>
        <row r="1800">
          <cell r="A1800">
            <v>64153</v>
          </cell>
          <cell r="B1800">
            <v>89</v>
          </cell>
          <cell r="C1800">
            <v>64</v>
          </cell>
          <cell r="D1800">
            <v>20770560</v>
          </cell>
          <cell r="E1800" t="str">
            <v>Gd153</v>
          </cell>
        </row>
        <row r="1801">
          <cell r="A1801">
            <v>64154</v>
          </cell>
          <cell r="B1801">
            <v>90</v>
          </cell>
          <cell r="C1801">
            <v>64</v>
          </cell>
          <cell r="D1801" t="str">
            <v>STABLE</v>
          </cell>
          <cell r="E1801" t="str">
            <v>Gd154</v>
          </cell>
        </row>
        <row r="1802">
          <cell r="A1802">
            <v>64155</v>
          </cell>
          <cell r="B1802">
            <v>91</v>
          </cell>
          <cell r="C1802">
            <v>64</v>
          </cell>
          <cell r="D1802" t="str">
            <v>STABLE</v>
          </cell>
          <cell r="E1802" t="str">
            <v>Gd155</v>
          </cell>
        </row>
        <row r="1803">
          <cell r="A1803">
            <v>64156</v>
          </cell>
          <cell r="B1803">
            <v>92</v>
          </cell>
          <cell r="C1803">
            <v>64</v>
          </cell>
          <cell r="D1803" t="str">
            <v>STABLE</v>
          </cell>
          <cell r="E1803" t="str">
            <v>Gd156</v>
          </cell>
        </row>
        <row r="1804">
          <cell r="A1804">
            <v>64157</v>
          </cell>
          <cell r="B1804">
            <v>93</v>
          </cell>
          <cell r="C1804">
            <v>64</v>
          </cell>
          <cell r="D1804" t="str">
            <v>STABLE</v>
          </cell>
          <cell r="E1804" t="str">
            <v>Gd157</v>
          </cell>
        </row>
        <row r="1805">
          <cell r="A1805">
            <v>64158</v>
          </cell>
          <cell r="B1805">
            <v>94</v>
          </cell>
          <cell r="C1805">
            <v>64</v>
          </cell>
          <cell r="D1805" t="str">
            <v>STABLE</v>
          </cell>
          <cell r="E1805" t="str">
            <v>Gd158</v>
          </cell>
        </row>
        <row r="1806">
          <cell r="A1806">
            <v>64159</v>
          </cell>
          <cell r="B1806">
            <v>95</v>
          </cell>
          <cell r="C1806">
            <v>64</v>
          </cell>
          <cell r="D1806">
            <v>66524.399999999994</v>
          </cell>
          <cell r="E1806" t="str">
            <v>Gd159</v>
          </cell>
        </row>
        <row r="1807">
          <cell r="A1807">
            <v>64160</v>
          </cell>
          <cell r="B1807">
            <v>96</v>
          </cell>
          <cell r="C1807">
            <v>64</v>
          </cell>
          <cell r="D1807">
            <v>9.7828559999999996E+26</v>
          </cell>
          <cell r="E1807" t="str">
            <v>Gd160</v>
          </cell>
        </row>
        <row r="1808">
          <cell r="A1808">
            <v>64161</v>
          </cell>
          <cell r="B1808">
            <v>97</v>
          </cell>
          <cell r="C1808">
            <v>64</v>
          </cell>
          <cell r="D1808">
            <v>219.6</v>
          </cell>
          <cell r="E1808" t="str">
            <v>Gd161</v>
          </cell>
        </row>
        <row r="1809">
          <cell r="A1809">
            <v>64162</v>
          </cell>
          <cell r="B1809">
            <v>98</v>
          </cell>
          <cell r="C1809">
            <v>64</v>
          </cell>
          <cell r="D1809">
            <v>504</v>
          </cell>
          <cell r="E1809" t="str">
            <v>Gd162</v>
          </cell>
        </row>
        <row r="1810">
          <cell r="A1810">
            <v>64163</v>
          </cell>
          <cell r="B1810">
            <v>99</v>
          </cell>
          <cell r="C1810">
            <v>64</v>
          </cell>
          <cell r="D1810">
            <v>68</v>
          </cell>
          <cell r="E1810" t="str">
            <v>Gd163</v>
          </cell>
        </row>
        <row r="1811">
          <cell r="A1811">
            <v>64164</v>
          </cell>
          <cell r="B1811">
            <v>100</v>
          </cell>
          <cell r="C1811">
            <v>64</v>
          </cell>
          <cell r="D1811">
            <v>45</v>
          </cell>
          <cell r="E1811" t="str">
            <v>Gd164</v>
          </cell>
        </row>
        <row r="1812">
          <cell r="A1812">
            <v>64165</v>
          </cell>
          <cell r="B1812">
            <v>101</v>
          </cell>
          <cell r="C1812">
            <v>64</v>
          </cell>
          <cell r="D1812">
            <v>10.3</v>
          </cell>
          <cell r="E1812" t="str">
            <v>Gd165</v>
          </cell>
        </row>
        <row r="1813">
          <cell r="A1813">
            <v>64166</v>
          </cell>
          <cell r="B1813">
            <v>102</v>
          </cell>
          <cell r="C1813">
            <v>64</v>
          </cell>
          <cell r="D1813">
            <v>4.8</v>
          </cell>
          <cell r="E1813" t="str">
            <v>Gd166</v>
          </cell>
        </row>
        <row r="1814">
          <cell r="A1814">
            <v>64167</v>
          </cell>
          <cell r="B1814">
            <v>103</v>
          </cell>
          <cell r="C1814">
            <v>64</v>
          </cell>
          <cell r="D1814">
            <v>1.6E-7</v>
          </cell>
          <cell r="E1814" t="str">
            <v>Gd167</v>
          </cell>
        </row>
        <row r="1815">
          <cell r="A1815">
            <v>64168</v>
          </cell>
          <cell r="B1815">
            <v>104</v>
          </cell>
          <cell r="C1815">
            <v>64</v>
          </cell>
          <cell r="D1815">
            <v>1.6E-7</v>
          </cell>
          <cell r="E1815" t="str">
            <v>Gd168</v>
          </cell>
        </row>
        <row r="1816">
          <cell r="A1816">
            <v>64169</v>
          </cell>
          <cell r="B1816">
            <v>105</v>
          </cell>
          <cell r="C1816">
            <v>64</v>
          </cell>
          <cell r="D1816">
            <v>1.6E-7</v>
          </cell>
          <cell r="E1816" t="str">
            <v>Gd169</v>
          </cell>
        </row>
        <row r="1817">
          <cell r="A1817">
            <v>64170</v>
          </cell>
          <cell r="B1817">
            <v>106</v>
          </cell>
          <cell r="C1817">
            <v>64</v>
          </cell>
          <cell r="D1817">
            <v>1.6E-7</v>
          </cell>
          <cell r="E1817" t="str">
            <v>Gd170</v>
          </cell>
        </row>
        <row r="1818">
          <cell r="A1818">
            <v>65135</v>
          </cell>
          <cell r="B1818">
            <v>70</v>
          </cell>
          <cell r="C1818">
            <v>65</v>
          </cell>
          <cell r="D1818">
            <v>9.3999999999999997E-4</v>
          </cell>
          <cell r="E1818" t="str">
            <v>Tb135</v>
          </cell>
        </row>
        <row r="1819">
          <cell r="A1819">
            <v>65138</v>
          </cell>
          <cell r="B1819">
            <v>73</v>
          </cell>
          <cell r="C1819">
            <v>65</v>
          </cell>
          <cell r="D1819">
            <v>1.9999999999999999E-7</v>
          </cell>
          <cell r="E1819" t="str">
            <v>Tb138</v>
          </cell>
        </row>
        <row r="1820">
          <cell r="A1820">
            <v>65139</v>
          </cell>
          <cell r="B1820">
            <v>74</v>
          </cell>
          <cell r="C1820">
            <v>65</v>
          </cell>
          <cell r="D1820">
            <v>1.6</v>
          </cell>
          <cell r="E1820" t="str">
            <v>Tb139</v>
          </cell>
        </row>
        <row r="1821">
          <cell r="A1821">
            <v>65140</v>
          </cell>
          <cell r="B1821">
            <v>75</v>
          </cell>
          <cell r="C1821">
            <v>65</v>
          </cell>
          <cell r="D1821">
            <v>2</v>
          </cell>
          <cell r="E1821" t="str">
            <v>Tb140</v>
          </cell>
        </row>
        <row r="1822">
          <cell r="A1822">
            <v>65141</v>
          </cell>
          <cell r="B1822">
            <v>76</v>
          </cell>
          <cell r="C1822">
            <v>65</v>
          </cell>
          <cell r="D1822">
            <v>3.5</v>
          </cell>
          <cell r="E1822" t="str">
            <v>Tb141</v>
          </cell>
        </row>
        <row r="1823">
          <cell r="A1823">
            <v>65142</v>
          </cell>
          <cell r="B1823">
            <v>77</v>
          </cell>
          <cell r="C1823">
            <v>65</v>
          </cell>
          <cell r="D1823">
            <v>0.59699999999999998</v>
          </cell>
          <cell r="E1823" t="str">
            <v>Tb142</v>
          </cell>
        </row>
        <row r="1824">
          <cell r="A1824">
            <v>65143</v>
          </cell>
          <cell r="B1824">
            <v>78</v>
          </cell>
          <cell r="C1824">
            <v>65</v>
          </cell>
          <cell r="D1824">
            <v>12</v>
          </cell>
          <cell r="E1824" t="str">
            <v>Tb143</v>
          </cell>
        </row>
        <row r="1825">
          <cell r="A1825">
            <v>65144</v>
          </cell>
          <cell r="B1825">
            <v>79</v>
          </cell>
          <cell r="C1825">
            <v>65</v>
          </cell>
          <cell r="D1825">
            <v>1</v>
          </cell>
          <cell r="E1825" t="str">
            <v>Tb144</v>
          </cell>
        </row>
        <row r="1826">
          <cell r="A1826">
            <v>65145</v>
          </cell>
          <cell r="B1826">
            <v>80</v>
          </cell>
          <cell r="C1826">
            <v>65</v>
          </cell>
          <cell r="D1826">
            <v>30.9</v>
          </cell>
          <cell r="E1826" t="str">
            <v>Tb145</v>
          </cell>
        </row>
        <row r="1827">
          <cell r="A1827">
            <v>65146</v>
          </cell>
          <cell r="B1827">
            <v>81</v>
          </cell>
          <cell r="C1827">
            <v>65</v>
          </cell>
          <cell r="D1827">
            <v>8</v>
          </cell>
          <cell r="E1827" t="str">
            <v>Tb146</v>
          </cell>
        </row>
        <row r="1828">
          <cell r="A1828">
            <v>65147</v>
          </cell>
          <cell r="B1828">
            <v>82</v>
          </cell>
          <cell r="C1828">
            <v>65</v>
          </cell>
          <cell r="D1828">
            <v>5904</v>
          </cell>
          <cell r="E1828" t="str">
            <v>Tb147</v>
          </cell>
        </row>
        <row r="1829">
          <cell r="A1829">
            <v>65148</v>
          </cell>
          <cell r="B1829">
            <v>83</v>
          </cell>
          <cell r="C1829">
            <v>65</v>
          </cell>
          <cell r="D1829">
            <v>3600</v>
          </cell>
          <cell r="E1829" t="str">
            <v>Tb148</v>
          </cell>
        </row>
        <row r="1830">
          <cell r="A1830">
            <v>65149</v>
          </cell>
          <cell r="B1830">
            <v>84</v>
          </cell>
          <cell r="C1830">
            <v>65</v>
          </cell>
          <cell r="D1830">
            <v>14824.8</v>
          </cell>
          <cell r="E1830" t="str">
            <v>Tb149</v>
          </cell>
        </row>
        <row r="1831">
          <cell r="A1831">
            <v>65150</v>
          </cell>
          <cell r="B1831">
            <v>85</v>
          </cell>
          <cell r="C1831">
            <v>65</v>
          </cell>
          <cell r="D1831">
            <v>12528</v>
          </cell>
          <cell r="E1831" t="str">
            <v>Tb150</v>
          </cell>
        </row>
        <row r="1832">
          <cell r="A1832">
            <v>65151</v>
          </cell>
          <cell r="B1832">
            <v>86</v>
          </cell>
          <cell r="C1832">
            <v>65</v>
          </cell>
          <cell r="D1832">
            <v>63392.4</v>
          </cell>
          <cell r="E1832" t="str">
            <v>Tb151</v>
          </cell>
        </row>
        <row r="1833">
          <cell r="A1833">
            <v>65152</v>
          </cell>
          <cell r="B1833">
            <v>87</v>
          </cell>
          <cell r="C1833">
            <v>65</v>
          </cell>
          <cell r="D1833">
            <v>63000</v>
          </cell>
          <cell r="E1833" t="str">
            <v>Tb152</v>
          </cell>
        </row>
        <row r="1834">
          <cell r="A1834">
            <v>65153</v>
          </cell>
          <cell r="B1834">
            <v>88</v>
          </cell>
          <cell r="C1834">
            <v>65</v>
          </cell>
          <cell r="D1834">
            <v>202176</v>
          </cell>
          <cell r="E1834" t="str">
            <v>Tb153</v>
          </cell>
        </row>
        <row r="1835">
          <cell r="A1835">
            <v>65154</v>
          </cell>
          <cell r="B1835">
            <v>89</v>
          </cell>
          <cell r="C1835">
            <v>65</v>
          </cell>
          <cell r="D1835">
            <v>77400</v>
          </cell>
          <cell r="E1835" t="str">
            <v>Tb154</v>
          </cell>
        </row>
        <row r="1836">
          <cell r="A1836">
            <v>65155</v>
          </cell>
          <cell r="B1836">
            <v>90</v>
          </cell>
          <cell r="C1836">
            <v>65</v>
          </cell>
          <cell r="D1836">
            <v>459648</v>
          </cell>
          <cell r="E1836" t="str">
            <v>Tb155</v>
          </cell>
        </row>
        <row r="1837">
          <cell r="A1837">
            <v>65156</v>
          </cell>
          <cell r="B1837">
            <v>91</v>
          </cell>
          <cell r="C1837">
            <v>65</v>
          </cell>
          <cell r="D1837">
            <v>462239.99999999901</v>
          </cell>
          <cell r="E1837" t="str">
            <v>Tb156</v>
          </cell>
        </row>
        <row r="1838">
          <cell r="A1838">
            <v>65157</v>
          </cell>
          <cell r="B1838">
            <v>92</v>
          </cell>
          <cell r="C1838">
            <v>65</v>
          </cell>
          <cell r="D1838">
            <v>2240589600</v>
          </cell>
          <cell r="E1838" t="str">
            <v>Tb157</v>
          </cell>
        </row>
        <row r="1839">
          <cell r="A1839">
            <v>65158</v>
          </cell>
          <cell r="B1839">
            <v>93</v>
          </cell>
          <cell r="C1839">
            <v>65</v>
          </cell>
          <cell r="D1839">
            <v>5680368000</v>
          </cell>
          <cell r="E1839" t="str">
            <v>Tb158</v>
          </cell>
        </row>
        <row r="1840">
          <cell r="A1840">
            <v>65159</v>
          </cell>
          <cell r="B1840">
            <v>94</v>
          </cell>
          <cell r="C1840">
            <v>65</v>
          </cell>
          <cell r="D1840" t="str">
            <v>STABLE</v>
          </cell>
          <cell r="E1840" t="str">
            <v>Tb159</v>
          </cell>
        </row>
        <row r="1841">
          <cell r="A1841">
            <v>65160</v>
          </cell>
          <cell r="B1841">
            <v>95</v>
          </cell>
          <cell r="C1841">
            <v>65</v>
          </cell>
          <cell r="D1841">
            <v>6246720</v>
          </cell>
          <cell r="E1841" t="str">
            <v>Tb160</v>
          </cell>
        </row>
        <row r="1842">
          <cell r="A1842">
            <v>65161</v>
          </cell>
          <cell r="B1842">
            <v>96</v>
          </cell>
          <cell r="C1842">
            <v>65</v>
          </cell>
          <cell r="D1842">
            <v>595296</v>
          </cell>
          <cell r="E1842" t="str">
            <v>Tb161</v>
          </cell>
        </row>
        <row r="1843">
          <cell r="A1843">
            <v>65162</v>
          </cell>
          <cell r="B1843">
            <v>97</v>
          </cell>
          <cell r="C1843">
            <v>65</v>
          </cell>
          <cell r="D1843">
            <v>456</v>
          </cell>
          <cell r="E1843" t="str">
            <v>Tb162</v>
          </cell>
        </row>
        <row r="1844">
          <cell r="A1844">
            <v>65163</v>
          </cell>
          <cell r="B1844">
            <v>98</v>
          </cell>
          <cell r="C1844">
            <v>65</v>
          </cell>
          <cell r="D1844">
            <v>1170</v>
          </cell>
          <cell r="E1844" t="str">
            <v>Tb163</v>
          </cell>
        </row>
        <row r="1845">
          <cell r="A1845">
            <v>65164</v>
          </cell>
          <cell r="B1845">
            <v>99</v>
          </cell>
          <cell r="C1845">
            <v>65</v>
          </cell>
          <cell r="D1845">
            <v>180</v>
          </cell>
          <cell r="E1845" t="str">
            <v>Tb164</v>
          </cell>
        </row>
        <row r="1846">
          <cell r="A1846">
            <v>65165</v>
          </cell>
          <cell r="B1846">
            <v>100</v>
          </cell>
          <cell r="C1846">
            <v>65</v>
          </cell>
          <cell r="D1846">
            <v>126.6</v>
          </cell>
          <cell r="E1846" t="str">
            <v>Tb165</v>
          </cell>
        </row>
        <row r="1847">
          <cell r="A1847">
            <v>65166</v>
          </cell>
          <cell r="B1847">
            <v>101</v>
          </cell>
          <cell r="C1847">
            <v>65</v>
          </cell>
          <cell r="D1847">
            <v>25.1</v>
          </cell>
          <cell r="E1847" t="str">
            <v>Tb166</v>
          </cell>
        </row>
        <row r="1848">
          <cell r="A1848">
            <v>65167</v>
          </cell>
          <cell r="B1848">
            <v>102</v>
          </cell>
          <cell r="C1848">
            <v>65</v>
          </cell>
          <cell r="D1848">
            <v>19.399999999999999</v>
          </cell>
          <cell r="E1848" t="str">
            <v>Tb167</v>
          </cell>
        </row>
        <row r="1849">
          <cell r="A1849">
            <v>65168</v>
          </cell>
          <cell r="B1849">
            <v>103</v>
          </cell>
          <cell r="C1849">
            <v>65</v>
          </cell>
          <cell r="D1849">
            <v>8.1999999999999993</v>
          </cell>
          <cell r="E1849" t="str">
            <v>Tb168</v>
          </cell>
        </row>
        <row r="1850">
          <cell r="A1850">
            <v>65169</v>
          </cell>
          <cell r="B1850">
            <v>104</v>
          </cell>
          <cell r="C1850">
            <v>65</v>
          </cell>
          <cell r="D1850">
            <v>1.6E-7</v>
          </cell>
          <cell r="E1850" t="str">
            <v>Tb169</v>
          </cell>
        </row>
        <row r="1851">
          <cell r="A1851">
            <v>65170</v>
          </cell>
          <cell r="B1851">
            <v>105</v>
          </cell>
          <cell r="C1851">
            <v>65</v>
          </cell>
          <cell r="D1851">
            <v>1.6E-7</v>
          </cell>
          <cell r="E1851" t="str">
            <v>Tb170</v>
          </cell>
        </row>
        <row r="1852">
          <cell r="A1852">
            <v>65171</v>
          </cell>
          <cell r="B1852">
            <v>106</v>
          </cell>
          <cell r="C1852">
            <v>65</v>
          </cell>
          <cell r="D1852">
            <v>1.6E-7</v>
          </cell>
          <cell r="E1852" t="str">
            <v>Tb171</v>
          </cell>
        </row>
        <row r="1853">
          <cell r="A1853">
            <v>65172</v>
          </cell>
          <cell r="B1853">
            <v>107</v>
          </cell>
          <cell r="C1853">
            <v>65</v>
          </cell>
          <cell r="D1853">
            <v>1.6E-7</v>
          </cell>
          <cell r="E1853" t="str">
            <v>Tb172</v>
          </cell>
        </row>
        <row r="1854">
          <cell r="A1854">
            <v>66139</v>
          </cell>
          <cell r="B1854">
            <v>73</v>
          </cell>
          <cell r="C1854">
            <v>66</v>
          </cell>
          <cell r="D1854">
            <v>0.6</v>
          </cell>
          <cell r="E1854" t="str">
            <v>Dy139</v>
          </cell>
        </row>
        <row r="1855">
          <cell r="A1855">
            <v>66141</v>
          </cell>
          <cell r="B1855">
            <v>75</v>
          </cell>
          <cell r="C1855">
            <v>66</v>
          </cell>
          <cell r="D1855">
            <v>0.9</v>
          </cell>
          <cell r="E1855" t="str">
            <v>Dy141</v>
          </cell>
        </row>
        <row r="1856">
          <cell r="A1856">
            <v>66142</v>
          </cell>
          <cell r="B1856">
            <v>76</v>
          </cell>
          <cell r="C1856">
            <v>66</v>
          </cell>
          <cell r="D1856">
            <v>2.2999999999999998</v>
          </cell>
          <cell r="E1856" t="str">
            <v>Dy142</v>
          </cell>
        </row>
        <row r="1857">
          <cell r="A1857">
            <v>66143</v>
          </cell>
          <cell r="B1857">
            <v>77</v>
          </cell>
          <cell r="C1857">
            <v>66</v>
          </cell>
          <cell r="D1857">
            <v>5.6</v>
          </cell>
          <cell r="E1857" t="str">
            <v>Dy143</v>
          </cell>
        </row>
        <row r="1858">
          <cell r="A1858">
            <v>66144</v>
          </cell>
          <cell r="B1858">
            <v>78</v>
          </cell>
          <cell r="C1858">
            <v>66</v>
          </cell>
          <cell r="D1858">
            <v>9.1</v>
          </cell>
          <cell r="E1858" t="str">
            <v>Dy144</v>
          </cell>
        </row>
        <row r="1859">
          <cell r="A1859">
            <v>66145</v>
          </cell>
          <cell r="B1859">
            <v>79</v>
          </cell>
          <cell r="C1859">
            <v>66</v>
          </cell>
          <cell r="D1859">
            <v>6</v>
          </cell>
          <cell r="E1859" t="str">
            <v>Dy145</v>
          </cell>
        </row>
        <row r="1860">
          <cell r="A1860">
            <v>66146</v>
          </cell>
          <cell r="B1860">
            <v>80</v>
          </cell>
          <cell r="C1860">
            <v>66</v>
          </cell>
          <cell r="D1860">
            <v>33.200000000000003</v>
          </cell>
          <cell r="E1860" t="str">
            <v>Dy146</v>
          </cell>
        </row>
        <row r="1861">
          <cell r="A1861">
            <v>66147</v>
          </cell>
          <cell r="B1861">
            <v>81</v>
          </cell>
          <cell r="C1861">
            <v>66</v>
          </cell>
          <cell r="D1861">
            <v>67</v>
          </cell>
          <cell r="E1861" t="str">
            <v>Dy147</v>
          </cell>
        </row>
        <row r="1862">
          <cell r="A1862">
            <v>66148</v>
          </cell>
          <cell r="B1862">
            <v>82</v>
          </cell>
          <cell r="C1862">
            <v>66</v>
          </cell>
          <cell r="D1862">
            <v>198</v>
          </cell>
          <cell r="E1862" t="str">
            <v>Dy148</v>
          </cell>
        </row>
        <row r="1863">
          <cell r="A1863">
            <v>66149</v>
          </cell>
          <cell r="B1863">
            <v>83</v>
          </cell>
          <cell r="C1863">
            <v>66</v>
          </cell>
          <cell r="D1863">
            <v>252</v>
          </cell>
          <cell r="E1863" t="str">
            <v>Dy149</v>
          </cell>
        </row>
        <row r="1864">
          <cell r="A1864">
            <v>66150</v>
          </cell>
          <cell r="B1864">
            <v>84</v>
          </cell>
          <cell r="C1864">
            <v>66</v>
          </cell>
          <cell r="D1864">
            <v>430.2</v>
          </cell>
          <cell r="E1864" t="str">
            <v>Dy150</v>
          </cell>
        </row>
        <row r="1865">
          <cell r="A1865">
            <v>66151</v>
          </cell>
          <cell r="B1865">
            <v>85</v>
          </cell>
          <cell r="C1865">
            <v>66</v>
          </cell>
          <cell r="D1865">
            <v>1074</v>
          </cell>
          <cell r="E1865" t="str">
            <v>Dy151</v>
          </cell>
        </row>
        <row r="1866">
          <cell r="A1866">
            <v>66152</v>
          </cell>
          <cell r="B1866">
            <v>86</v>
          </cell>
          <cell r="C1866">
            <v>66</v>
          </cell>
          <cell r="D1866">
            <v>8568</v>
          </cell>
          <cell r="E1866" t="str">
            <v>Dy152</v>
          </cell>
        </row>
        <row r="1867">
          <cell r="A1867">
            <v>66153</v>
          </cell>
          <cell r="B1867">
            <v>87</v>
          </cell>
          <cell r="C1867">
            <v>66</v>
          </cell>
          <cell r="D1867">
            <v>23040</v>
          </cell>
          <cell r="E1867" t="str">
            <v>Dy153</v>
          </cell>
        </row>
        <row r="1868">
          <cell r="A1868">
            <v>66154</v>
          </cell>
          <cell r="B1868">
            <v>88</v>
          </cell>
          <cell r="C1868">
            <v>66</v>
          </cell>
          <cell r="D1868">
            <v>94672800000000</v>
          </cell>
          <cell r="E1868" t="str">
            <v>Dy154</v>
          </cell>
        </row>
        <row r="1869">
          <cell r="A1869">
            <v>66155</v>
          </cell>
          <cell r="B1869">
            <v>89</v>
          </cell>
          <cell r="C1869">
            <v>66</v>
          </cell>
          <cell r="D1869">
            <v>35640</v>
          </cell>
          <cell r="E1869" t="str">
            <v>Dy155</v>
          </cell>
        </row>
        <row r="1870">
          <cell r="A1870">
            <v>66156</v>
          </cell>
          <cell r="B1870">
            <v>90</v>
          </cell>
          <cell r="C1870">
            <v>66</v>
          </cell>
          <cell r="D1870" t="str">
            <v>STABLE</v>
          </cell>
          <cell r="E1870" t="str">
            <v>Dy156</v>
          </cell>
        </row>
        <row r="1871">
          <cell r="A1871">
            <v>66157</v>
          </cell>
          <cell r="B1871">
            <v>91</v>
          </cell>
          <cell r="C1871">
            <v>66</v>
          </cell>
          <cell r="D1871">
            <v>29304</v>
          </cell>
          <cell r="E1871" t="str">
            <v>Dy157</v>
          </cell>
        </row>
        <row r="1872">
          <cell r="A1872">
            <v>66158</v>
          </cell>
          <cell r="B1872">
            <v>92</v>
          </cell>
          <cell r="C1872">
            <v>66</v>
          </cell>
          <cell r="D1872" t="str">
            <v>STABLE</v>
          </cell>
          <cell r="E1872" t="str">
            <v>Dy158</v>
          </cell>
        </row>
        <row r="1873">
          <cell r="A1873">
            <v>66159</v>
          </cell>
          <cell r="B1873">
            <v>93</v>
          </cell>
          <cell r="C1873">
            <v>66</v>
          </cell>
          <cell r="D1873">
            <v>12476160</v>
          </cell>
          <cell r="E1873" t="str">
            <v>Dy159</v>
          </cell>
        </row>
        <row r="1874">
          <cell r="A1874">
            <v>66160</v>
          </cell>
          <cell r="B1874">
            <v>94</v>
          </cell>
          <cell r="C1874">
            <v>66</v>
          </cell>
          <cell r="D1874" t="str">
            <v>STABLE</v>
          </cell>
          <cell r="E1874" t="str">
            <v>Dy160</v>
          </cell>
        </row>
        <row r="1875">
          <cell r="A1875">
            <v>66161</v>
          </cell>
          <cell r="B1875">
            <v>95</v>
          </cell>
          <cell r="C1875">
            <v>66</v>
          </cell>
          <cell r="D1875" t="str">
            <v>STABLE</v>
          </cell>
          <cell r="E1875" t="str">
            <v>Dy161</v>
          </cell>
        </row>
        <row r="1876">
          <cell r="A1876">
            <v>66162</v>
          </cell>
          <cell r="B1876">
            <v>96</v>
          </cell>
          <cell r="C1876">
            <v>66</v>
          </cell>
          <cell r="D1876" t="str">
            <v>STABLE</v>
          </cell>
          <cell r="E1876" t="str">
            <v>Dy162</v>
          </cell>
        </row>
        <row r="1877">
          <cell r="A1877">
            <v>66163</v>
          </cell>
          <cell r="B1877">
            <v>97</v>
          </cell>
          <cell r="C1877">
            <v>66</v>
          </cell>
          <cell r="D1877" t="str">
            <v>STABLE</v>
          </cell>
          <cell r="E1877" t="str">
            <v>Dy163</v>
          </cell>
        </row>
        <row r="1878">
          <cell r="A1878">
            <v>66164</v>
          </cell>
          <cell r="B1878">
            <v>98</v>
          </cell>
          <cell r="C1878">
            <v>66</v>
          </cell>
          <cell r="D1878" t="str">
            <v>STABLE</v>
          </cell>
          <cell r="E1878" t="str">
            <v>Dy164</v>
          </cell>
        </row>
        <row r="1879">
          <cell r="A1879">
            <v>66165</v>
          </cell>
          <cell r="B1879">
            <v>99</v>
          </cell>
          <cell r="C1879">
            <v>66</v>
          </cell>
          <cell r="D1879">
            <v>8402.4</v>
          </cell>
          <cell r="E1879" t="str">
            <v>Dy165</v>
          </cell>
        </row>
        <row r="1880">
          <cell r="A1880">
            <v>66166</v>
          </cell>
          <cell r="B1880">
            <v>100</v>
          </cell>
          <cell r="C1880">
            <v>66</v>
          </cell>
          <cell r="D1880">
            <v>293760</v>
          </cell>
          <cell r="E1880" t="str">
            <v>Dy166</v>
          </cell>
        </row>
        <row r="1881">
          <cell r="A1881">
            <v>66167</v>
          </cell>
          <cell r="B1881">
            <v>101</v>
          </cell>
          <cell r="C1881">
            <v>66</v>
          </cell>
          <cell r="D1881">
            <v>372</v>
          </cell>
          <cell r="E1881" t="str">
            <v>Dy167</v>
          </cell>
        </row>
        <row r="1882">
          <cell r="A1882">
            <v>66168</v>
          </cell>
          <cell r="B1882">
            <v>102</v>
          </cell>
          <cell r="C1882">
            <v>66</v>
          </cell>
          <cell r="D1882">
            <v>522</v>
          </cell>
          <cell r="E1882" t="str">
            <v>Dy168</v>
          </cell>
        </row>
        <row r="1883">
          <cell r="A1883">
            <v>66169</v>
          </cell>
          <cell r="B1883">
            <v>103</v>
          </cell>
          <cell r="C1883">
            <v>66</v>
          </cell>
          <cell r="D1883">
            <v>39</v>
          </cell>
          <cell r="E1883" t="str">
            <v>Dy169</v>
          </cell>
        </row>
        <row r="1884">
          <cell r="A1884">
            <v>66171</v>
          </cell>
          <cell r="B1884">
            <v>105</v>
          </cell>
          <cell r="C1884">
            <v>66</v>
          </cell>
          <cell r="D1884">
            <v>1.6E-7</v>
          </cell>
          <cell r="E1884" t="str">
            <v>Dy171</v>
          </cell>
        </row>
        <row r="1885">
          <cell r="A1885">
            <v>66172</v>
          </cell>
          <cell r="B1885">
            <v>106</v>
          </cell>
          <cell r="C1885">
            <v>66</v>
          </cell>
          <cell r="D1885">
            <v>1.6E-7</v>
          </cell>
          <cell r="E1885" t="str">
            <v>Dy172</v>
          </cell>
        </row>
        <row r="1886">
          <cell r="A1886">
            <v>66173</v>
          </cell>
          <cell r="B1886">
            <v>107</v>
          </cell>
          <cell r="C1886">
            <v>66</v>
          </cell>
          <cell r="D1886">
            <v>1.6E-7</v>
          </cell>
          <cell r="E1886" t="str">
            <v>Dy173</v>
          </cell>
        </row>
        <row r="1887">
          <cell r="A1887">
            <v>67140</v>
          </cell>
          <cell r="B1887">
            <v>73</v>
          </cell>
          <cell r="C1887">
            <v>67</v>
          </cell>
          <cell r="D1887">
            <v>6.0000000000000001E-3</v>
          </cell>
          <cell r="E1887" t="str">
            <v>Ho140</v>
          </cell>
        </row>
        <row r="1888">
          <cell r="A1888">
            <v>67141</v>
          </cell>
          <cell r="B1888">
            <v>74</v>
          </cell>
          <cell r="C1888">
            <v>67</v>
          </cell>
          <cell r="D1888">
            <v>4.0999999999999899E-3</v>
          </cell>
          <cell r="E1888" t="str">
            <v>Ho141</v>
          </cell>
        </row>
        <row r="1889">
          <cell r="A1889">
            <v>67142</v>
          </cell>
          <cell r="B1889">
            <v>75</v>
          </cell>
          <cell r="C1889">
            <v>67</v>
          </cell>
          <cell r="D1889">
            <v>0.4</v>
          </cell>
          <cell r="E1889" t="str">
            <v>Ho142</v>
          </cell>
        </row>
        <row r="1890">
          <cell r="A1890">
            <v>67144</v>
          </cell>
          <cell r="B1890">
            <v>77</v>
          </cell>
          <cell r="C1890">
            <v>67</v>
          </cell>
          <cell r="D1890">
            <v>0.7</v>
          </cell>
          <cell r="E1890" t="str">
            <v>Ho144</v>
          </cell>
        </row>
        <row r="1891">
          <cell r="A1891">
            <v>67145</v>
          </cell>
          <cell r="B1891">
            <v>78</v>
          </cell>
          <cell r="C1891">
            <v>67</v>
          </cell>
          <cell r="D1891">
            <v>2.4</v>
          </cell>
          <cell r="E1891" t="str">
            <v>Ho145</v>
          </cell>
        </row>
        <row r="1892">
          <cell r="A1892">
            <v>67146</v>
          </cell>
          <cell r="B1892">
            <v>79</v>
          </cell>
          <cell r="C1892">
            <v>67</v>
          </cell>
          <cell r="D1892">
            <v>3.32</v>
          </cell>
          <cell r="E1892" t="str">
            <v>Ho146</v>
          </cell>
        </row>
        <row r="1893">
          <cell r="A1893">
            <v>67147</v>
          </cell>
          <cell r="B1893">
            <v>80</v>
          </cell>
          <cell r="C1893">
            <v>67</v>
          </cell>
          <cell r="D1893">
            <v>5.8</v>
          </cell>
          <cell r="E1893" t="str">
            <v>Ho147</v>
          </cell>
        </row>
        <row r="1894">
          <cell r="A1894">
            <v>67148</v>
          </cell>
          <cell r="B1894">
            <v>81</v>
          </cell>
          <cell r="C1894">
            <v>67</v>
          </cell>
          <cell r="D1894">
            <v>2.2000000000000002</v>
          </cell>
          <cell r="E1894" t="str">
            <v>Ho148</v>
          </cell>
        </row>
        <row r="1895">
          <cell r="A1895">
            <v>67149</v>
          </cell>
          <cell r="B1895">
            <v>82</v>
          </cell>
          <cell r="C1895">
            <v>67</v>
          </cell>
          <cell r="D1895">
            <v>21.1</v>
          </cell>
          <cell r="E1895" t="str">
            <v>Ho149</v>
          </cell>
        </row>
        <row r="1896">
          <cell r="A1896">
            <v>67150</v>
          </cell>
          <cell r="B1896">
            <v>83</v>
          </cell>
          <cell r="C1896">
            <v>67</v>
          </cell>
          <cell r="D1896">
            <v>72</v>
          </cell>
          <cell r="E1896" t="str">
            <v>Ho150</v>
          </cell>
        </row>
        <row r="1897">
          <cell r="A1897">
            <v>67151</v>
          </cell>
          <cell r="B1897">
            <v>84</v>
          </cell>
          <cell r="C1897">
            <v>67</v>
          </cell>
          <cell r="D1897">
            <v>35.200000000000003</v>
          </cell>
          <cell r="E1897" t="str">
            <v>Ho151</v>
          </cell>
        </row>
        <row r="1898">
          <cell r="A1898">
            <v>67152</v>
          </cell>
          <cell r="B1898">
            <v>85</v>
          </cell>
          <cell r="C1898">
            <v>67</v>
          </cell>
          <cell r="D1898">
            <v>161.80000000000001</v>
          </cell>
          <cell r="E1898" t="str">
            <v>Ho152</v>
          </cell>
        </row>
        <row r="1899">
          <cell r="A1899">
            <v>67153</v>
          </cell>
          <cell r="B1899">
            <v>86</v>
          </cell>
          <cell r="C1899">
            <v>67</v>
          </cell>
          <cell r="D1899">
            <v>120.6</v>
          </cell>
          <cell r="E1899" t="str">
            <v>Ho153</v>
          </cell>
        </row>
        <row r="1900">
          <cell r="A1900">
            <v>67154</v>
          </cell>
          <cell r="B1900">
            <v>87</v>
          </cell>
          <cell r="C1900">
            <v>67</v>
          </cell>
          <cell r="D1900">
            <v>705.6</v>
          </cell>
          <cell r="E1900" t="str">
            <v>Ho154</v>
          </cell>
        </row>
        <row r="1901">
          <cell r="A1901">
            <v>67155</v>
          </cell>
          <cell r="B1901">
            <v>88</v>
          </cell>
          <cell r="C1901">
            <v>67</v>
          </cell>
          <cell r="D1901">
            <v>2880</v>
          </cell>
          <cell r="E1901" t="str">
            <v>Ho155</v>
          </cell>
        </row>
        <row r="1902">
          <cell r="A1902">
            <v>67156</v>
          </cell>
          <cell r="B1902">
            <v>89</v>
          </cell>
          <cell r="C1902">
            <v>67</v>
          </cell>
          <cell r="D1902">
            <v>3360</v>
          </cell>
          <cell r="E1902" t="str">
            <v>Ho156</v>
          </cell>
        </row>
        <row r="1903">
          <cell r="A1903">
            <v>67157</v>
          </cell>
          <cell r="B1903">
            <v>90</v>
          </cell>
          <cell r="C1903">
            <v>67</v>
          </cell>
          <cell r="D1903">
            <v>756</v>
          </cell>
          <cell r="E1903" t="str">
            <v>Ho157</v>
          </cell>
        </row>
        <row r="1904">
          <cell r="A1904">
            <v>67158</v>
          </cell>
          <cell r="B1904">
            <v>91</v>
          </cell>
          <cell r="C1904">
            <v>67</v>
          </cell>
          <cell r="D1904">
            <v>678</v>
          </cell>
          <cell r="E1904" t="str">
            <v>Ho158</v>
          </cell>
        </row>
        <row r="1905">
          <cell r="A1905">
            <v>67159</v>
          </cell>
          <cell r="B1905">
            <v>92</v>
          </cell>
          <cell r="C1905">
            <v>67</v>
          </cell>
          <cell r="D1905">
            <v>1982.99999999999</v>
          </cell>
          <cell r="E1905" t="str">
            <v>Ho159</v>
          </cell>
        </row>
        <row r="1906">
          <cell r="A1906">
            <v>67160</v>
          </cell>
          <cell r="B1906">
            <v>93</v>
          </cell>
          <cell r="C1906">
            <v>67</v>
          </cell>
          <cell r="D1906">
            <v>1536</v>
          </cell>
          <cell r="E1906" t="str">
            <v>Ho160</v>
          </cell>
        </row>
        <row r="1907">
          <cell r="A1907">
            <v>67161</v>
          </cell>
          <cell r="B1907">
            <v>94</v>
          </cell>
          <cell r="C1907">
            <v>67</v>
          </cell>
          <cell r="D1907">
            <v>8928</v>
          </cell>
          <cell r="E1907" t="str">
            <v>Ho161</v>
          </cell>
        </row>
        <row r="1908">
          <cell r="A1908">
            <v>67162</v>
          </cell>
          <cell r="B1908">
            <v>95</v>
          </cell>
          <cell r="C1908">
            <v>67</v>
          </cell>
          <cell r="D1908">
            <v>900</v>
          </cell>
          <cell r="E1908" t="str">
            <v>Ho162</v>
          </cell>
        </row>
        <row r="1909">
          <cell r="A1909">
            <v>67163</v>
          </cell>
          <cell r="B1909">
            <v>96</v>
          </cell>
          <cell r="C1909">
            <v>67</v>
          </cell>
          <cell r="D1909">
            <v>144218232000</v>
          </cell>
          <cell r="E1909" t="str">
            <v>Ho163</v>
          </cell>
        </row>
        <row r="1910">
          <cell r="A1910">
            <v>67164</v>
          </cell>
          <cell r="B1910">
            <v>97</v>
          </cell>
          <cell r="C1910">
            <v>67</v>
          </cell>
          <cell r="D1910">
            <v>1740</v>
          </cell>
          <cell r="E1910" t="str">
            <v>Ho164</v>
          </cell>
        </row>
        <row r="1911">
          <cell r="A1911">
            <v>67165</v>
          </cell>
          <cell r="B1911">
            <v>98</v>
          </cell>
          <cell r="C1911">
            <v>67</v>
          </cell>
          <cell r="D1911" t="str">
            <v>STABLE</v>
          </cell>
          <cell r="E1911" t="str">
            <v>Ho165</v>
          </cell>
        </row>
        <row r="1912">
          <cell r="A1912">
            <v>67166</v>
          </cell>
          <cell r="B1912">
            <v>99</v>
          </cell>
          <cell r="C1912">
            <v>67</v>
          </cell>
          <cell r="D1912">
            <v>96566.399999999994</v>
          </cell>
          <cell r="E1912" t="str">
            <v>Ho166</v>
          </cell>
        </row>
        <row r="1913">
          <cell r="A1913">
            <v>67167</v>
          </cell>
          <cell r="B1913">
            <v>100</v>
          </cell>
          <cell r="C1913">
            <v>67</v>
          </cell>
          <cell r="D1913">
            <v>10810.8</v>
          </cell>
          <cell r="E1913" t="str">
            <v>Ho167</v>
          </cell>
        </row>
        <row r="1914">
          <cell r="A1914">
            <v>67168</v>
          </cell>
          <cell r="B1914">
            <v>101</v>
          </cell>
          <cell r="C1914">
            <v>67</v>
          </cell>
          <cell r="D1914">
            <v>179.4</v>
          </cell>
          <cell r="E1914" t="str">
            <v>Ho168</v>
          </cell>
        </row>
        <row r="1915">
          <cell r="A1915">
            <v>67169</v>
          </cell>
          <cell r="B1915">
            <v>102</v>
          </cell>
          <cell r="C1915">
            <v>67</v>
          </cell>
          <cell r="D1915">
            <v>283.2</v>
          </cell>
          <cell r="E1915" t="str">
            <v>Ho169</v>
          </cell>
        </row>
        <row r="1916">
          <cell r="A1916">
            <v>67170</v>
          </cell>
          <cell r="B1916">
            <v>103</v>
          </cell>
          <cell r="C1916">
            <v>67</v>
          </cell>
          <cell r="D1916">
            <v>165.6</v>
          </cell>
          <cell r="E1916" t="str">
            <v>Ho170</v>
          </cell>
        </row>
        <row r="1917">
          <cell r="A1917">
            <v>67171</v>
          </cell>
          <cell r="B1917">
            <v>104</v>
          </cell>
          <cell r="C1917">
            <v>67</v>
          </cell>
          <cell r="D1917">
            <v>53</v>
          </cell>
          <cell r="E1917" t="str">
            <v>Ho171</v>
          </cell>
        </row>
        <row r="1918">
          <cell r="A1918">
            <v>67172</v>
          </cell>
          <cell r="B1918">
            <v>105</v>
          </cell>
          <cell r="C1918">
            <v>67</v>
          </cell>
          <cell r="D1918">
            <v>25</v>
          </cell>
          <cell r="E1918" t="str">
            <v>Ho172</v>
          </cell>
        </row>
        <row r="1919">
          <cell r="A1919">
            <v>67173</v>
          </cell>
          <cell r="B1919">
            <v>106</v>
          </cell>
          <cell r="C1919">
            <v>67</v>
          </cell>
          <cell r="D1919">
            <v>1.6E-7</v>
          </cell>
          <cell r="E1919" t="str">
            <v>Ho173</v>
          </cell>
        </row>
        <row r="1920">
          <cell r="A1920">
            <v>67174</v>
          </cell>
          <cell r="B1920">
            <v>107</v>
          </cell>
          <cell r="C1920">
            <v>67</v>
          </cell>
          <cell r="D1920">
            <v>1.6E-7</v>
          </cell>
          <cell r="E1920" t="str">
            <v>Ho174</v>
          </cell>
        </row>
        <row r="1921">
          <cell r="A1921">
            <v>67175</v>
          </cell>
          <cell r="B1921">
            <v>108</v>
          </cell>
          <cell r="C1921">
            <v>67</v>
          </cell>
          <cell r="D1921">
            <v>1.6E-7</v>
          </cell>
          <cell r="E1921" t="str">
            <v>Ho175</v>
          </cell>
        </row>
        <row r="1922">
          <cell r="A1922">
            <v>67176</v>
          </cell>
          <cell r="B1922">
            <v>109</v>
          </cell>
          <cell r="C1922">
            <v>67</v>
          </cell>
          <cell r="D1922">
            <v>1.6E-7</v>
          </cell>
          <cell r="E1922" t="str">
            <v>Ho176</v>
          </cell>
        </row>
        <row r="1923">
          <cell r="A1923">
            <v>68144</v>
          </cell>
          <cell r="B1923">
            <v>76</v>
          </cell>
          <cell r="C1923">
            <v>68</v>
          </cell>
          <cell r="D1923">
            <v>1.9999999999999999E-7</v>
          </cell>
          <cell r="E1923" t="str">
            <v>Er144</v>
          </cell>
        </row>
        <row r="1924">
          <cell r="A1924">
            <v>68145</v>
          </cell>
          <cell r="B1924">
            <v>77</v>
          </cell>
          <cell r="C1924">
            <v>68</v>
          </cell>
          <cell r="D1924">
            <v>1</v>
          </cell>
          <cell r="E1924" t="str">
            <v>Er145</v>
          </cell>
        </row>
        <row r="1925">
          <cell r="A1925">
            <v>68146</v>
          </cell>
          <cell r="B1925">
            <v>78</v>
          </cell>
          <cell r="C1925">
            <v>68</v>
          </cell>
          <cell r="D1925">
            <v>1.7</v>
          </cell>
          <cell r="E1925" t="str">
            <v>Er146</v>
          </cell>
        </row>
        <row r="1926">
          <cell r="A1926">
            <v>68147</v>
          </cell>
          <cell r="B1926">
            <v>79</v>
          </cell>
          <cell r="C1926">
            <v>68</v>
          </cell>
          <cell r="D1926">
            <v>2.5</v>
          </cell>
          <cell r="E1926" t="str">
            <v>Er147</v>
          </cell>
        </row>
        <row r="1927">
          <cell r="A1927">
            <v>68148</v>
          </cell>
          <cell r="B1927">
            <v>80</v>
          </cell>
          <cell r="C1927">
            <v>68</v>
          </cell>
          <cell r="D1927">
            <v>4.5999999999999996</v>
          </cell>
          <cell r="E1927" t="str">
            <v>Er148</v>
          </cell>
        </row>
        <row r="1928">
          <cell r="A1928">
            <v>68149</v>
          </cell>
          <cell r="B1928">
            <v>81</v>
          </cell>
          <cell r="C1928">
            <v>68</v>
          </cell>
          <cell r="D1928">
            <v>4</v>
          </cell>
          <cell r="E1928" t="str">
            <v>Er149</v>
          </cell>
        </row>
        <row r="1929">
          <cell r="A1929">
            <v>68150</v>
          </cell>
          <cell r="B1929">
            <v>82</v>
          </cell>
          <cell r="C1929">
            <v>68</v>
          </cell>
          <cell r="D1929">
            <v>18.5</v>
          </cell>
          <cell r="E1929" t="str">
            <v>Er150</v>
          </cell>
        </row>
        <row r="1930">
          <cell r="A1930">
            <v>68151</v>
          </cell>
          <cell r="B1930">
            <v>83</v>
          </cell>
          <cell r="C1930">
            <v>68</v>
          </cell>
          <cell r="D1930">
            <v>23.5</v>
          </cell>
          <cell r="E1930" t="str">
            <v>Er151</v>
          </cell>
        </row>
        <row r="1931">
          <cell r="A1931">
            <v>68152</v>
          </cell>
          <cell r="B1931">
            <v>84</v>
          </cell>
          <cell r="C1931">
            <v>68</v>
          </cell>
          <cell r="D1931">
            <v>10.3</v>
          </cell>
          <cell r="E1931" t="str">
            <v>Er152</v>
          </cell>
        </row>
        <row r="1932">
          <cell r="A1932">
            <v>68153</v>
          </cell>
          <cell r="B1932">
            <v>85</v>
          </cell>
          <cell r="C1932">
            <v>68</v>
          </cell>
          <cell r="D1932">
            <v>37.1</v>
          </cell>
          <cell r="E1932" t="str">
            <v>Er153</v>
          </cell>
        </row>
        <row r="1933">
          <cell r="A1933">
            <v>68154</v>
          </cell>
          <cell r="B1933">
            <v>86</v>
          </cell>
          <cell r="C1933">
            <v>68</v>
          </cell>
          <cell r="D1933">
            <v>223.8</v>
          </cell>
          <cell r="E1933" t="str">
            <v>Er154</v>
          </cell>
        </row>
        <row r="1934">
          <cell r="A1934">
            <v>68155</v>
          </cell>
          <cell r="B1934">
            <v>87</v>
          </cell>
          <cell r="C1934">
            <v>68</v>
          </cell>
          <cell r="D1934">
            <v>318</v>
          </cell>
          <cell r="E1934" t="str">
            <v>Er155</v>
          </cell>
        </row>
        <row r="1935">
          <cell r="A1935">
            <v>68156</v>
          </cell>
          <cell r="B1935">
            <v>88</v>
          </cell>
          <cell r="C1935">
            <v>68</v>
          </cell>
          <cell r="D1935">
            <v>1170</v>
          </cell>
          <cell r="E1935" t="str">
            <v>Er156</v>
          </cell>
        </row>
        <row r="1936">
          <cell r="A1936">
            <v>68157</v>
          </cell>
          <cell r="B1936">
            <v>89</v>
          </cell>
          <cell r="C1936">
            <v>68</v>
          </cell>
          <cell r="D1936">
            <v>1119</v>
          </cell>
          <cell r="E1936" t="str">
            <v>Er157</v>
          </cell>
        </row>
        <row r="1937">
          <cell r="A1937">
            <v>68158</v>
          </cell>
          <cell r="B1937">
            <v>90</v>
          </cell>
          <cell r="C1937">
            <v>68</v>
          </cell>
          <cell r="D1937">
            <v>8244</v>
          </cell>
          <cell r="E1937" t="str">
            <v>Er158</v>
          </cell>
        </row>
        <row r="1938">
          <cell r="A1938">
            <v>68159</v>
          </cell>
          <cell r="B1938">
            <v>91</v>
          </cell>
          <cell r="C1938">
            <v>68</v>
          </cell>
          <cell r="D1938">
            <v>2160</v>
          </cell>
          <cell r="E1938" t="str">
            <v>Er159</v>
          </cell>
        </row>
        <row r="1939">
          <cell r="A1939">
            <v>68160</v>
          </cell>
          <cell r="B1939">
            <v>92</v>
          </cell>
          <cell r="C1939">
            <v>68</v>
          </cell>
          <cell r="D1939">
            <v>102888</v>
          </cell>
          <cell r="E1939" t="str">
            <v>Er160</v>
          </cell>
        </row>
        <row r="1940">
          <cell r="A1940">
            <v>68161</v>
          </cell>
          <cell r="B1940">
            <v>93</v>
          </cell>
          <cell r="C1940">
            <v>68</v>
          </cell>
          <cell r="D1940">
            <v>11556</v>
          </cell>
          <cell r="E1940" t="str">
            <v>Er161</v>
          </cell>
        </row>
        <row r="1941">
          <cell r="A1941">
            <v>68162</v>
          </cell>
          <cell r="B1941">
            <v>94</v>
          </cell>
          <cell r="C1941">
            <v>68</v>
          </cell>
          <cell r="D1941" t="str">
            <v>STABLE</v>
          </cell>
          <cell r="E1941" t="str">
            <v>Er162</v>
          </cell>
        </row>
        <row r="1942">
          <cell r="A1942">
            <v>68163</v>
          </cell>
          <cell r="B1942">
            <v>95</v>
          </cell>
          <cell r="C1942">
            <v>68</v>
          </cell>
          <cell r="D1942">
            <v>4500</v>
          </cell>
          <cell r="E1942" t="str">
            <v>Er163</v>
          </cell>
        </row>
        <row r="1943">
          <cell r="A1943">
            <v>68164</v>
          </cell>
          <cell r="B1943">
            <v>96</v>
          </cell>
          <cell r="C1943">
            <v>68</v>
          </cell>
          <cell r="D1943" t="str">
            <v>STABLE</v>
          </cell>
          <cell r="E1943" t="str">
            <v>Er164</v>
          </cell>
        </row>
        <row r="1944">
          <cell r="A1944">
            <v>68165</v>
          </cell>
          <cell r="B1944">
            <v>97</v>
          </cell>
          <cell r="C1944">
            <v>68</v>
          </cell>
          <cell r="D1944">
            <v>37296</v>
          </cell>
          <cell r="E1944" t="str">
            <v>Er165</v>
          </cell>
        </row>
        <row r="1945">
          <cell r="A1945">
            <v>68166</v>
          </cell>
          <cell r="B1945">
            <v>98</v>
          </cell>
          <cell r="C1945">
            <v>68</v>
          </cell>
          <cell r="D1945" t="str">
            <v>STABLE</v>
          </cell>
          <cell r="E1945" t="str">
            <v>Er166</v>
          </cell>
        </row>
        <row r="1946">
          <cell r="A1946">
            <v>68167</v>
          </cell>
          <cell r="B1946">
            <v>99</v>
          </cell>
          <cell r="C1946">
            <v>68</v>
          </cell>
          <cell r="D1946" t="str">
            <v>STABLE</v>
          </cell>
          <cell r="E1946" t="str">
            <v>Er167</v>
          </cell>
        </row>
        <row r="1947">
          <cell r="A1947">
            <v>68168</v>
          </cell>
          <cell r="B1947">
            <v>100</v>
          </cell>
          <cell r="C1947">
            <v>68</v>
          </cell>
          <cell r="D1947" t="str">
            <v>STABLE</v>
          </cell>
          <cell r="E1947" t="str">
            <v>Er168</v>
          </cell>
        </row>
        <row r="1948">
          <cell r="A1948">
            <v>68169</v>
          </cell>
          <cell r="B1948">
            <v>101</v>
          </cell>
          <cell r="C1948">
            <v>68</v>
          </cell>
          <cell r="D1948">
            <v>811468.799999999</v>
          </cell>
          <cell r="E1948" t="str">
            <v>Er169</v>
          </cell>
        </row>
        <row r="1949">
          <cell r="A1949">
            <v>68170</v>
          </cell>
          <cell r="B1949">
            <v>102</v>
          </cell>
          <cell r="C1949">
            <v>68</v>
          </cell>
          <cell r="D1949" t="str">
            <v>STABLE</v>
          </cell>
          <cell r="E1949" t="str">
            <v>Er170</v>
          </cell>
        </row>
        <row r="1950">
          <cell r="A1950">
            <v>68171</v>
          </cell>
          <cell r="B1950">
            <v>103</v>
          </cell>
          <cell r="C1950">
            <v>68</v>
          </cell>
          <cell r="D1950">
            <v>27057.599999999999</v>
          </cell>
          <cell r="E1950" t="str">
            <v>Er171</v>
          </cell>
        </row>
        <row r="1951">
          <cell r="A1951">
            <v>68172</v>
          </cell>
          <cell r="B1951">
            <v>104</v>
          </cell>
          <cell r="C1951">
            <v>68</v>
          </cell>
          <cell r="D1951">
            <v>177480</v>
          </cell>
          <cell r="E1951" t="str">
            <v>Er172</v>
          </cell>
        </row>
        <row r="1952">
          <cell r="A1952">
            <v>68173</v>
          </cell>
          <cell r="B1952">
            <v>105</v>
          </cell>
          <cell r="C1952">
            <v>68</v>
          </cell>
          <cell r="D1952">
            <v>84</v>
          </cell>
          <cell r="E1952" t="str">
            <v>Er173</v>
          </cell>
        </row>
        <row r="1953">
          <cell r="A1953">
            <v>68174</v>
          </cell>
          <cell r="B1953">
            <v>106</v>
          </cell>
          <cell r="C1953">
            <v>68</v>
          </cell>
          <cell r="D1953">
            <v>192</v>
          </cell>
          <cell r="E1953" t="str">
            <v>Er174</v>
          </cell>
        </row>
        <row r="1954">
          <cell r="A1954">
            <v>68175</v>
          </cell>
          <cell r="B1954">
            <v>107</v>
          </cell>
          <cell r="C1954">
            <v>68</v>
          </cell>
          <cell r="D1954">
            <v>72</v>
          </cell>
          <cell r="E1954" t="str">
            <v>Er175</v>
          </cell>
        </row>
        <row r="1955">
          <cell r="A1955">
            <v>68176</v>
          </cell>
          <cell r="B1955">
            <v>108</v>
          </cell>
          <cell r="C1955">
            <v>68</v>
          </cell>
          <cell r="D1955">
            <v>1.6E-7</v>
          </cell>
          <cell r="E1955" t="str">
            <v>Er176</v>
          </cell>
        </row>
        <row r="1956">
          <cell r="A1956">
            <v>68177</v>
          </cell>
          <cell r="B1956">
            <v>109</v>
          </cell>
          <cell r="C1956">
            <v>68</v>
          </cell>
          <cell r="D1956">
            <v>1.6E-7</v>
          </cell>
          <cell r="E1956" t="str">
            <v>Er177</v>
          </cell>
        </row>
        <row r="1957">
          <cell r="A1957">
            <v>68178</v>
          </cell>
          <cell r="B1957">
            <v>110</v>
          </cell>
          <cell r="C1957">
            <v>68</v>
          </cell>
          <cell r="D1957">
            <v>1.6E-7</v>
          </cell>
          <cell r="E1957" t="str">
            <v>Er178</v>
          </cell>
        </row>
        <row r="1958">
          <cell r="A1958">
            <v>69144</v>
          </cell>
          <cell r="B1958">
            <v>75</v>
          </cell>
          <cell r="C1958">
            <v>69</v>
          </cell>
          <cell r="D1958">
            <v>1.8999999999999901E-6</v>
          </cell>
          <cell r="E1958" t="str">
            <v>Tm144</v>
          </cell>
        </row>
        <row r="1959">
          <cell r="A1959">
            <v>69145</v>
          </cell>
          <cell r="B1959">
            <v>76</v>
          </cell>
          <cell r="C1959">
            <v>69</v>
          </cell>
          <cell r="D1959">
            <v>3.16999999999999E-6</v>
          </cell>
          <cell r="E1959" t="str">
            <v>Tm145</v>
          </cell>
        </row>
        <row r="1960">
          <cell r="A1960">
            <v>69146</v>
          </cell>
          <cell r="B1960">
            <v>77</v>
          </cell>
          <cell r="C1960">
            <v>69</v>
          </cell>
          <cell r="D1960">
            <v>6.8000000000000005E-2</v>
          </cell>
          <cell r="E1960" t="str">
            <v>Tm146</v>
          </cell>
        </row>
        <row r="1961">
          <cell r="A1961">
            <v>69147</v>
          </cell>
          <cell r="B1961">
            <v>78</v>
          </cell>
          <cell r="C1961">
            <v>69</v>
          </cell>
          <cell r="D1961">
            <v>0.57999999999999996</v>
          </cell>
          <cell r="E1961" t="str">
            <v>Tm147</v>
          </cell>
        </row>
        <row r="1962">
          <cell r="A1962">
            <v>69148</v>
          </cell>
          <cell r="B1962">
            <v>79</v>
          </cell>
          <cell r="C1962">
            <v>69</v>
          </cell>
          <cell r="D1962">
            <v>0.7</v>
          </cell>
          <cell r="E1962" t="str">
            <v>Tm148</v>
          </cell>
        </row>
        <row r="1963">
          <cell r="A1963">
            <v>69149</v>
          </cell>
          <cell r="B1963">
            <v>80</v>
          </cell>
          <cell r="C1963">
            <v>69</v>
          </cell>
          <cell r="D1963">
            <v>0.9</v>
          </cell>
          <cell r="E1963" t="str">
            <v>Tm149</v>
          </cell>
        </row>
        <row r="1964">
          <cell r="A1964">
            <v>69150</v>
          </cell>
          <cell r="B1964">
            <v>81</v>
          </cell>
          <cell r="C1964">
            <v>69</v>
          </cell>
          <cell r="D1964">
            <v>2.2000000000000002</v>
          </cell>
          <cell r="E1964" t="str">
            <v>Tm150</v>
          </cell>
        </row>
        <row r="1965">
          <cell r="A1965">
            <v>69151</v>
          </cell>
          <cell r="B1965">
            <v>82</v>
          </cell>
          <cell r="C1965">
            <v>69</v>
          </cell>
          <cell r="D1965">
            <v>4.17</v>
          </cell>
          <cell r="E1965" t="str">
            <v>Tm151</v>
          </cell>
        </row>
        <row r="1966">
          <cell r="A1966">
            <v>69152</v>
          </cell>
          <cell r="B1966">
            <v>83</v>
          </cell>
          <cell r="C1966">
            <v>69</v>
          </cell>
          <cell r="D1966">
            <v>8</v>
          </cell>
          <cell r="E1966" t="str">
            <v>Tm152</v>
          </cell>
        </row>
        <row r="1967">
          <cell r="A1967">
            <v>69153</v>
          </cell>
          <cell r="B1967">
            <v>84</v>
          </cell>
          <cell r="C1967">
            <v>69</v>
          </cell>
          <cell r="D1967">
            <v>1.48</v>
          </cell>
          <cell r="E1967" t="str">
            <v>Tm153</v>
          </cell>
        </row>
        <row r="1968">
          <cell r="A1968">
            <v>69154</v>
          </cell>
          <cell r="B1968">
            <v>85</v>
          </cell>
          <cell r="C1968">
            <v>69</v>
          </cell>
          <cell r="D1968">
            <v>8.1</v>
          </cell>
          <cell r="E1968" t="str">
            <v>Tm154</v>
          </cell>
        </row>
        <row r="1969">
          <cell r="A1969">
            <v>69155</v>
          </cell>
          <cell r="B1969">
            <v>86</v>
          </cell>
          <cell r="C1969">
            <v>69</v>
          </cell>
          <cell r="D1969">
            <v>21.6</v>
          </cell>
          <cell r="E1969" t="str">
            <v>Tm155</v>
          </cell>
        </row>
        <row r="1970">
          <cell r="A1970">
            <v>69156</v>
          </cell>
          <cell r="B1970">
            <v>87</v>
          </cell>
          <cell r="C1970">
            <v>69</v>
          </cell>
          <cell r="D1970">
            <v>83.8</v>
          </cell>
          <cell r="E1970" t="str">
            <v>Tm156</v>
          </cell>
        </row>
        <row r="1971">
          <cell r="A1971">
            <v>69157</v>
          </cell>
          <cell r="B1971">
            <v>88</v>
          </cell>
          <cell r="C1971">
            <v>69</v>
          </cell>
          <cell r="D1971">
            <v>217.79999999999899</v>
          </cell>
          <cell r="E1971" t="str">
            <v>Tm157</v>
          </cell>
        </row>
        <row r="1972">
          <cell r="A1972">
            <v>69158</v>
          </cell>
          <cell r="B1972">
            <v>89</v>
          </cell>
          <cell r="C1972">
            <v>69</v>
          </cell>
          <cell r="D1972">
            <v>238.8</v>
          </cell>
          <cell r="E1972" t="str">
            <v>Tm158</v>
          </cell>
        </row>
        <row r="1973">
          <cell r="A1973">
            <v>69159</v>
          </cell>
          <cell r="B1973">
            <v>90</v>
          </cell>
          <cell r="C1973">
            <v>69</v>
          </cell>
          <cell r="D1973">
            <v>547.79999999999995</v>
          </cell>
          <cell r="E1973" t="str">
            <v>Tm159</v>
          </cell>
        </row>
        <row r="1974">
          <cell r="A1974">
            <v>69160</v>
          </cell>
          <cell r="B1974">
            <v>91</v>
          </cell>
          <cell r="C1974">
            <v>69</v>
          </cell>
          <cell r="D1974">
            <v>564</v>
          </cell>
          <cell r="E1974" t="str">
            <v>Tm160</v>
          </cell>
        </row>
        <row r="1975">
          <cell r="A1975">
            <v>69161</v>
          </cell>
          <cell r="B1975">
            <v>92</v>
          </cell>
          <cell r="C1975">
            <v>69</v>
          </cell>
          <cell r="D1975">
            <v>1812</v>
          </cell>
          <cell r="E1975" t="str">
            <v>Tm161</v>
          </cell>
        </row>
        <row r="1976">
          <cell r="A1976">
            <v>69162</v>
          </cell>
          <cell r="B1976">
            <v>93</v>
          </cell>
          <cell r="C1976">
            <v>69</v>
          </cell>
          <cell r="D1976">
            <v>1302</v>
          </cell>
          <cell r="E1976" t="str">
            <v>Tm162</v>
          </cell>
        </row>
        <row r="1977">
          <cell r="A1977">
            <v>69163</v>
          </cell>
          <cell r="B1977">
            <v>94</v>
          </cell>
          <cell r="C1977">
            <v>69</v>
          </cell>
          <cell r="D1977">
            <v>6516</v>
          </cell>
          <cell r="E1977" t="str">
            <v>Tm163</v>
          </cell>
        </row>
        <row r="1978">
          <cell r="A1978">
            <v>69164</v>
          </cell>
          <cell r="B1978">
            <v>95</v>
          </cell>
          <cell r="C1978">
            <v>69</v>
          </cell>
          <cell r="D1978">
            <v>120</v>
          </cell>
          <cell r="E1978" t="str">
            <v>Tm164</v>
          </cell>
        </row>
        <row r="1979">
          <cell r="A1979">
            <v>69165</v>
          </cell>
          <cell r="B1979">
            <v>96</v>
          </cell>
          <cell r="C1979">
            <v>69</v>
          </cell>
          <cell r="D1979">
            <v>108216</v>
          </cell>
          <cell r="E1979" t="str">
            <v>Tm165</v>
          </cell>
        </row>
        <row r="1980">
          <cell r="A1980">
            <v>69166</v>
          </cell>
          <cell r="B1980">
            <v>97</v>
          </cell>
          <cell r="C1980">
            <v>69</v>
          </cell>
          <cell r="D1980">
            <v>27720</v>
          </cell>
          <cell r="E1980" t="str">
            <v>Tm166</v>
          </cell>
        </row>
        <row r="1981">
          <cell r="A1981">
            <v>69167</v>
          </cell>
          <cell r="B1981">
            <v>98</v>
          </cell>
          <cell r="C1981">
            <v>69</v>
          </cell>
          <cell r="D1981">
            <v>799200</v>
          </cell>
          <cell r="E1981" t="str">
            <v>Tm167</v>
          </cell>
        </row>
        <row r="1982">
          <cell r="A1982">
            <v>69168</v>
          </cell>
          <cell r="B1982">
            <v>99</v>
          </cell>
          <cell r="C1982">
            <v>69</v>
          </cell>
          <cell r="D1982">
            <v>8043839.9999999898</v>
          </cell>
          <cell r="E1982" t="str">
            <v>Tm168</v>
          </cell>
        </row>
        <row r="1983">
          <cell r="A1983">
            <v>69169</v>
          </cell>
          <cell r="B1983">
            <v>100</v>
          </cell>
          <cell r="C1983">
            <v>69</v>
          </cell>
          <cell r="D1983" t="str">
            <v>STABLE</v>
          </cell>
          <cell r="E1983" t="str">
            <v>Tm169</v>
          </cell>
        </row>
        <row r="1984">
          <cell r="A1984">
            <v>69170</v>
          </cell>
          <cell r="B1984">
            <v>101</v>
          </cell>
          <cell r="C1984">
            <v>69</v>
          </cell>
          <cell r="D1984">
            <v>11111040</v>
          </cell>
          <cell r="E1984" t="str">
            <v>Tm170</v>
          </cell>
        </row>
        <row r="1985">
          <cell r="A1985">
            <v>69171</v>
          </cell>
          <cell r="B1985">
            <v>102</v>
          </cell>
          <cell r="C1985">
            <v>69</v>
          </cell>
          <cell r="D1985">
            <v>60590592</v>
          </cell>
          <cell r="E1985" t="str">
            <v>Tm171</v>
          </cell>
        </row>
        <row r="1986">
          <cell r="A1986">
            <v>69172</v>
          </cell>
          <cell r="B1986">
            <v>103</v>
          </cell>
          <cell r="C1986">
            <v>69</v>
          </cell>
          <cell r="D1986">
            <v>228960</v>
          </cell>
          <cell r="E1986" t="str">
            <v>Tm172</v>
          </cell>
        </row>
        <row r="1987">
          <cell r="A1987">
            <v>69173</v>
          </cell>
          <cell r="B1987">
            <v>104</v>
          </cell>
          <cell r="C1987">
            <v>69</v>
          </cell>
          <cell r="D1987">
            <v>29664</v>
          </cell>
          <cell r="E1987" t="str">
            <v>Tm173</v>
          </cell>
        </row>
        <row r="1988">
          <cell r="A1988">
            <v>69174</v>
          </cell>
          <cell r="B1988">
            <v>105</v>
          </cell>
          <cell r="C1988">
            <v>69</v>
          </cell>
          <cell r="D1988">
            <v>324</v>
          </cell>
          <cell r="E1988" t="str">
            <v>Tm174</v>
          </cell>
        </row>
        <row r="1989">
          <cell r="A1989">
            <v>69175</v>
          </cell>
          <cell r="B1989">
            <v>106</v>
          </cell>
          <cell r="C1989">
            <v>69</v>
          </cell>
          <cell r="D1989">
            <v>912</v>
          </cell>
          <cell r="E1989" t="str">
            <v>Tm175</v>
          </cell>
        </row>
        <row r="1990">
          <cell r="A1990">
            <v>69176</v>
          </cell>
          <cell r="B1990">
            <v>107</v>
          </cell>
          <cell r="C1990">
            <v>69</v>
          </cell>
          <cell r="D1990">
            <v>114</v>
          </cell>
          <cell r="E1990" t="str">
            <v>Tm176</v>
          </cell>
        </row>
        <row r="1991">
          <cell r="A1991">
            <v>69177</v>
          </cell>
          <cell r="B1991">
            <v>108</v>
          </cell>
          <cell r="C1991">
            <v>69</v>
          </cell>
          <cell r="D1991">
            <v>90</v>
          </cell>
          <cell r="E1991" t="str">
            <v>Tm177</v>
          </cell>
        </row>
        <row r="1992">
          <cell r="A1992">
            <v>69178</v>
          </cell>
          <cell r="B1992">
            <v>109</v>
          </cell>
          <cell r="C1992">
            <v>69</v>
          </cell>
          <cell r="D1992">
            <v>2.9999999999999999E-7</v>
          </cell>
          <cell r="E1992" t="str">
            <v>Tm178</v>
          </cell>
        </row>
        <row r="1993">
          <cell r="A1993">
            <v>69179</v>
          </cell>
          <cell r="B1993">
            <v>110</v>
          </cell>
          <cell r="C1993">
            <v>69</v>
          </cell>
          <cell r="D1993">
            <v>1.6E-7</v>
          </cell>
          <cell r="E1993" t="str">
            <v>Tm179</v>
          </cell>
        </row>
        <row r="1994">
          <cell r="A1994">
            <v>69180</v>
          </cell>
          <cell r="B1994">
            <v>111</v>
          </cell>
          <cell r="C1994">
            <v>69</v>
          </cell>
          <cell r="D1994">
            <v>1.6E-7</v>
          </cell>
          <cell r="E1994" t="str">
            <v>Tm180</v>
          </cell>
        </row>
        <row r="1995">
          <cell r="A1995">
            <v>69181</v>
          </cell>
          <cell r="B1995">
            <v>112</v>
          </cell>
          <cell r="C1995">
            <v>69</v>
          </cell>
          <cell r="D1995">
            <v>1.6E-7</v>
          </cell>
          <cell r="E1995" t="str">
            <v>Tm181</v>
          </cell>
        </row>
        <row r="1996">
          <cell r="A1996">
            <v>70149</v>
          </cell>
          <cell r="B1996">
            <v>79</v>
          </cell>
          <cell r="C1996">
            <v>70</v>
          </cell>
          <cell r="D1996">
            <v>0.7</v>
          </cell>
          <cell r="E1996" t="str">
            <v>Yb149</v>
          </cell>
        </row>
        <row r="1997">
          <cell r="A1997">
            <v>70150</v>
          </cell>
          <cell r="B1997">
            <v>80</v>
          </cell>
          <cell r="C1997">
            <v>70</v>
          </cell>
          <cell r="D1997">
            <v>1.9999999999999999E-7</v>
          </cell>
          <cell r="E1997" t="str">
            <v>Yb150</v>
          </cell>
        </row>
        <row r="1998">
          <cell r="A1998">
            <v>70151</v>
          </cell>
          <cell r="B1998">
            <v>81</v>
          </cell>
          <cell r="C1998">
            <v>70</v>
          </cell>
          <cell r="D1998">
            <v>1.6</v>
          </cell>
          <cell r="E1998" t="str">
            <v>Yb151</v>
          </cell>
        </row>
        <row r="1999">
          <cell r="A1999">
            <v>70152</v>
          </cell>
          <cell r="B1999">
            <v>82</v>
          </cell>
          <cell r="C1999">
            <v>70</v>
          </cell>
          <cell r="D1999">
            <v>3.03</v>
          </cell>
          <cell r="E1999" t="str">
            <v>Yb152</v>
          </cell>
        </row>
        <row r="2000">
          <cell r="A2000">
            <v>70153</v>
          </cell>
          <cell r="B2000">
            <v>83</v>
          </cell>
          <cell r="C2000">
            <v>70</v>
          </cell>
          <cell r="D2000">
            <v>4.2</v>
          </cell>
          <cell r="E2000" t="str">
            <v>Yb153</v>
          </cell>
        </row>
        <row r="2001">
          <cell r="A2001">
            <v>70154</v>
          </cell>
          <cell r="B2001">
            <v>84</v>
          </cell>
          <cell r="C2001">
            <v>70</v>
          </cell>
          <cell r="D2001">
            <v>0.40899999999999997</v>
          </cell>
          <cell r="E2001" t="str">
            <v>Yb154</v>
          </cell>
        </row>
        <row r="2002">
          <cell r="A2002">
            <v>70155</v>
          </cell>
          <cell r="B2002">
            <v>85</v>
          </cell>
          <cell r="C2002">
            <v>70</v>
          </cell>
          <cell r="D2002">
            <v>1.7929999999999999</v>
          </cell>
          <cell r="E2002" t="str">
            <v>Yb155</v>
          </cell>
        </row>
        <row r="2003">
          <cell r="A2003">
            <v>70156</v>
          </cell>
          <cell r="B2003">
            <v>86</v>
          </cell>
          <cell r="C2003">
            <v>70</v>
          </cell>
          <cell r="D2003">
            <v>26.1</v>
          </cell>
          <cell r="E2003" t="str">
            <v>Yb156</v>
          </cell>
        </row>
        <row r="2004">
          <cell r="A2004">
            <v>70157</v>
          </cell>
          <cell r="B2004">
            <v>87</v>
          </cell>
          <cell r="C2004">
            <v>70</v>
          </cell>
          <cell r="D2004">
            <v>38.6</v>
          </cell>
          <cell r="E2004" t="str">
            <v>Yb157</v>
          </cell>
        </row>
        <row r="2005">
          <cell r="A2005">
            <v>70158</v>
          </cell>
          <cell r="B2005">
            <v>88</v>
          </cell>
          <cell r="C2005">
            <v>70</v>
          </cell>
          <cell r="D2005">
            <v>89.4</v>
          </cell>
          <cell r="E2005" t="str">
            <v>Yb158</v>
          </cell>
        </row>
        <row r="2006">
          <cell r="A2006">
            <v>70159</v>
          </cell>
          <cell r="B2006">
            <v>89</v>
          </cell>
          <cell r="C2006">
            <v>70</v>
          </cell>
          <cell r="D2006">
            <v>100.19999999999899</v>
          </cell>
          <cell r="E2006" t="str">
            <v>Yb159</v>
          </cell>
        </row>
        <row r="2007">
          <cell r="A2007">
            <v>70160</v>
          </cell>
          <cell r="B2007">
            <v>90</v>
          </cell>
          <cell r="C2007">
            <v>70</v>
          </cell>
          <cell r="D2007">
            <v>288</v>
          </cell>
          <cell r="E2007" t="str">
            <v>Yb160</v>
          </cell>
        </row>
        <row r="2008">
          <cell r="A2008">
            <v>70161</v>
          </cell>
          <cell r="B2008">
            <v>91</v>
          </cell>
          <cell r="C2008">
            <v>70</v>
          </cell>
          <cell r="D2008">
            <v>252</v>
          </cell>
          <cell r="E2008" t="str">
            <v>Yb161</v>
          </cell>
        </row>
        <row r="2009">
          <cell r="A2009">
            <v>70162</v>
          </cell>
          <cell r="B2009">
            <v>92</v>
          </cell>
          <cell r="C2009">
            <v>70</v>
          </cell>
          <cell r="D2009">
            <v>1132.2</v>
          </cell>
          <cell r="E2009" t="str">
            <v>Yb162</v>
          </cell>
        </row>
        <row r="2010">
          <cell r="A2010">
            <v>70163</v>
          </cell>
          <cell r="B2010">
            <v>93</v>
          </cell>
          <cell r="C2010">
            <v>70</v>
          </cell>
          <cell r="D2010">
            <v>663</v>
          </cell>
          <cell r="E2010" t="str">
            <v>Yb163</v>
          </cell>
        </row>
        <row r="2011">
          <cell r="A2011">
            <v>70164</v>
          </cell>
          <cell r="B2011">
            <v>94</v>
          </cell>
          <cell r="C2011">
            <v>70</v>
          </cell>
          <cell r="D2011">
            <v>4548</v>
          </cell>
          <cell r="E2011" t="str">
            <v>Yb164</v>
          </cell>
        </row>
        <row r="2012">
          <cell r="A2012">
            <v>70165</v>
          </cell>
          <cell r="B2012">
            <v>95</v>
          </cell>
          <cell r="C2012">
            <v>70</v>
          </cell>
          <cell r="D2012">
            <v>594</v>
          </cell>
          <cell r="E2012" t="str">
            <v>Yb165</v>
          </cell>
        </row>
        <row r="2013">
          <cell r="A2013">
            <v>70166</v>
          </cell>
          <cell r="B2013">
            <v>96</v>
          </cell>
          <cell r="C2013">
            <v>70</v>
          </cell>
          <cell r="D2013">
            <v>204120</v>
          </cell>
          <cell r="E2013" t="str">
            <v>Yb166</v>
          </cell>
        </row>
        <row r="2014">
          <cell r="A2014">
            <v>70167</v>
          </cell>
          <cell r="B2014">
            <v>97</v>
          </cell>
          <cell r="C2014">
            <v>70</v>
          </cell>
          <cell r="D2014">
            <v>1050</v>
          </cell>
          <cell r="E2014" t="str">
            <v>Yb167</v>
          </cell>
        </row>
        <row r="2015">
          <cell r="A2015">
            <v>70168</v>
          </cell>
          <cell r="B2015">
            <v>98</v>
          </cell>
          <cell r="C2015">
            <v>70</v>
          </cell>
          <cell r="D2015" t="str">
            <v>STABLE</v>
          </cell>
          <cell r="E2015" t="str">
            <v>Yb168</v>
          </cell>
        </row>
        <row r="2016">
          <cell r="A2016">
            <v>70169</v>
          </cell>
          <cell r="B2016">
            <v>99</v>
          </cell>
          <cell r="C2016">
            <v>70</v>
          </cell>
          <cell r="D2016">
            <v>2766355.2</v>
          </cell>
          <cell r="E2016" t="str">
            <v>Yb169</v>
          </cell>
        </row>
        <row r="2017">
          <cell r="A2017">
            <v>70170</v>
          </cell>
          <cell r="B2017">
            <v>100</v>
          </cell>
          <cell r="C2017">
            <v>70</v>
          </cell>
          <cell r="D2017" t="str">
            <v>STABLE</v>
          </cell>
          <cell r="E2017" t="str">
            <v>Yb170</v>
          </cell>
        </row>
        <row r="2018">
          <cell r="A2018">
            <v>70171</v>
          </cell>
          <cell r="B2018">
            <v>101</v>
          </cell>
          <cell r="C2018">
            <v>70</v>
          </cell>
          <cell r="D2018" t="str">
            <v>STABLE</v>
          </cell>
          <cell r="E2018" t="str">
            <v>Yb171</v>
          </cell>
        </row>
        <row r="2019">
          <cell r="A2019">
            <v>70172</v>
          </cell>
          <cell r="B2019">
            <v>102</v>
          </cell>
          <cell r="C2019">
            <v>70</v>
          </cell>
          <cell r="D2019" t="str">
            <v>STABLE</v>
          </cell>
          <cell r="E2019" t="str">
            <v>Yb172</v>
          </cell>
        </row>
        <row r="2020">
          <cell r="A2020">
            <v>70173</v>
          </cell>
          <cell r="B2020">
            <v>103</v>
          </cell>
          <cell r="C2020">
            <v>70</v>
          </cell>
          <cell r="D2020" t="str">
            <v>STABLE</v>
          </cell>
          <cell r="E2020" t="str">
            <v>Yb173</v>
          </cell>
        </row>
        <row r="2021">
          <cell r="A2021">
            <v>70174</v>
          </cell>
          <cell r="B2021">
            <v>104</v>
          </cell>
          <cell r="C2021">
            <v>70</v>
          </cell>
          <cell r="D2021" t="str">
            <v>STABLE</v>
          </cell>
          <cell r="E2021" t="str">
            <v>Yb174</v>
          </cell>
        </row>
        <row r="2022">
          <cell r="A2022">
            <v>70175</v>
          </cell>
          <cell r="B2022">
            <v>105</v>
          </cell>
          <cell r="C2022">
            <v>70</v>
          </cell>
          <cell r="D2022">
            <v>361583.99999999901</v>
          </cell>
          <cell r="E2022" t="str">
            <v>Yb175</v>
          </cell>
        </row>
        <row r="2023">
          <cell r="A2023">
            <v>70176</v>
          </cell>
          <cell r="B2023">
            <v>106</v>
          </cell>
          <cell r="C2023">
            <v>70</v>
          </cell>
          <cell r="D2023" t="str">
            <v>STABLE</v>
          </cell>
          <cell r="E2023" t="str">
            <v>Yb176</v>
          </cell>
        </row>
        <row r="2024">
          <cell r="A2024">
            <v>70177</v>
          </cell>
          <cell r="B2024">
            <v>107</v>
          </cell>
          <cell r="C2024">
            <v>70</v>
          </cell>
          <cell r="D2024">
            <v>6879.6</v>
          </cell>
          <cell r="E2024" t="str">
            <v>Yb177</v>
          </cell>
        </row>
        <row r="2025">
          <cell r="A2025">
            <v>70178</v>
          </cell>
          <cell r="B2025">
            <v>108</v>
          </cell>
          <cell r="C2025">
            <v>70</v>
          </cell>
          <cell r="D2025">
            <v>4440</v>
          </cell>
          <cell r="E2025" t="str">
            <v>Yb178</v>
          </cell>
        </row>
        <row r="2026">
          <cell r="A2026">
            <v>70179</v>
          </cell>
          <cell r="B2026">
            <v>109</v>
          </cell>
          <cell r="C2026">
            <v>70</v>
          </cell>
          <cell r="D2026">
            <v>480</v>
          </cell>
          <cell r="E2026" t="str">
            <v>Yb179</v>
          </cell>
        </row>
        <row r="2027">
          <cell r="A2027">
            <v>70180</v>
          </cell>
          <cell r="B2027">
            <v>110</v>
          </cell>
          <cell r="C2027">
            <v>70</v>
          </cell>
          <cell r="D2027">
            <v>144</v>
          </cell>
          <cell r="E2027" t="str">
            <v>Yb180</v>
          </cell>
        </row>
        <row r="2028">
          <cell r="A2028">
            <v>70181</v>
          </cell>
          <cell r="B2028">
            <v>111</v>
          </cell>
          <cell r="C2028">
            <v>70</v>
          </cell>
          <cell r="D2028">
            <v>1.6E-7</v>
          </cell>
          <cell r="E2028" t="str">
            <v>Yb181</v>
          </cell>
        </row>
        <row r="2029">
          <cell r="A2029">
            <v>70182</v>
          </cell>
          <cell r="B2029">
            <v>112</v>
          </cell>
          <cell r="C2029">
            <v>70</v>
          </cell>
          <cell r="D2029">
            <v>1.6E-7</v>
          </cell>
          <cell r="E2029" t="str">
            <v>Yb182</v>
          </cell>
        </row>
        <row r="2030">
          <cell r="A2030">
            <v>70183</v>
          </cell>
          <cell r="B2030">
            <v>113</v>
          </cell>
          <cell r="C2030">
            <v>70</v>
          </cell>
          <cell r="D2030">
            <v>2.22E-7</v>
          </cell>
          <cell r="E2030" t="str">
            <v>Yb183</v>
          </cell>
        </row>
        <row r="2031">
          <cell r="A2031">
            <v>70184</v>
          </cell>
          <cell r="B2031">
            <v>114</v>
          </cell>
          <cell r="C2031">
            <v>70</v>
          </cell>
          <cell r="D2031">
            <v>1.6E-7</v>
          </cell>
          <cell r="E2031" t="str">
            <v>Yb184</v>
          </cell>
        </row>
        <row r="2032">
          <cell r="A2032">
            <v>70185</v>
          </cell>
          <cell r="B2032">
            <v>115</v>
          </cell>
          <cell r="C2032">
            <v>70</v>
          </cell>
          <cell r="D2032">
            <v>1.6E-7</v>
          </cell>
          <cell r="E2032" t="str">
            <v>Yb185</v>
          </cell>
        </row>
        <row r="2033">
          <cell r="A2033">
            <v>71150</v>
          </cell>
          <cell r="B2033">
            <v>79</v>
          </cell>
          <cell r="C2033">
            <v>71</v>
          </cell>
          <cell r="D2033">
            <v>4.4999999999999998E-2</v>
          </cell>
          <cell r="E2033" t="str">
            <v>Lu150</v>
          </cell>
        </row>
        <row r="2034">
          <cell r="A2034">
            <v>71151</v>
          </cell>
          <cell r="B2034">
            <v>80</v>
          </cell>
          <cell r="C2034">
            <v>71</v>
          </cell>
          <cell r="D2034">
            <v>8.0599999999999894E-2</v>
          </cell>
          <cell r="E2034" t="str">
            <v>Lu151</v>
          </cell>
        </row>
        <row r="2035">
          <cell r="A2035">
            <v>71152</v>
          </cell>
          <cell r="B2035">
            <v>81</v>
          </cell>
          <cell r="C2035">
            <v>71</v>
          </cell>
          <cell r="D2035">
            <v>0.7</v>
          </cell>
          <cell r="E2035" t="str">
            <v>Lu152</v>
          </cell>
        </row>
        <row r="2036">
          <cell r="A2036">
            <v>71153</v>
          </cell>
          <cell r="B2036">
            <v>82</v>
          </cell>
          <cell r="C2036">
            <v>71</v>
          </cell>
          <cell r="D2036">
            <v>0.9</v>
          </cell>
          <cell r="E2036" t="str">
            <v>Lu153</v>
          </cell>
        </row>
        <row r="2037">
          <cell r="A2037">
            <v>71154</v>
          </cell>
          <cell r="B2037">
            <v>83</v>
          </cell>
          <cell r="C2037">
            <v>71</v>
          </cell>
          <cell r="D2037">
            <v>1.1200000000000001</v>
          </cell>
          <cell r="E2037" t="str">
            <v>Lu154</v>
          </cell>
        </row>
        <row r="2038">
          <cell r="A2038">
            <v>71155</v>
          </cell>
          <cell r="B2038">
            <v>84</v>
          </cell>
          <cell r="C2038">
            <v>71</v>
          </cell>
          <cell r="D2038">
            <v>6.8000000000000005E-2</v>
          </cell>
          <cell r="E2038" t="str">
            <v>Lu155</v>
          </cell>
        </row>
        <row r="2039">
          <cell r="A2039">
            <v>71156</v>
          </cell>
          <cell r="B2039">
            <v>85</v>
          </cell>
          <cell r="C2039">
            <v>71</v>
          </cell>
          <cell r="D2039">
            <v>0.49399999999999999</v>
          </cell>
          <cell r="E2039" t="str">
            <v>Lu156</v>
          </cell>
        </row>
        <row r="2040">
          <cell r="A2040">
            <v>71157</v>
          </cell>
          <cell r="B2040">
            <v>86</v>
          </cell>
          <cell r="C2040">
            <v>71</v>
          </cell>
          <cell r="D2040">
            <v>6.8</v>
          </cell>
          <cell r="E2040" t="str">
            <v>Lu157</v>
          </cell>
        </row>
        <row r="2041">
          <cell r="A2041">
            <v>71158</v>
          </cell>
          <cell r="B2041">
            <v>87</v>
          </cell>
          <cell r="C2041">
            <v>71</v>
          </cell>
          <cell r="D2041">
            <v>10.6</v>
          </cell>
          <cell r="E2041" t="str">
            <v>Lu158</v>
          </cell>
        </row>
        <row r="2042">
          <cell r="A2042">
            <v>71159</v>
          </cell>
          <cell r="B2042">
            <v>88</v>
          </cell>
          <cell r="C2042">
            <v>71</v>
          </cell>
          <cell r="D2042">
            <v>12.1</v>
          </cell>
          <cell r="E2042" t="str">
            <v>Lu159</v>
          </cell>
        </row>
        <row r="2043">
          <cell r="A2043">
            <v>71160</v>
          </cell>
          <cell r="B2043">
            <v>89</v>
          </cell>
          <cell r="C2043">
            <v>71</v>
          </cell>
          <cell r="D2043">
            <v>36.1</v>
          </cell>
          <cell r="E2043" t="str">
            <v>Lu160</v>
          </cell>
        </row>
        <row r="2044">
          <cell r="A2044">
            <v>71161</v>
          </cell>
          <cell r="B2044">
            <v>90</v>
          </cell>
          <cell r="C2044">
            <v>71</v>
          </cell>
          <cell r="D2044">
            <v>77</v>
          </cell>
          <cell r="E2044" t="str">
            <v>Lu161</v>
          </cell>
        </row>
        <row r="2045">
          <cell r="A2045">
            <v>71162</v>
          </cell>
          <cell r="B2045">
            <v>91</v>
          </cell>
          <cell r="C2045">
            <v>71</v>
          </cell>
          <cell r="D2045">
            <v>82.2</v>
          </cell>
          <cell r="E2045" t="str">
            <v>Lu162</v>
          </cell>
        </row>
        <row r="2046">
          <cell r="A2046">
            <v>71163</v>
          </cell>
          <cell r="B2046">
            <v>92</v>
          </cell>
          <cell r="C2046">
            <v>71</v>
          </cell>
          <cell r="D2046">
            <v>238.2</v>
          </cell>
          <cell r="E2046" t="str">
            <v>Lu163</v>
          </cell>
        </row>
        <row r="2047">
          <cell r="A2047">
            <v>71164</v>
          </cell>
          <cell r="B2047">
            <v>93</v>
          </cell>
          <cell r="C2047">
            <v>71</v>
          </cell>
          <cell r="D2047">
            <v>188.4</v>
          </cell>
          <cell r="E2047" t="str">
            <v>Lu164</v>
          </cell>
        </row>
        <row r="2048">
          <cell r="A2048">
            <v>71165</v>
          </cell>
          <cell r="B2048">
            <v>94</v>
          </cell>
          <cell r="C2048">
            <v>71</v>
          </cell>
          <cell r="D2048">
            <v>644.4</v>
          </cell>
          <cell r="E2048" t="str">
            <v>Lu165</v>
          </cell>
        </row>
        <row r="2049">
          <cell r="A2049">
            <v>71166</v>
          </cell>
          <cell r="B2049">
            <v>95</v>
          </cell>
          <cell r="C2049">
            <v>71</v>
          </cell>
          <cell r="D2049">
            <v>159</v>
          </cell>
          <cell r="E2049" t="str">
            <v>Lu166</v>
          </cell>
        </row>
        <row r="2050">
          <cell r="A2050">
            <v>71167</v>
          </cell>
          <cell r="B2050">
            <v>96</v>
          </cell>
          <cell r="C2050">
            <v>71</v>
          </cell>
          <cell r="D2050">
            <v>3090</v>
          </cell>
          <cell r="E2050" t="str">
            <v>Lu167</v>
          </cell>
        </row>
        <row r="2051">
          <cell r="A2051">
            <v>71168</v>
          </cell>
          <cell r="B2051">
            <v>97</v>
          </cell>
          <cell r="C2051">
            <v>71</v>
          </cell>
          <cell r="D2051">
            <v>330</v>
          </cell>
          <cell r="E2051" t="str">
            <v>Lu168</v>
          </cell>
        </row>
        <row r="2052">
          <cell r="A2052">
            <v>71169</v>
          </cell>
          <cell r="B2052">
            <v>98</v>
          </cell>
          <cell r="C2052">
            <v>71</v>
          </cell>
          <cell r="D2052">
            <v>122616</v>
          </cell>
          <cell r="E2052" t="str">
            <v>Lu169</v>
          </cell>
        </row>
        <row r="2053">
          <cell r="A2053">
            <v>71170</v>
          </cell>
          <cell r="B2053">
            <v>99</v>
          </cell>
          <cell r="C2053">
            <v>71</v>
          </cell>
          <cell r="D2053">
            <v>173836.79999999999</v>
          </cell>
          <cell r="E2053" t="str">
            <v>Lu170</v>
          </cell>
        </row>
        <row r="2054">
          <cell r="A2054">
            <v>71171</v>
          </cell>
          <cell r="B2054">
            <v>100</v>
          </cell>
          <cell r="C2054">
            <v>71</v>
          </cell>
          <cell r="D2054">
            <v>711936</v>
          </cell>
          <cell r="E2054" t="str">
            <v>Lu171</v>
          </cell>
        </row>
        <row r="2055">
          <cell r="A2055">
            <v>71172</v>
          </cell>
          <cell r="B2055">
            <v>101</v>
          </cell>
          <cell r="C2055">
            <v>71</v>
          </cell>
          <cell r="D2055">
            <v>578880</v>
          </cell>
          <cell r="E2055" t="str">
            <v>Lu172</v>
          </cell>
        </row>
        <row r="2056">
          <cell r="A2056">
            <v>71173</v>
          </cell>
          <cell r="B2056">
            <v>102</v>
          </cell>
          <cell r="C2056">
            <v>71</v>
          </cell>
          <cell r="D2056">
            <v>43233912</v>
          </cell>
          <cell r="E2056" t="str">
            <v>Lu173</v>
          </cell>
        </row>
        <row r="2057">
          <cell r="A2057">
            <v>71174</v>
          </cell>
          <cell r="B2057">
            <v>103</v>
          </cell>
          <cell r="C2057">
            <v>71</v>
          </cell>
          <cell r="D2057">
            <v>104455656</v>
          </cell>
          <cell r="E2057" t="str">
            <v>Lu174</v>
          </cell>
        </row>
        <row r="2058">
          <cell r="A2058">
            <v>71175</v>
          </cell>
          <cell r="B2058">
            <v>104</v>
          </cell>
          <cell r="C2058">
            <v>71</v>
          </cell>
          <cell r="D2058" t="str">
            <v>STABLE</v>
          </cell>
          <cell r="E2058" t="str">
            <v>Lu175</v>
          </cell>
        </row>
        <row r="2059">
          <cell r="A2059">
            <v>71176</v>
          </cell>
          <cell r="B2059">
            <v>105</v>
          </cell>
          <cell r="C2059">
            <v>71</v>
          </cell>
          <cell r="D2059">
            <v>1.18656576E+18</v>
          </cell>
          <cell r="E2059" t="str">
            <v>Lu176</v>
          </cell>
        </row>
        <row r="2060">
          <cell r="A2060">
            <v>71177</v>
          </cell>
          <cell r="B2060">
            <v>106</v>
          </cell>
          <cell r="C2060">
            <v>71</v>
          </cell>
          <cell r="D2060">
            <v>574300.80000000005</v>
          </cell>
          <cell r="E2060" t="str">
            <v>Lu177</v>
          </cell>
        </row>
        <row r="2061">
          <cell r="A2061">
            <v>71178</v>
          </cell>
          <cell r="B2061">
            <v>107</v>
          </cell>
          <cell r="C2061">
            <v>71</v>
          </cell>
          <cell r="D2061">
            <v>1704</v>
          </cell>
          <cell r="E2061" t="str">
            <v>Lu178</v>
          </cell>
        </row>
        <row r="2062">
          <cell r="A2062">
            <v>71179</v>
          </cell>
          <cell r="B2062">
            <v>108</v>
          </cell>
          <cell r="C2062">
            <v>71</v>
          </cell>
          <cell r="D2062">
            <v>16524</v>
          </cell>
          <cell r="E2062" t="str">
            <v>Lu179</v>
          </cell>
        </row>
        <row r="2063">
          <cell r="A2063">
            <v>71180</v>
          </cell>
          <cell r="B2063">
            <v>109</v>
          </cell>
          <cell r="C2063">
            <v>71</v>
          </cell>
          <cell r="D2063">
            <v>342</v>
          </cell>
          <cell r="E2063" t="str">
            <v>Lu180</v>
          </cell>
        </row>
        <row r="2064">
          <cell r="A2064">
            <v>71181</v>
          </cell>
          <cell r="B2064">
            <v>110</v>
          </cell>
          <cell r="C2064">
            <v>71</v>
          </cell>
          <cell r="D2064">
            <v>210</v>
          </cell>
          <cell r="E2064" t="str">
            <v>Lu181</v>
          </cell>
        </row>
        <row r="2065">
          <cell r="A2065">
            <v>71182</v>
          </cell>
          <cell r="B2065">
            <v>111</v>
          </cell>
          <cell r="C2065">
            <v>71</v>
          </cell>
          <cell r="D2065">
            <v>120</v>
          </cell>
          <cell r="E2065" t="str">
            <v>Lu182</v>
          </cell>
        </row>
        <row r="2066">
          <cell r="A2066">
            <v>71183</v>
          </cell>
          <cell r="B2066">
            <v>112</v>
          </cell>
          <cell r="C2066">
            <v>71</v>
          </cell>
          <cell r="D2066">
            <v>58</v>
          </cell>
          <cell r="E2066" t="str">
            <v>Lu183</v>
          </cell>
        </row>
        <row r="2067">
          <cell r="A2067">
            <v>71184</v>
          </cell>
          <cell r="B2067">
            <v>113</v>
          </cell>
          <cell r="C2067">
            <v>71</v>
          </cell>
          <cell r="D2067">
            <v>19</v>
          </cell>
          <cell r="E2067" t="str">
            <v>Lu184</v>
          </cell>
        </row>
        <row r="2068">
          <cell r="A2068">
            <v>71185</v>
          </cell>
          <cell r="B2068">
            <v>114</v>
          </cell>
          <cell r="C2068">
            <v>71</v>
          </cell>
          <cell r="D2068">
            <v>1.6E-7</v>
          </cell>
          <cell r="E2068" t="str">
            <v>Lu185</v>
          </cell>
        </row>
        <row r="2069">
          <cell r="A2069">
            <v>71186</v>
          </cell>
          <cell r="B2069">
            <v>115</v>
          </cell>
          <cell r="C2069">
            <v>71</v>
          </cell>
          <cell r="D2069">
            <v>1.6E-7</v>
          </cell>
          <cell r="E2069" t="str">
            <v>Lu186</v>
          </cell>
        </row>
        <row r="2070">
          <cell r="A2070">
            <v>71187</v>
          </cell>
          <cell r="B2070">
            <v>116</v>
          </cell>
          <cell r="C2070">
            <v>71</v>
          </cell>
          <cell r="D2070">
            <v>1.6E-7</v>
          </cell>
          <cell r="E2070" t="str">
            <v>Lu187</v>
          </cell>
        </row>
        <row r="2071">
          <cell r="A2071">
            <v>71188</v>
          </cell>
          <cell r="B2071">
            <v>117</v>
          </cell>
          <cell r="C2071">
            <v>71</v>
          </cell>
          <cell r="D2071">
            <v>1.6E-7</v>
          </cell>
          <cell r="E2071" t="str">
            <v>Lu188</v>
          </cell>
        </row>
        <row r="2072">
          <cell r="A2072">
            <v>72153</v>
          </cell>
          <cell r="B2072">
            <v>81</v>
          </cell>
          <cell r="C2072">
            <v>72</v>
          </cell>
          <cell r="D2072">
            <v>5.9999999999999995E-8</v>
          </cell>
          <cell r="E2072" t="str">
            <v>Hf153</v>
          </cell>
        </row>
        <row r="2073">
          <cell r="A2073">
            <v>72154</v>
          </cell>
          <cell r="B2073">
            <v>82</v>
          </cell>
          <cell r="C2073">
            <v>72</v>
          </cell>
          <cell r="D2073">
            <v>2</v>
          </cell>
          <cell r="E2073" t="str">
            <v>Hf154</v>
          </cell>
        </row>
        <row r="2074">
          <cell r="A2074">
            <v>72155</v>
          </cell>
          <cell r="B2074">
            <v>83</v>
          </cell>
          <cell r="C2074">
            <v>72</v>
          </cell>
          <cell r="D2074">
            <v>0.84</v>
          </cell>
          <cell r="E2074" t="str">
            <v>Hf155</v>
          </cell>
        </row>
        <row r="2075">
          <cell r="A2075">
            <v>72156</v>
          </cell>
          <cell r="B2075">
            <v>84</v>
          </cell>
          <cell r="C2075">
            <v>72</v>
          </cell>
          <cell r="D2075">
            <v>2.3E-2</v>
          </cell>
          <cell r="E2075" t="str">
            <v>Hf156</v>
          </cell>
        </row>
        <row r="2076">
          <cell r="A2076">
            <v>72157</v>
          </cell>
          <cell r="B2076">
            <v>85</v>
          </cell>
          <cell r="C2076">
            <v>72</v>
          </cell>
          <cell r="D2076">
            <v>0.115</v>
          </cell>
          <cell r="E2076" t="str">
            <v>Hf157</v>
          </cell>
        </row>
        <row r="2077">
          <cell r="A2077">
            <v>72158</v>
          </cell>
          <cell r="B2077">
            <v>86</v>
          </cell>
          <cell r="C2077">
            <v>72</v>
          </cell>
          <cell r="D2077">
            <v>2.85</v>
          </cell>
          <cell r="E2077" t="str">
            <v>Hf158</v>
          </cell>
        </row>
        <row r="2078">
          <cell r="A2078">
            <v>72159</v>
          </cell>
          <cell r="B2078">
            <v>87</v>
          </cell>
          <cell r="C2078">
            <v>72</v>
          </cell>
          <cell r="D2078">
            <v>5.6</v>
          </cell>
          <cell r="E2078" t="str">
            <v>Hf159</v>
          </cell>
        </row>
        <row r="2079">
          <cell r="A2079">
            <v>72160</v>
          </cell>
          <cell r="B2079">
            <v>88</v>
          </cell>
          <cell r="C2079">
            <v>72</v>
          </cell>
          <cell r="D2079">
            <v>13.6</v>
          </cell>
          <cell r="E2079" t="str">
            <v>Hf160</v>
          </cell>
        </row>
        <row r="2080">
          <cell r="A2080">
            <v>72161</v>
          </cell>
          <cell r="B2080">
            <v>89</v>
          </cell>
          <cell r="C2080">
            <v>72</v>
          </cell>
          <cell r="D2080">
            <v>18.399999999999999</v>
          </cell>
          <cell r="E2080" t="str">
            <v>Hf161</v>
          </cell>
        </row>
        <row r="2081">
          <cell r="A2081">
            <v>72162</v>
          </cell>
          <cell r="B2081">
            <v>90</v>
          </cell>
          <cell r="C2081">
            <v>72</v>
          </cell>
          <cell r="D2081">
            <v>39.4</v>
          </cell>
          <cell r="E2081" t="str">
            <v>Hf162</v>
          </cell>
        </row>
        <row r="2082">
          <cell r="A2082">
            <v>72163</v>
          </cell>
          <cell r="B2082">
            <v>91</v>
          </cell>
          <cell r="C2082">
            <v>72</v>
          </cell>
          <cell r="D2082">
            <v>40</v>
          </cell>
          <cell r="E2082" t="str">
            <v>Hf163</v>
          </cell>
        </row>
        <row r="2083">
          <cell r="A2083">
            <v>72164</v>
          </cell>
          <cell r="B2083">
            <v>92</v>
          </cell>
          <cell r="C2083">
            <v>72</v>
          </cell>
          <cell r="D2083">
            <v>111</v>
          </cell>
          <cell r="E2083" t="str">
            <v>Hf164</v>
          </cell>
        </row>
        <row r="2084">
          <cell r="A2084">
            <v>72165</v>
          </cell>
          <cell r="B2084">
            <v>93</v>
          </cell>
          <cell r="C2084">
            <v>72</v>
          </cell>
          <cell r="D2084">
            <v>76</v>
          </cell>
          <cell r="E2084" t="str">
            <v>Hf165</v>
          </cell>
        </row>
        <row r="2085">
          <cell r="A2085">
            <v>72166</v>
          </cell>
          <cell r="B2085">
            <v>94</v>
          </cell>
          <cell r="C2085">
            <v>72</v>
          </cell>
          <cell r="D2085">
            <v>406.2</v>
          </cell>
          <cell r="E2085" t="str">
            <v>Hf166</v>
          </cell>
        </row>
        <row r="2086">
          <cell r="A2086">
            <v>72167</v>
          </cell>
          <cell r="B2086">
            <v>95</v>
          </cell>
          <cell r="C2086">
            <v>72</v>
          </cell>
          <cell r="D2086">
            <v>122.99999999999901</v>
          </cell>
          <cell r="E2086" t="str">
            <v>Hf167</v>
          </cell>
        </row>
        <row r="2087">
          <cell r="A2087">
            <v>72168</v>
          </cell>
          <cell r="B2087">
            <v>96</v>
          </cell>
          <cell r="C2087">
            <v>72</v>
          </cell>
          <cell r="D2087">
            <v>1557</v>
          </cell>
          <cell r="E2087" t="str">
            <v>Hf168</v>
          </cell>
        </row>
        <row r="2088">
          <cell r="A2088">
            <v>72169</v>
          </cell>
          <cell r="B2088">
            <v>97</v>
          </cell>
          <cell r="C2088">
            <v>72</v>
          </cell>
          <cell r="D2088">
            <v>194.4</v>
          </cell>
          <cell r="E2088" t="str">
            <v>Hf169</v>
          </cell>
        </row>
        <row r="2089">
          <cell r="A2089">
            <v>72170</v>
          </cell>
          <cell r="B2089">
            <v>98</v>
          </cell>
          <cell r="C2089">
            <v>72</v>
          </cell>
          <cell r="D2089">
            <v>57636</v>
          </cell>
          <cell r="E2089" t="str">
            <v>Hf170</v>
          </cell>
        </row>
        <row r="2090">
          <cell r="A2090">
            <v>72171</v>
          </cell>
          <cell r="B2090">
            <v>99</v>
          </cell>
          <cell r="C2090">
            <v>72</v>
          </cell>
          <cell r="D2090">
            <v>43560</v>
          </cell>
          <cell r="E2090" t="str">
            <v>Hf171</v>
          </cell>
        </row>
        <row r="2091">
          <cell r="A2091">
            <v>72172</v>
          </cell>
          <cell r="B2091">
            <v>100</v>
          </cell>
          <cell r="C2091">
            <v>72</v>
          </cell>
          <cell r="D2091">
            <v>59012712</v>
          </cell>
          <cell r="E2091" t="str">
            <v>Hf172</v>
          </cell>
        </row>
        <row r="2092">
          <cell r="A2092">
            <v>72173</v>
          </cell>
          <cell r="B2092">
            <v>101</v>
          </cell>
          <cell r="C2092">
            <v>72</v>
          </cell>
          <cell r="D2092">
            <v>84960</v>
          </cell>
          <cell r="E2092" t="str">
            <v>Hf173</v>
          </cell>
        </row>
        <row r="2093">
          <cell r="A2093">
            <v>72174</v>
          </cell>
          <cell r="B2093">
            <v>102</v>
          </cell>
          <cell r="C2093">
            <v>72</v>
          </cell>
          <cell r="D2093">
            <v>6.3115200000000002E+22</v>
          </cell>
          <cell r="E2093" t="str">
            <v>Hf174</v>
          </cell>
        </row>
        <row r="2094">
          <cell r="A2094">
            <v>72175</v>
          </cell>
          <cell r="B2094">
            <v>103</v>
          </cell>
          <cell r="C2094">
            <v>72</v>
          </cell>
          <cell r="D2094">
            <v>6048000</v>
          </cell>
          <cell r="E2094" t="str">
            <v>Hf175</v>
          </cell>
        </row>
        <row r="2095">
          <cell r="A2095">
            <v>72176</v>
          </cell>
          <cell r="B2095">
            <v>104</v>
          </cell>
          <cell r="C2095">
            <v>72</v>
          </cell>
          <cell r="D2095" t="str">
            <v>STABLE</v>
          </cell>
          <cell r="E2095" t="str">
            <v>Hf176</v>
          </cell>
        </row>
        <row r="2096">
          <cell r="A2096">
            <v>72177</v>
          </cell>
          <cell r="B2096">
            <v>105</v>
          </cell>
          <cell r="C2096">
            <v>72</v>
          </cell>
          <cell r="D2096" t="str">
            <v>STABLE</v>
          </cell>
          <cell r="E2096" t="str">
            <v>Hf177</v>
          </cell>
        </row>
        <row r="2097">
          <cell r="A2097">
            <v>72178</v>
          </cell>
          <cell r="B2097">
            <v>106</v>
          </cell>
          <cell r="C2097">
            <v>72</v>
          </cell>
          <cell r="D2097" t="str">
            <v>STABLE</v>
          </cell>
          <cell r="E2097" t="str">
            <v>Hf178</v>
          </cell>
        </row>
        <row r="2098">
          <cell r="A2098">
            <v>72179</v>
          </cell>
          <cell r="B2098">
            <v>107</v>
          </cell>
          <cell r="C2098">
            <v>72</v>
          </cell>
          <cell r="D2098" t="str">
            <v>STABLE</v>
          </cell>
          <cell r="E2098" t="str">
            <v>Hf179</v>
          </cell>
        </row>
        <row r="2099">
          <cell r="A2099">
            <v>72180</v>
          </cell>
          <cell r="B2099">
            <v>108</v>
          </cell>
          <cell r="C2099">
            <v>72</v>
          </cell>
          <cell r="D2099" t="str">
            <v>STABLE</v>
          </cell>
          <cell r="E2099" t="str">
            <v>Hf180</v>
          </cell>
        </row>
        <row r="2100">
          <cell r="A2100">
            <v>72181</v>
          </cell>
          <cell r="B2100">
            <v>109</v>
          </cell>
          <cell r="C2100">
            <v>72</v>
          </cell>
          <cell r="D2100">
            <v>3662496</v>
          </cell>
          <cell r="E2100" t="str">
            <v>Hf181</v>
          </cell>
        </row>
        <row r="2101">
          <cell r="A2101">
            <v>72182</v>
          </cell>
          <cell r="B2101">
            <v>110</v>
          </cell>
          <cell r="C2101">
            <v>72</v>
          </cell>
          <cell r="D2101">
            <v>280862640000000</v>
          </cell>
          <cell r="E2101" t="str">
            <v>Hf182</v>
          </cell>
        </row>
        <row r="2102">
          <cell r="A2102">
            <v>72183</v>
          </cell>
          <cell r="B2102">
            <v>111</v>
          </cell>
          <cell r="C2102">
            <v>72</v>
          </cell>
          <cell r="D2102">
            <v>3664.8</v>
          </cell>
          <cell r="E2102" t="str">
            <v>Hf183</v>
          </cell>
        </row>
        <row r="2103">
          <cell r="A2103">
            <v>72184</v>
          </cell>
          <cell r="B2103">
            <v>112</v>
          </cell>
          <cell r="C2103">
            <v>72</v>
          </cell>
          <cell r="D2103">
            <v>14832</v>
          </cell>
          <cell r="E2103" t="str">
            <v>Hf184</v>
          </cell>
        </row>
        <row r="2104">
          <cell r="A2104">
            <v>72185</v>
          </cell>
          <cell r="B2104">
            <v>113</v>
          </cell>
          <cell r="C2104">
            <v>72</v>
          </cell>
          <cell r="D2104">
            <v>210</v>
          </cell>
          <cell r="E2104" t="str">
            <v>Hf185</v>
          </cell>
        </row>
        <row r="2105">
          <cell r="A2105">
            <v>72186</v>
          </cell>
          <cell r="B2105">
            <v>114</v>
          </cell>
          <cell r="C2105">
            <v>72</v>
          </cell>
          <cell r="D2105">
            <v>156</v>
          </cell>
          <cell r="E2105" t="str">
            <v>Hf186</v>
          </cell>
        </row>
        <row r="2106">
          <cell r="A2106">
            <v>72187</v>
          </cell>
          <cell r="B2106">
            <v>115</v>
          </cell>
          <cell r="C2106">
            <v>72</v>
          </cell>
          <cell r="D2106">
            <v>2.7000000000000001E-7</v>
          </cell>
          <cell r="E2106" t="str">
            <v>Hf187</v>
          </cell>
        </row>
        <row r="2107">
          <cell r="A2107">
            <v>72190</v>
          </cell>
          <cell r="B2107">
            <v>118</v>
          </cell>
          <cell r="C2107">
            <v>72</v>
          </cell>
          <cell r="D2107">
            <v>1.6E-7</v>
          </cell>
          <cell r="E2107" t="str">
            <v>Hf190</v>
          </cell>
        </row>
        <row r="2108">
          <cell r="A2108">
            <v>73155</v>
          </cell>
          <cell r="B2108">
            <v>82</v>
          </cell>
          <cell r="C2108">
            <v>73</v>
          </cell>
          <cell r="D2108">
            <v>2.8999999999999998E-3</v>
          </cell>
          <cell r="E2108" t="str">
            <v>Ta155</v>
          </cell>
        </row>
        <row r="2109">
          <cell r="A2109">
            <v>73156</v>
          </cell>
          <cell r="B2109">
            <v>83</v>
          </cell>
          <cell r="C2109">
            <v>73</v>
          </cell>
          <cell r="D2109">
            <v>0.14399999999999999</v>
          </cell>
          <cell r="E2109" t="str">
            <v>Ta156</v>
          </cell>
        </row>
        <row r="2110">
          <cell r="A2110">
            <v>73157</v>
          </cell>
          <cell r="B2110">
            <v>84</v>
          </cell>
          <cell r="C2110">
            <v>73</v>
          </cell>
          <cell r="D2110">
            <v>1.01E-2</v>
          </cell>
          <cell r="E2110" t="str">
            <v>Ta157</v>
          </cell>
        </row>
        <row r="2111">
          <cell r="A2111">
            <v>73158</v>
          </cell>
          <cell r="B2111">
            <v>85</v>
          </cell>
          <cell r="C2111">
            <v>73</v>
          </cell>
          <cell r="D2111">
            <v>5.5E-2</v>
          </cell>
          <cell r="E2111" t="str">
            <v>Ta158</v>
          </cell>
        </row>
        <row r="2112">
          <cell r="A2112">
            <v>73159</v>
          </cell>
          <cell r="B2112">
            <v>86</v>
          </cell>
          <cell r="C2112">
            <v>73</v>
          </cell>
          <cell r="D2112">
            <v>0.83</v>
          </cell>
          <cell r="E2112" t="str">
            <v>Ta159</v>
          </cell>
        </row>
        <row r="2113">
          <cell r="A2113">
            <v>73160</v>
          </cell>
          <cell r="B2113">
            <v>87</v>
          </cell>
          <cell r="C2113">
            <v>73</v>
          </cell>
          <cell r="D2113">
            <v>1.55</v>
          </cell>
          <cell r="E2113" t="str">
            <v>Ta160</v>
          </cell>
        </row>
        <row r="2114">
          <cell r="A2114">
            <v>73162</v>
          </cell>
          <cell r="B2114">
            <v>89</v>
          </cell>
          <cell r="C2114">
            <v>73</v>
          </cell>
          <cell r="D2114">
            <v>3.57</v>
          </cell>
          <cell r="E2114" t="str">
            <v>Ta162</v>
          </cell>
        </row>
        <row r="2115">
          <cell r="A2115">
            <v>73163</v>
          </cell>
          <cell r="B2115">
            <v>90</v>
          </cell>
          <cell r="C2115">
            <v>73</v>
          </cell>
          <cell r="D2115">
            <v>10.6</v>
          </cell>
          <cell r="E2115" t="str">
            <v>Ta163</v>
          </cell>
        </row>
        <row r="2116">
          <cell r="A2116">
            <v>73164</v>
          </cell>
          <cell r="B2116">
            <v>91</v>
          </cell>
          <cell r="C2116">
            <v>73</v>
          </cell>
          <cell r="D2116">
            <v>14.2</v>
          </cell>
          <cell r="E2116" t="str">
            <v>Ta164</v>
          </cell>
        </row>
        <row r="2117">
          <cell r="A2117">
            <v>73165</v>
          </cell>
          <cell r="B2117">
            <v>92</v>
          </cell>
          <cell r="C2117">
            <v>73</v>
          </cell>
          <cell r="D2117">
            <v>31</v>
          </cell>
          <cell r="E2117" t="str">
            <v>Ta165</v>
          </cell>
        </row>
        <row r="2118">
          <cell r="A2118">
            <v>73166</v>
          </cell>
          <cell r="B2118">
            <v>93</v>
          </cell>
          <cell r="C2118">
            <v>73</v>
          </cell>
          <cell r="D2118">
            <v>34.4</v>
          </cell>
          <cell r="E2118" t="str">
            <v>Ta166</v>
          </cell>
        </row>
        <row r="2119">
          <cell r="A2119">
            <v>73167</v>
          </cell>
          <cell r="B2119">
            <v>94</v>
          </cell>
          <cell r="C2119">
            <v>73</v>
          </cell>
          <cell r="D2119">
            <v>80</v>
          </cell>
          <cell r="E2119" t="str">
            <v>Ta167</v>
          </cell>
        </row>
        <row r="2120">
          <cell r="A2120">
            <v>73168</v>
          </cell>
          <cell r="B2120">
            <v>95</v>
          </cell>
          <cell r="C2120">
            <v>73</v>
          </cell>
          <cell r="D2120">
            <v>120</v>
          </cell>
          <cell r="E2120" t="str">
            <v>Ta168</v>
          </cell>
        </row>
        <row r="2121">
          <cell r="A2121">
            <v>73169</v>
          </cell>
          <cell r="B2121">
            <v>96</v>
          </cell>
          <cell r="C2121">
            <v>73</v>
          </cell>
          <cell r="D2121">
            <v>294</v>
          </cell>
          <cell r="E2121" t="str">
            <v>Ta169</v>
          </cell>
        </row>
        <row r="2122">
          <cell r="A2122">
            <v>73170</v>
          </cell>
          <cell r="B2122">
            <v>97</v>
          </cell>
          <cell r="C2122">
            <v>73</v>
          </cell>
          <cell r="D2122">
            <v>405.599999999999</v>
          </cell>
          <cell r="E2122" t="str">
            <v>Ta170</v>
          </cell>
        </row>
        <row r="2123">
          <cell r="A2123">
            <v>73171</v>
          </cell>
          <cell r="B2123">
            <v>98</v>
          </cell>
          <cell r="C2123">
            <v>73</v>
          </cell>
          <cell r="D2123">
            <v>1398</v>
          </cell>
          <cell r="E2123" t="str">
            <v>Ta171</v>
          </cell>
        </row>
        <row r="2124">
          <cell r="A2124">
            <v>73172</v>
          </cell>
          <cell r="B2124">
            <v>99</v>
          </cell>
          <cell r="C2124">
            <v>73</v>
          </cell>
          <cell r="D2124">
            <v>2208</v>
          </cell>
          <cell r="E2124" t="str">
            <v>Ta172</v>
          </cell>
        </row>
        <row r="2125">
          <cell r="A2125">
            <v>73173</v>
          </cell>
          <cell r="B2125">
            <v>100</v>
          </cell>
          <cell r="C2125">
            <v>73</v>
          </cell>
          <cell r="D2125">
            <v>11304</v>
          </cell>
          <cell r="E2125" t="str">
            <v>Ta173</v>
          </cell>
        </row>
        <row r="2126">
          <cell r="A2126">
            <v>73174</v>
          </cell>
          <cell r="B2126">
            <v>101</v>
          </cell>
          <cell r="C2126">
            <v>73</v>
          </cell>
          <cell r="D2126">
            <v>4104</v>
          </cell>
          <cell r="E2126" t="str">
            <v>Ta174</v>
          </cell>
        </row>
        <row r="2127">
          <cell r="A2127">
            <v>73175</v>
          </cell>
          <cell r="B2127">
            <v>102</v>
          </cell>
          <cell r="C2127">
            <v>73</v>
          </cell>
          <cell r="D2127">
            <v>37800</v>
          </cell>
          <cell r="E2127" t="str">
            <v>Ta175</v>
          </cell>
        </row>
        <row r="2128">
          <cell r="A2128">
            <v>73176</v>
          </cell>
          <cell r="B2128">
            <v>103</v>
          </cell>
          <cell r="C2128">
            <v>73</v>
          </cell>
          <cell r="D2128">
            <v>29124</v>
          </cell>
          <cell r="E2128" t="str">
            <v>Ta176</v>
          </cell>
        </row>
        <row r="2129">
          <cell r="A2129">
            <v>73177</v>
          </cell>
          <cell r="B2129">
            <v>104</v>
          </cell>
          <cell r="C2129">
            <v>73</v>
          </cell>
          <cell r="D2129">
            <v>203616</v>
          </cell>
          <cell r="E2129" t="str">
            <v>Ta177</v>
          </cell>
        </row>
        <row r="2130">
          <cell r="A2130">
            <v>73178</v>
          </cell>
          <cell r="B2130">
            <v>105</v>
          </cell>
          <cell r="C2130">
            <v>73</v>
          </cell>
          <cell r="D2130">
            <v>558.6</v>
          </cell>
          <cell r="E2130" t="str">
            <v>Ta178</v>
          </cell>
        </row>
        <row r="2131">
          <cell r="A2131">
            <v>73179</v>
          </cell>
          <cell r="B2131">
            <v>106</v>
          </cell>
          <cell r="C2131">
            <v>73</v>
          </cell>
          <cell r="D2131">
            <v>57434832</v>
          </cell>
          <cell r="E2131" t="str">
            <v>Ta179</v>
          </cell>
        </row>
        <row r="2132">
          <cell r="A2132">
            <v>73180</v>
          </cell>
          <cell r="B2132">
            <v>107</v>
          </cell>
          <cell r="C2132">
            <v>73</v>
          </cell>
          <cell r="D2132">
            <v>29354.400000000001</v>
          </cell>
          <cell r="E2132" t="str">
            <v>Ta180</v>
          </cell>
        </row>
        <row r="2133">
          <cell r="A2133">
            <v>73181</v>
          </cell>
          <cell r="B2133">
            <v>108</v>
          </cell>
          <cell r="C2133">
            <v>73</v>
          </cell>
          <cell r="D2133" t="str">
            <v>STABLE</v>
          </cell>
          <cell r="E2133" t="str">
            <v>Ta181</v>
          </cell>
        </row>
        <row r="2134">
          <cell r="A2134">
            <v>73182</v>
          </cell>
          <cell r="B2134">
            <v>109</v>
          </cell>
          <cell r="C2134">
            <v>73</v>
          </cell>
          <cell r="D2134">
            <v>9913536</v>
          </cell>
          <cell r="E2134" t="str">
            <v>Ta182</v>
          </cell>
        </row>
        <row r="2135">
          <cell r="A2135">
            <v>73183</v>
          </cell>
          <cell r="B2135">
            <v>110</v>
          </cell>
          <cell r="C2135">
            <v>73</v>
          </cell>
          <cell r="D2135">
            <v>440639.99999999901</v>
          </cell>
          <cell r="E2135" t="str">
            <v>Ta183</v>
          </cell>
        </row>
        <row r="2136">
          <cell r="A2136">
            <v>73184</v>
          </cell>
          <cell r="B2136">
            <v>111</v>
          </cell>
          <cell r="C2136">
            <v>73</v>
          </cell>
          <cell r="D2136">
            <v>31319.999999999902</v>
          </cell>
          <cell r="E2136" t="str">
            <v>Ta184</v>
          </cell>
        </row>
        <row r="2137">
          <cell r="A2137">
            <v>73185</v>
          </cell>
          <cell r="B2137">
            <v>112</v>
          </cell>
          <cell r="C2137">
            <v>73</v>
          </cell>
          <cell r="D2137">
            <v>2964</v>
          </cell>
          <cell r="E2137" t="str">
            <v>Ta185</v>
          </cell>
        </row>
        <row r="2138">
          <cell r="A2138">
            <v>73186</v>
          </cell>
          <cell r="B2138">
            <v>113</v>
          </cell>
          <cell r="C2138">
            <v>73</v>
          </cell>
          <cell r="D2138">
            <v>630</v>
          </cell>
          <cell r="E2138" t="str">
            <v>Ta186</v>
          </cell>
        </row>
        <row r="2139">
          <cell r="A2139">
            <v>73187</v>
          </cell>
          <cell r="B2139">
            <v>114</v>
          </cell>
          <cell r="C2139">
            <v>73</v>
          </cell>
          <cell r="D2139">
            <v>138</v>
          </cell>
          <cell r="E2139" t="str">
            <v>Ta187</v>
          </cell>
        </row>
        <row r="2140">
          <cell r="A2140">
            <v>73188</v>
          </cell>
          <cell r="B2140">
            <v>115</v>
          </cell>
          <cell r="C2140">
            <v>73</v>
          </cell>
          <cell r="D2140">
            <v>19.600000000000001</v>
          </cell>
          <cell r="E2140" t="str">
            <v>Ta188</v>
          </cell>
        </row>
        <row r="2141">
          <cell r="A2141">
            <v>73189</v>
          </cell>
          <cell r="B2141">
            <v>116</v>
          </cell>
          <cell r="C2141">
            <v>73</v>
          </cell>
          <cell r="D2141">
            <v>2.9999999999999999E-7</v>
          </cell>
          <cell r="E2141" t="str">
            <v>Ta189</v>
          </cell>
        </row>
        <row r="2142">
          <cell r="A2142">
            <v>73190</v>
          </cell>
          <cell r="B2142">
            <v>117</v>
          </cell>
          <cell r="C2142">
            <v>73</v>
          </cell>
          <cell r="D2142">
            <v>5.3</v>
          </cell>
          <cell r="E2142" t="str">
            <v>Ta190</v>
          </cell>
        </row>
        <row r="2143">
          <cell r="A2143">
            <v>73191</v>
          </cell>
          <cell r="B2143">
            <v>118</v>
          </cell>
          <cell r="C2143">
            <v>73</v>
          </cell>
          <cell r="D2143">
            <v>2.9999999999999999E-7</v>
          </cell>
          <cell r="E2143" t="str">
            <v>Ta191</v>
          </cell>
        </row>
        <row r="2144">
          <cell r="A2144">
            <v>73192</v>
          </cell>
          <cell r="B2144">
            <v>119</v>
          </cell>
          <cell r="C2144">
            <v>73</v>
          </cell>
          <cell r="D2144">
            <v>2.2000000000000002</v>
          </cell>
          <cell r="E2144" t="str">
            <v>Ta192</v>
          </cell>
        </row>
        <row r="2145">
          <cell r="A2145">
            <v>73193</v>
          </cell>
          <cell r="B2145">
            <v>120</v>
          </cell>
          <cell r="C2145">
            <v>73</v>
          </cell>
          <cell r="D2145">
            <v>1.6E-7</v>
          </cell>
          <cell r="E2145" t="str">
            <v>Ta193</v>
          </cell>
        </row>
        <row r="2146">
          <cell r="A2146">
            <v>73194</v>
          </cell>
          <cell r="B2146">
            <v>121</v>
          </cell>
          <cell r="C2146">
            <v>73</v>
          </cell>
          <cell r="D2146">
            <v>1.6E-7</v>
          </cell>
          <cell r="E2146" t="str">
            <v>Ta194</v>
          </cell>
        </row>
        <row r="2147">
          <cell r="A2147">
            <v>74157</v>
          </cell>
          <cell r="B2147">
            <v>83</v>
          </cell>
          <cell r="C2147">
            <v>74</v>
          </cell>
          <cell r="D2147">
            <v>0.27500000000000002</v>
          </cell>
          <cell r="E2147" t="str">
            <v>W157</v>
          </cell>
        </row>
        <row r="2148">
          <cell r="A2148">
            <v>74158</v>
          </cell>
          <cell r="B2148">
            <v>84</v>
          </cell>
          <cell r="C2148">
            <v>74</v>
          </cell>
          <cell r="D2148">
            <v>1.25E-3</v>
          </cell>
          <cell r="E2148" t="str">
            <v>W158</v>
          </cell>
        </row>
        <row r="2149">
          <cell r="A2149">
            <v>74159</v>
          </cell>
          <cell r="B2149">
            <v>85</v>
          </cell>
          <cell r="C2149">
            <v>74</v>
          </cell>
          <cell r="D2149">
            <v>7.3000000000000001E-3</v>
          </cell>
          <cell r="E2149" t="str">
            <v>W159</v>
          </cell>
        </row>
        <row r="2150">
          <cell r="A2150">
            <v>74160</v>
          </cell>
          <cell r="B2150">
            <v>86</v>
          </cell>
          <cell r="C2150">
            <v>74</v>
          </cell>
          <cell r="D2150">
            <v>9.0999999999999998E-2</v>
          </cell>
          <cell r="E2150" t="str">
            <v>W160</v>
          </cell>
        </row>
        <row r="2151">
          <cell r="A2151">
            <v>74161</v>
          </cell>
          <cell r="B2151">
            <v>87</v>
          </cell>
          <cell r="C2151">
            <v>74</v>
          </cell>
          <cell r="D2151">
            <v>0.40899999999999997</v>
          </cell>
          <cell r="E2151" t="str">
            <v>W161</v>
          </cell>
        </row>
        <row r="2152">
          <cell r="A2152">
            <v>74162</v>
          </cell>
          <cell r="B2152">
            <v>88</v>
          </cell>
          <cell r="C2152">
            <v>74</v>
          </cell>
          <cell r="D2152">
            <v>1.36</v>
          </cell>
          <cell r="E2152" t="str">
            <v>W162</v>
          </cell>
        </row>
        <row r="2153">
          <cell r="A2153">
            <v>74163</v>
          </cell>
          <cell r="B2153">
            <v>89</v>
          </cell>
          <cell r="C2153">
            <v>74</v>
          </cell>
          <cell r="D2153">
            <v>2.67</v>
          </cell>
          <cell r="E2153" t="str">
            <v>W163</v>
          </cell>
        </row>
        <row r="2154">
          <cell r="A2154">
            <v>74164</v>
          </cell>
          <cell r="B2154">
            <v>90</v>
          </cell>
          <cell r="C2154">
            <v>74</v>
          </cell>
          <cell r="D2154">
            <v>6.3</v>
          </cell>
          <cell r="E2154" t="str">
            <v>W164</v>
          </cell>
        </row>
        <row r="2155">
          <cell r="A2155">
            <v>74165</v>
          </cell>
          <cell r="B2155">
            <v>91</v>
          </cell>
          <cell r="C2155">
            <v>74</v>
          </cell>
          <cell r="D2155">
            <v>5.0999999999999996</v>
          </cell>
          <cell r="E2155" t="str">
            <v>W165</v>
          </cell>
        </row>
        <row r="2156">
          <cell r="A2156">
            <v>74166</v>
          </cell>
          <cell r="B2156">
            <v>92</v>
          </cell>
          <cell r="C2156">
            <v>74</v>
          </cell>
          <cell r="D2156">
            <v>19.2</v>
          </cell>
          <cell r="E2156" t="str">
            <v>W166</v>
          </cell>
        </row>
        <row r="2157">
          <cell r="A2157">
            <v>74167</v>
          </cell>
          <cell r="B2157">
            <v>93</v>
          </cell>
          <cell r="C2157">
            <v>74</v>
          </cell>
          <cell r="D2157">
            <v>19.899999999999999</v>
          </cell>
          <cell r="E2157" t="str">
            <v>W167</v>
          </cell>
        </row>
        <row r="2158">
          <cell r="A2158">
            <v>74168</v>
          </cell>
          <cell r="B2158">
            <v>94</v>
          </cell>
          <cell r="C2158">
            <v>74</v>
          </cell>
          <cell r="D2158">
            <v>50.9</v>
          </cell>
          <cell r="E2158" t="str">
            <v>W168</v>
          </cell>
        </row>
        <row r="2159">
          <cell r="A2159">
            <v>74169</v>
          </cell>
          <cell r="B2159">
            <v>95</v>
          </cell>
          <cell r="C2159">
            <v>74</v>
          </cell>
          <cell r="D2159">
            <v>74</v>
          </cell>
          <cell r="E2159" t="str">
            <v>W169</v>
          </cell>
        </row>
        <row r="2160">
          <cell r="A2160">
            <v>74170</v>
          </cell>
          <cell r="B2160">
            <v>96</v>
          </cell>
          <cell r="C2160">
            <v>74</v>
          </cell>
          <cell r="D2160">
            <v>145.19999999999999</v>
          </cell>
          <cell r="E2160" t="str">
            <v>W170</v>
          </cell>
        </row>
        <row r="2161">
          <cell r="A2161">
            <v>74171</v>
          </cell>
          <cell r="B2161">
            <v>97</v>
          </cell>
          <cell r="C2161">
            <v>74</v>
          </cell>
          <cell r="D2161">
            <v>142.79999999999899</v>
          </cell>
          <cell r="E2161" t="str">
            <v>W171</v>
          </cell>
        </row>
        <row r="2162">
          <cell r="A2162">
            <v>74172</v>
          </cell>
          <cell r="B2162">
            <v>98</v>
          </cell>
          <cell r="C2162">
            <v>74</v>
          </cell>
          <cell r="D2162">
            <v>396</v>
          </cell>
          <cell r="E2162" t="str">
            <v>W172</v>
          </cell>
        </row>
        <row r="2163">
          <cell r="A2163">
            <v>74173</v>
          </cell>
          <cell r="B2163">
            <v>99</v>
          </cell>
          <cell r="C2163">
            <v>74</v>
          </cell>
          <cell r="D2163">
            <v>456</v>
          </cell>
          <cell r="E2163" t="str">
            <v>W173</v>
          </cell>
        </row>
        <row r="2164">
          <cell r="A2164">
            <v>74174</v>
          </cell>
          <cell r="B2164">
            <v>100</v>
          </cell>
          <cell r="C2164">
            <v>74</v>
          </cell>
          <cell r="D2164">
            <v>1992</v>
          </cell>
          <cell r="E2164" t="str">
            <v>W174</v>
          </cell>
        </row>
        <row r="2165">
          <cell r="A2165">
            <v>74175</v>
          </cell>
          <cell r="B2165">
            <v>101</v>
          </cell>
          <cell r="C2165">
            <v>74</v>
          </cell>
          <cell r="D2165">
            <v>2112</v>
          </cell>
          <cell r="E2165" t="str">
            <v>W175</v>
          </cell>
        </row>
        <row r="2166">
          <cell r="A2166">
            <v>74176</v>
          </cell>
          <cell r="B2166">
            <v>102</v>
          </cell>
          <cell r="C2166">
            <v>74</v>
          </cell>
          <cell r="D2166">
            <v>9000</v>
          </cell>
          <cell r="E2166" t="str">
            <v>W176</v>
          </cell>
        </row>
        <row r="2167">
          <cell r="A2167">
            <v>74177</v>
          </cell>
          <cell r="B2167">
            <v>103</v>
          </cell>
          <cell r="C2167">
            <v>74</v>
          </cell>
          <cell r="D2167">
            <v>7920</v>
          </cell>
          <cell r="E2167" t="str">
            <v>W177</v>
          </cell>
        </row>
        <row r="2168">
          <cell r="A2168">
            <v>74178</v>
          </cell>
          <cell r="B2168">
            <v>104</v>
          </cell>
          <cell r="C2168">
            <v>74</v>
          </cell>
          <cell r="D2168">
            <v>1866240</v>
          </cell>
          <cell r="E2168" t="str">
            <v>W178</v>
          </cell>
        </row>
        <row r="2169">
          <cell r="A2169">
            <v>74179</v>
          </cell>
          <cell r="B2169">
            <v>105</v>
          </cell>
          <cell r="C2169">
            <v>74</v>
          </cell>
          <cell r="D2169">
            <v>2223</v>
          </cell>
          <cell r="E2169" t="str">
            <v>W179</v>
          </cell>
        </row>
        <row r="2170">
          <cell r="A2170">
            <v>74180</v>
          </cell>
          <cell r="B2170">
            <v>106</v>
          </cell>
          <cell r="C2170">
            <v>74</v>
          </cell>
          <cell r="D2170">
            <v>2.0828016E+25</v>
          </cell>
          <cell r="E2170" t="str">
            <v>W180</v>
          </cell>
        </row>
        <row r="2171">
          <cell r="A2171">
            <v>74181</v>
          </cell>
          <cell r="B2171">
            <v>107</v>
          </cell>
          <cell r="C2171">
            <v>74</v>
          </cell>
          <cell r="D2171">
            <v>10471680</v>
          </cell>
          <cell r="E2171" t="str">
            <v>W181</v>
          </cell>
        </row>
        <row r="2172">
          <cell r="A2172">
            <v>74182</v>
          </cell>
          <cell r="B2172">
            <v>108</v>
          </cell>
          <cell r="C2172">
            <v>74</v>
          </cell>
          <cell r="D2172" t="str">
            <v>STABLE</v>
          </cell>
          <cell r="E2172" t="str">
            <v>W182</v>
          </cell>
        </row>
        <row r="2173">
          <cell r="A2173">
            <v>74183</v>
          </cell>
          <cell r="B2173">
            <v>109</v>
          </cell>
          <cell r="C2173">
            <v>74</v>
          </cell>
          <cell r="D2173">
            <v>2.1143592000000001E+28</v>
          </cell>
          <cell r="E2173" t="str">
            <v>W183</v>
          </cell>
        </row>
        <row r="2174">
          <cell r="A2174">
            <v>74184</v>
          </cell>
          <cell r="B2174">
            <v>110</v>
          </cell>
          <cell r="C2174">
            <v>74</v>
          </cell>
          <cell r="D2174" t="str">
            <v>STABLE</v>
          </cell>
          <cell r="E2174" t="str">
            <v>W184</v>
          </cell>
        </row>
        <row r="2175">
          <cell r="A2175">
            <v>74185</v>
          </cell>
          <cell r="B2175">
            <v>111</v>
          </cell>
          <cell r="C2175">
            <v>74</v>
          </cell>
          <cell r="D2175">
            <v>6488639.9999999898</v>
          </cell>
          <cell r="E2175" t="str">
            <v>W185</v>
          </cell>
        </row>
        <row r="2176">
          <cell r="A2176">
            <v>74186</v>
          </cell>
          <cell r="B2176">
            <v>112</v>
          </cell>
          <cell r="C2176">
            <v>74</v>
          </cell>
          <cell r="D2176">
            <v>7.2582479999999996E+26</v>
          </cell>
          <cell r="E2176" t="str">
            <v>W186</v>
          </cell>
        </row>
        <row r="2177">
          <cell r="A2177">
            <v>74187</v>
          </cell>
          <cell r="B2177">
            <v>113</v>
          </cell>
          <cell r="C2177">
            <v>74</v>
          </cell>
          <cell r="D2177">
            <v>86400</v>
          </cell>
          <cell r="E2177" t="str">
            <v>W187</v>
          </cell>
        </row>
        <row r="2178">
          <cell r="A2178">
            <v>74188</v>
          </cell>
          <cell r="B2178">
            <v>114</v>
          </cell>
          <cell r="C2178">
            <v>74</v>
          </cell>
          <cell r="D2178">
            <v>6028992</v>
          </cell>
          <cell r="E2178" t="str">
            <v>W188</v>
          </cell>
        </row>
        <row r="2179">
          <cell r="A2179">
            <v>74189</v>
          </cell>
          <cell r="B2179">
            <v>115</v>
          </cell>
          <cell r="C2179">
            <v>74</v>
          </cell>
          <cell r="D2179">
            <v>642</v>
          </cell>
          <cell r="E2179" t="str">
            <v>W189</v>
          </cell>
        </row>
        <row r="2180">
          <cell r="A2180">
            <v>74190</v>
          </cell>
          <cell r="B2180">
            <v>116</v>
          </cell>
          <cell r="C2180">
            <v>74</v>
          </cell>
          <cell r="D2180">
            <v>1800</v>
          </cell>
          <cell r="E2180" t="str">
            <v>W190</v>
          </cell>
        </row>
        <row r="2181">
          <cell r="A2181">
            <v>74191</v>
          </cell>
          <cell r="B2181">
            <v>117</v>
          </cell>
          <cell r="C2181">
            <v>74</v>
          </cell>
          <cell r="D2181">
            <v>2.9999999999999999E-7</v>
          </cell>
          <cell r="E2181" t="str">
            <v>W191</v>
          </cell>
        </row>
        <row r="2182">
          <cell r="A2182">
            <v>74193</v>
          </cell>
          <cell r="B2182">
            <v>119</v>
          </cell>
          <cell r="C2182">
            <v>74</v>
          </cell>
          <cell r="D2182">
            <v>2.9999999999999999E-7</v>
          </cell>
          <cell r="E2182" t="str">
            <v>W193</v>
          </cell>
        </row>
        <row r="2183">
          <cell r="A2183">
            <v>74194</v>
          </cell>
          <cell r="B2183">
            <v>120</v>
          </cell>
          <cell r="C2183">
            <v>74</v>
          </cell>
          <cell r="D2183">
            <v>2.9999999999999999E-7</v>
          </cell>
          <cell r="E2183" t="str">
            <v>W194</v>
          </cell>
        </row>
        <row r="2184">
          <cell r="A2184">
            <v>74195</v>
          </cell>
          <cell r="B2184">
            <v>121</v>
          </cell>
          <cell r="C2184">
            <v>74</v>
          </cell>
          <cell r="D2184">
            <v>1.6E-7</v>
          </cell>
          <cell r="E2184" t="str">
            <v>W195</v>
          </cell>
        </row>
        <row r="2185">
          <cell r="A2185">
            <v>74196</v>
          </cell>
          <cell r="B2185">
            <v>122</v>
          </cell>
          <cell r="C2185">
            <v>74</v>
          </cell>
          <cell r="D2185">
            <v>1.6E-7</v>
          </cell>
          <cell r="E2185" t="str">
            <v>W196</v>
          </cell>
        </row>
        <row r="2186">
          <cell r="A2186">
            <v>74197</v>
          </cell>
          <cell r="B2186">
            <v>123</v>
          </cell>
          <cell r="C2186">
            <v>74</v>
          </cell>
          <cell r="D2186">
            <v>1.6E-7</v>
          </cell>
          <cell r="E2186" t="str">
            <v>W197</v>
          </cell>
        </row>
        <row r="2187">
          <cell r="A2187">
            <v>75160</v>
          </cell>
          <cell r="B2187">
            <v>85</v>
          </cell>
          <cell r="C2187">
            <v>75</v>
          </cell>
          <cell r="D2187">
            <v>8.1999999999999998E-4</v>
          </cell>
          <cell r="E2187" t="str">
            <v>Re160</v>
          </cell>
        </row>
        <row r="2188">
          <cell r="A2188">
            <v>75161</v>
          </cell>
          <cell r="B2188">
            <v>86</v>
          </cell>
          <cell r="C2188">
            <v>75</v>
          </cell>
          <cell r="D2188">
            <v>4.4000000000000002E-4</v>
          </cell>
          <cell r="E2188" t="str">
            <v>Re161</v>
          </cell>
        </row>
        <row r="2189">
          <cell r="A2189">
            <v>75162</v>
          </cell>
          <cell r="B2189">
            <v>87</v>
          </cell>
          <cell r="C2189">
            <v>75</v>
          </cell>
          <cell r="D2189">
            <v>0.107</v>
          </cell>
          <cell r="E2189" t="str">
            <v>Re162</v>
          </cell>
        </row>
        <row r="2190">
          <cell r="A2190">
            <v>75163</v>
          </cell>
          <cell r="B2190">
            <v>88</v>
          </cell>
          <cell r="C2190">
            <v>75</v>
          </cell>
          <cell r="D2190">
            <v>0.39</v>
          </cell>
          <cell r="E2190" t="str">
            <v>Re163</v>
          </cell>
        </row>
        <row r="2191">
          <cell r="A2191">
            <v>75164</v>
          </cell>
          <cell r="B2191">
            <v>89</v>
          </cell>
          <cell r="C2191">
            <v>75</v>
          </cell>
          <cell r="D2191">
            <v>0.85</v>
          </cell>
          <cell r="E2191" t="str">
            <v>Re164</v>
          </cell>
        </row>
        <row r="2192">
          <cell r="A2192">
            <v>75165</v>
          </cell>
          <cell r="B2192">
            <v>90</v>
          </cell>
          <cell r="C2192">
            <v>75</v>
          </cell>
          <cell r="D2192">
            <v>1.6</v>
          </cell>
          <cell r="E2192" t="str">
            <v>Re165</v>
          </cell>
        </row>
        <row r="2193">
          <cell r="A2193">
            <v>75166</v>
          </cell>
          <cell r="B2193">
            <v>91</v>
          </cell>
          <cell r="C2193">
            <v>75</v>
          </cell>
          <cell r="D2193">
            <v>2.25</v>
          </cell>
          <cell r="E2193" t="str">
            <v>Re166</v>
          </cell>
        </row>
        <row r="2194">
          <cell r="A2194">
            <v>75167</v>
          </cell>
          <cell r="B2194">
            <v>92</v>
          </cell>
          <cell r="C2194">
            <v>75</v>
          </cell>
          <cell r="D2194">
            <v>5.9</v>
          </cell>
          <cell r="E2194" t="str">
            <v>Re167</v>
          </cell>
        </row>
        <row r="2195">
          <cell r="A2195">
            <v>75168</v>
          </cell>
          <cell r="B2195">
            <v>93</v>
          </cell>
          <cell r="C2195">
            <v>75</v>
          </cell>
          <cell r="D2195">
            <v>4.4000000000000004</v>
          </cell>
          <cell r="E2195" t="str">
            <v>Re168</v>
          </cell>
        </row>
        <row r="2196">
          <cell r="A2196">
            <v>75169</v>
          </cell>
          <cell r="B2196">
            <v>94</v>
          </cell>
          <cell r="C2196">
            <v>75</v>
          </cell>
          <cell r="D2196">
            <v>8.1</v>
          </cell>
          <cell r="E2196" t="str">
            <v>Re169</v>
          </cell>
        </row>
        <row r="2197">
          <cell r="A2197">
            <v>75170</v>
          </cell>
          <cell r="B2197">
            <v>95</v>
          </cell>
          <cell r="C2197">
            <v>75</v>
          </cell>
          <cell r="D2197">
            <v>9.1999999999999993</v>
          </cell>
          <cell r="E2197" t="str">
            <v>Re170</v>
          </cell>
        </row>
        <row r="2198">
          <cell r="A2198">
            <v>75171</v>
          </cell>
          <cell r="B2198">
            <v>96</v>
          </cell>
          <cell r="C2198">
            <v>75</v>
          </cell>
          <cell r="D2198">
            <v>15.2</v>
          </cell>
          <cell r="E2198" t="str">
            <v>Re171</v>
          </cell>
        </row>
        <row r="2199">
          <cell r="A2199">
            <v>75172</v>
          </cell>
          <cell r="B2199">
            <v>97</v>
          </cell>
          <cell r="C2199">
            <v>75</v>
          </cell>
          <cell r="D2199">
            <v>55</v>
          </cell>
          <cell r="E2199" t="str">
            <v>Re172</v>
          </cell>
        </row>
        <row r="2200">
          <cell r="A2200">
            <v>75173</v>
          </cell>
          <cell r="B2200">
            <v>98</v>
          </cell>
          <cell r="C2200">
            <v>75</v>
          </cell>
          <cell r="D2200">
            <v>118.8</v>
          </cell>
          <cell r="E2200" t="str">
            <v>Re173</v>
          </cell>
        </row>
        <row r="2201">
          <cell r="A2201">
            <v>75174</v>
          </cell>
          <cell r="B2201">
            <v>99</v>
          </cell>
          <cell r="C2201">
            <v>75</v>
          </cell>
          <cell r="D2201">
            <v>144</v>
          </cell>
          <cell r="E2201" t="str">
            <v>Re174</v>
          </cell>
        </row>
        <row r="2202">
          <cell r="A2202">
            <v>75175</v>
          </cell>
          <cell r="B2202">
            <v>100</v>
          </cell>
          <cell r="C2202">
            <v>75</v>
          </cell>
          <cell r="D2202">
            <v>353.4</v>
          </cell>
          <cell r="E2202" t="str">
            <v>Re175</v>
          </cell>
        </row>
        <row r="2203">
          <cell r="A2203">
            <v>75176</v>
          </cell>
          <cell r="B2203">
            <v>101</v>
          </cell>
          <cell r="C2203">
            <v>75</v>
          </cell>
          <cell r="D2203">
            <v>318</v>
          </cell>
          <cell r="E2203" t="str">
            <v>Re176</v>
          </cell>
        </row>
        <row r="2204">
          <cell r="A2204">
            <v>75177</v>
          </cell>
          <cell r="B2204">
            <v>102</v>
          </cell>
          <cell r="C2204">
            <v>75</v>
          </cell>
          <cell r="D2204">
            <v>840</v>
          </cell>
          <cell r="E2204" t="str">
            <v>Re177</v>
          </cell>
        </row>
        <row r="2205">
          <cell r="A2205">
            <v>75178</v>
          </cell>
          <cell r="B2205">
            <v>103</v>
          </cell>
          <cell r="C2205">
            <v>75</v>
          </cell>
          <cell r="D2205">
            <v>792</v>
          </cell>
          <cell r="E2205" t="str">
            <v>Re178</v>
          </cell>
        </row>
        <row r="2206">
          <cell r="A2206">
            <v>75179</v>
          </cell>
          <cell r="B2206">
            <v>104</v>
          </cell>
          <cell r="C2206">
            <v>75</v>
          </cell>
          <cell r="D2206">
            <v>1170</v>
          </cell>
          <cell r="E2206" t="str">
            <v>Re179</v>
          </cell>
        </row>
        <row r="2207">
          <cell r="A2207">
            <v>75180</v>
          </cell>
          <cell r="B2207">
            <v>105</v>
          </cell>
          <cell r="C2207">
            <v>75</v>
          </cell>
          <cell r="D2207">
            <v>147.6</v>
          </cell>
          <cell r="E2207" t="str">
            <v>Re180</v>
          </cell>
        </row>
        <row r="2208">
          <cell r="A2208">
            <v>75181</v>
          </cell>
          <cell r="B2208">
            <v>106</v>
          </cell>
          <cell r="C2208">
            <v>75</v>
          </cell>
          <cell r="D2208">
            <v>71640</v>
          </cell>
          <cell r="E2208" t="str">
            <v>Re181</v>
          </cell>
        </row>
        <row r="2209">
          <cell r="A2209">
            <v>75182</v>
          </cell>
          <cell r="B2209">
            <v>107</v>
          </cell>
          <cell r="C2209">
            <v>75</v>
          </cell>
          <cell r="D2209">
            <v>231120</v>
          </cell>
          <cell r="E2209" t="str">
            <v>Re182</v>
          </cell>
        </row>
        <row r="2210">
          <cell r="A2210">
            <v>75183</v>
          </cell>
          <cell r="B2210">
            <v>108</v>
          </cell>
          <cell r="C2210">
            <v>75</v>
          </cell>
          <cell r="D2210">
            <v>6048000</v>
          </cell>
          <cell r="E2210" t="str">
            <v>Re183</v>
          </cell>
        </row>
        <row r="2211">
          <cell r="A2211">
            <v>75184</v>
          </cell>
          <cell r="B2211">
            <v>109</v>
          </cell>
          <cell r="C2211">
            <v>75</v>
          </cell>
          <cell r="D2211">
            <v>3058560</v>
          </cell>
          <cell r="E2211" t="str">
            <v>Re184</v>
          </cell>
        </row>
        <row r="2212">
          <cell r="A2212">
            <v>75185</v>
          </cell>
          <cell r="B2212">
            <v>110</v>
          </cell>
          <cell r="C2212">
            <v>75</v>
          </cell>
          <cell r="D2212" t="str">
            <v>STABLE</v>
          </cell>
          <cell r="E2212" t="str">
            <v>Re185</v>
          </cell>
        </row>
        <row r="2213">
          <cell r="A2213">
            <v>75186</v>
          </cell>
          <cell r="B2213">
            <v>111</v>
          </cell>
          <cell r="C2213">
            <v>75</v>
          </cell>
          <cell r="D2213">
            <v>321287.03999999998</v>
          </cell>
          <cell r="E2213" t="str">
            <v>Re186</v>
          </cell>
        </row>
        <row r="2214">
          <cell r="A2214">
            <v>75187</v>
          </cell>
          <cell r="B2214">
            <v>112</v>
          </cell>
          <cell r="C2214">
            <v>75</v>
          </cell>
          <cell r="D2214">
            <v>1.36644408E+18</v>
          </cell>
          <cell r="E2214" t="str">
            <v>Re187</v>
          </cell>
        </row>
        <row r="2215">
          <cell r="A2215">
            <v>75188</v>
          </cell>
          <cell r="B2215">
            <v>113</v>
          </cell>
          <cell r="C2215">
            <v>75</v>
          </cell>
          <cell r="D2215">
            <v>61210.8</v>
          </cell>
          <cell r="E2215" t="str">
            <v>Re188</v>
          </cell>
        </row>
        <row r="2216">
          <cell r="A2216">
            <v>75189</v>
          </cell>
          <cell r="B2216">
            <v>114</v>
          </cell>
          <cell r="C2216">
            <v>75</v>
          </cell>
          <cell r="D2216">
            <v>87480</v>
          </cell>
          <cell r="E2216" t="str">
            <v>Re189</v>
          </cell>
        </row>
        <row r="2217">
          <cell r="A2217">
            <v>75190</v>
          </cell>
          <cell r="B2217">
            <v>115</v>
          </cell>
          <cell r="C2217">
            <v>75</v>
          </cell>
          <cell r="D2217">
            <v>186</v>
          </cell>
          <cell r="E2217" t="str">
            <v>Re190</v>
          </cell>
        </row>
        <row r="2218">
          <cell r="A2218">
            <v>75191</v>
          </cell>
          <cell r="B2218">
            <v>116</v>
          </cell>
          <cell r="C2218">
            <v>75</v>
          </cell>
          <cell r="D2218">
            <v>588</v>
          </cell>
          <cell r="E2218" t="str">
            <v>Re191</v>
          </cell>
        </row>
        <row r="2219">
          <cell r="A2219">
            <v>75192</v>
          </cell>
          <cell r="B2219">
            <v>117</v>
          </cell>
          <cell r="C2219">
            <v>75</v>
          </cell>
          <cell r="D2219">
            <v>16</v>
          </cell>
          <cell r="E2219" t="str">
            <v>Re192</v>
          </cell>
        </row>
        <row r="2220">
          <cell r="A2220">
            <v>75194</v>
          </cell>
          <cell r="B2220">
            <v>119</v>
          </cell>
          <cell r="C2220">
            <v>75</v>
          </cell>
          <cell r="D2220">
            <v>5</v>
          </cell>
          <cell r="E2220" t="str">
            <v>Re194</v>
          </cell>
        </row>
        <row r="2221">
          <cell r="A2221">
            <v>75195</v>
          </cell>
          <cell r="B2221">
            <v>120</v>
          </cell>
          <cell r="C2221">
            <v>75</v>
          </cell>
          <cell r="D2221">
            <v>6</v>
          </cell>
          <cell r="E2221" t="str">
            <v>Re195</v>
          </cell>
        </row>
        <row r="2222">
          <cell r="A2222">
            <v>75196</v>
          </cell>
          <cell r="B2222">
            <v>121</v>
          </cell>
          <cell r="C2222">
            <v>75</v>
          </cell>
          <cell r="D2222">
            <v>3</v>
          </cell>
          <cell r="E2222" t="str">
            <v>Re196</v>
          </cell>
        </row>
        <row r="2223">
          <cell r="A2223">
            <v>75197</v>
          </cell>
          <cell r="B2223">
            <v>122</v>
          </cell>
          <cell r="C2223">
            <v>75</v>
          </cell>
          <cell r="D2223">
            <v>1.6E-7</v>
          </cell>
          <cell r="E2223" t="str">
            <v>Re197</v>
          </cell>
        </row>
        <row r="2224">
          <cell r="A2224">
            <v>75198</v>
          </cell>
          <cell r="B2224">
            <v>123</v>
          </cell>
          <cell r="C2224">
            <v>75</v>
          </cell>
          <cell r="D2224">
            <v>1.6E-7</v>
          </cell>
          <cell r="E2224" t="str">
            <v>Re198</v>
          </cell>
        </row>
        <row r="2225">
          <cell r="A2225">
            <v>75199</v>
          </cell>
          <cell r="B2225">
            <v>124</v>
          </cell>
          <cell r="C2225">
            <v>75</v>
          </cell>
          <cell r="D2225">
            <v>1.6E-7</v>
          </cell>
          <cell r="E2225" t="str">
            <v>Re199</v>
          </cell>
        </row>
        <row r="2226">
          <cell r="A2226">
            <v>76161</v>
          </cell>
          <cell r="B2226">
            <v>85</v>
          </cell>
          <cell r="C2226">
            <v>76</v>
          </cell>
          <cell r="D2226">
            <v>6.3999999999999897E-4</v>
          </cell>
          <cell r="E2226" t="str">
            <v>Os161</v>
          </cell>
        </row>
        <row r="2227">
          <cell r="A2227">
            <v>76162</v>
          </cell>
          <cell r="B2227">
            <v>86</v>
          </cell>
          <cell r="C2227">
            <v>76</v>
          </cell>
          <cell r="D2227">
            <v>2.0999999999999999E-3</v>
          </cell>
          <cell r="E2227" t="str">
            <v>Os162</v>
          </cell>
        </row>
        <row r="2228">
          <cell r="A2228">
            <v>76163</v>
          </cell>
          <cell r="B2228">
            <v>87</v>
          </cell>
          <cell r="C2228">
            <v>76</v>
          </cell>
          <cell r="D2228">
            <v>5.4999999999999997E-3</v>
          </cell>
          <cell r="E2228" t="str">
            <v>Os163</v>
          </cell>
        </row>
        <row r="2229">
          <cell r="A2229">
            <v>76164</v>
          </cell>
          <cell r="B2229">
            <v>88</v>
          </cell>
          <cell r="C2229">
            <v>76</v>
          </cell>
          <cell r="D2229">
            <v>2.1000000000000001E-2</v>
          </cell>
          <cell r="E2229" t="str">
            <v>Os164</v>
          </cell>
        </row>
        <row r="2230">
          <cell r="A2230">
            <v>76165</v>
          </cell>
          <cell r="B2230">
            <v>89</v>
          </cell>
          <cell r="C2230">
            <v>76</v>
          </cell>
          <cell r="D2230">
            <v>7.0999999999999994E-2</v>
          </cell>
          <cell r="E2230" t="str">
            <v>Os165</v>
          </cell>
        </row>
        <row r="2231">
          <cell r="A2231">
            <v>76166</v>
          </cell>
          <cell r="B2231">
            <v>90</v>
          </cell>
          <cell r="C2231">
            <v>76</v>
          </cell>
          <cell r="D2231">
            <v>0.20799999999999999</v>
          </cell>
          <cell r="E2231" t="str">
            <v>Os166</v>
          </cell>
        </row>
        <row r="2232">
          <cell r="A2232">
            <v>76167</v>
          </cell>
          <cell r="B2232">
            <v>91</v>
          </cell>
          <cell r="C2232">
            <v>76</v>
          </cell>
          <cell r="D2232">
            <v>0.81</v>
          </cell>
          <cell r="E2232" t="str">
            <v>Os167</v>
          </cell>
        </row>
        <row r="2233">
          <cell r="A2233">
            <v>76168</v>
          </cell>
          <cell r="B2233">
            <v>92</v>
          </cell>
          <cell r="C2233">
            <v>76</v>
          </cell>
          <cell r="D2233">
            <v>2.1</v>
          </cell>
          <cell r="E2233" t="str">
            <v>Os168</v>
          </cell>
        </row>
        <row r="2234">
          <cell r="A2234">
            <v>76169</v>
          </cell>
          <cell r="B2234">
            <v>93</v>
          </cell>
          <cell r="C2234">
            <v>76</v>
          </cell>
          <cell r="D2234">
            <v>3.43</v>
          </cell>
          <cell r="E2234" t="str">
            <v>Os169</v>
          </cell>
        </row>
        <row r="2235">
          <cell r="A2235">
            <v>76170</v>
          </cell>
          <cell r="B2235">
            <v>94</v>
          </cell>
          <cell r="C2235">
            <v>76</v>
          </cell>
          <cell r="D2235">
            <v>7.37</v>
          </cell>
          <cell r="E2235" t="str">
            <v>Os170</v>
          </cell>
        </row>
        <row r="2236">
          <cell r="A2236">
            <v>76171</v>
          </cell>
          <cell r="B2236">
            <v>95</v>
          </cell>
          <cell r="C2236">
            <v>76</v>
          </cell>
          <cell r="D2236">
            <v>8.3000000000000007</v>
          </cell>
          <cell r="E2236" t="str">
            <v>Os171</v>
          </cell>
        </row>
        <row r="2237">
          <cell r="A2237">
            <v>76172</v>
          </cell>
          <cell r="B2237">
            <v>96</v>
          </cell>
          <cell r="C2237">
            <v>76</v>
          </cell>
          <cell r="D2237">
            <v>19.2</v>
          </cell>
          <cell r="E2237" t="str">
            <v>Os172</v>
          </cell>
        </row>
        <row r="2238">
          <cell r="A2238">
            <v>76173</v>
          </cell>
          <cell r="B2238">
            <v>97</v>
          </cell>
          <cell r="C2238">
            <v>76</v>
          </cell>
          <cell r="D2238">
            <v>22.4</v>
          </cell>
          <cell r="E2238" t="str">
            <v>Os173</v>
          </cell>
        </row>
        <row r="2239">
          <cell r="A2239">
            <v>76174</v>
          </cell>
          <cell r="B2239">
            <v>98</v>
          </cell>
          <cell r="C2239">
            <v>76</v>
          </cell>
          <cell r="D2239">
            <v>44</v>
          </cell>
          <cell r="E2239" t="str">
            <v>Os174</v>
          </cell>
        </row>
        <row r="2240">
          <cell r="A2240">
            <v>76175</v>
          </cell>
          <cell r="B2240">
            <v>99</v>
          </cell>
          <cell r="C2240">
            <v>76</v>
          </cell>
          <cell r="D2240">
            <v>84</v>
          </cell>
          <cell r="E2240" t="str">
            <v>Os175</v>
          </cell>
        </row>
        <row r="2241">
          <cell r="A2241">
            <v>76176</v>
          </cell>
          <cell r="B2241">
            <v>100</v>
          </cell>
          <cell r="C2241">
            <v>76</v>
          </cell>
          <cell r="D2241">
            <v>216</v>
          </cell>
          <cell r="E2241" t="str">
            <v>Os176</v>
          </cell>
        </row>
        <row r="2242">
          <cell r="A2242">
            <v>76177</v>
          </cell>
          <cell r="B2242">
            <v>101</v>
          </cell>
          <cell r="C2242">
            <v>76</v>
          </cell>
          <cell r="D2242">
            <v>180</v>
          </cell>
          <cell r="E2242" t="str">
            <v>Os177</v>
          </cell>
        </row>
        <row r="2243">
          <cell r="A2243">
            <v>76178</v>
          </cell>
          <cell r="B2243">
            <v>102</v>
          </cell>
          <cell r="C2243">
            <v>76</v>
          </cell>
          <cell r="D2243">
            <v>300</v>
          </cell>
          <cell r="E2243" t="str">
            <v>Os178</v>
          </cell>
        </row>
        <row r="2244">
          <cell r="A2244">
            <v>76179</v>
          </cell>
          <cell r="B2244">
            <v>103</v>
          </cell>
          <cell r="C2244">
            <v>76</v>
          </cell>
          <cell r="D2244">
            <v>390</v>
          </cell>
          <cell r="E2244" t="str">
            <v>Os179</v>
          </cell>
        </row>
        <row r="2245">
          <cell r="A2245">
            <v>76180</v>
          </cell>
          <cell r="B2245">
            <v>104</v>
          </cell>
          <cell r="C2245">
            <v>76</v>
          </cell>
          <cell r="D2245">
            <v>1290</v>
          </cell>
          <cell r="E2245" t="str">
            <v>Os180</v>
          </cell>
        </row>
        <row r="2246">
          <cell r="A2246">
            <v>76181</v>
          </cell>
          <cell r="B2246">
            <v>105</v>
          </cell>
          <cell r="C2246">
            <v>76</v>
          </cell>
          <cell r="D2246">
            <v>6300</v>
          </cell>
          <cell r="E2246" t="str">
            <v>Os181</v>
          </cell>
        </row>
        <row r="2247">
          <cell r="A2247">
            <v>76182</v>
          </cell>
          <cell r="B2247">
            <v>106</v>
          </cell>
          <cell r="C2247">
            <v>76</v>
          </cell>
          <cell r="D2247">
            <v>78624</v>
          </cell>
          <cell r="E2247" t="str">
            <v>Os182</v>
          </cell>
        </row>
        <row r="2248">
          <cell r="A2248">
            <v>76183</v>
          </cell>
          <cell r="B2248">
            <v>107</v>
          </cell>
          <cell r="C2248">
            <v>76</v>
          </cell>
          <cell r="D2248">
            <v>46800</v>
          </cell>
          <cell r="E2248" t="str">
            <v>Os183</v>
          </cell>
        </row>
        <row r="2249">
          <cell r="A2249">
            <v>76184</v>
          </cell>
          <cell r="B2249">
            <v>108</v>
          </cell>
          <cell r="C2249">
            <v>76</v>
          </cell>
          <cell r="D2249">
            <v>1.7672256E+21</v>
          </cell>
          <cell r="E2249" t="str">
            <v>Os184</v>
          </cell>
        </row>
        <row r="2250">
          <cell r="A2250">
            <v>76185</v>
          </cell>
          <cell r="B2250">
            <v>109</v>
          </cell>
          <cell r="C2250">
            <v>76</v>
          </cell>
          <cell r="D2250">
            <v>8087039.9999999898</v>
          </cell>
          <cell r="E2250" t="str">
            <v>Os185</v>
          </cell>
        </row>
        <row r="2251">
          <cell r="A2251">
            <v>76186</v>
          </cell>
          <cell r="B2251">
            <v>110</v>
          </cell>
          <cell r="C2251">
            <v>76</v>
          </cell>
          <cell r="D2251">
            <v>6.3115200000000002E+22</v>
          </cell>
          <cell r="E2251" t="str">
            <v>Os186</v>
          </cell>
        </row>
        <row r="2252">
          <cell r="A2252">
            <v>76187</v>
          </cell>
          <cell r="B2252">
            <v>111</v>
          </cell>
          <cell r="C2252">
            <v>76</v>
          </cell>
          <cell r="D2252" t="str">
            <v>STABLE</v>
          </cell>
          <cell r="E2252" t="str">
            <v>Os187</v>
          </cell>
        </row>
        <row r="2253">
          <cell r="A2253">
            <v>76188</v>
          </cell>
          <cell r="B2253">
            <v>112</v>
          </cell>
          <cell r="C2253">
            <v>76</v>
          </cell>
          <cell r="D2253" t="str">
            <v>STABLE</v>
          </cell>
          <cell r="E2253" t="str">
            <v>Os188</v>
          </cell>
        </row>
        <row r="2254">
          <cell r="A2254">
            <v>76189</v>
          </cell>
          <cell r="B2254">
            <v>113</v>
          </cell>
          <cell r="C2254">
            <v>76</v>
          </cell>
          <cell r="D2254" t="str">
            <v>STABLE</v>
          </cell>
          <cell r="E2254" t="str">
            <v>Os189</v>
          </cell>
        </row>
        <row r="2255">
          <cell r="A2255">
            <v>76190</v>
          </cell>
          <cell r="B2255">
            <v>114</v>
          </cell>
          <cell r="C2255">
            <v>76</v>
          </cell>
          <cell r="D2255" t="str">
            <v>STABLE</v>
          </cell>
          <cell r="E2255" t="str">
            <v>Os190</v>
          </cell>
        </row>
        <row r="2256">
          <cell r="A2256">
            <v>76191</v>
          </cell>
          <cell r="B2256">
            <v>115</v>
          </cell>
          <cell r="C2256">
            <v>76</v>
          </cell>
          <cell r="D2256">
            <v>1330560</v>
          </cell>
          <cell r="E2256" t="str">
            <v>Os191</v>
          </cell>
        </row>
        <row r="2257">
          <cell r="A2257">
            <v>76192</v>
          </cell>
          <cell r="B2257">
            <v>116</v>
          </cell>
          <cell r="C2257">
            <v>76</v>
          </cell>
          <cell r="D2257" t="str">
            <v>STABLE</v>
          </cell>
          <cell r="E2257" t="str">
            <v>Os192</v>
          </cell>
        </row>
        <row r="2258">
          <cell r="A2258">
            <v>76193</v>
          </cell>
          <cell r="B2258">
            <v>117</v>
          </cell>
          <cell r="C2258">
            <v>76</v>
          </cell>
          <cell r="D2258">
            <v>108396</v>
          </cell>
          <cell r="E2258" t="str">
            <v>Os193</v>
          </cell>
        </row>
        <row r="2259">
          <cell r="A2259">
            <v>76194</v>
          </cell>
          <cell r="B2259">
            <v>118</v>
          </cell>
          <cell r="C2259">
            <v>76</v>
          </cell>
          <cell r="D2259">
            <v>189345600</v>
          </cell>
          <cell r="E2259" t="str">
            <v>Os194</v>
          </cell>
        </row>
        <row r="2260">
          <cell r="A2260">
            <v>76195</v>
          </cell>
          <cell r="B2260">
            <v>119</v>
          </cell>
          <cell r="C2260">
            <v>76</v>
          </cell>
          <cell r="D2260">
            <v>540</v>
          </cell>
          <cell r="E2260" t="str">
            <v>Os195</v>
          </cell>
        </row>
        <row r="2261">
          <cell r="A2261">
            <v>76196</v>
          </cell>
          <cell r="B2261">
            <v>120</v>
          </cell>
          <cell r="C2261">
            <v>76</v>
          </cell>
          <cell r="D2261">
            <v>2094</v>
          </cell>
          <cell r="E2261" t="str">
            <v>Os196</v>
          </cell>
        </row>
        <row r="2262">
          <cell r="A2262">
            <v>76197</v>
          </cell>
          <cell r="B2262">
            <v>121</v>
          </cell>
          <cell r="C2262">
            <v>76</v>
          </cell>
          <cell r="D2262">
            <v>168</v>
          </cell>
          <cell r="E2262" t="str">
            <v>Os197</v>
          </cell>
        </row>
        <row r="2263">
          <cell r="A2263">
            <v>76199</v>
          </cell>
          <cell r="B2263">
            <v>123</v>
          </cell>
          <cell r="C2263">
            <v>76</v>
          </cell>
          <cell r="D2263">
            <v>5</v>
          </cell>
          <cell r="E2263" t="str">
            <v>Os199</v>
          </cell>
        </row>
        <row r="2264">
          <cell r="A2264">
            <v>76200</v>
          </cell>
          <cell r="B2264">
            <v>124</v>
          </cell>
          <cell r="C2264">
            <v>76</v>
          </cell>
          <cell r="D2264">
            <v>6</v>
          </cell>
          <cell r="E2264" t="str">
            <v>Os200</v>
          </cell>
        </row>
        <row r="2265">
          <cell r="A2265">
            <v>76201</v>
          </cell>
          <cell r="B2265">
            <v>125</v>
          </cell>
          <cell r="C2265">
            <v>76</v>
          </cell>
          <cell r="D2265">
            <v>1.6E-7</v>
          </cell>
          <cell r="E2265" t="str">
            <v>Os201</v>
          </cell>
        </row>
        <row r="2266">
          <cell r="A2266">
            <v>76202</v>
          </cell>
          <cell r="B2266">
            <v>126</v>
          </cell>
          <cell r="C2266">
            <v>76</v>
          </cell>
          <cell r="D2266">
            <v>1.6E-7</v>
          </cell>
          <cell r="E2266" t="str">
            <v>Os202</v>
          </cell>
        </row>
        <row r="2267">
          <cell r="A2267">
            <v>76203</v>
          </cell>
          <cell r="B2267">
            <v>127</v>
          </cell>
          <cell r="C2267">
            <v>76</v>
          </cell>
          <cell r="D2267">
            <v>1.6E-7</v>
          </cell>
          <cell r="E2267" t="str">
            <v>Os203</v>
          </cell>
        </row>
        <row r="2268">
          <cell r="A2268">
            <v>77164</v>
          </cell>
          <cell r="B2268">
            <v>87</v>
          </cell>
          <cell r="C2268">
            <v>77</v>
          </cell>
          <cell r="D2268">
            <v>6.9999999999999994E-5</v>
          </cell>
          <cell r="E2268" t="str">
            <v>Ir164</v>
          </cell>
        </row>
        <row r="2269">
          <cell r="A2269">
            <v>77166</v>
          </cell>
          <cell r="B2269">
            <v>89</v>
          </cell>
          <cell r="C2269">
            <v>77</v>
          </cell>
          <cell r="D2269">
            <v>1.0500000000000001E-2</v>
          </cell>
          <cell r="E2269" t="str">
            <v>Ir166</v>
          </cell>
        </row>
        <row r="2270">
          <cell r="A2270">
            <v>77167</v>
          </cell>
          <cell r="B2270">
            <v>90</v>
          </cell>
          <cell r="C2270">
            <v>77</v>
          </cell>
          <cell r="D2270">
            <v>0.03</v>
          </cell>
          <cell r="E2270" t="str">
            <v>Ir167</v>
          </cell>
        </row>
        <row r="2271">
          <cell r="A2271">
            <v>77168</v>
          </cell>
          <cell r="B2271">
            <v>91</v>
          </cell>
          <cell r="C2271">
            <v>77</v>
          </cell>
          <cell r="D2271">
            <v>0.222</v>
          </cell>
          <cell r="E2271" t="str">
            <v>Ir168</v>
          </cell>
        </row>
        <row r="2272">
          <cell r="A2272">
            <v>77169</v>
          </cell>
          <cell r="B2272">
            <v>92</v>
          </cell>
          <cell r="C2272">
            <v>77</v>
          </cell>
          <cell r="D2272">
            <v>0.56999999999999995</v>
          </cell>
          <cell r="E2272" t="str">
            <v>Ir169</v>
          </cell>
        </row>
        <row r="2273">
          <cell r="A2273">
            <v>77170</v>
          </cell>
          <cell r="B2273">
            <v>93</v>
          </cell>
          <cell r="C2273">
            <v>77</v>
          </cell>
          <cell r="D2273">
            <v>0.87</v>
          </cell>
          <cell r="E2273" t="str">
            <v>Ir170</v>
          </cell>
        </row>
        <row r="2274">
          <cell r="A2274">
            <v>77171</v>
          </cell>
          <cell r="B2274">
            <v>94</v>
          </cell>
          <cell r="C2274">
            <v>77</v>
          </cell>
          <cell r="D2274">
            <v>3.2</v>
          </cell>
          <cell r="E2274" t="str">
            <v>Ir171</v>
          </cell>
        </row>
        <row r="2275">
          <cell r="A2275">
            <v>77172</v>
          </cell>
          <cell r="B2275">
            <v>95</v>
          </cell>
          <cell r="C2275">
            <v>77</v>
          </cell>
          <cell r="D2275">
            <v>4.4000000000000004</v>
          </cell>
          <cell r="E2275" t="str">
            <v>Ir172</v>
          </cell>
        </row>
        <row r="2276">
          <cell r="A2276">
            <v>77173</v>
          </cell>
          <cell r="B2276">
            <v>96</v>
          </cell>
          <cell r="C2276">
            <v>77</v>
          </cell>
          <cell r="D2276">
            <v>9</v>
          </cell>
          <cell r="E2276" t="str">
            <v>Ir173</v>
          </cell>
        </row>
        <row r="2277">
          <cell r="A2277">
            <v>77174</v>
          </cell>
          <cell r="B2277">
            <v>97</v>
          </cell>
          <cell r="C2277">
            <v>77</v>
          </cell>
          <cell r="D2277">
            <v>7.9</v>
          </cell>
          <cell r="E2277" t="str">
            <v>Ir174</v>
          </cell>
        </row>
        <row r="2278">
          <cell r="A2278">
            <v>77175</v>
          </cell>
          <cell r="B2278">
            <v>98</v>
          </cell>
          <cell r="C2278">
            <v>77</v>
          </cell>
          <cell r="D2278">
            <v>9</v>
          </cell>
          <cell r="E2278" t="str">
            <v>Ir175</v>
          </cell>
        </row>
        <row r="2279">
          <cell r="A2279">
            <v>77176</v>
          </cell>
          <cell r="B2279">
            <v>99</v>
          </cell>
          <cell r="C2279">
            <v>77</v>
          </cell>
          <cell r="D2279">
            <v>8.6</v>
          </cell>
          <cell r="E2279" t="str">
            <v>Ir176</v>
          </cell>
        </row>
        <row r="2280">
          <cell r="A2280">
            <v>77177</v>
          </cell>
          <cell r="B2280">
            <v>100</v>
          </cell>
          <cell r="C2280">
            <v>77</v>
          </cell>
          <cell r="D2280">
            <v>30</v>
          </cell>
          <cell r="E2280" t="str">
            <v>Ir177</v>
          </cell>
        </row>
        <row r="2281">
          <cell r="A2281">
            <v>77178</v>
          </cell>
          <cell r="B2281">
            <v>101</v>
          </cell>
          <cell r="C2281">
            <v>77</v>
          </cell>
          <cell r="D2281">
            <v>12</v>
          </cell>
          <cell r="E2281" t="str">
            <v>Ir178</v>
          </cell>
        </row>
        <row r="2282">
          <cell r="A2282">
            <v>77179</v>
          </cell>
          <cell r="B2282">
            <v>102</v>
          </cell>
          <cell r="C2282">
            <v>77</v>
          </cell>
          <cell r="D2282">
            <v>79</v>
          </cell>
          <cell r="E2282" t="str">
            <v>Ir179</v>
          </cell>
        </row>
        <row r="2283">
          <cell r="A2283">
            <v>77180</v>
          </cell>
          <cell r="B2283">
            <v>103</v>
          </cell>
          <cell r="C2283">
            <v>77</v>
          </cell>
          <cell r="D2283">
            <v>90</v>
          </cell>
          <cell r="E2283" t="str">
            <v>Ir180</v>
          </cell>
        </row>
        <row r="2284">
          <cell r="A2284">
            <v>77181</v>
          </cell>
          <cell r="B2284">
            <v>104</v>
          </cell>
          <cell r="C2284">
            <v>77</v>
          </cell>
          <cell r="D2284">
            <v>294</v>
          </cell>
          <cell r="E2284" t="str">
            <v>Ir181</v>
          </cell>
        </row>
        <row r="2285">
          <cell r="A2285">
            <v>77182</v>
          </cell>
          <cell r="B2285">
            <v>105</v>
          </cell>
          <cell r="C2285">
            <v>77</v>
          </cell>
          <cell r="D2285">
            <v>900</v>
          </cell>
          <cell r="E2285" t="str">
            <v>Ir182</v>
          </cell>
        </row>
        <row r="2286">
          <cell r="A2286">
            <v>77183</v>
          </cell>
          <cell r="B2286">
            <v>106</v>
          </cell>
          <cell r="C2286">
            <v>77</v>
          </cell>
          <cell r="D2286">
            <v>3480</v>
          </cell>
          <cell r="E2286" t="str">
            <v>Ir183</v>
          </cell>
        </row>
        <row r="2287">
          <cell r="A2287">
            <v>77184</v>
          </cell>
          <cell r="B2287">
            <v>107</v>
          </cell>
          <cell r="C2287">
            <v>77</v>
          </cell>
          <cell r="D2287">
            <v>11124</v>
          </cell>
          <cell r="E2287" t="str">
            <v>Ir184</v>
          </cell>
        </row>
        <row r="2288">
          <cell r="A2288">
            <v>77185</v>
          </cell>
          <cell r="B2288">
            <v>108</v>
          </cell>
          <cell r="C2288">
            <v>77</v>
          </cell>
          <cell r="D2288">
            <v>51840</v>
          </cell>
          <cell r="E2288" t="str">
            <v>Ir185</v>
          </cell>
        </row>
        <row r="2289">
          <cell r="A2289">
            <v>77186</v>
          </cell>
          <cell r="B2289">
            <v>109</v>
          </cell>
          <cell r="C2289">
            <v>77</v>
          </cell>
          <cell r="D2289">
            <v>59904</v>
          </cell>
          <cell r="E2289" t="str">
            <v>Ir186</v>
          </cell>
        </row>
        <row r="2290">
          <cell r="A2290">
            <v>77187</v>
          </cell>
          <cell r="B2290">
            <v>110</v>
          </cell>
          <cell r="C2290">
            <v>77</v>
          </cell>
          <cell r="D2290">
            <v>37800</v>
          </cell>
          <cell r="E2290" t="str">
            <v>Ir187</v>
          </cell>
        </row>
        <row r="2291">
          <cell r="A2291">
            <v>77188</v>
          </cell>
          <cell r="B2291">
            <v>111</v>
          </cell>
          <cell r="C2291">
            <v>77</v>
          </cell>
          <cell r="D2291">
            <v>149400</v>
          </cell>
          <cell r="E2291" t="str">
            <v>Ir188</v>
          </cell>
        </row>
        <row r="2292">
          <cell r="A2292">
            <v>77189</v>
          </cell>
          <cell r="B2292">
            <v>112</v>
          </cell>
          <cell r="C2292">
            <v>77</v>
          </cell>
          <cell r="D2292">
            <v>1140480</v>
          </cell>
          <cell r="E2292" t="str">
            <v>Ir189</v>
          </cell>
        </row>
        <row r="2293">
          <cell r="A2293">
            <v>77190</v>
          </cell>
          <cell r="B2293">
            <v>113</v>
          </cell>
          <cell r="C2293">
            <v>77</v>
          </cell>
          <cell r="D2293">
            <v>1017792</v>
          </cell>
          <cell r="E2293" t="str">
            <v>Ir190</v>
          </cell>
        </row>
        <row r="2294">
          <cell r="A2294">
            <v>77191</v>
          </cell>
          <cell r="B2294">
            <v>114</v>
          </cell>
          <cell r="C2294">
            <v>77</v>
          </cell>
          <cell r="D2294" t="str">
            <v>STABLE</v>
          </cell>
          <cell r="E2294" t="str">
            <v>Ir191</v>
          </cell>
        </row>
        <row r="2295">
          <cell r="A2295">
            <v>77192</v>
          </cell>
          <cell r="B2295">
            <v>115</v>
          </cell>
          <cell r="C2295">
            <v>77</v>
          </cell>
          <cell r="D2295">
            <v>6378825.5999999996</v>
          </cell>
          <cell r="E2295" t="str">
            <v>Ir192</v>
          </cell>
        </row>
        <row r="2296">
          <cell r="A2296">
            <v>77193</v>
          </cell>
          <cell r="B2296">
            <v>116</v>
          </cell>
          <cell r="C2296">
            <v>77</v>
          </cell>
          <cell r="D2296" t="str">
            <v>STABLE</v>
          </cell>
          <cell r="E2296" t="str">
            <v>Ir193</v>
          </cell>
        </row>
        <row r="2297">
          <cell r="A2297">
            <v>77194</v>
          </cell>
          <cell r="B2297">
            <v>117</v>
          </cell>
          <cell r="C2297">
            <v>77</v>
          </cell>
          <cell r="D2297">
            <v>69408</v>
          </cell>
          <cell r="E2297" t="str">
            <v>Ir194</v>
          </cell>
        </row>
        <row r="2298">
          <cell r="A2298">
            <v>77195</v>
          </cell>
          <cell r="B2298">
            <v>118</v>
          </cell>
          <cell r="C2298">
            <v>77</v>
          </cell>
          <cell r="D2298">
            <v>8244</v>
          </cell>
          <cell r="E2298" t="str">
            <v>Ir195</v>
          </cell>
        </row>
        <row r="2299">
          <cell r="A2299">
            <v>77196</v>
          </cell>
          <cell r="B2299">
            <v>119</v>
          </cell>
          <cell r="C2299">
            <v>77</v>
          </cell>
          <cell r="D2299">
            <v>52</v>
          </cell>
          <cell r="E2299" t="str">
            <v>Ir196</v>
          </cell>
        </row>
        <row r="2300">
          <cell r="A2300">
            <v>77197</v>
          </cell>
          <cell r="B2300">
            <v>120</v>
          </cell>
          <cell r="C2300">
            <v>77</v>
          </cell>
          <cell r="D2300">
            <v>348</v>
          </cell>
          <cell r="E2300" t="str">
            <v>Ir197</v>
          </cell>
        </row>
        <row r="2301">
          <cell r="A2301">
            <v>77198</v>
          </cell>
          <cell r="B2301">
            <v>121</v>
          </cell>
          <cell r="C2301">
            <v>77</v>
          </cell>
          <cell r="D2301">
            <v>8</v>
          </cell>
          <cell r="E2301" t="str">
            <v>Ir198</v>
          </cell>
        </row>
        <row r="2302">
          <cell r="A2302">
            <v>77199</v>
          </cell>
          <cell r="B2302">
            <v>122</v>
          </cell>
          <cell r="C2302">
            <v>77</v>
          </cell>
          <cell r="D2302">
            <v>6</v>
          </cell>
          <cell r="E2302" t="str">
            <v>Ir199</v>
          </cell>
        </row>
        <row r="2303">
          <cell r="A2303">
            <v>77200</v>
          </cell>
          <cell r="B2303">
            <v>123</v>
          </cell>
          <cell r="C2303">
            <v>77</v>
          </cell>
          <cell r="D2303">
            <v>2.9999999999999999E-7</v>
          </cell>
          <cell r="E2303" t="str">
            <v>Ir200</v>
          </cell>
        </row>
        <row r="2304">
          <cell r="A2304">
            <v>77201</v>
          </cell>
          <cell r="B2304">
            <v>124</v>
          </cell>
          <cell r="C2304">
            <v>77</v>
          </cell>
          <cell r="D2304">
            <v>2.9999999999999999E-7</v>
          </cell>
          <cell r="E2304" t="str">
            <v>Ir201</v>
          </cell>
        </row>
        <row r="2305">
          <cell r="A2305">
            <v>77202</v>
          </cell>
          <cell r="B2305">
            <v>125</v>
          </cell>
          <cell r="C2305">
            <v>77</v>
          </cell>
          <cell r="D2305">
            <v>11</v>
          </cell>
          <cell r="E2305" t="str">
            <v>Ir202</v>
          </cell>
        </row>
        <row r="2306">
          <cell r="A2306">
            <v>77203</v>
          </cell>
          <cell r="B2306">
            <v>126</v>
          </cell>
          <cell r="C2306">
            <v>77</v>
          </cell>
          <cell r="D2306">
            <v>1.6E-7</v>
          </cell>
          <cell r="E2306" t="str">
            <v>Ir203</v>
          </cell>
        </row>
        <row r="2307">
          <cell r="A2307">
            <v>77204</v>
          </cell>
          <cell r="B2307">
            <v>127</v>
          </cell>
          <cell r="C2307">
            <v>77</v>
          </cell>
          <cell r="D2307">
            <v>1.6E-7</v>
          </cell>
          <cell r="E2307" t="str">
            <v>Ir204</v>
          </cell>
        </row>
        <row r="2308">
          <cell r="A2308">
            <v>77205</v>
          </cell>
          <cell r="B2308">
            <v>128</v>
          </cell>
          <cell r="C2308">
            <v>77</v>
          </cell>
          <cell r="D2308">
            <v>1.6E-7</v>
          </cell>
          <cell r="E2308" t="str">
            <v>Ir205</v>
          </cell>
        </row>
        <row r="2309">
          <cell r="A2309">
            <v>78166</v>
          </cell>
          <cell r="B2309">
            <v>88</v>
          </cell>
          <cell r="C2309">
            <v>78</v>
          </cell>
          <cell r="D2309">
            <v>2.9999999999999997E-4</v>
          </cell>
          <cell r="E2309" t="str">
            <v>Pt166</v>
          </cell>
        </row>
        <row r="2310">
          <cell r="A2310">
            <v>78167</v>
          </cell>
          <cell r="B2310">
            <v>89</v>
          </cell>
          <cell r="C2310">
            <v>78</v>
          </cell>
          <cell r="D2310">
            <v>7.7999999999999999E-4</v>
          </cell>
          <cell r="E2310" t="str">
            <v>Pt167</v>
          </cell>
        </row>
        <row r="2311">
          <cell r="A2311">
            <v>78168</v>
          </cell>
          <cell r="B2311">
            <v>90</v>
          </cell>
          <cell r="C2311">
            <v>78</v>
          </cell>
          <cell r="D2311">
            <v>2.0200000000000001E-3</v>
          </cell>
          <cell r="E2311" t="str">
            <v>Pt168</v>
          </cell>
        </row>
        <row r="2312">
          <cell r="A2312">
            <v>78169</v>
          </cell>
          <cell r="B2312">
            <v>91</v>
          </cell>
          <cell r="C2312">
            <v>78</v>
          </cell>
          <cell r="D2312">
            <v>6.9899999999999997E-3</v>
          </cell>
          <cell r="E2312" t="str">
            <v>Pt169</v>
          </cell>
        </row>
        <row r="2313">
          <cell r="A2313">
            <v>78170</v>
          </cell>
          <cell r="B2313">
            <v>92</v>
          </cell>
          <cell r="C2313">
            <v>78</v>
          </cell>
          <cell r="D2313">
            <v>1.38E-2</v>
          </cell>
          <cell r="E2313" t="str">
            <v>Pt170</v>
          </cell>
        </row>
        <row r="2314">
          <cell r="A2314">
            <v>78171</v>
          </cell>
          <cell r="B2314">
            <v>93</v>
          </cell>
          <cell r="C2314">
            <v>78</v>
          </cell>
          <cell r="D2314">
            <v>4.5499999999999999E-2</v>
          </cell>
          <cell r="E2314" t="str">
            <v>Pt171</v>
          </cell>
        </row>
        <row r="2315">
          <cell r="A2315">
            <v>78172</v>
          </cell>
          <cell r="B2315">
            <v>94</v>
          </cell>
          <cell r="C2315">
            <v>78</v>
          </cell>
          <cell r="D2315">
            <v>9.7599999999999895E-2</v>
          </cell>
          <cell r="E2315" t="str">
            <v>Pt172</v>
          </cell>
        </row>
        <row r="2316">
          <cell r="A2316">
            <v>78173</v>
          </cell>
          <cell r="B2316">
            <v>95</v>
          </cell>
          <cell r="C2316">
            <v>78</v>
          </cell>
          <cell r="D2316">
            <v>0.38200000000000001</v>
          </cell>
          <cell r="E2316" t="str">
            <v>Pt173</v>
          </cell>
        </row>
        <row r="2317">
          <cell r="A2317">
            <v>78174</v>
          </cell>
          <cell r="B2317">
            <v>96</v>
          </cell>
          <cell r="C2317">
            <v>78</v>
          </cell>
          <cell r="D2317">
            <v>0.88900000000000001</v>
          </cell>
          <cell r="E2317" t="str">
            <v>Pt174</v>
          </cell>
        </row>
        <row r="2318">
          <cell r="A2318">
            <v>78175</v>
          </cell>
          <cell r="B2318">
            <v>97</v>
          </cell>
          <cell r="C2318">
            <v>78</v>
          </cell>
          <cell r="D2318">
            <v>2.5299999999999998</v>
          </cell>
          <cell r="E2318" t="str">
            <v>Pt175</v>
          </cell>
        </row>
        <row r="2319">
          <cell r="A2319">
            <v>78176</v>
          </cell>
          <cell r="B2319">
            <v>98</v>
          </cell>
          <cell r="C2319">
            <v>78</v>
          </cell>
          <cell r="D2319">
            <v>6.33</v>
          </cell>
          <cell r="E2319" t="str">
            <v>Pt176</v>
          </cell>
        </row>
        <row r="2320">
          <cell r="A2320">
            <v>78177</v>
          </cell>
          <cell r="B2320">
            <v>99</v>
          </cell>
          <cell r="C2320">
            <v>78</v>
          </cell>
          <cell r="D2320">
            <v>10.6</v>
          </cell>
          <cell r="E2320" t="str">
            <v>Pt177</v>
          </cell>
        </row>
        <row r="2321">
          <cell r="A2321">
            <v>78178</v>
          </cell>
          <cell r="B2321">
            <v>100</v>
          </cell>
          <cell r="C2321">
            <v>78</v>
          </cell>
          <cell r="D2321">
            <v>20.7</v>
          </cell>
          <cell r="E2321" t="str">
            <v>Pt178</v>
          </cell>
        </row>
        <row r="2322">
          <cell r="A2322">
            <v>78179</v>
          </cell>
          <cell r="B2322">
            <v>101</v>
          </cell>
          <cell r="C2322">
            <v>78</v>
          </cell>
          <cell r="D2322">
            <v>21.2</v>
          </cell>
          <cell r="E2322" t="str">
            <v>Pt179</v>
          </cell>
        </row>
        <row r="2323">
          <cell r="A2323">
            <v>78180</v>
          </cell>
          <cell r="B2323">
            <v>102</v>
          </cell>
          <cell r="C2323">
            <v>78</v>
          </cell>
          <cell r="D2323">
            <v>56</v>
          </cell>
          <cell r="E2323" t="str">
            <v>Pt180</v>
          </cell>
        </row>
        <row r="2324">
          <cell r="A2324">
            <v>78181</v>
          </cell>
          <cell r="B2324">
            <v>103</v>
          </cell>
          <cell r="C2324">
            <v>78</v>
          </cell>
          <cell r="D2324">
            <v>52</v>
          </cell>
          <cell r="E2324" t="str">
            <v>Pt181</v>
          </cell>
        </row>
        <row r="2325">
          <cell r="A2325">
            <v>78182</v>
          </cell>
          <cell r="B2325">
            <v>104</v>
          </cell>
          <cell r="C2325">
            <v>78</v>
          </cell>
          <cell r="D2325">
            <v>160.19999999999999</v>
          </cell>
          <cell r="E2325" t="str">
            <v>Pt182</v>
          </cell>
        </row>
        <row r="2326">
          <cell r="A2326">
            <v>78183</v>
          </cell>
          <cell r="B2326">
            <v>105</v>
          </cell>
          <cell r="C2326">
            <v>78</v>
          </cell>
          <cell r="D2326">
            <v>43</v>
          </cell>
          <cell r="E2326" t="str">
            <v>Pt183</v>
          </cell>
        </row>
        <row r="2327">
          <cell r="A2327">
            <v>78184</v>
          </cell>
          <cell r="B2327">
            <v>106</v>
          </cell>
          <cell r="C2327">
            <v>78</v>
          </cell>
          <cell r="D2327">
            <v>1038</v>
          </cell>
          <cell r="E2327" t="str">
            <v>Pt184</v>
          </cell>
        </row>
        <row r="2328">
          <cell r="A2328">
            <v>78185</v>
          </cell>
          <cell r="B2328">
            <v>107</v>
          </cell>
          <cell r="C2328">
            <v>78</v>
          </cell>
          <cell r="D2328">
            <v>4254</v>
          </cell>
          <cell r="E2328" t="str">
            <v>Pt185</v>
          </cell>
        </row>
        <row r="2329">
          <cell r="A2329">
            <v>78186</v>
          </cell>
          <cell r="B2329">
            <v>108</v>
          </cell>
          <cell r="C2329">
            <v>78</v>
          </cell>
          <cell r="D2329">
            <v>7488</v>
          </cell>
          <cell r="E2329" t="str">
            <v>Pt186</v>
          </cell>
        </row>
        <row r="2330">
          <cell r="A2330">
            <v>78187</v>
          </cell>
          <cell r="B2330">
            <v>109</v>
          </cell>
          <cell r="C2330">
            <v>78</v>
          </cell>
          <cell r="D2330">
            <v>8460</v>
          </cell>
          <cell r="E2330" t="str">
            <v>Pt187</v>
          </cell>
        </row>
        <row r="2331">
          <cell r="A2331">
            <v>78188</v>
          </cell>
          <cell r="B2331">
            <v>110</v>
          </cell>
          <cell r="C2331">
            <v>78</v>
          </cell>
          <cell r="D2331">
            <v>881279.99999999895</v>
          </cell>
          <cell r="E2331" t="str">
            <v>Pt188</v>
          </cell>
        </row>
        <row r="2332">
          <cell r="A2332">
            <v>78189</v>
          </cell>
          <cell r="B2332">
            <v>111</v>
          </cell>
          <cell r="C2332">
            <v>78</v>
          </cell>
          <cell r="D2332">
            <v>39132</v>
          </cell>
          <cell r="E2332" t="str">
            <v>Pt189</v>
          </cell>
        </row>
        <row r="2333">
          <cell r="A2333">
            <v>78190</v>
          </cell>
          <cell r="B2333">
            <v>112</v>
          </cell>
          <cell r="C2333">
            <v>78</v>
          </cell>
          <cell r="D2333">
            <v>2.051244E+19</v>
          </cell>
          <cell r="E2333" t="str">
            <v>Pt190</v>
          </cell>
        </row>
        <row r="2334">
          <cell r="A2334">
            <v>78191</v>
          </cell>
          <cell r="B2334">
            <v>113</v>
          </cell>
          <cell r="C2334">
            <v>78</v>
          </cell>
          <cell r="D2334">
            <v>244512</v>
          </cell>
          <cell r="E2334" t="str">
            <v>Pt191</v>
          </cell>
        </row>
        <row r="2335">
          <cell r="A2335">
            <v>78192</v>
          </cell>
          <cell r="B2335">
            <v>114</v>
          </cell>
          <cell r="C2335">
            <v>78</v>
          </cell>
          <cell r="D2335" t="str">
            <v>STABLE</v>
          </cell>
          <cell r="E2335" t="str">
            <v>Pt192</v>
          </cell>
        </row>
        <row r="2336">
          <cell r="A2336">
            <v>78193</v>
          </cell>
          <cell r="B2336">
            <v>115</v>
          </cell>
          <cell r="C2336">
            <v>78</v>
          </cell>
          <cell r="D2336">
            <v>1577880000</v>
          </cell>
          <cell r="E2336" t="str">
            <v>Pt193</v>
          </cell>
        </row>
        <row r="2337">
          <cell r="A2337">
            <v>78194</v>
          </cell>
          <cell r="B2337">
            <v>116</v>
          </cell>
          <cell r="C2337">
            <v>78</v>
          </cell>
          <cell r="D2337" t="str">
            <v>STABLE</v>
          </cell>
          <cell r="E2337" t="str">
            <v>Pt194</v>
          </cell>
        </row>
        <row r="2338">
          <cell r="A2338">
            <v>78195</v>
          </cell>
          <cell r="B2338">
            <v>117</v>
          </cell>
          <cell r="C2338">
            <v>78</v>
          </cell>
          <cell r="D2338" t="str">
            <v>STABLE</v>
          </cell>
          <cell r="E2338" t="str">
            <v>Pt195</v>
          </cell>
        </row>
        <row r="2339">
          <cell r="A2339">
            <v>78196</v>
          </cell>
          <cell r="B2339">
            <v>118</v>
          </cell>
          <cell r="C2339">
            <v>78</v>
          </cell>
          <cell r="D2339" t="str">
            <v>STABLE</v>
          </cell>
          <cell r="E2339" t="str">
            <v>Pt196</v>
          </cell>
        </row>
        <row r="2340">
          <cell r="A2340">
            <v>78197</v>
          </cell>
          <cell r="B2340">
            <v>119</v>
          </cell>
          <cell r="C2340">
            <v>78</v>
          </cell>
          <cell r="D2340">
            <v>71609.399999999994</v>
          </cell>
          <cell r="E2340" t="str">
            <v>Pt197</v>
          </cell>
        </row>
        <row r="2341">
          <cell r="A2341">
            <v>78198</v>
          </cell>
          <cell r="B2341">
            <v>120</v>
          </cell>
          <cell r="C2341">
            <v>78</v>
          </cell>
          <cell r="D2341" t="str">
            <v>STABLE</v>
          </cell>
          <cell r="E2341" t="str">
            <v>Pt198</v>
          </cell>
        </row>
        <row r="2342">
          <cell r="A2342">
            <v>78199</v>
          </cell>
          <cell r="B2342">
            <v>121</v>
          </cell>
          <cell r="C2342">
            <v>78</v>
          </cell>
          <cell r="D2342">
            <v>1848</v>
          </cell>
          <cell r="E2342" t="str">
            <v>Pt199</v>
          </cell>
        </row>
        <row r="2343">
          <cell r="A2343">
            <v>78200</v>
          </cell>
          <cell r="B2343">
            <v>122</v>
          </cell>
          <cell r="C2343">
            <v>78</v>
          </cell>
          <cell r="D2343">
            <v>45360</v>
          </cell>
          <cell r="E2343" t="str">
            <v>Pt200</v>
          </cell>
        </row>
        <row r="2344">
          <cell r="A2344">
            <v>78201</v>
          </cell>
          <cell r="B2344">
            <v>123</v>
          </cell>
          <cell r="C2344">
            <v>78</v>
          </cell>
          <cell r="D2344">
            <v>150</v>
          </cell>
          <cell r="E2344" t="str">
            <v>Pt201</v>
          </cell>
        </row>
        <row r="2345">
          <cell r="A2345">
            <v>78202</v>
          </cell>
          <cell r="B2345">
            <v>124</v>
          </cell>
          <cell r="C2345">
            <v>78</v>
          </cell>
          <cell r="D2345">
            <v>158400</v>
          </cell>
          <cell r="E2345" t="str">
            <v>Pt202</v>
          </cell>
        </row>
        <row r="2346">
          <cell r="A2346">
            <v>78203</v>
          </cell>
          <cell r="B2346">
            <v>125</v>
          </cell>
          <cell r="C2346">
            <v>78</v>
          </cell>
          <cell r="D2346">
            <v>10</v>
          </cell>
          <cell r="E2346" t="str">
            <v>Pt203</v>
          </cell>
        </row>
        <row r="2347">
          <cell r="A2347">
            <v>78204</v>
          </cell>
          <cell r="B2347">
            <v>126</v>
          </cell>
          <cell r="C2347">
            <v>78</v>
          </cell>
          <cell r="D2347">
            <v>10.3</v>
          </cell>
          <cell r="E2347" t="str">
            <v>Pt204</v>
          </cell>
        </row>
        <row r="2348">
          <cell r="A2348">
            <v>78205</v>
          </cell>
          <cell r="B2348">
            <v>127</v>
          </cell>
          <cell r="C2348">
            <v>78</v>
          </cell>
          <cell r="D2348">
            <v>2.9999999999999999E-7</v>
          </cell>
          <cell r="E2348" t="str">
            <v>Pt205</v>
          </cell>
        </row>
        <row r="2349">
          <cell r="A2349">
            <v>78206</v>
          </cell>
          <cell r="B2349">
            <v>128</v>
          </cell>
          <cell r="C2349">
            <v>78</v>
          </cell>
          <cell r="D2349">
            <v>1.6E-7</v>
          </cell>
          <cell r="E2349" t="str">
            <v>Pt206</v>
          </cell>
        </row>
        <row r="2350">
          <cell r="A2350">
            <v>78207</v>
          </cell>
          <cell r="B2350">
            <v>129</v>
          </cell>
          <cell r="C2350">
            <v>78</v>
          </cell>
          <cell r="D2350">
            <v>1.6E-7</v>
          </cell>
          <cell r="E2350" t="str">
            <v>Pt207</v>
          </cell>
        </row>
        <row r="2351">
          <cell r="A2351">
            <v>78208</v>
          </cell>
          <cell r="B2351">
            <v>130</v>
          </cell>
          <cell r="C2351">
            <v>78</v>
          </cell>
          <cell r="D2351">
            <v>1.6E-7</v>
          </cell>
          <cell r="E2351" t="str">
            <v>Pt208</v>
          </cell>
        </row>
        <row r="2352">
          <cell r="A2352">
            <v>79170</v>
          </cell>
          <cell r="B2352">
            <v>91</v>
          </cell>
          <cell r="C2352">
            <v>79</v>
          </cell>
          <cell r="D2352">
            <v>2.8600000000000001E-4</v>
          </cell>
          <cell r="E2352" t="str">
            <v>Au170</v>
          </cell>
        </row>
        <row r="2353">
          <cell r="A2353">
            <v>79171</v>
          </cell>
          <cell r="B2353">
            <v>92</v>
          </cell>
          <cell r="C2353">
            <v>79</v>
          </cell>
          <cell r="D2353">
            <v>1.7E-5</v>
          </cell>
          <cell r="E2353" t="str">
            <v>Au171</v>
          </cell>
        </row>
        <row r="2354">
          <cell r="A2354">
            <v>79172</v>
          </cell>
          <cell r="B2354">
            <v>93</v>
          </cell>
          <cell r="C2354">
            <v>79</v>
          </cell>
          <cell r="D2354">
            <v>2.1999999999999999E-2</v>
          </cell>
          <cell r="E2354" t="str">
            <v>Au172</v>
          </cell>
        </row>
        <row r="2355">
          <cell r="A2355">
            <v>79173</v>
          </cell>
          <cell r="B2355">
            <v>94</v>
          </cell>
          <cell r="C2355">
            <v>79</v>
          </cell>
          <cell r="D2355">
            <v>2.63E-2</v>
          </cell>
          <cell r="E2355" t="str">
            <v>Au173</v>
          </cell>
        </row>
        <row r="2356">
          <cell r="A2356">
            <v>79174</v>
          </cell>
          <cell r="B2356">
            <v>95</v>
          </cell>
          <cell r="C2356">
            <v>79</v>
          </cell>
          <cell r="D2356">
            <v>0.13900000000000001</v>
          </cell>
          <cell r="E2356" t="str">
            <v>Au174</v>
          </cell>
        </row>
        <row r="2357">
          <cell r="A2357">
            <v>79176</v>
          </cell>
          <cell r="B2357">
            <v>97</v>
          </cell>
          <cell r="C2357">
            <v>79</v>
          </cell>
          <cell r="D2357">
            <v>1.05</v>
          </cell>
          <cell r="E2357" t="str">
            <v>Au176</v>
          </cell>
        </row>
        <row r="2358">
          <cell r="A2358">
            <v>79177</v>
          </cell>
          <cell r="B2358">
            <v>98</v>
          </cell>
          <cell r="C2358">
            <v>79</v>
          </cell>
          <cell r="D2358">
            <v>1.53</v>
          </cell>
          <cell r="E2358" t="str">
            <v>Au177</v>
          </cell>
        </row>
        <row r="2359">
          <cell r="A2359">
            <v>79178</v>
          </cell>
          <cell r="B2359">
            <v>99</v>
          </cell>
          <cell r="C2359">
            <v>79</v>
          </cell>
          <cell r="D2359">
            <v>2.6</v>
          </cell>
          <cell r="E2359" t="str">
            <v>Au178</v>
          </cell>
        </row>
        <row r="2360">
          <cell r="A2360">
            <v>79179</v>
          </cell>
          <cell r="B2360">
            <v>100</v>
          </cell>
          <cell r="C2360">
            <v>79</v>
          </cell>
          <cell r="D2360">
            <v>7.1</v>
          </cell>
          <cell r="E2360" t="str">
            <v>Au179</v>
          </cell>
        </row>
        <row r="2361">
          <cell r="A2361">
            <v>79180</v>
          </cell>
          <cell r="B2361">
            <v>101</v>
          </cell>
          <cell r="C2361">
            <v>79</v>
          </cell>
          <cell r="D2361">
            <v>8.4</v>
          </cell>
          <cell r="E2361" t="str">
            <v>Au180</v>
          </cell>
        </row>
        <row r="2362">
          <cell r="A2362">
            <v>79181</v>
          </cell>
          <cell r="B2362">
            <v>102</v>
          </cell>
          <cell r="C2362">
            <v>79</v>
          </cell>
          <cell r="D2362">
            <v>13.7</v>
          </cell>
          <cell r="E2362" t="str">
            <v>Au181</v>
          </cell>
        </row>
        <row r="2363">
          <cell r="A2363">
            <v>79182</v>
          </cell>
          <cell r="B2363">
            <v>103</v>
          </cell>
          <cell r="C2363">
            <v>79</v>
          </cell>
          <cell r="D2363">
            <v>15.5</v>
          </cell>
          <cell r="E2363" t="str">
            <v>Au182</v>
          </cell>
        </row>
        <row r="2364">
          <cell r="A2364">
            <v>79183</v>
          </cell>
          <cell r="B2364">
            <v>104</v>
          </cell>
          <cell r="C2364">
            <v>79</v>
          </cell>
          <cell r="D2364">
            <v>42.8</v>
          </cell>
          <cell r="E2364" t="str">
            <v>Au183</v>
          </cell>
        </row>
        <row r="2365">
          <cell r="A2365">
            <v>79184</v>
          </cell>
          <cell r="B2365">
            <v>105</v>
          </cell>
          <cell r="C2365">
            <v>79</v>
          </cell>
          <cell r="D2365">
            <v>20.6</v>
          </cell>
          <cell r="E2365" t="str">
            <v>Au184</v>
          </cell>
        </row>
        <row r="2366">
          <cell r="A2366">
            <v>79185</v>
          </cell>
          <cell r="B2366">
            <v>106</v>
          </cell>
          <cell r="C2366">
            <v>79</v>
          </cell>
          <cell r="D2366">
            <v>255</v>
          </cell>
          <cell r="E2366" t="str">
            <v>Au185</v>
          </cell>
        </row>
        <row r="2367">
          <cell r="A2367">
            <v>79186</v>
          </cell>
          <cell r="B2367">
            <v>107</v>
          </cell>
          <cell r="C2367">
            <v>79</v>
          </cell>
          <cell r="D2367">
            <v>642</v>
          </cell>
          <cell r="E2367" t="str">
            <v>Au186</v>
          </cell>
        </row>
        <row r="2368">
          <cell r="A2368">
            <v>79187</v>
          </cell>
          <cell r="B2368">
            <v>108</v>
          </cell>
          <cell r="C2368">
            <v>79</v>
          </cell>
          <cell r="D2368">
            <v>504</v>
          </cell>
          <cell r="E2368" t="str">
            <v>Au187</v>
          </cell>
        </row>
        <row r="2369">
          <cell r="A2369">
            <v>79188</v>
          </cell>
          <cell r="B2369">
            <v>109</v>
          </cell>
          <cell r="C2369">
            <v>79</v>
          </cell>
          <cell r="D2369">
            <v>530.4</v>
          </cell>
          <cell r="E2369" t="str">
            <v>Au188</v>
          </cell>
        </row>
        <row r="2370">
          <cell r="A2370">
            <v>79189</v>
          </cell>
          <cell r="B2370">
            <v>110</v>
          </cell>
          <cell r="C2370">
            <v>79</v>
          </cell>
          <cell r="D2370">
            <v>1722</v>
          </cell>
          <cell r="E2370" t="str">
            <v>Au189</v>
          </cell>
        </row>
        <row r="2371">
          <cell r="A2371">
            <v>79190</v>
          </cell>
          <cell r="B2371">
            <v>111</v>
          </cell>
          <cell r="C2371">
            <v>79</v>
          </cell>
          <cell r="D2371">
            <v>2568</v>
          </cell>
          <cell r="E2371" t="str">
            <v>Au190</v>
          </cell>
        </row>
        <row r="2372">
          <cell r="A2372">
            <v>79191</v>
          </cell>
          <cell r="B2372">
            <v>112</v>
          </cell>
          <cell r="C2372">
            <v>79</v>
          </cell>
          <cell r="D2372">
            <v>11448</v>
          </cell>
          <cell r="E2372" t="str">
            <v>Au191</v>
          </cell>
        </row>
        <row r="2373">
          <cell r="A2373">
            <v>79192</v>
          </cell>
          <cell r="B2373">
            <v>113</v>
          </cell>
          <cell r="C2373">
            <v>79</v>
          </cell>
          <cell r="D2373">
            <v>17784</v>
          </cell>
          <cell r="E2373" t="str">
            <v>Au192</v>
          </cell>
        </row>
        <row r="2374">
          <cell r="A2374">
            <v>79193</v>
          </cell>
          <cell r="B2374">
            <v>114</v>
          </cell>
          <cell r="C2374">
            <v>79</v>
          </cell>
          <cell r="D2374">
            <v>63539.999999999898</v>
          </cell>
          <cell r="E2374" t="str">
            <v>Au193</v>
          </cell>
        </row>
        <row r="2375">
          <cell r="A2375">
            <v>79194</v>
          </cell>
          <cell r="B2375">
            <v>115</v>
          </cell>
          <cell r="C2375">
            <v>79</v>
          </cell>
          <cell r="D2375">
            <v>136872</v>
          </cell>
          <cell r="E2375" t="str">
            <v>Au194</v>
          </cell>
        </row>
        <row r="2376">
          <cell r="A2376">
            <v>79195</v>
          </cell>
          <cell r="B2376">
            <v>116</v>
          </cell>
          <cell r="C2376">
            <v>79</v>
          </cell>
          <cell r="D2376">
            <v>16071264</v>
          </cell>
          <cell r="E2376" t="str">
            <v>Au195</v>
          </cell>
        </row>
        <row r="2377">
          <cell r="A2377">
            <v>79196</v>
          </cell>
          <cell r="B2377">
            <v>117</v>
          </cell>
          <cell r="C2377">
            <v>79</v>
          </cell>
          <cell r="D2377">
            <v>532820.16</v>
          </cell>
          <cell r="E2377" t="str">
            <v>Au196</v>
          </cell>
        </row>
        <row r="2378">
          <cell r="A2378">
            <v>79197</v>
          </cell>
          <cell r="B2378">
            <v>118</v>
          </cell>
          <cell r="C2378">
            <v>79</v>
          </cell>
          <cell r="D2378" t="str">
            <v>STABLE</v>
          </cell>
          <cell r="E2378" t="str">
            <v>Au197</v>
          </cell>
        </row>
        <row r="2379">
          <cell r="A2379">
            <v>79198</v>
          </cell>
          <cell r="B2379">
            <v>119</v>
          </cell>
          <cell r="C2379">
            <v>79</v>
          </cell>
          <cell r="D2379">
            <v>232770.24</v>
          </cell>
          <cell r="E2379" t="str">
            <v>Au198</v>
          </cell>
        </row>
        <row r="2380">
          <cell r="A2380">
            <v>79199</v>
          </cell>
          <cell r="B2380">
            <v>120</v>
          </cell>
          <cell r="C2380">
            <v>79</v>
          </cell>
          <cell r="D2380">
            <v>271209.59999999998</v>
          </cell>
          <cell r="E2380" t="str">
            <v>Au199</v>
          </cell>
        </row>
        <row r="2381">
          <cell r="A2381">
            <v>79200</v>
          </cell>
          <cell r="B2381">
            <v>121</v>
          </cell>
          <cell r="C2381">
            <v>79</v>
          </cell>
          <cell r="D2381">
            <v>2904</v>
          </cell>
          <cell r="E2381" t="str">
            <v>Au200</v>
          </cell>
        </row>
        <row r="2382">
          <cell r="A2382">
            <v>79201</v>
          </cell>
          <cell r="B2382">
            <v>122</v>
          </cell>
          <cell r="C2382">
            <v>79</v>
          </cell>
          <cell r="D2382">
            <v>1560</v>
          </cell>
          <cell r="E2382" t="str">
            <v>Au201</v>
          </cell>
        </row>
        <row r="2383">
          <cell r="A2383">
            <v>79202</v>
          </cell>
          <cell r="B2383">
            <v>123</v>
          </cell>
          <cell r="C2383">
            <v>79</v>
          </cell>
          <cell r="D2383">
            <v>28.4</v>
          </cell>
          <cell r="E2383" t="str">
            <v>Au202</v>
          </cell>
        </row>
        <row r="2384">
          <cell r="A2384">
            <v>79203</v>
          </cell>
          <cell r="B2384">
            <v>124</v>
          </cell>
          <cell r="C2384">
            <v>79</v>
          </cell>
          <cell r="D2384">
            <v>60</v>
          </cell>
          <cell r="E2384" t="str">
            <v>Au203</v>
          </cell>
        </row>
        <row r="2385">
          <cell r="A2385">
            <v>79204</v>
          </cell>
          <cell r="B2385">
            <v>125</v>
          </cell>
          <cell r="C2385">
            <v>79</v>
          </cell>
          <cell r="D2385">
            <v>39.799999999999997</v>
          </cell>
          <cell r="E2385" t="str">
            <v>Au204</v>
          </cell>
        </row>
        <row r="2386">
          <cell r="A2386">
            <v>79205</v>
          </cell>
          <cell r="B2386">
            <v>126</v>
          </cell>
          <cell r="C2386">
            <v>79</v>
          </cell>
          <cell r="D2386">
            <v>32.5</v>
          </cell>
          <cell r="E2386" t="str">
            <v>Au205</v>
          </cell>
        </row>
        <row r="2387">
          <cell r="A2387">
            <v>79206</v>
          </cell>
          <cell r="B2387">
            <v>127</v>
          </cell>
          <cell r="C2387">
            <v>79</v>
          </cell>
          <cell r="D2387">
            <v>40</v>
          </cell>
          <cell r="E2387" t="str">
            <v>Au206</v>
          </cell>
        </row>
        <row r="2388">
          <cell r="A2388">
            <v>79207</v>
          </cell>
          <cell r="B2388">
            <v>128</v>
          </cell>
          <cell r="C2388">
            <v>79</v>
          </cell>
          <cell r="D2388">
            <v>2.9999999999999999E-7</v>
          </cell>
          <cell r="E2388" t="str">
            <v>Au207</v>
          </cell>
        </row>
        <row r="2389">
          <cell r="A2389">
            <v>79208</v>
          </cell>
          <cell r="B2389">
            <v>129</v>
          </cell>
          <cell r="C2389">
            <v>79</v>
          </cell>
          <cell r="D2389">
            <v>2.9999999999999999E-7</v>
          </cell>
          <cell r="E2389" t="str">
            <v>Au208</v>
          </cell>
        </row>
        <row r="2390">
          <cell r="A2390">
            <v>79209</v>
          </cell>
          <cell r="B2390">
            <v>130</v>
          </cell>
          <cell r="C2390">
            <v>79</v>
          </cell>
          <cell r="D2390">
            <v>2.9999999999999999E-7</v>
          </cell>
          <cell r="E2390" t="str">
            <v>Au209</v>
          </cell>
        </row>
        <row r="2391">
          <cell r="A2391">
            <v>79210</v>
          </cell>
          <cell r="B2391">
            <v>131</v>
          </cell>
          <cell r="C2391">
            <v>79</v>
          </cell>
          <cell r="D2391">
            <v>2.9999999999999999E-7</v>
          </cell>
          <cell r="E2391" t="str">
            <v>Au210</v>
          </cell>
        </row>
        <row r="2392">
          <cell r="A2392">
            <v>80171</v>
          </cell>
          <cell r="B2392">
            <v>91</v>
          </cell>
          <cell r="C2392">
            <v>80</v>
          </cell>
          <cell r="D2392">
            <v>5.8999999999999998E-5</v>
          </cell>
          <cell r="E2392" t="str">
            <v>Hg171</v>
          </cell>
        </row>
        <row r="2393">
          <cell r="A2393">
            <v>80172</v>
          </cell>
          <cell r="B2393">
            <v>92</v>
          </cell>
          <cell r="C2393">
            <v>80</v>
          </cell>
          <cell r="D2393">
            <v>2.30999999999999E-4</v>
          </cell>
          <cell r="E2393" t="str">
            <v>Hg172</v>
          </cell>
        </row>
        <row r="2394">
          <cell r="A2394">
            <v>80173</v>
          </cell>
          <cell r="B2394">
            <v>93</v>
          </cell>
          <cell r="C2394">
            <v>80</v>
          </cell>
          <cell r="D2394">
            <v>8.0000000000000004E-4</v>
          </cell>
          <cell r="E2394" t="str">
            <v>Hg173</v>
          </cell>
        </row>
        <row r="2395">
          <cell r="A2395">
            <v>80174</v>
          </cell>
          <cell r="B2395">
            <v>94</v>
          </cell>
          <cell r="C2395">
            <v>80</v>
          </cell>
          <cell r="D2395">
            <v>2.0999999999999999E-3</v>
          </cell>
          <cell r="E2395" t="str">
            <v>Hg174</v>
          </cell>
        </row>
        <row r="2396">
          <cell r="A2396">
            <v>80175</v>
          </cell>
          <cell r="B2396">
            <v>95</v>
          </cell>
          <cell r="C2396">
            <v>80</v>
          </cell>
          <cell r="D2396">
            <v>1.06E-2</v>
          </cell>
          <cell r="E2396" t="str">
            <v>Hg175</v>
          </cell>
        </row>
        <row r="2397">
          <cell r="A2397">
            <v>80176</v>
          </cell>
          <cell r="B2397">
            <v>96</v>
          </cell>
          <cell r="C2397">
            <v>80</v>
          </cell>
          <cell r="D2397">
            <v>2.0299999999999999E-2</v>
          </cell>
          <cell r="E2397" t="str">
            <v>Hg176</v>
          </cell>
        </row>
        <row r="2398">
          <cell r="A2398">
            <v>80177</v>
          </cell>
          <cell r="B2398">
            <v>97</v>
          </cell>
          <cell r="C2398">
            <v>80</v>
          </cell>
          <cell r="D2398">
            <v>0.11799999999999999</v>
          </cell>
          <cell r="E2398" t="str">
            <v>Hg177</v>
          </cell>
        </row>
        <row r="2399">
          <cell r="A2399">
            <v>80178</v>
          </cell>
          <cell r="B2399">
            <v>98</v>
          </cell>
          <cell r="C2399">
            <v>80</v>
          </cell>
          <cell r="D2399">
            <v>0.26650000000000001</v>
          </cell>
          <cell r="E2399" t="str">
            <v>Hg178</v>
          </cell>
        </row>
        <row r="2400">
          <cell r="A2400">
            <v>80179</v>
          </cell>
          <cell r="B2400">
            <v>99</v>
          </cell>
          <cell r="C2400">
            <v>80</v>
          </cell>
          <cell r="D2400">
            <v>1.05</v>
          </cell>
          <cell r="E2400" t="str">
            <v>Hg179</v>
          </cell>
        </row>
        <row r="2401">
          <cell r="A2401">
            <v>80180</v>
          </cell>
          <cell r="B2401">
            <v>100</v>
          </cell>
          <cell r="C2401">
            <v>80</v>
          </cell>
          <cell r="D2401">
            <v>2.59</v>
          </cell>
          <cell r="E2401" t="str">
            <v>Hg180</v>
          </cell>
        </row>
        <row r="2402">
          <cell r="A2402">
            <v>80181</v>
          </cell>
          <cell r="B2402">
            <v>101</v>
          </cell>
          <cell r="C2402">
            <v>80</v>
          </cell>
          <cell r="D2402">
            <v>3.6</v>
          </cell>
          <cell r="E2402" t="str">
            <v>Hg181</v>
          </cell>
        </row>
        <row r="2403">
          <cell r="A2403">
            <v>80182</v>
          </cell>
          <cell r="B2403">
            <v>102</v>
          </cell>
          <cell r="C2403">
            <v>80</v>
          </cell>
          <cell r="D2403">
            <v>10.83</v>
          </cell>
          <cell r="E2403" t="str">
            <v>Hg182</v>
          </cell>
        </row>
        <row r="2404">
          <cell r="A2404">
            <v>80183</v>
          </cell>
          <cell r="B2404">
            <v>103</v>
          </cell>
          <cell r="C2404">
            <v>80</v>
          </cell>
          <cell r="D2404">
            <v>9.4</v>
          </cell>
          <cell r="E2404" t="str">
            <v>Hg183</v>
          </cell>
        </row>
        <row r="2405">
          <cell r="A2405">
            <v>80184</v>
          </cell>
          <cell r="B2405">
            <v>104</v>
          </cell>
          <cell r="C2405">
            <v>80</v>
          </cell>
          <cell r="D2405">
            <v>30.87</v>
          </cell>
          <cell r="E2405" t="str">
            <v>Hg184</v>
          </cell>
        </row>
        <row r="2406">
          <cell r="A2406">
            <v>80185</v>
          </cell>
          <cell r="B2406">
            <v>105</v>
          </cell>
          <cell r="C2406">
            <v>80</v>
          </cell>
          <cell r="D2406">
            <v>49.1</v>
          </cell>
          <cell r="E2406" t="str">
            <v>Hg185</v>
          </cell>
        </row>
        <row r="2407">
          <cell r="A2407">
            <v>80186</v>
          </cell>
          <cell r="B2407">
            <v>106</v>
          </cell>
          <cell r="C2407">
            <v>80</v>
          </cell>
          <cell r="D2407">
            <v>82.8</v>
          </cell>
          <cell r="E2407" t="str">
            <v>Hg186</v>
          </cell>
        </row>
        <row r="2408">
          <cell r="A2408">
            <v>80187</v>
          </cell>
          <cell r="B2408">
            <v>107</v>
          </cell>
          <cell r="C2408">
            <v>80</v>
          </cell>
          <cell r="D2408">
            <v>114</v>
          </cell>
          <cell r="E2408" t="str">
            <v>Hg187</v>
          </cell>
        </row>
        <row r="2409">
          <cell r="A2409">
            <v>80188</v>
          </cell>
          <cell r="B2409">
            <v>108</v>
          </cell>
          <cell r="C2409">
            <v>80</v>
          </cell>
          <cell r="D2409">
            <v>195</v>
          </cell>
          <cell r="E2409" t="str">
            <v>Hg188</v>
          </cell>
        </row>
        <row r="2410">
          <cell r="A2410">
            <v>80189</v>
          </cell>
          <cell r="B2410">
            <v>109</v>
          </cell>
          <cell r="C2410">
            <v>80</v>
          </cell>
          <cell r="D2410">
            <v>456</v>
          </cell>
          <cell r="E2410" t="str">
            <v>Hg189</v>
          </cell>
        </row>
        <row r="2411">
          <cell r="A2411">
            <v>80190</v>
          </cell>
          <cell r="B2411">
            <v>110</v>
          </cell>
          <cell r="C2411">
            <v>80</v>
          </cell>
          <cell r="D2411">
            <v>1200</v>
          </cell>
          <cell r="E2411" t="str">
            <v>Hg190</v>
          </cell>
        </row>
        <row r="2412">
          <cell r="A2412">
            <v>80191</v>
          </cell>
          <cell r="B2412">
            <v>111</v>
          </cell>
          <cell r="C2412">
            <v>80</v>
          </cell>
          <cell r="D2412">
            <v>2940</v>
          </cell>
          <cell r="E2412" t="str">
            <v>Hg191</v>
          </cell>
        </row>
        <row r="2413">
          <cell r="A2413">
            <v>80192</v>
          </cell>
          <cell r="B2413">
            <v>112</v>
          </cell>
          <cell r="C2413">
            <v>80</v>
          </cell>
          <cell r="D2413">
            <v>17460</v>
          </cell>
          <cell r="E2413" t="str">
            <v>Hg192</v>
          </cell>
        </row>
        <row r="2414">
          <cell r="A2414">
            <v>80193</v>
          </cell>
          <cell r="B2414">
            <v>113</v>
          </cell>
          <cell r="C2414">
            <v>80</v>
          </cell>
          <cell r="D2414">
            <v>13680</v>
          </cell>
          <cell r="E2414" t="str">
            <v>Hg193</v>
          </cell>
        </row>
        <row r="2415">
          <cell r="A2415">
            <v>80194</v>
          </cell>
          <cell r="B2415">
            <v>114</v>
          </cell>
          <cell r="C2415">
            <v>80</v>
          </cell>
          <cell r="D2415">
            <v>14011574400</v>
          </cell>
          <cell r="E2415" t="str">
            <v>Hg194</v>
          </cell>
        </row>
        <row r="2416">
          <cell r="A2416">
            <v>80195</v>
          </cell>
          <cell r="B2416">
            <v>115</v>
          </cell>
          <cell r="C2416">
            <v>80</v>
          </cell>
          <cell r="D2416">
            <v>37908</v>
          </cell>
          <cell r="E2416" t="str">
            <v>Hg195</v>
          </cell>
        </row>
        <row r="2417">
          <cell r="A2417">
            <v>80196</v>
          </cell>
          <cell r="B2417">
            <v>116</v>
          </cell>
          <cell r="C2417">
            <v>80</v>
          </cell>
          <cell r="D2417" t="str">
            <v>STABLE</v>
          </cell>
          <cell r="E2417" t="str">
            <v>Hg196</v>
          </cell>
        </row>
        <row r="2418">
          <cell r="A2418">
            <v>80197</v>
          </cell>
          <cell r="B2418">
            <v>117</v>
          </cell>
          <cell r="C2418">
            <v>80</v>
          </cell>
          <cell r="D2418">
            <v>230904</v>
          </cell>
          <cell r="E2418" t="str">
            <v>Hg197</v>
          </cell>
        </row>
        <row r="2419">
          <cell r="A2419">
            <v>80198</v>
          </cell>
          <cell r="B2419">
            <v>118</v>
          </cell>
          <cell r="C2419">
            <v>80</v>
          </cell>
          <cell r="D2419" t="str">
            <v>STABLE</v>
          </cell>
          <cell r="E2419" t="str">
            <v>Hg198</v>
          </cell>
        </row>
        <row r="2420">
          <cell r="A2420">
            <v>80199</v>
          </cell>
          <cell r="B2420">
            <v>119</v>
          </cell>
          <cell r="C2420">
            <v>80</v>
          </cell>
          <cell r="D2420" t="str">
            <v>STABLE</v>
          </cell>
          <cell r="E2420" t="str">
            <v>Hg199</v>
          </cell>
        </row>
        <row r="2421">
          <cell r="A2421">
            <v>80200</v>
          </cell>
          <cell r="B2421">
            <v>120</v>
          </cell>
          <cell r="C2421">
            <v>80</v>
          </cell>
          <cell r="D2421" t="str">
            <v>STABLE</v>
          </cell>
          <cell r="E2421" t="str">
            <v>Hg200</v>
          </cell>
        </row>
        <row r="2422">
          <cell r="A2422">
            <v>80201</v>
          </cell>
          <cell r="B2422">
            <v>121</v>
          </cell>
          <cell r="C2422">
            <v>80</v>
          </cell>
          <cell r="D2422" t="str">
            <v>STABLE</v>
          </cell>
          <cell r="E2422" t="str">
            <v>Hg201</v>
          </cell>
        </row>
        <row r="2423">
          <cell r="A2423">
            <v>80202</v>
          </cell>
          <cell r="B2423">
            <v>122</v>
          </cell>
          <cell r="C2423">
            <v>80</v>
          </cell>
          <cell r="D2423" t="str">
            <v>STABLE</v>
          </cell>
          <cell r="E2423" t="str">
            <v>Hg202</v>
          </cell>
        </row>
        <row r="2424">
          <cell r="A2424">
            <v>80203</v>
          </cell>
          <cell r="B2424">
            <v>123</v>
          </cell>
          <cell r="C2424">
            <v>80</v>
          </cell>
          <cell r="D2424">
            <v>4025721.6</v>
          </cell>
          <cell r="E2424" t="str">
            <v>Hg203</v>
          </cell>
        </row>
        <row r="2425">
          <cell r="A2425">
            <v>80204</v>
          </cell>
          <cell r="B2425">
            <v>124</v>
          </cell>
          <cell r="C2425">
            <v>80</v>
          </cell>
          <cell r="D2425" t="str">
            <v>STABLE</v>
          </cell>
          <cell r="E2425" t="str">
            <v>Hg204</v>
          </cell>
        </row>
        <row r="2426">
          <cell r="A2426">
            <v>80205</v>
          </cell>
          <cell r="B2426">
            <v>125</v>
          </cell>
          <cell r="C2426">
            <v>80</v>
          </cell>
          <cell r="D2426">
            <v>308.39999999999998</v>
          </cell>
          <cell r="E2426" t="str">
            <v>Hg205</v>
          </cell>
        </row>
        <row r="2427">
          <cell r="A2427">
            <v>80206</v>
          </cell>
          <cell r="B2427">
            <v>126</v>
          </cell>
          <cell r="C2427">
            <v>80</v>
          </cell>
          <cell r="D2427">
            <v>499.2</v>
          </cell>
          <cell r="E2427" t="str">
            <v>Hg206</v>
          </cell>
        </row>
        <row r="2428">
          <cell r="A2428">
            <v>80207</v>
          </cell>
          <cell r="B2428">
            <v>127</v>
          </cell>
          <cell r="C2428">
            <v>80</v>
          </cell>
          <cell r="D2428">
            <v>174</v>
          </cell>
          <cell r="E2428" t="str">
            <v>Hg207</v>
          </cell>
        </row>
        <row r="2429">
          <cell r="A2429">
            <v>80208</v>
          </cell>
          <cell r="B2429">
            <v>128</v>
          </cell>
          <cell r="C2429">
            <v>80</v>
          </cell>
          <cell r="D2429">
            <v>2460</v>
          </cell>
          <cell r="E2429" t="str">
            <v>Hg208</v>
          </cell>
        </row>
        <row r="2430">
          <cell r="A2430">
            <v>80209</v>
          </cell>
          <cell r="B2430">
            <v>129</v>
          </cell>
          <cell r="C2430">
            <v>80</v>
          </cell>
          <cell r="D2430">
            <v>36</v>
          </cell>
          <cell r="E2430" t="str">
            <v>Hg209</v>
          </cell>
        </row>
        <row r="2431">
          <cell r="A2431">
            <v>80210</v>
          </cell>
          <cell r="B2431">
            <v>130</v>
          </cell>
          <cell r="C2431">
            <v>80</v>
          </cell>
          <cell r="D2431">
            <v>2.9999999999999999E-7</v>
          </cell>
          <cell r="E2431" t="str">
            <v>Hg210</v>
          </cell>
        </row>
        <row r="2432">
          <cell r="A2432">
            <v>80211</v>
          </cell>
          <cell r="B2432">
            <v>131</v>
          </cell>
          <cell r="C2432">
            <v>80</v>
          </cell>
          <cell r="D2432">
            <v>2.9999999999999999E-7</v>
          </cell>
          <cell r="E2432" t="str">
            <v>Hg211</v>
          </cell>
        </row>
        <row r="2433">
          <cell r="A2433">
            <v>80212</v>
          </cell>
          <cell r="B2433">
            <v>132</v>
          </cell>
          <cell r="C2433">
            <v>80</v>
          </cell>
          <cell r="D2433">
            <v>2.9999999999999999E-7</v>
          </cell>
          <cell r="E2433" t="str">
            <v>Hg212</v>
          </cell>
        </row>
        <row r="2434">
          <cell r="A2434">
            <v>80213</v>
          </cell>
          <cell r="B2434">
            <v>133</v>
          </cell>
          <cell r="C2434">
            <v>80</v>
          </cell>
          <cell r="D2434">
            <v>2.9999999999999999E-7</v>
          </cell>
          <cell r="E2434" t="str">
            <v>Hg213</v>
          </cell>
        </row>
        <row r="2435">
          <cell r="A2435">
            <v>80214</v>
          </cell>
          <cell r="B2435">
            <v>134</v>
          </cell>
          <cell r="C2435">
            <v>80</v>
          </cell>
          <cell r="D2435">
            <v>2.9999999999999999E-7</v>
          </cell>
          <cell r="E2435" t="str">
            <v>Hg214</v>
          </cell>
        </row>
        <row r="2436">
          <cell r="A2436">
            <v>80215</v>
          </cell>
          <cell r="B2436">
            <v>135</v>
          </cell>
          <cell r="C2436">
            <v>80</v>
          </cell>
          <cell r="D2436">
            <v>2.9999999999999999E-7</v>
          </cell>
          <cell r="E2436" t="str">
            <v>Hg215</v>
          </cell>
        </row>
        <row r="2437">
          <cell r="A2437">
            <v>80216</v>
          </cell>
          <cell r="B2437">
            <v>136</v>
          </cell>
          <cell r="C2437">
            <v>80</v>
          </cell>
          <cell r="D2437">
            <v>2.9999999999999999E-7</v>
          </cell>
          <cell r="E2437" t="str">
            <v>Hg216</v>
          </cell>
        </row>
        <row r="2438">
          <cell r="A2438">
            <v>81176</v>
          </cell>
          <cell r="B2438">
            <v>95</v>
          </cell>
          <cell r="C2438">
            <v>81</v>
          </cell>
          <cell r="D2438">
            <v>5.1999999999999998E-3</v>
          </cell>
          <cell r="E2438" t="str">
            <v>Tl176</v>
          </cell>
        </row>
        <row r="2439">
          <cell r="A2439">
            <v>81177</v>
          </cell>
          <cell r="B2439">
            <v>96</v>
          </cell>
          <cell r="C2439">
            <v>81</v>
          </cell>
          <cell r="D2439">
            <v>1.7999999999999999E-2</v>
          </cell>
          <cell r="E2439" t="str">
            <v>Tl177</v>
          </cell>
        </row>
        <row r="2440">
          <cell r="A2440">
            <v>81178</v>
          </cell>
          <cell r="B2440">
            <v>97</v>
          </cell>
          <cell r="C2440">
            <v>81</v>
          </cell>
          <cell r="D2440">
            <v>0.254</v>
          </cell>
          <cell r="E2440" t="str">
            <v>Tl178</v>
          </cell>
        </row>
        <row r="2441">
          <cell r="A2441">
            <v>81179</v>
          </cell>
          <cell r="B2441">
            <v>98</v>
          </cell>
          <cell r="C2441">
            <v>81</v>
          </cell>
          <cell r="D2441">
            <v>0.23</v>
          </cell>
          <cell r="E2441" t="str">
            <v>Tl179</v>
          </cell>
        </row>
        <row r="2442">
          <cell r="A2442">
            <v>81180</v>
          </cell>
          <cell r="B2442">
            <v>99</v>
          </cell>
          <cell r="C2442">
            <v>81</v>
          </cell>
          <cell r="D2442">
            <v>1.0900000000000001</v>
          </cell>
          <cell r="E2442" t="str">
            <v>Tl180</v>
          </cell>
        </row>
        <row r="2443">
          <cell r="A2443">
            <v>81181</v>
          </cell>
          <cell r="B2443">
            <v>100</v>
          </cell>
          <cell r="C2443">
            <v>81</v>
          </cell>
          <cell r="D2443">
            <v>3.2</v>
          </cell>
          <cell r="E2443" t="str">
            <v>Tl181</v>
          </cell>
        </row>
        <row r="2444">
          <cell r="A2444">
            <v>81182</v>
          </cell>
          <cell r="B2444">
            <v>101</v>
          </cell>
          <cell r="C2444">
            <v>81</v>
          </cell>
          <cell r="D2444">
            <v>3.1</v>
          </cell>
          <cell r="E2444" t="str">
            <v>Tl182</v>
          </cell>
        </row>
        <row r="2445">
          <cell r="A2445">
            <v>81183</v>
          </cell>
          <cell r="B2445">
            <v>102</v>
          </cell>
          <cell r="C2445">
            <v>81</v>
          </cell>
          <cell r="D2445">
            <v>6.9</v>
          </cell>
          <cell r="E2445" t="str">
            <v>Tl183</v>
          </cell>
        </row>
        <row r="2446">
          <cell r="A2446">
            <v>81184</v>
          </cell>
          <cell r="B2446">
            <v>103</v>
          </cell>
          <cell r="C2446">
            <v>81</v>
          </cell>
          <cell r="D2446">
            <v>10.1</v>
          </cell>
          <cell r="E2446" t="str">
            <v>Tl184</v>
          </cell>
        </row>
        <row r="2447">
          <cell r="A2447">
            <v>81185</v>
          </cell>
          <cell r="B2447">
            <v>104</v>
          </cell>
          <cell r="C2447">
            <v>81</v>
          </cell>
          <cell r="D2447">
            <v>19.5</v>
          </cell>
          <cell r="E2447" t="str">
            <v>Tl185</v>
          </cell>
        </row>
        <row r="2448">
          <cell r="A2448">
            <v>81186</v>
          </cell>
          <cell r="B2448">
            <v>105</v>
          </cell>
          <cell r="C2448">
            <v>81</v>
          </cell>
          <cell r="D2448">
            <v>27.5</v>
          </cell>
          <cell r="E2448" t="str">
            <v>Tl186</v>
          </cell>
        </row>
        <row r="2449">
          <cell r="A2449">
            <v>81187</v>
          </cell>
          <cell r="B2449">
            <v>106</v>
          </cell>
          <cell r="C2449">
            <v>81</v>
          </cell>
          <cell r="D2449">
            <v>51</v>
          </cell>
          <cell r="E2449" t="str">
            <v>Tl187</v>
          </cell>
        </row>
        <row r="2450">
          <cell r="A2450">
            <v>81188</v>
          </cell>
          <cell r="B2450">
            <v>107</v>
          </cell>
          <cell r="C2450">
            <v>81</v>
          </cell>
          <cell r="D2450">
            <v>71</v>
          </cell>
          <cell r="E2450" t="str">
            <v>Tl188</v>
          </cell>
        </row>
        <row r="2451">
          <cell r="A2451">
            <v>81189</v>
          </cell>
          <cell r="B2451">
            <v>108</v>
          </cell>
          <cell r="C2451">
            <v>81</v>
          </cell>
          <cell r="D2451">
            <v>138</v>
          </cell>
          <cell r="E2451" t="str">
            <v>Tl189</v>
          </cell>
        </row>
        <row r="2452">
          <cell r="A2452">
            <v>81190</v>
          </cell>
          <cell r="B2452">
            <v>109</v>
          </cell>
          <cell r="C2452">
            <v>81</v>
          </cell>
          <cell r="D2452">
            <v>156</v>
          </cell>
          <cell r="E2452" t="str">
            <v>Tl190</v>
          </cell>
        </row>
        <row r="2453">
          <cell r="A2453">
            <v>81191</v>
          </cell>
          <cell r="B2453">
            <v>110</v>
          </cell>
          <cell r="C2453">
            <v>81</v>
          </cell>
          <cell r="D2453">
            <v>313.2</v>
          </cell>
          <cell r="E2453" t="str">
            <v>Tl191</v>
          </cell>
        </row>
        <row r="2454">
          <cell r="A2454">
            <v>81192</v>
          </cell>
          <cell r="B2454">
            <v>111</v>
          </cell>
          <cell r="C2454">
            <v>81</v>
          </cell>
          <cell r="D2454">
            <v>576</v>
          </cell>
          <cell r="E2454" t="str">
            <v>Tl192</v>
          </cell>
        </row>
        <row r="2455">
          <cell r="A2455">
            <v>81193</v>
          </cell>
          <cell r="B2455">
            <v>112</v>
          </cell>
          <cell r="C2455">
            <v>81</v>
          </cell>
          <cell r="D2455">
            <v>1296</v>
          </cell>
          <cell r="E2455" t="str">
            <v>Tl193</v>
          </cell>
        </row>
        <row r="2456">
          <cell r="A2456">
            <v>81194</v>
          </cell>
          <cell r="B2456">
            <v>113</v>
          </cell>
          <cell r="C2456">
            <v>81</v>
          </cell>
          <cell r="D2456">
            <v>1980</v>
          </cell>
          <cell r="E2456" t="str">
            <v>Tl194</v>
          </cell>
        </row>
        <row r="2457">
          <cell r="A2457">
            <v>81195</v>
          </cell>
          <cell r="B2457">
            <v>114</v>
          </cell>
          <cell r="C2457">
            <v>81</v>
          </cell>
          <cell r="D2457">
            <v>4176</v>
          </cell>
          <cell r="E2457" t="str">
            <v>Tl195</v>
          </cell>
        </row>
        <row r="2458">
          <cell r="A2458">
            <v>81196</v>
          </cell>
          <cell r="B2458">
            <v>115</v>
          </cell>
          <cell r="C2458">
            <v>81</v>
          </cell>
          <cell r="D2458">
            <v>6624</v>
          </cell>
          <cell r="E2458" t="str">
            <v>Tl196</v>
          </cell>
        </row>
        <row r="2459">
          <cell r="A2459">
            <v>81197</v>
          </cell>
          <cell r="B2459">
            <v>116</v>
          </cell>
          <cell r="C2459">
            <v>81</v>
          </cell>
          <cell r="D2459">
            <v>10224</v>
          </cell>
          <cell r="E2459" t="str">
            <v>Tl197</v>
          </cell>
        </row>
        <row r="2460">
          <cell r="A2460">
            <v>81198</v>
          </cell>
          <cell r="B2460">
            <v>117</v>
          </cell>
          <cell r="C2460">
            <v>81</v>
          </cell>
          <cell r="D2460">
            <v>19080</v>
          </cell>
          <cell r="E2460" t="str">
            <v>Tl198</v>
          </cell>
        </row>
        <row r="2461">
          <cell r="A2461">
            <v>81199</v>
          </cell>
          <cell r="B2461">
            <v>118</v>
          </cell>
          <cell r="C2461">
            <v>81</v>
          </cell>
          <cell r="D2461">
            <v>26712</v>
          </cell>
          <cell r="E2461" t="str">
            <v>Tl199</v>
          </cell>
        </row>
        <row r="2462">
          <cell r="A2462">
            <v>81200</v>
          </cell>
          <cell r="B2462">
            <v>119</v>
          </cell>
          <cell r="C2462">
            <v>81</v>
          </cell>
          <cell r="D2462">
            <v>93960</v>
          </cell>
          <cell r="E2462" t="str">
            <v>Tl200</v>
          </cell>
        </row>
        <row r="2463">
          <cell r="A2463">
            <v>81201</v>
          </cell>
          <cell r="B2463">
            <v>120</v>
          </cell>
          <cell r="C2463">
            <v>81</v>
          </cell>
          <cell r="D2463">
            <v>262837.44</v>
          </cell>
          <cell r="E2463" t="str">
            <v>Tl201</v>
          </cell>
        </row>
        <row r="2464">
          <cell r="A2464">
            <v>81202</v>
          </cell>
          <cell r="B2464">
            <v>121</v>
          </cell>
          <cell r="C2464">
            <v>81</v>
          </cell>
          <cell r="D2464">
            <v>1063584</v>
          </cell>
          <cell r="E2464" t="str">
            <v>Tl202</v>
          </cell>
        </row>
        <row r="2465">
          <cell r="A2465">
            <v>81203</v>
          </cell>
          <cell r="B2465">
            <v>122</v>
          </cell>
          <cell r="C2465">
            <v>81</v>
          </cell>
          <cell r="D2465" t="str">
            <v>STABLE</v>
          </cell>
          <cell r="E2465" t="str">
            <v>Tl203</v>
          </cell>
        </row>
        <row r="2466">
          <cell r="A2466">
            <v>81204</v>
          </cell>
          <cell r="B2466">
            <v>123</v>
          </cell>
          <cell r="C2466">
            <v>81</v>
          </cell>
          <cell r="D2466">
            <v>119382400.8</v>
          </cell>
          <cell r="E2466" t="str">
            <v>Tl204</v>
          </cell>
        </row>
        <row r="2467">
          <cell r="A2467">
            <v>81205</v>
          </cell>
          <cell r="B2467">
            <v>124</v>
          </cell>
          <cell r="C2467">
            <v>81</v>
          </cell>
          <cell r="D2467" t="str">
            <v>STABLE</v>
          </cell>
          <cell r="E2467" t="str">
            <v>Tl205</v>
          </cell>
        </row>
        <row r="2468">
          <cell r="A2468">
            <v>81206</v>
          </cell>
          <cell r="B2468">
            <v>125</v>
          </cell>
          <cell r="C2468">
            <v>81</v>
          </cell>
          <cell r="D2468">
            <v>252.12</v>
          </cell>
          <cell r="E2468" t="str">
            <v>Tl206</v>
          </cell>
        </row>
        <row r="2469">
          <cell r="A2469">
            <v>81207</v>
          </cell>
          <cell r="B2469">
            <v>126</v>
          </cell>
          <cell r="C2469">
            <v>81</v>
          </cell>
          <cell r="D2469">
            <v>286.2</v>
          </cell>
          <cell r="E2469" t="str">
            <v>Tl207</v>
          </cell>
        </row>
        <row r="2470">
          <cell r="A2470">
            <v>81208</v>
          </cell>
          <cell r="B2470">
            <v>127</v>
          </cell>
          <cell r="C2470">
            <v>81</v>
          </cell>
          <cell r="D2470">
            <v>183.18</v>
          </cell>
          <cell r="E2470" t="str">
            <v>Tl208</v>
          </cell>
        </row>
        <row r="2471">
          <cell r="A2471">
            <v>81209</v>
          </cell>
          <cell r="B2471">
            <v>128</v>
          </cell>
          <cell r="C2471">
            <v>81</v>
          </cell>
          <cell r="D2471">
            <v>129.72</v>
          </cell>
          <cell r="E2471" t="str">
            <v>Tl209</v>
          </cell>
        </row>
        <row r="2472">
          <cell r="A2472">
            <v>81210</v>
          </cell>
          <cell r="B2472">
            <v>129</v>
          </cell>
          <cell r="C2472">
            <v>81</v>
          </cell>
          <cell r="D2472">
            <v>78</v>
          </cell>
          <cell r="E2472" t="str">
            <v>Tl210</v>
          </cell>
        </row>
        <row r="2473">
          <cell r="A2473">
            <v>81211</v>
          </cell>
          <cell r="B2473">
            <v>130</v>
          </cell>
          <cell r="C2473">
            <v>81</v>
          </cell>
          <cell r="D2473">
            <v>88</v>
          </cell>
          <cell r="E2473" t="str">
            <v>Tl211</v>
          </cell>
        </row>
        <row r="2474">
          <cell r="A2474">
            <v>81212</v>
          </cell>
          <cell r="B2474">
            <v>131</v>
          </cell>
          <cell r="C2474">
            <v>81</v>
          </cell>
          <cell r="D2474">
            <v>2.9999999999999999E-7</v>
          </cell>
          <cell r="E2474" t="str">
            <v>Tl212</v>
          </cell>
        </row>
        <row r="2475">
          <cell r="A2475">
            <v>81213</v>
          </cell>
          <cell r="B2475">
            <v>132</v>
          </cell>
          <cell r="C2475">
            <v>81</v>
          </cell>
          <cell r="D2475">
            <v>101</v>
          </cell>
          <cell r="E2475" t="str">
            <v>Tl213</v>
          </cell>
        </row>
        <row r="2476">
          <cell r="A2476">
            <v>81214</v>
          </cell>
          <cell r="B2476">
            <v>133</v>
          </cell>
          <cell r="C2476">
            <v>81</v>
          </cell>
          <cell r="D2476">
            <v>2.9999999999999999E-7</v>
          </cell>
          <cell r="E2476" t="str">
            <v>Tl214</v>
          </cell>
        </row>
        <row r="2477">
          <cell r="A2477">
            <v>81215</v>
          </cell>
          <cell r="B2477">
            <v>134</v>
          </cell>
          <cell r="C2477">
            <v>81</v>
          </cell>
          <cell r="D2477">
            <v>2.9999999999999999E-7</v>
          </cell>
          <cell r="E2477" t="str">
            <v>Tl215</v>
          </cell>
        </row>
        <row r="2478">
          <cell r="A2478">
            <v>81216</v>
          </cell>
          <cell r="B2478">
            <v>135</v>
          </cell>
          <cell r="C2478">
            <v>81</v>
          </cell>
          <cell r="D2478">
            <v>2.9999999999999999E-7</v>
          </cell>
          <cell r="E2478" t="str">
            <v>Tl216</v>
          </cell>
        </row>
        <row r="2479">
          <cell r="A2479">
            <v>81217</v>
          </cell>
          <cell r="B2479">
            <v>136</v>
          </cell>
          <cell r="C2479">
            <v>81</v>
          </cell>
          <cell r="D2479">
            <v>2.9999999999999999E-7</v>
          </cell>
          <cell r="E2479" t="str">
            <v>Tl217</v>
          </cell>
        </row>
        <row r="2480">
          <cell r="A2480">
            <v>82178</v>
          </cell>
          <cell r="B2480">
            <v>96</v>
          </cell>
          <cell r="C2480">
            <v>82</v>
          </cell>
          <cell r="D2480">
            <v>1.2E-4</v>
          </cell>
          <cell r="E2480" t="str">
            <v>Pb178</v>
          </cell>
        </row>
        <row r="2481">
          <cell r="A2481">
            <v>82179</v>
          </cell>
          <cell r="B2481">
            <v>97</v>
          </cell>
          <cell r="C2481">
            <v>82</v>
          </cell>
          <cell r="D2481">
            <v>3.5000000000000001E-3</v>
          </cell>
          <cell r="E2481" t="str">
            <v>Pb179</v>
          </cell>
        </row>
        <row r="2482">
          <cell r="A2482">
            <v>82180</v>
          </cell>
          <cell r="B2482">
            <v>98</v>
          </cell>
          <cell r="C2482">
            <v>82</v>
          </cell>
          <cell r="D2482">
            <v>4.0999999999999899E-3</v>
          </cell>
          <cell r="E2482" t="str">
            <v>Pb180</v>
          </cell>
        </row>
        <row r="2483">
          <cell r="A2483">
            <v>82181</v>
          </cell>
          <cell r="B2483">
            <v>99</v>
          </cell>
          <cell r="C2483">
            <v>82</v>
          </cell>
          <cell r="D2483">
            <v>3.5999999999999997E-2</v>
          </cell>
          <cell r="E2483" t="str">
            <v>Pb181</v>
          </cell>
        </row>
        <row r="2484">
          <cell r="A2484">
            <v>82182</v>
          </cell>
          <cell r="B2484">
            <v>100</v>
          </cell>
          <cell r="C2484">
            <v>82</v>
          </cell>
          <cell r="D2484">
            <v>5.5E-2</v>
          </cell>
          <cell r="E2484" t="str">
            <v>Pb182</v>
          </cell>
        </row>
        <row r="2485">
          <cell r="A2485">
            <v>82183</v>
          </cell>
          <cell r="B2485">
            <v>101</v>
          </cell>
          <cell r="C2485">
            <v>82</v>
          </cell>
          <cell r="D2485">
            <v>0.53500000000000003</v>
          </cell>
          <cell r="E2485" t="str">
            <v>Pb183</v>
          </cell>
        </row>
        <row r="2486">
          <cell r="A2486">
            <v>82184</v>
          </cell>
          <cell r="B2486">
            <v>102</v>
          </cell>
          <cell r="C2486">
            <v>82</v>
          </cell>
          <cell r="D2486">
            <v>0.49</v>
          </cell>
          <cell r="E2486" t="str">
            <v>Pb184</v>
          </cell>
        </row>
        <row r="2487">
          <cell r="A2487">
            <v>82185</v>
          </cell>
          <cell r="B2487">
            <v>103</v>
          </cell>
          <cell r="C2487">
            <v>82</v>
          </cell>
          <cell r="D2487">
            <v>6.3</v>
          </cell>
          <cell r="E2487" t="str">
            <v>Pb185</v>
          </cell>
        </row>
        <row r="2488">
          <cell r="A2488">
            <v>82186</v>
          </cell>
          <cell r="B2488">
            <v>104</v>
          </cell>
          <cell r="C2488">
            <v>82</v>
          </cell>
          <cell r="D2488">
            <v>4.82</v>
          </cell>
          <cell r="E2488" t="str">
            <v>Pb186</v>
          </cell>
        </row>
        <row r="2489">
          <cell r="A2489">
            <v>82187</v>
          </cell>
          <cell r="B2489">
            <v>105</v>
          </cell>
          <cell r="C2489">
            <v>82</v>
          </cell>
          <cell r="D2489">
            <v>15.2</v>
          </cell>
          <cell r="E2489" t="str">
            <v>Pb187</v>
          </cell>
        </row>
        <row r="2490">
          <cell r="A2490">
            <v>82188</v>
          </cell>
          <cell r="B2490">
            <v>106</v>
          </cell>
          <cell r="C2490">
            <v>82</v>
          </cell>
          <cell r="D2490">
            <v>25.1</v>
          </cell>
          <cell r="E2490" t="str">
            <v>Pb188</v>
          </cell>
        </row>
        <row r="2491">
          <cell r="A2491">
            <v>82189</v>
          </cell>
          <cell r="B2491">
            <v>107</v>
          </cell>
          <cell r="C2491">
            <v>82</v>
          </cell>
          <cell r="D2491">
            <v>39</v>
          </cell>
          <cell r="E2491" t="str">
            <v>Pb189</v>
          </cell>
        </row>
        <row r="2492">
          <cell r="A2492">
            <v>82190</v>
          </cell>
          <cell r="B2492">
            <v>108</v>
          </cell>
          <cell r="C2492">
            <v>82</v>
          </cell>
          <cell r="D2492">
            <v>71</v>
          </cell>
          <cell r="E2492" t="str">
            <v>Pb190</v>
          </cell>
        </row>
        <row r="2493">
          <cell r="A2493">
            <v>82191</v>
          </cell>
          <cell r="B2493">
            <v>109</v>
          </cell>
          <cell r="C2493">
            <v>82</v>
          </cell>
          <cell r="D2493">
            <v>79.8</v>
          </cell>
          <cell r="E2493" t="str">
            <v>Pb191</v>
          </cell>
        </row>
        <row r="2494">
          <cell r="A2494">
            <v>82192</v>
          </cell>
          <cell r="B2494">
            <v>110</v>
          </cell>
          <cell r="C2494">
            <v>82</v>
          </cell>
          <cell r="D2494">
            <v>210</v>
          </cell>
          <cell r="E2494" t="str">
            <v>Pb192</v>
          </cell>
        </row>
        <row r="2495">
          <cell r="A2495">
            <v>82193</v>
          </cell>
          <cell r="B2495">
            <v>111</v>
          </cell>
          <cell r="C2495">
            <v>82</v>
          </cell>
          <cell r="D2495">
            <v>348</v>
          </cell>
          <cell r="E2495" t="str">
            <v>Pb193</v>
          </cell>
        </row>
        <row r="2496">
          <cell r="A2496">
            <v>82194</v>
          </cell>
          <cell r="B2496">
            <v>112</v>
          </cell>
          <cell r="C2496">
            <v>82</v>
          </cell>
          <cell r="D2496">
            <v>642</v>
          </cell>
          <cell r="E2496" t="str">
            <v>Pb194</v>
          </cell>
        </row>
        <row r="2497">
          <cell r="A2497">
            <v>82195</v>
          </cell>
          <cell r="B2497">
            <v>113</v>
          </cell>
          <cell r="C2497">
            <v>82</v>
          </cell>
          <cell r="D2497">
            <v>900</v>
          </cell>
          <cell r="E2497" t="str">
            <v>Pb195</v>
          </cell>
        </row>
        <row r="2498">
          <cell r="A2498">
            <v>82196</v>
          </cell>
          <cell r="B2498">
            <v>114</v>
          </cell>
          <cell r="C2498">
            <v>82</v>
          </cell>
          <cell r="D2498">
            <v>2220</v>
          </cell>
          <cell r="E2498" t="str">
            <v>Pb196</v>
          </cell>
        </row>
        <row r="2499">
          <cell r="A2499">
            <v>82197</v>
          </cell>
          <cell r="B2499">
            <v>115</v>
          </cell>
          <cell r="C2499">
            <v>82</v>
          </cell>
          <cell r="D2499">
            <v>486</v>
          </cell>
          <cell r="E2499" t="str">
            <v>Pb197</v>
          </cell>
        </row>
        <row r="2500">
          <cell r="A2500">
            <v>82198</v>
          </cell>
          <cell r="B2500">
            <v>116</v>
          </cell>
          <cell r="C2500">
            <v>82</v>
          </cell>
          <cell r="D2500">
            <v>8640</v>
          </cell>
          <cell r="E2500" t="str">
            <v>Pb198</v>
          </cell>
        </row>
        <row r="2501">
          <cell r="A2501">
            <v>82199</v>
          </cell>
          <cell r="B2501">
            <v>117</v>
          </cell>
          <cell r="C2501">
            <v>82</v>
          </cell>
          <cell r="D2501">
            <v>5400</v>
          </cell>
          <cell r="E2501" t="str">
            <v>Pb199</v>
          </cell>
        </row>
        <row r="2502">
          <cell r="A2502">
            <v>82200</v>
          </cell>
          <cell r="B2502">
            <v>118</v>
          </cell>
          <cell r="C2502">
            <v>82</v>
          </cell>
          <cell r="D2502">
            <v>77400</v>
          </cell>
          <cell r="E2502" t="str">
            <v>Pb200</v>
          </cell>
        </row>
        <row r="2503">
          <cell r="A2503">
            <v>82201</v>
          </cell>
          <cell r="B2503">
            <v>119</v>
          </cell>
          <cell r="C2503">
            <v>82</v>
          </cell>
          <cell r="D2503">
            <v>33588</v>
          </cell>
          <cell r="E2503" t="str">
            <v>Pb201</v>
          </cell>
        </row>
        <row r="2504">
          <cell r="A2504">
            <v>82202</v>
          </cell>
          <cell r="B2504">
            <v>120</v>
          </cell>
          <cell r="C2504">
            <v>82</v>
          </cell>
          <cell r="D2504">
            <v>1656774000000</v>
          </cell>
          <cell r="E2504" t="str">
            <v>Pb202</v>
          </cell>
        </row>
        <row r="2505">
          <cell r="A2505">
            <v>82203</v>
          </cell>
          <cell r="B2505">
            <v>121</v>
          </cell>
          <cell r="C2505">
            <v>82</v>
          </cell>
          <cell r="D2505">
            <v>186912</v>
          </cell>
          <cell r="E2505" t="str">
            <v>Pb203</v>
          </cell>
        </row>
        <row r="2506">
          <cell r="A2506">
            <v>82204</v>
          </cell>
          <cell r="B2506">
            <v>122</v>
          </cell>
          <cell r="C2506">
            <v>82</v>
          </cell>
          <cell r="D2506">
            <v>4.418064E+24</v>
          </cell>
          <cell r="E2506" t="str">
            <v>Pb204</v>
          </cell>
        </row>
        <row r="2507">
          <cell r="A2507">
            <v>82205</v>
          </cell>
          <cell r="B2507">
            <v>123</v>
          </cell>
          <cell r="C2507">
            <v>82</v>
          </cell>
          <cell r="D2507">
            <v>545946480000000</v>
          </cell>
          <cell r="E2507" t="str">
            <v>Pb205</v>
          </cell>
        </row>
        <row r="2508">
          <cell r="A2508">
            <v>82206</v>
          </cell>
          <cell r="B2508">
            <v>124</v>
          </cell>
          <cell r="C2508">
            <v>82</v>
          </cell>
          <cell r="D2508" t="str">
            <v>STABLE</v>
          </cell>
          <cell r="E2508" t="str">
            <v>Pb206</v>
          </cell>
        </row>
        <row r="2509">
          <cell r="A2509">
            <v>82207</v>
          </cell>
          <cell r="B2509">
            <v>125</v>
          </cell>
          <cell r="C2509">
            <v>82</v>
          </cell>
          <cell r="D2509" t="str">
            <v>STABLE</v>
          </cell>
          <cell r="E2509" t="str">
            <v>Pb207</v>
          </cell>
        </row>
        <row r="2510">
          <cell r="A2510">
            <v>82208</v>
          </cell>
          <cell r="B2510">
            <v>126</v>
          </cell>
          <cell r="C2510">
            <v>82</v>
          </cell>
          <cell r="D2510" t="str">
            <v>STABLE</v>
          </cell>
          <cell r="E2510" t="str">
            <v>Pb208</v>
          </cell>
        </row>
        <row r="2511">
          <cell r="A2511">
            <v>82209</v>
          </cell>
          <cell r="B2511">
            <v>127</v>
          </cell>
          <cell r="C2511">
            <v>82</v>
          </cell>
          <cell r="D2511">
            <v>11642.4</v>
          </cell>
          <cell r="E2511" t="str">
            <v>Pb209</v>
          </cell>
        </row>
        <row r="2512">
          <cell r="A2512">
            <v>82210</v>
          </cell>
          <cell r="B2512">
            <v>128</v>
          </cell>
          <cell r="C2512">
            <v>82</v>
          </cell>
          <cell r="D2512">
            <v>700578720</v>
          </cell>
          <cell r="E2512" t="str">
            <v>Pb210</v>
          </cell>
        </row>
        <row r="2513">
          <cell r="A2513">
            <v>82211</v>
          </cell>
          <cell r="B2513">
            <v>129</v>
          </cell>
          <cell r="C2513">
            <v>82</v>
          </cell>
          <cell r="D2513">
            <v>2166</v>
          </cell>
          <cell r="E2513" t="str">
            <v>Pb211</v>
          </cell>
        </row>
        <row r="2514">
          <cell r="A2514">
            <v>82212</v>
          </cell>
          <cell r="B2514">
            <v>130</v>
          </cell>
          <cell r="C2514">
            <v>82</v>
          </cell>
          <cell r="D2514">
            <v>38304</v>
          </cell>
          <cell r="E2514" t="str">
            <v>Pb212</v>
          </cell>
        </row>
        <row r="2515">
          <cell r="A2515">
            <v>82213</v>
          </cell>
          <cell r="B2515">
            <v>131</v>
          </cell>
          <cell r="C2515">
            <v>82</v>
          </cell>
          <cell r="D2515">
            <v>612</v>
          </cell>
          <cell r="E2515" t="str">
            <v>Pb213</v>
          </cell>
        </row>
        <row r="2516">
          <cell r="A2516">
            <v>82214</v>
          </cell>
          <cell r="B2516">
            <v>132</v>
          </cell>
          <cell r="C2516">
            <v>82</v>
          </cell>
          <cell r="D2516">
            <v>1623.6</v>
          </cell>
          <cell r="E2516" t="str">
            <v>Pb214</v>
          </cell>
        </row>
        <row r="2517">
          <cell r="A2517">
            <v>82215</v>
          </cell>
          <cell r="B2517">
            <v>133</v>
          </cell>
          <cell r="C2517">
            <v>82</v>
          </cell>
          <cell r="D2517">
            <v>147</v>
          </cell>
          <cell r="E2517" t="str">
            <v>Pb215</v>
          </cell>
        </row>
        <row r="2518">
          <cell r="A2518">
            <v>82216</v>
          </cell>
          <cell r="B2518">
            <v>134</v>
          </cell>
          <cell r="C2518">
            <v>82</v>
          </cell>
          <cell r="D2518">
            <v>2.9999999999999999E-7</v>
          </cell>
          <cell r="E2518" t="str">
            <v>Pb216</v>
          </cell>
        </row>
        <row r="2519">
          <cell r="A2519">
            <v>82217</v>
          </cell>
          <cell r="B2519">
            <v>135</v>
          </cell>
          <cell r="C2519">
            <v>82</v>
          </cell>
          <cell r="D2519">
            <v>2.9999999999999999E-7</v>
          </cell>
          <cell r="E2519" t="str">
            <v>Pb217</v>
          </cell>
        </row>
        <row r="2520">
          <cell r="A2520">
            <v>82218</v>
          </cell>
          <cell r="B2520">
            <v>136</v>
          </cell>
          <cell r="C2520">
            <v>82</v>
          </cell>
          <cell r="D2520">
            <v>2.9999999999999999E-7</v>
          </cell>
          <cell r="E2520" t="str">
            <v>Pb218</v>
          </cell>
        </row>
        <row r="2521">
          <cell r="A2521">
            <v>82219</v>
          </cell>
          <cell r="B2521">
            <v>137</v>
          </cell>
          <cell r="C2521">
            <v>82</v>
          </cell>
          <cell r="D2521">
            <v>2.9999999999999999E-7</v>
          </cell>
          <cell r="E2521" t="str">
            <v>Pb219</v>
          </cell>
        </row>
        <row r="2522">
          <cell r="A2522">
            <v>82220</v>
          </cell>
          <cell r="B2522">
            <v>138</v>
          </cell>
          <cell r="C2522">
            <v>82</v>
          </cell>
          <cell r="D2522">
            <v>2.9999999999999999E-7</v>
          </cell>
          <cell r="E2522" t="str">
            <v>Pb220</v>
          </cell>
        </row>
        <row r="2523">
          <cell r="A2523">
            <v>83184</v>
          </cell>
          <cell r="B2523">
            <v>101</v>
          </cell>
          <cell r="C2523">
            <v>83</v>
          </cell>
          <cell r="D2523">
            <v>1.2999999999999999E-2</v>
          </cell>
          <cell r="E2523" t="str">
            <v>Bi184</v>
          </cell>
        </row>
        <row r="2524">
          <cell r="A2524">
            <v>83185</v>
          </cell>
          <cell r="B2524">
            <v>102</v>
          </cell>
          <cell r="C2524">
            <v>83</v>
          </cell>
          <cell r="D2524">
            <v>5.8E-5</v>
          </cell>
          <cell r="E2524" t="str">
            <v>Bi185</v>
          </cell>
        </row>
        <row r="2525">
          <cell r="A2525">
            <v>83186</v>
          </cell>
          <cell r="B2525">
            <v>103</v>
          </cell>
          <cell r="C2525">
            <v>83</v>
          </cell>
          <cell r="D2525">
            <v>1.4800000000000001E-2</v>
          </cell>
          <cell r="E2525" t="str">
            <v>Bi186</v>
          </cell>
        </row>
        <row r="2526">
          <cell r="A2526">
            <v>83187</v>
          </cell>
          <cell r="B2526">
            <v>104</v>
          </cell>
          <cell r="C2526">
            <v>83</v>
          </cell>
          <cell r="D2526">
            <v>3.6999999999999998E-2</v>
          </cell>
          <cell r="E2526" t="str">
            <v>Bi187</v>
          </cell>
        </row>
        <row r="2527">
          <cell r="A2527">
            <v>83188</v>
          </cell>
          <cell r="B2527">
            <v>105</v>
          </cell>
          <cell r="C2527">
            <v>83</v>
          </cell>
          <cell r="D2527">
            <v>0.26500000000000001</v>
          </cell>
          <cell r="E2527" t="str">
            <v>Bi188</v>
          </cell>
        </row>
        <row r="2528">
          <cell r="A2528">
            <v>83189</v>
          </cell>
          <cell r="B2528">
            <v>106</v>
          </cell>
          <cell r="C2528">
            <v>83</v>
          </cell>
          <cell r="D2528">
            <v>0.67400000000000004</v>
          </cell>
          <cell r="E2528" t="str">
            <v>Bi189</v>
          </cell>
        </row>
        <row r="2529">
          <cell r="A2529">
            <v>83190</v>
          </cell>
          <cell r="B2529">
            <v>107</v>
          </cell>
          <cell r="C2529">
            <v>83</v>
          </cell>
          <cell r="D2529">
            <v>6.3</v>
          </cell>
          <cell r="E2529" t="str">
            <v>Bi190</v>
          </cell>
        </row>
        <row r="2530">
          <cell r="A2530">
            <v>83191</v>
          </cell>
          <cell r="B2530">
            <v>108</v>
          </cell>
          <cell r="C2530">
            <v>83</v>
          </cell>
          <cell r="D2530">
            <v>12.4</v>
          </cell>
          <cell r="E2530" t="str">
            <v>Bi191</v>
          </cell>
        </row>
        <row r="2531">
          <cell r="A2531">
            <v>83192</v>
          </cell>
          <cell r="B2531">
            <v>109</v>
          </cell>
          <cell r="C2531">
            <v>83</v>
          </cell>
          <cell r="D2531">
            <v>34.6</v>
          </cell>
          <cell r="E2531" t="str">
            <v>Bi192</v>
          </cell>
        </row>
        <row r="2532">
          <cell r="A2532">
            <v>83193</v>
          </cell>
          <cell r="B2532">
            <v>110</v>
          </cell>
          <cell r="C2532">
            <v>83</v>
          </cell>
          <cell r="D2532">
            <v>63.6</v>
          </cell>
          <cell r="E2532" t="str">
            <v>Bi193</v>
          </cell>
        </row>
        <row r="2533">
          <cell r="A2533">
            <v>83194</v>
          </cell>
          <cell r="B2533">
            <v>111</v>
          </cell>
          <cell r="C2533">
            <v>83</v>
          </cell>
          <cell r="D2533">
            <v>95</v>
          </cell>
          <cell r="E2533" t="str">
            <v>Bi194</v>
          </cell>
        </row>
        <row r="2534">
          <cell r="A2534">
            <v>83195</v>
          </cell>
          <cell r="B2534">
            <v>112</v>
          </cell>
          <cell r="C2534">
            <v>83</v>
          </cell>
          <cell r="D2534">
            <v>183</v>
          </cell>
          <cell r="E2534" t="str">
            <v>Bi195</v>
          </cell>
        </row>
        <row r="2535">
          <cell r="A2535">
            <v>83196</v>
          </cell>
          <cell r="B2535">
            <v>113</v>
          </cell>
          <cell r="C2535">
            <v>83</v>
          </cell>
          <cell r="D2535">
            <v>308</v>
          </cell>
          <cell r="E2535" t="str">
            <v>Bi196</v>
          </cell>
        </row>
        <row r="2536">
          <cell r="A2536">
            <v>83197</v>
          </cell>
          <cell r="B2536">
            <v>114</v>
          </cell>
          <cell r="C2536">
            <v>83</v>
          </cell>
          <cell r="D2536">
            <v>559.79999999999995</v>
          </cell>
          <cell r="E2536" t="str">
            <v>Bi197</v>
          </cell>
        </row>
        <row r="2537">
          <cell r="A2537">
            <v>83198</v>
          </cell>
          <cell r="B2537">
            <v>115</v>
          </cell>
          <cell r="C2537">
            <v>83</v>
          </cell>
          <cell r="D2537">
            <v>618</v>
          </cell>
          <cell r="E2537" t="str">
            <v>Bi198</v>
          </cell>
        </row>
        <row r="2538">
          <cell r="A2538">
            <v>83199</v>
          </cell>
          <cell r="B2538">
            <v>116</v>
          </cell>
          <cell r="C2538">
            <v>83</v>
          </cell>
          <cell r="D2538">
            <v>1620</v>
          </cell>
          <cell r="E2538" t="str">
            <v>Bi199</v>
          </cell>
        </row>
        <row r="2539">
          <cell r="A2539">
            <v>83200</v>
          </cell>
          <cell r="B2539">
            <v>117</v>
          </cell>
          <cell r="C2539">
            <v>83</v>
          </cell>
          <cell r="D2539">
            <v>2184</v>
          </cell>
          <cell r="E2539" t="str">
            <v>Bi200</v>
          </cell>
        </row>
        <row r="2540">
          <cell r="A2540">
            <v>83201</v>
          </cell>
          <cell r="B2540">
            <v>118</v>
          </cell>
          <cell r="C2540">
            <v>83</v>
          </cell>
          <cell r="D2540">
            <v>6180</v>
          </cell>
          <cell r="E2540" t="str">
            <v>Bi201</v>
          </cell>
        </row>
        <row r="2541">
          <cell r="A2541">
            <v>83202</v>
          </cell>
          <cell r="B2541">
            <v>119</v>
          </cell>
          <cell r="C2541">
            <v>83</v>
          </cell>
          <cell r="D2541">
            <v>6156</v>
          </cell>
          <cell r="E2541" t="str">
            <v>Bi202</v>
          </cell>
        </row>
        <row r="2542">
          <cell r="A2542">
            <v>83203</v>
          </cell>
          <cell r="B2542">
            <v>120</v>
          </cell>
          <cell r="C2542">
            <v>83</v>
          </cell>
          <cell r="D2542">
            <v>42336</v>
          </cell>
          <cell r="E2542" t="str">
            <v>Bi203</v>
          </cell>
        </row>
        <row r="2543">
          <cell r="A2543">
            <v>83204</v>
          </cell>
          <cell r="B2543">
            <v>121</v>
          </cell>
          <cell r="C2543">
            <v>83</v>
          </cell>
          <cell r="D2543">
            <v>40392</v>
          </cell>
          <cell r="E2543" t="str">
            <v>Bi204</v>
          </cell>
        </row>
        <row r="2544">
          <cell r="A2544">
            <v>83205</v>
          </cell>
          <cell r="B2544">
            <v>122</v>
          </cell>
          <cell r="C2544">
            <v>83</v>
          </cell>
          <cell r="D2544">
            <v>1322784</v>
          </cell>
          <cell r="E2544" t="str">
            <v>Bi205</v>
          </cell>
        </row>
        <row r="2545">
          <cell r="A2545">
            <v>83206</v>
          </cell>
          <cell r="B2545">
            <v>123</v>
          </cell>
          <cell r="C2545">
            <v>83</v>
          </cell>
          <cell r="D2545">
            <v>539395.19999999995</v>
          </cell>
          <cell r="E2545" t="str">
            <v>Bi206</v>
          </cell>
        </row>
        <row r="2546">
          <cell r="A2546">
            <v>83207</v>
          </cell>
          <cell r="B2546">
            <v>124</v>
          </cell>
          <cell r="C2546">
            <v>83</v>
          </cell>
          <cell r="D2546">
            <v>995642280</v>
          </cell>
          <cell r="E2546" t="str">
            <v>Bi207</v>
          </cell>
        </row>
        <row r="2547">
          <cell r="A2547">
            <v>83208</v>
          </cell>
          <cell r="B2547">
            <v>125</v>
          </cell>
          <cell r="C2547">
            <v>83</v>
          </cell>
          <cell r="D2547">
            <v>11613196800000</v>
          </cell>
          <cell r="E2547" t="str">
            <v>Bi208</v>
          </cell>
        </row>
        <row r="2548">
          <cell r="A2548">
            <v>83209</v>
          </cell>
          <cell r="B2548">
            <v>126</v>
          </cell>
          <cell r="C2548">
            <v>83</v>
          </cell>
          <cell r="D2548">
            <v>6.3430775999999998E+26</v>
          </cell>
          <cell r="E2548" t="str">
            <v>Bi209</v>
          </cell>
        </row>
        <row r="2549">
          <cell r="A2549">
            <v>83210</v>
          </cell>
          <cell r="B2549">
            <v>127</v>
          </cell>
          <cell r="C2549">
            <v>83</v>
          </cell>
          <cell r="D2549">
            <v>433036.79999999999</v>
          </cell>
          <cell r="E2549" t="str">
            <v>Bi210</v>
          </cell>
        </row>
        <row r="2550">
          <cell r="A2550">
            <v>83211</v>
          </cell>
          <cell r="B2550">
            <v>128</v>
          </cell>
          <cell r="C2550">
            <v>83</v>
          </cell>
          <cell r="D2550">
            <v>128.4</v>
          </cell>
          <cell r="E2550" t="str">
            <v>Bi211</v>
          </cell>
        </row>
        <row r="2551">
          <cell r="A2551">
            <v>83212</v>
          </cell>
          <cell r="B2551">
            <v>129</v>
          </cell>
          <cell r="C2551">
            <v>83</v>
          </cell>
          <cell r="D2551">
            <v>3633</v>
          </cell>
          <cell r="E2551" t="str">
            <v>Bi212</v>
          </cell>
        </row>
        <row r="2552">
          <cell r="A2552">
            <v>83213</v>
          </cell>
          <cell r="B2552">
            <v>130</v>
          </cell>
          <cell r="C2552">
            <v>83</v>
          </cell>
          <cell r="D2552">
            <v>2736.6</v>
          </cell>
          <cell r="E2552" t="str">
            <v>Bi213</v>
          </cell>
        </row>
        <row r="2553">
          <cell r="A2553">
            <v>83214</v>
          </cell>
          <cell r="B2553">
            <v>131</v>
          </cell>
          <cell r="C2553">
            <v>83</v>
          </cell>
          <cell r="D2553">
            <v>1194</v>
          </cell>
          <cell r="E2553" t="str">
            <v>Bi214</v>
          </cell>
        </row>
        <row r="2554">
          <cell r="A2554">
            <v>83215</v>
          </cell>
          <cell r="B2554">
            <v>132</v>
          </cell>
          <cell r="C2554">
            <v>83</v>
          </cell>
          <cell r="D2554">
            <v>456</v>
          </cell>
          <cell r="E2554" t="str">
            <v>Bi215</v>
          </cell>
        </row>
        <row r="2555">
          <cell r="A2555">
            <v>83216</v>
          </cell>
          <cell r="B2555">
            <v>133</v>
          </cell>
          <cell r="C2555">
            <v>83</v>
          </cell>
          <cell r="D2555">
            <v>135</v>
          </cell>
          <cell r="E2555" t="str">
            <v>Bi216</v>
          </cell>
        </row>
        <row r="2556">
          <cell r="A2556">
            <v>83217</v>
          </cell>
          <cell r="B2556">
            <v>134</v>
          </cell>
          <cell r="C2556">
            <v>83</v>
          </cell>
          <cell r="D2556">
            <v>98.5</v>
          </cell>
          <cell r="E2556" t="str">
            <v>Bi217</v>
          </cell>
        </row>
        <row r="2557">
          <cell r="A2557">
            <v>83218</v>
          </cell>
          <cell r="B2557">
            <v>135</v>
          </cell>
          <cell r="C2557">
            <v>83</v>
          </cell>
          <cell r="D2557">
            <v>33</v>
          </cell>
          <cell r="E2557" t="str">
            <v>Bi218</v>
          </cell>
        </row>
        <row r="2558">
          <cell r="A2558">
            <v>83219</v>
          </cell>
          <cell r="B2558">
            <v>136</v>
          </cell>
          <cell r="C2558">
            <v>83</v>
          </cell>
          <cell r="D2558">
            <v>22</v>
          </cell>
          <cell r="E2558" t="str">
            <v>Bi219</v>
          </cell>
        </row>
        <row r="2559">
          <cell r="A2559">
            <v>83220</v>
          </cell>
          <cell r="B2559">
            <v>137</v>
          </cell>
          <cell r="C2559">
            <v>83</v>
          </cell>
          <cell r="D2559">
            <v>2.9999999999999999E-7</v>
          </cell>
          <cell r="E2559" t="str">
            <v>Bi220</v>
          </cell>
        </row>
        <row r="2560">
          <cell r="A2560">
            <v>83221</v>
          </cell>
          <cell r="B2560">
            <v>138</v>
          </cell>
          <cell r="C2560">
            <v>83</v>
          </cell>
          <cell r="D2560">
            <v>2.9999999999999999E-7</v>
          </cell>
          <cell r="E2560" t="str">
            <v>Bi221</v>
          </cell>
        </row>
        <row r="2561">
          <cell r="A2561">
            <v>83222</v>
          </cell>
          <cell r="B2561">
            <v>139</v>
          </cell>
          <cell r="C2561">
            <v>83</v>
          </cell>
          <cell r="D2561">
            <v>2.9999999999999999E-7</v>
          </cell>
          <cell r="E2561" t="str">
            <v>Bi222</v>
          </cell>
        </row>
        <row r="2562">
          <cell r="A2562">
            <v>83223</v>
          </cell>
          <cell r="B2562">
            <v>140</v>
          </cell>
          <cell r="C2562">
            <v>83</v>
          </cell>
          <cell r="D2562">
            <v>2.9999999999999999E-7</v>
          </cell>
          <cell r="E2562" t="str">
            <v>Bi223</v>
          </cell>
        </row>
        <row r="2563">
          <cell r="A2563">
            <v>83224</v>
          </cell>
          <cell r="B2563">
            <v>141</v>
          </cell>
          <cell r="C2563">
            <v>83</v>
          </cell>
          <cell r="D2563">
            <v>2.9999999999999999E-7</v>
          </cell>
          <cell r="E2563" t="str">
            <v>Bi224</v>
          </cell>
        </row>
        <row r="2564">
          <cell r="A2564">
            <v>84186</v>
          </cell>
          <cell r="B2564">
            <v>102</v>
          </cell>
          <cell r="C2564">
            <v>84</v>
          </cell>
          <cell r="D2564">
            <v>2.8E-5</v>
          </cell>
          <cell r="E2564" t="str">
            <v>Po186</v>
          </cell>
        </row>
        <row r="2565">
          <cell r="A2565">
            <v>84187</v>
          </cell>
          <cell r="B2565">
            <v>103</v>
          </cell>
          <cell r="C2565">
            <v>84</v>
          </cell>
          <cell r="D2565">
            <v>1.4E-3</v>
          </cell>
          <cell r="E2565" t="str">
            <v>Po187</v>
          </cell>
        </row>
        <row r="2566">
          <cell r="A2566">
            <v>84188</v>
          </cell>
          <cell r="B2566">
            <v>104</v>
          </cell>
          <cell r="C2566">
            <v>84</v>
          </cell>
          <cell r="D2566">
            <v>2.7500000000000002E-4</v>
          </cell>
          <cell r="E2566" t="str">
            <v>Po188</v>
          </cell>
        </row>
        <row r="2567">
          <cell r="A2567">
            <v>84189</v>
          </cell>
          <cell r="B2567">
            <v>105</v>
          </cell>
          <cell r="C2567">
            <v>84</v>
          </cell>
          <cell r="D2567">
            <v>3.5000000000000001E-3</v>
          </cell>
          <cell r="E2567" t="str">
            <v>Po189</v>
          </cell>
        </row>
        <row r="2568">
          <cell r="A2568">
            <v>84190</v>
          </cell>
          <cell r="B2568">
            <v>106</v>
          </cell>
          <cell r="C2568">
            <v>84</v>
          </cell>
          <cell r="D2568">
            <v>2.4599999999999999E-3</v>
          </cell>
          <cell r="E2568" t="str">
            <v>Po190</v>
          </cell>
        </row>
        <row r="2569">
          <cell r="A2569">
            <v>84191</v>
          </cell>
          <cell r="B2569">
            <v>107</v>
          </cell>
          <cell r="C2569">
            <v>84</v>
          </cell>
          <cell r="D2569">
            <v>2.1999999999999999E-2</v>
          </cell>
          <cell r="E2569" t="str">
            <v>Po191</v>
          </cell>
        </row>
        <row r="2570">
          <cell r="A2570">
            <v>84192</v>
          </cell>
          <cell r="B2570">
            <v>108</v>
          </cell>
          <cell r="C2570">
            <v>84</v>
          </cell>
          <cell r="D2570">
            <v>3.2199999999999999E-2</v>
          </cell>
          <cell r="E2570" t="str">
            <v>Po192</v>
          </cell>
        </row>
        <row r="2571">
          <cell r="A2571">
            <v>84193</v>
          </cell>
          <cell r="B2571">
            <v>109</v>
          </cell>
          <cell r="C2571">
            <v>84</v>
          </cell>
          <cell r="D2571">
            <v>0.245</v>
          </cell>
          <cell r="E2571" t="str">
            <v>Po193</v>
          </cell>
        </row>
        <row r="2572">
          <cell r="A2572">
            <v>84194</v>
          </cell>
          <cell r="B2572">
            <v>110</v>
          </cell>
          <cell r="C2572">
            <v>84</v>
          </cell>
          <cell r="D2572">
            <v>0.39200000000000002</v>
          </cell>
          <cell r="E2572" t="str">
            <v>Po194</v>
          </cell>
        </row>
        <row r="2573">
          <cell r="A2573">
            <v>84195</v>
          </cell>
          <cell r="B2573">
            <v>111</v>
          </cell>
          <cell r="C2573">
            <v>84</v>
          </cell>
          <cell r="D2573">
            <v>4.6399999999999997</v>
          </cell>
          <cell r="E2573" t="str">
            <v>Po195</v>
          </cell>
        </row>
        <row r="2574">
          <cell r="A2574">
            <v>84196</v>
          </cell>
          <cell r="B2574">
            <v>112</v>
          </cell>
          <cell r="C2574">
            <v>84</v>
          </cell>
          <cell r="D2574">
            <v>5.8</v>
          </cell>
          <cell r="E2574" t="str">
            <v>Po196</v>
          </cell>
        </row>
        <row r="2575">
          <cell r="A2575">
            <v>84197</v>
          </cell>
          <cell r="B2575">
            <v>113</v>
          </cell>
          <cell r="C2575">
            <v>84</v>
          </cell>
          <cell r="D2575">
            <v>84</v>
          </cell>
          <cell r="E2575" t="str">
            <v>Po197</v>
          </cell>
        </row>
        <row r="2576">
          <cell r="A2576">
            <v>84198</v>
          </cell>
          <cell r="B2576">
            <v>114</v>
          </cell>
          <cell r="C2576">
            <v>84</v>
          </cell>
          <cell r="D2576">
            <v>105.6</v>
          </cell>
          <cell r="E2576" t="str">
            <v>Po198</v>
          </cell>
        </row>
        <row r="2577">
          <cell r="A2577">
            <v>84199</v>
          </cell>
          <cell r="B2577">
            <v>115</v>
          </cell>
          <cell r="C2577">
            <v>84</v>
          </cell>
          <cell r="D2577">
            <v>328.2</v>
          </cell>
          <cell r="E2577" t="str">
            <v>Po199</v>
          </cell>
        </row>
        <row r="2578">
          <cell r="A2578">
            <v>84200</v>
          </cell>
          <cell r="B2578">
            <v>116</v>
          </cell>
          <cell r="C2578">
            <v>84</v>
          </cell>
          <cell r="D2578">
            <v>690.6</v>
          </cell>
          <cell r="E2578" t="str">
            <v>Po200</v>
          </cell>
        </row>
        <row r="2579">
          <cell r="A2579">
            <v>84201</v>
          </cell>
          <cell r="B2579">
            <v>117</v>
          </cell>
          <cell r="C2579">
            <v>84</v>
          </cell>
          <cell r="D2579">
            <v>936</v>
          </cell>
          <cell r="E2579" t="str">
            <v>Po201</v>
          </cell>
        </row>
        <row r="2580">
          <cell r="A2580">
            <v>84202</v>
          </cell>
          <cell r="B2580">
            <v>118</v>
          </cell>
          <cell r="C2580">
            <v>84</v>
          </cell>
          <cell r="D2580">
            <v>2676</v>
          </cell>
          <cell r="E2580" t="str">
            <v>Po202</v>
          </cell>
        </row>
        <row r="2581">
          <cell r="A2581">
            <v>84203</v>
          </cell>
          <cell r="B2581">
            <v>119</v>
          </cell>
          <cell r="C2581">
            <v>84</v>
          </cell>
          <cell r="D2581">
            <v>2202</v>
          </cell>
          <cell r="E2581" t="str">
            <v>Po203</v>
          </cell>
        </row>
        <row r="2582">
          <cell r="A2582">
            <v>84204</v>
          </cell>
          <cell r="B2582">
            <v>120</v>
          </cell>
          <cell r="C2582">
            <v>84</v>
          </cell>
          <cell r="D2582">
            <v>12668.4</v>
          </cell>
          <cell r="E2582" t="str">
            <v>Po204</v>
          </cell>
        </row>
        <row r="2583">
          <cell r="A2583">
            <v>84205</v>
          </cell>
          <cell r="B2583">
            <v>121</v>
          </cell>
          <cell r="C2583">
            <v>84</v>
          </cell>
          <cell r="D2583">
            <v>6264</v>
          </cell>
          <cell r="E2583" t="str">
            <v>Po205</v>
          </cell>
        </row>
        <row r="2584">
          <cell r="A2584">
            <v>84206</v>
          </cell>
          <cell r="B2584">
            <v>122</v>
          </cell>
          <cell r="C2584">
            <v>84</v>
          </cell>
          <cell r="D2584">
            <v>760320</v>
          </cell>
          <cell r="E2584" t="str">
            <v>Po206</v>
          </cell>
        </row>
        <row r="2585">
          <cell r="A2585">
            <v>84207</v>
          </cell>
          <cell r="B2585">
            <v>123</v>
          </cell>
          <cell r="C2585">
            <v>84</v>
          </cell>
          <cell r="D2585">
            <v>20880</v>
          </cell>
          <cell r="E2585" t="str">
            <v>Po207</v>
          </cell>
        </row>
        <row r="2586">
          <cell r="A2586">
            <v>84208</v>
          </cell>
          <cell r="B2586">
            <v>124</v>
          </cell>
          <cell r="C2586">
            <v>84</v>
          </cell>
          <cell r="D2586">
            <v>91453924.799999997</v>
          </cell>
          <cell r="E2586" t="str">
            <v>Po208</v>
          </cell>
        </row>
        <row r="2587">
          <cell r="A2587">
            <v>84209</v>
          </cell>
          <cell r="B2587">
            <v>125</v>
          </cell>
          <cell r="C2587">
            <v>84</v>
          </cell>
          <cell r="D2587">
            <v>3913142400</v>
          </cell>
          <cell r="E2587" t="str">
            <v>Po209</v>
          </cell>
        </row>
        <row r="2588">
          <cell r="A2588">
            <v>84210</v>
          </cell>
          <cell r="B2588">
            <v>126</v>
          </cell>
          <cell r="C2588">
            <v>84</v>
          </cell>
          <cell r="D2588">
            <v>11955686.4</v>
          </cell>
          <cell r="E2588" t="str">
            <v>Po210</v>
          </cell>
        </row>
        <row r="2589">
          <cell r="A2589">
            <v>84211</v>
          </cell>
          <cell r="B2589">
            <v>127</v>
          </cell>
          <cell r="C2589">
            <v>84</v>
          </cell>
          <cell r="D2589">
            <v>0.51600000000000001</v>
          </cell>
          <cell r="E2589" t="str">
            <v>Po211</v>
          </cell>
        </row>
        <row r="2590">
          <cell r="A2590">
            <v>84212</v>
          </cell>
          <cell r="B2590">
            <v>128</v>
          </cell>
          <cell r="C2590">
            <v>84</v>
          </cell>
          <cell r="D2590">
            <v>2.9899999999999901E-7</v>
          </cell>
          <cell r="E2590" t="str">
            <v>Po212</v>
          </cell>
        </row>
        <row r="2591">
          <cell r="A2591">
            <v>84213</v>
          </cell>
          <cell r="B2591">
            <v>129</v>
          </cell>
          <cell r="C2591">
            <v>84</v>
          </cell>
          <cell r="D2591">
            <v>3.72E-6</v>
          </cell>
          <cell r="E2591" t="str">
            <v>Po213</v>
          </cell>
        </row>
        <row r="2592">
          <cell r="A2592">
            <v>84214</v>
          </cell>
          <cell r="B2592">
            <v>130</v>
          </cell>
          <cell r="C2592">
            <v>84</v>
          </cell>
          <cell r="D2592">
            <v>1.6359999999999999E-4</v>
          </cell>
          <cell r="E2592" t="str">
            <v>Po214</v>
          </cell>
        </row>
        <row r="2593">
          <cell r="A2593">
            <v>84215</v>
          </cell>
          <cell r="B2593">
            <v>131</v>
          </cell>
          <cell r="C2593">
            <v>84</v>
          </cell>
          <cell r="D2593">
            <v>1.781E-3</v>
          </cell>
          <cell r="E2593" t="str">
            <v>Po215</v>
          </cell>
        </row>
        <row r="2594">
          <cell r="A2594">
            <v>84216</v>
          </cell>
          <cell r="B2594">
            <v>132</v>
          </cell>
          <cell r="C2594">
            <v>84</v>
          </cell>
          <cell r="D2594">
            <v>0.14499999999999999</v>
          </cell>
          <cell r="E2594" t="str">
            <v>Po216</v>
          </cell>
        </row>
        <row r="2595">
          <cell r="A2595">
            <v>84217</v>
          </cell>
          <cell r="B2595">
            <v>133</v>
          </cell>
          <cell r="C2595">
            <v>84</v>
          </cell>
          <cell r="D2595">
            <v>1.53</v>
          </cell>
          <cell r="E2595" t="str">
            <v>Po217</v>
          </cell>
        </row>
        <row r="2596">
          <cell r="A2596">
            <v>84218</v>
          </cell>
          <cell r="B2596">
            <v>134</v>
          </cell>
          <cell r="C2596">
            <v>84</v>
          </cell>
          <cell r="D2596">
            <v>185.88</v>
          </cell>
          <cell r="E2596" t="str">
            <v>Po218</v>
          </cell>
        </row>
        <row r="2597">
          <cell r="A2597">
            <v>84219</v>
          </cell>
          <cell r="B2597">
            <v>135</v>
          </cell>
          <cell r="C2597">
            <v>84</v>
          </cell>
          <cell r="D2597">
            <v>620</v>
          </cell>
          <cell r="E2597" t="str">
            <v>Po219</v>
          </cell>
        </row>
        <row r="2598">
          <cell r="A2598">
            <v>84220</v>
          </cell>
          <cell r="B2598">
            <v>136</v>
          </cell>
          <cell r="C2598">
            <v>84</v>
          </cell>
          <cell r="D2598">
            <v>2.9999999999999999E-7</v>
          </cell>
          <cell r="E2598" t="str">
            <v>Po220</v>
          </cell>
        </row>
        <row r="2599">
          <cell r="A2599">
            <v>84221</v>
          </cell>
          <cell r="B2599">
            <v>137</v>
          </cell>
          <cell r="C2599">
            <v>84</v>
          </cell>
          <cell r="D2599">
            <v>112</v>
          </cell>
          <cell r="E2599" t="str">
            <v>Po221</v>
          </cell>
        </row>
        <row r="2600">
          <cell r="A2600">
            <v>84222</v>
          </cell>
          <cell r="B2600">
            <v>138</v>
          </cell>
          <cell r="C2600">
            <v>84</v>
          </cell>
          <cell r="D2600">
            <v>550</v>
          </cell>
          <cell r="E2600" t="str">
            <v>Po222</v>
          </cell>
        </row>
        <row r="2601">
          <cell r="A2601">
            <v>84223</v>
          </cell>
          <cell r="B2601">
            <v>139</v>
          </cell>
          <cell r="C2601">
            <v>84</v>
          </cell>
          <cell r="D2601">
            <v>2.9999999999999999E-7</v>
          </cell>
          <cell r="E2601" t="str">
            <v>Po223</v>
          </cell>
        </row>
        <row r="2602">
          <cell r="A2602">
            <v>84224</v>
          </cell>
          <cell r="B2602">
            <v>140</v>
          </cell>
          <cell r="C2602">
            <v>84</v>
          </cell>
          <cell r="D2602">
            <v>2.9999999999999999E-7</v>
          </cell>
          <cell r="E2602" t="str">
            <v>Po224</v>
          </cell>
        </row>
        <row r="2603">
          <cell r="A2603">
            <v>84225</v>
          </cell>
          <cell r="B2603">
            <v>141</v>
          </cell>
          <cell r="C2603">
            <v>84</v>
          </cell>
          <cell r="D2603">
            <v>2.9999999999999999E-7</v>
          </cell>
          <cell r="E2603" t="str">
            <v>Po225</v>
          </cell>
        </row>
        <row r="2604">
          <cell r="A2604">
            <v>84226</v>
          </cell>
          <cell r="B2604">
            <v>142</v>
          </cell>
          <cell r="C2604">
            <v>84</v>
          </cell>
          <cell r="D2604">
            <v>2.9999999999999999E-7</v>
          </cell>
          <cell r="E2604" t="str">
            <v>Po226</v>
          </cell>
        </row>
        <row r="2605">
          <cell r="A2605">
            <v>84227</v>
          </cell>
          <cell r="B2605">
            <v>143</v>
          </cell>
          <cell r="C2605">
            <v>84</v>
          </cell>
          <cell r="D2605">
            <v>2.9999999999999999E-7</v>
          </cell>
          <cell r="E2605" t="str">
            <v>Po227</v>
          </cell>
        </row>
        <row r="2606">
          <cell r="A2606">
            <v>85191</v>
          </cell>
          <cell r="B2606">
            <v>106</v>
          </cell>
          <cell r="C2606">
            <v>85</v>
          </cell>
          <cell r="D2606">
            <v>1.6999999999999999E-3</v>
          </cell>
          <cell r="E2606" t="str">
            <v>At191</v>
          </cell>
        </row>
        <row r="2607">
          <cell r="A2607">
            <v>85192</v>
          </cell>
          <cell r="B2607">
            <v>107</v>
          </cell>
          <cell r="C2607">
            <v>85</v>
          </cell>
          <cell r="D2607">
            <v>1.15E-2</v>
          </cell>
          <cell r="E2607" t="str">
            <v>At192</v>
          </cell>
        </row>
        <row r="2608">
          <cell r="A2608">
            <v>85193</v>
          </cell>
          <cell r="B2608">
            <v>108</v>
          </cell>
          <cell r="C2608">
            <v>85</v>
          </cell>
          <cell r="D2608">
            <v>2.8000000000000001E-2</v>
          </cell>
          <cell r="E2608" t="str">
            <v>At193</v>
          </cell>
        </row>
        <row r="2609">
          <cell r="A2609">
            <v>85194</v>
          </cell>
          <cell r="B2609">
            <v>109</v>
          </cell>
          <cell r="C2609">
            <v>85</v>
          </cell>
          <cell r="D2609">
            <v>0.31</v>
          </cell>
          <cell r="E2609" t="str">
            <v>At194</v>
          </cell>
        </row>
        <row r="2610">
          <cell r="A2610">
            <v>85195</v>
          </cell>
          <cell r="B2610">
            <v>110</v>
          </cell>
          <cell r="C2610">
            <v>85</v>
          </cell>
          <cell r="D2610">
            <v>0.28999999999999998</v>
          </cell>
          <cell r="E2610" t="str">
            <v>At195</v>
          </cell>
        </row>
        <row r="2611">
          <cell r="A2611">
            <v>85196</v>
          </cell>
          <cell r="B2611">
            <v>111</v>
          </cell>
          <cell r="C2611">
            <v>85</v>
          </cell>
          <cell r="D2611">
            <v>0.38800000000000001</v>
          </cell>
          <cell r="E2611" t="str">
            <v>At196</v>
          </cell>
        </row>
        <row r="2612">
          <cell r="A2612">
            <v>85197</v>
          </cell>
          <cell r="B2612">
            <v>112</v>
          </cell>
          <cell r="C2612">
            <v>85</v>
          </cell>
          <cell r="D2612">
            <v>0.38800000000000001</v>
          </cell>
          <cell r="E2612" t="str">
            <v>At197</v>
          </cell>
        </row>
        <row r="2613">
          <cell r="A2613">
            <v>85198</v>
          </cell>
          <cell r="B2613">
            <v>113</v>
          </cell>
          <cell r="C2613">
            <v>85</v>
          </cell>
          <cell r="D2613">
            <v>4.2</v>
          </cell>
          <cell r="E2613" t="str">
            <v>At198</v>
          </cell>
        </row>
        <row r="2614">
          <cell r="A2614">
            <v>85199</v>
          </cell>
          <cell r="B2614">
            <v>114</v>
          </cell>
          <cell r="C2614">
            <v>85</v>
          </cell>
          <cell r="D2614">
            <v>6.92</v>
          </cell>
          <cell r="E2614" t="str">
            <v>At199</v>
          </cell>
        </row>
        <row r="2615">
          <cell r="A2615">
            <v>85200</v>
          </cell>
          <cell r="B2615">
            <v>115</v>
          </cell>
          <cell r="C2615">
            <v>85</v>
          </cell>
          <cell r="D2615">
            <v>43</v>
          </cell>
          <cell r="E2615" t="str">
            <v>At200</v>
          </cell>
        </row>
        <row r="2616">
          <cell r="A2616">
            <v>85201</v>
          </cell>
          <cell r="B2616">
            <v>116</v>
          </cell>
          <cell r="C2616">
            <v>85</v>
          </cell>
          <cell r="D2616">
            <v>85.2</v>
          </cell>
          <cell r="E2616" t="str">
            <v>At201</v>
          </cell>
        </row>
        <row r="2617">
          <cell r="A2617">
            <v>85202</v>
          </cell>
          <cell r="B2617">
            <v>117</v>
          </cell>
          <cell r="C2617">
            <v>85</v>
          </cell>
          <cell r="D2617">
            <v>184</v>
          </cell>
          <cell r="E2617" t="str">
            <v>At202</v>
          </cell>
        </row>
        <row r="2618">
          <cell r="A2618">
            <v>85203</v>
          </cell>
          <cell r="B2618">
            <v>118</v>
          </cell>
          <cell r="C2618">
            <v>85</v>
          </cell>
          <cell r="D2618">
            <v>444</v>
          </cell>
          <cell r="E2618" t="str">
            <v>At203</v>
          </cell>
        </row>
        <row r="2619">
          <cell r="A2619">
            <v>85204</v>
          </cell>
          <cell r="B2619">
            <v>119</v>
          </cell>
          <cell r="C2619">
            <v>85</v>
          </cell>
          <cell r="D2619">
            <v>547.19999999999902</v>
          </cell>
          <cell r="E2619" t="str">
            <v>At204</v>
          </cell>
        </row>
        <row r="2620">
          <cell r="A2620">
            <v>85205</v>
          </cell>
          <cell r="B2620">
            <v>120</v>
          </cell>
          <cell r="C2620">
            <v>85</v>
          </cell>
          <cell r="D2620">
            <v>1614</v>
          </cell>
          <cell r="E2620" t="str">
            <v>At205</v>
          </cell>
        </row>
        <row r="2621">
          <cell r="A2621">
            <v>85206</v>
          </cell>
          <cell r="B2621">
            <v>121</v>
          </cell>
          <cell r="C2621">
            <v>85</v>
          </cell>
          <cell r="D2621">
            <v>1836</v>
          </cell>
          <cell r="E2621" t="str">
            <v>At206</v>
          </cell>
        </row>
        <row r="2622">
          <cell r="A2622">
            <v>85207</v>
          </cell>
          <cell r="B2622">
            <v>122</v>
          </cell>
          <cell r="C2622">
            <v>85</v>
          </cell>
          <cell r="D2622">
            <v>6516</v>
          </cell>
          <cell r="E2622" t="str">
            <v>At207</v>
          </cell>
        </row>
        <row r="2623">
          <cell r="A2623">
            <v>85208</v>
          </cell>
          <cell r="B2623">
            <v>123</v>
          </cell>
          <cell r="C2623">
            <v>85</v>
          </cell>
          <cell r="D2623">
            <v>5868</v>
          </cell>
          <cell r="E2623" t="str">
            <v>At208</v>
          </cell>
        </row>
        <row r="2624">
          <cell r="A2624">
            <v>85209</v>
          </cell>
          <cell r="B2624">
            <v>124</v>
          </cell>
          <cell r="C2624">
            <v>85</v>
          </cell>
          <cell r="D2624">
            <v>19512</v>
          </cell>
          <cell r="E2624" t="str">
            <v>At209</v>
          </cell>
        </row>
        <row r="2625">
          <cell r="A2625">
            <v>85210</v>
          </cell>
          <cell r="B2625">
            <v>125</v>
          </cell>
          <cell r="C2625">
            <v>85</v>
          </cell>
          <cell r="D2625">
            <v>29160</v>
          </cell>
          <cell r="E2625" t="str">
            <v>At210</v>
          </cell>
        </row>
        <row r="2626">
          <cell r="A2626">
            <v>85211</v>
          </cell>
          <cell r="B2626">
            <v>126</v>
          </cell>
          <cell r="C2626">
            <v>85</v>
          </cell>
          <cell r="D2626">
            <v>25970.400000000001</v>
          </cell>
          <cell r="E2626" t="str">
            <v>At211</v>
          </cell>
        </row>
        <row r="2627">
          <cell r="A2627">
            <v>85212</v>
          </cell>
          <cell r="B2627">
            <v>127</v>
          </cell>
          <cell r="C2627">
            <v>85</v>
          </cell>
          <cell r="D2627">
            <v>0.314</v>
          </cell>
          <cell r="E2627" t="str">
            <v>At212</v>
          </cell>
        </row>
        <row r="2628">
          <cell r="A2628">
            <v>85213</v>
          </cell>
          <cell r="B2628">
            <v>128</v>
          </cell>
          <cell r="C2628">
            <v>85</v>
          </cell>
          <cell r="D2628">
            <v>1.2499999999999999E-7</v>
          </cell>
          <cell r="E2628" t="str">
            <v>At213</v>
          </cell>
        </row>
        <row r="2629">
          <cell r="A2629">
            <v>85214</v>
          </cell>
          <cell r="B2629">
            <v>129</v>
          </cell>
          <cell r="C2629">
            <v>85</v>
          </cell>
          <cell r="D2629">
            <v>5.5799999999999999E-7</v>
          </cell>
          <cell r="E2629" t="str">
            <v>At214</v>
          </cell>
        </row>
        <row r="2630">
          <cell r="A2630">
            <v>85215</v>
          </cell>
          <cell r="B2630">
            <v>130</v>
          </cell>
          <cell r="C2630">
            <v>85</v>
          </cell>
          <cell r="D2630">
            <v>1E-4</v>
          </cell>
          <cell r="E2630" t="str">
            <v>At215</v>
          </cell>
        </row>
        <row r="2631">
          <cell r="A2631">
            <v>85216</v>
          </cell>
          <cell r="B2631">
            <v>131</v>
          </cell>
          <cell r="C2631">
            <v>85</v>
          </cell>
          <cell r="D2631">
            <v>2.9999999999999997E-4</v>
          </cell>
          <cell r="E2631" t="str">
            <v>At216</v>
          </cell>
        </row>
        <row r="2632">
          <cell r="A2632">
            <v>85217</v>
          </cell>
          <cell r="B2632">
            <v>132</v>
          </cell>
          <cell r="C2632">
            <v>85</v>
          </cell>
          <cell r="D2632">
            <v>3.2299999999999898E-2</v>
          </cell>
          <cell r="E2632" t="str">
            <v>At217</v>
          </cell>
        </row>
        <row r="2633">
          <cell r="A2633">
            <v>85218</v>
          </cell>
          <cell r="B2633">
            <v>133</v>
          </cell>
          <cell r="C2633">
            <v>85</v>
          </cell>
          <cell r="D2633">
            <v>1.5</v>
          </cell>
          <cell r="E2633" t="str">
            <v>At218</v>
          </cell>
        </row>
        <row r="2634">
          <cell r="A2634">
            <v>85219</v>
          </cell>
          <cell r="B2634">
            <v>134</v>
          </cell>
          <cell r="C2634">
            <v>85</v>
          </cell>
          <cell r="D2634">
            <v>56</v>
          </cell>
          <cell r="E2634" t="str">
            <v>At219</v>
          </cell>
        </row>
        <row r="2635">
          <cell r="A2635">
            <v>85220</v>
          </cell>
          <cell r="B2635">
            <v>135</v>
          </cell>
          <cell r="C2635">
            <v>85</v>
          </cell>
          <cell r="D2635">
            <v>222.6</v>
          </cell>
          <cell r="E2635" t="str">
            <v>At220</v>
          </cell>
        </row>
        <row r="2636">
          <cell r="A2636">
            <v>85221</v>
          </cell>
          <cell r="B2636">
            <v>136</v>
          </cell>
          <cell r="C2636">
            <v>85</v>
          </cell>
          <cell r="D2636">
            <v>138</v>
          </cell>
          <cell r="E2636" t="str">
            <v>At221</v>
          </cell>
        </row>
        <row r="2637">
          <cell r="A2637">
            <v>85222</v>
          </cell>
          <cell r="B2637">
            <v>137</v>
          </cell>
          <cell r="C2637">
            <v>85</v>
          </cell>
          <cell r="D2637">
            <v>54</v>
          </cell>
          <cell r="E2637" t="str">
            <v>At222</v>
          </cell>
        </row>
        <row r="2638">
          <cell r="A2638">
            <v>85223</v>
          </cell>
          <cell r="B2638">
            <v>138</v>
          </cell>
          <cell r="C2638">
            <v>85</v>
          </cell>
          <cell r="D2638">
            <v>50</v>
          </cell>
          <cell r="E2638" t="str">
            <v>At223</v>
          </cell>
        </row>
        <row r="2639">
          <cell r="A2639">
            <v>85224</v>
          </cell>
          <cell r="B2639">
            <v>139</v>
          </cell>
          <cell r="C2639">
            <v>85</v>
          </cell>
          <cell r="D2639">
            <v>78</v>
          </cell>
          <cell r="E2639" t="str">
            <v>At224</v>
          </cell>
        </row>
        <row r="2640">
          <cell r="A2640">
            <v>85225</v>
          </cell>
          <cell r="B2640">
            <v>140</v>
          </cell>
          <cell r="C2640">
            <v>85</v>
          </cell>
          <cell r="D2640">
            <v>2.9999999999999999E-7</v>
          </cell>
          <cell r="E2640" t="str">
            <v>At225</v>
          </cell>
        </row>
        <row r="2641">
          <cell r="A2641">
            <v>85226</v>
          </cell>
          <cell r="B2641">
            <v>141</v>
          </cell>
          <cell r="C2641">
            <v>85</v>
          </cell>
          <cell r="D2641">
            <v>2.9999999999999999E-7</v>
          </cell>
          <cell r="E2641" t="str">
            <v>At226</v>
          </cell>
        </row>
        <row r="2642">
          <cell r="A2642">
            <v>85227</v>
          </cell>
          <cell r="B2642">
            <v>142</v>
          </cell>
          <cell r="C2642">
            <v>85</v>
          </cell>
          <cell r="D2642">
            <v>2.9999999999999999E-7</v>
          </cell>
          <cell r="E2642" t="str">
            <v>At227</v>
          </cell>
        </row>
        <row r="2643">
          <cell r="A2643">
            <v>85228</v>
          </cell>
          <cell r="B2643">
            <v>143</v>
          </cell>
          <cell r="C2643">
            <v>85</v>
          </cell>
          <cell r="D2643">
            <v>2.9999999999999999E-7</v>
          </cell>
          <cell r="E2643" t="str">
            <v>At228</v>
          </cell>
        </row>
        <row r="2644">
          <cell r="A2644">
            <v>85229</v>
          </cell>
          <cell r="B2644">
            <v>144</v>
          </cell>
          <cell r="C2644">
            <v>85</v>
          </cell>
          <cell r="D2644">
            <v>2.9999999999999999E-7</v>
          </cell>
          <cell r="E2644" t="str">
            <v>At229</v>
          </cell>
        </row>
        <row r="2645">
          <cell r="A2645">
            <v>86193</v>
          </cell>
          <cell r="B2645">
            <v>107</v>
          </cell>
          <cell r="C2645">
            <v>86</v>
          </cell>
          <cell r="D2645">
            <v>1.15E-3</v>
          </cell>
          <cell r="E2645" t="str">
            <v>Rn193</v>
          </cell>
        </row>
        <row r="2646">
          <cell r="A2646">
            <v>86194</v>
          </cell>
          <cell r="B2646">
            <v>108</v>
          </cell>
          <cell r="C2646">
            <v>86</v>
          </cell>
          <cell r="D2646">
            <v>7.7999999999999999E-4</v>
          </cell>
          <cell r="E2646" t="str">
            <v>Rn194</v>
          </cell>
        </row>
        <row r="2647">
          <cell r="A2647">
            <v>86195</v>
          </cell>
          <cell r="B2647">
            <v>109</v>
          </cell>
          <cell r="C2647">
            <v>86</v>
          </cell>
          <cell r="D2647">
            <v>6.0000000000000001E-3</v>
          </cell>
          <cell r="E2647" t="str">
            <v>Rn195</v>
          </cell>
        </row>
        <row r="2648">
          <cell r="A2648">
            <v>86196</v>
          </cell>
          <cell r="B2648">
            <v>110</v>
          </cell>
          <cell r="C2648">
            <v>86</v>
          </cell>
          <cell r="D2648">
            <v>4.4000000000000003E-3</v>
          </cell>
          <cell r="E2648" t="str">
            <v>Rn196</v>
          </cell>
        </row>
        <row r="2649">
          <cell r="A2649">
            <v>86197</v>
          </cell>
          <cell r="B2649">
            <v>111</v>
          </cell>
          <cell r="C2649">
            <v>86</v>
          </cell>
          <cell r="D2649">
            <v>5.3999999999999999E-2</v>
          </cell>
          <cell r="E2649" t="str">
            <v>Rn197</v>
          </cell>
        </row>
        <row r="2650">
          <cell r="A2650">
            <v>86198</v>
          </cell>
          <cell r="B2650">
            <v>112</v>
          </cell>
          <cell r="C2650">
            <v>86</v>
          </cell>
          <cell r="D2650">
            <v>6.5000000000000002E-2</v>
          </cell>
          <cell r="E2650" t="str">
            <v>Rn198</v>
          </cell>
        </row>
        <row r="2651">
          <cell r="A2651">
            <v>86199</v>
          </cell>
          <cell r="B2651">
            <v>113</v>
          </cell>
          <cell r="C2651">
            <v>86</v>
          </cell>
          <cell r="D2651">
            <v>0.59</v>
          </cell>
          <cell r="E2651" t="str">
            <v>Rn199</v>
          </cell>
        </row>
        <row r="2652">
          <cell r="A2652">
            <v>86200</v>
          </cell>
          <cell r="B2652">
            <v>114</v>
          </cell>
          <cell r="C2652">
            <v>86</v>
          </cell>
          <cell r="D2652">
            <v>1.03</v>
          </cell>
          <cell r="E2652" t="str">
            <v>Rn200</v>
          </cell>
        </row>
        <row r="2653">
          <cell r="A2653">
            <v>86201</v>
          </cell>
          <cell r="B2653">
            <v>115</v>
          </cell>
          <cell r="C2653">
            <v>86</v>
          </cell>
          <cell r="D2653">
            <v>7</v>
          </cell>
          <cell r="E2653" t="str">
            <v>Rn201</v>
          </cell>
        </row>
        <row r="2654">
          <cell r="A2654">
            <v>86202</v>
          </cell>
          <cell r="B2654">
            <v>116</v>
          </cell>
          <cell r="C2654">
            <v>86</v>
          </cell>
          <cell r="D2654">
            <v>9.6999999999999993</v>
          </cell>
          <cell r="E2654" t="str">
            <v>Rn202</v>
          </cell>
        </row>
        <row r="2655">
          <cell r="A2655">
            <v>86203</v>
          </cell>
          <cell r="B2655">
            <v>117</v>
          </cell>
          <cell r="C2655">
            <v>86</v>
          </cell>
          <cell r="D2655">
            <v>44</v>
          </cell>
          <cell r="E2655" t="str">
            <v>Rn203</v>
          </cell>
        </row>
        <row r="2656">
          <cell r="A2656">
            <v>86204</v>
          </cell>
          <cell r="B2656">
            <v>118</v>
          </cell>
          <cell r="C2656">
            <v>86</v>
          </cell>
          <cell r="D2656">
            <v>74.5</v>
          </cell>
          <cell r="E2656" t="str">
            <v>Rn204</v>
          </cell>
        </row>
        <row r="2657">
          <cell r="A2657">
            <v>86205</v>
          </cell>
          <cell r="B2657">
            <v>119</v>
          </cell>
          <cell r="C2657">
            <v>86</v>
          </cell>
          <cell r="D2657">
            <v>170</v>
          </cell>
          <cell r="E2657" t="str">
            <v>Rn205</v>
          </cell>
        </row>
        <row r="2658">
          <cell r="A2658">
            <v>86206</v>
          </cell>
          <cell r="B2658">
            <v>120</v>
          </cell>
          <cell r="C2658">
            <v>86</v>
          </cell>
          <cell r="D2658">
            <v>340.2</v>
          </cell>
          <cell r="E2658" t="str">
            <v>Rn206</v>
          </cell>
        </row>
        <row r="2659">
          <cell r="A2659">
            <v>86207</v>
          </cell>
          <cell r="B2659">
            <v>121</v>
          </cell>
          <cell r="C2659">
            <v>86</v>
          </cell>
          <cell r="D2659">
            <v>555</v>
          </cell>
          <cell r="E2659" t="str">
            <v>Rn207</v>
          </cell>
        </row>
        <row r="2660">
          <cell r="A2660">
            <v>86208</v>
          </cell>
          <cell r="B2660">
            <v>122</v>
          </cell>
          <cell r="C2660">
            <v>86</v>
          </cell>
          <cell r="D2660">
            <v>1461</v>
          </cell>
          <cell r="E2660" t="str">
            <v>Rn208</v>
          </cell>
        </row>
        <row r="2661">
          <cell r="A2661">
            <v>86209</v>
          </cell>
          <cell r="B2661">
            <v>123</v>
          </cell>
          <cell r="C2661">
            <v>86</v>
          </cell>
          <cell r="D2661">
            <v>1728</v>
          </cell>
          <cell r="E2661" t="str">
            <v>Rn209</v>
          </cell>
        </row>
        <row r="2662">
          <cell r="A2662">
            <v>86210</v>
          </cell>
          <cell r="B2662">
            <v>124</v>
          </cell>
          <cell r="C2662">
            <v>86</v>
          </cell>
          <cell r="D2662">
            <v>8640</v>
          </cell>
          <cell r="E2662" t="str">
            <v>Rn210</v>
          </cell>
        </row>
        <row r="2663">
          <cell r="A2663">
            <v>86211</v>
          </cell>
          <cell r="B2663">
            <v>125</v>
          </cell>
          <cell r="C2663">
            <v>86</v>
          </cell>
          <cell r="D2663">
            <v>52560</v>
          </cell>
          <cell r="E2663" t="str">
            <v>Rn211</v>
          </cell>
        </row>
        <row r="2664">
          <cell r="A2664">
            <v>86212</v>
          </cell>
          <cell r="B2664">
            <v>126</v>
          </cell>
          <cell r="C2664">
            <v>86</v>
          </cell>
          <cell r="D2664">
            <v>1434</v>
          </cell>
          <cell r="E2664" t="str">
            <v>Rn212</v>
          </cell>
        </row>
        <row r="2665">
          <cell r="A2665">
            <v>86213</v>
          </cell>
          <cell r="B2665">
            <v>127</v>
          </cell>
          <cell r="C2665">
            <v>86</v>
          </cell>
          <cell r="D2665">
            <v>1.95E-2</v>
          </cell>
          <cell r="E2665" t="str">
            <v>Rn213</v>
          </cell>
        </row>
        <row r="2666">
          <cell r="A2666">
            <v>86214</v>
          </cell>
          <cell r="B2666">
            <v>128</v>
          </cell>
          <cell r="C2666">
            <v>86</v>
          </cell>
          <cell r="D2666">
            <v>2.7000000000000001E-7</v>
          </cell>
          <cell r="E2666" t="str">
            <v>Rn214</v>
          </cell>
        </row>
        <row r="2667">
          <cell r="A2667">
            <v>86215</v>
          </cell>
          <cell r="B2667">
            <v>129</v>
          </cell>
          <cell r="C2667">
            <v>86</v>
          </cell>
          <cell r="D2667">
            <v>2.2999999999999898E-6</v>
          </cell>
          <cell r="E2667" t="str">
            <v>Rn215</v>
          </cell>
        </row>
        <row r="2668">
          <cell r="A2668">
            <v>86216</v>
          </cell>
          <cell r="B2668">
            <v>130</v>
          </cell>
          <cell r="C2668">
            <v>86</v>
          </cell>
          <cell r="D2668">
            <v>4.4999999999999901E-5</v>
          </cell>
          <cell r="E2668" t="str">
            <v>Rn216</v>
          </cell>
        </row>
        <row r="2669">
          <cell r="A2669">
            <v>86217</v>
          </cell>
          <cell r="B2669">
            <v>131</v>
          </cell>
          <cell r="C2669">
            <v>86</v>
          </cell>
          <cell r="D2669">
            <v>5.4000000000000001E-4</v>
          </cell>
          <cell r="E2669" t="str">
            <v>Rn217</v>
          </cell>
        </row>
        <row r="2670">
          <cell r="A2670">
            <v>86218</v>
          </cell>
          <cell r="B2670">
            <v>132</v>
          </cell>
          <cell r="C2670">
            <v>86</v>
          </cell>
          <cell r="D2670">
            <v>3.5000000000000003E-2</v>
          </cell>
          <cell r="E2670" t="str">
            <v>Rn218</v>
          </cell>
        </row>
        <row r="2671">
          <cell r="A2671">
            <v>86219</v>
          </cell>
          <cell r="B2671">
            <v>133</v>
          </cell>
          <cell r="C2671">
            <v>86</v>
          </cell>
          <cell r="D2671">
            <v>3.96</v>
          </cell>
          <cell r="E2671" t="str">
            <v>Rn219</v>
          </cell>
        </row>
        <row r="2672">
          <cell r="A2672">
            <v>86220</v>
          </cell>
          <cell r="B2672">
            <v>134</v>
          </cell>
          <cell r="C2672">
            <v>86</v>
          </cell>
          <cell r="D2672">
            <v>55.6</v>
          </cell>
          <cell r="E2672" t="str">
            <v>Rn220</v>
          </cell>
        </row>
        <row r="2673">
          <cell r="A2673">
            <v>86221</v>
          </cell>
          <cell r="B2673">
            <v>135</v>
          </cell>
          <cell r="C2673">
            <v>86</v>
          </cell>
          <cell r="D2673">
            <v>1500</v>
          </cell>
          <cell r="E2673" t="str">
            <v>Rn221</v>
          </cell>
        </row>
        <row r="2674">
          <cell r="A2674">
            <v>86222</v>
          </cell>
          <cell r="B2674">
            <v>136</v>
          </cell>
          <cell r="C2674">
            <v>86</v>
          </cell>
          <cell r="D2674">
            <v>330350.40000000002</v>
          </cell>
          <cell r="E2674" t="str">
            <v>Rn222</v>
          </cell>
        </row>
        <row r="2675">
          <cell r="A2675">
            <v>86223</v>
          </cell>
          <cell r="B2675">
            <v>137</v>
          </cell>
          <cell r="C2675">
            <v>86</v>
          </cell>
          <cell r="D2675">
            <v>1458</v>
          </cell>
          <cell r="E2675" t="str">
            <v>Rn223</v>
          </cell>
        </row>
        <row r="2676">
          <cell r="A2676">
            <v>86224</v>
          </cell>
          <cell r="B2676">
            <v>138</v>
          </cell>
          <cell r="C2676">
            <v>86</v>
          </cell>
          <cell r="D2676">
            <v>6420</v>
          </cell>
          <cell r="E2676" t="str">
            <v>Rn224</v>
          </cell>
        </row>
        <row r="2677">
          <cell r="A2677">
            <v>86225</v>
          </cell>
          <cell r="B2677">
            <v>139</v>
          </cell>
          <cell r="C2677">
            <v>86</v>
          </cell>
          <cell r="D2677">
            <v>279.60000000000002</v>
          </cell>
          <cell r="E2677" t="str">
            <v>Rn225</v>
          </cell>
        </row>
        <row r="2678">
          <cell r="A2678">
            <v>86226</v>
          </cell>
          <cell r="B2678">
            <v>140</v>
          </cell>
          <cell r="C2678">
            <v>86</v>
          </cell>
          <cell r="D2678">
            <v>444</v>
          </cell>
          <cell r="E2678" t="str">
            <v>Rn226</v>
          </cell>
        </row>
        <row r="2679">
          <cell r="A2679">
            <v>86227</v>
          </cell>
          <cell r="B2679">
            <v>141</v>
          </cell>
          <cell r="C2679">
            <v>86</v>
          </cell>
          <cell r="D2679">
            <v>20.2</v>
          </cell>
          <cell r="E2679" t="str">
            <v>Rn227</v>
          </cell>
        </row>
        <row r="2680">
          <cell r="A2680">
            <v>86228</v>
          </cell>
          <cell r="B2680">
            <v>142</v>
          </cell>
          <cell r="C2680">
            <v>86</v>
          </cell>
          <cell r="D2680">
            <v>65</v>
          </cell>
          <cell r="E2680" t="str">
            <v>Rn228</v>
          </cell>
        </row>
        <row r="2681">
          <cell r="A2681">
            <v>86229</v>
          </cell>
          <cell r="B2681">
            <v>143</v>
          </cell>
          <cell r="C2681">
            <v>86</v>
          </cell>
          <cell r="D2681">
            <v>12</v>
          </cell>
          <cell r="E2681" t="str">
            <v>Rn229</v>
          </cell>
        </row>
        <row r="2682">
          <cell r="A2682">
            <v>86230</v>
          </cell>
          <cell r="B2682">
            <v>144</v>
          </cell>
          <cell r="C2682">
            <v>86</v>
          </cell>
          <cell r="D2682">
            <v>2.9999999999999999E-7</v>
          </cell>
          <cell r="E2682" t="str">
            <v>Rn230</v>
          </cell>
        </row>
        <row r="2683">
          <cell r="A2683">
            <v>86231</v>
          </cell>
          <cell r="B2683">
            <v>145</v>
          </cell>
          <cell r="C2683">
            <v>86</v>
          </cell>
          <cell r="D2683">
            <v>2.9999999999999999E-7</v>
          </cell>
          <cell r="E2683" t="str">
            <v>Rn231</v>
          </cell>
        </row>
        <row r="2684">
          <cell r="A2684">
            <v>87197</v>
          </cell>
          <cell r="B2684">
            <v>110</v>
          </cell>
          <cell r="C2684">
            <v>87</v>
          </cell>
          <cell r="D2684">
            <v>5.9999999999999995E-4</v>
          </cell>
          <cell r="E2684" t="str">
            <v>Fr197</v>
          </cell>
        </row>
        <row r="2685">
          <cell r="A2685">
            <v>87198</v>
          </cell>
          <cell r="B2685">
            <v>111</v>
          </cell>
          <cell r="C2685">
            <v>87</v>
          </cell>
          <cell r="D2685">
            <v>1.4999999999999999E-2</v>
          </cell>
          <cell r="E2685" t="str">
            <v>Fr198</v>
          </cell>
        </row>
        <row r="2686">
          <cell r="A2686">
            <v>87199</v>
          </cell>
          <cell r="B2686">
            <v>112</v>
          </cell>
          <cell r="C2686">
            <v>87</v>
          </cell>
          <cell r="D2686">
            <v>4.4999999999999997E-3</v>
          </cell>
          <cell r="E2686" t="str">
            <v>Fr199</v>
          </cell>
        </row>
        <row r="2687">
          <cell r="A2687">
            <v>87200</v>
          </cell>
          <cell r="B2687">
            <v>113</v>
          </cell>
          <cell r="C2687">
            <v>87</v>
          </cell>
          <cell r="D2687">
            <v>4.9000000000000002E-2</v>
          </cell>
          <cell r="E2687" t="str">
            <v>Fr200</v>
          </cell>
        </row>
        <row r="2688">
          <cell r="A2688">
            <v>87201</v>
          </cell>
          <cell r="B2688">
            <v>114</v>
          </cell>
          <cell r="C2688">
            <v>87</v>
          </cell>
          <cell r="D2688">
            <v>6.2E-2</v>
          </cell>
          <cell r="E2688" t="str">
            <v>Fr201</v>
          </cell>
        </row>
        <row r="2689">
          <cell r="A2689">
            <v>87202</v>
          </cell>
          <cell r="B2689">
            <v>115</v>
          </cell>
          <cell r="C2689">
            <v>87</v>
          </cell>
          <cell r="D2689">
            <v>0.372</v>
          </cell>
          <cell r="E2689" t="str">
            <v>Fr202</v>
          </cell>
        </row>
        <row r="2690">
          <cell r="A2690">
            <v>87203</v>
          </cell>
          <cell r="B2690">
            <v>116</v>
          </cell>
          <cell r="C2690">
            <v>87</v>
          </cell>
          <cell r="D2690">
            <v>0.55000000000000004</v>
          </cell>
          <cell r="E2690" t="str">
            <v>Fr203</v>
          </cell>
        </row>
        <row r="2691">
          <cell r="A2691">
            <v>87204</v>
          </cell>
          <cell r="B2691">
            <v>117</v>
          </cell>
          <cell r="C2691">
            <v>87</v>
          </cell>
          <cell r="D2691">
            <v>1.8</v>
          </cell>
          <cell r="E2691" t="str">
            <v>Fr204</v>
          </cell>
        </row>
        <row r="2692">
          <cell r="A2692">
            <v>87205</v>
          </cell>
          <cell r="B2692">
            <v>118</v>
          </cell>
          <cell r="C2692">
            <v>87</v>
          </cell>
          <cell r="D2692">
            <v>3.97</v>
          </cell>
          <cell r="E2692" t="str">
            <v>Fr205</v>
          </cell>
        </row>
        <row r="2693">
          <cell r="A2693">
            <v>87206</v>
          </cell>
          <cell r="B2693">
            <v>119</v>
          </cell>
          <cell r="C2693">
            <v>87</v>
          </cell>
          <cell r="D2693">
            <v>16</v>
          </cell>
          <cell r="E2693" t="str">
            <v>Fr206</v>
          </cell>
        </row>
        <row r="2694">
          <cell r="A2694">
            <v>87207</v>
          </cell>
          <cell r="B2694">
            <v>120</v>
          </cell>
          <cell r="C2694">
            <v>87</v>
          </cell>
          <cell r="D2694">
            <v>14.8</v>
          </cell>
          <cell r="E2694" t="str">
            <v>Fr207</v>
          </cell>
        </row>
        <row r="2695">
          <cell r="A2695">
            <v>87208</v>
          </cell>
          <cell r="B2695">
            <v>121</v>
          </cell>
          <cell r="C2695">
            <v>87</v>
          </cell>
          <cell r="D2695">
            <v>59.1</v>
          </cell>
          <cell r="E2695" t="str">
            <v>Fr208</v>
          </cell>
        </row>
        <row r="2696">
          <cell r="A2696">
            <v>87209</v>
          </cell>
          <cell r="B2696">
            <v>122</v>
          </cell>
          <cell r="C2696">
            <v>87</v>
          </cell>
          <cell r="D2696">
            <v>50.5</v>
          </cell>
          <cell r="E2696" t="str">
            <v>Fr209</v>
          </cell>
        </row>
        <row r="2697">
          <cell r="A2697">
            <v>87210</v>
          </cell>
          <cell r="B2697">
            <v>123</v>
          </cell>
          <cell r="C2697">
            <v>87</v>
          </cell>
          <cell r="D2697">
            <v>190.8</v>
          </cell>
          <cell r="E2697" t="str">
            <v>Fr210</v>
          </cell>
        </row>
        <row r="2698">
          <cell r="A2698">
            <v>87211</v>
          </cell>
          <cell r="B2698">
            <v>124</v>
          </cell>
          <cell r="C2698">
            <v>87</v>
          </cell>
          <cell r="D2698">
            <v>186</v>
          </cell>
          <cell r="E2698" t="str">
            <v>Fr211</v>
          </cell>
        </row>
        <row r="2699">
          <cell r="A2699">
            <v>87212</v>
          </cell>
          <cell r="B2699">
            <v>125</v>
          </cell>
          <cell r="C2699">
            <v>87</v>
          </cell>
          <cell r="D2699">
            <v>1200</v>
          </cell>
          <cell r="E2699" t="str">
            <v>Fr212</v>
          </cell>
        </row>
        <row r="2700">
          <cell r="A2700">
            <v>87213</v>
          </cell>
          <cell r="B2700">
            <v>126</v>
          </cell>
          <cell r="C2700">
            <v>87</v>
          </cell>
          <cell r="D2700">
            <v>34.82</v>
          </cell>
          <cell r="E2700" t="str">
            <v>Fr213</v>
          </cell>
        </row>
        <row r="2701">
          <cell r="A2701">
            <v>87214</v>
          </cell>
          <cell r="B2701">
            <v>127</v>
          </cell>
          <cell r="C2701">
            <v>87</v>
          </cell>
          <cell r="D2701">
            <v>5.0000000000000001E-3</v>
          </cell>
          <cell r="E2701" t="str">
            <v>Fr214</v>
          </cell>
        </row>
        <row r="2702">
          <cell r="A2702">
            <v>87215</v>
          </cell>
          <cell r="B2702">
            <v>128</v>
          </cell>
          <cell r="C2702">
            <v>87</v>
          </cell>
          <cell r="D2702">
            <v>8.6000000000000002E-8</v>
          </cell>
          <cell r="E2702" t="str">
            <v>Fr215</v>
          </cell>
        </row>
        <row r="2703">
          <cell r="A2703">
            <v>87216</v>
          </cell>
          <cell r="B2703">
            <v>129</v>
          </cell>
          <cell r="C2703">
            <v>87</v>
          </cell>
          <cell r="D2703">
            <v>6.9999999999999997E-7</v>
          </cell>
          <cell r="E2703" t="str">
            <v>Fr216</v>
          </cell>
        </row>
        <row r="2704">
          <cell r="A2704">
            <v>87217</v>
          </cell>
          <cell r="B2704">
            <v>130</v>
          </cell>
          <cell r="C2704">
            <v>87</v>
          </cell>
          <cell r="D2704">
            <v>1.8999999999999899E-5</v>
          </cell>
          <cell r="E2704" t="str">
            <v>Fr217</v>
          </cell>
        </row>
        <row r="2705">
          <cell r="A2705">
            <v>87218</v>
          </cell>
          <cell r="B2705">
            <v>131</v>
          </cell>
          <cell r="C2705">
            <v>87</v>
          </cell>
          <cell r="D2705">
            <v>1E-3</v>
          </cell>
          <cell r="E2705" t="str">
            <v>Fr218</v>
          </cell>
        </row>
        <row r="2706">
          <cell r="A2706">
            <v>87219</v>
          </cell>
          <cell r="B2706">
            <v>132</v>
          </cell>
          <cell r="C2706">
            <v>87</v>
          </cell>
          <cell r="D2706">
            <v>0.02</v>
          </cell>
          <cell r="E2706" t="str">
            <v>Fr219</v>
          </cell>
        </row>
        <row r="2707">
          <cell r="A2707">
            <v>87220</v>
          </cell>
          <cell r="B2707">
            <v>133</v>
          </cell>
          <cell r="C2707">
            <v>87</v>
          </cell>
          <cell r="D2707">
            <v>27.4</v>
          </cell>
          <cell r="E2707" t="str">
            <v>Fr220</v>
          </cell>
        </row>
        <row r="2708">
          <cell r="A2708">
            <v>87221</v>
          </cell>
          <cell r="B2708">
            <v>134</v>
          </cell>
          <cell r="C2708">
            <v>87</v>
          </cell>
          <cell r="D2708">
            <v>286.10000000000002</v>
          </cell>
          <cell r="E2708" t="str">
            <v>Fr221</v>
          </cell>
        </row>
        <row r="2709">
          <cell r="A2709">
            <v>87222</v>
          </cell>
          <cell r="B2709">
            <v>135</v>
          </cell>
          <cell r="C2709">
            <v>87</v>
          </cell>
          <cell r="D2709">
            <v>852</v>
          </cell>
          <cell r="E2709" t="str">
            <v>Fr222</v>
          </cell>
        </row>
        <row r="2710">
          <cell r="A2710">
            <v>87223</v>
          </cell>
          <cell r="B2710">
            <v>136</v>
          </cell>
          <cell r="C2710">
            <v>87</v>
          </cell>
          <cell r="D2710">
            <v>1320</v>
          </cell>
          <cell r="E2710" t="str">
            <v>Fr223</v>
          </cell>
        </row>
        <row r="2711">
          <cell r="A2711">
            <v>87224</v>
          </cell>
          <cell r="B2711">
            <v>137</v>
          </cell>
          <cell r="C2711">
            <v>87</v>
          </cell>
          <cell r="D2711">
            <v>199.8</v>
          </cell>
          <cell r="E2711" t="str">
            <v>Fr224</v>
          </cell>
        </row>
        <row r="2712">
          <cell r="A2712">
            <v>87225</v>
          </cell>
          <cell r="B2712">
            <v>138</v>
          </cell>
          <cell r="C2712">
            <v>87</v>
          </cell>
          <cell r="D2712">
            <v>237</v>
          </cell>
          <cell r="E2712" t="str">
            <v>Fr225</v>
          </cell>
        </row>
        <row r="2713">
          <cell r="A2713">
            <v>87226</v>
          </cell>
          <cell r="B2713">
            <v>139</v>
          </cell>
          <cell r="C2713">
            <v>87</v>
          </cell>
          <cell r="D2713">
            <v>49</v>
          </cell>
          <cell r="E2713" t="str">
            <v>Fr226</v>
          </cell>
        </row>
        <row r="2714">
          <cell r="A2714">
            <v>87227</v>
          </cell>
          <cell r="B2714">
            <v>140</v>
          </cell>
          <cell r="C2714">
            <v>87</v>
          </cell>
          <cell r="D2714">
            <v>148.19999999999999</v>
          </cell>
          <cell r="E2714" t="str">
            <v>Fr227</v>
          </cell>
        </row>
        <row r="2715">
          <cell r="A2715">
            <v>87228</v>
          </cell>
          <cell r="B2715">
            <v>141</v>
          </cell>
          <cell r="C2715">
            <v>87</v>
          </cell>
          <cell r="D2715">
            <v>38</v>
          </cell>
          <cell r="E2715" t="str">
            <v>Fr228</v>
          </cell>
        </row>
        <row r="2716">
          <cell r="A2716">
            <v>87229</v>
          </cell>
          <cell r="B2716">
            <v>142</v>
          </cell>
          <cell r="C2716">
            <v>87</v>
          </cell>
          <cell r="D2716">
            <v>50.2</v>
          </cell>
          <cell r="E2716" t="str">
            <v>Fr229</v>
          </cell>
        </row>
        <row r="2717">
          <cell r="A2717">
            <v>87230</v>
          </cell>
          <cell r="B2717">
            <v>143</v>
          </cell>
          <cell r="C2717">
            <v>87</v>
          </cell>
          <cell r="D2717">
            <v>19.100000000000001</v>
          </cell>
          <cell r="E2717" t="str">
            <v>Fr230</v>
          </cell>
        </row>
        <row r="2718">
          <cell r="A2718">
            <v>87231</v>
          </cell>
          <cell r="B2718">
            <v>144</v>
          </cell>
          <cell r="C2718">
            <v>87</v>
          </cell>
          <cell r="D2718">
            <v>17.600000000000001</v>
          </cell>
          <cell r="E2718" t="str">
            <v>Fr231</v>
          </cell>
        </row>
        <row r="2719">
          <cell r="A2719">
            <v>87232</v>
          </cell>
          <cell r="B2719">
            <v>145</v>
          </cell>
          <cell r="C2719">
            <v>87</v>
          </cell>
          <cell r="D2719">
            <v>5.5</v>
          </cell>
          <cell r="E2719" t="str">
            <v>Fr232</v>
          </cell>
        </row>
        <row r="2720">
          <cell r="A2720">
            <v>87233</v>
          </cell>
          <cell r="B2720">
            <v>146</v>
          </cell>
          <cell r="C2720">
            <v>87</v>
          </cell>
          <cell r="D2720">
            <v>0.9</v>
          </cell>
          <cell r="E2720" t="str">
            <v>Fr233</v>
          </cell>
        </row>
        <row r="2721">
          <cell r="A2721">
            <v>88201</v>
          </cell>
          <cell r="B2721">
            <v>113</v>
          </cell>
          <cell r="C2721">
            <v>88</v>
          </cell>
          <cell r="D2721">
            <v>1.6000000000000001E-3</v>
          </cell>
          <cell r="E2721" t="str">
            <v>Ra201</v>
          </cell>
        </row>
        <row r="2722">
          <cell r="A2722">
            <v>88202</v>
          </cell>
          <cell r="B2722">
            <v>114</v>
          </cell>
          <cell r="C2722">
            <v>88</v>
          </cell>
          <cell r="D2722">
            <v>3.8E-3</v>
          </cell>
          <cell r="E2722" t="str">
            <v>Ra202</v>
          </cell>
        </row>
        <row r="2723">
          <cell r="A2723">
            <v>88203</v>
          </cell>
          <cell r="B2723">
            <v>115</v>
          </cell>
          <cell r="C2723">
            <v>88</v>
          </cell>
          <cell r="D2723">
            <v>3.1E-2</v>
          </cell>
          <cell r="E2723" t="str">
            <v>Ra203</v>
          </cell>
        </row>
        <row r="2724">
          <cell r="A2724">
            <v>88204</v>
          </cell>
          <cell r="B2724">
            <v>116</v>
          </cell>
          <cell r="C2724">
            <v>88</v>
          </cell>
          <cell r="D2724">
            <v>5.7000000000000002E-2</v>
          </cell>
          <cell r="E2724" t="str">
            <v>Ra204</v>
          </cell>
        </row>
        <row r="2725">
          <cell r="A2725">
            <v>88205</v>
          </cell>
          <cell r="B2725">
            <v>117</v>
          </cell>
          <cell r="C2725">
            <v>88</v>
          </cell>
          <cell r="D2725">
            <v>0.21</v>
          </cell>
          <cell r="E2725" t="str">
            <v>Ra205</v>
          </cell>
        </row>
        <row r="2726">
          <cell r="A2726">
            <v>88206</v>
          </cell>
          <cell r="B2726">
            <v>118</v>
          </cell>
          <cell r="C2726">
            <v>88</v>
          </cell>
          <cell r="D2726">
            <v>0.24</v>
          </cell>
          <cell r="E2726" t="str">
            <v>Ra206</v>
          </cell>
        </row>
        <row r="2727">
          <cell r="A2727">
            <v>88207</v>
          </cell>
          <cell r="B2727">
            <v>119</v>
          </cell>
          <cell r="C2727">
            <v>88</v>
          </cell>
          <cell r="D2727">
            <v>1.35</v>
          </cell>
          <cell r="E2727" t="str">
            <v>Ra207</v>
          </cell>
        </row>
        <row r="2728">
          <cell r="A2728">
            <v>88208</v>
          </cell>
          <cell r="B2728">
            <v>120</v>
          </cell>
          <cell r="C2728">
            <v>88</v>
          </cell>
          <cell r="D2728">
            <v>1.3</v>
          </cell>
          <cell r="E2728" t="str">
            <v>Ra208</v>
          </cell>
        </row>
        <row r="2729">
          <cell r="A2729">
            <v>88209</v>
          </cell>
          <cell r="B2729">
            <v>121</v>
          </cell>
          <cell r="C2729">
            <v>88</v>
          </cell>
          <cell r="D2729">
            <v>4.5999999999999996</v>
          </cell>
          <cell r="E2729" t="str">
            <v>Ra209</v>
          </cell>
        </row>
        <row r="2730">
          <cell r="A2730">
            <v>88210</v>
          </cell>
          <cell r="B2730">
            <v>122</v>
          </cell>
          <cell r="C2730">
            <v>88</v>
          </cell>
          <cell r="D2730">
            <v>3.7</v>
          </cell>
          <cell r="E2730" t="str">
            <v>Ra210</v>
          </cell>
        </row>
        <row r="2731">
          <cell r="A2731">
            <v>88211</v>
          </cell>
          <cell r="B2731">
            <v>123</v>
          </cell>
          <cell r="C2731">
            <v>88</v>
          </cell>
          <cell r="D2731">
            <v>13</v>
          </cell>
          <cell r="E2731" t="str">
            <v>Ra211</v>
          </cell>
        </row>
        <row r="2732">
          <cell r="A2732">
            <v>88212</v>
          </cell>
          <cell r="B2732">
            <v>124</v>
          </cell>
          <cell r="C2732">
            <v>88</v>
          </cell>
          <cell r="D2732">
            <v>13</v>
          </cell>
          <cell r="E2732" t="str">
            <v>Ra212</v>
          </cell>
        </row>
        <row r="2733">
          <cell r="A2733">
            <v>88213</v>
          </cell>
          <cell r="B2733">
            <v>125</v>
          </cell>
          <cell r="C2733">
            <v>88</v>
          </cell>
          <cell r="D2733">
            <v>163.80000000000001</v>
          </cell>
          <cell r="E2733" t="str">
            <v>Ra213</v>
          </cell>
        </row>
        <row r="2734">
          <cell r="A2734">
            <v>88214</v>
          </cell>
          <cell r="B2734">
            <v>126</v>
          </cell>
          <cell r="C2734">
            <v>88</v>
          </cell>
          <cell r="D2734">
            <v>2.46</v>
          </cell>
          <cell r="E2734" t="str">
            <v>Ra214</v>
          </cell>
        </row>
        <row r="2735">
          <cell r="A2735">
            <v>88215</v>
          </cell>
          <cell r="B2735">
            <v>127</v>
          </cell>
          <cell r="C2735">
            <v>88</v>
          </cell>
          <cell r="D2735">
            <v>1.66E-3</v>
          </cell>
          <cell r="E2735" t="str">
            <v>Ra215</v>
          </cell>
        </row>
        <row r="2736">
          <cell r="A2736">
            <v>88216</v>
          </cell>
          <cell r="B2736">
            <v>128</v>
          </cell>
          <cell r="C2736">
            <v>88</v>
          </cell>
          <cell r="D2736">
            <v>1.8199999999999999E-7</v>
          </cell>
          <cell r="E2736" t="str">
            <v>Ra216</v>
          </cell>
        </row>
        <row r="2737">
          <cell r="A2737">
            <v>88217</v>
          </cell>
          <cell r="B2737">
            <v>129</v>
          </cell>
          <cell r="C2737">
            <v>88</v>
          </cell>
          <cell r="D2737">
            <v>1.5999999999999999E-6</v>
          </cell>
          <cell r="E2737" t="str">
            <v>Ra217</v>
          </cell>
        </row>
        <row r="2738">
          <cell r="A2738">
            <v>88218</v>
          </cell>
          <cell r="B2738">
            <v>130</v>
          </cell>
          <cell r="C2738">
            <v>88</v>
          </cell>
          <cell r="D2738">
            <v>2.5199999999999999E-5</v>
          </cell>
          <cell r="E2738" t="str">
            <v>Ra218</v>
          </cell>
        </row>
        <row r="2739">
          <cell r="A2739">
            <v>88219</v>
          </cell>
          <cell r="B2739">
            <v>131</v>
          </cell>
          <cell r="C2739">
            <v>88</v>
          </cell>
          <cell r="D2739">
            <v>0.01</v>
          </cell>
          <cell r="E2739" t="str">
            <v>Ra219</v>
          </cell>
        </row>
        <row r="2740">
          <cell r="A2740">
            <v>88220</v>
          </cell>
          <cell r="B2740">
            <v>132</v>
          </cell>
          <cell r="C2740">
            <v>88</v>
          </cell>
          <cell r="D2740">
            <v>1.7999999999999999E-2</v>
          </cell>
          <cell r="E2740" t="str">
            <v>Ra220</v>
          </cell>
        </row>
        <row r="2741">
          <cell r="A2741">
            <v>88221</v>
          </cell>
          <cell r="B2741">
            <v>133</v>
          </cell>
          <cell r="C2741">
            <v>88</v>
          </cell>
          <cell r="D2741">
            <v>28</v>
          </cell>
          <cell r="E2741" t="str">
            <v>Ra221</v>
          </cell>
        </row>
        <row r="2742">
          <cell r="A2742">
            <v>88222</v>
          </cell>
          <cell r="B2742">
            <v>134</v>
          </cell>
          <cell r="C2742">
            <v>88</v>
          </cell>
          <cell r="D2742">
            <v>38</v>
          </cell>
          <cell r="E2742" t="str">
            <v>Ra222</v>
          </cell>
        </row>
        <row r="2743">
          <cell r="A2743">
            <v>88223</v>
          </cell>
          <cell r="B2743">
            <v>135</v>
          </cell>
          <cell r="C2743">
            <v>88</v>
          </cell>
          <cell r="D2743">
            <v>987552</v>
          </cell>
          <cell r="E2743" t="str">
            <v>Ra223</v>
          </cell>
        </row>
        <row r="2744">
          <cell r="A2744">
            <v>88224</v>
          </cell>
          <cell r="B2744">
            <v>136</v>
          </cell>
          <cell r="C2744">
            <v>88</v>
          </cell>
          <cell r="D2744">
            <v>313796.15999999997</v>
          </cell>
          <cell r="E2744" t="str">
            <v>Ra224</v>
          </cell>
        </row>
        <row r="2745">
          <cell r="A2745">
            <v>88225</v>
          </cell>
          <cell r="B2745">
            <v>137</v>
          </cell>
          <cell r="C2745">
            <v>88</v>
          </cell>
          <cell r="D2745">
            <v>1287360</v>
          </cell>
          <cell r="E2745" t="str">
            <v>Ra225</v>
          </cell>
        </row>
        <row r="2746">
          <cell r="A2746">
            <v>88226</v>
          </cell>
          <cell r="B2746">
            <v>138</v>
          </cell>
          <cell r="C2746">
            <v>88</v>
          </cell>
          <cell r="D2746">
            <v>50492160000</v>
          </cell>
          <cell r="E2746" t="str">
            <v>Ra226</v>
          </cell>
        </row>
        <row r="2747">
          <cell r="A2747">
            <v>88227</v>
          </cell>
          <cell r="B2747">
            <v>139</v>
          </cell>
          <cell r="C2747">
            <v>88</v>
          </cell>
          <cell r="D2747">
            <v>2532</v>
          </cell>
          <cell r="E2747" t="str">
            <v>Ra227</v>
          </cell>
        </row>
        <row r="2748">
          <cell r="A2748">
            <v>88228</v>
          </cell>
          <cell r="B2748">
            <v>140</v>
          </cell>
          <cell r="C2748">
            <v>88</v>
          </cell>
          <cell r="D2748">
            <v>181456200</v>
          </cell>
          <cell r="E2748" t="str">
            <v>Ra228</v>
          </cell>
        </row>
        <row r="2749">
          <cell r="A2749">
            <v>88229</v>
          </cell>
          <cell r="B2749">
            <v>141</v>
          </cell>
          <cell r="C2749">
            <v>88</v>
          </cell>
          <cell r="D2749">
            <v>240</v>
          </cell>
          <cell r="E2749" t="str">
            <v>Ra229</v>
          </cell>
        </row>
        <row r="2750">
          <cell r="A2750">
            <v>88230</v>
          </cell>
          <cell r="B2750">
            <v>142</v>
          </cell>
          <cell r="C2750">
            <v>88</v>
          </cell>
          <cell r="D2750">
            <v>5580</v>
          </cell>
          <cell r="E2750" t="str">
            <v>Ra230</v>
          </cell>
        </row>
        <row r="2751">
          <cell r="A2751">
            <v>88231</v>
          </cell>
          <cell r="B2751">
            <v>143</v>
          </cell>
          <cell r="C2751">
            <v>88</v>
          </cell>
          <cell r="D2751">
            <v>104</v>
          </cell>
          <cell r="E2751" t="str">
            <v>Ra231</v>
          </cell>
        </row>
        <row r="2752">
          <cell r="A2752">
            <v>88232</v>
          </cell>
          <cell r="B2752">
            <v>144</v>
          </cell>
          <cell r="C2752">
            <v>88</v>
          </cell>
          <cell r="D2752">
            <v>252</v>
          </cell>
          <cell r="E2752" t="str">
            <v>Ra232</v>
          </cell>
        </row>
        <row r="2753">
          <cell r="A2753">
            <v>88233</v>
          </cell>
          <cell r="B2753">
            <v>145</v>
          </cell>
          <cell r="C2753">
            <v>88</v>
          </cell>
          <cell r="D2753">
            <v>30</v>
          </cell>
          <cell r="E2753" t="str">
            <v>Ra233</v>
          </cell>
        </row>
        <row r="2754">
          <cell r="A2754">
            <v>88234</v>
          </cell>
          <cell r="B2754">
            <v>146</v>
          </cell>
          <cell r="C2754">
            <v>88</v>
          </cell>
          <cell r="D2754">
            <v>30</v>
          </cell>
          <cell r="E2754" t="str">
            <v>Ra234</v>
          </cell>
        </row>
        <row r="2755">
          <cell r="A2755">
            <v>89205</v>
          </cell>
          <cell r="B2755">
            <v>116</v>
          </cell>
          <cell r="C2755">
            <v>89</v>
          </cell>
          <cell r="D2755">
            <v>0.02</v>
          </cell>
          <cell r="E2755" t="str">
            <v>Ac205</v>
          </cell>
        </row>
        <row r="2756">
          <cell r="A2756">
            <v>89206</v>
          </cell>
          <cell r="B2756">
            <v>117</v>
          </cell>
          <cell r="C2756">
            <v>89</v>
          </cell>
          <cell r="D2756">
            <v>2.1999999999999999E-2</v>
          </cell>
          <cell r="E2756" t="str">
            <v>Ac206</v>
          </cell>
        </row>
        <row r="2757">
          <cell r="A2757">
            <v>89207</v>
          </cell>
          <cell r="B2757">
            <v>118</v>
          </cell>
          <cell r="C2757">
            <v>89</v>
          </cell>
          <cell r="D2757">
            <v>2.7E-2</v>
          </cell>
          <cell r="E2757" t="str">
            <v>Ac207</v>
          </cell>
        </row>
        <row r="2758">
          <cell r="A2758">
            <v>89208</v>
          </cell>
          <cell r="B2758">
            <v>119</v>
          </cell>
          <cell r="C2758">
            <v>89</v>
          </cell>
          <cell r="D2758">
            <v>9.5000000000000001E-2</v>
          </cell>
          <cell r="E2758" t="str">
            <v>Ac208</v>
          </cell>
        </row>
        <row r="2759">
          <cell r="A2759">
            <v>89209</v>
          </cell>
          <cell r="B2759">
            <v>120</v>
          </cell>
          <cell r="C2759">
            <v>89</v>
          </cell>
          <cell r="D2759">
            <v>8.6999999999999994E-2</v>
          </cell>
          <cell r="E2759" t="str">
            <v>Ac209</v>
          </cell>
        </row>
        <row r="2760">
          <cell r="A2760">
            <v>89210</v>
          </cell>
          <cell r="B2760">
            <v>121</v>
          </cell>
          <cell r="C2760">
            <v>89</v>
          </cell>
          <cell r="D2760">
            <v>0.35</v>
          </cell>
          <cell r="E2760" t="str">
            <v>Ac210</v>
          </cell>
        </row>
        <row r="2761">
          <cell r="A2761">
            <v>89211</v>
          </cell>
          <cell r="B2761">
            <v>122</v>
          </cell>
          <cell r="C2761">
            <v>89</v>
          </cell>
          <cell r="D2761">
            <v>0.21</v>
          </cell>
          <cell r="E2761" t="str">
            <v>Ac211</v>
          </cell>
        </row>
        <row r="2762">
          <cell r="A2762">
            <v>89212</v>
          </cell>
          <cell r="B2762">
            <v>123</v>
          </cell>
          <cell r="C2762">
            <v>89</v>
          </cell>
          <cell r="D2762">
            <v>0.93</v>
          </cell>
          <cell r="E2762" t="str">
            <v>Ac212</v>
          </cell>
        </row>
        <row r="2763">
          <cell r="A2763">
            <v>89213</v>
          </cell>
          <cell r="B2763">
            <v>124</v>
          </cell>
          <cell r="C2763">
            <v>89</v>
          </cell>
          <cell r="D2763">
            <v>0.73799999999999999</v>
          </cell>
          <cell r="E2763" t="str">
            <v>Ac213</v>
          </cell>
        </row>
        <row r="2764">
          <cell r="A2764">
            <v>89214</v>
          </cell>
          <cell r="B2764">
            <v>125</v>
          </cell>
          <cell r="C2764">
            <v>89</v>
          </cell>
          <cell r="D2764">
            <v>8.1999999999999993</v>
          </cell>
          <cell r="E2764" t="str">
            <v>Ac214</v>
          </cell>
        </row>
        <row r="2765">
          <cell r="A2765">
            <v>89215</v>
          </cell>
          <cell r="B2765">
            <v>126</v>
          </cell>
          <cell r="C2765">
            <v>89</v>
          </cell>
          <cell r="D2765">
            <v>0.17</v>
          </cell>
          <cell r="E2765" t="str">
            <v>Ac215</v>
          </cell>
        </row>
        <row r="2766">
          <cell r="A2766">
            <v>89216</v>
          </cell>
          <cell r="B2766">
            <v>127</v>
          </cell>
          <cell r="C2766">
            <v>89</v>
          </cell>
          <cell r="D2766">
            <v>4.3999999999999899E-4</v>
          </cell>
          <cell r="E2766" t="str">
            <v>Ac216</v>
          </cell>
        </row>
        <row r="2767">
          <cell r="A2767">
            <v>89217</v>
          </cell>
          <cell r="B2767">
            <v>128</v>
          </cell>
          <cell r="C2767">
            <v>89</v>
          </cell>
          <cell r="D2767">
            <v>6.8999999999999996E-8</v>
          </cell>
          <cell r="E2767" t="str">
            <v>Ac217</v>
          </cell>
        </row>
        <row r="2768">
          <cell r="A2768">
            <v>89218</v>
          </cell>
          <cell r="B2768">
            <v>129</v>
          </cell>
          <cell r="C2768">
            <v>89</v>
          </cell>
          <cell r="D2768">
            <v>1.08E-6</v>
          </cell>
          <cell r="E2768" t="str">
            <v>Ac218</v>
          </cell>
        </row>
        <row r="2769">
          <cell r="A2769">
            <v>89219</v>
          </cell>
          <cell r="B2769">
            <v>130</v>
          </cell>
          <cell r="C2769">
            <v>89</v>
          </cell>
          <cell r="D2769">
            <v>1.1800000000000001E-5</v>
          </cell>
          <cell r="E2769" t="str">
            <v>Ac219</v>
          </cell>
        </row>
        <row r="2770">
          <cell r="A2770">
            <v>89220</v>
          </cell>
          <cell r="B2770">
            <v>131</v>
          </cell>
          <cell r="C2770">
            <v>89</v>
          </cell>
          <cell r="D2770">
            <v>2.64E-2</v>
          </cell>
          <cell r="E2770" t="str">
            <v>Ac220</v>
          </cell>
        </row>
        <row r="2771">
          <cell r="A2771">
            <v>89221</v>
          </cell>
          <cell r="B2771">
            <v>132</v>
          </cell>
          <cell r="C2771">
            <v>89</v>
          </cell>
          <cell r="D2771">
            <v>5.1999999999999998E-2</v>
          </cell>
          <cell r="E2771" t="str">
            <v>Ac221</v>
          </cell>
        </row>
        <row r="2772">
          <cell r="A2772">
            <v>89222</v>
          </cell>
          <cell r="B2772">
            <v>133</v>
          </cell>
          <cell r="C2772">
            <v>89</v>
          </cell>
          <cell r="D2772">
            <v>5</v>
          </cell>
          <cell r="E2772" t="str">
            <v>Ac222</v>
          </cell>
        </row>
        <row r="2773">
          <cell r="A2773">
            <v>89223</v>
          </cell>
          <cell r="B2773">
            <v>134</v>
          </cell>
          <cell r="C2773">
            <v>89</v>
          </cell>
          <cell r="D2773">
            <v>126</v>
          </cell>
          <cell r="E2773" t="str">
            <v>Ac223</v>
          </cell>
        </row>
        <row r="2774">
          <cell r="A2774">
            <v>89224</v>
          </cell>
          <cell r="B2774">
            <v>135</v>
          </cell>
          <cell r="C2774">
            <v>89</v>
          </cell>
          <cell r="D2774">
            <v>10008</v>
          </cell>
          <cell r="E2774" t="str">
            <v>Ac224</v>
          </cell>
        </row>
        <row r="2775">
          <cell r="A2775">
            <v>89225</v>
          </cell>
          <cell r="B2775">
            <v>136</v>
          </cell>
          <cell r="C2775">
            <v>89</v>
          </cell>
          <cell r="D2775">
            <v>857088</v>
          </cell>
          <cell r="E2775" t="str">
            <v>Ac225</v>
          </cell>
        </row>
        <row r="2776">
          <cell r="A2776">
            <v>89226</v>
          </cell>
          <cell r="B2776">
            <v>137</v>
          </cell>
          <cell r="C2776">
            <v>89</v>
          </cell>
          <cell r="D2776">
            <v>105732</v>
          </cell>
          <cell r="E2776" t="str">
            <v>Ac226</v>
          </cell>
        </row>
        <row r="2777">
          <cell r="A2777">
            <v>89227</v>
          </cell>
          <cell r="B2777">
            <v>138</v>
          </cell>
          <cell r="C2777">
            <v>89</v>
          </cell>
          <cell r="D2777">
            <v>687072067.19999897</v>
          </cell>
          <cell r="E2777" t="str">
            <v>Ac227</v>
          </cell>
        </row>
        <row r="2778">
          <cell r="A2778">
            <v>89228</v>
          </cell>
          <cell r="B2778">
            <v>139</v>
          </cell>
          <cell r="C2778">
            <v>89</v>
          </cell>
          <cell r="D2778">
            <v>22140</v>
          </cell>
          <cell r="E2778" t="str">
            <v>Ac228</v>
          </cell>
        </row>
        <row r="2779">
          <cell r="A2779">
            <v>89229</v>
          </cell>
          <cell r="B2779">
            <v>140</v>
          </cell>
          <cell r="C2779">
            <v>89</v>
          </cell>
          <cell r="D2779">
            <v>3762</v>
          </cell>
          <cell r="E2779" t="str">
            <v>Ac229</v>
          </cell>
        </row>
        <row r="2780">
          <cell r="A2780">
            <v>89230</v>
          </cell>
          <cell r="B2780">
            <v>141</v>
          </cell>
          <cell r="C2780">
            <v>89</v>
          </cell>
          <cell r="D2780">
            <v>122</v>
          </cell>
          <cell r="E2780" t="str">
            <v>Ac230</v>
          </cell>
        </row>
        <row r="2781">
          <cell r="A2781">
            <v>89231</v>
          </cell>
          <cell r="B2781">
            <v>142</v>
          </cell>
          <cell r="C2781">
            <v>89</v>
          </cell>
          <cell r="D2781">
            <v>450</v>
          </cell>
          <cell r="E2781" t="str">
            <v>Ac231</v>
          </cell>
        </row>
        <row r="2782">
          <cell r="A2782">
            <v>89232</v>
          </cell>
          <cell r="B2782">
            <v>143</v>
          </cell>
          <cell r="C2782">
            <v>89</v>
          </cell>
          <cell r="D2782">
            <v>119</v>
          </cell>
          <cell r="E2782" t="str">
            <v>Ac232</v>
          </cell>
        </row>
        <row r="2783">
          <cell r="A2783">
            <v>89233</v>
          </cell>
          <cell r="B2783">
            <v>144</v>
          </cell>
          <cell r="C2783">
            <v>89</v>
          </cell>
          <cell r="D2783">
            <v>145</v>
          </cell>
          <cell r="E2783" t="str">
            <v>Ac233</v>
          </cell>
        </row>
        <row r="2784">
          <cell r="A2784">
            <v>89234</v>
          </cell>
          <cell r="B2784">
            <v>145</v>
          </cell>
          <cell r="C2784">
            <v>89</v>
          </cell>
          <cell r="D2784">
            <v>44</v>
          </cell>
          <cell r="E2784" t="str">
            <v>Ac234</v>
          </cell>
        </row>
        <row r="2785">
          <cell r="A2785">
            <v>89235</v>
          </cell>
          <cell r="B2785">
            <v>146</v>
          </cell>
          <cell r="C2785">
            <v>89</v>
          </cell>
          <cell r="D2785">
            <v>62</v>
          </cell>
          <cell r="E2785" t="str">
            <v>Ac235</v>
          </cell>
        </row>
        <row r="2786">
          <cell r="A2786">
            <v>89236</v>
          </cell>
          <cell r="B2786">
            <v>147</v>
          </cell>
          <cell r="C2786">
            <v>89</v>
          </cell>
          <cell r="D2786">
            <v>72</v>
          </cell>
          <cell r="E2786" t="str">
            <v>Ac236</v>
          </cell>
        </row>
        <row r="2787">
          <cell r="A2787">
            <v>90208</v>
          </cell>
          <cell r="B2787">
            <v>118</v>
          </cell>
          <cell r="C2787">
            <v>90</v>
          </cell>
          <cell r="D2787">
            <v>1.6999999999999999E-3</v>
          </cell>
          <cell r="E2787" t="str">
            <v>Th208</v>
          </cell>
        </row>
        <row r="2788">
          <cell r="A2788">
            <v>90209</v>
          </cell>
          <cell r="B2788">
            <v>119</v>
          </cell>
          <cell r="C2788">
            <v>90</v>
          </cell>
          <cell r="D2788">
            <v>2.5000000000000001E-3</v>
          </cell>
          <cell r="E2788" t="str">
            <v>Th209</v>
          </cell>
        </row>
        <row r="2789">
          <cell r="A2789">
            <v>90210</v>
          </cell>
          <cell r="B2789">
            <v>120</v>
          </cell>
          <cell r="C2789">
            <v>90</v>
          </cell>
          <cell r="D2789">
            <v>1.6E-2</v>
          </cell>
          <cell r="E2789" t="str">
            <v>Th210</v>
          </cell>
        </row>
        <row r="2790">
          <cell r="A2790">
            <v>90211</v>
          </cell>
          <cell r="B2790">
            <v>121</v>
          </cell>
          <cell r="C2790">
            <v>90</v>
          </cell>
          <cell r="D2790">
            <v>3.6999999999999998E-2</v>
          </cell>
          <cell r="E2790" t="str">
            <v>Th211</v>
          </cell>
        </row>
        <row r="2791">
          <cell r="A2791">
            <v>90212</v>
          </cell>
          <cell r="B2791">
            <v>122</v>
          </cell>
          <cell r="C2791">
            <v>90</v>
          </cell>
          <cell r="D2791">
            <v>3.1699999999999999E-2</v>
          </cell>
          <cell r="E2791" t="str">
            <v>Th212</v>
          </cell>
        </row>
        <row r="2792">
          <cell r="A2792">
            <v>90213</v>
          </cell>
          <cell r="B2792">
            <v>123</v>
          </cell>
          <cell r="C2792">
            <v>90</v>
          </cell>
          <cell r="D2792">
            <v>0.14399999999999999</v>
          </cell>
          <cell r="E2792" t="str">
            <v>Th213</v>
          </cell>
        </row>
        <row r="2793">
          <cell r="A2793">
            <v>90214</v>
          </cell>
          <cell r="B2793">
            <v>124</v>
          </cell>
          <cell r="C2793">
            <v>90</v>
          </cell>
          <cell r="D2793">
            <v>8.6999999999999994E-2</v>
          </cell>
          <cell r="E2793" t="str">
            <v>Th214</v>
          </cell>
        </row>
        <row r="2794">
          <cell r="A2794">
            <v>90215</v>
          </cell>
          <cell r="B2794">
            <v>125</v>
          </cell>
          <cell r="C2794">
            <v>90</v>
          </cell>
          <cell r="D2794">
            <v>1.2</v>
          </cell>
          <cell r="E2794" t="str">
            <v>Th215</v>
          </cell>
        </row>
        <row r="2795">
          <cell r="A2795">
            <v>90216</v>
          </cell>
          <cell r="B2795">
            <v>126</v>
          </cell>
          <cell r="C2795">
            <v>90</v>
          </cell>
          <cell r="D2795">
            <v>2.5999999999999999E-2</v>
          </cell>
          <cell r="E2795" t="str">
            <v>Th216</v>
          </cell>
        </row>
        <row r="2796">
          <cell r="A2796">
            <v>90217</v>
          </cell>
          <cell r="B2796">
            <v>127</v>
          </cell>
          <cell r="C2796">
            <v>90</v>
          </cell>
          <cell r="D2796">
            <v>2.41E-4</v>
          </cell>
          <cell r="E2796" t="str">
            <v>Th217</v>
          </cell>
        </row>
        <row r="2797">
          <cell r="A2797">
            <v>90218</v>
          </cell>
          <cell r="B2797">
            <v>128</v>
          </cell>
          <cell r="C2797">
            <v>90</v>
          </cell>
          <cell r="D2797">
            <v>1.17E-7</v>
          </cell>
          <cell r="E2797" t="str">
            <v>Th218</v>
          </cell>
        </row>
        <row r="2798">
          <cell r="A2798">
            <v>90219</v>
          </cell>
          <cell r="B2798">
            <v>129</v>
          </cell>
          <cell r="C2798">
            <v>90</v>
          </cell>
          <cell r="D2798">
            <v>1.0499999999999999E-6</v>
          </cell>
          <cell r="E2798" t="str">
            <v>Th219</v>
          </cell>
        </row>
        <row r="2799">
          <cell r="A2799">
            <v>90220</v>
          </cell>
          <cell r="B2799">
            <v>130</v>
          </cell>
          <cell r="C2799">
            <v>90</v>
          </cell>
          <cell r="D2799">
            <v>9.6999999999999901E-6</v>
          </cell>
          <cell r="E2799" t="str">
            <v>Th220</v>
          </cell>
        </row>
        <row r="2800">
          <cell r="A2800">
            <v>90221</v>
          </cell>
          <cell r="B2800">
            <v>131</v>
          </cell>
          <cell r="C2800">
            <v>90</v>
          </cell>
          <cell r="D2800">
            <v>1.6800000000000001E-3</v>
          </cell>
          <cell r="E2800" t="str">
            <v>Th221</v>
          </cell>
        </row>
        <row r="2801">
          <cell r="A2801">
            <v>90222</v>
          </cell>
          <cell r="B2801">
            <v>132</v>
          </cell>
          <cell r="C2801">
            <v>90</v>
          </cell>
          <cell r="D2801">
            <v>2.8E-3</v>
          </cell>
          <cell r="E2801" t="str">
            <v>Th222</v>
          </cell>
        </row>
        <row r="2802">
          <cell r="A2802">
            <v>90223</v>
          </cell>
          <cell r="B2802">
            <v>133</v>
          </cell>
          <cell r="C2802">
            <v>90</v>
          </cell>
          <cell r="D2802">
            <v>0.6</v>
          </cell>
          <cell r="E2802" t="str">
            <v>Th223</v>
          </cell>
        </row>
        <row r="2803">
          <cell r="A2803">
            <v>90224</v>
          </cell>
          <cell r="B2803">
            <v>134</v>
          </cell>
          <cell r="C2803">
            <v>90</v>
          </cell>
          <cell r="D2803">
            <v>1.04</v>
          </cell>
          <cell r="E2803" t="str">
            <v>Th224</v>
          </cell>
        </row>
        <row r="2804">
          <cell r="A2804">
            <v>90225</v>
          </cell>
          <cell r="B2804">
            <v>135</v>
          </cell>
          <cell r="C2804">
            <v>90</v>
          </cell>
          <cell r="D2804">
            <v>525</v>
          </cell>
          <cell r="E2804" t="str">
            <v>Th225</v>
          </cell>
        </row>
        <row r="2805">
          <cell r="A2805">
            <v>90226</v>
          </cell>
          <cell r="B2805">
            <v>136</v>
          </cell>
          <cell r="C2805">
            <v>90</v>
          </cell>
          <cell r="D2805">
            <v>1834.2</v>
          </cell>
          <cell r="E2805" t="str">
            <v>Th226</v>
          </cell>
        </row>
        <row r="2806">
          <cell r="A2806">
            <v>90227</v>
          </cell>
          <cell r="B2806">
            <v>137</v>
          </cell>
          <cell r="C2806">
            <v>90</v>
          </cell>
          <cell r="D2806">
            <v>1615420.79999999</v>
          </cell>
          <cell r="E2806" t="str">
            <v>Th227</v>
          </cell>
        </row>
        <row r="2807">
          <cell r="A2807">
            <v>90228</v>
          </cell>
          <cell r="B2807">
            <v>138</v>
          </cell>
          <cell r="C2807">
            <v>90</v>
          </cell>
          <cell r="D2807">
            <v>60353910</v>
          </cell>
          <cell r="E2807" t="str">
            <v>Th228</v>
          </cell>
        </row>
        <row r="2808">
          <cell r="A2808">
            <v>90229</v>
          </cell>
          <cell r="B2808">
            <v>139</v>
          </cell>
          <cell r="C2808">
            <v>90</v>
          </cell>
          <cell r="D2808">
            <v>250314883200</v>
          </cell>
          <cell r="E2808" t="str">
            <v>Th229</v>
          </cell>
        </row>
        <row r="2809">
          <cell r="A2809">
            <v>90230</v>
          </cell>
          <cell r="B2809">
            <v>140</v>
          </cell>
          <cell r="C2809">
            <v>90</v>
          </cell>
          <cell r="D2809">
            <v>2379443040000</v>
          </cell>
          <cell r="E2809" t="str">
            <v>Th230</v>
          </cell>
        </row>
        <row r="2810">
          <cell r="A2810">
            <v>90231</v>
          </cell>
          <cell r="B2810">
            <v>141</v>
          </cell>
          <cell r="C2810">
            <v>90</v>
          </cell>
          <cell r="D2810">
            <v>91872</v>
          </cell>
          <cell r="E2810" t="str">
            <v>Th231</v>
          </cell>
        </row>
        <row r="2811">
          <cell r="A2811">
            <v>90232</v>
          </cell>
          <cell r="B2811">
            <v>142</v>
          </cell>
          <cell r="C2811">
            <v>90</v>
          </cell>
          <cell r="D2811">
            <v>4.418064E+17</v>
          </cell>
          <cell r="E2811" t="str">
            <v>Th232</v>
          </cell>
        </row>
        <row r="2812">
          <cell r="A2812">
            <v>90233</v>
          </cell>
          <cell r="B2812">
            <v>143</v>
          </cell>
          <cell r="C2812">
            <v>90</v>
          </cell>
          <cell r="D2812">
            <v>1309.8</v>
          </cell>
          <cell r="E2812" t="str">
            <v>Th233</v>
          </cell>
        </row>
        <row r="2813">
          <cell r="A2813">
            <v>90234</v>
          </cell>
          <cell r="B2813">
            <v>144</v>
          </cell>
          <cell r="C2813">
            <v>90</v>
          </cell>
          <cell r="D2813">
            <v>2082240</v>
          </cell>
          <cell r="E2813" t="str">
            <v>Th234</v>
          </cell>
        </row>
        <row r="2814">
          <cell r="A2814">
            <v>90235</v>
          </cell>
          <cell r="B2814">
            <v>145</v>
          </cell>
          <cell r="C2814">
            <v>90</v>
          </cell>
          <cell r="D2814">
            <v>426</v>
          </cell>
          <cell r="E2814" t="str">
            <v>Th235</v>
          </cell>
        </row>
        <row r="2815">
          <cell r="A2815">
            <v>90236</v>
          </cell>
          <cell r="B2815">
            <v>146</v>
          </cell>
          <cell r="C2815">
            <v>90</v>
          </cell>
          <cell r="D2815">
            <v>2238</v>
          </cell>
          <cell r="E2815" t="str">
            <v>Th236</v>
          </cell>
        </row>
        <row r="2816">
          <cell r="A2816">
            <v>90237</v>
          </cell>
          <cell r="B2816">
            <v>147</v>
          </cell>
          <cell r="C2816">
            <v>90</v>
          </cell>
          <cell r="D2816">
            <v>282</v>
          </cell>
          <cell r="E2816" t="str">
            <v>Th237</v>
          </cell>
        </row>
        <row r="2817">
          <cell r="A2817">
            <v>90238</v>
          </cell>
          <cell r="B2817">
            <v>148</v>
          </cell>
          <cell r="C2817">
            <v>90</v>
          </cell>
          <cell r="D2817">
            <v>564</v>
          </cell>
          <cell r="E2817" t="str">
            <v>Th238</v>
          </cell>
        </row>
        <row r="2818">
          <cell r="A2818">
            <v>91211</v>
          </cell>
          <cell r="B2818">
            <v>120</v>
          </cell>
          <cell r="C2818">
            <v>91</v>
          </cell>
          <cell r="D2818">
            <v>2.9999999999999999E-7</v>
          </cell>
          <cell r="E2818" t="str">
            <v>Pa211</v>
          </cell>
        </row>
        <row r="2819">
          <cell r="A2819">
            <v>91212</v>
          </cell>
          <cell r="B2819">
            <v>121</v>
          </cell>
          <cell r="C2819">
            <v>91</v>
          </cell>
          <cell r="D2819">
            <v>5.09999999999999E-3</v>
          </cell>
          <cell r="E2819" t="str">
            <v>Pa212</v>
          </cell>
        </row>
        <row r="2820">
          <cell r="A2820">
            <v>91213</v>
          </cell>
          <cell r="B2820">
            <v>122</v>
          </cell>
          <cell r="C2820">
            <v>91</v>
          </cell>
          <cell r="D2820">
            <v>5.3E-3</v>
          </cell>
          <cell r="E2820" t="str">
            <v>Pa213</v>
          </cell>
        </row>
        <row r="2821">
          <cell r="A2821">
            <v>91214</v>
          </cell>
          <cell r="B2821">
            <v>123</v>
          </cell>
          <cell r="C2821">
            <v>91</v>
          </cell>
          <cell r="D2821">
            <v>1.7000000000000001E-2</v>
          </cell>
          <cell r="E2821" t="str">
            <v>Pa214</v>
          </cell>
        </row>
        <row r="2822">
          <cell r="A2822">
            <v>91215</v>
          </cell>
          <cell r="B2822">
            <v>124</v>
          </cell>
          <cell r="C2822">
            <v>91</v>
          </cell>
          <cell r="D2822">
            <v>1.4E-2</v>
          </cell>
          <cell r="E2822" t="str">
            <v>Pa215</v>
          </cell>
        </row>
        <row r="2823">
          <cell r="A2823">
            <v>91216</v>
          </cell>
          <cell r="B2823">
            <v>125</v>
          </cell>
          <cell r="C2823">
            <v>91</v>
          </cell>
          <cell r="D2823">
            <v>0.15</v>
          </cell>
          <cell r="E2823" t="str">
            <v>Pa216</v>
          </cell>
        </row>
        <row r="2824">
          <cell r="A2824">
            <v>91217</v>
          </cell>
          <cell r="B2824">
            <v>126</v>
          </cell>
          <cell r="C2824">
            <v>91</v>
          </cell>
          <cell r="D2824">
            <v>3.5999999999999999E-3</v>
          </cell>
          <cell r="E2824" t="str">
            <v>Pa217</v>
          </cell>
        </row>
        <row r="2825">
          <cell r="A2825">
            <v>91218</v>
          </cell>
          <cell r="B2825">
            <v>127</v>
          </cell>
          <cell r="C2825">
            <v>91</v>
          </cell>
          <cell r="D2825">
            <v>1.13E-4</v>
          </cell>
          <cell r="E2825" t="str">
            <v>Pa218</v>
          </cell>
        </row>
        <row r="2826">
          <cell r="A2826">
            <v>91219</v>
          </cell>
          <cell r="B2826">
            <v>128</v>
          </cell>
          <cell r="C2826">
            <v>91</v>
          </cell>
          <cell r="D2826">
            <v>5.2999999999999998E-8</v>
          </cell>
          <cell r="E2826" t="str">
            <v>Pa219</v>
          </cell>
        </row>
        <row r="2827">
          <cell r="A2827">
            <v>91220</v>
          </cell>
          <cell r="B2827">
            <v>129</v>
          </cell>
          <cell r="C2827">
            <v>91</v>
          </cell>
          <cell r="D2827">
            <v>7.7999999999999899E-7</v>
          </cell>
          <cell r="E2827" t="str">
            <v>Pa220</v>
          </cell>
        </row>
        <row r="2828">
          <cell r="A2828">
            <v>91221</v>
          </cell>
          <cell r="B2828">
            <v>130</v>
          </cell>
          <cell r="C2828">
            <v>91</v>
          </cell>
          <cell r="D2828">
            <v>5.9000000000000003E-6</v>
          </cell>
          <cell r="E2828" t="str">
            <v>Pa221</v>
          </cell>
        </row>
        <row r="2829">
          <cell r="A2829">
            <v>91222</v>
          </cell>
          <cell r="B2829">
            <v>131</v>
          </cell>
          <cell r="C2829">
            <v>91</v>
          </cell>
          <cell r="D2829">
            <v>2.8999999999999998E-3</v>
          </cell>
          <cell r="E2829" t="str">
            <v>Pa222</v>
          </cell>
        </row>
        <row r="2830">
          <cell r="A2830">
            <v>91223</v>
          </cell>
          <cell r="B2830">
            <v>132</v>
          </cell>
          <cell r="C2830">
            <v>91</v>
          </cell>
          <cell r="D2830">
            <v>5.09999999999999E-3</v>
          </cell>
          <cell r="E2830" t="str">
            <v>Pa223</v>
          </cell>
        </row>
        <row r="2831">
          <cell r="A2831">
            <v>91224</v>
          </cell>
          <cell r="B2831">
            <v>133</v>
          </cell>
          <cell r="C2831">
            <v>91</v>
          </cell>
          <cell r="D2831">
            <v>0.84599999999999997</v>
          </cell>
          <cell r="E2831" t="str">
            <v>Pa224</v>
          </cell>
        </row>
        <row r="2832">
          <cell r="A2832">
            <v>91225</v>
          </cell>
          <cell r="B2832">
            <v>134</v>
          </cell>
          <cell r="C2832">
            <v>91</v>
          </cell>
          <cell r="D2832">
            <v>1.7</v>
          </cell>
          <cell r="E2832" t="str">
            <v>Pa225</v>
          </cell>
        </row>
        <row r="2833">
          <cell r="A2833">
            <v>91226</v>
          </cell>
          <cell r="B2833">
            <v>135</v>
          </cell>
          <cell r="C2833">
            <v>91</v>
          </cell>
          <cell r="D2833">
            <v>108</v>
          </cell>
          <cell r="E2833" t="str">
            <v>Pa226</v>
          </cell>
        </row>
        <row r="2834">
          <cell r="A2834">
            <v>91227</v>
          </cell>
          <cell r="B2834">
            <v>136</v>
          </cell>
          <cell r="C2834">
            <v>91</v>
          </cell>
          <cell r="D2834">
            <v>2298</v>
          </cell>
          <cell r="E2834" t="str">
            <v>Pa227</v>
          </cell>
        </row>
        <row r="2835">
          <cell r="A2835">
            <v>91228</v>
          </cell>
          <cell r="B2835">
            <v>137</v>
          </cell>
          <cell r="C2835">
            <v>91</v>
          </cell>
          <cell r="D2835">
            <v>79200</v>
          </cell>
          <cell r="E2835" t="str">
            <v>Pa228</v>
          </cell>
        </row>
        <row r="2836">
          <cell r="A2836">
            <v>91229</v>
          </cell>
          <cell r="B2836">
            <v>138</v>
          </cell>
          <cell r="C2836">
            <v>91</v>
          </cell>
          <cell r="D2836">
            <v>129600</v>
          </cell>
          <cell r="E2836" t="str">
            <v>Pa229</v>
          </cell>
        </row>
        <row r="2837">
          <cell r="A2837">
            <v>91230</v>
          </cell>
          <cell r="B2837">
            <v>139</v>
          </cell>
          <cell r="C2837">
            <v>91</v>
          </cell>
          <cell r="D2837">
            <v>1503359.99999999</v>
          </cell>
          <cell r="E2837" t="str">
            <v>Pa230</v>
          </cell>
        </row>
        <row r="2838">
          <cell r="A2838">
            <v>91231</v>
          </cell>
          <cell r="B2838">
            <v>140</v>
          </cell>
          <cell r="C2838">
            <v>91</v>
          </cell>
          <cell r="D2838">
            <v>1033826976000</v>
          </cell>
          <cell r="E2838" t="str">
            <v>Pa231</v>
          </cell>
        </row>
        <row r="2839">
          <cell r="A2839">
            <v>91232</v>
          </cell>
          <cell r="B2839">
            <v>141</v>
          </cell>
          <cell r="C2839">
            <v>91</v>
          </cell>
          <cell r="D2839">
            <v>114048</v>
          </cell>
          <cell r="E2839" t="str">
            <v>Pa232</v>
          </cell>
        </row>
        <row r="2840">
          <cell r="A2840">
            <v>91233</v>
          </cell>
          <cell r="B2840">
            <v>142</v>
          </cell>
          <cell r="C2840">
            <v>91</v>
          </cell>
          <cell r="D2840">
            <v>2330640</v>
          </cell>
          <cell r="E2840" t="str">
            <v>Pa233</v>
          </cell>
        </row>
        <row r="2841">
          <cell r="A2841">
            <v>91234</v>
          </cell>
          <cell r="B2841">
            <v>143</v>
          </cell>
          <cell r="C2841">
            <v>91</v>
          </cell>
          <cell r="D2841">
            <v>24120</v>
          </cell>
          <cell r="E2841" t="str">
            <v>Pa234</v>
          </cell>
        </row>
        <row r="2842">
          <cell r="A2842">
            <v>91235</v>
          </cell>
          <cell r="B2842">
            <v>144</v>
          </cell>
          <cell r="C2842">
            <v>91</v>
          </cell>
          <cell r="D2842">
            <v>1464</v>
          </cell>
          <cell r="E2842" t="str">
            <v>Pa235</v>
          </cell>
        </row>
        <row r="2843">
          <cell r="A2843">
            <v>91236</v>
          </cell>
          <cell r="B2843">
            <v>145</v>
          </cell>
          <cell r="C2843">
            <v>91</v>
          </cell>
          <cell r="D2843">
            <v>546</v>
          </cell>
          <cell r="E2843" t="str">
            <v>Pa236</v>
          </cell>
        </row>
        <row r="2844">
          <cell r="A2844">
            <v>91237</v>
          </cell>
          <cell r="B2844">
            <v>146</v>
          </cell>
          <cell r="C2844">
            <v>91</v>
          </cell>
          <cell r="D2844">
            <v>522</v>
          </cell>
          <cell r="E2844" t="str">
            <v>Pa237</v>
          </cell>
        </row>
        <row r="2845">
          <cell r="A2845">
            <v>91238</v>
          </cell>
          <cell r="B2845">
            <v>147</v>
          </cell>
          <cell r="C2845">
            <v>91</v>
          </cell>
          <cell r="D2845">
            <v>136.79999999999899</v>
          </cell>
          <cell r="E2845" t="str">
            <v>Pa238</v>
          </cell>
        </row>
        <row r="2846">
          <cell r="A2846">
            <v>91239</v>
          </cell>
          <cell r="B2846">
            <v>148</v>
          </cell>
          <cell r="C2846">
            <v>91</v>
          </cell>
          <cell r="D2846">
            <v>6480</v>
          </cell>
          <cell r="E2846" t="str">
            <v>Pa239</v>
          </cell>
        </row>
        <row r="2847">
          <cell r="A2847">
            <v>92216</v>
          </cell>
          <cell r="B2847">
            <v>124</v>
          </cell>
          <cell r="C2847">
            <v>92</v>
          </cell>
          <cell r="D2847">
            <v>4.4999999999999997E-3</v>
          </cell>
          <cell r="E2847" t="str">
            <v>U216</v>
          </cell>
        </row>
        <row r="2848">
          <cell r="A2848">
            <v>92217</v>
          </cell>
          <cell r="B2848">
            <v>125</v>
          </cell>
          <cell r="C2848">
            <v>92</v>
          </cell>
          <cell r="D2848">
            <v>1.6E-2</v>
          </cell>
          <cell r="E2848" t="str">
            <v>U217</v>
          </cell>
        </row>
        <row r="2849">
          <cell r="A2849">
            <v>92218</v>
          </cell>
          <cell r="B2849">
            <v>126</v>
          </cell>
          <cell r="C2849">
            <v>92</v>
          </cell>
          <cell r="D2849">
            <v>5.1000000000000004E-4</v>
          </cell>
          <cell r="E2849" t="str">
            <v>U218</v>
          </cell>
        </row>
        <row r="2850">
          <cell r="A2850">
            <v>92219</v>
          </cell>
          <cell r="B2850">
            <v>127</v>
          </cell>
          <cell r="C2850">
            <v>92</v>
          </cell>
          <cell r="D2850">
            <v>4.1999999999999998E-5</v>
          </cell>
          <cell r="E2850" t="str">
            <v>U219</v>
          </cell>
        </row>
        <row r="2851">
          <cell r="A2851">
            <v>92221</v>
          </cell>
          <cell r="B2851">
            <v>129</v>
          </cell>
          <cell r="C2851">
            <v>92</v>
          </cell>
          <cell r="D2851">
            <v>6.6000000000000003E-7</v>
          </cell>
          <cell r="E2851" t="str">
            <v>U221</v>
          </cell>
        </row>
        <row r="2852">
          <cell r="A2852">
            <v>92222</v>
          </cell>
          <cell r="B2852">
            <v>130</v>
          </cell>
          <cell r="C2852">
            <v>92</v>
          </cell>
          <cell r="D2852">
            <v>4.6999999999999999E-6</v>
          </cell>
          <cell r="E2852" t="str">
            <v>U222</v>
          </cell>
        </row>
        <row r="2853">
          <cell r="A2853">
            <v>92223</v>
          </cell>
          <cell r="B2853">
            <v>131</v>
          </cell>
          <cell r="C2853">
            <v>92</v>
          </cell>
          <cell r="D2853">
            <v>1.8E-5</v>
          </cell>
          <cell r="E2853" t="str">
            <v>U223</v>
          </cell>
        </row>
        <row r="2854">
          <cell r="A2854">
            <v>92224</v>
          </cell>
          <cell r="B2854">
            <v>132</v>
          </cell>
          <cell r="C2854">
            <v>92</v>
          </cell>
          <cell r="D2854">
            <v>8.4000000000000003E-4</v>
          </cell>
          <cell r="E2854" t="str">
            <v>U224</v>
          </cell>
        </row>
        <row r="2855">
          <cell r="A2855">
            <v>92225</v>
          </cell>
          <cell r="B2855">
            <v>133</v>
          </cell>
          <cell r="C2855">
            <v>92</v>
          </cell>
          <cell r="D2855">
            <v>9.5000000000000001E-2</v>
          </cell>
          <cell r="E2855" t="str">
            <v>U225</v>
          </cell>
        </row>
        <row r="2856">
          <cell r="A2856">
            <v>92226</v>
          </cell>
          <cell r="B2856">
            <v>134</v>
          </cell>
          <cell r="C2856">
            <v>92</v>
          </cell>
          <cell r="D2856">
            <v>0.26800000000000002</v>
          </cell>
          <cell r="E2856" t="str">
            <v>U226</v>
          </cell>
        </row>
        <row r="2857">
          <cell r="A2857">
            <v>92227</v>
          </cell>
          <cell r="B2857">
            <v>135</v>
          </cell>
          <cell r="C2857">
            <v>92</v>
          </cell>
          <cell r="D2857">
            <v>66</v>
          </cell>
          <cell r="E2857" t="str">
            <v>U227</v>
          </cell>
        </row>
        <row r="2858">
          <cell r="A2858">
            <v>92228</v>
          </cell>
          <cell r="B2858">
            <v>136</v>
          </cell>
          <cell r="C2858">
            <v>92</v>
          </cell>
          <cell r="D2858">
            <v>546</v>
          </cell>
          <cell r="E2858" t="str">
            <v>U228</v>
          </cell>
        </row>
        <row r="2859">
          <cell r="A2859">
            <v>92229</v>
          </cell>
          <cell r="B2859">
            <v>137</v>
          </cell>
          <cell r="C2859">
            <v>92</v>
          </cell>
          <cell r="D2859">
            <v>3480</v>
          </cell>
          <cell r="E2859" t="str">
            <v>U229</v>
          </cell>
        </row>
        <row r="2860">
          <cell r="A2860">
            <v>92230</v>
          </cell>
          <cell r="B2860">
            <v>138</v>
          </cell>
          <cell r="C2860">
            <v>92</v>
          </cell>
          <cell r="D2860">
            <v>1797120</v>
          </cell>
          <cell r="E2860" t="str">
            <v>U230</v>
          </cell>
        </row>
        <row r="2861">
          <cell r="A2861">
            <v>92231</v>
          </cell>
          <cell r="B2861">
            <v>139</v>
          </cell>
          <cell r="C2861">
            <v>92</v>
          </cell>
          <cell r="D2861">
            <v>362880</v>
          </cell>
          <cell r="E2861" t="str">
            <v>U231</v>
          </cell>
        </row>
        <row r="2862">
          <cell r="A2862">
            <v>92232</v>
          </cell>
          <cell r="B2862">
            <v>140</v>
          </cell>
          <cell r="C2862">
            <v>92</v>
          </cell>
          <cell r="D2862">
            <v>2174318640</v>
          </cell>
          <cell r="E2862" t="str">
            <v>U232</v>
          </cell>
        </row>
        <row r="2863">
          <cell r="A2863">
            <v>92233</v>
          </cell>
          <cell r="B2863">
            <v>141</v>
          </cell>
          <cell r="C2863">
            <v>92</v>
          </cell>
          <cell r="D2863">
            <v>5023969920000</v>
          </cell>
          <cell r="E2863" t="str">
            <v>U233</v>
          </cell>
        </row>
        <row r="2864">
          <cell r="A2864">
            <v>92234</v>
          </cell>
          <cell r="B2864">
            <v>142</v>
          </cell>
          <cell r="C2864">
            <v>92</v>
          </cell>
          <cell r="D2864">
            <v>7747390800000</v>
          </cell>
          <cell r="E2864" t="str">
            <v>U234</v>
          </cell>
        </row>
        <row r="2865">
          <cell r="A2865">
            <v>92235</v>
          </cell>
          <cell r="B2865">
            <v>143</v>
          </cell>
          <cell r="C2865">
            <v>92</v>
          </cell>
          <cell r="D2865">
            <v>2.22165504E+16</v>
          </cell>
          <cell r="E2865" t="str">
            <v>U235</v>
          </cell>
        </row>
        <row r="2866">
          <cell r="A2866">
            <v>92236</v>
          </cell>
          <cell r="B2866">
            <v>144</v>
          </cell>
          <cell r="C2866">
            <v>92</v>
          </cell>
          <cell r="D2866">
            <v>739078992000000</v>
          </cell>
          <cell r="E2866" t="str">
            <v>U236</v>
          </cell>
        </row>
        <row r="2867">
          <cell r="A2867">
            <v>92237</v>
          </cell>
          <cell r="B2867">
            <v>145</v>
          </cell>
          <cell r="C2867">
            <v>92</v>
          </cell>
          <cell r="D2867">
            <v>583200</v>
          </cell>
          <cell r="E2867" t="str">
            <v>U237</v>
          </cell>
        </row>
        <row r="2868">
          <cell r="A2868">
            <v>92238</v>
          </cell>
          <cell r="B2868">
            <v>146</v>
          </cell>
          <cell r="C2868">
            <v>92</v>
          </cell>
          <cell r="D2868">
            <v>1.409993568E+17</v>
          </cell>
          <cell r="E2868" t="str">
            <v>U238</v>
          </cell>
        </row>
        <row r="2869">
          <cell r="A2869">
            <v>92239</v>
          </cell>
          <cell r="B2869">
            <v>147</v>
          </cell>
          <cell r="C2869">
            <v>92</v>
          </cell>
          <cell r="D2869">
            <v>1407</v>
          </cell>
          <cell r="E2869" t="str">
            <v>U239</v>
          </cell>
        </row>
        <row r="2870">
          <cell r="A2870">
            <v>92240</v>
          </cell>
          <cell r="B2870">
            <v>148</v>
          </cell>
          <cell r="C2870">
            <v>92</v>
          </cell>
          <cell r="D2870">
            <v>50760</v>
          </cell>
          <cell r="E2870" t="str">
            <v>U240</v>
          </cell>
        </row>
        <row r="2871">
          <cell r="A2871">
            <v>92242</v>
          </cell>
          <cell r="B2871">
            <v>150</v>
          </cell>
          <cell r="C2871">
            <v>92</v>
          </cell>
          <cell r="D2871">
            <v>1008</v>
          </cell>
          <cell r="E2871" t="str">
            <v>U242</v>
          </cell>
        </row>
        <row r="2872">
          <cell r="A2872">
            <v>93225</v>
          </cell>
          <cell r="B2872">
            <v>132</v>
          </cell>
          <cell r="C2872">
            <v>93</v>
          </cell>
          <cell r="D2872">
            <v>3.5999999999999999E-3</v>
          </cell>
          <cell r="E2872" t="str">
            <v>Np225</v>
          </cell>
        </row>
        <row r="2873">
          <cell r="A2873">
            <v>93226</v>
          </cell>
          <cell r="B2873">
            <v>133</v>
          </cell>
          <cell r="C2873">
            <v>93</v>
          </cell>
          <cell r="D2873">
            <v>3.5000000000000003E-2</v>
          </cell>
          <cell r="E2873" t="str">
            <v>Np226</v>
          </cell>
        </row>
        <row r="2874">
          <cell r="A2874">
            <v>93227</v>
          </cell>
          <cell r="B2874">
            <v>134</v>
          </cell>
          <cell r="C2874">
            <v>93</v>
          </cell>
          <cell r="D2874">
            <v>0.51</v>
          </cell>
          <cell r="E2874" t="str">
            <v>Np227</v>
          </cell>
        </row>
        <row r="2875">
          <cell r="A2875">
            <v>93228</v>
          </cell>
          <cell r="B2875">
            <v>135</v>
          </cell>
          <cell r="C2875">
            <v>93</v>
          </cell>
          <cell r="D2875">
            <v>61.4</v>
          </cell>
          <cell r="E2875" t="str">
            <v>Np228</v>
          </cell>
        </row>
        <row r="2876">
          <cell r="A2876">
            <v>93229</v>
          </cell>
          <cell r="B2876">
            <v>136</v>
          </cell>
          <cell r="C2876">
            <v>93</v>
          </cell>
          <cell r="D2876">
            <v>240</v>
          </cell>
          <cell r="E2876" t="str">
            <v>Np229</v>
          </cell>
        </row>
        <row r="2877">
          <cell r="A2877">
            <v>93230</v>
          </cell>
          <cell r="B2877">
            <v>137</v>
          </cell>
          <cell r="C2877">
            <v>93</v>
          </cell>
          <cell r="D2877">
            <v>276</v>
          </cell>
          <cell r="E2877" t="str">
            <v>Np230</v>
          </cell>
        </row>
        <row r="2878">
          <cell r="A2878">
            <v>93231</v>
          </cell>
          <cell r="B2878">
            <v>138</v>
          </cell>
          <cell r="C2878">
            <v>93</v>
          </cell>
          <cell r="D2878">
            <v>2928</v>
          </cell>
          <cell r="E2878" t="str">
            <v>Np231</v>
          </cell>
        </row>
        <row r="2879">
          <cell r="A2879">
            <v>93232</v>
          </cell>
          <cell r="B2879">
            <v>139</v>
          </cell>
          <cell r="C2879">
            <v>93</v>
          </cell>
          <cell r="D2879">
            <v>882</v>
          </cell>
          <cell r="E2879" t="str">
            <v>Np232</v>
          </cell>
        </row>
        <row r="2880">
          <cell r="A2880">
            <v>93233</v>
          </cell>
          <cell r="B2880">
            <v>140</v>
          </cell>
          <cell r="C2880">
            <v>93</v>
          </cell>
          <cell r="D2880">
            <v>2172</v>
          </cell>
          <cell r="E2880" t="str">
            <v>Np233</v>
          </cell>
        </row>
        <row r="2881">
          <cell r="A2881">
            <v>93234</v>
          </cell>
          <cell r="B2881">
            <v>141</v>
          </cell>
          <cell r="C2881">
            <v>93</v>
          </cell>
          <cell r="D2881">
            <v>380160</v>
          </cell>
          <cell r="E2881" t="str">
            <v>Np234</v>
          </cell>
        </row>
        <row r="2882">
          <cell r="A2882">
            <v>93235</v>
          </cell>
          <cell r="B2882">
            <v>142</v>
          </cell>
          <cell r="C2882">
            <v>93</v>
          </cell>
          <cell r="D2882">
            <v>34223040</v>
          </cell>
          <cell r="E2882" t="str">
            <v>Np235</v>
          </cell>
        </row>
        <row r="2883">
          <cell r="A2883">
            <v>93236</v>
          </cell>
          <cell r="B2883">
            <v>143</v>
          </cell>
          <cell r="C2883">
            <v>93</v>
          </cell>
          <cell r="D2883">
            <v>4828312800000</v>
          </cell>
          <cell r="E2883" t="str">
            <v>Np236</v>
          </cell>
        </row>
        <row r="2884">
          <cell r="A2884">
            <v>93237</v>
          </cell>
          <cell r="B2884">
            <v>144</v>
          </cell>
          <cell r="C2884">
            <v>93</v>
          </cell>
          <cell r="D2884">
            <v>67659494400000</v>
          </cell>
          <cell r="E2884" t="str">
            <v>Np237</v>
          </cell>
        </row>
        <row r="2885">
          <cell r="A2885">
            <v>93238</v>
          </cell>
          <cell r="B2885">
            <v>145</v>
          </cell>
          <cell r="C2885">
            <v>93</v>
          </cell>
          <cell r="D2885">
            <v>182908.79999999999</v>
          </cell>
          <cell r="E2885" t="str">
            <v>Np238</v>
          </cell>
        </row>
        <row r="2886">
          <cell r="A2886">
            <v>93239</v>
          </cell>
          <cell r="B2886">
            <v>146</v>
          </cell>
          <cell r="C2886">
            <v>93</v>
          </cell>
          <cell r="D2886">
            <v>203558.39999999999</v>
          </cell>
          <cell r="E2886" t="str">
            <v>Np239</v>
          </cell>
        </row>
        <row r="2887">
          <cell r="A2887">
            <v>93240</v>
          </cell>
          <cell r="B2887">
            <v>147</v>
          </cell>
          <cell r="C2887">
            <v>93</v>
          </cell>
          <cell r="D2887">
            <v>3714</v>
          </cell>
          <cell r="E2887" t="str">
            <v>Np240</v>
          </cell>
        </row>
        <row r="2888">
          <cell r="A2888">
            <v>93241</v>
          </cell>
          <cell r="B2888">
            <v>148</v>
          </cell>
          <cell r="C2888">
            <v>93</v>
          </cell>
          <cell r="D2888">
            <v>834</v>
          </cell>
          <cell r="E2888" t="str">
            <v>Np241</v>
          </cell>
        </row>
        <row r="2889">
          <cell r="A2889">
            <v>93242</v>
          </cell>
          <cell r="B2889">
            <v>149</v>
          </cell>
          <cell r="C2889">
            <v>93</v>
          </cell>
          <cell r="D2889">
            <v>132</v>
          </cell>
          <cell r="E2889" t="str">
            <v>Np242</v>
          </cell>
        </row>
        <row r="2890">
          <cell r="A2890">
            <v>93243</v>
          </cell>
          <cell r="B2890">
            <v>150</v>
          </cell>
          <cell r="C2890">
            <v>93</v>
          </cell>
          <cell r="D2890">
            <v>111</v>
          </cell>
          <cell r="E2890" t="str">
            <v>Np243</v>
          </cell>
        </row>
        <row r="2891">
          <cell r="A2891">
            <v>93244</v>
          </cell>
          <cell r="B2891">
            <v>151</v>
          </cell>
          <cell r="C2891">
            <v>93</v>
          </cell>
          <cell r="D2891">
            <v>137.4</v>
          </cell>
          <cell r="E2891" t="str">
            <v>Np244</v>
          </cell>
        </row>
        <row r="2892">
          <cell r="A2892">
            <v>94228</v>
          </cell>
          <cell r="B2892">
            <v>134</v>
          </cell>
          <cell r="C2892">
            <v>94</v>
          </cell>
          <cell r="D2892">
            <v>1.1000000000000001</v>
          </cell>
          <cell r="E2892" t="str">
            <v>Pu228</v>
          </cell>
        </row>
        <row r="2893">
          <cell r="A2893">
            <v>94229</v>
          </cell>
          <cell r="B2893">
            <v>135</v>
          </cell>
          <cell r="C2893">
            <v>94</v>
          </cell>
          <cell r="D2893">
            <v>67</v>
          </cell>
          <cell r="E2893" t="str">
            <v>Pu229</v>
          </cell>
        </row>
        <row r="2894">
          <cell r="A2894">
            <v>94230</v>
          </cell>
          <cell r="B2894">
            <v>136</v>
          </cell>
          <cell r="C2894">
            <v>94</v>
          </cell>
          <cell r="D2894">
            <v>102</v>
          </cell>
          <cell r="E2894" t="str">
            <v>Pu230</v>
          </cell>
        </row>
        <row r="2895">
          <cell r="A2895">
            <v>94231</v>
          </cell>
          <cell r="B2895">
            <v>137</v>
          </cell>
          <cell r="C2895">
            <v>94</v>
          </cell>
          <cell r="D2895">
            <v>516</v>
          </cell>
          <cell r="E2895" t="str">
            <v>Pu231</v>
          </cell>
        </row>
        <row r="2896">
          <cell r="A2896">
            <v>94232</v>
          </cell>
          <cell r="B2896">
            <v>138</v>
          </cell>
          <cell r="C2896">
            <v>94</v>
          </cell>
          <cell r="D2896">
            <v>2027.99999999999</v>
          </cell>
          <cell r="E2896" t="str">
            <v>Pu232</v>
          </cell>
        </row>
        <row r="2897">
          <cell r="A2897">
            <v>94233</v>
          </cell>
          <cell r="B2897">
            <v>139</v>
          </cell>
          <cell r="C2897">
            <v>94</v>
          </cell>
          <cell r="D2897">
            <v>1254</v>
          </cell>
          <cell r="E2897" t="str">
            <v>Pu233</v>
          </cell>
        </row>
        <row r="2898">
          <cell r="A2898">
            <v>94234</v>
          </cell>
          <cell r="B2898">
            <v>140</v>
          </cell>
          <cell r="C2898">
            <v>94</v>
          </cell>
          <cell r="D2898">
            <v>31680</v>
          </cell>
          <cell r="E2898" t="str">
            <v>Pu234</v>
          </cell>
        </row>
        <row r="2899">
          <cell r="A2899">
            <v>94235</v>
          </cell>
          <cell r="B2899">
            <v>141</v>
          </cell>
          <cell r="C2899">
            <v>94</v>
          </cell>
          <cell r="D2899">
            <v>1518</v>
          </cell>
          <cell r="E2899" t="str">
            <v>Pu235</v>
          </cell>
        </row>
        <row r="2900">
          <cell r="A2900">
            <v>94236</v>
          </cell>
          <cell r="B2900">
            <v>142</v>
          </cell>
          <cell r="C2900">
            <v>94</v>
          </cell>
          <cell r="D2900">
            <v>90191620.799999997</v>
          </cell>
          <cell r="E2900" t="str">
            <v>Pu236</v>
          </cell>
        </row>
        <row r="2901">
          <cell r="A2901">
            <v>94237</v>
          </cell>
          <cell r="B2901">
            <v>143</v>
          </cell>
          <cell r="C2901">
            <v>94</v>
          </cell>
          <cell r="D2901">
            <v>3943296</v>
          </cell>
          <cell r="E2901" t="str">
            <v>Pu237</v>
          </cell>
        </row>
        <row r="2902">
          <cell r="A2902">
            <v>94238</v>
          </cell>
          <cell r="B2902">
            <v>144</v>
          </cell>
          <cell r="C2902">
            <v>94</v>
          </cell>
          <cell r="D2902">
            <v>2767601520</v>
          </cell>
          <cell r="E2902" t="str">
            <v>Pu238</v>
          </cell>
        </row>
        <row r="2903">
          <cell r="A2903">
            <v>94239</v>
          </cell>
          <cell r="B2903">
            <v>145</v>
          </cell>
          <cell r="C2903">
            <v>94</v>
          </cell>
          <cell r="D2903">
            <v>760853736000</v>
          </cell>
          <cell r="E2903" t="str">
            <v>Pu239</v>
          </cell>
        </row>
        <row r="2904">
          <cell r="A2904">
            <v>94240</v>
          </cell>
          <cell r="B2904">
            <v>146</v>
          </cell>
          <cell r="C2904">
            <v>94</v>
          </cell>
          <cell r="D2904">
            <v>207049413600</v>
          </cell>
          <cell r="E2904" t="str">
            <v>Pu240</v>
          </cell>
        </row>
        <row r="2905">
          <cell r="A2905">
            <v>94241</v>
          </cell>
          <cell r="B2905">
            <v>147</v>
          </cell>
          <cell r="C2905">
            <v>94</v>
          </cell>
          <cell r="D2905">
            <v>452188850.39999998</v>
          </cell>
          <cell r="E2905" t="str">
            <v>Pu241</v>
          </cell>
        </row>
        <row r="2906">
          <cell r="A2906">
            <v>94242</v>
          </cell>
          <cell r="B2906">
            <v>148</v>
          </cell>
          <cell r="C2906">
            <v>94</v>
          </cell>
          <cell r="D2906">
            <v>11834100000000</v>
          </cell>
          <cell r="E2906" t="str">
            <v>Pu242</v>
          </cell>
        </row>
        <row r="2907">
          <cell r="A2907">
            <v>94243</v>
          </cell>
          <cell r="B2907">
            <v>149</v>
          </cell>
          <cell r="C2907">
            <v>94</v>
          </cell>
          <cell r="D2907">
            <v>17841.599999999999</v>
          </cell>
          <cell r="E2907" t="str">
            <v>Pu243</v>
          </cell>
        </row>
        <row r="2908">
          <cell r="A2908">
            <v>94244</v>
          </cell>
          <cell r="B2908">
            <v>150</v>
          </cell>
          <cell r="C2908">
            <v>94</v>
          </cell>
          <cell r="D2908">
            <v>2524608000000000</v>
          </cell>
          <cell r="E2908" t="str">
            <v>Pu244</v>
          </cell>
        </row>
        <row r="2909">
          <cell r="A2909">
            <v>94245</v>
          </cell>
          <cell r="B2909">
            <v>151</v>
          </cell>
          <cell r="C2909">
            <v>94</v>
          </cell>
          <cell r="D2909">
            <v>37800</v>
          </cell>
          <cell r="E2909" t="str">
            <v>Pu245</v>
          </cell>
        </row>
        <row r="2910">
          <cell r="A2910">
            <v>94246</v>
          </cell>
          <cell r="B2910">
            <v>152</v>
          </cell>
          <cell r="C2910">
            <v>94</v>
          </cell>
          <cell r="D2910">
            <v>936576</v>
          </cell>
          <cell r="E2910" t="str">
            <v>Pu246</v>
          </cell>
        </row>
        <row r="2911">
          <cell r="A2911">
            <v>94247</v>
          </cell>
          <cell r="B2911">
            <v>153</v>
          </cell>
          <cell r="C2911">
            <v>94</v>
          </cell>
          <cell r="D2911">
            <v>196128</v>
          </cell>
          <cell r="E2911" t="str">
            <v>Pu247</v>
          </cell>
        </row>
        <row r="2912">
          <cell r="A2912">
            <v>95230</v>
          </cell>
          <cell r="B2912">
            <v>135</v>
          </cell>
          <cell r="C2912">
            <v>95</v>
          </cell>
          <cell r="D2912">
            <v>17</v>
          </cell>
          <cell r="E2912" t="str">
            <v>Am230</v>
          </cell>
        </row>
        <row r="2913">
          <cell r="A2913">
            <v>95232</v>
          </cell>
          <cell r="B2913">
            <v>137</v>
          </cell>
          <cell r="C2913">
            <v>95</v>
          </cell>
          <cell r="D2913">
            <v>79</v>
          </cell>
          <cell r="E2913" t="str">
            <v>Am232</v>
          </cell>
        </row>
        <row r="2914">
          <cell r="A2914">
            <v>95233</v>
          </cell>
          <cell r="B2914">
            <v>138</v>
          </cell>
          <cell r="C2914">
            <v>95</v>
          </cell>
          <cell r="D2914">
            <v>192</v>
          </cell>
          <cell r="E2914" t="str">
            <v>Am233</v>
          </cell>
        </row>
        <row r="2915">
          <cell r="A2915">
            <v>95234</v>
          </cell>
          <cell r="B2915">
            <v>139</v>
          </cell>
          <cell r="C2915">
            <v>95</v>
          </cell>
          <cell r="D2915">
            <v>139.19999999999999</v>
          </cell>
          <cell r="E2915" t="str">
            <v>Am234</v>
          </cell>
        </row>
        <row r="2916">
          <cell r="A2916">
            <v>95235</v>
          </cell>
          <cell r="B2916">
            <v>140</v>
          </cell>
          <cell r="C2916">
            <v>95</v>
          </cell>
          <cell r="D2916">
            <v>618</v>
          </cell>
          <cell r="E2916" t="str">
            <v>Am235</v>
          </cell>
        </row>
        <row r="2917">
          <cell r="A2917">
            <v>95236</v>
          </cell>
          <cell r="B2917">
            <v>141</v>
          </cell>
          <cell r="C2917">
            <v>95</v>
          </cell>
          <cell r="D2917">
            <v>216</v>
          </cell>
          <cell r="E2917" t="str">
            <v>Am236</v>
          </cell>
        </row>
        <row r="2918">
          <cell r="A2918">
            <v>95237</v>
          </cell>
          <cell r="B2918">
            <v>142</v>
          </cell>
          <cell r="C2918">
            <v>95</v>
          </cell>
          <cell r="D2918">
            <v>4416</v>
          </cell>
          <cell r="E2918" t="str">
            <v>Am237</v>
          </cell>
        </row>
        <row r="2919">
          <cell r="A2919">
            <v>95238</v>
          </cell>
          <cell r="B2919">
            <v>143</v>
          </cell>
          <cell r="C2919">
            <v>95</v>
          </cell>
          <cell r="D2919">
            <v>5880</v>
          </cell>
          <cell r="E2919" t="str">
            <v>Am238</v>
          </cell>
        </row>
        <row r="2920">
          <cell r="A2920">
            <v>95239</v>
          </cell>
          <cell r="B2920">
            <v>144</v>
          </cell>
          <cell r="C2920">
            <v>95</v>
          </cell>
          <cell r="D2920">
            <v>42840</v>
          </cell>
          <cell r="E2920" t="str">
            <v>Am239</v>
          </cell>
        </row>
        <row r="2921">
          <cell r="A2921">
            <v>95240</v>
          </cell>
          <cell r="B2921">
            <v>145</v>
          </cell>
          <cell r="C2921">
            <v>95</v>
          </cell>
          <cell r="D2921">
            <v>182880</v>
          </cell>
          <cell r="E2921" t="str">
            <v>Am240</v>
          </cell>
        </row>
        <row r="2922">
          <cell r="A2922">
            <v>95241</v>
          </cell>
          <cell r="B2922">
            <v>146</v>
          </cell>
          <cell r="C2922">
            <v>95</v>
          </cell>
          <cell r="D2922">
            <v>13651817760</v>
          </cell>
          <cell r="E2922" t="str">
            <v>Am241</v>
          </cell>
        </row>
        <row r="2923">
          <cell r="A2923">
            <v>95242</v>
          </cell>
          <cell r="B2923">
            <v>147</v>
          </cell>
          <cell r="C2923">
            <v>95</v>
          </cell>
          <cell r="D2923">
            <v>57672</v>
          </cell>
          <cell r="E2923" t="str">
            <v>Am242</v>
          </cell>
        </row>
        <row r="2924">
          <cell r="A2924">
            <v>95243</v>
          </cell>
          <cell r="B2924">
            <v>148</v>
          </cell>
          <cell r="C2924">
            <v>95</v>
          </cell>
          <cell r="D2924">
            <v>232390166400</v>
          </cell>
          <cell r="E2924" t="str">
            <v>Am243</v>
          </cell>
        </row>
        <row r="2925">
          <cell r="A2925">
            <v>95244</v>
          </cell>
          <cell r="B2925">
            <v>149</v>
          </cell>
          <cell r="C2925">
            <v>95</v>
          </cell>
          <cell r="D2925">
            <v>36360</v>
          </cell>
          <cell r="E2925" t="str">
            <v>Am244</v>
          </cell>
        </row>
        <row r="2926">
          <cell r="A2926">
            <v>95245</v>
          </cell>
          <cell r="B2926">
            <v>150</v>
          </cell>
          <cell r="C2926">
            <v>95</v>
          </cell>
          <cell r="D2926">
            <v>7379.99999999999</v>
          </cell>
          <cell r="E2926" t="str">
            <v>Am245</v>
          </cell>
        </row>
        <row r="2927">
          <cell r="A2927">
            <v>95246</v>
          </cell>
          <cell r="B2927">
            <v>151</v>
          </cell>
          <cell r="C2927">
            <v>95</v>
          </cell>
          <cell r="D2927">
            <v>2340</v>
          </cell>
          <cell r="E2927" t="str">
            <v>Am246</v>
          </cell>
        </row>
        <row r="2928">
          <cell r="A2928">
            <v>95247</v>
          </cell>
          <cell r="B2928">
            <v>152</v>
          </cell>
          <cell r="C2928">
            <v>95</v>
          </cell>
          <cell r="D2928">
            <v>1380</v>
          </cell>
          <cell r="E2928" t="str">
            <v>Am247</v>
          </cell>
        </row>
        <row r="2929">
          <cell r="A2929">
            <v>95248</v>
          </cell>
          <cell r="B2929">
            <v>153</v>
          </cell>
          <cell r="C2929">
            <v>95</v>
          </cell>
          <cell r="D2929">
            <v>600</v>
          </cell>
          <cell r="E2929" t="str">
            <v>Am248</v>
          </cell>
        </row>
        <row r="2930">
          <cell r="A2930">
            <v>96233</v>
          </cell>
          <cell r="B2930">
            <v>137</v>
          </cell>
          <cell r="C2930">
            <v>96</v>
          </cell>
          <cell r="D2930">
            <v>23</v>
          </cell>
          <cell r="E2930" t="str">
            <v>Cm233</v>
          </cell>
        </row>
        <row r="2931">
          <cell r="A2931">
            <v>96234</v>
          </cell>
          <cell r="B2931">
            <v>138</v>
          </cell>
          <cell r="C2931">
            <v>96</v>
          </cell>
          <cell r="D2931">
            <v>51</v>
          </cell>
          <cell r="E2931" t="str">
            <v>Cm234</v>
          </cell>
        </row>
        <row r="2932">
          <cell r="A2932">
            <v>96238</v>
          </cell>
          <cell r="B2932">
            <v>142</v>
          </cell>
          <cell r="C2932">
            <v>96</v>
          </cell>
          <cell r="D2932">
            <v>7920</v>
          </cell>
          <cell r="E2932" t="str">
            <v>Cm238</v>
          </cell>
        </row>
        <row r="2933">
          <cell r="A2933">
            <v>96239</v>
          </cell>
          <cell r="B2933">
            <v>143</v>
          </cell>
          <cell r="C2933">
            <v>96</v>
          </cell>
          <cell r="D2933">
            <v>9720</v>
          </cell>
          <cell r="E2933" t="str">
            <v>Cm239</v>
          </cell>
        </row>
        <row r="2934">
          <cell r="A2934">
            <v>96240</v>
          </cell>
          <cell r="B2934">
            <v>144</v>
          </cell>
          <cell r="C2934">
            <v>96</v>
          </cell>
          <cell r="D2934">
            <v>2332800</v>
          </cell>
          <cell r="E2934" t="str">
            <v>Cm240</v>
          </cell>
        </row>
        <row r="2935">
          <cell r="A2935">
            <v>96241</v>
          </cell>
          <cell r="B2935">
            <v>145</v>
          </cell>
          <cell r="C2935">
            <v>96</v>
          </cell>
          <cell r="D2935">
            <v>2833919.9999999902</v>
          </cell>
          <cell r="E2935" t="str">
            <v>Cm241</v>
          </cell>
        </row>
        <row r="2936">
          <cell r="A2936">
            <v>96242</v>
          </cell>
          <cell r="B2936">
            <v>146</v>
          </cell>
          <cell r="C2936">
            <v>96</v>
          </cell>
          <cell r="D2936">
            <v>14065920</v>
          </cell>
          <cell r="E2936" t="str">
            <v>Cm242</v>
          </cell>
        </row>
        <row r="2937">
          <cell r="A2937">
            <v>96243</v>
          </cell>
          <cell r="B2937">
            <v>147</v>
          </cell>
          <cell r="C2937">
            <v>96</v>
          </cell>
          <cell r="D2937">
            <v>918326160</v>
          </cell>
          <cell r="E2937" t="str">
            <v>Cm243</v>
          </cell>
        </row>
        <row r="2938">
          <cell r="A2938">
            <v>96244</v>
          </cell>
          <cell r="B2938">
            <v>148</v>
          </cell>
          <cell r="C2938">
            <v>96</v>
          </cell>
          <cell r="D2938">
            <v>571192560</v>
          </cell>
          <cell r="E2938" t="str">
            <v>Cm244</v>
          </cell>
        </row>
        <row r="2939">
          <cell r="A2939">
            <v>96245</v>
          </cell>
          <cell r="B2939">
            <v>149</v>
          </cell>
          <cell r="C2939">
            <v>96</v>
          </cell>
          <cell r="D2939">
            <v>265809664800</v>
          </cell>
          <cell r="E2939" t="str">
            <v>Cm245</v>
          </cell>
        </row>
        <row r="2940">
          <cell r="A2940">
            <v>96246</v>
          </cell>
          <cell r="B2940">
            <v>150</v>
          </cell>
          <cell r="C2940">
            <v>96</v>
          </cell>
          <cell r="D2940">
            <v>148510065600</v>
          </cell>
          <cell r="E2940" t="str">
            <v>Cm246</v>
          </cell>
        </row>
        <row r="2941">
          <cell r="A2941">
            <v>96247</v>
          </cell>
          <cell r="B2941">
            <v>151</v>
          </cell>
          <cell r="C2941">
            <v>96</v>
          </cell>
          <cell r="D2941">
            <v>492298560000000</v>
          </cell>
          <cell r="E2941" t="str">
            <v>Cm247</v>
          </cell>
        </row>
        <row r="2942">
          <cell r="A2942">
            <v>96248</v>
          </cell>
          <cell r="B2942">
            <v>152</v>
          </cell>
          <cell r="C2942">
            <v>96</v>
          </cell>
          <cell r="D2942">
            <v>10982044800000</v>
          </cell>
          <cell r="E2942" t="str">
            <v>Cm248</v>
          </cell>
        </row>
        <row r="2943">
          <cell r="A2943">
            <v>96249</v>
          </cell>
          <cell r="B2943">
            <v>153</v>
          </cell>
          <cell r="C2943">
            <v>96</v>
          </cell>
          <cell r="D2943">
            <v>3849</v>
          </cell>
          <cell r="E2943" t="str">
            <v>Cm249</v>
          </cell>
        </row>
        <row r="2944">
          <cell r="A2944">
            <v>96250</v>
          </cell>
          <cell r="B2944">
            <v>154</v>
          </cell>
          <cell r="C2944">
            <v>96</v>
          </cell>
          <cell r="D2944">
            <v>261928080000</v>
          </cell>
          <cell r="E2944" t="str">
            <v>Cm250</v>
          </cell>
        </row>
        <row r="2945">
          <cell r="A2945">
            <v>96251</v>
          </cell>
          <cell r="B2945">
            <v>155</v>
          </cell>
          <cell r="C2945">
            <v>96</v>
          </cell>
          <cell r="D2945">
            <v>1008</v>
          </cell>
          <cell r="E2945" t="str">
            <v>Cm251</v>
          </cell>
        </row>
        <row r="2946">
          <cell r="A2946">
            <v>97234</v>
          </cell>
          <cell r="B2946">
            <v>137</v>
          </cell>
          <cell r="C2946">
            <v>97</v>
          </cell>
          <cell r="D2946">
            <v>140</v>
          </cell>
          <cell r="E2946" t="str">
            <v>Bk234</v>
          </cell>
        </row>
        <row r="2947">
          <cell r="A2947">
            <v>97237</v>
          </cell>
          <cell r="B2947">
            <v>140</v>
          </cell>
          <cell r="C2947">
            <v>97</v>
          </cell>
          <cell r="D2947">
            <v>60</v>
          </cell>
          <cell r="E2947" t="str">
            <v>Bk237</v>
          </cell>
        </row>
        <row r="2948">
          <cell r="A2948">
            <v>97238</v>
          </cell>
          <cell r="B2948">
            <v>141</v>
          </cell>
          <cell r="C2948">
            <v>97</v>
          </cell>
          <cell r="D2948">
            <v>144</v>
          </cell>
          <cell r="E2948" t="str">
            <v>Bk238</v>
          </cell>
        </row>
        <row r="2949">
          <cell r="A2949">
            <v>97240</v>
          </cell>
          <cell r="B2949">
            <v>143</v>
          </cell>
          <cell r="C2949">
            <v>97</v>
          </cell>
          <cell r="D2949">
            <v>288</v>
          </cell>
          <cell r="E2949" t="str">
            <v>Bk240</v>
          </cell>
        </row>
        <row r="2950">
          <cell r="A2950">
            <v>97241</v>
          </cell>
          <cell r="B2950">
            <v>144</v>
          </cell>
          <cell r="C2950">
            <v>97</v>
          </cell>
          <cell r="D2950">
            <v>276</v>
          </cell>
          <cell r="E2950" t="str">
            <v>Bk241</v>
          </cell>
        </row>
        <row r="2951">
          <cell r="A2951">
            <v>97242</v>
          </cell>
          <cell r="B2951">
            <v>145</v>
          </cell>
          <cell r="C2951">
            <v>97</v>
          </cell>
          <cell r="D2951">
            <v>420</v>
          </cell>
          <cell r="E2951" t="str">
            <v>Bk242</v>
          </cell>
        </row>
        <row r="2952">
          <cell r="A2952">
            <v>97243</v>
          </cell>
          <cell r="B2952">
            <v>146</v>
          </cell>
          <cell r="C2952">
            <v>97</v>
          </cell>
          <cell r="D2952">
            <v>16200</v>
          </cell>
          <cell r="E2952" t="str">
            <v>Bk243</v>
          </cell>
        </row>
        <row r="2953">
          <cell r="A2953">
            <v>97244</v>
          </cell>
          <cell r="B2953">
            <v>147</v>
          </cell>
          <cell r="C2953">
            <v>97</v>
          </cell>
          <cell r="D2953">
            <v>15659.9999999999</v>
          </cell>
          <cell r="E2953" t="str">
            <v>Bk244</v>
          </cell>
        </row>
        <row r="2954">
          <cell r="A2954">
            <v>97245</v>
          </cell>
          <cell r="B2954">
            <v>148</v>
          </cell>
          <cell r="C2954">
            <v>97</v>
          </cell>
          <cell r="D2954">
            <v>427680</v>
          </cell>
          <cell r="E2954" t="str">
            <v>Bk245</v>
          </cell>
        </row>
        <row r="2955">
          <cell r="A2955">
            <v>97246</v>
          </cell>
          <cell r="B2955">
            <v>149</v>
          </cell>
          <cell r="C2955">
            <v>97</v>
          </cell>
          <cell r="D2955">
            <v>155520</v>
          </cell>
          <cell r="E2955" t="str">
            <v>Bk246</v>
          </cell>
        </row>
        <row r="2956">
          <cell r="A2956">
            <v>97247</v>
          </cell>
          <cell r="B2956">
            <v>150</v>
          </cell>
          <cell r="C2956">
            <v>97</v>
          </cell>
          <cell r="D2956">
            <v>43549488000</v>
          </cell>
          <cell r="E2956" t="str">
            <v>Bk247</v>
          </cell>
        </row>
        <row r="2957">
          <cell r="A2957">
            <v>97248</v>
          </cell>
          <cell r="B2957">
            <v>151</v>
          </cell>
          <cell r="C2957">
            <v>97</v>
          </cell>
          <cell r="D2957">
            <v>284018400</v>
          </cell>
          <cell r="E2957" t="str">
            <v>Bk248</v>
          </cell>
        </row>
        <row r="2958">
          <cell r="A2958">
            <v>97249</v>
          </cell>
          <cell r="B2958">
            <v>152</v>
          </cell>
          <cell r="C2958">
            <v>97</v>
          </cell>
          <cell r="D2958">
            <v>28512000</v>
          </cell>
          <cell r="E2958" t="str">
            <v>Bk249</v>
          </cell>
        </row>
        <row r="2959">
          <cell r="A2959">
            <v>97250</v>
          </cell>
          <cell r="B2959">
            <v>153</v>
          </cell>
          <cell r="C2959">
            <v>97</v>
          </cell>
          <cell r="D2959">
            <v>11563.2</v>
          </cell>
          <cell r="E2959" t="str">
            <v>Bk250</v>
          </cell>
        </row>
        <row r="2960">
          <cell r="A2960">
            <v>97251</v>
          </cell>
          <cell r="B2960">
            <v>154</v>
          </cell>
          <cell r="C2960">
            <v>97</v>
          </cell>
          <cell r="D2960">
            <v>3336</v>
          </cell>
          <cell r="E2960" t="str">
            <v>Bk251</v>
          </cell>
        </row>
        <row r="2961">
          <cell r="A2961">
            <v>97253</v>
          </cell>
          <cell r="B2961">
            <v>156</v>
          </cell>
          <cell r="C2961">
            <v>97</v>
          </cell>
          <cell r="D2961">
            <v>600</v>
          </cell>
          <cell r="E2961" t="str">
            <v>Bk253</v>
          </cell>
        </row>
        <row r="2962">
          <cell r="A2962">
            <v>98237</v>
          </cell>
          <cell r="B2962">
            <v>139</v>
          </cell>
          <cell r="C2962">
            <v>98</v>
          </cell>
          <cell r="D2962">
            <v>0.8</v>
          </cell>
          <cell r="E2962" t="str">
            <v>Cf237</v>
          </cell>
        </row>
        <row r="2963">
          <cell r="A2963">
            <v>98238</v>
          </cell>
          <cell r="B2963">
            <v>140</v>
          </cell>
          <cell r="C2963">
            <v>98</v>
          </cell>
          <cell r="D2963">
            <v>2.1100000000000001E-2</v>
          </cell>
          <cell r="E2963" t="str">
            <v>Cf238</v>
          </cell>
        </row>
        <row r="2964">
          <cell r="A2964">
            <v>98239</v>
          </cell>
          <cell r="B2964">
            <v>141</v>
          </cell>
          <cell r="C2964">
            <v>98</v>
          </cell>
          <cell r="D2964">
            <v>39</v>
          </cell>
          <cell r="E2964" t="str">
            <v>Cf239</v>
          </cell>
        </row>
        <row r="2965">
          <cell r="A2965">
            <v>98240</v>
          </cell>
          <cell r="B2965">
            <v>142</v>
          </cell>
          <cell r="C2965">
            <v>98</v>
          </cell>
          <cell r="D2965">
            <v>64</v>
          </cell>
          <cell r="E2965" t="str">
            <v>Cf240</v>
          </cell>
        </row>
        <row r="2966">
          <cell r="A2966">
            <v>98241</v>
          </cell>
          <cell r="B2966">
            <v>143</v>
          </cell>
          <cell r="C2966">
            <v>98</v>
          </cell>
          <cell r="D2966">
            <v>226.79999999999899</v>
          </cell>
          <cell r="E2966" t="str">
            <v>Cf241</v>
          </cell>
        </row>
        <row r="2967">
          <cell r="A2967">
            <v>98242</v>
          </cell>
          <cell r="B2967">
            <v>144</v>
          </cell>
          <cell r="C2967">
            <v>98</v>
          </cell>
          <cell r="D2967">
            <v>209.4</v>
          </cell>
          <cell r="E2967" t="str">
            <v>Cf242</v>
          </cell>
        </row>
        <row r="2968">
          <cell r="A2968">
            <v>98243</v>
          </cell>
          <cell r="B2968">
            <v>145</v>
          </cell>
          <cell r="C2968">
            <v>98</v>
          </cell>
          <cell r="D2968">
            <v>642</v>
          </cell>
          <cell r="E2968" t="str">
            <v>Cf243</v>
          </cell>
        </row>
        <row r="2969">
          <cell r="A2969">
            <v>98244</v>
          </cell>
          <cell r="B2969">
            <v>146</v>
          </cell>
          <cell r="C2969">
            <v>98</v>
          </cell>
          <cell r="D2969">
            <v>1164</v>
          </cell>
          <cell r="E2969" t="str">
            <v>Cf244</v>
          </cell>
        </row>
        <row r="2970">
          <cell r="A2970">
            <v>98245</v>
          </cell>
          <cell r="B2970">
            <v>147</v>
          </cell>
          <cell r="C2970">
            <v>98</v>
          </cell>
          <cell r="D2970">
            <v>2700</v>
          </cell>
          <cell r="E2970" t="str">
            <v>Cf245</v>
          </cell>
        </row>
        <row r="2971">
          <cell r="A2971">
            <v>98246</v>
          </cell>
          <cell r="B2971">
            <v>148</v>
          </cell>
          <cell r="C2971">
            <v>98</v>
          </cell>
          <cell r="D2971">
            <v>128520</v>
          </cell>
          <cell r="E2971" t="str">
            <v>Cf246</v>
          </cell>
        </row>
        <row r="2972">
          <cell r="A2972">
            <v>98247</v>
          </cell>
          <cell r="B2972">
            <v>149</v>
          </cell>
          <cell r="C2972">
            <v>98</v>
          </cell>
          <cell r="D2972">
            <v>11196</v>
          </cell>
          <cell r="E2972" t="str">
            <v>Cf247</v>
          </cell>
        </row>
        <row r="2973">
          <cell r="A2973">
            <v>98248</v>
          </cell>
          <cell r="B2973">
            <v>150</v>
          </cell>
          <cell r="C2973">
            <v>98</v>
          </cell>
          <cell r="D2973">
            <v>28814400</v>
          </cell>
          <cell r="E2973" t="str">
            <v>Cf248</v>
          </cell>
        </row>
        <row r="2974">
          <cell r="A2974">
            <v>98249</v>
          </cell>
          <cell r="B2974">
            <v>151</v>
          </cell>
          <cell r="C2974">
            <v>98</v>
          </cell>
          <cell r="D2974">
            <v>11076717600</v>
          </cell>
          <cell r="E2974" t="str">
            <v>Cf249</v>
          </cell>
        </row>
        <row r="2975">
          <cell r="A2975">
            <v>98250</v>
          </cell>
          <cell r="B2975">
            <v>152</v>
          </cell>
          <cell r="C2975">
            <v>98</v>
          </cell>
          <cell r="D2975">
            <v>412773408</v>
          </cell>
          <cell r="E2975" t="str">
            <v>Cf250</v>
          </cell>
        </row>
        <row r="2976">
          <cell r="A2976">
            <v>98251</v>
          </cell>
          <cell r="B2976">
            <v>153</v>
          </cell>
          <cell r="C2976">
            <v>98</v>
          </cell>
          <cell r="D2976">
            <v>28338724800</v>
          </cell>
          <cell r="E2976" t="str">
            <v>Cf251</v>
          </cell>
        </row>
        <row r="2977">
          <cell r="A2977">
            <v>98252</v>
          </cell>
          <cell r="B2977">
            <v>154</v>
          </cell>
          <cell r="C2977">
            <v>98</v>
          </cell>
          <cell r="D2977">
            <v>83469852</v>
          </cell>
          <cell r="E2977" t="str">
            <v>Cf252</v>
          </cell>
        </row>
        <row r="2978">
          <cell r="A2978">
            <v>98253</v>
          </cell>
          <cell r="B2978">
            <v>155</v>
          </cell>
          <cell r="C2978">
            <v>98</v>
          </cell>
          <cell r="D2978">
            <v>1538784</v>
          </cell>
          <cell r="E2978" t="str">
            <v>Cf253</v>
          </cell>
        </row>
        <row r="2979">
          <cell r="A2979">
            <v>98254</v>
          </cell>
          <cell r="B2979">
            <v>156</v>
          </cell>
          <cell r="C2979">
            <v>98</v>
          </cell>
          <cell r="D2979">
            <v>5227200</v>
          </cell>
          <cell r="E2979" t="str">
            <v>Cf254</v>
          </cell>
        </row>
        <row r="2980">
          <cell r="A2980">
            <v>98255</v>
          </cell>
          <cell r="B2980">
            <v>157</v>
          </cell>
          <cell r="C2980">
            <v>98</v>
          </cell>
          <cell r="D2980">
            <v>5100</v>
          </cell>
          <cell r="E2980" t="str">
            <v>Cf255</v>
          </cell>
        </row>
        <row r="2981">
          <cell r="A2981">
            <v>98256</v>
          </cell>
          <cell r="B2981">
            <v>158</v>
          </cell>
          <cell r="C2981">
            <v>98</v>
          </cell>
          <cell r="D2981">
            <v>738</v>
          </cell>
          <cell r="E2981" t="str">
            <v>Cf256</v>
          </cell>
        </row>
        <row r="2982">
          <cell r="A2982">
            <v>99241</v>
          </cell>
          <cell r="B2982">
            <v>142</v>
          </cell>
          <cell r="C2982">
            <v>99</v>
          </cell>
          <cell r="D2982">
            <v>8</v>
          </cell>
          <cell r="E2982" t="str">
            <v>Es241</v>
          </cell>
        </row>
        <row r="2983">
          <cell r="A2983">
            <v>99242</v>
          </cell>
          <cell r="B2983">
            <v>143</v>
          </cell>
          <cell r="C2983">
            <v>99</v>
          </cell>
          <cell r="D2983">
            <v>17.8</v>
          </cell>
          <cell r="E2983" t="str">
            <v>Es242</v>
          </cell>
        </row>
        <row r="2984">
          <cell r="A2984">
            <v>99243</v>
          </cell>
          <cell r="B2984">
            <v>144</v>
          </cell>
          <cell r="C2984">
            <v>99</v>
          </cell>
          <cell r="D2984">
            <v>21</v>
          </cell>
          <cell r="E2984" t="str">
            <v>Es243</v>
          </cell>
        </row>
        <row r="2985">
          <cell r="A2985">
            <v>99244</v>
          </cell>
          <cell r="B2985">
            <v>145</v>
          </cell>
          <cell r="C2985">
            <v>99</v>
          </cell>
          <cell r="D2985">
            <v>37</v>
          </cell>
          <cell r="E2985" t="str">
            <v>Es244</v>
          </cell>
        </row>
        <row r="2986">
          <cell r="A2986">
            <v>99245</v>
          </cell>
          <cell r="B2986">
            <v>146</v>
          </cell>
          <cell r="C2986">
            <v>99</v>
          </cell>
          <cell r="D2986">
            <v>66</v>
          </cell>
          <cell r="E2986" t="str">
            <v>Es245</v>
          </cell>
        </row>
        <row r="2987">
          <cell r="A2987">
            <v>99246</v>
          </cell>
          <cell r="B2987">
            <v>147</v>
          </cell>
          <cell r="C2987">
            <v>99</v>
          </cell>
          <cell r="D2987">
            <v>450</v>
          </cell>
          <cell r="E2987" t="str">
            <v>Es246</v>
          </cell>
        </row>
        <row r="2988">
          <cell r="A2988">
            <v>99247</v>
          </cell>
          <cell r="B2988">
            <v>148</v>
          </cell>
          <cell r="C2988">
            <v>99</v>
          </cell>
          <cell r="D2988">
            <v>273</v>
          </cell>
          <cell r="E2988" t="str">
            <v>Es247</v>
          </cell>
        </row>
        <row r="2989">
          <cell r="A2989">
            <v>99248</v>
          </cell>
          <cell r="B2989">
            <v>149</v>
          </cell>
          <cell r="C2989">
            <v>99</v>
          </cell>
          <cell r="D2989">
            <v>1440</v>
          </cell>
          <cell r="E2989" t="str">
            <v>Es248</v>
          </cell>
        </row>
        <row r="2990">
          <cell r="A2990">
            <v>99249</v>
          </cell>
          <cell r="B2990">
            <v>150</v>
          </cell>
          <cell r="C2990">
            <v>99</v>
          </cell>
          <cell r="D2990">
            <v>6132</v>
          </cell>
          <cell r="E2990" t="str">
            <v>Es249</v>
          </cell>
        </row>
        <row r="2991">
          <cell r="A2991">
            <v>99250</v>
          </cell>
          <cell r="B2991">
            <v>151</v>
          </cell>
          <cell r="C2991">
            <v>99</v>
          </cell>
          <cell r="D2991">
            <v>30960</v>
          </cell>
          <cell r="E2991" t="str">
            <v>Es250</v>
          </cell>
        </row>
        <row r="2992">
          <cell r="A2992">
            <v>99251</v>
          </cell>
          <cell r="B2992">
            <v>152</v>
          </cell>
          <cell r="C2992">
            <v>99</v>
          </cell>
          <cell r="D2992">
            <v>118800</v>
          </cell>
          <cell r="E2992" t="str">
            <v>Es251</v>
          </cell>
        </row>
        <row r="2993">
          <cell r="A2993">
            <v>99252</v>
          </cell>
          <cell r="B2993">
            <v>153</v>
          </cell>
          <cell r="C2993">
            <v>99</v>
          </cell>
          <cell r="D2993">
            <v>40754880</v>
          </cell>
          <cell r="E2993" t="str">
            <v>Es252</v>
          </cell>
        </row>
        <row r="2994">
          <cell r="A2994">
            <v>99253</v>
          </cell>
          <cell r="B2994">
            <v>154</v>
          </cell>
          <cell r="C2994">
            <v>99</v>
          </cell>
          <cell r="D2994">
            <v>1768608</v>
          </cell>
          <cell r="E2994" t="str">
            <v>Es253</v>
          </cell>
        </row>
        <row r="2995">
          <cell r="A2995">
            <v>99254</v>
          </cell>
          <cell r="B2995">
            <v>155</v>
          </cell>
          <cell r="C2995">
            <v>99</v>
          </cell>
          <cell r="D2995">
            <v>23820480</v>
          </cell>
          <cell r="E2995" t="str">
            <v>Es254</v>
          </cell>
        </row>
        <row r="2996">
          <cell r="A2996">
            <v>99255</v>
          </cell>
          <cell r="B2996">
            <v>156</v>
          </cell>
          <cell r="C2996">
            <v>99</v>
          </cell>
          <cell r="D2996">
            <v>3438719.9999999902</v>
          </cell>
          <cell r="E2996" t="str">
            <v>Es255</v>
          </cell>
        </row>
        <row r="2997">
          <cell r="A2997">
            <v>99256</v>
          </cell>
          <cell r="B2997">
            <v>157</v>
          </cell>
          <cell r="C2997">
            <v>99</v>
          </cell>
          <cell r="D2997">
            <v>1524</v>
          </cell>
          <cell r="E2997" t="str">
            <v>Es256</v>
          </cell>
        </row>
        <row r="2998">
          <cell r="A2998">
            <v>99257</v>
          </cell>
          <cell r="B2998">
            <v>158</v>
          </cell>
          <cell r="C2998">
            <v>99</v>
          </cell>
          <cell r="D2998">
            <v>665280</v>
          </cell>
          <cell r="E2998" t="str">
            <v>Es257</v>
          </cell>
        </row>
        <row r="2999">
          <cell r="A2999">
            <v>100241</v>
          </cell>
          <cell r="B2999">
            <v>141</v>
          </cell>
          <cell r="C2999">
            <v>100</v>
          </cell>
          <cell r="D2999">
            <v>7.2999999999999996E-4</v>
          </cell>
          <cell r="E2999" t="str">
            <v>Fm241</v>
          </cell>
        </row>
        <row r="3000">
          <cell r="A3000">
            <v>100243</v>
          </cell>
          <cell r="B3000">
            <v>143</v>
          </cell>
          <cell r="C3000">
            <v>100</v>
          </cell>
          <cell r="D3000">
            <v>0.23100000000000001</v>
          </cell>
          <cell r="E3000" t="str">
            <v>Fm243</v>
          </cell>
        </row>
        <row r="3001">
          <cell r="A3001">
            <v>100244</v>
          </cell>
          <cell r="B3001">
            <v>144</v>
          </cell>
          <cell r="C3001">
            <v>100</v>
          </cell>
          <cell r="D3001">
            <v>3.1199999999999999E-3</v>
          </cell>
          <cell r="E3001" t="str">
            <v>Fm244</v>
          </cell>
        </row>
        <row r="3002">
          <cell r="A3002">
            <v>100245</v>
          </cell>
          <cell r="B3002">
            <v>145</v>
          </cell>
          <cell r="C3002">
            <v>100</v>
          </cell>
          <cell r="D3002">
            <v>4.2</v>
          </cell>
          <cell r="E3002" t="str">
            <v>Fm245</v>
          </cell>
        </row>
        <row r="3003">
          <cell r="A3003">
            <v>100246</v>
          </cell>
          <cell r="B3003">
            <v>146</v>
          </cell>
          <cell r="C3003">
            <v>100</v>
          </cell>
          <cell r="D3003">
            <v>1.54</v>
          </cell>
          <cell r="E3003" t="str">
            <v>Fm246</v>
          </cell>
        </row>
        <row r="3004">
          <cell r="A3004">
            <v>100247</v>
          </cell>
          <cell r="B3004">
            <v>147</v>
          </cell>
          <cell r="C3004">
            <v>100</v>
          </cell>
          <cell r="D3004">
            <v>31</v>
          </cell>
          <cell r="E3004" t="str">
            <v>Fm247</v>
          </cell>
        </row>
        <row r="3005">
          <cell r="A3005">
            <v>100248</v>
          </cell>
          <cell r="B3005">
            <v>148</v>
          </cell>
          <cell r="C3005">
            <v>100</v>
          </cell>
          <cell r="D3005">
            <v>34.5</v>
          </cell>
          <cell r="E3005" t="str">
            <v>Fm248</v>
          </cell>
        </row>
        <row r="3006">
          <cell r="A3006">
            <v>100249</v>
          </cell>
          <cell r="B3006">
            <v>149</v>
          </cell>
          <cell r="C3006">
            <v>100</v>
          </cell>
          <cell r="D3006">
            <v>156</v>
          </cell>
          <cell r="E3006" t="str">
            <v>Fm249</v>
          </cell>
        </row>
        <row r="3007">
          <cell r="A3007">
            <v>100250</v>
          </cell>
          <cell r="B3007">
            <v>150</v>
          </cell>
          <cell r="C3007">
            <v>100</v>
          </cell>
          <cell r="D3007">
            <v>1800</v>
          </cell>
          <cell r="E3007" t="str">
            <v>Fm250</v>
          </cell>
        </row>
        <row r="3008">
          <cell r="A3008">
            <v>100251</v>
          </cell>
          <cell r="B3008">
            <v>151</v>
          </cell>
          <cell r="C3008">
            <v>100</v>
          </cell>
          <cell r="D3008">
            <v>19080</v>
          </cell>
          <cell r="E3008" t="str">
            <v>Fm251</v>
          </cell>
        </row>
        <row r="3009">
          <cell r="A3009">
            <v>100252</v>
          </cell>
          <cell r="B3009">
            <v>152</v>
          </cell>
          <cell r="C3009">
            <v>100</v>
          </cell>
          <cell r="D3009">
            <v>91404</v>
          </cell>
          <cell r="E3009" t="str">
            <v>Fm252</v>
          </cell>
        </row>
        <row r="3010">
          <cell r="A3010">
            <v>100253</v>
          </cell>
          <cell r="B3010">
            <v>153</v>
          </cell>
          <cell r="C3010">
            <v>100</v>
          </cell>
          <cell r="D3010">
            <v>259200</v>
          </cell>
          <cell r="E3010" t="str">
            <v>Fm253</v>
          </cell>
        </row>
        <row r="3011">
          <cell r="A3011">
            <v>100254</v>
          </cell>
          <cell r="B3011">
            <v>154</v>
          </cell>
          <cell r="C3011">
            <v>100</v>
          </cell>
          <cell r="D3011">
            <v>11664</v>
          </cell>
          <cell r="E3011" t="str">
            <v>Fm254</v>
          </cell>
        </row>
        <row r="3012">
          <cell r="A3012">
            <v>100255</v>
          </cell>
          <cell r="B3012">
            <v>155</v>
          </cell>
          <cell r="C3012">
            <v>100</v>
          </cell>
          <cell r="D3012">
            <v>72252</v>
          </cell>
          <cell r="E3012" t="str">
            <v>Fm255</v>
          </cell>
        </row>
        <row r="3013">
          <cell r="A3013">
            <v>100256</v>
          </cell>
          <cell r="B3013">
            <v>156</v>
          </cell>
          <cell r="C3013">
            <v>100</v>
          </cell>
          <cell r="D3013">
            <v>9456</v>
          </cell>
          <cell r="E3013" t="str">
            <v>Fm256</v>
          </cell>
        </row>
        <row r="3014">
          <cell r="A3014">
            <v>100257</v>
          </cell>
          <cell r="B3014">
            <v>157</v>
          </cell>
          <cell r="C3014">
            <v>100</v>
          </cell>
          <cell r="D3014">
            <v>8683200</v>
          </cell>
          <cell r="E3014" t="str">
            <v>Fm257</v>
          </cell>
        </row>
        <row r="3015">
          <cell r="A3015">
            <v>100258</v>
          </cell>
          <cell r="B3015">
            <v>158</v>
          </cell>
          <cell r="C3015">
            <v>100</v>
          </cell>
          <cell r="D3015">
            <v>3.6999999999999999E-4</v>
          </cell>
          <cell r="E3015" t="str">
            <v>Fm258</v>
          </cell>
        </row>
        <row r="3016">
          <cell r="A3016">
            <v>100259</v>
          </cell>
          <cell r="B3016">
            <v>159</v>
          </cell>
          <cell r="C3016">
            <v>100</v>
          </cell>
          <cell r="D3016">
            <v>1.5</v>
          </cell>
          <cell r="E3016" t="str">
            <v>Fm259</v>
          </cell>
        </row>
        <row r="3017">
          <cell r="A3017">
            <v>100260</v>
          </cell>
          <cell r="B3017">
            <v>160</v>
          </cell>
          <cell r="C3017">
            <v>100</v>
          </cell>
          <cell r="D3017">
            <v>4.0000000000000001E-3</v>
          </cell>
          <cell r="E3017" t="str">
            <v>Fm260</v>
          </cell>
        </row>
        <row r="3018">
          <cell r="A3018">
            <v>101245</v>
          </cell>
          <cell r="B3018">
            <v>144</v>
          </cell>
          <cell r="C3018">
            <v>101</v>
          </cell>
          <cell r="D3018">
            <v>8.9999999999999998E-4</v>
          </cell>
          <cell r="E3018" t="str">
            <v>Md245</v>
          </cell>
        </row>
        <row r="3019">
          <cell r="A3019">
            <v>101246</v>
          </cell>
          <cell r="B3019">
            <v>145</v>
          </cell>
          <cell r="C3019">
            <v>101</v>
          </cell>
          <cell r="D3019">
            <v>0.9</v>
          </cell>
          <cell r="E3019" t="str">
            <v>Md246</v>
          </cell>
        </row>
        <row r="3020">
          <cell r="A3020">
            <v>101247</v>
          </cell>
          <cell r="B3020">
            <v>146</v>
          </cell>
          <cell r="C3020">
            <v>101</v>
          </cell>
          <cell r="D3020">
            <v>1.2</v>
          </cell>
          <cell r="E3020" t="str">
            <v>Md247</v>
          </cell>
        </row>
        <row r="3021">
          <cell r="A3021">
            <v>101248</v>
          </cell>
          <cell r="B3021">
            <v>147</v>
          </cell>
          <cell r="C3021">
            <v>101</v>
          </cell>
          <cell r="D3021">
            <v>13</v>
          </cell>
          <cell r="E3021" t="str">
            <v>Md248</v>
          </cell>
        </row>
        <row r="3022">
          <cell r="A3022">
            <v>101249</v>
          </cell>
          <cell r="B3022">
            <v>148</v>
          </cell>
          <cell r="C3022">
            <v>101</v>
          </cell>
          <cell r="D3022">
            <v>21.7</v>
          </cell>
          <cell r="E3022" t="str">
            <v>Md249</v>
          </cell>
        </row>
        <row r="3023">
          <cell r="A3023">
            <v>101250</v>
          </cell>
          <cell r="B3023">
            <v>149</v>
          </cell>
          <cell r="C3023">
            <v>101</v>
          </cell>
          <cell r="D3023">
            <v>25</v>
          </cell>
          <cell r="E3023" t="str">
            <v>Md250</v>
          </cell>
        </row>
        <row r="3024">
          <cell r="A3024">
            <v>101251</v>
          </cell>
          <cell r="B3024">
            <v>150</v>
          </cell>
          <cell r="C3024">
            <v>101</v>
          </cell>
          <cell r="D3024">
            <v>256.2</v>
          </cell>
          <cell r="E3024" t="str">
            <v>Md251</v>
          </cell>
        </row>
        <row r="3025">
          <cell r="A3025">
            <v>101252</v>
          </cell>
          <cell r="B3025">
            <v>151</v>
          </cell>
          <cell r="C3025">
            <v>101</v>
          </cell>
          <cell r="D3025">
            <v>138</v>
          </cell>
          <cell r="E3025" t="str">
            <v>Md252</v>
          </cell>
        </row>
        <row r="3026">
          <cell r="A3026">
            <v>101253</v>
          </cell>
          <cell r="B3026">
            <v>152</v>
          </cell>
          <cell r="C3026">
            <v>101</v>
          </cell>
          <cell r="D3026">
            <v>360</v>
          </cell>
          <cell r="E3026" t="str">
            <v>Md253</v>
          </cell>
        </row>
        <row r="3027">
          <cell r="A3027">
            <v>101254</v>
          </cell>
          <cell r="B3027">
            <v>153</v>
          </cell>
          <cell r="C3027">
            <v>101</v>
          </cell>
          <cell r="D3027">
            <v>1680</v>
          </cell>
          <cell r="E3027" t="str">
            <v>Md254</v>
          </cell>
        </row>
        <row r="3028">
          <cell r="A3028">
            <v>101255</v>
          </cell>
          <cell r="B3028">
            <v>154</v>
          </cell>
          <cell r="C3028">
            <v>101</v>
          </cell>
          <cell r="D3028">
            <v>1620</v>
          </cell>
          <cell r="E3028" t="str">
            <v>Md255</v>
          </cell>
        </row>
        <row r="3029">
          <cell r="A3029">
            <v>101256</v>
          </cell>
          <cell r="B3029">
            <v>155</v>
          </cell>
          <cell r="C3029">
            <v>101</v>
          </cell>
          <cell r="D3029">
            <v>4620</v>
          </cell>
          <cell r="E3029" t="str">
            <v>Md256</v>
          </cell>
        </row>
        <row r="3030">
          <cell r="A3030">
            <v>101257</v>
          </cell>
          <cell r="B3030">
            <v>156</v>
          </cell>
          <cell r="C3030">
            <v>101</v>
          </cell>
          <cell r="D3030">
            <v>19872</v>
          </cell>
          <cell r="E3030" t="str">
            <v>Md257</v>
          </cell>
        </row>
        <row r="3031">
          <cell r="A3031">
            <v>101258</v>
          </cell>
          <cell r="B3031">
            <v>157</v>
          </cell>
          <cell r="C3031">
            <v>101</v>
          </cell>
          <cell r="D3031">
            <v>4449600</v>
          </cell>
          <cell r="E3031" t="str">
            <v>Md258</v>
          </cell>
        </row>
        <row r="3032">
          <cell r="A3032">
            <v>101259</v>
          </cell>
          <cell r="B3032">
            <v>158</v>
          </cell>
          <cell r="C3032">
            <v>101</v>
          </cell>
          <cell r="D3032">
            <v>5760</v>
          </cell>
          <cell r="E3032" t="str">
            <v>Md259</v>
          </cell>
        </row>
        <row r="3033">
          <cell r="A3033">
            <v>101260</v>
          </cell>
          <cell r="B3033">
            <v>159</v>
          </cell>
          <cell r="C3033">
            <v>101</v>
          </cell>
          <cell r="D3033">
            <v>2747520</v>
          </cell>
          <cell r="E3033" t="str">
            <v>Md260</v>
          </cell>
        </row>
        <row r="3034">
          <cell r="A3034">
            <v>102250</v>
          </cell>
          <cell r="B3034">
            <v>148</v>
          </cell>
          <cell r="C3034">
            <v>102</v>
          </cell>
          <cell r="D3034">
            <v>4.1999999999999996E-6</v>
          </cell>
          <cell r="E3034" t="str">
            <v>No250</v>
          </cell>
        </row>
        <row r="3035">
          <cell r="A3035">
            <v>102251</v>
          </cell>
          <cell r="B3035">
            <v>149</v>
          </cell>
          <cell r="C3035">
            <v>102</v>
          </cell>
          <cell r="D3035">
            <v>0.8</v>
          </cell>
          <cell r="E3035" t="str">
            <v>No251</v>
          </cell>
        </row>
        <row r="3036">
          <cell r="A3036">
            <v>102252</v>
          </cell>
          <cell r="B3036">
            <v>150</v>
          </cell>
          <cell r="C3036">
            <v>102</v>
          </cell>
          <cell r="D3036">
            <v>2.44</v>
          </cell>
          <cell r="E3036" t="str">
            <v>No252</v>
          </cell>
        </row>
        <row r="3037">
          <cell r="A3037">
            <v>102253</v>
          </cell>
          <cell r="B3037">
            <v>151</v>
          </cell>
          <cell r="C3037">
            <v>102</v>
          </cell>
          <cell r="D3037">
            <v>97.2</v>
          </cell>
          <cell r="E3037" t="str">
            <v>No253</v>
          </cell>
        </row>
        <row r="3038">
          <cell r="A3038">
            <v>102254</v>
          </cell>
          <cell r="B3038">
            <v>152</v>
          </cell>
          <cell r="C3038">
            <v>102</v>
          </cell>
          <cell r="D3038">
            <v>51</v>
          </cell>
          <cell r="E3038" t="str">
            <v>No254</v>
          </cell>
        </row>
        <row r="3039">
          <cell r="A3039">
            <v>102255</v>
          </cell>
          <cell r="B3039">
            <v>153</v>
          </cell>
          <cell r="C3039">
            <v>102</v>
          </cell>
          <cell r="D3039">
            <v>211.2</v>
          </cell>
          <cell r="E3039" t="str">
            <v>No255</v>
          </cell>
        </row>
        <row r="3040">
          <cell r="A3040">
            <v>102256</v>
          </cell>
          <cell r="B3040">
            <v>154</v>
          </cell>
          <cell r="C3040">
            <v>102</v>
          </cell>
          <cell r="D3040">
            <v>2.91</v>
          </cell>
          <cell r="E3040" t="str">
            <v>No256</v>
          </cell>
        </row>
        <row r="3041">
          <cell r="A3041">
            <v>102257</v>
          </cell>
          <cell r="B3041">
            <v>155</v>
          </cell>
          <cell r="C3041">
            <v>102</v>
          </cell>
          <cell r="D3041">
            <v>24.5</v>
          </cell>
          <cell r="E3041" t="str">
            <v>No257</v>
          </cell>
        </row>
        <row r="3042">
          <cell r="A3042">
            <v>102258</v>
          </cell>
          <cell r="B3042">
            <v>156</v>
          </cell>
          <cell r="C3042">
            <v>102</v>
          </cell>
          <cell r="D3042">
            <v>1.1999999999999999E-3</v>
          </cell>
          <cell r="E3042" t="str">
            <v>No258</v>
          </cell>
        </row>
        <row r="3043">
          <cell r="A3043">
            <v>102259</v>
          </cell>
          <cell r="B3043">
            <v>157</v>
          </cell>
          <cell r="C3043">
            <v>102</v>
          </cell>
          <cell r="D3043">
            <v>3480</v>
          </cell>
          <cell r="E3043" t="str">
            <v>No259</v>
          </cell>
        </row>
        <row r="3044">
          <cell r="A3044">
            <v>102260</v>
          </cell>
          <cell r="B3044">
            <v>158</v>
          </cell>
          <cell r="C3044">
            <v>102</v>
          </cell>
          <cell r="D3044">
            <v>0.106</v>
          </cell>
          <cell r="E3044" t="str">
            <v>No260</v>
          </cell>
        </row>
        <row r="3045">
          <cell r="A3045">
            <v>102262</v>
          </cell>
          <cell r="B3045">
            <v>160</v>
          </cell>
          <cell r="C3045">
            <v>102</v>
          </cell>
          <cell r="D3045">
            <v>5.0000000000000001E-3</v>
          </cell>
          <cell r="E3045" t="str">
            <v>No262</v>
          </cell>
        </row>
        <row r="3046">
          <cell r="A3046">
            <v>103252</v>
          </cell>
          <cell r="B3046">
            <v>149</v>
          </cell>
          <cell r="C3046">
            <v>103</v>
          </cell>
          <cell r="D3046">
            <v>0.36</v>
          </cell>
          <cell r="E3046" t="str">
            <v>Lr252</v>
          </cell>
        </row>
        <row r="3047">
          <cell r="A3047">
            <v>103253</v>
          </cell>
          <cell r="B3047">
            <v>150</v>
          </cell>
          <cell r="C3047">
            <v>103</v>
          </cell>
          <cell r="D3047">
            <v>0.56999999999999995</v>
          </cell>
          <cell r="E3047" t="str">
            <v>Lr253</v>
          </cell>
        </row>
        <row r="3048">
          <cell r="A3048">
            <v>103254</v>
          </cell>
          <cell r="B3048">
            <v>151</v>
          </cell>
          <cell r="C3048">
            <v>103</v>
          </cell>
          <cell r="D3048">
            <v>18.399999999999999</v>
          </cell>
          <cell r="E3048" t="str">
            <v>Lr254</v>
          </cell>
        </row>
        <row r="3049">
          <cell r="A3049">
            <v>103255</v>
          </cell>
          <cell r="B3049">
            <v>152</v>
          </cell>
          <cell r="C3049">
            <v>103</v>
          </cell>
          <cell r="D3049">
            <v>31.1</v>
          </cell>
          <cell r="E3049" t="str">
            <v>Lr255</v>
          </cell>
        </row>
        <row r="3050">
          <cell r="A3050">
            <v>103256</v>
          </cell>
          <cell r="B3050">
            <v>153</v>
          </cell>
          <cell r="C3050">
            <v>103</v>
          </cell>
          <cell r="D3050">
            <v>27</v>
          </cell>
          <cell r="E3050" t="str">
            <v>Lr256</v>
          </cell>
        </row>
        <row r="3051">
          <cell r="A3051">
            <v>103257</v>
          </cell>
          <cell r="B3051">
            <v>154</v>
          </cell>
          <cell r="C3051">
            <v>103</v>
          </cell>
          <cell r="D3051">
            <v>4</v>
          </cell>
          <cell r="E3051" t="str">
            <v>Lr257</v>
          </cell>
        </row>
        <row r="3052">
          <cell r="A3052">
            <v>103258</v>
          </cell>
          <cell r="B3052">
            <v>155</v>
          </cell>
          <cell r="C3052">
            <v>103</v>
          </cell>
          <cell r="D3052">
            <v>4.0999999999999996</v>
          </cell>
          <cell r="E3052" t="str">
            <v>Lr258</v>
          </cell>
        </row>
        <row r="3053">
          <cell r="A3053">
            <v>103259</v>
          </cell>
          <cell r="B3053">
            <v>156</v>
          </cell>
          <cell r="C3053">
            <v>103</v>
          </cell>
          <cell r="D3053">
            <v>6.2</v>
          </cell>
          <cell r="E3053" t="str">
            <v>Lr259</v>
          </cell>
        </row>
        <row r="3054">
          <cell r="A3054">
            <v>103260</v>
          </cell>
          <cell r="B3054">
            <v>157</v>
          </cell>
          <cell r="C3054">
            <v>103</v>
          </cell>
          <cell r="D3054">
            <v>180</v>
          </cell>
          <cell r="E3054" t="str">
            <v>Lr260</v>
          </cell>
        </row>
        <row r="3055">
          <cell r="A3055">
            <v>103261</v>
          </cell>
          <cell r="B3055">
            <v>158</v>
          </cell>
          <cell r="C3055">
            <v>103</v>
          </cell>
          <cell r="D3055">
            <v>2340</v>
          </cell>
          <cell r="E3055" t="str">
            <v>Lr261</v>
          </cell>
        </row>
        <row r="3056">
          <cell r="A3056">
            <v>103262</v>
          </cell>
          <cell r="B3056">
            <v>159</v>
          </cell>
          <cell r="C3056">
            <v>103</v>
          </cell>
          <cell r="D3056">
            <v>14400</v>
          </cell>
          <cell r="E3056" t="str">
            <v>Lr262</v>
          </cell>
        </row>
        <row r="3057">
          <cell r="A3057">
            <v>103266</v>
          </cell>
          <cell r="B3057">
            <v>163</v>
          </cell>
          <cell r="C3057">
            <v>103</v>
          </cell>
          <cell r="D3057">
            <v>39600</v>
          </cell>
          <cell r="E3057" t="str">
            <v>Lr266</v>
          </cell>
        </row>
        <row r="3058">
          <cell r="A3058">
            <v>104253</v>
          </cell>
          <cell r="B3058">
            <v>149</v>
          </cell>
          <cell r="C3058">
            <v>104</v>
          </cell>
          <cell r="D3058">
            <v>4.8000000000000001E-5</v>
          </cell>
          <cell r="E3058" t="str">
            <v>Rf253</v>
          </cell>
        </row>
        <row r="3059">
          <cell r="A3059">
            <v>104254</v>
          </cell>
          <cell r="B3059">
            <v>150</v>
          </cell>
          <cell r="C3059">
            <v>104</v>
          </cell>
          <cell r="D3059">
            <v>2.3E-5</v>
          </cell>
          <cell r="E3059" t="str">
            <v>Rf254</v>
          </cell>
        </row>
        <row r="3060">
          <cell r="A3060">
            <v>104255</v>
          </cell>
          <cell r="B3060">
            <v>151</v>
          </cell>
          <cell r="C3060">
            <v>104</v>
          </cell>
          <cell r="D3060">
            <v>1.68</v>
          </cell>
          <cell r="E3060" t="str">
            <v>Rf255</v>
          </cell>
        </row>
        <row r="3061">
          <cell r="A3061">
            <v>104256</v>
          </cell>
          <cell r="B3061">
            <v>152</v>
          </cell>
          <cell r="C3061">
            <v>104</v>
          </cell>
          <cell r="D3061">
            <v>6.6699999999999997E-3</v>
          </cell>
          <cell r="E3061" t="str">
            <v>Rf256</v>
          </cell>
        </row>
        <row r="3062">
          <cell r="A3062">
            <v>104257</v>
          </cell>
          <cell r="B3062">
            <v>153</v>
          </cell>
          <cell r="C3062">
            <v>104</v>
          </cell>
          <cell r="D3062">
            <v>4.4000000000000004</v>
          </cell>
          <cell r="E3062" t="str">
            <v>Rf257</v>
          </cell>
        </row>
        <row r="3063">
          <cell r="A3063">
            <v>104258</v>
          </cell>
          <cell r="B3063">
            <v>154</v>
          </cell>
          <cell r="C3063">
            <v>104</v>
          </cell>
          <cell r="D3063">
            <v>1.47E-2</v>
          </cell>
          <cell r="E3063" t="str">
            <v>Rf258</v>
          </cell>
        </row>
        <row r="3064">
          <cell r="A3064">
            <v>104259</v>
          </cell>
          <cell r="B3064">
            <v>155</v>
          </cell>
          <cell r="C3064">
            <v>104</v>
          </cell>
          <cell r="D3064">
            <v>2.4</v>
          </cell>
          <cell r="E3064" t="str">
            <v>Rf259</v>
          </cell>
        </row>
        <row r="3065">
          <cell r="A3065">
            <v>104260</v>
          </cell>
          <cell r="B3065">
            <v>156</v>
          </cell>
          <cell r="C3065">
            <v>104</v>
          </cell>
          <cell r="D3065">
            <v>2.1000000000000001E-2</v>
          </cell>
          <cell r="E3065" t="str">
            <v>Rf260</v>
          </cell>
        </row>
        <row r="3066">
          <cell r="A3066">
            <v>104261</v>
          </cell>
          <cell r="B3066">
            <v>157</v>
          </cell>
          <cell r="C3066">
            <v>104</v>
          </cell>
          <cell r="D3066">
            <v>68</v>
          </cell>
          <cell r="E3066" t="str">
            <v>Rf261</v>
          </cell>
        </row>
        <row r="3067">
          <cell r="A3067">
            <v>104262</v>
          </cell>
          <cell r="B3067">
            <v>158</v>
          </cell>
          <cell r="C3067">
            <v>104</v>
          </cell>
          <cell r="D3067">
            <v>2.2999999999999998</v>
          </cell>
          <cell r="E3067" t="str">
            <v>Rf262</v>
          </cell>
        </row>
        <row r="3068">
          <cell r="A3068">
            <v>104263</v>
          </cell>
          <cell r="B3068">
            <v>159</v>
          </cell>
          <cell r="C3068">
            <v>104</v>
          </cell>
          <cell r="D3068">
            <v>600</v>
          </cell>
          <cell r="E3068" t="str">
            <v>Rf263</v>
          </cell>
        </row>
        <row r="3069">
          <cell r="A3069">
            <v>104265</v>
          </cell>
          <cell r="B3069">
            <v>161</v>
          </cell>
          <cell r="C3069">
            <v>104</v>
          </cell>
          <cell r="D3069">
            <v>60</v>
          </cell>
          <cell r="E3069" t="str">
            <v>Rf265</v>
          </cell>
        </row>
        <row r="3070">
          <cell r="A3070">
            <v>105255</v>
          </cell>
          <cell r="B3070">
            <v>150</v>
          </cell>
          <cell r="C3070">
            <v>105</v>
          </cell>
          <cell r="D3070">
            <v>1.6</v>
          </cell>
          <cell r="E3070" t="str">
            <v>Db255</v>
          </cell>
        </row>
        <row r="3071">
          <cell r="A3071">
            <v>105256</v>
          </cell>
          <cell r="B3071">
            <v>151</v>
          </cell>
          <cell r="C3071">
            <v>105</v>
          </cell>
          <cell r="D3071">
            <v>1.6</v>
          </cell>
          <cell r="E3071" t="str">
            <v>Db256</v>
          </cell>
        </row>
        <row r="3072">
          <cell r="A3072">
            <v>105257</v>
          </cell>
          <cell r="B3072">
            <v>152</v>
          </cell>
          <cell r="C3072">
            <v>105</v>
          </cell>
          <cell r="D3072">
            <v>2.2999999999999998</v>
          </cell>
          <cell r="E3072" t="str">
            <v>Db257</v>
          </cell>
        </row>
        <row r="3073">
          <cell r="A3073">
            <v>105258</v>
          </cell>
          <cell r="B3073">
            <v>153</v>
          </cell>
          <cell r="C3073">
            <v>105</v>
          </cell>
          <cell r="D3073">
            <v>4.2</v>
          </cell>
          <cell r="E3073" t="str">
            <v>Db258</v>
          </cell>
        </row>
        <row r="3074">
          <cell r="A3074">
            <v>105259</v>
          </cell>
          <cell r="B3074">
            <v>154</v>
          </cell>
          <cell r="C3074">
            <v>105</v>
          </cell>
          <cell r="D3074">
            <v>0.51</v>
          </cell>
          <cell r="E3074" t="str">
            <v>Db259</v>
          </cell>
        </row>
        <row r="3075">
          <cell r="A3075">
            <v>105260</v>
          </cell>
          <cell r="B3075">
            <v>155</v>
          </cell>
          <cell r="C3075">
            <v>105</v>
          </cell>
          <cell r="D3075">
            <v>1.52</v>
          </cell>
          <cell r="E3075" t="str">
            <v>Db260</v>
          </cell>
        </row>
        <row r="3076">
          <cell r="A3076">
            <v>105261</v>
          </cell>
          <cell r="B3076">
            <v>156</v>
          </cell>
          <cell r="C3076">
            <v>105</v>
          </cell>
          <cell r="D3076">
            <v>1.8</v>
          </cell>
          <cell r="E3076" t="str">
            <v>Db261</v>
          </cell>
        </row>
        <row r="3077">
          <cell r="A3077">
            <v>105262</v>
          </cell>
          <cell r="B3077">
            <v>157</v>
          </cell>
          <cell r="C3077">
            <v>105</v>
          </cell>
          <cell r="D3077">
            <v>35</v>
          </cell>
          <cell r="E3077" t="str">
            <v>Db262</v>
          </cell>
        </row>
        <row r="3078">
          <cell r="A3078">
            <v>105263</v>
          </cell>
          <cell r="B3078">
            <v>158</v>
          </cell>
          <cell r="C3078">
            <v>105</v>
          </cell>
          <cell r="D3078">
            <v>27</v>
          </cell>
          <cell r="E3078" t="str">
            <v>Db263</v>
          </cell>
        </row>
        <row r="3079">
          <cell r="A3079">
            <v>105267</v>
          </cell>
          <cell r="B3079">
            <v>162</v>
          </cell>
          <cell r="C3079">
            <v>105</v>
          </cell>
          <cell r="D3079">
            <v>4380</v>
          </cell>
          <cell r="E3079" t="str">
            <v>Db267</v>
          </cell>
        </row>
        <row r="3080">
          <cell r="A3080">
            <v>105268</v>
          </cell>
          <cell r="B3080">
            <v>163</v>
          </cell>
          <cell r="C3080">
            <v>105</v>
          </cell>
          <cell r="D3080">
            <v>115200</v>
          </cell>
          <cell r="E3080" t="str">
            <v>Db268</v>
          </cell>
        </row>
        <row r="3081">
          <cell r="A3081">
            <v>105270</v>
          </cell>
          <cell r="B3081">
            <v>165</v>
          </cell>
          <cell r="C3081">
            <v>105</v>
          </cell>
          <cell r="D3081">
            <v>3600</v>
          </cell>
          <cell r="E3081" t="str">
            <v>Db270</v>
          </cell>
        </row>
        <row r="3082">
          <cell r="A3082">
            <v>106258</v>
          </cell>
          <cell r="B3082">
            <v>152</v>
          </cell>
          <cell r="C3082">
            <v>106</v>
          </cell>
          <cell r="D3082">
            <v>2.8999999999999998E-3</v>
          </cell>
          <cell r="E3082" t="str">
            <v>Sg258</v>
          </cell>
        </row>
        <row r="3083">
          <cell r="A3083">
            <v>106259</v>
          </cell>
          <cell r="B3083">
            <v>153</v>
          </cell>
          <cell r="C3083">
            <v>106</v>
          </cell>
          <cell r="D3083">
            <v>0.28999999999999998</v>
          </cell>
          <cell r="E3083" t="str">
            <v>Sg259</v>
          </cell>
        </row>
        <row r="3084">
          <cell r="A3084">
            <v>106260</v>
          </cell>
          <cell r="B3084">
            <v>154</v>
          </cell>
          <cell r="C3084">
            <v>106</v>
          </cell>
          <cell r="D3084">
            <v>4.9500000000000004E-3</v>
          </cell>
          <cell r="E3084" t="str">
            <v>Sg260</v>
          </cell>
        </row>
        <row r="3085">
          <cell r="A3085">
            <v>106261</v>
          </cell>
          <cell r="B3085">
            <v>155</v>
          </cell>
          <cell r="C3085">
            <v>106</v>
          </cell>
          <cell r="D3085">
            <v>0.17799999999999999</v>
          </cell>
          <cell r="E3085" t="str">
            <v>Sg261</v>
          </cell>
        </row>
        <row r="3086">
          <cell r="A3086">
            <v>106262</v>
          </cell>
          <cell r="B3086">
            <v>156</v>
          </cell>
          <cell r="C3086">
            <v>106</v>
          </cell>
          <cell r="D3086">
            <v>6.8999999999999999E-3</v>
          </cell>
          <cell r="E3086" t="str">
            <v>Sg262</v>
          </cell>
        </row>
        <row r="3087">
          <cell r="A3087">
            <v>106263</v>
          </cell>
          <cell r="B3087">
            <v>157</v>
          </cell>
          <cell r="C3087">
            <v>106</v>
          </cell>
          <cell r="D3087">
            <v>1</v>
          </cell>
          <cell r="E3087" t="str">
            <v>Sg263</v>
          </cell>
        </row>
        <row r="3088">
          <cell r="A3088">
            <v>106264</v>
          </cell>
          <cell r="B3088">
            <v>158</v>
          </cell>
          <cell r="C3088">
            <v>106</v>
          </cell>
          <cell r="D3088">
            <v>3.6999999999999998E-2</v>
          </cell>
          <cell r="E3088" t="str">
            <v>Sg264</v>
          </cell>
        </row>
        <row r="3089">
          <cell r="A3089">
            <v>106265</v>
          </cell>
          <cell r="B3089">
            <v>159</v>
          </cell>
          <cell r="C3089">
            <v>106</v>
          </cell>
          <cell r="D3089">
            <v>14.4</v>
          </cell>
          <cell r="E3089" t="str">
            <v>Sg265</v>
          </cell>
        </row>
        <row r="3090">
          <cell r="A3090">
            <v>106266</v>
          </cell>
          <cell r="B3090">
            <v>160</v>
          </cell>
          <cell r="C3090">
            <v>106</v>
          </cell>
          <cell r="D3090">
            <v>21</v>
          </cell>
          <cell r="E3090" t="str">
            <v>Sg266</v>
          </cell>
        </row>
        <row r="3091">
          <cell r="A3091">
            <v>106269</v>
          </cell>
          <cell r="B3091">
            <v>163</v>
          </cell>
          <cell r="C3091">
            <v>106</v>
          </cell>
          <cell r="D3091">
            <v>186</v>
          </cell>
          <cell r="E3091" t="str">
            <v>Sg269</v>
          </cell>
        </row>
        <row r="3092">
          <cell r="A3092">
            <v>106271</v>
          </cell>
          <cell r="B3092">
            <v>165</v>
          </cell>
          <cell r="C3092">
            <v>106</v>
          </cell>
          <cell r="D3092">
            <v>144</v>
          </cell>
          <cell r="E3092" t="str">
            <v>Sg271</v>
          </cell>
        </row>
        <row r="3093">
          <cell r="A3093">
            <v>107260</v>
          </cell>
          <cell r="B3093">
            <v>153</v>
          </cell>
          <cell r="C3093">
            <v>107</v>
          </cell>
          <cell r="D3093">
            <v>3.5000000000000003E-2</v>
          </cell>
          <cell r="E3093" t="str">
            <v>Bh260</v>
          </cell>
        </row>
        <row r="3094">
          <cell r="A3094">
            <v>107261</v>
          </cell>
          <cell r="B3094">
            <v>154</v>
          </cell>
          <cell r="C3094">
            <v>107</v>
          </cell>
          <cell r="D3094">
            <v>1.18E-2</v>
          </cell>
          <cell r="E3094" t="str">
            <v>Bh261</v>
          </cell>
        </row>
        <row r="3095">
          <cell r="A3095">
            <v>107262</v>
          </cell>
          <cell r="B3095">
            <v>155</v>
          </cell>
          <cell r="C3095">
            <v>107</v>
          </cell>
          <cell r="D3095">
            <v>2.1999999999999999E-2</v>
          </cell>
          <cell r="E3095" t="str">
            <v>Bh262</v>
          </cell>
        </row>
        <row r="3096">
          <cell r="A3096">
            <v>107264</v>
          </cell>
          <cell r="B3096">
            <v>157</v>
          </cell>
          <cell r="C3096">
            <v>107</v>
          </cell>
          <cell r="D3096">
            <v>0.44</v>
          </cell>
          <cell r="E3096" t="str">
            <v>Bh264</v>
          </cell>
        </row>
        <row r="3097">
          <cell r="A3097">
            <v>107265</v>
          </cell>
          <cell r="B3097">
            <v>158</v>
          </cell>
          <cell r="C3097">
            <v>107</v>
          </cell>
          <cell r="D3097">
            <v>0.9</v>
          </cell>
          <cell r="E3097" t="str">
            <v>Bh265</v>
          </cell>
        </row>
        <row r="3098">
          <cell r="A3098">
            <v>107266</v>
          </cell>
          <cell r="B3098">
            <v>159</v>
          </cell>
          <cell r="C3098">
            <v>107</v>
          </cell>
          <cell r="D3098">
            <v>1.7</v>
          </cell>
          <cell r="E3098" t="str">
            <v>Bh266</v>
          </cell>
        </row>
        <row r="3099">
          <cell r="A3099">
            <v>107267</v>
          </cell>
          <cell r="B3099">
            <v>160</v>
          </cell>
          <cell r="C3099">
            <v>107</v>
          </cell>
          <cell r="D3099">
            <v>17</v>
          </cell>
          <cell r="E3099" t="str">
            <v>Bh267</v>
          </cell>
        </row>
        <row r="3100">
          <cell r="A3100">
            <v>107270</v>
          </cell>
          <cell r="B3100">
            <v>163</v>
          </cell>
          <cell r="C3100">
            <v>107</v>
          </cell>
          <cell r="D3100">
            <v>60</v>
          </cell>
          <cell r="E3100" t="str">
            <v>Bh270</v>
          </cell>
        </row>
        <row r="3101">
          <cell r="A3101">
            <v>107272</v>
          </cell>
          <cell r="B3101">
            <v>165</v>
          </cell>
          <cell r="C3101">
            <v>107</v>
          </cell>
          <cell r="D3101">
            <v>10</v>
          </cell>
          <cell r="E3101" t="str">
            <v>Bh272</v>
          </cell>
        </row>
        <row r="3102">
          <cell r="A3102">
            <v>107274</v>
          </cell>
          <cell r="B3102">
            <v>167</v>
          </cell>
          <cell r="C3102">
            <v>107</v>
          </cell>
          <cell r="D3102">
            <v>54</v>
          </cell>
          <cell r="E3102" t="str">
            <v>Bh274</v>
          </cell>
        </row>
        <row r="3103">
          <cell r="A3103">
            <v>108263</v>
          </cell>
          <cell r="B3103">
            <v>155</v>
          </cell>
          <cell r="C3103">
            <v>108</v>
          </cell>
          <cell r="D3103">
            <v>7.3999999999999999E-4</v>
          </cell>
          <cell r="E3103" t="str">
            <v>Hs263</v>
          </cell>
        </row>
        <row r="3104">
          <cell r="A3104">
            <v>108264</v>
          </cell>
          <cell r="B3104">
            <v>156</v>
          </cell>
          <cell r="C3104">
            <v>108</v>
          </cell>
          <cell r="D3104">
            <v>8.0000000000000004E-4</v>
          </cell>
          <cell r="E3104" t="str">
            <v>Hs264</v>
          </cell>
        </row>
        <row r="3105">
          <cell r="A3105">
            <v>108265</v>
          </cell>
          <cell r="B3105">
            <v>157</v>
          </cell>
          <cell r="C3105">
            <v>108</v>
          </cell>
          <cell r="D3105">
            <v>1.9E-3</v>
          </cell>
          <cell r="E3105" t="str">
            <v>Hs265</v>
          </cell>
        </row>
        <row r="3106">
          <cell r="A3106">
            <v>108266</v>
          </cell>
          <cell r="B3106">
            <v>158</v>
          </cell>
          <cell r="C3106">
            <v>108</v>
          </cell>
          <cell r="D3106">
            <v>2.3E-3</v>
          </cell>
          <cell r="E3106" t="str">
            <v>Hs266</v>
          </cell>
        </row>
        <row r="3107">
          <cell r="A3107">
            <v>108267</v>
          </cell>
          <cell r="B3107">
            <v>159</v>
          </cell>
          <cell r="C3107">
            <v>108</v>
          </cell>
          <cell r="D3107">
            <v>5.1999999999999998E-2</v>
          </cell>
          <cell r="E3107" t="str">
            <v>Hs267</v>
          </cell>
        </row>
        <row r="3108">
          <cell r="A3108">
            <v>108268</v>
          </cell>
          <cell r="B3108">
            <v>160</v>
          </cell>
          <cell r="C3108">
            <v>108</v>
          </cell>
          <cell r="D3108">
            <v>0.4</v>
          </cell>
          <cell r="E3108" t="str">
            <v>Hs268</v>
          </cell>
        </row>
        <row r="3109">
          <cell r="A3109">
            <v>108269</v>
          </cell>
          <cell r="B3109">
            <v>161</v>
          </cell>
          <cell r="C3109">
            <v>108</v>
          </cell>
          <cell r="D3109">
            <v>9.6999999999999993</v>
          </cell>
          <cell r="E3109" t="str">
            <v>Hs269</v>
          </cell>
        </row>
        <row r="3110">
          <cell r="A3110">
            <v>108270</v>
          </cell>
          <cell r="B3110">
            <v>162</v>
          </cell>
          <cell r="C3110">
            <v>108</v>
          </cell>
          <cell r="D3110">
            <v>22</v>
          </cell>
          <cell r="E3110" t="str">
            <v>Hs270</v>
          </cell>
        </row>
        <row r="3111">
          <cell r="A3111">
            <v>108273</v>
          </cell>
          <cell r="B3111">
            <v>165</v>
          </cell>
          <cell r="C3111">
            <v>108</v>
          </cell>
          <cell r="D3111">
            <v>0.76</v>
          </cell>
          <cell r="E3111" t="str">
            <v>Hs273</v>
          </cell>
        </row>
        <row r="3112">
          <cell r="A3112">
            <v>108275</v>
          </cell>
          <cell r="B3112">
            <v>167</v>
          </cell>
          <cell r="C3112">
            <v>108</v>
          </cell>
          <cell r="D3112">
            <v>0.15</v>
          </cell>
          <cell r="E3112" t="str">
            <v>Hs275</v>
          </cell>
        </row>
        <row r="3113">
          <cell r="A3113">
            <v>108277</v>
          </cell>
          <cell r="B3113">
            <v>169</v>
          </cell>
          <cell r="C3113">
            <v>108</v>
          </cell>
          <cell r="D3113">
            <v>3.0000000000000001E-3</v>
          </cell>
          <cell r="E3113" t="str">
            <v>Hs277</v>
          </cell>
        </row>
        <row r="3114">
          <cell r="A3114">
            <v>109266</v>
          </cell>
          <cell r="B3114">
            <v>157</v>
          </cell>
          <cell r="C3114">
            <v>109</v>
          </cell>
          <cell r="D3114">
            <v>1.6999999999999999E-3</v>
          </cell>
          <cell r="E3114" t="str">
            <v>Mt266</v>
          </cell>
        </row>
        <row r="3115">
          <cell r="A3115">
            <v>109268</v>
          </cell>
          <cell r="B3115">
            <v>159</v>
          </cell>
          <cell r="C3115">
            <v>109</v>
          </cell>
          <cell r="D3115">
            <v>2.1000000000000001E-2</v>
          </cell>
          <cell r="E3115" t="str">
            <v>Mt268</v>
          </cell>
        </row>
        <row r="3116">
          <cell r="A3116">
            <v>109270</v>
          </cell>
          <cell r="B3116">
            <v>161</v>
          </cell>
          <cell r="C3116">
            <v>109</v>
          </cell>
          <cell r="D3116">
            <v>5.0000000000000001E-3</v>
          </cell>
          <cell r="E3116" t="str">
            <v>Mt270</v>
          </cell>
        </row>
        <row r="3117">
          <cell r="A3117">
            <v>109274</v>
          </cell>
          <cell r="B3117">
            <v>165</v>
          </cell>
          <cell r="C3117">
            <v>109</v>
          </cell>
          <cell r="D3117">
            <v>0.44</v>
          </cell>
          <cell r="E3117" t="str">
            <v>Mt274</v>
          </cell>
        </row>
        <row r="3118">
          <cell r="A3118">
            <v>109275</v>
          </cell>
          <cell r="B3118">
            <v>166</v>
          </cell>
          <cell r="C3118">
            <v>109</v>
          </cell>
          <cell r="D3118">
            <v>9.7000000000000003E-3</v>
          </cell>
          <cell r="E3118" t="str">
            <v>Mt275</v>
          </cell>
        </row>
        <row r="3119">
          <cell r="A3119">
            <v>109276</v>
          </cell>
          <cell r="B3119">
            <v>167</v>
          </cell>
          <cell r="C3119">
            <v>109</v>
          </cell>
          <cell r="D3119">
            <v>0.72</v>
          </cell>
          <cell r="E3119" t="str">
            <v>Mt276</v>
          </cell>
        </row>
        <row r="3120">
          <cell r="A3120">
            <v>109277</v>
          </cell>
          <cell r="B3120">
            <v>168</v>
          </cell>
          <cell r="C3120">
            <v>109</v>
          </cell>
          <cell r="D3120">
            <v>5</v>
          </cell>
          <cell r="E3120" t="str">
            <v>Mt277</v>
          </cell>
        </row>
        <row r="3121">
          <cell r="A3121">
            <v>109278</v>
          </cell>
          <cell r="B3121">
            <v>169</v>
          </cell>
          <cell r="C3121">
            <v>109</v>
          </cell>
          <cell r="D3121">
            <v>8</v>
          </cell>
          <cell r="E3121" t="str">
            <v>Mt278</v>
          </cell>
        </row>
        <row r="3122">
          <cell r="A3122">
            <v>110267</v>
          </cell>
          <cell r="B3122">
            <v>157</v>
          </cell>
          <cell r="C3122">
            <v>110</v>
          </cell>
          <cell r="D3122">
            <v>2.7999999999999999E-6</v>
          </cell>
          <cell r="E3122" t="str">
            <v>Ds267</v>
          </cell>
        </row>
        <row r="3123">
          <cell r="A3123">
            <v>110269</v>
          </cell>
          <cell r="B3123">
            <v>159</v>
          </cell>
          <cell r="C3123">
            <v>110</v>
          </cell>
          <cell r="D3123">
            <v>1.7899999999999999E-4</v>
          </cell>
          <cell r="E3123" t="str">
            <v>Ds269</v>
          </cell>
        </row>
        <row r="3124">
          <cell r="A3124">
            <v>110270</v>
          </cell>
          <cell r="B3124">
            <v>160</v>
          </cell>
          <cell r="C3124">
            <v>110</v>
          </cell>
          <cell r="D3124">
            <v>1E-4</v>
          </cell>
          <cell r="E3124" t="str">
            <v>Ds270</v>
          </cell>
        </row>
        <row r="3125">
          <cell r="A3125">
            <v>110271</v>
          </cell>
          <cell r="B3125">
            <v>161</v>
          </cell>
          <cell r="C3125">
            <v>110</v>
          </cell>
          <cell r="D3125">
            <v>1.6299999999999999E-3</v>
          </cell>
          <cell r="E3125" t="str">
            <v>Ds271</v>
          </cell>
        </row>
        <row r="3126">
          <cell r="A3126">
            <v>110273</v>
          </cell>
          <cell r="B3126">
            <v>163</v>
          </cell>
          <cell r="C3126">
            <v>110</v>
          </cell>
          <cell r="D3126">
            <v>1.7000000000000001E-4</v>
          </cell>
          <cell r="E3126" t="str">
            <v>Ds273</v>
          </cell>
        </row>
        <row r="3127">
          <cell r="A3127">
            <v>110277</v>
          </cell>
          <cell r="B3127">
            <v>167</v>
          </cell>
          <cell r="C3127">
            <v>110</v>
          </cell>
          <cell r="D3127">
            <v>4.0999999999999899E-3</v>
          </cell>
          <cell r="E3127" t="str">
            <v>Ds277</v>
          </cell>
        </row>
        <row r="3128">
          <cell r="A3128">
            <v>110279</v>
          </cell>
          <cell r="B3128">
            <v>169</v>
          </cell>
          <cell r="C3128">
            <v>110</v>
          </cell>
          <cell r="D3128">
            <v>0.18</v>
          </cell>
          <cell r="E3128" t="str">
            <v>Ds279</v>
          </cell>
        </row>
        <row r="3129">
          <cell r="A3129">
            <v>110281</v>
          </cell>
          <cell r="B3129">
            <v>171</v>
          </cell>
          <cell r="C3129">
            <v>110</v>
          </cell>
          <cell r="D3129">
            <v>13</v>
          </cell>
          <cell r="E3129" t="str">
            <v>Ds281</v>
          </cell>
        </row>
        <row r="3130">
          <cell r="A3130">
            <v>111272</v>
          </cell>
          <cell r="B3130">
            <v>161</v>
          </cell>
          <cell r="C3130">
            <v>111</v>
          </cell>
          <cell r="D3130">
            <v>3.8E-3</v>
          </cell>
          <cell r="E3130" t="str">
            <v>Rg272</v>
          </cell>
        </row>
        <row r="3131">
          <cell r="A3131">
            <v>111274</v>
          </cell>
          <cell r="B3131">
            <v>163</v>
          </cell>
          <cell r="C3131">
            <v>111</v>
          </cell>
          <cell r="D3131">
            <v>6.4000000000000003E-3</v>
          </cell>
          <cell r="E3131" t="str">
            <v>Rg274</v>
          </cell>
        </row>
        <row r="3132">
          <cell r="A3132">
            <v>111278</v>
          </cell>
          <cell r="B3132">
            <v>167</v>
          </cell>
          <cell r="C3132">
            <v>111</v>
          </cell>
          <cell r="D3132">
            <v>4.1999999999999997E-3</v>
          </cell>
          <cell r="E3132" t="str">
            <v>Rg278</v>
          </cell>
        </row>
        <row r="3133">
          <cell r="A3133">
            <v>111279</v>
          </cell>
          <cell r="B3133">
            <v>168</v>
          </cell>
          <cell r="C3133">
            <v>111</v>
          </cell>
          <cell r="D3133">
            <v>0.17</v>
          </cell>
          <cell r="E3133" t="str">
            <v>Rg279</v>
          </cell>
        </row>
        <row r="3134">
          <cell r="A3134">
            <v>111280</v>
          </cell>
          <cell r="B3134">
            <v>169</v>
          </cell>
          <cell r="C3134">
            <v>111</v>
          </cell>
          <cell r="D3134">
            <v>3.6</v>
          </cell>
          <cell r="E3134" t="str">
            <v>Rg280</v>
          </cell>
        </row>
        <row r="3135">
          <cell r="A3135">
            <v>111281</v>
          </cell>
          <cell r="B3135">
            <v>170</v>
          </cell>
          <cell r="C3135">
            <v>111</v>
          </cell>
          <cell r="D3135">
            <v>17</v>
          </cell>
          <cell r="E3135" t="str">
            <v>Rg281</v>
          </cell>
        </row>
        <row r="3136">
          <cell r="A3136">
            <v>111282</v>
          </cell>
          <cell r="B3136">
            <v>171</v>
          </cell>
          <cell r="C3136">
            <v>111</v>
          </cell>
          <cell r="D3136">
            <v>0.5</v>
          </cell>
          <cell r="E3136" t="str">
            <v>Rg282</v>
          </cell>
        </row>
        <row r="3137">
          <cell r="A3137">
            <v>112281</v>
          </cell>
          <cell r="B3137">
            <v>169</v>
          </cell>
          <cell r="C3137">
            <v>112</v>
          </cell>
          <cell r="D3137">
            <v>0.13</v>
          </cell>
          <cell r="E3137" t="str">
            <v>Cn281</v>
          </cell>
        </row>
        <row r="3138">
          <cell r="A3138">
            <v>112282</v>
          </cell>
          <cell r="B3138">
            <v>170</v>
          </cell>
          <cell r="C3138">
            <v>112</v>
          </cell>
          <cell r="D3138">
            <v>5.0000000000000001E-4</v>
          </cell>
          <cell r="E3138" t="str">
            <v>Cn282</v>
          </cell>
        </row>
        <row r="3139">
          <cell r="A3139">
            <v>112283</v>
          </cell>
          <cell r="B3139">
            <v>171</v>
          </cell>
          <cell r="C3139">
            <v>112</v>
          </cell>
          <cell r="D3139">
            <v>4</v>
          </cell>
          <cell r="E3139" t="str">
            <v>Cn283</v>
          </cell>
        </row>
        <row r="3140">
          <cell r="A3140">
            <v>112284</v>
          </cell>
          <cell r="B3140">
            <v>172</v>
          </cell>
          <cell r="C3140">
            <v>112</v>
          </cell>
          <cell r="D3140">
            <v>0.10100000000000001</v>
          </cell>
          <cell r="E3140" t="str">
            <v>Cn284</v>
          </cell>
        </row>
        <row r="3141">
          <cell r="A3141">
            <v>112285</v>
          </cell>
          <cell r="B3141">
            <v>173</v>
          </cell>
          <cell r="C3141">
            <v>112</v>
          </cell>
          <cell r="D3141">
            <v>30</v>
          </cell>
          <cell r="E3141" t="str">
            <v>Cn285</v>
          </cell>
        </row>
        <row r="3142">
          <cell r="A3142">
            <v>113278</v>
          </cell>
          <cell r="B3142">
            <v>165</v>
          </cell>
          <cell r="C3142">
            <v>113</v>
          </cell>
          <cell r="D3142">
            <v>2.4000000000000001E-4</v>
          </cell>
          <cell r="E3142" t="str">
            <v>Nh278</v>
          </cell>
        </row>
        <row r="3143">
          <cell r="A3143">
            <v>113282</v>
          </cell>
          <cell r="B3143">
            <v>169</v>
          </cell>
          <cell r="C3143">
            <v>113</v>
          </cell>
          <cell r="D3143">
            <v>7.0000000000000007E-2</v>
          </cell>
          <cell r="E3143" t="str">
            <v>Nh282</v>
          </cell>
        </row>
        <row r="3144">
          <cell r="A3144">
            <v>113283</v>
          </cell>
          <cell r="B3144">
            <v>170</v>
          </cell>
          <cell r="C3144">
            <v>113</v>
          </cell>
          <cell r="D3144">
            <v>0.1</v>
          </cell>
          <cell r="E3144" t="str">
            <v>Nh283</v>
          </cell>
        </row>
        <row r="3145">
          <cell r="A3145">
            <v>113284</v>
          </cell>
          <cell r="B3145">
            <v>171</v>
          </cell>
          <cell r="C3145">
            <v>113</v>
          </cell>
          <cell r="D3145">
            <v>0.48</v>
          </cell>
          <cell r="E3145" t="str">
            <v>Nh284</v>
          </cell>
        </row>
        <row r="3146">
          <cell r="A3146">
            <v>113285</v>
          </cell>
          <cell r="B3146">
            <v>172</v>
          </cell>
          <cell r="C3146">
            <v>113</v>
          </cell>
          <cell r="D3146">
            <v>5.5</v>
          </cell>
          <cell r="E3146" t="str">
            <v>Nh285</v>
          </cell>
        </row>
        <row r="3147">
          <cell r="A3147">
            <v>113286</v>
          </cell>
          <cell r="B3147">
            <v>173</v>
          </cell>
          <cell r="C3147">
            <v>113</v>
          </cell>
          <cell r="D3147">
            <v>20</v>
          </cell>
          <cell r="E3147" t="str">
            <v>Nh286</v>
          </cell>
        </row>
        <row r="3148">
          <cell r="A3148">
            <v>114284</v>
          </cell>
          <cell r="B3148">
            <v>170</v>
          </cell>
          <cell r="C3148">
            <v>114</v>
          </cell>
          <cell r="D3148">
            <v>2.5000000000000001E-3</v>
          </cell>
          <cell r="E3148" t="str">
            <v>Fl284</v>
          </cell>
        </row>
        <row r="3149">
          <cell r="A3149">
            <v>114285</v>
          </cell>
          <cell r="B3149">
            <v>171</v>
          </cell>
          <cell r="C3149">
            <v>114</v>
          </cell>
          <cell r="D3149">
            <v>0.15</v>
          </cell>
          <cell r="E3149" t="str">
            <v>Fl285</v>
          </cell>
        </row>
        <row r="3150">
          <cell r="A3150">
            <v>114286</v>
          </cell>
          <cell r="B3150">
            <v>172</v>
          </cell>
          <cell r="C3150">
            <v>114</v>
          </cell>
          <cell r="D3150">
            <v>0.16</v>
          </cell>
          <cell r="E3150" t="str">
            <v>Fl286</v>
          </cell>
        </row>
        <row r="3151">
          <cell r="A3151">
            <v>114287</v>
          </cell>
          <cell r="B3151">
            <v>173</v>
          </cell>
          <cell r="C3151">
            <v>114</v>
          </cell>
          <cell r="D3151">
            <v>0.51</v>
          </cell>
          <cell r="E3151" t="str">
            <v>Fl287</v>
          </cell>
        </row>
        <row r="3152">
          <cell r="A3152">
            <v>114288</v>
          </cell>
          <cell r="B3152">
            <v>174</v>
          </cell>
          <cell r="C3152">
            <v>114</v>
          </cell>
          <cell r="D3152">
            <v>0.52</v>
          </cell>
          <cell r="E3152" t="str">
            <v>Fl288</v>
          </cell>
        </row>
        <row r="3153">
          <cell r="A3153">
            <v>114289</v>
          </cell>
          <cell r="B3153">
            <v>175</v>
          </cell>
          <cell r="C3153">
            <v>114</v>
          </cell>
          <cell r="D3153">
            <v>0.97</v>
          </cell>
          <cell r="E3153" t="str">
            <v>Fl289</v>
          </cell>
        </row>
        <row r="3154">
          <cell r="A3154">
            <v>115287</v>
          </cell>
          <cell r="B3154">
            <v>172</v>
          </cell>
          <cell r="C3154">
            <v>115</v>
          </cell>
          <cell r="D3154">
            <v>3.2000000000000001E-2</v>
          </cell>
          <cell r="E3154" t="str">
            <v>Mc287</v>
          </cell>
        </row>
        <row r="3155">
          <cell r="A3155">
            <v>115288</v>
          </cell>
          <cell r="B3155">
            <v>173</v>
          </cell>
          <cell r="C3155">
            <v>115</v>
          </cell>
          <cell r="D3155">
            <v>8.6999999999999994E-2</v>
          </cell>
          <cell r="E3155" t="str">
            <v>Mc288</v>
          </cell>
        </row>
        <row r="3156">
          <cell r="A3156">
            <v>115289</v>
          </cell>
          <cell r="B3156">
            <v>174</v>
          </cell>
          <cell r="C3156">
            <v>115</v>
          </cell>
          <cell r="D3156">
            <v>0.22</v>
          </cell>
          <cell r="E3156" t="str">
            <v>Mc289</v>
          </cell>
        </row>
        <row r="3157">
          <cell r="A3157">
            <v>115290</v>
          </cell>
          <cell r="B3157">
            <v>175</v>
          </cell>
          <cell r="C3157">
            <v>115</v>
          </cell>
          <cell r="D3157">
            <v>1.6E-2</v>
          </cell>
          <cell r="E3157" t="str">
            <v>Mc290</v>
          </cell>
        </row>
        <row r="3158">
          <cell r="A3158">
            <v>116290</v>
          </cell>
          <cell r="B3158">
            <v>174</v>
          </cell>
          <cell r="C3158">
            <v>116</v>
          </cell>
          <cell r="D3158">
            <v>1.4999999999999999E-2</v>
          </cell>
          <cell r="E3158" t="str">
            <v>Lv290</v>
          </cell>
        </row>
        <row r="3159">
          <cell r="A3159">
            <v>116291</v>
          </cell>
          <cell r="B3159">
            <v>175</v>
          </cell>
          <cell r="C3159">
            <v>116</v>
          </cell>
          <cell r="D3159">
            <v>6.3E-3</v>
          </cell>
          <cell r="E3159" t="str">
            <v>Lv291</v>
          </cell>
        </row>
        <row r="3160">
          <cell r="A3160">
            <v>116292</v>
          </cell>
          <cell r="B3160">
            <v>176</v>
          </cell>
          <cell r="C3160">
            <v>116</v>
          </cell>
          <cell r="D3160">
            <v>1.7999999999999999E-2</v>
          </cell>
          <cell r="E3160" t="str">
            <v>Lv292</v>
          </cell>
        </row>
        <row r="3161">
          <cell r="A3161">
            <v>116293</v>
          </cell>
          <cell r="B3161">
            <v>177</v>
          </cell>
          <cell r="C3161">
            <v>116</v>
          </cell>
          <cell r="D3161">
            <v>5.2999999999999999E-2</v>
          </cell>
          <cell r="E3161" t="str">
            <v>Lv293</v>
          </cell>
        </row>
        <row r="3162">
          <cell r="A3162">
            <v>117293</v>
          </cell>
          <cell r="B3162">
            <v>176</v>
          </cell>
          <cell r="C3162">
            <v>117</v>
          </cell>
          <cell r="D3162">
            <v>1.4E-2</v>
          </cell>
          <cell r="E3162" t="str">
            <v>Ts293</v>
          </cell>
        </row>
        <row r="3163">
          <cell r="A3163">
            <v>117294</v>
          </cell>
          <cell r="B3163">
            <v>177</v>
          </cell>
          <cell r="C3163">
            <v>117</v>
          </cell>
          <cell r="D3163">
            <v>0.08</v>
          </cell>
          <cell r="E3163" t="str">
            <v>Ts294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163"/>
  <sheetViews>
    <sheetView topLeftCell="A79" workbookViewId="0">
      <selection activeCell="D90" sqref="D90"/>
    </sheetView>
  </sheetViews>
  <sheetFormatPr defaultRowHeight="15" x14ac:dyDescent="0.25"/>
  <cols>
    <col min="1" max="1" width="8.875" style="1" customWidth="1"/>
    <col min="2" max="3" width="9" style="2"/>
    <col min="4" max="4" width="13.125" style="2" bestFit="1" customWidth="1"/>
    <col min="5" max="5" width="9" style="2"/>
    <col min="6" max="6" width="13.125" style="2" bestFit="1" customWidth="1"/>
  </cols>
  <sheetData>
    <row r="2" spans="1:6" x14ac:dyDescent="0.25">
      <c r="B2" s="2" t="s">
        <v>0</v>
      </c>
      <c r="C2" s="2" t="s">
        <v>1</v>
      </c>
      <c r="D2" s="2" t="s">
        <v>2</v>
      </c>
      <c r="F2" s="2" t="s">
        <v>2</v>
      </c>
    </row>
    <row r="3" spans="1:6" x14ac:dyDescent="0.25">
      <c r="A3" s="1">
        <v>1001</v>
      </c>
      <c r="B3" s="2">
        <v>1</v>
      </c>
      <c r="C3" s="2">
        <v>0</v>
      </c>
      <c r="D3" s="2">
        <v>613.9</v>
      </c>
      <c r="F3" s="2">
        <v>613.9</v>
      </c>
    </row>
    <row r="4" spans="1:6" x14ac:dyDescent="0.25">
      <c r="A4" s="1">
        <v>1002</v>
      </c>
      <c r="B4" s="2">
        <v>1</v>
      </c>
      <c r="C4" s="2">
        <v>1</v>
      </c>
      <c r="D4" s="2" t="s">
        <v>3</v>
      </c>
      <c r="E4" s="2" t="s">
        <v>4</v>
      </c>
      <c r="F4" s="2" t="s">
        <v>3</v>
      </c>
    </row>
    <row r="5" spans="1:6" x14ac:dyDescent="0.25">
      <c r="A5" s="1">
        <v>1003</v>
      </c>
      <c r="B5" s="2">
        <v>2</v>
      </c>
      <c r="C5" s="2">
        <v>1</v>
      </c>
      <c r="D5" s="2">
        <v>388789632</v>
      </c>
      <c r="E5" s="2" t="s">
        <v>5</v>
      </c>
      <c r="F5" s="2">
        <v>388789632</v>
      </c>
    </row>
    <row r="6" spans="1:6" x14ac:dyDescent="0.25">
      <c r="A6" s="1">
        <v>1005</v>
      </c>
      <c r="B6" s="2">
        <v>4</v>
      </c>
      <c r="C6" s="2">
        <v>1</v>
      </c>
      <c r="D6" s="2">
        <v>7.9947368421052595E-23</v>
      </c>
      <c r="E6" s="2" t="s">
        <v>6</v>
      </c>
      <c r="F6" s="2">
        <v>7.9947368421052595E-23</v>
      </c>
    </row>
    <row r="7" spans="1:6" x14ac:dyDescent="0.25">
      <c r="A7" s="1">
        <v>1006</v>
      </c>
      <c r="B7" s="2">
        <v>5</v>
      </c>
      <c r="C7" s="2">
        <v>1</v>
      </c>
      <c r="D7" s="2">
        <v>2.8481249999999898E-22</v>
      </c>
      <c r="E7" s="2" t="s">
        <v>7</v>
      </c>
      <c r="F7" s="2">
        <v>2.8481249999999898E-22</v>
      </c>
    </row>
    <row r="8" spans="1:6" x14ac:dyDescent="0.25">
      <c r="A8" s="1">
        <v>2003</v>
      </c>
      <c r="B8" s="2">
        <v>1</v>
      </c>
      <c r="C8" s="2">
        <v>2</v>
      </c>
      <c r="D8" s="2" t="s">
        <v>3</v>
      </c>
      <c r="E8" s="2" t="s">
        <v>8</v>
      </c>
      <c r="F8" s="2" t="s">
        <v>3</v>
      </c>
    </row>
    <row r="9" spans="1:6" x14ac:dyDescent="0.25">
      <c r="A9" s="1">
        <v>2004</v>
      </c>
      <c r="B9" s="2">
        <v>2</v>
      </c>
      <c r="C9" s="2">
        <v>2</v>
      </c>
      <c r="D9" s="2" t="s">
        <v>3</v>
      </c>
      <c r="E9" s="2" t="s">
        <v>9</v>
      </c>
      <c r="F9" s="2" t="s">
        <v>3</v>
      </c>
    </row>
    <row r="10" spans="1:6" x14ac:dyDescent="0.25">
      <c r="A10" s="1">
        <v>2005</v>
      </c>
      <c r="B10" s="2">
        <v>3</v>
      </c>
      <c r="C10" s="2">
        <v>2</v>
      </c>
      <c r="D10" s="2">
        <v>7.5950000000000001E-22</v>
      </c>
      <c r="E10" s="2" t="s">
        <v>10</v>
      </c>
      <c r="F10" s="2">
        <v>7.5950000000000001E-22</v>
      </c>
    </row>
    <row r="11" spans="1:6" x14ac:dyDescent="0.25">
      <c r="A11" s="1">
        <v>2006</v>
      </c>
      <c r="B11" s="2">
        <v>4</v>
      </c>
      <c r="C11" s="2">
        <v>2</v>
      </c>
      <c r="D11" s="2">
        <v>0.80669999999999997</v>
      </c>
      <c r="E11" s="2" t="s">
        <v>11</v>
      </c>
      <c r="F11" s="2">
        <v>0.80669999999999997</v>
      </c>
    </row>
    <row r="12" spans="1:6" x14ac:dyDescent="0.25">
      <c r="A12" s="1">
        <v>2007</v>
      </c>
      <c r="B12" s="2">
        <v>5</v>
      </c>
      <c r="C12" s="2">
        <v>2</v>
      </c>
      <c r="D12" s="2">
        <v>3.0380000000000001E-21</v>
      </c>
      <c r="E12" s="2" t="s">
        <v>12</v>
      </c>
      <c r="F12" s="2">
        <v>3.0380000000000001E-21</v>
      </c>
    </row>
    <row r="13" spans="1:6" x14ac:dyDescent="0.25">
      <c r="A13" s="1">
        <v>2008</v>
      </c>
      <c r="B13" s="2">
        <v>6</v>
      </c>
      <c r="C13" s="2">
        <v>2</v>
      </c>
      <c r="D13" s="2">
        <v>0.1191</v>
      </c>
      <c r="E13" s="2" t="s">
        <v>13</v>
      </c>
      <c r="F13" s="2">
        <v>0.1191</v>
      </c>
    </row>
    <row r="14" spans="1:6" x14ac:dyDescent="0.25">
      <c r="A14" s="1">
        <v>2010</v>
      </c>
      <c r="B14" s="2">
        <v>8</v>
      </c>
      <c r="C14" s="2">
        <v>2</v>
      </c>
      <c r="D14" s="2">
        <v>1.519E-21</v>
      </c>
      <c r="E14" s="2" t="s">
        <v>14</v>
      </c>
      <c r="F14" s="2">
        <v>1.519E-21</v>
      </c>
    </row>
    <row r="15" spans="1:6" x14ac:dyDescent="0.25">
      <c r="A15" s="1">
        <v>3004</v>
      </c>
      <c r="B15" s="2">
        <v>1</v>
      </c>
      <c r="C15" s="2">
        <v>3</v>
      </c>
      <c r="D15" s="2">
        <v>7.5572139303482503E-23</v>
      </c>
      <c r="E15" s="2" t="s">
        <v>15</v>
      </c>
      <c r="F15" s="2">
        <v>7.5572139303482503E-23</v>
      </c>
    </row>
    <row r="16" spans="1:6" x14ac:dyDescent="0.25">
      <c r="A16" s="1">
        <v>3005</v>
      </c>
      <c r="B16" s="2">
        <v>2</v>
      </c>
      <c r="C16" s="2">
        <v>3</v>
      </c>
      <c r="D16" s="2">
        <v>3.038E-22</v>
      </c>
      <c r="E16" s="2" t="s">
        <v>16</v>
      </c>
      <c r="F16" s="2">
        <v>3.038E-22</v>
      </c>
    </row>
    <row r="17" spans="1:6" x14ac:dyDescent="0.25">
      <c r="A17" s="1">
        <v>3006</v>
      </c>
      <c r="B17" s="2">
        <v>3</v>
      </c>
      <c r="C17" s="2">
        <v>3</v>
      </c>
      <c r="D17" s="2" t="s">
        <v>3</v>
      </c>
      <c r="E17" s="2" t="s">
        <v>17</v>
      </c>
      <c r="F17" s="2" t="s">
        <v>3</v>
      </c>
    </row>
    <row r="18" spans="1:6" x14ac:dyDescent="0.25">
      <c r="A18" s="1">
        <v>3007</v>
      </c>
      <c r="B18" s="2">
        <v>4</v>
      </c>
      <c r="C18" s="2">
        <v>3</v>
      </c>
      <c r="D18" s="2" t="s">
        <v>3</v>
      </c>
      <c r="E18" s="2" t="s">
        <v>18</v>
      </c>
      <c r="F18" s="2" t="s">
        <v>3</v>
      </c>
    </row>
    <row r="19" spans="1:6" x14ac:dyDescent="0.25">
      <c r="A19" s="1">
        <v>3008</v>
      </c>
      <c r="B19" s="2">
        <v>5</v>
      </c>
      <c r="C19" s="2">
        <v>3</v>
      </c>
      <c r="D19" s="2">
        <v>0.83989999999999998</v>
      </c>
      <c r="E19" s="2" t="s">
        <v>19</v>
      </c>
      <c r="F19" s="2">
        <v>0.83989999999999998</v>
      </c>
    </row>
    <row r="20" spans="1:6" x14ac:dyDescent="0.25">
      <c r="A20" s="1">
        <v>3009</v>
      </c>
      <c r="B20" s="2">
        <v>6</v>
      </c>
      <c r="C20" s="2">
        <v>3</v>
      </c>
      <c r="D20" s="2">
        <v>0.17829999999999999</v>
      </c>
      <c r="E20" s="2" t="s">
        <v>20</v>
      </c>
      <c r="F20" s="2">
        <v>0.17829999999999999</v>
      </c>
    </row>
    <row r="21" spans="1:6" x14ac:dyDescent="0.25">
      <c r="A21" s="1">
        <v>3011</v>
      </c>
      <c r="B21" s="2">
        <v>8</v>
      </c>
      <c r="C21" s="2">
        <v>3</v>
      </c>
      <c r="D21" s="2">
        <v>8.7500000000000008E-3</v>
      </c>
      <c r="E21" s="2" t="s">
        <v>21</v>
      </c>
      <c r="F21" s="2">
        <v>8.7500000000000008E-3</v>
      </c>
    </row>
    <row r="22" spans="1:6" x14ac:dyDescent="0.25">
      <c r="A22" s="1">
        <v>4006</v>
      </c>
      <c r="B22" s="2">
        <v>2</v>
      </c>
      <c r="C22" s="2">
        <v>4</v>
      </c>
      <c r="D22" s="2">
        <v>4.9532608695652102E-21</v>
      </c>
      <c r="E22" s="2" t="s">
        <v>22</v>
      </c>
      <c r="F22" s="2">
        <v>4.9532608695652102E-21</v>
      </c>
    </row>
    <row r="23" spans="1:6" x14ac:dyDescent="0.25">
      <c r="A23" s="1">
        <v>4007</v>
      </c>
      <c r="B23" s="2">
        <v>3</v>
      </c>
      <c r="C23" s="2">
        <v>4</v>
      </c>
      <c r="D23" s="2">
        <v>4598208</v>
      </c>
      <c r="E23" s="2" t="s">
        <v>23</v>
      </c>
      <c r="F23" s="2">
        <v>4598208</v>
      </c>
    </row>
    <row r="24" spans="1:6" x14ac:dyDescent="0.25">
      <c r="A24" s="1">
        <v>4008</v>
      </c>
      <c r="B24" s="2">
        <v>4</v>
      </c>
      <c r="C24" s="2">
        <v>4</v>
      </c>
      <c r="D24" s="2">
        <v>8.1813285457809601E-17</v>
      </c>
      <c r="E24" s="2" t="s">
        <v>24</v>
      </c>
      <c r="F24" s="2">
        <v>8.1813285457809601E-17</v>
      </c>
    </row>
    <row r="25" spans="1:6" x14ac:dyDescent="0.25">
      <c r="A25" s="1">
        <v>4009</v>
      </c>
      <c r="B25" s="2">
        <v>5</v>
      </c>
      <c r="C25" s="2">
        <v>4</v>
      </c>
      <c r="D25" s="2" t="s">
        <v>3</v>
      </c>
      <c r="E25" s="2" t="s">
        <v>25</v>
      </c>
      <c r="F25" s="2" t="s">
        <v>3</v>
      </c>
    </row>
    <row r="26" spans="1:6" x14ac:dyDescent="0.25">
      <c r="A26" s="1">
        <v>4010</v>
      </c>
      <c r="B26" s="2">
        <v>6</v>
      </c>
      <c r="C26" s="2">
        <v>4</v>
      </c>
      <c r="D26" s="2">
        <v>47651976000000</v>
      </c>
      <c r="E26" s="2" t="s">
        <v>26</v>
      </c>
      <c r="F26" s="2">
        <v>47651976000000</v>
      </c>
    </row>
    <row r="27" spans="1:6" x14ac:dyDescent="0.25">
      <c r="A27" s="1">
        <v>4011</v>
      </c>
      <c r="B27" s="2">
        <v>7</v>
      </c>
      <c r="C27" s="2">
        <v>4</v>
      </c>
      <c r="D27" s="2">
        <v>13.76</v>
      </c>
      <c r="E27" s="2" t="s">
        <v>27</v>
      </c>
      <c r="F27" s="2">
        <v>13.76</v>
      </c>
    </row>
    <row r="28" spans="1:6" x14ac:dyDescent="0.25">
      <c r="A28" s="1">
        <v>4012</v>
      </c>
      <c r="B28" s="2">
        <v>8</v>
      </c>
      <c r="C28" s="2">
        <v>4</v>
      </c>
      <c r="D28" s="2">
        <v>2.147E-2</v>
      </c>
      <c r="E28" s="2" t="s">
        <v>28</v>
      </c>
      <c r="F28" s="2">
        <v>2.147E-2</v>
      </c>
    </row>
    <row r="29" spans="1:6" x14ac:dyDescent="0.25">
      <c r="A29" s="1">
        <v>4013</v>
      </c>
      <c r="B29" s="2">
        <v>9</v>
      </c>
      <c r="C29" s="2">
        <v>4</v>
      </c>
      <c r="D29" s="2">
        <v>2.7000000000000001E-21</v>
      </c>
      <c r="E29" s="2" t="s">
        <v>29</v>
      </c>
      <c r="F29" s="2">
        <v>2.7000000000000001E-21</v>
      </c>
    </row>
    <row r="30" spans="1:6" x14ac:dyDescent="0.25">
      <c r="A30" s="1">
        <v>4014</v>
      </c>
      <c r="B30" s="2">
        <v>10</v>
      </c>
      <c r="C30" s="2">
        <v>4</v>
      </c>
      <c r="D30" s="2">
        <v>4.3499999999999997E-3</v>
      </c>
      <c r="E30" s="2" t="s">
        <v>30</v>
      </c>
      <c r="F30" s="2">
        <v>4.3499999999999997E-3</v>
      </c>
    </row>
    <row r="31" spans="1:6" x14ac:dyDescent="0.25">
      <c r="A31" s="1">
        <v>4015</v>
      </c>
      <c r="B31" s="2">
        <v>11</v>
      </c>
      <c r="C31" s="2">
        <v>4</v>
      </c>
      <c r="D31" s="2">
        <v>7.8568965517241304E-22</v>
      </c>
      <c r="E31" s="2" t="s">
        <v>31</v>
      </c>
      <c r="F31" s="2">
        <v>7.8568965517241304E-22</v>
      </c>
    </row>
    <row r="32" spans="1:6" x14ac:dyDescent="0.25">
      <c r="A32" s="1">
        <v>4016</v>
      </c>
      <c r="B32" s="2">
        <v>12</v>
      </c>
      <c r="C32" s="2">
        <v>4</v>
      </c>
      <c r="D32" s="2">
        <v>5.69624999999999E-22</v>
      </c>
      <c r="E32" s="2" t="s">
        <v>32</v>
      </c>
      <c r="F32" s="2">
        <v>5.69624999999999E-22</v>
      </c>
    </row>
    <row r="33" spans="1:6" x14ac:dyDescent="0.25">
      <c r="A33" s="1">
        <v>5007</v>
      </c>
      <c r="B33" s="2">
        <v>2</v>
      </c>
      <c r="C33" s="2">
        <v>5</v>
      </c>
      <c r="D33" s="2">
        <v>3.2550000000000001E-22</v>
      </c>
      <c r="E33" s="2" t="s">
        <v>33</v>
      </c>
      <c r="F33" s="2">
        <v>3.2550000000000001E-22</v>
      </c>
    </row>
    <row r="34" spans="1:6" x14ac:dyDescent="0.25">
      <c r="A34" s="1">
        <v>5008</v>
      </c>
      <c r="B34" s="2">
        <v>3</v>
      </c>
      <c r="C34" s="2">
        <v>5</v>
      </c>
      <c r="D34" s="2">
        <v>0.77</v>
      </c>
      <c r="E34" s="2" t="s">
        <v>34</v>
      </c>
      <c r="F34" s="2">
        <v>0.77</v>
      </c>
    </row>
    <row r="35" spans="1:6" x14ac:dyDescent="0.25">
      <c r="A35" s="1">
        <v>5009</v>
      </c>
      <c r="B35" s="2">
        <v>4</v>
      </c>
      <c r="C35" s="2">
        <v>5</v>
      </c>
      <c r="D35" s="2">
        <v>8.4388888888888803E-19</v>
      </c>
      <c r="E35" s="2" t="s">
        <v>35</v>
      </c>
      <c r="F35" s="2">
        <v>8.4388888888888803E-19</v>
      </c>
    </row>
    <row r="36" spans="1:6" x14ac:dyDescent="0.25">
      <c r="A36" s="1">
        <v>5010</v>
      </c>
      <c r="B36" s="2">
        <v>5</v>
      </c>
      <c r="C36" s="2">
        <v>5</v>
      </c>
      <c r="D36" s="2" t="s">
        <v>3</v>
      </c>
      <c r="E36" s="2" t="s">
        <v>36</v>
      </c>
      <c r="F36" s="2" t="s">
        <v>3</v>
      </c>
    </row>
    <row r="37" spans="1:6" x14ac:dyDescent="0.25">
      <c r="A37" s="1">
        <v>5011</v>
      </c>
      <c r="B37" s="2">
        <v>6</v>
      </c>
      <c r="C37" s="2">
        <v>5</v>
      </c>
      <c r="D37" s="2" t="s">
        <v>3</v>
      </c>
      <c r="E37" s="2" t="s">
        <v>37</v>
      </c>
      <c r="F37" s="2" t="s">
        <v>3</v>
      </c>
    </row>
    <row r="38" spans="1:6" x14ac:dyDescent="0.25">
      <c r="A38" s="1">
        <v>5012</v>
      </c>
      <c r="B38" s="2">
        <v>7</v>
      </c>
      <c r="C38" s="2">
        <v>5</v>
      </c>
      <c r="D38" s="2">
        <v>2.0199999999999999E-2</v>
      </c>
      <c r="E38" s="2" t="s">
        <v>38</v>
      </c>
      <c r="F38" s="2">
        <v>2.0199999999999999E-2</v>
      </c>
    </row>
    <row r="39" spans="1:6" x14ac:dyDescent="0.25">
      <c r="A39" s="1">
        <v>5013</v>
      </c>
      <c r="B39" s="2">
        <v>8</v>
      </c>
      <c r="C39" s="2">
        <v>5</v>
      </c>
      <c r="D39" s="2">
        <v>1.7329999999999901E-2</v>
      </c>
      <c r="E39" s="2" t="s">
        <v>39</v>
      </c>
      <c r="F39" s="2">
        <v>1.7329999999999901E-2</v>
      </c>
    </row>
    <row r="40" spans="1:6" x14ac:dyDescent="0.25">
      <c r="A40" s="1">
        <v>5014</v>
      </c>
      <c r="B40" s="2">
        <v>9</v>
      </c>
      <c r="C40" s="2">
        <v>5</v>
      </c>
      <c r="D40" s="2">
        <v>1.2359999999999999E-2</v>
      </c>
      <c r="E40" s="2" t="s">
        <v>40</v>
      </c>
      <c r="F40" s="2">
        <v>1.2359999999999999E-2</v>
      </c>
    </row>
    <row r="41" spans="1:6" x14ac:dyDescent="0.25">
      <c r="A41" s="1">
        <v>5015</v>
      </c>
      <c r="B41" s="2">
        <v>10</v>
      </c>
      <c r="C41" s="2">
        <v>5</v>
      </c>
      <c r="D41" s="2">
        <v>1.018E-2</v>
      </c>
      <c r="E41" s="2" t="s">
        <v>41</v>
      </c>
      <c r="F41" s="2">
        <v>1.018E-2</v>
      </c>
    </row>
    <row r="42" spans="1:6" x14ac:dyDescent="0.25">
      <c r="A42" s="1">
        <v>5017</v>
      </c>
      <c r="B42" s="2">
        <v>12</v>
      </c>
      <c r="C42" s="2">
        <v>5</v>
      </c>
      <c r="D42" s="2">
        <v>5.0800000000000003E-3</v>
      </c>
      <c r="E42" s="2" t="s">
        <v>42</v>
      </c>
      <c r="F42" s="2">
        <v>5.0800000000000003E-3</v>
      </c>
    </row>
    <row r="43" spans="1:6" x14ac:dyDescent="0.25">
      <c r="A43" s="1">
        <v>5019</v>
      </c>
      <c r="B43" s="2">
        <v>14</v>
      </c>
      <c r="C43" s="2">
        <v>5</v>
      </c>
      <c r="D43" s="2">
        <v>2.9199999999999999E-3</v>
      </c>
      <c r="E43" s="2" t="s">
        <v>43</v>
      </c>
      <c r="F43" s="2">
        <v>2.9199999999999999E-3</v>
      </c>
    </row>
    <row r="44" spans="1:6" x14ac:dyDescent="0.25">
      <c r="A44" s="1">
        <v>6008</v>
      </c>
      <c r="B44" s="2">
        <v>2</v>
      </c>
      <c r="C44" s="2">
        <v>6</v>
      </c>
      <c r="D44" s="2">
        <v>1.9813043478260799E-21</v>
      </c>
      <c r="E44" s="2" t="s">
        <v>44</v>
      </c>
      <c r="F44" s="2">
        <v>1.9813043478260799E-21</v>
      </c>
    </row>
    <row r="45" spans="1:6" x14ac:dyDescent="0.25">
      <c r="A45" s="1">
        <v>6009</v>
      </c>
      <c r="B45" s="2">
        <v>3</v>
      </c>
      <c r="C45" s="2">
        <v>6</v>
      </c>
      <c r="D45" s="2">
        <v>0.1265</v>
      </c>
      <c r="E45" s="2" t="s">
        <v>45</v>
      </c>
      <c r="F45" s="2">
        <v>0.1265</v>
      </c>
    </row>
    <row r="46" spans="1:6" x14ac:dyDescent="0.25">
      <c r="A46" s="1">
        <v>6010</v>
      </c>
      <c r="B46" s="2">
        <v>4</v>
      </c>
      <c r="C46" s="2">
        <v>6</v>
      </c>
      <c r="D46" s="2">
        <v>19.308</v>
      </c>
      <c r="E46" s="2" t="s">
        <v>46</v>
      </c>
      <c r="F46" s="2">
        <v>19.308</v>
      </c>
    </row>
    <row r="47" spans="1:6" x14ac:dyDescent="0.25">
      <c r="A47" s="1">
        <v>6011</v>
      </c>
      <c r="B47" s="2">
        <v>5</v>
      </c>
      <c r="C47" s="2">
        <v>6</v>
      </c>
      <c r="D47" s="2">
        <v>1221.8399999999999</v>
      </c>
      <c r="E47" s="2" t="s">
        <v>47</v>
      </c>
      <c r="F47" s="2">
        <v>1221.8399999999999</v>
      </c>
    </row>
    <row r="48" spans="1:6" x14ac:dyDescent="0.25">
      <c r="A48" s="1">
        <v>6012</v>
      </c>
      <c r="B48" s="2">
        <v>6</v>
      </c>
      <c r="C48" s="2">
        <v>6</v>
      </c>
      <c r="D48" s="2" t="s">
        <v>3</v>
      </c>
      <c r="E48" s="2" t="s">
        <v>48</v>
      </c>
      <c r="F48" s="2" t="s">
        <v>3</v>
      </c>
    </row>
    <row r="49" spans="1:6" x14ac:dyDescent="0.25">
      <c r="A49" s="1">
        <v>6013</v>
      </c>
      <c r="B49" s="2">
        <v>7</v>
      </c>
      <c r="C49" s="2">
        <v>6</v>
      </c>
      <c r="D49" s="2" t="s">
        <v>3</v>
      </c>
      <c r="E49" s="2" t="s">
        <v>49</v>
      </c>
      <c r="F49" s="2" t="s">
        <v>3</v>
      </c>
    </row>
    <row r="50" spans="1:6" x14ac:dyDescent="0.25">
      <c r="A50" s="1">
        <v>6014</v>
      </c>
      <c r="B50" s="2">
        <v>8</v>
      </c>
      <c r="C50" s="2">
        <v>6</v>
      </c>
      <c r="D50" s="2">
        <v>179878320000</v>
      </c>
      <c r="E50" s="2" t="s">
        <v>50</v>
      </c>
      <c r="F50" s="2">
        <v>179878320000</v>
      </c>
    </row>
    <row r="51" spans="1:6" x14ac:dyDescent="0.25">
      <c r="A51" s="1">
        <v>6015</v>
      </c>
      <c r="B51" s="2">
        <v>9</v>
      </c>
      <c r="C51" s="2">
        <v>6</v>
      </c>
      <c r="D51" s="2">
        <v>2.4489999999999998</v>
      </c>
      <c r="E51" s="2" t="s">
        <v>51</v>
      </c>
      <c r="F51" s="2">
        <v>2.4489999999999998</v>
      </c>
    </row>
    <row r="52" spans="1:6" x14ac:dyDescent="0.25">
      <c r="A52" s="1">
        <v>6016</v>
      </c>
      <c r="B52" s="2">
        <v>10</v>
      </c>
      <c r="C52" s="2">
        <v>6</v>
      </c>
      <c r="D52" s="2">
        <v>0.747</v>
      </c>
      <c r="E52" s="2" t="s">
        <v>52</v>
      </c>
      <c r="F52" s="2">
        <v>0.747</v>
      </c>
    </row>
    <row r="53" spans="1:6" x14ac:dyDescent="0.25">
      <c r="A53" s="1">
        <v>6017</v>
      </c>
      <c r="B53" s="2">
        <v>11</v>
      </c>
      <c r="C53" s="2">
        <v>6</v>
      </c>
      <c r="D53" s="2">
        <v>0.191</v>
      </c>
      <c r="E53" s="2" t="s">
        <v>53</v>
      </c>
      <c r="F53" s="2">
        <v>0.191</v>
      </c>
    </row>
    <row r="54" spans="1:6" x14ac:dyDescent="0.25">
      <c r="A54" s="1">
        <v>6018</v>
      </c>
      <c r="B54" s="2">
        <v>12</v>
      </c>
      <c r="C54" s="2">
        <v>6</v>
      </c>
      <c r="D54" s="2">
        <v>9.1999999999999998E-2</v>
      </c>
      <c r="E54" s="2" t="s">
        <v>54</v>
      </c>
      <c r="F54" s="2">
        <v>9.1999999999999998E-2</v>
      </c>
    </row>
    <row r="55" spans="1:6" x14ac:dyDescent="0.25">
      <c r="A55" s="1">
        <v>6019</v>
      </c>
      <c r="B55" s="2">
        <v>13</v>
      </c>
      <c r="C55" s="2">
        <v>6</v>
      </c>
      <c r="D55" s="2">
        <v>4.6199999999999998E-2</v>
      </c>
      <c r="E55" s="2" t="s">
        <v>55</v>
      </c>
      <c r="F55" s="2">
        <v>4.6199999999999998E-2</v>
      </c>
    </row>
    <row r="56" spans="1:6" x14ac:dyDescent="0.25">
      <c r="A56" s="1">
        <v>6020</v>
      </c>
      <c r="B56" s="2">
        <v>14</v>
      </c>
      <c r="C56" s="2">
        <v>6</v>
      </c>
      <c r="D56" s="2">
        <v>1.6199999999999999E-2</v>
      </c>
      <c r="E56" s="2" t="s">
        <v>56</v>
      </c>
      <c r="F56" s="2">
        <v>1.6199999999999999E-2</v>
      </c>
    </row>
    <row r="57" spans="1:6" x14ac:dyDescent="0.25">
      <c r="A57" s="1">
        <v>6022</v>
      </c>
      <c r="B57" s="2">
        <v>16</v>
      </c>
      <c r="C57" s="2">
        <v>6</v>
      </c>
      <c r="D57" s="2">
        <v>6.09999999999999E-3</v>
      </c>
      <c r="E57" s="2" t="s">
        <v>57</v>
      </c>
      <c r="F57" s="2">
        <v>6.09999999999999E-3</v>
      </c>
    </row>
    <row r="58" spans="1:6" x14ac:dyDescent="0.25">
      <c r="A58" s="1">
        <v>7011</v>
      </c>
      <c r="B58" s="2">
        <v>4</v>
      </c>
      <c r="C58" s="2">
        <v>7</v>
      </c>
      <c r="D58" s="2">
        <v>5.4903614457831297E-22</v>
      </c>
      <c r="E58" s="2" t="s">
        <v>58</v>
      </c>
      <c r="F58" s="2">
        <v>5.4903614457831297E-22</v>
      </c>
    </row>
    <row r="59" spans="1:6" x14ac:dyDescent="0.25">
      <c r="A59" s="1">
        <v>7012</v>
      </c>
      <c r="B59" s="2">
        <v>5</v>
      </c>
      <c r="C59" s="2">
        <v>7</v>
      </c>
      <c r="D59" s="2">
        <v>1.0999999999999999E-2</v>
      </c>
      <c r="E59" s="2" t="s">
        <v>59</v>
      </c>
      <c r="F59" s="2">
        <v>1.0999999999999999E-2</v>
      </c>
    </row>
    <row r="60" spans="1:6" x14ac:dyDescent="0.25">
      <c r="A60" s="1">
        <v>7013</v>
      </c>
      <c r="B60" s="2">
        <v>6</v>
      </c>
      <c r="C60" s="2">
        <v>7</v>
      </c>
      <c r="D60" s="2">
        <v>597.9</v>
      </c>
      <c r="E60" s="2" t="s">
        <v>60</v>
      </c>
      <c r="F60" s="2">
        <v>597.9</v>
      </c>
    </row>
    <row r="61" spans="1:6" x14ac:dyDescent="0.25">
      <c r="A61" s="1">
        <v>7014</v>
      </c>
      <c r="B61" s="2">
        <v>7</v>
      </c>
      <c r="C61" s="2">
        <v>7</v>
      </c>
      <c r="D61" s="2" t="s">
        <v>3</v>
      </c>
      <c r="E61" s="2" t="s">
        <v>61</v>
      </c>
      <c r="F61" s="2" t="s">
        <v>3</v>
      </c>
    </row>
    <row r="62" spans="1:6" x14ac:dyDescent="0.25">
      <c r="A62" s="1">
        <v>7015</v>
      </c>
      <c r="B62" s="2">
        <v>8</v>
      </c>
      <c r="C62" s="2">
        <v>7</v>
      </c>
      <c r="D62" s="2" t="s">
        <v>3</v>
      </c>
      <c r="E62" s="2" t="s">
        <v>62</v>
      </c>
      <c r="F62" s="2" t="s">
        <v>3</v>
      </c>
    </row>
    <row r="63" spans="1:6" x14ac:dyDescent="0.25">
      <c r="A63" s="1">
        <v>7016</v>
      </c>
      <c r="B63" s="2">
        <v>9</v>
      </c>
      <c r="C63" s="2">
        <v>7</v>
      </c>
      <c r="D63" s="2">
        <v>7.13</v>
      </c>
      <c r="E63" s="2" t="s">
        <v>63</v>
      </c>
      <c r="F63" s="2">
        <v>7.13</v>
      </c>
    </row>
    <row r="64" spans="1:6" x14ac:dyDescent="0.25">
      <c r="A64" s="1">
        <v>7017</v>
      </c>
      <c r="B64" s="2">
        <v>10</v>
      </c>
      <c r="C64" s="2">
        <v>7</v>
      </c>
      <c r="D64" s="2">
        <v>4.1710000000000003</v>
      </c>
      <c r="E64" s="2" t="s">
        <v>64</v>
      </c>
      <c r="F64" s="2">
        <v>4.1710000000000003</v>
      </c>
    </row>
    <row r="65" spans="1:6" x14ac:dyDescent="0.25">
      <c r="A65" s="1">
        <v>7018</v>
      </c>
      <c r="B65" s="2">
        <v>11</v>
      </c>
      <c r="C65" s="2">
        <v>7</v>
      </c>
      <c r="D65" s="2">
        <v>0.61899999999999999</v>
      </c>
      <c r="E65" s="2" t="s">
        <v>65</v>
      </c>
      <c r="F65" s="2">
        <v>0.61899999999999999</v>
      </c>
    </row>
    <row r="66" spans="1:6" x14ac:dyDescent="0.25">
      <c r="A66" s="1">
        <v>7019</v>
      </c>
      <c r="B66" s="2">
        <v>12</v>
      </c>
      <c r="C66" s="2">
        <v>7</v>
      </c>
      <c r="D66" s="2">
        <v>0.33600000000000002</v>
      </c>
      <c r="E66" s="2" t="s">
        <v>66</v>
      </c>
      <c r="F66" s="2">
        <v>0.33600000000000002</v>
      </c>
    </row>
    <row r="67" spans="1:6" x14ac:dyDescent="0.25">
      <c r="A67" s="1">
        <v>7020</v>
      </c>
      <c r="B67" s="2">
        <v>13</v>
      </c>
      <c r="C67" s="2">
        <v>7</v>
      </c>
      <c r="D67" s="2">
        <v>0.13600000000000001</v>
      </c>
      <c r="E67" s="2" t="s">
        <v>67</v>
      </c>
      <c r="F67" s="2">
        <v>0.13600000000000001</v>
      </c>
    </row>
    <row r="68" spans="1:6" x14ac:dyDescent="0.25">
      <c r="A68" s="1">
        <v>7021</v>
      </c>
      <c r="B68" s="2">
        <v>14</v>
      </c>
      <c r="C68" s="2">
        <v>7</v>
      </c>
      <c r="D68" s="2">
        <v>8.48E-2</v>
      </c>
      <c r="E68" s="2" t="s">
        <v>68</v>
      </c>
      <c r="F68" s="2">
        <v>8.48E-2</v>
      </c>
    </row>
    <row r="69" spans="1:6" x14ac:dyDescent="0.25">
      <c r="A69" s="1">
        <v>7022</v>
      </c>
      <c r="B69" s="2">
        <v>15</v>
      </c>
      <c r="C69" s="2">
        <v>7</v>
      </c>
      <c r="D69" s="2">
        <v>1.95E-2</v>
      </c>
      <c r="E69" s="2" t="s">
        <v>69</v>
      </c>
      <c r="F69" s="2">
        <v>1.95E-2</v>
      </c>
    </row>
    <row r="70" spans="1:6" x14ac:dyDescent="0.25">
      <c r="A70" s="1">
        <v>7023</v>
      </c>
      <c r="B70" s="2">
        <v>16</v>
      </c>
      <c r="C70" s="2">
        <v>7</v>
      </c>
      <c r="D70" s="2">
        <v>1.41E-2</v>
      </c>
      <c r="E70" s="2" t="s">
        <v>70</v>
      </c>
      <c r="F70" s="2">
        <v>1.41E-2</v>
      </c>
    </row>
    <row r="71" spans="1:6" x14ac:dyDescent="0.25">
      <c r="A71" s="1">
        <v>8012</v>
      </c>
      <c r="B71" s="2">
        <v>4</v>
      </c>
      <c r="C71" s="2">
        <v>8</v>
      </c>
      <c r="D71" s="2">
        <v>1.1392499999999899E-21</v>
      </c>
      <c r="E71" s="2" t="s">
        <v>71</v>
      </c>
      <c r="F71" s="2">
        <v>1.1392499999999899E-21</v>
      </c>
    </row>
    <row r="72" spans="1:6" x14ac:dyDescent="0.25">
      <c r="A72" s="1">
        <v>8013</v>
      </c>
      <c r="B72" s="2">
        <v>5</v>
      </c>
      <c r="C72" s="2">
        <v>8</v>
      </c>
      <c r="D72" s="2">
        <v>8.5800000000000008E-3</v>
      </c>
      <c r="E72" s="2" t="s">
        <v>72</v>
      </c>
      <c r="F72" s="2">
        <v>8.5800000000000008E-3</v>
      </c>
    </row>
    <row r="73" spans="1:6" x14ac:dyDescent="0.25">
      <c r="A73" s="1">
        <v>8014</v>
      </c>
      <c r="B73" s="2">
        <v>6</v>
      </c>
      <c r="C73" s="2">
        <v>8</v>
      </c>
      <c r="D73" s="2">
        <v>70.62</v>
      </c>
      <c r="E73" s="2" t="s">
        <v>73</v>
      </c>
      <c r="F73" s="2">
        <v>70.62</v>
      </c>
    </row>
    <row r="74" spans="1:6" x14ac:dyDescent="0.25">
      <c r="A74" s="1">
        <v>8015</v>
      </c>
      <c r="B74" s="2">
        <v>7</v>
      </c>
      <c r="C74" s="2">
        <v>8</v>
      </c>
      <c r="D74" s="2">
        <v>122.24</v>
      </c>
      <c r="E74" s="2" t="s">
        <v>74</v>
      </c>
      <c r="F74" s="2">
        <v>122.24</v>
      </c>
    </row>
    <row r="75" spans="1:6" x14ac:dyDescent="0.25">
      <c r="A75" s="1">
        <v>8016</v>
      </c>
      <c r="B75" s="2">
        <v>8</v>
      </c>
      <c r="C75" s="2">
        <v>8</v>
      </c>
      <c r="D75" s="2" t="s">
        <v>3</v>
      </c>
      <c r="E75" s="2" t="s">
        <v>75</v>
      </c>
      <c r="F75" s="2" t="s">
        <v>3</v>
      </c>
    </row>
    <row r="76" spans="1:6" x14ac:dyDescent="0.25">
      <c r="A76" s="1">
        <v>8017</v>
      </c>
      <c r="B76" s="2">
        <v>9</v>
      </c>
      <c r="C76" s="2">
        <v>8</v>
      </c>
      <c r="D76" s="2" t="s">
        <v>3</v>
      </c>
      <c r="E76" s="2" t="s">
        <v>76</v>
      </c>
      <c r="F76" s="2" t="s">
        <v>3</v>
      </c>
    </row>
    <row r="77" spans="1:6" x14ac:dyDescent="0.25">
      <c r="A77" s="1">
        <v>8018</v>
      </c>
      <c r="B77" s="2">
        <v>10</v>
      </c>
      <c r="C77" s="2">
        <v>8</v>
      </c>
      <c r="D77" s="2" t="s">
        <v>3</v>
      </c>
      <c r="E77" s="2" t="s">
        <v>77</v>
      </c>
      <c r="F77" s="2" t="s">
        <v>3</v>
      </c>
    </row>
    <row r="78" spans="1:6" x14ac:dyDescent="0.25">
      <c r="A78" s="1">
        <v>8019</v>
      </c>
      <c r="B78" s="2">
        <v>11</v>
      </c>
      <c r="C78" s="2">
        <v>8</v>
      </c>
      <c r="D78" s="2">
        <v>26.88</v>
      </c>
      <c r="E78" s="2" t="s">
        <v>78</v>
      </c>
      <c r="F78" s="2">
        <v>26.88</v>
      </c>
    </row>
    <row r="79" spans="1:6" x14ac:dyDescent="0.25">
      <c r="A79" s="1">
        <v>8020</v>
      </c>
      <c r="B79" s="2">
        <v>12</v>
      </c>
      <c r="C79" s="2">
        <v>8</v>
      </c>
      <c r="D79" s="2">
        <v>13.51</v>
      </c>
      <c r="E79" s="2" t="s">
        <v>79</v>
      </c>
      <c r="F79" s="2">
        <v>13.51</v>
      </c>
    </row>
    <row r="80" spans="1:6" x14ac:dyDescent="0.25">
      <c r="A80" s="1">
        <v>8021</v>
      </c>
      <c r="B80" s="2">
        <v>13</v>
      </c>
      <c r="C80" s="2">
        <v>8</v>
      </c>
      <c r="D80" s="2">
        <v>3.42</v>
      </c>
      <c r="E80" s="2" t="s">
        <v>80</v>
      </c>
      <c r="F80" s="2">
        <v>3.42</v>
      </c>
    </row>
    <row r="81" spans="1:6" x14ac:dyDescent="0.25">
      <c r="A81" s="1">
        <v>8022</v>
      </c>
      <c r="B81" s="2">
        <v>14</v>
      </c>
      <c r="C81" s="2">
        <v>8</v>
      </c>
      <c r="D81" s="2">
        <v>2.25</v>
      </c>
      <c r="E81" s="2" t="s">
        <v>81</v>
      </c>
      <c r="F81" s="2">
        <v>2.25</v>
      </c>
    </row>
    <row r="82" spans="1:6" x14ac:dyDescent="0.25">
      <c r="A82" s="1">
        <v>8023</v>
      </c>
      <c r="B82" s="2">
        <v>15</v>
      </c>
      <c r="C82" s="2">
        <v>8</v>
      </c>
      <c r="D82" s="2">
        <v>9.7000000000000003E-2</v>
      </c>
      <c r="E82" s="2" t="s">
        <v>82</v>
      </c>
      <c r="F82" s="2">
        <v>9.7000000000000003E-2</v>
      </c>
    </row>
    <row r="83" spans="1:6" x14ac:dyDescent="0.25">
      <c r="A83" s="1">
        <v>8024</v>
      </c>
      <c r="B83" s="2">
        <v>16</v>
      </c>
      <c r="C83" s="2">
        <v>8</v>
      </c>
      <c r="D83" s="2">
        <v>7.1999999999999995E-2</v>
      </c>
      <c r="E83" s="2" t="s">
        <v>83</v>
      </c>
      <c r="F83" s="2">
        <v>7.1999999999999995E-2</v>
      </c>
    </row>
    <row r="84" spans="1:6" x14ac:dyDescent="0.25">
      <c r="A84" s="1">
        <v>8025</v>
      </c>
      <c r="B84" s="2">
        <v>17</v>
      </c>
      <c r="C84" s="2">
        <v>8</v>
      </c>
      <c r="D84" s="2">
        <v>6.3E-21</v>
      </c>
      <c r="E84" s="2" t="s">
        <v>84</v>
      </c>
      <c r="F84" s="2">
        <v>6.3E-21</v>
      </c>
    </row>
    <row r="85" spans="1:6" x14ac:dyDescent="0.25">
      <c r="A85" s="1">
        <v>8026</v>
      </c>
      <c r="B85" s="2">
        <v>18</v>
      </c>
      <c r="C85" s="2">
        <v>8</v>
      </c>
      <c r="D85" s="2">
        <v>4.4999999999999998E-12</v>
      </c>
      <c r="E85" s="2" t="s">
        <v>85</v>
      </c>
      <c r="F85" s="2">
        <v>4.4999999999999998E-12</v>
      </c>
    </row>
    <row r="86" spans="1:6" x14ac:dyDescent="0.25">
      <c r="A86" s="1">
        <v>9014</v>
      </c>
      <c r="B86" s="2">
        <v>5</v>
      </c>
      <c r="C86" s="2">
        <v>9</v>
      </c>
      <c r="D86" s="2">
        <v>5.0076923076923E-22</v>
      </c>
      <c r="E86" s="2" t="s">
        <v>86</v>
      </c>
      <c r="F86" s="2">
        <v>5.0076923076923E-22</v>
      </c>
    </row>
    <row r="87" spans="1:6" x14ac:dyDescent="0.25">
      <c r="A87" s="1">
        <v>9015</v>
      </c>
      <c r="B87" s="2">
        <v>6</v>
      </c>
      <c r="C87" s="2">
        <v>9</v>
      </c>
      <c r="D87" s="2">
        <v>6.9045454545454504E-22</v>
      </c>
      <c r="E87" s="2" t="s">
        <v>87</v>
      </c>
      <c r="F87" s="2">
        <v>6.9045454545454504E-22</v>
      </c>
    </row>
    <row r="88" spans="1:6" x14ac:dyDescent="0.25">
      <c r="A88" s="1">
        <v>9016</v>
      </c>
      <c r="B88" s="2">
        <v>7</v>
      </c>
      <c r="C88" s="2">
        <v>9</v>
      </c>
      <c r="D88" s="2">
        <v>1.13925E-20</v>
      </c>
      <c r="E88" s="2" t="s">
        <v>88</v>
      </c>
      <c r="F88" s="2">
        <v>1.13925E-20</v>
      </c>
    </row>
    <row r="89" spans="1:6" x14ac:dyDescent="0.25">
      <c r="A89" s="1">
        <v>9017</v>
      </c>
      <c r="B89" s="2">
        <v>8</v>
      </c>
      <c r="C89" s="2">
        <v>9</v>
      </c>
      <c r="D89" s="2">
        <v>64.489999999999995</v>
      </c>
      <c r="E89" s="2" t="s">
        <v>89</v>
      </c>
      <c r="F89" s="2">
        <v>64.489999999999995</v>
      </c>
    </row>
    <row r="90" spans="1:6" x14ac:dyDescent="0.25">
      <c r="A90" s="1">
        <v>9018</v>
      </c>
      <c r="B90" s="2">
        <v>9</v>
      </c>
      <c r="C90" s="2">
        <v>9</v>
      </c>
      <c r="D90" s="2">
        <v>6586.2</v>
      </c>
      <c r="E90" s="2" t="s">
        <v>90</v>
      </c>
      <c r="F90" s="2">
        <v>6586.2</v>
      </c>
    </row>
    <row r="91" spans="1:6" x14ac:dyDescent="0.25">
      <c r="A91" s="1">
        <v>9019</v>
      </c>
      <c r="B91" s="2">
        <v>10</v>
      </c>
      <c r="C91" s="2">
        <v>9</v>
      </c>
      <c r="D91" s="2" t="s">
        <v>3</v>
      </c>
      <c r="E91" s="2" t="s">
        <v>91</v>
      </c>
      <c r="F91" s="2" t="s">
        <v>3</v>
      </c>
    </row>
    <row r="92" spans="1:6" x14ac:dyDescent="0.25">
      <c r="A92" s="1">
        <v>9020</v>
      </c>
      <c r="B92" s="2">
        <v>11</v>
      </c>
      <c r="C92" s="2">
        <v>9</v>
      </c>
      <c r="D92" s="2">
        <v>11.07</v>
      </c>
      <c r="E92" s="2" t="s">
        <v>92</v>
      </c>
      <c r="F92" s="2">
        <v>11.07</v>
      </c>
    </row>
    <row r="93" spans="1:6" x14ac:dyDescent="0.25">
      <c r="A93" s="1">
        <v>9021</v>
      </c>
      <c r="B93" s="2">
        <v>12</v>
      </c>
      <c r="C93" s="2">
        <v>9</v>
      </c>
      <c r="D93" s="2">
        <v>4.1580000000000004</v>
      </c>
      <c r="E93" s="2" t="s">
        <v>93</v>
      </c>
      <c r="F93" s="2">
        <v>4.1580000000000004</v>
      </c>
    </row>
    <row r="94" spans="1:6" x14ac:dyDescent="0.25">
      <c r="A94" s="1">
        <v>9022</v>
      </c>
      <c r="B94" s="2">
        <v>13</v>
      </c>
      <c r="C94" s="2">
        <v>9</v>
      </c>
      <c r="D94" s="2">
        <v>4.2300000000000004</v>
      </c>
      <c r="E94" s="2" t="s">
        <v>94</v>
      </c>
      <c r="F94" s="2">
        <v>4.2300000000000004</v>
      </c>
    </row>
    <row r="95" spans="1:6" x14ac:dyDescent="0.25">
      <c r="A95" s="1">
        <v>9023</v>
      </c>
      <c r="B95" s="2">
        <v>14</v>
      </c>
      <c r="C95" s="2">
        <v>9</v>
      </c>
      <c r="D95" s="2">
        <v>2.23</v>
      </c>
      <c r="E95" s="2" t="s">
        <v>95</v>
      </c>
      <c r="F95" s="2">
        <v>2.23</v>
      </c>
    </row>
    <row r="96" spans="1:6" x14ac:dyDescent="0.25">
      <c r="A96" s="1">
        <v>9024</v>
      </c>
      <c r="B96" s="2">
        <v>15</v>
      </c>
      <c r="C96" s="2">
        <v>9</v>
      </c>
      <c r="D96" s="2">
        <v>0.38200000000000001</v>
      </c>
      <c r="E96" s="2" t="s">
        <v>96</v>
      </c>
      <c r="F96" s="2">
        <v>0.38200000000000001</v>
      </c>
    </row>
    <row r="97" spans="1:6" x14ac:dyDescent="0.25">
      <c r="A97" s="1">
        <v>9025</v>
      </c>
      <c r="B97" s="2">
        <v>16</v>
      </c>
      <c r="C97" s="2">
        <v>9</v>
      </c>
      <c r="D97" s="2">
        <v>0.08</v>
      </c>
      <c r="E97" s="2" t="s">
        <v>97</v>
      </c>
      <c r="F97" s="2">
        <v>0.08</v>
      </c>
    </row>
    <row r="98" spans="1:6" x14ac:dyDescent="0.25">
      <c r="A98" s="1">
        <v>9026</v>
      </c>
      <c r="B98" s="2">
        <v>17</v>
      </c>
      <c r="C98" s="2">
        <v>9</v>
      </c>
      <c r="D98" s="2">
        <v>8.1999999999999903E-3</v>
      </c>
      <c r="E98" s="2" t="s">
        <v>98</v>
      </c>
      <c r="F98" s="2">
        <v>8.1999999999999903E-3</v>
      </c>
    </row>
    <row r="99" spans="1:6" x14ac:dyDescent="0.25">
      <c r="A99" s="1">
        <v>9027</v>
      </c>
      <c r="B99" s="2">
        <v>18</v>
      </c>
      <c r="C99" s="2">
        <v>9</v>
      </c>
      <c r="D99" s="2">
        <v>5.0000000000000001E-3</v>
      </c>
      <c r="E99" s="2" t="s">
        <v>99</v>
      </c>
      <c r="F99" s="2">
        <v>5.0000000000000001E-3</v>
      </c>
    </row>
    <row r="100" spans="1:6" x14ac:dyDescent="0.25">
      <c r="A100" s="1">
        <v>9028</v>
      </c>
      <c r="B100" s="2">
        <v>19</v>
      </c>
      <c r="C100" s="2">
        <v>9</v>
      </c>
      <c r="D100" s="2">
        <v>4.5999999999999998E-20</v>
      </c>
      <c r="E100" s="2" t="s">
        <v>100</v>
      </c>
      <c r="F100" s="2">
        <v>4.5999999999999998E-20</v>
      </c>
    </row>
    <row r="101" spans="1:6" x14ac:dyDescent="0.25">
      <c r="A101" s="1">
        <v>9029</v>
      </c>
      <c r="B101" s="2">
        <v>20</v>
      </c>
      <c r="C101" s="2">
        <v>9</v>
      </c>
      <c r="D101" s="2">
        <v>2.6700000000000001E-3</v>
      </c>
      <c r="E101" s="2" t="s">
        <v>101</v>
      </c>
      <c r="F101" s="2">
        <v>2.6700000000000001E-3</v>
      </c>
    </row>
    <row r="102" spans="1:6" x14ac:dyDescent="0.25">
      <c r="A102" s="1">
        <v>10016</v>
      </c>
      <c r="B102" s="2">
        <v>6</v>
      </c>
      <c r="C102" s="2">
        <v>10</v>
      </c>
      <c r="D102" s="2">
        <v>8.9999999999999994E-21</v>
      </c>
      <c r="E102" s="2" t="s">
        <v>102</v>
      </c>
      <c r="F102" s="2">
        <v>8.9999999999999994E-21</v>
      </c>
    </row>
    <row r="103" spans="1:6" x14ac:dyDescent="0.25">
      <c r="A103" s="1">
        <v>10017</v>
      </c>
      <c r="B103" s="2">
        <v>7</v>
      </c>
      <c r="C103" s="2">
        <v>10</v>
      </c>
      <c r="D103" s="2">
        <v>0.10920000000000001</v>
      </c>
      <c r="E103" s="2" t="s">
        <v>103</v>
      </c>
      <c r="F103" s="2">
        <v>0.10920000000000001</v>
      </c>
    </row>
    <row r="104" spans="1:6" x14ac:dyDescent="0.25">
      <c r="A104" s="1">
        <v>10018</v>
      </c>
      <c r="B104" s="2">
        <v>8</v>
      </c>
      <c r="C104" s="2">
        <v>10</v>
      </c>
      <c r="D104" s="2">
        <v>1.667</v>
      </c>
      <c r="E104" s="2" t="s">
        <v>104</v>
      </c>
      <c r="F104" s="2">
        <v>1.667</v>
      </c>
    </row>
    <row r="105" spans="1:6" x14ac:dyDescent="0.25">
      <c r="A105" s="1">
        <v>10019</v>
      </c>
      <c r="B105" s="2">
        <v>9</v>
      </c>
      <c r="C105" s="2">
        <v>10</v>
      </c>
      <c r="D105" s="2">
        <v>17.22</v>
      </c>
      <c r="E105" s="2" t="s">
        <v>105</v>
      </c>
      <c r="F105" s="2">
        <v>17.22</v>
      </c>
    </row>
    <row r="106" spans="1:6" x14ac:dyDescent="0.25">
      <c r="A106" s="1">
        <v>10020</v>
      </c>
      <c r="B106" s="2">
        <v>10</v>
      </c>
      <c r="C106" s="2">
        <v>10</v>
      </c>
      <c r="D106" s="2" t="s">
        <v>3</v>
      </c>
      <c r="E106" s="2" t="s">
        <v>106</v>
      </c>
      <c r="F106" s="2" t="s">
        <v>3</v>
      </c>
    </row>
    <row r="107" spans="1:6" x14ac:dyDescent="0.25">
      <c r="A107" s="1">
        <v>10021</v>
      </c>
      <c r="B107" s="2">
        <v>11</v>
      </c>
      <c r="C107" s="2">
        <v>10</v>
      </c>
      <c r="D107" s="2" t="s">
        <v>3</v>
      </c>
      <c r="E107" s="2" t="s">
        <v>107</v>
      </c>
      <c r="F107" s="2" t="s">
        <v>3</v>
      </c>
    </row>
    <row r="108" spans="1:6" x14ac:dyDescent="0.25">
      <c r="A108" s="1">
        <v>10022</v>
      </c>
      <c r="B108" s="2">
        <v>12</v>
      </c>
      <c r="C108" s="2">
        <v>10</v>
      </c>
      <c r="D108" s="2" t="s">
        <v>3</v>
      </c>
      <c r="E108" s="2" t="s">
        <v>108</v>
      </c>
      <c r="F108" s="2" t="s">
        <v>3</v>
      </c>
    </row>
    <row r="109" spans="1:6" x14ac:dyDescent="0.25">
      <c r="A109" s="1">
        <v>10023</v>
      </c>
      <c r="B109" s="2">
        <v>13</v>
      </c>
      <c r="C109" s="2">
        <v>10</v>
      </c>
      <c r="D109" s="2">
        <v>37.24</v>
      </c>
      <c r="E109" s="2" t="s">
        <v>109</v>
      </c>
      <c r="F109" s="2">
        <v>37.24</v>
      </c>
    </row>
    <row r="110" spans="1:6" x14ac:dyDescent="0.25">
      <c r="A110" s="1">
        <v>10024</v>
      </c>
      <c r="B110" s="2">
        <v>14</v>
      </c>
      <c r="C110" s="2">
        <v>10</v>
      </c>
      <c r="D110" s="2">
        <v>202.79999999999899</v>
      </c>
      <c r="E110" s="2" t="s">
        <v>110</v>
      </c>
      <c r="F110" s="2">
        <v>202.79999999999899</v>
      </c>
    </row>
    <row r="111" spans="1:6" x14ac:dyDescent="0.25">
      <c r="A111" s="1">
        <v>10025</v>
      </c>
      <c r="B111" s="2">
        <v>15</v>
      </c>
      <c r="C111" s="2">
        <v>10</v>
      </c>
      <c r="D111" s="2">
        <v>0.60199999999999998</v>
      </c>
      <c r="E111" s="2" t="s">
        <v>111</v>
      </c>
      <c r="F111" s="2">
        <v>0.60199999999999998</v>
      </c>
    </row>
    <row r="112" spans="1:6" x14ac:dyDescent="0.25">
      <c r="A112" s="1">
        <v>10026</v>
      </c>
      <c r="B112" s="2">
        <v>16</v>
      </c>
      <c r="C112" s="2">
        <v>10</v>
      </c>
      <c r="D112" s="2">
        <v>0.19700000000000001</v>
      </c>
      <c r="E112" s="2" t="s">
        <v>112</v>
      </c>
      <c r="F112" s="2">
        <v>0.19700000000000001</v>
      </c>
    </row>
    <row r="113" spans="1:6" x14ac:dyDescent="0.25">
      <c r="A113" s="1">
        <v>10027</v>
      </c>
      <c r="B113" s="2">
        <v>17</v>
      </c>
      <c r="C113" s="2">
        <v>10</v>
      </c>
      <c r="D113" s="2">
        <v>3.15E-2</v>
      </c>
      <c r="E113" s="2" t="s">
        <v>113</v>
      </c>
      <c r="F113" s="2">
        <v>3.15E-2</v>
      </c>
    </row>
    <row r="114" spans="1:6" x14ac:dyDescent="0.25">
      <c r="A114" s="1">
        <v>10028</v>
      </c>
      <c r="B114" s="2">
        <v>18</v>
      </c>
      <c r="C114" s="2">
        <v>10</v>
      </c>
      <c r="D114" s="2">
        <v>0.02</v>
      </c>
      <c r="E114" s="2" t="s">
        <v>114</v>
      </c>
      <c r="F114" s="2">
        <v>0.02</v>
      </c>
    </row>
    <row r="115" spans="1:6" x14ac:dyDescent="0.25">
      <c r="A115" s="1">
        <v>10029</v>
      </c>
      <c r="B115" s="2">
        <v>19</v>
      </c>
      <c r="C115" s="2">
        <v>10</v>
      </c>
      <c r="D115" s="2">
        <v>1.4999999999999999E-2</v>
      </c>
      <c r="E115" s="2" t="s">
        <v>115</v>
      </c>
      <c r="F115" s="2">
        <v>1.4999999999999999E-2</v>
      </c>
    </row>
    <row r="116" spans="1:6" x14ac:dyDescent="0.25">
      <c r="A116" s="1">
        <v>10030</v>
      </c>
      <c r="B116" s="2">
        <v>20</v>
      </c>
      <c r="C116" s="2">
        <v>10</v>
      </c>
      <c r="D116" s="2">
        <v>7.3899999999999999E-3</v>
      </c>
      <c r="E116" s="2" t="s">
        <v>116</v>
      </c>
      <c r="F116" s="2">
        <v>7.3899999999999999E-3</v>
      </c>
    </row>
    <row r="117" spans="1:6" x14ac:dyDescent="0.25">
      <c r="A117" s="1">
        <v>10031</v>
      </c>
      <c r="B117" s="2">
        <v>21</v>
      </c>
      <c r="C117" s="2">
        <v>10</v>
      </c>
      <c r="D117" s="2">
        <v>3.3999999999999998E-3</v>
      </c>
      <c r="E117" s="2" t="s">
        <v>117</v>
      </c>
      <c r="F117" s="2">
        <v>3.3999999999999998E-3</v>
      </c>
    </row>
    <row r="118" spans="1:6" x14ac:dyDescent="0.25">
      <c r="A118" s="1">
        <v>10032</v>
      </c>
      <c r="B118" s="2">
        <v>22</v>
      </c>
      <c r="C118" s="2">
        <v>10</v>
      </c>
      <c r="D118" s="2">
        <v>3.5000000000000001E-3</v>
      </c>
      <c r="E118" s="2" t="s">
        <v>118</v>
      </c>
      <c r="F118" s="2">
        <v>3.5000000000000001E-3</v>
      </c>
    </row>
    <row r="119" spans="1:6" x14ac:dyDescent="0.25">
      <c r="A119" s="1">
        <v>10034</v>
      </c>
      <c r="B119" s="2">
        <v>24</v>
      </c>
      <c r="C119" s="2">
        <v>10</v>
      </c>
      <c r="D119" s="2">
        <v>5.9999999999999995E-8</v>
      </c>
      <c r="E119" s="2" t="s">
        <v>119</v>
      </c>
      <c r="F119" s="2">
        <v>5.9999999999999995E-8</v>
      </c>
    </row>
    <row r="120" spans="1:6" x14ac:dyDescent="0.25">
      <c r="A120" s="1">
        <v>11018</v>
      </c>
      <c r="B120" s="2">
        <v>7</v>
      </c>
      <c r="C120" s="2">
        <v>11</v>
      </c>
      <c r="D120" s="2">
        <v>1.3000000000000001E-21</v>
      </c>
      <c r="E120" s="2" t="s">
        <v>120</v>
      </c>
      <c r="F120" s="2">
        <v>1.3000000000000001E-21</v>
      </c>
    </row>
    <row r="121" spans="1:6" x14ac:dyDescent="0.25">
      <c r="A121" s="1">
        <v>11020</v>
      </c>
      <c r="B121" s="2">
        <v>9</v>
      </c>
      <c r="C121" s="2">
        <v>11</v>
      </c>
      <c r="D121" s="2">
        <v>0.44789999999999902</v>
      </c>
      <c r="E121" s="2" t="s">
        <v>121</v>
      </c>
      <c r="F121" s="2">
        <v>0.44789999999999902</v>
      </c>
    </row>
    <row r="122" spans="1:6" x14ac:dyDescent="0.25">
      <c r="A122" s="1">
        <v>11021</v>
      </c>
      <c r="B122" s="2">
        <v>10</v>
      </c>
      <c r="C122" s="2">
        <v>11</v>
      </c>
      <c r="D122" s="2">
        <v>22.49</v>
      </c>
      <c r="E122" s="2" t="s">
        <v>122</v>
      </c>
      <c r="F122" s="2">
        <v>22.49</v>
      </c>
    </row>
    <row r="123" spans="1:6" x14ac:dyDescent="0.25">
      <c r="A123" s="1">
        <v>11022</v>
      </c>
      <c r="B123" s="2">
        <v>11</v>
      </c>
      <c r="C123" s="2">
        <v>11</v>
      </c>
      <c r="D123" s="2">
        <v>82106563.679999903</v>
      </c>
      <c r="E123" s="2" t="s">
        <v>123</v>
      </c>
      <c r="F123" s="2">
        <v>82106563.679999903</v>
      </c>
    </row>
    <row r="124" spans="1:6" x14ac:dyDescent="0.25">
      <c r="A124" s="1">
        <v>11023</v>
      </c>
      <c r="B124" s="2">
        <v>12</v>
      </c>
      <c r="C124" s="2">
        <v>11</v>
      </c>
      <c r="D124" s="2" t="s">
        <v>3</v>
      </c>
      <c r="E124" s="2" t="s">
        <v>124</v>
      </c>
      <c r="F124" s="2" t="s">
        <v>3</v>
      </c>
    </row>
    <row r="125" spans="1:6" x14ac:dyDescent="0.25">
      <c r="A125" s="1">
        <v>11024</v>
      </c>
      <c r="B125" s="2">
        <v>13</v>
      </c>
      <c r="C125" s="2">
        <v>11</v>
      </c>
      <c r="D125" s="2">
        <v>53989.2</v>
      </c>
      <c r="E125" s="2" t="s">
        <v>125</v>
      </c>
      <c r="F125" s="2">
        <v>53989.2</v>
      </c>
    </row>
    <row r="126" spans="1:6" x14ac:dyDescent="0.25">
      <c r="A126" s="1">
        <v>11025</v>
      </c>
      <c r="B126" s="2">
        <v>14</v>
      </c>
      <c r="C126" s="2">
        <v>11</v>
      </c>
      <c r="D126" s="2">
        <v>59.1</v>
      </c>
      <c r="E126" s="2" t="s">
        <v>126</v>
      </c>
      <c r="F126" s="2">
        <v>59.1</v>
      </c>
    </row>
    <row r="127" spans="1:6" x14ac:dyDescent="0.25">
      <c r="A127" s="1">
        <v>11026</v>
      </c>
      <c r="B127" s="2">
        <v>15</v>
      </c>
      <c r="C127" s="2">
        <v>11</v>
      </c>
      <c r="D127" s="2">
        <v>1.07128</v>
      </c>
      <c r="E127" s="2" t="s">
        <v>127</v>
      </c>
      <c r="F127" s="2">
        <v>1.07128</v>
      </c>
    </row>
    <row r="128" spans="1:6" x14ac:dyDescent="0.25">
      <c r="A128" s="1">
        <v>11027</v>
      </c>
      <c r="B128" s="2">
        <v>16</v>
      </c>
      <c r="C128" s="2">
        <v>11</v>
      </c>
      <c r="D128" s="2">
        <v>0.30099999999999999</v>
      </c>
      <c r="E128" s="2" t="s">
        <v>128</v>
      </c>
      <c r="F128" s="2">
        <v>0.30099999999999999</v>
      </c>
    </row>
    <row r="129" spans="1:6" x14ac:dyDescent="0.25">
      <c r="A129" s="1">
        <v>11028</v>
      </c>
      <c r="B129" s="2">
        <v>17</v>
      </c>
      <c r="C129" s="2">
        <v>11</v>
      </c>
      <c r="D129" s="2">
        <v>3.0499999999999999E-2</v>
      </c>
      <c r="E129" s="2" t="s">
        <v>129</v>
      </c>
      <c r="F129" s="2">
        <v>3.0499999999999999E-2</v>
      </c>
    </row>
    <row r="130" spans="1:6" x14ac:dyDescent="0.25">
      <c r="A130" s="1">
        <v>11029</v>
      </c>
      <c r="B130" s="2">
        <v>18</v>
      </c>
      <c r="C130" s="2">
        <v>11</v>
      </c>
      <c r="D130" s="2">
        <v>4.41E-2</v>
      </c>
      <c r="E130" s="2" t="s">
        <v>130</v>
      </c>
      <c r="F130" s="2">
        <v>4.41E-2</v>
      </c>
    </row>
    <row r="131" spans="1:6" x14ac:dyDescent="0.25">
      <c r="A131" s="1">
        <v>11030</v>
      </c>
      <c r="B131" s="2">
        <v>19</v>
      </c>
      <c r="C131" s="2">
        <v>11</v>
      </c>
      <c r="D131" s="2">
        <v>4.8000000000000001E-2</v>
      </c>
      <c r="E131" s="2" t="s">
        <v>131</v>
      </c>
      <c r="F131" s="2">
        <v>4.8000000000000001E-2</v>
      </c>
    </row>
    <row r="132" spans="1:6" x14ac:dyDescent="0.25">
      <c r="A132" s="1">
        <v>11031</v>
      </c>
      <c r="B132" s="2">
        <v>20</v>
      </c>
      <c r="C132" s="2">
        <v>11</v>
      </c>
      <c r="D132" s="2">
        <v>1.7399999999999999E-2</v>
      </c>
      <c r="E132" s="2" t="s">
        <v>132</v>
      </c>
      <c r="F132" s="2">
        <v>1.7399999999999999E-2</v>
      </c>
    </row>
    <row r="133" spans="1:6" x14ac:dyDescent="0.25">
      <c r="A133" s="1">
        <v>11032</v>
      </c>
      <c r="B133" s="2">
        <v>21</v>
      </c>
      <c r="C133" s="2">
        <v>11</v>
      </c>
      <c r="D133" s="2">
        <v>1.32E-2</v>
      </c>
      <c r="E133" s="2" t="s">
        <v>133</v>
      </c>
      <c r="F133" s="2">
        <v>1.32E-2</v>
      </c>
    </row>
    <row r="134" spans="1:6" x14ac:dyDescent="0.25">
      <c r="A134" s="1">
        <v>11033</v>
      </c>
      <c r="B134" s="2">
        <v>22</v>
      </c>
      <c r="C134" s="2">
        <v>11</v>
      </c>
      <c r="D134" s="2">
        <v>8.0999999999999996E-3</v>
      </c>
      <c r="E134" s="2" t="s">
        <v>134</v>
      </c>
      <c r="F134" s="2">
        <v>8.0999999999999996E-3</v>
      </c>
    </row>
    <row r="135" spans="1:6" x14ac:dyDescent="0.25">
      <c r="A135" s="1">
        <v>11034</v>
      </c>
      <c r="B135" s="2">
        <v>23</v>
      </c>
      <c r="C135" s="2">
        <v>11</v>
      </c>
      <c r="D135" s="2">
        <v>5.0000000000000001E-3</v>
      </c>
      <c r="E135" s="2" t="s">
        <v>135</v>
      </c>
      <c r="F135" s="2">
        <v>5.0000000000000001E-3</v>
      </c>
    </row>
    <row r="136" spans="1:6" x14ac:dyDescent="0.25">
      <c r="A136" s="1">
        <v>11035</v>
      </c>
      <c r="B136" s="2">
        <v>24</v>
      </c>
      <c r="C136" s="2">
        <v>11</v>
      </c>
      <c r="D136" s="2">
        <v>1.8E-3</v>
      </c>
      <c r="E136" s="2" t="s">
        <v>136</v>
      </c>
      <c r="F136" s="2">
        <v>1.8E-3</v>
      </c>
    </row>
    <row r="137" spans="1:6" x14ac:dyDescent="0.25">
      <c r="A137" s="1">
        <v>12019</v>
      </c>
      <c r="B137" s="2">
        <v>7</v>
      </c>
      <c r="C137" s="2">
        <v>12</v>
      </c>
      <c r="D137" s="2">
        <v>3.9999999999999999E-12</v>
      </c>
      <c r="E137" s="2" t="s">
        <v>137</v>
      </c>
      <c r="F137" s="2">
        <v>3.9999999999999999E-12</v>
      </c>
    </row>
    <row r="138" spans="1:6" x14ac:dyDescent="0.25">
      <c r="A138" s="1">
        <v>12020</v>
      </c>
      <c r="B138" s="2">
        <v>8</v>
      </c>
      <c r="C138" s="2">
        <v>12</v>
      </c>
      <c r="D138" s="2">
        <v>9.0800000000000006E-2</v>
      </c>
      <c r="E138" s="2" t="s">
        <v>138</v>
      </c>
      <c r="F138" s="2">
        <v>9.0800000000000006E-2</v>
      </c>
    </row>
    <row r="139" spans="1:6" x14ac:dyDescent="0.25">
      <c r="A139" s="1">
        <v>12021</v>
      </c>
      <c r="B139" s="2">
        <v>9</v>
      </c>
      <c r="C139" s="2">
        <v>12</v>
      </c>
      <c r="D139" s="2">
        <v>0.122</v>
      </c>
      <c r="E139" s="2" t="s">
        <v>139</v>
      </c>
      <c r="F139" s="2">
        <v>0.122</v>
      </c>
    </row>
    <row r="140" spans="1:6" x14ac:dyDescent="0.25">
      <c r="A140" s="1">
        <v>12022</v>
      </c>
      <c r="B140" s="2">
        <v>10</v>
      </c>
      <c r="C140" s="2">
        <v>12</v>
      </c>
      <c r="D140" s="2">
        <v>3.8755000000000002</v>
      </c>
      <c r="E140" s="2" t="s">
        <v>140</v>
      </c>
      <c r="F140" s="2">
        <v>3.8755000000000002</v>
      </c>
    </row>
    <row r="141" spans="1:6" x14ac:dyDescent="0.25">
      <c r="A141" s="1">
        <v>12023</v>
      </c>
      <c r="B141" s="2">
        <v>11</v>
      </c>
      <c r="C141" s="2">
        <v>12</v>
      </c>
      <c r="D141" s="2">
        <v>11.317</v>
      </c>
      <c r="E141" s="2" t="s">
        <v>141</v>
      </c>
      <c r="F141" s="2">
        <v>11.317</v>
      </c>
    </row>
    <row r="142" spans="1:6" x14ac:dyDescent="0.25">
      <c r="A142" s="1">
        <v>12024</v>
      </c>
      <c r="B142" s="2">
        <v>12</v>
      </c>
      <c r="C142" s="2">
        <v>12</v>
      </c>
      <c r="D142" s="2" t="s">
        <v>3</v>
      </c>
      <c r="E142" s="2" t="s">
        <v>142</v>
      </c>
      <c r="F142" s="2" t="s">
        <v>3</v>
      </c>
    </row>
    <row r="143" spans="1:6" x14ac:dyDescent="0.25">
      <c r="A143" s="1">
        <v>12025</v>
      </c>
      <c r="B143" s="2">
        <v>13</v>
      </c>
      <c r="C143" s="2">
        <v>12</v>
      </c>
      <c r="D143" s="2" t="s">
        <v>3</v>
      </c>
      <c r="E143" s="2" t="s">
        <v>143</v>
      </c>
      <c r="F143" s="2" t="s">
        <v>3</v>
      </c>
    </row>
    <row r="144" spans="1:6" x14ac:dyDescent="0.25">
      <c r="A144" s="1">
        <v>12026</v>
      </c>
      <c r="B144" s="2">
        <v>14</v>
      </c>
      <c r="C144" s="2">
        <v>12</v>
      </c>
      <c r="D144" s="2" t="s">
        <v>3</v>
      </c>
      <c r="E144" s="2" t="s">
        <v>144</v>
      </c>
      <c r="F144" s="2" t="s">
        <v>3</v>
      </c>
    </row>
    <row r="145" spans="1:6" x14ac:dyDescent="0.25">
      <c r="A145" s="1">
        <v>12027</v>
      </c>
      <c r="B145" s="2">
        <v>15</v>
      </c>
      <c r="C145" s="2">
        <v>12</v>
      </c>
      <c r="D145" s="2">
        <v>567.48</v>
      </c>
      <c r="E145" s="2" t="s">
        <v>145</v>
      </c>
      <c r="F145" s="2">
        <v>567.48</v>
      </c>
    </row>
    <row r="146" spans="1:6" x14ac:dyDescent="0.25">
      <c r="A146" s="1">
        <v>12028</v>
      </c>
      <c r="B146" s="2">
        <v>16</v>
      </c>
      <c r="C146" s="2">
        <v>12</v>
      </c>
      <c r="D146" s="2">
        <v>75294</v>
      </c>
      <c r="E146" s="2" t="s">
        <v>146</v>
      </c>
      <c r="F146" s="2">
        <v>75294</v>
      </c>
    </row>
    <row r="147" spans="1:6" x14ac:dyDescent="0.25">
      <c r="A147" s="1">
        <v>12029</v>
      </c>
      <c r="B147" s="2">
        <v>17</v>
      </c>
      <c r="C147" s="2">
        <v>12</v>
      </c>
      <c r="D147" s="2">
        <v>1.3</v>
      </c>
      <c r="E147" s="2" t="s">
        <v>147</v>
      </c>
      <c r="F147" s="2">
        <v>1.3</v>
      </c>
    </row>
    <row r="148" spans="1:6" x14ac:dyDescent="0.25">
      <c r="A148" s="1">
        <v>12030</v>
      </c>
      <c r="B148" s="2">
        <v>18</v>
      </c>
      <c r="C148" s="2">
        <v>12</v>
      </c>
      <c r="D148" s="2">
        <v>0.317</v>
      </c>
      <c r="E148" s="2" t="s">
        <v>148</v>
      </c>
      <c r="F148" s="2">
        <v>0.317</v>
      </c>
    </row>
    <row r="149" spans="1:6" x14ac:dyDescent="0.25">
      <c r="A149" s="1">
        <v>12031</v>
      </c>
      <c r="B149" s="2">
        <v>19</v>
      </c>
      <c r="C149" s="2">
        <v>12</v>
      </c>
      <c r="D149" s="2">
        <v>0.23599999999999999</v>
      </c>
      <c r="E149" s="2" t="s">
        <v>149</v>
      </c>
      <c r="F149" s="2">
        <v>0.23599999999999999</v>
      </c>
    </row>
    <row r="150" spans="1:6" x14ac:dyDescent="0.25">
      <c r="A150" s="1">
        <v>12032</v>
      </c>
      <c r="B150" s="2">
        <v>20</v>
      </c>
      <c r="C150" s="2">
        <v>12</v>
      </c>
      <c r="D150" s="2">
        <v>8.5999999999999993E-2</v>
      </c>
      <c r="E150" s="2" t="s">
        <v>150</v>
      </c>
      <c r="F150" s="2">
        <v>8.5999999999999993E-2</v>
      </c>
    </row>
    <row r="151" spans="1:6" x14ac:dyDescent="0.25">
      <c r="A151" s="1">
        <v>12033</v>
      </c>
      <c r="B151" s="2">
        <v>21</v>
      </c>
      <c r="C151" s="2">
        <v>12</v>
      </c>
      <c r="D151" s="2">
        <v>8.9399999999999993E-2</v>
      </c>
      <c r="E151" s="2" t="s">
        <v>151</v>
      </c>
      <c r="F151" s="2">
        <v>8.9399999999999993E-2</v>
      </c>
    </row>
    <row r="152" spans="1:6" x14ac:dyDescent="0.25">
      <c r="A152" s="1">
        <v>12034</v>
      </c>
      <c r="B152" s="2">
        <v>22</v>
      </c>
      <c r="C152" s="2">
        <v>12</v>
      </c>
      <c r="D152" s="2">
        <v>0.02</v>
      </c>
      <c r="E152" s="2" t="s">
        <v>152</v>
      </c>
      <c r="F152" s="2">
        <v>0.02</v>
      </c>
    </row>
    <row r="153" spans="1:6" x14ac:dyDescent="0.25">
      <c r="A153" s="1">
        <v>12035</v>
      </c>
      <c r="B153" s="2">
        <v>23</v>
      </c>
      <c r="C153" s="2">
        <v>12</v>
      </c>
      <c r="D153" s="2">
        <v>1.1299999999999999E-2</v>
      </c>
      <c r="E153" s="2" t="s">
        <v>153</v>
      </c>
      <c r="F153" s="2">
        <v>1.1299999999999999E-2</v>
      </c>
    </row>
    <row r="154" spans="1:6" x14ac:dyDescent="0.25">
      <c r="A154" s="1">
        <v>12036</v>
      </c>
      <c r="B154" s="2">
        <v>24</v>
      </c>
      <c r="C154" s="2">
        <v>12</v>
      </c>
      <c r="D154" s="2">
        <v>5.7999999999999996E-3</v>
      </c>
      <c r="E154" s="2" t="s">
        <v>154</v>
      </c>
      <c r="F154" s="2">
        <v>5.7999999999999996E-3</v>
      </c>
    </row>
    <row r="155" spans="1:6" x14ac:dyDescent="0.25">
      <c r="A155" s="1">
        <v>12037</v>
      </c>
      <c r="B155" s="2">
        <v>25</v>
      </c>
      <c r="C155" s="2">
        <v>12</v>
      </c>
      <c r="D155" s="2">
        <v>8.0000000000000002E-3</v>
      </c>
      <c r="E155" s="2" t="s">
        <v>155</v>
      </c>
      <c r="F155" s="2">
        <v>8.0000000000000002E-3</v>
      </c>
    </row>
    <row r="156" spans="1:6" x14ac:dyDescent="0.25">
      <c r="A156" s="1">
        <v>13022</v>
      </c>
      <c r="B156" s="2">
        <v>9</v>
      </c>
      <c r="C156" s="2">
        <v>13</v>
      </c>
      <c r="D156" s="2">
        <v>9.11E-2</v>
      </c>
      <c r="E156" s="2" t="s">
        <v>156</v>
      </c>
      <c r="F156" s="2">
        <v>9.11E-2</v>
      </c>
    </row>
    <row r="157" spans="1:6" x14ac:dyDescent="0.25">
      <c r="A157" s="1">
        <v>13023</v>
      </c>
      <c r="B157" s="2">
        <v>10</v>
      </c>
      <c r="C157" s="2">
        <v>13</v>
      </c>
      <c r="D157" s="2">
        <v>0.47</v>
      </c>
      <c r="E157" s="2" t="s">
        <v>157</v>
      </c>
      <c r="F157" s="2">
        <v>0.47</v>
      </c>
    </row>
    <row r="158" spans="1:6" x14ac:dyDescent="0.25">
      <c r="A158" s="1">
        <v>13024</v>
      </c>
      <c r="B158" s="2">
        <v>11</v>
      </c>
      <c r="C158" s="2">
        <v>13</v>
      </c>
      <c r="D158" s="2">
        <v>2.0529999999999999</v>
      </c>
      <c r="E158" s="2" t="s">
        <v>158</v>
      </c>
      <c r="F158" s="2">
        <v>2.0529999999999999</v>
      </c>
    </row>
    <row r="159" spans="1:6" x14ac:dyDescent="0.25">
      <c r="A159" s="1">
        <v>13025</v>
      </c>
      <c r="B159" s="2">
        <v>12</v>
      </c>
      <c r="C159" s="2">
        <v>13</v>
      </c>
      <c r="D159" s="2">
        <v>7.1829999999999998</v>
      </c>
      <c r="E159" s="2" t="s">
        <v>159</v>
      </c>
      <c r="F159" s="2">
        <v>7.1829999999999998</v>
      </c>
    </row>
    <row r="160" spans="1:6" x14ac:dyDescent="0.25">
      <c r="A160" s="1">
        <v>13026</v>
      </c>
      <c r="B160" s="2">
        <v>13</v>
      </c>
      <c r="C160" s="2">
        <v>13</v>
      </c>
      <c r="D160" s="2">
        <v>22626799200000</v>
      </c>
      <c r="E160" s="2" t="s">
        <v>160</v>
      </c>
      <c r="F160" s="2">
        <v>22626799200000</v>
      </c>
    </row>
    <row r="161" spans="1:6" x14ac:dyDescent="0.25">
      <c r="A161" s="1">
        <v>13027</v>
      </c>
      <c r="B161" s="2">
        <v>14</v>
      </c>
      <c r="C161" s="2">
        <v>13</v>
      </c>
      <c r="D161" s="2" t="s">
        <v>3</v>
      </c>
      <c r="E161" s="2" t="s">
        <v>161</v>
      </c>
      <c r="F161" s="2" t="s">
        <v>3</v>
      </c>
    </row>
    <row r="162" spans="1:6" x14ac:dyDescent="0.25">
      <c r="A162" s="1">
        <v>13028</v>
      </c>
      <c r="B162" s="2">
        <v>15</v>
      </c>
      <c r="C162" s="2">
        <v>13</v>
      </c>
      <c r="D162" s="2">
        <v>134.69999999999999</v>
      </c>
      <c r="E162" s="2" t="s">
        <v>162</v>
      </c>
      <c r="F162" s="2">
        <v>134.69999999999999</v>
      </c>
    </row>
    <row r="163" spans="1:6" x14ac:dyDescent="0.25">
      <c r="A163" s="1">
        <v>13029</v>
      </c>
      <c r="B163" s="2">
        <v>16</v>
      </c>
      <c r="C163" s="2">
        <v>13</v>
      </c>
      <c r="D163" s="2">
        <v>393.599999999999</v>
      </c>
      <c r="E163" s="2" t="s">
        <v>163</v>
      </c>
      <c r="F163" s="2">
        <v>393.599999999999</v>
      </c>
    </row>
    <row r="164" spans="1:6" x14ac:dyDescent="0.25">
      <c r="A164" s="1">
        <v>13030</v>
      </c>
      <c r="B164" s="2">
        <v>17</v>
      </c>
      <c r="C164" s="2">
        <v>13</v>
      </c>
      <c r="D164" s="2">
        <v>3.62</v>
      </c>
      <c r="E164" s="2" t="s">
        <v>164</v>
      </c>
      <c r="F164" s="2">
        <v>3.62</v>
      </c>
    </row>
    <row r="165" spans="1:6" x14ac:dyDescent="0.25">
      <c r="A165" s="1">
        <v>13031</v>
      </c>
      <c r="B165" s="2">
        <v>18</v>
      </c>
      <c r="C165" s="2">
        <v>13</v>
      </c>
      <c r="D165" s="2">
        <v>0.64400000000000002</v>
      </c>
      <c r="E165" s="2" t="s">
        <v>165</v>
      </c>
      <c r="F165" s="2">
        <v>0.64400000000000002</v>
      </c>
    </row>
    <row r="166" spans="1:6" x14ac:dyDescent="0.25">
      <c r="A166" s="1">
        <v>13032</v>
      </c>
      <c r="B166" s="2">
        <v>19</v>
      </c>
      <c r="C166" s="2">
        <v>13</v>
      </c>
      <c r="D166" s="2">
        <v>3.1899999999999998E-2</v>
      </c>
      <c r="E166" s="2" t="s">
        <v>166</v>
      </c>
      <c r="F166" s="2">
        <v>3.1899999999999998E-2</v>
      </c>
    </row>
    <row r="167" spans="1:6" x14ac:dyDescent="0.25">
      <c r="A167" s="1">
        <v>13033</v>
      </c>
      <c r="B167" s="2">
        <v>20</v>
      </c>
      <c r="C167" s="2">
        <v>13</v>
      </c>
      <c r="D167" s="2">
        <v>4.1700000000000001E-2</v>
      </c>
      <c r="E167" s="2" t="s">
        <v>167</v>
      </c>
      <c r="F167" s="2">
        <v>4.1700000000000001E-2</v>
      </c>
    </row>
    <row r="168" spans="1:6" x14ac:dyDescent="0.25">
      <c r="A168" s="1">
        <v>13034</v>
      </c>
      <c r="B168" s="2">
        <v>21</v>
      </c>
      <c r="C168" s="2">
        <v>13</v>
      </c>
      <c r="D168" s="2">
        <v>5.6299999999999899E-2</v>
      </c>
      <c r="E168" s="2" t="s">
        <v>168</v>
      </c>
      <c r="F168" s="2">
        <v>5.6299999999999899E-2</v>
      </c>
    </row>
    <row r="169" spans="1:6" x14ac:dyDescent="0.25">
      <c r="A169" s="1">
        <v>13035</v>
      </c>
      <c r="B169" s="2">
        <v>22</v>
      </c>
      <c r="C169" s="2">
        <v>13</v>
      </c>
      <c r="D169" s="2">
        <v>3.7600000000000001E-2</v>
      </c>
      <c r="E169" s="2" t="s">
        <v>169</v>
      </c>
      <c r="F169" s="2">
        <v>3.7600000000000001E-2</v>
      </c>
    </row>
    <row r="170" spans="1:6" x14ac:dyDescent="0.25">
      <c r="A170" s="1">
        <v>13036</v>
      </c>
      <c r="B170" s="2">
        <v>23</v>
      </c>
      <c r="C170" s="2">
        <v>13</v>
      </c>
      <c r="D170" s="2">
        <v>9.4E-2</v>
      </c>
      <c r="E170" s="2" t="s">
        <v>170</v>
      </c>
      <c r="F170" s="2">
        <v>9.4E-2</v>
      </c>
    </row>
    <row r="171" spans="1:6" x14ac:dyDescent="0.25">
      <c r="A171" s="1">
        <v>13037</v>
      </c>
      <c r="B171" s="2">
        <v>24</v>
      </c>
      <c r="C171" s="2">
        <v>13</v>
      </c>
      <c r="D171" s="2">
        <v>1.0699999999999999E-2</v>
      </c>
      <c r="E171" s="2" t="s">
        <v>171</v>
      </c>
      <c r="F171" s="2">
        <v>1.0699999999999999E-2</v>
      </c>
    </row>
    <row r="172" spans="1:6" x14ac:dyDescent="0.25">
      <c r="A172" s="1">
        <v>13038</v>
      </c>
      <c r="B172" s="2">
        <v>25</v>
      </c>
      <c r="C172" s="2">
        <v>13</v>
      </c>
      <c r="D172" s="2">
        <v>7.6E-3</v>
      </c>
      <c r="E172" s="2" t="s">
        <v>172</v>
      </c>
      <c r="F172" s="2">
        <v>7.6E-3</v>
      </c>
    </row>
    <row r="173" spans="1:6" x14ac:dyDescent="0.25">
      <c r="A173" s="1">
        <v>13039</v>
      </c>
      <c r="B173" s="2">
        <v>26</v>
      </c>
      <c r="C173" s="2">
        <v>13</v>
      </c>
      <c r="D173" s="2">
        <v>7.6E-3</v>
      </c>
      <c r="E173" s="2" t="s">
        <v>173</v>
      </c>
      <c r="F173" s="2">
        <v>7.6E-3</v>
      </c>
    </row>
    <row r="174" spans="1:6" x14ac:dyDescent="0.25">
      <c r="A174" s="1">
        <v>14022</v>
      </c>
      <c r="B174" s="2">
        <v>8</v>
      </c>
      <c r="C174" s="2">
        <v>14</v>
      </c>
      <c r="D174" s="2">
        <v>2.9000000000000001E-2</v>
      </c>
      <c r="E174" s="2" t="s">
        <v>174</v>
      </c>
      <c r="F174" s="2">
        <v>2.9000000000000001E-2</v>
      </c>
    </row>
    <row r="175" spans="1:6" x14ac:dyDescent="0.25">
      <c r="A175" s="1">
        <v>14023</v>
      </c>
      <c r="B175" s="2">
        <v>9</v>
      </c>
      <c r="C175" s="2">
        <v>14</v>
      </c>
      <c r="D175" s="2">
        <v>4.2299999999999997E-2</v>
      </c>
      <c r="E175" s="2" t="s">
        <v>175</v>
      </c>
      <c r="F175" s="2">
        <v>4.2299999999999997E-2</v>
      </c>
    </row>
    <row r="176" spans="1:6" x14ac:dyDescent="0.25">
      <c r="A176" s="1">
        <v>14024</v>
      </c>
      <c r="B176" s="2">
        <v>10</v>
      </c>
      <c r="C176" s="2">
        <v>14</v>
      </c>
      <c r="D176" s="2">
        <v>0.14050000000000001</v>
      </c>
      <c r="E176" s="2" t="s">
        <v>176</v>
      </c>
      <c r="F176" s="2">
        <v>0.14050000000000001</v>
      </c>
    </row>
    <row r="177" spans="1:6" x14ac:dyDescent="0.25">
      <c r="A177" s="1">
        <v>14025</v>
      </c>
      <c r="B177" s="2">
        <v>11</v>
      </c>
      <c r="C177" s="2">
        <v>14</v>
      </c>
      <c r="D177" s="2">
        <v>0.22</v>
      </c>
      <c r="E177" s="2" t="s">
        <v>177</v>
      </c>
      <c r="F177" s="2">
        <v>0.22</v>
      </c>
    </row>
    <row r="178" spans="1:6" x14ac:dyDescent="0.25">
      <c r="A178" s="1">
        <v>14026</v>
      </c>
      <c r="B178" s="2">
        <v>12</v>
      </c>
      <c r="C178" s="2">
        <v>14</v>
      </c>
      <c r="D178" s="2">
        <v>2.2452999999999999</v>
      </c>
      <c r="E178" s="2" t="s">
        <v>178</v>
      </c>
      <c r="F178" s="2">
        <v>2.2452999999999999</v>
      </c>
    </row>
    <row r="179" spans="1:6" x14ac:dyDescent="0.25">
      <c r="A179" s="1">
        <v>14027</v>
      </c>
      <c r="B179" s="2">
        <v>13</v>
      </c>
      <c r="C179" s="2">
        <v>14</v>
      </c>
      <c r="D179" s="2">
        <v>4.1500000000000004</v>
      </c>
      <c r="E179" s="2" t="s">
        <v>179</v>
      </c>
      <c r="F179" s="2">
        <v>4.1500000000000004</v>
      </c>
    </row>
    <row r="180" spans="1:6" x14ac:dyDescent="0.25">
      <c r="A180" s="1">
        <v>14028</v>
      </c>
      <c r="B180" s="2">
        <v>14</v>
      </c>
      <c r="C180" s="2">
        <v>14</v>
      </c>
      <c r="D180" s="2" t="s">
        <v>3</v>
      </c>
      <c r="E180" s="2" t="s">
        <v>180</v>
      </c>
      <c r="F180" s="2" t="s">
        <v>3</v>
      </c>
    </row>
    <row r="181" spans="1:6" x14ac:dyDescent="0.25">
      <c r="A181" s="1">
        <v>14029</v>
      </c>
      <c r="B181" s="2">
        <v>15</v>
      </c>
      <c r="C181" s="2">
        <v>14</v>
      </c>
      <c r="D181" s="2" t="s">
        <v>3</v>
      </c>
      <c r="E181" s="2" t="s">
        <v>181</v>
      </c>
      <c r="F181" s="2" t="s">
        <v>3</v>
      </c>
    </row>
    <row r="182" spans="1:6" x14ac:dyDescent="0.25">
      <c r="A182" s="1">
        <v>14030</v>
      </c>
      <c r="B182" s="2">
        <v>16</v>
      </c>
      <c r="C182" s="2">
        <v>14</v>
      </c>
      <c r="D182" s="2" t="s">
        <v>3</v>
      </c>
      <c r="E182" s="2" t="s">
        <v>182</v>
      </c>
      <c r="F182" s="2" t="s">
        <v>3</v>
      </c>
    </row>
    <row r="183" spans="1:6" x14ac:dyDescent="0.25">
      <c r="A183" s="1">
        <v>14031</v>
      </c>
      <c r="B183" s="2">
        <v>17</v>
      </c>
      <c r="C183" s="2">
        <v>14</v>
      </c>
      <c r="D183" s="2">
        <v>9441.6</v>
      </c>
      <c r="E183" s="2" t="s">
        <v>183</v>
      </c>
      <c r="F183" s="2">
        <v>9441.6</v>
      </c>
    </row>
    <row r="184" spans="1:6" x14ac:dyDescent="0.25">
      <c r="A184" s="1">
        <v>14032</v>
      </c>
      <c r="B184" s="2">
        <v>18</v>
      </c>
      <c r="C184" s="2">
        <v>14</v>
      </c>
      <c r="D184" s="2">
        <v>4828312800</v>
      </c>
      <c r="E184" s="2" t="s">
        <v>184</v>
      </c>
      <c r="F184" s="2">
        <v>4828312800</v>
      </c>
    </row>
    <row r="185" spans="1:6" x14ac:dyDescent="0.25">
      <c r="A185" s="1">
        <v>14033</v>
      </c>
      <c r="B185" s="2">
        <v>19</v>
      </c>
      <c r="C185" s="2">
        <v>14</v>
      </c>
      <c r="D185" s="2">
        <v>6.11</v>
      </c>
      <c r="E185" s="2" t="s">
        <v>185</v>
      </c>
      <c r="F185" s="2">
        <v>6.11</v>
      </c>
    </row>
    <row r="186" spans="1:6" x14ac:dyDescent="0.25">
      <c r="A186" s="1">
        <v>14034</v>
      </c>
      <c r="B186" s="2">
        <v>20</v>
      </c>
      <c r="C186" s="2">
        <v>14</v>
      </c>
      <c r="D186" s="2">
        <v>2.77</v>
      </c>
      <c r="E186" s="2" t="s">
        <v>186</v>
      </c>
      <c r="F186" s="2">
        <v>2.77</v>
      </c>
    </row>
    <row r="187" spans="1:6" x14ac:dyDescent="0.25">
      <c r="A187" s="1">
        <v>14035</v>
      </c>
      <c r="B187" s="2">
        <v>21</v>
      </c>
      <c r="C187" s="2">
        <v>14</v>
      </c>
      <c r="D187" s="2">
        <v>0.78</v>
      </c>
      <c r="E187" s="2" t="s">
        <v>187</v>
      </c>
      <c r="F187" s="2">
        <v>0.78</v>
      </c>
    </row>
    <row r="188" spans="1:6" x14ac:dyDescent="0.25">
      <c r="A188" s="1">
        <v>14036</v>
      </c>
      <c r="B188" s="2">
        <v>22</v>
      </c>
      <c r="C188" s="2">
        <v>14</v>
      </c>
      <c r="D188" s="2">
        <v>0.45</v>
      </c>
      <c r="E188" s="2" t="s">
        <v>188</v>
      </c>
      <c r="F188" s="2">
        <v>0.45</v>
      </c>
    </row>
    <row r="189" spans="1:6" x14ac:dyDescent="0.25">
      <c r="A189" s="1">
        <v>14037</v>
      </c>
      <c r="B189" s="2">
        <v>23</v>
      </c>
      <c r="C189" s="2">
        <v>14</v>
      </c>
      <c r="D189" s="2">
        <v>0.09</v>
      </c>
      <c r="E189" s="2" t="s">
        <v>189</v>
      </c>
      <c r="F189" s="2">
        <v>0.09</v>
      </c>
    </row>
    <row r="190" spans="1:6" x14ac:dyDescent="0.25">
      <c r="A190" s="1">
        <v>14038</v>
      </c>
      <c r="B190" s="2">
        <v>24</v>
      </c>
      <c r="C190" s="2">
        <v>14</v>
      </c>
      <c r="D190" s="2">
        <v>9.5000000000000001E-2</v>
      </c>
      <c r="E190" s="2" t="s">
        <v>190</v>
      </c>
      <c r="F190" s="2">
        <v>9.5000000000000001E-2</v>
      </c>
    </row>
    <row r="191" spans="1:6" x14ac:dyDescent="0.25">
      <c r="A191" s="1">
        <v>14039</v>
      </c>
      <c r="B191" s="2">
        <v>25</v>
      </c>
      <c r="C191" s="2">
        <v>14</v>
      </c>
      <c r="D191" s="2">
        <v>4.7500000000000001E-2</v>
      </c>
      <c r="E191" s="2" t="s">
        <v>191</v>
      </c>
      <c r="F191" s="2">
        <v>4.7500000000000001E-2</v>
      </c>
    </row>
    <row r="192" spans="1:6" x14ac:dyDescent="0.25">
      <c r="A192" s="1">
        <v>14040</v>
      </c>
      <c r="B192" s="2">
        <v>26</v>
      </c>
      <c r="C192" s="2">
        <v>14</v>
      </c>
      <c r="D192" s="2">
        <v>3.3000000000000002E-2</v>
      </c>
      <c r="E192" s="2" t="s">
        <v>192</v>
      </c>
      <c r="F192" s="2">
        <v>3.3000000000000002E-2</v>
      </c>
    </row>
    <row r="193" spans="1:6" x14ac:dyDescent="0.25">
      <c r="A193" s="1">
        <v>14041</v>
      </c>
      <c r="B193" s="2">
        <v>27</v>
      </c>
      <c r="C193" s="2">
        <v>14</v>
      </c>
      <c r="D193" s="2">
        <v>0.02</v>
      </c>
      <c r="E193" s="2" t="s">
        <v>193</v>
      </c>
      <c r="F193" s="2">
        <v>0.02</v>
      </c>
    </row>
    <row r="194" spans="1:6" x14ac:dyDescent="0.25">
      <c r="A194" s="1">
        <v>14042</v>
      </c>
      <c r="B194" s="2">
        <v>28</v>
      </c>
      <c r="C194" s="2">
        <v>14</v>
      </c>
      <c r="D194" s="2">
        <v>1.2500000000000001E-2</v>
      </c>
      <c r="E194" s="2" t="s">
        <v>194</v>
      </c>
      <c r="F194" s="2">
        <v>1.2500000000000001E-2</v>
      </c>
    </row>
    <row r="195" spans="1:6" x14ac:dyDescent="0.25">
      <c r="A195" s="1">
        <v>15026</v>
      </c>
      <c r="B195" s="2">
        <v>11</v>
      </c>
      <c r="C195" s="2">
        <v>15</v>
      </c>
      <c r="D195" s="2">
        <v>4.3700000000000003E-2</v>
      </c>
      <c r="E195" s="2" t="s">
        <v>195</v>
      </c>
      <c r="F195" s="2">
        <v>4.3700000000000003E-2</v>
      </c>
    </row>
    <row r="196" spans="1:6" x14ac:dyDescent="0.25">
      <c r="A196" s="1">
        <v>15027</v>
      </c>
      <c r="B196" s="2">
        <v>12</v>
      </c>
      <c r="C196" s="2">
        <v>15</v>
      </c>
      <c r="D196" s="2">
        <v>0.26</v>
      </c>
      <c r="E196" s="2" t="s">
        <v>196</v>
      </c>
      <c r="F196" s="2">
        <v>0.26</v>
      </c>
    </row>
    <row r="197" spans="1:6" x14ac:dyDescent="0.25">
      <c r="A197" s="1">
        <v>15028</v>
      </c>
      <c r="B197" s="2">
        <v>13</v>
      </c>
      <c r="C197" s="2">
        <v>15</v>
      </c>
      <c r="D197" s="2">
        <v>0.27029999999999998</v>
      </c>
      <c r="E197" s="2" t="s">
        <v>197</v>
      </c>
      <c r="F197" s="2">
        <v>0.27029999999999998</v>
      </c>
    </row>
    <row r="198" spans="1:6" x14ac:dyDescent="0.25">
      <c r="A198" s="1">
        <v>15029</v>
      </c>
      <c r="B198" s="2">
        <v>14</v>
      </c>
      <c r="C198" s="2">
        <v>15</v>
      </c>
      <c r="D198" s="2">
        <v>4.1420000000000003</v>
      </c>
      <c r="E198" s="2" t="s">
        <v>198</v>
      </c>
      <c r="F198" s="2">
        <v>4.1420000000000003</v>
      </c>
    </row>
    <row r="199" spans="1:6" x14ac:dyDescent="0.25">
      <c r="A199" s="1">
        <v>15030</v>
      </c>
      <c r="B199" s="2">
        <v>15</v>
      </c>
      <c r="C199" s="2">
        <v>15</v>
      </c>
      <c r="D199" s="2">
        <v>149.88</v>
      </c>
      <c r="E199" s="2" t="s">
        <v>199</v>
      </c>
      <c r="F199" s="2">
        <v>149.88</v>
      </c>
    </row>
    <row r="200" spans="1:6" x14ac:dyDescent="0.25">
      <c r="A200" s="1">
        <v>15031</v>
      </c>
      <c r="B200" s="2">
        <v>16</v>
      </c>
      <c r="C200" s="2">
        <v>15</v>
      </c>
      <c r="D200" s="2" t="s">
        <v>3</v>
      </c>
      <c r="E200" s="2" t="s">
        <v>200</v>
      </c>
      <c r="F200" s="2" t="s">
        <v>3</v>
      </c>
    </row>
    <row r="201" spans="1:6" x14ac:dyDescent="0.25">
      <c r="A201" s="1">
        <v>15032</v>
      </c>
      <c r="B201" s="2">
        <v>17</v>
      </c>
      <c r="C201" s="2">
        <v>15</v>
      </c>
      <c r="D201" s="2">
        <v>1232755.2</v>
      </c>
      <c r="E201" s="2" t="s">
        <v>201</v>
      </c>
      <c r="F201" s="2">
        <v>1232755.2</v>
      </c>
    </row>
    <row r="202" spans="1:6" x14ac:dyDescent="0.25">
      <c r="A202" s="1">
        <v>15033</v>
      </c>
      <c r="B202" s="2">
        <v>18</v>
      </c>
      <c r="C202" s="2">
        <v>15</v>
      </c>
      <c r="D202" s="2">
        <v>2190240</v>
      </c>
      <c r="E202" s="2" t="s">
        <v>202</v>
      </c>
      <c r="F202" s="2">
        <v>2190240</v>
      </c>
    </row>
    <row r="203" spans="1:6" x14ac:dyDescent="0.25">
      <c r="A203" s="1">
        <v>15034</v>
      </c>
      <c r="B203" s="2">
        <v>19</v>
      </c>
      <c r="C203" s="2">
        <v>15</v>
      </c>
      <c r="D203" s="2">
        <v>12.43</v>
      </c>
      <c r="E203" s="2" t="s">
        <v>203</v>
      </c>
      <c r="F203" s="2">
        <v>12.43</v>
      </c>
    </row>
    <row r="204" spans="1:6" x14ac:dyDescent="0.25">
      <c r="A204" s="1">
        <v>15035</v>
      </c>
      <c r="B204" s="2">
        <v>20</v>
      </c>
      <c r="C204" s="2">
        <v>15</v>
      </c>
      <c r="D204" s="2">
        <v>47.3</v>
      </c>
      <c r="E204" s="2" t="s">
        <v>204</v>
      </c>
      <c r="F204" s="2">
        <v>47.3</v>
      </c>
    </row>
    <row r="205" spans="1:6" x14ac:dyDescent="0.25">
      <c r="A205" s="1">
        <v>15036</v>
      </c>
      <c r="B205" s="2">
        <v>21</v>
      </c>
      <c r="C205" s="2">
        <v>15</v>
      </c>
      <c r="D205" s="2">
        <v>5.6</v>
      </c>
      <c r="E205" s="2" t="s">
        <v>205</v>
      </c>
      <c r="F205" s="2">
        <v>5.6</v>
      </c>
    </row>
    <row r="206" spans="1:6" x14ac:dyDescent="0.25">
      <c r="A206" s="1">
        <v>15037</v>
      </c>
      <c r="B206" s="2">
        <v>22</v>
      </c>
      <c r="C206" s="2">
        <v>15</v>
      </c>
      <c r="D206" s="2">
        <v>2.31</v>
      </c>
      <c r="E206" s="2" t="s">
        <v>206</v>
      </c>
      <c r="F206" s="2">
        <v>2.31</v>
      </c>
    </row>
    <row r="207" spans="1:6" x14ac:dyDescent="0.25">
      <c r="A207" s="1">
        <v>15038</v>
      </c>
      <c r="B207" s="2">
        <v>23</v>
      </c>
      <c r="C207" s="2">
        <v>15</v>
      </c>
      <c r="D207" s="2">
        <v>0.64</v>
      </c>
      <c r="E207" s="2" t="s">
        <v>207</v>
      </c>
      <c r="F207" s="2">
        <v>0.64</v>
      </c>
    </row>
    <row r="208" spans="1:6" x14ac:dyDescent="0.25">
      <c r="A208" s="1">
        <v>15039</v>
      </c>
      <c r="B208" s="2">
        <v>24</v>
      </c>
      <c r="C208" s="2">
        <v>15</v>
      </c>
      <c r="D208" s="2">
        <v>0.28000000000000003</v>
      </c>
      <c r="E208" s="2" t="s">
        <v>208</v>
      </c>
      <c r="F208" s="2">
        <v>0.28000000000000003</v>
      </c>
    </row>
    <row r="209" spans="1:6" x14ac:dyDescent="0.25">
      <c r="A209" s="1">
        <v>15040</v>
      </c>
      <c r="B209" s="2">
        <v>25</v>
      </c>
      <c r="C209" s="2">
        <v>15</v>
      </c>
      <c r="D209" s="2">
        <v>0.15</v>
      </c>
      <c r="E209" s="2" t="s">
        <v>209</v>
      </c>
      <c r="F209" s="2">
        <v>0.15</v>
      </c>
    </row>
    <row r="210" spans="1:6" x14ac:dyDescent="0.25">
      <c r="A210" s="1">
        <v>15041</v>
      </c>
      <c r="B210" s="2">
        <v>26</v>
      </c>
      <c r="C210" s="2">
        <v>15</v>
      </c>
      <c r="D210" s="2">
        <v>0.10100000000000001</v>
      </c>
      <c r="E210" s="2" t="s">
        <v>210</v>
      </c>
      <c r="F210" s="2">
        <v>0.10100000000000001</v>
      </c>
    </row>
    <row r="211" spans="1:6" x14ac:dyDescent="0.25">
      <c r="A211" s="1">
        <v>15042</v>
      </c>
      <c r="B211" s="2">
        <v>27</v>
      </c>
      <c r="C211" s="2">
        <v>15</v>
      </c>
      <c r="D211" s="2">
        <v>4.8500000000000001E-2</v>
      </c>
      <c r="E211" s="2" t="s">
        <v>211</v>
      </c>
      <c r="F211" s="2">
        <v>4.8500000000000001E-2</v>
      </c>
    </row>
    <row r="212" spans="1:6" x14ac:dyDescent="0.25">
      <c r="A212" s="1">
        <v>15043</v>
      </c>
      <c r="B212" s="2">
        <v>28</v>
      </c>
      <c r="C212" s="2">
        <v>15</v>
      </c>
      <c r="D212" s="2">
        <v>3.6499999999999998E-2</v>
      </c>
      <c r="E212" s="2" t="s">
        <v>212</v>
      </c>
      <c r="F212" s="2">
        <v>3.6499999999999998E-2</v>
      </c>
    </row>
    <row r="213" spans="1:6" x14ac:dyDescent="0.25">
      <c r="A213" s="1">
        <v>15044</v>
      </c>
      <c r="B213" s="2">
        <v>29</v>
      </c>
      <c r="C213" s="2">
        <v>15</v>
      </c>
      <c r="D213" s="2">
        <v>1.8499999999999999E-2</v>
      </c>
      <c r="E213" s="2" t="s">
        <v>213</v>
      </c>
      <c r="F213" s="2">
        <v>1.8499999999999999E-2</v>
      </c>
    </row>
    <row r="214" spans="1:6" x14ac:dyDescent="0.25">
      <c r="A214" s="1">
        <v>15045</v>
      </c>
      <c r="B214" s="2">
        <v>30</v>
      </c>
      <c r="C214" s="2">
        <v>15</v>
      </c>
      <c r="D214" s="2">
        <v>1.9999999999999999E-7</v>
      </c>
      <c r="E214" s="2" t="s">
        <v>214</v>
      </c>
      <c r="F214" s="2">
        <v>1.9999999999999999E-7</v>
      </c>
    </row>
    <row r="215" spans="1:6" x14ac:dyDescent="0.25">
      <c r="A215" s="1">
        <v>15046</v>
      </c>
      <c r="B215" s="2">
        <v>31</v>
      </c>
      <c r="C215" s="2">
        <v>15</v>
      </c>
      <c r="D215" s="2">
        <v>1.9999999999999999E-7</v>
      </c>
      <c r="E215" s="2" t="s">
        <v>215</v>
      </c>
      <c r="F215" s="2">
        <v>1.9999999999999999E-7</v>
      </c>
    </row>
    <row r="216" spans="1:6" x14ac:dyDescent="0.25">
      <c r="A216" s="1">
        <v>16027</v>
      </c>
      <c r="B216" s="2">
        <v>11</v>
      </c>
      <c r="C216" s="2">
        <v>16</v>
      </c>
      <c r="D216" s="2">
        <v>1.55E-2</v>
      </c>
      <c r="E216" s="2" t="s">
        <v>216</v>
      </c>
      <c r="F216" s="2">
        <v>1.55E-2</v>
      </c>
    </row>
    <row r="217" spans="1:6" x14ac:dyDescent="0.25">
      <c r="A217" s="1">
        <v>16028</v>
      </c>
      <c r="B217" s="2">
        <v>12</v>
      </c>
      <c r="C217" s="2">
        <v>16</v>
      </c>
      <c r="D217" s="2">
        <v>0.125</v>
      </c>
      <c r="E217" s="2" t="s">
        <v>217</v>
      </c>
      <c r="F217" s="2">
        <v>0.125</v>
      </c>
    </row>
    <row r="218" spans="1:6" x14ac:dyDescent="0.25">
      <c r="A218" s="1">
        <v>16029</v>
      </c>
      <c r="B218" s="2">
        <v>13</v>
      </c>
      <c r="C218" s="2">
        <v>16</v>
      </c>
      <c r="D218" s="2">
        <v>0.188</v>
      </c>
      <c r="E218" s="2" t="s">
        <v>218</v>
      </c>
      <c r="F218" s="2">
        <v>0.188</v>
      </c>
    </row>
    <row r="219" spans="1:6" x14ac:dyDescent="0.25">
      <c r="A219" s="1">
        <v>16030</v>
      </c>
      <c r="B219" s="2">
        <v>14</v>
      </c>
      <c r="C219" s="2">
        <v>16</v>
      </c>
      <c r="D219" s="2">
        <v>1.1779999999999999</v>
      </c>
      <c r="E219" s="2" t="s">
        <v>219</v>
      </c>
      <c r="F219" s="2">
        <v>1.1779999999999999</v>
      </c>
    </row>
    <row r="220" spans="1:6" x14ac:dyDescent="0.25">
      <c r="A220" s="1">
        <v>16031</v>
      </c>
      <c r="B220" s="2">
        <v>15</v>
      </c>
      <c r="C220" s="2">
        <v>16</v>
      </c>
      <c r="D220" s="2">
        <v>2.5533999999999999</v>
      </c>
      <c r="E220" s="2" t="s">
        <v>220</v>
      </c>
      <c r="F220" s="2">
        <v>2.5533999999999999</v>
      </c>
    </row>
    <row r="221" spans="1:6" x14ac:dyDescent="0.25">
      <c r="A221" s="1">
        <v>16032</v>
      </c>
      <c r="B221" s="2">
        <v>16</v>
      </c>
      <c r="C221" s="2">
        <v>16</v>
      </c>
      <c r="D221" s="2" t="s">
        <v>3</v>
      </c>
      <c r="E221" s="2" t="s">
        <v>221</v>
      </c>
      <c r="F221" s="2" t="s">
        <v>3</v>
      </c>
    </row>
    <row r="222" spans="1:6" x14ac:dyDescent="0.25">
      <c r="A222" s="1">
        <v>16033</v>
      </c>
      <c r="B222" s="2">
        <v>17</v>
      </c>
      <c r="C222" s="2">
        <v>16</v>
      </c>
      <c r="D222" s="2" t="s">
        <v>3</v>
      </c>
      <c r="E222" s="2" t="s">
        <v>222</v>
      </c>
      <c r="F222" s="2" t="s">
        <v>3</v>
      </c>
    </row>
    <row r="223" spans="1:6" x14ac:dyDescent="0.25">
      <c r="A223" s="1">
        <v>16034</v>
      </c>
      <c r="B223" s="2">
        <v>18</v>
      </c>
      <c r="C223" s="2">
        <v>16</v>
      </c>
      <c r="D223" s="2" t="s">
        <v>3</v>
      </c>
      <c r="E223" s="2" t="s">
        <v>223</v>
      </c>
      <c r="F223" s="2" t="s">
        <v>3</v>
      </c>
    </row>
    <row r="224" spans="1:6" x14ac:dyDescent="0.25">
      <c r="A224" s="1">
        <v>16035</v>
      </c>
      <c r="B224" s="2">
        <v>19</v>
      </c>
      <c r="C224" s="2">
        <v>16</v>
      </c>
      <c r="D224" s="2">
        <v>7548768</v>
      </c>
      <c r="E224" s="2" t="s">
        <v>224</v>
      </c>
      <c r="F224" s="2">
        <v>7548768</v>
      </c>
    </row>
    <row r="225" spans="1:6" x14ac:dyDescent="0.25">
      <c r="A225" s="1">
        <v>16036</v>
      </c>
      <c r="B225" s="2">
        <v>20</v>
      </c>
      <c r="C225" s="2">
        <v>16</v>
      </c>
      <c r="D225" s="2" t="s">
        <v>3</v>
      </c>
      <c r="E225" s="2" t="s">
        <v>225</v>
      </c>
      <c r="F225" s="2" t="s">
        <v>3</v>
      </c>
    </row>
    <row r="226" spans="1:6" x14ac:dyDescent="0.25">
      <c r="A226" s="1">
        <v>16037</v>
      </c>
      <c r="B226" s="2">
        <v>21</v>
      </c>
      <c r="C226" s="2">
        <v>16</v>
      </c>
      <c r="D226" s="2">
        <v>303</v>
      </c>
      <c r="E226" s="2" t="s">
        <v>226</v>
      </c>
      <c r="F226" s="2">
        <v>303</v>
      </c>
    </row>
    <row r="227" spans="1:6" x14ac:dyDescent="0.25">
      <c r="A227" s="1">
        <v>16038</v>
      </c>
      <c r="B227" s="2">
        <v>22</v>
      </c>
      <c r="C227" s="2">
        <v>16</v>
      </c>
      <c r="D227" s="2">
        <v>10218</v>
      </c>
      <c r="E227" s="2" t="s">
        <v>227</v>
      </c>
      <c r="F227" s="2">
        <v>10218</v>
      </c>
    </row>
    <row r="228" spans="1:6" x14ac:dyDescent="0.25">
      <c r="A228" s="1">
        <v>16039</v>
      </c>
      <c r="B228" s="2">
        <v>23</v>
      </c>
      <c r="C228" s="2">
        <v>16</v>
      </c>
      <c r="D228" s="2">
        <v>11.5</v>
      </c>
      <c r="E228" s="2" t="s">
        <v>228</v>
      </c>
      <c r="F228" s="2">
        <v>11.5</v>
      </c>
    </row>
    <row r="229" spans="1:6" x14ac:dyDescent="0.25">
      <c r="A229" s="1">
        <v>16040</v>
      </c>
      <c r="B229" s="2">
        <v>24</v>
      </c>
      <c r="C229" s="2">
        <v>16</v>
      </c>
      <c r="D229" s="2">
        <v>8.8000000000000007</v>
      </c>
      <c r="E229" s="2" t="s">
        <v>229</v>
      </c>
      <c r="F229" s="2">
        <v>8.8000000000000007</v>
      </c>
    </row>
    <row r="230" spans="1:6" x14ac:dyDescent="0.25">
      <c r="A230" s="1">
        <v>16041</v>
      </c>
      <c r="B230" s="2">
        <v>25</v>
      </c>
      <c r="C230" s="2">
        <v>16</v>
      </c>
      <c r="D230" s="2">
        <v>2.6</v>
      </c>
      <c r="E230" s="2" t="s">
        <v>230</v>
      </c>
      <c r="F230" s="2">
        <v>2.6</v>
      </c>
    </row>
    <row r="231" spans="1:6" x14ac:dyDescent="0.25">
      <c r="A231" s="1">
        <v>16042</v>
      </c>
      <c r="B231" s="2">
        <v>26</v>
      </c>
      <c r="C231" s="2">
        <v>16</v>
      </c>
      <c r="D231" s="2">
        <v>1.03</v>
      </c>
      <c r="E231" s="2" t="s">
        <v>231</v>
      </c>
      <c r="F231" s="2">
        <v>1.03</v>
      </c>
    </row>
    <row r="232" spans="1:6" x14ac:dyDescent="0.25">
      <c r="A232" s="1">
        <v>16043</v>
      </c>
      <c r="B232" s="2">
        <v>27</v>
      </c>
      <c r="C232" s="2">
        <v>16</v>
      </c>
      <c r="D232" s="2">
        <v>0.27300000000000002</v>
      </c>
      <c r="E232" s="2" t="s">
        <v>232</v>
      </c>
      <c r="F232" s="2">
        <v>0.27300000000000002</v>
      </c>
    </row>
    <row r="233" spans="1:6" x14ac:dyDescent="0.25">
      <c r="A233" s="1">
        <v>16044</v>
      </c>
      <c r="B233" s="2">
        <v>28</v>
      </c>
      <c r="C233" s="2">
        <v>16</v>
      </c>
      <c r="D233" s="2">
        <v>0.1</v>
      </c>
      <c r="E233" s="2" t="s">
        <v>233</v>
      </c>
      <c r="F233" s="2">
        <v>0.1</v>
      </c>
    </row>
    <row r="234" spans="1:6" x14ac:dyDescent="0.25">
      <c r="A234" s="1">
        <v>16045</v>
      </c>
      <c r="B234" s="2">
        <v>29</v>
      </c>
      <c r="C234" s="2">
        <v>16</v>
      </c>
      <c r="D234" s="2">
        <v>6.8000000000000005E-2</v>
      </c>
      <c r="E234" s="2" t="s">
        <v>234</v>
      </c>
      <c r="F234" s="2">
        <v>6.8000000000000005E-2</v>
      </c>
    </row>
    <row r="235" spans="1:6" x14ac:dyDescent="0.25">
      <c r="A235" s="1">
        <v>16046</v>
      </c>
      <c r="B235" s="2">
        <v>30</v>
      </c>
      <c r="C235" s="2">
        <v>16</v>
      </c>
      <c r="D235" s="2">
        <v>0.05</v>
      </c>
      <c r="E235" s="2" t="s">
        <v>235</v>
      </c>
      <c r="F235" s="2">
        <v>0.05</v>
      </c>
    </row>
    <row r="236" spans="1:6" x14ac:dyDescent="0.25">
      <c r="A236" s="1">
        <v>16048</v>
      </c>
      <c r="B236" s="2">
        <v>32</v>
      </c>
      <c r="C236" s="2">
        <v>16</v>
      </c>
      <c r="D236" s="2">
        <v>1.9999999999999999E-7</v>
      </c>
      <c r="E236" s="2" t="s">
        <v>236</v>
      </c>
      <c r="F236" s="2">
        <v>1.9999999999999999E-7</v>
      </c>
    </row>
    <row r="237" spans="1:6" x14ac:dyDescent="0.25">
      <c r="A237" s="1">
        <v>17031</v>
      </c>
      <c r="B237" s="2">
        <v>14</v>
      </c>
      <c r="C237" s="2">
        <v>17</v>
      </c>
      <c r="D237" s="2">
        <v>0.19</v>
      </c>
      <c r="E237" s="2" t="s">
        <v>237</v>
      </c>
      <c r="F237" s="2">
        <v>0.19</v>
      </c>
    </row>
    <row r="238" spans="1:6" x14ac:dyDescent="0.25">
      <c r="A238" s="1">
        <v>17032</v>
      </c>
      <c r="B238" s="2">
        <v>15</v>
      </c>
      <c r="C238" s="2">
        <v>17</v>
      </c>
      <c r="D238" s="2">
        <v>0.29799999999999999</v>
      </c>
      <c r="E238" s="2" t="s">
        <v>238</v>
      </c>
      <c r="F238" s="2">
        <v>0.29799999999999999</v>
      </c>
    </row>
    <row r="239" spans="1:6" x14ac:dyDescent="0.25">
      <c r="A239" s="1">
        <v>17033</v>
      </c>
      <c r="B239" s="2">
        <v>16</v>
      </c>
      <c r="C239" s="2">
        <v>17</v>
      </c>
      <c r="D239" s="2">
        <v>2.5110000000000001</v>
      </c>
      <c r="E239" s="2" t="s">
        <v>239</v>
      </c>
      <c r="F239" s="2">
        <v>2.5110000000000001</v>
      </c>
    </row>
    <row r="240" spans="1:6" x14ac:dyDescent="0.25">
      <c r="A240" s="1">
        <v>17034</v>
      </c>
      <c r="B240" s="2">
        <v>17</v>
      </c>
      <c r="C240" s="2">
        <v>17</v>
      </c>
      <c r="D240" s="2">
        <v>1.5264</v>
      </c>
      <c r="E240" s="2" t="s">
        <v>240</v>
      </c>
      <c r="F240" s="2">
        <v>1.5264</v>
      </c>
    </row>
    <row r="241" spans="1:6" x14ac:dyDescent="0.25">
      <c r="A241" s="1">
        <v>17035</v>
      </c>
      <c r="B241" s="2">
        <v>18</v>
      </c>
      <c r="C241" s="2">
        <v>17</v>
      </c>
      <c r="D241" s="2" t="s">
        <v>3</v>
      </c>
      <c r="E241" s="2" t="s">
        <v>241</v>
      </c>
      <c r="F241" s="2" t="s">
        <v>3</v>
      </c>
    </row>
    <row r="242" spans="1:6" x14ac:dyDescent="0.25">
      <c r="A242" s="1">
        <v>17036</v>
      </c>
      <c r="B242" s="2">
        <v>19</v>
      </c>
      <c r="C242" s="2">
        <v>17</v>
      </c>
      <c r="D242" s="2">
        <v>9498837600000</v>
      </c>
      <c r="E242" s="2" t="s">
        <v>242</v>
      </c>
      <c r="F242" s="2">
        <v>9498837600000</v>
      </c>
    </row>
    <row r="243" spans="1:6" x14ac:dyDescent="0.25">
      <c r="A243" s="1">
        <v>17037</v>
      </c>
      <c r="B243" s="2">
        <v>20</v>
      </c>
      <c r="C243" s="2">
        <v>17</v>
      </c>
      <c r="D243" s="2" t="s">
        <v>3</v>
      </c>
      <c r="E243" s="2" t="s">
        <v>243</v>
      </c>
      <c r="F243" s="2" t="s">
        <v>3</v>
      </c>
    </row>
    <row r="244" spans="1:6" x14ac:dyDescent="0.25">
      <c r="A244" s="1">
        <v>17038</v>
      </c>
      <c r="B244" s="2">
        <v>21</v>
      </c>
      <c r="C244" s="2">
        <v>17</v>
      </c>
      <c r="D244" s="2">
        <v>2234.4</v>
      </c>
      <c r="E244" s="2" t="s">
        <v>244</v>
      </c>
      <c r="F244" s="2">
        <v>2234.4</v>
      </c>
    </row>
    <row r="245" spans="1:6" x14ac:dyDescent="0.25">
      <c r="A245" s="1">
        <v>17039</v>
      </c>
      <c r="B245" s="2">
        <v>22</v>
      </c>
      <c r="C245" s="2">
        <v>17</v>
      </c>
      <c r="D245" s="2">
        <v>3372</v>
      </c>
      <c r="E245" s="2" t="s">
        <v>245</v>
      </c>
      <c r="F245" s="2">
        <v>3372</v>
      </c>
    </row>
    <row r="246" spans="1:6" x14ac:dyDescent="0.25">
      <c r="A246" s="1">
        <v>17040</v>
      </c>
      <c r="B246" s="2">
        <v>23</v>
      </c>
      <c r="C246" s="2">
        <v>17</v>
      </c>
      <c r="D246" s="2">
        <v>81</v>
      </c>
      <c r="E246" s="2" t="s">
        <v>246</v>
      </c>
      <c r="F246" s="2">
        <v>81</v>
      </c>
    </row>
    <row r="247" spans="1:6" x14ac:dyDescent="0.25">
      <c r="A247" s="1">
        <v>17041</v>
      </c>
      <c r="B247" s="2">
        <v>24</v>
      </c>
      <c r="C247" s="2">
        <v>17</v>
      </c>
      <c r="D247" s="2">
        <v>38.4</v>
      </c>
      <c r="E247" s="2" t="s">
        <v>247</v>
      </c>
      <c r="F247" s="2">
        <v>38.4</v>
      </c>
    </row>
    <row r="248" spans="1:6" x14ac:dyDescent="0.25">
      <c r="A248" s="1">
        <v>17042</v>
      </c>
      <c r="B248" s="2">
        <v>25</v>
      </c>
      <c r="C248" s="2">
        <v>17</v>
      </c>
      <c r="D248" s="2">
        <v>6.8</v>
      </c>
      <c r="E248" s="2" t="s">
        <v>248</v>
      </c>
      <c r="F248" s="2">
        <v>6.8</v>
      </c>
    </row>
    <row r="249" spans="1:6" x14ac:dyDescent="0.25">
      <c r="A249" s="1">
        <v>17043</v>
      </c>
      <c r="B249" s="2">
        <v>26</v>
      </c>
      <c r="C249" s="2">
        <v>17</v>
      </c>
      <c r="D249" s="2">
        <v>3.1749999999999998</v>
      </c>
      <c r="E249" s="2" t="s">
        <v>249</v>
      </c>
      <c r="F249" s="2">
        <v>3.1749999999999998</v>
      </c>
    </row>
    <row r="250" spans="1:6" x14ac:dyDescent="0.25">
      <c r="A250" s="1">
        <v>17044</v>
      </c>
      <c r="B250" s="2">
        <v>27</v>
      </c>
      <c r="C250" s="2">
        <v>17</v>
      </c>
      <c r="D250" s="2">
        <v>0.65</v>
      </c>
      <c r="E250" s="2" t="s">
        <v>250</v>
      </c>
      <c r="F250" s="2">
        <v>0.65</v>
      </c>
    </row>
    <row r="251" spans="1:6" x14ac:dyDescent="0.25">
      <c r="A251" s="1">
        <v>17045</v>
      </c>
      <c r="B251" s="2">
        <v>28</v>
      </c>
      <c r="C251" s="2">
        <v>17</v>
      </c>
      <c r="D251" s="2">
        <v>0.4</v>
      </c>
      <c r="E251" s="2" t="s">
        <v>251</v>
      </c>
      <c r="F251" s="2">
        <v>0.4</v>
      </c>
    </row>
    <row r="252" spans="1:6" x14ac:dyDescent="0.25">
      <c r="A252" s="1">
        <v>17046</v>
      </c>
      <c r="B252" s="2">
        <v>29</v>
      </c>
      <c r="C252" s="2">
        <v>17</v>
      </c>
      <c r="D252" s="2">
        <v>0.23200000000000001</v>
      </c>
      <c r="E252" s="2" t="s">
        <v>252</v>
      </c>
      <c r="F252" s="2">
        <v>0.23200000000000001</v>
      </c>
    </row>
    <row r="253" spans="1:6" x14ac:dyDescent="0.25">
      <c r="A253" s="1">
        <v>17047</v>
      </c>
      <c r="B253" s="2">
        <v>30</v>
      </c>
      <c r="C253" s="2">
        <v>17</v>
      </c>
      <c r="D253" s="2">
        <v>0.10100000000000001</v>
      </c>
      <c r="E253" s="2" t="s">
        <v>253</v>
      </c>
      <c r="F253" s="2">
        <v>0.10100000000000001</v>
      </c>
    </row>
    <row r="254" spans="1:6" x14ac:dyDescent="0.25">
      <c r="A254" s="1">
        <v>17048</v>
      </c>
      <c r="B254" s="2">
        <v>31</v>
      </c>
      <c r="C254" s="2">
        <v>17</v>
      </c>
      <c r="D254" s="2">
        <v>1.9999999999999999E-7</v>
      </c>
      <c r="E254" s="2" t="s">
        <v>254</v>
      </c>
      <c r="F254" s="2">
        <v>1.9999999999999999E-7</v>
      </c>
    </row>
    <row r="255" spans="1:6" x14ac:dyDescent="0.25">
      <c r="A255" s="1">
        <v>17049</v>
      </c>
      <c r="B255" s="2">
        <v>32</v>
      </c>
      <c r="C255" s="2">
        <v>17</v>
      </c>
      <c r="D255" s="2">
        <v>1.6999999999999999E-7</v>
      </c>
      <c r="E255" s="2" t="s">
        <v>255</v>
      </c>
      <c r="F255" s="2">
        <v>1.6999999999999999E-7</v>
      </c>
    </row>
    <row r="256" spans="1:6" x14ac:dyDescent="0.25">
      <c r="A256" s="1">
        <v>17050</v>
      </c>
      <c r="B256" s="2">
        <v>33</v>
      </c>
      <c r="C256" s="2">
        <v>17</v>
      </c>
      <c r="D256" s="2">
        <v>6.1999999999999999E-7</v>
      </c>
      <c r="E256" s="2" t="s">
        <v>256</v>
      </c>
      <c r="F256" s="2">
        <v>6.1999999999999999E-7</v>
      </c>
    </row>
    <row r="257" spans="1:6" x14ac:dyDescent="0.25">
      <c r="A257" s="1">
        <v>17051</v>
      </c>
      <c r="B257" s="2">
        <v>34</v>
      </c>
      <c r="C257" s="2">
        <v>17</v>
      </c>
      <c r="D257" s="2">
        <v>1.9999999999999999E-7</v>
      </c>
      <c r="E257" s="2" t="s">
        <v>257</v>
      </c>
      <c r="F257" s="2">
        <v>1.9999999999999999E-7</v>
      </c>
    </row>
    <row r="258" spans="1:6" x14ac:dyDescent="0.25">
      <c r="A258" s="1">
        <v>18031</v>
      </c>
      <c r="B258" s="2">
        <v>13</v>
      </c>
      <c r="C258" s="2">
        <v>18</v>
      </c>
      <c r="D258" s="2">
        <v>1.44E-2</v>
      </c>
      <c r="E258" s="2" t="s">
        <v>258</v>
      </c>
      <c r="F258" s="2">
        <v>1.44E-2</v>
      </c>
    </row>
    <row r="259" spans="1:6" x14ac:dyDescent="0.25">
      <c r="A259" s="1">
        <v>18032</v>
      </c>
      <c r="B259" s="2">
        <v>14</v>
      </c>
      <c r="C259" s="2">
        <v>18</v>
      </c>
      <c r="D259" s="2">
        <v>9.8000000000000004E-2</v>
      </c>
      <c r="E259" s="2" t="s">
        <v>259</v>
      </c>
      <c r="F259" s="2">
        <v>9.8000000000000004E-2</v>
      </c>
    </row>
    <row r="260" spans="1:6" x14ac:dyDescent="0.25">
      <c r="A260" s="1">
        <v>18033</v>
      </c>
      <c r="B260" s="2">
        <v>15</v>
      </c>
      <c r="C260" s="2">
        <v>18</v>
      </c>
      <c r="D260" s="2">
        <v>0.17299999999999999</v>
      </c>
      <c r="E260" s="2" t="s">
        <v>260</v>
      </c>
      <c r="F260" s="2">
        <v>0.17299999999999999</v>
      </c>
    </row>
    <row r="261" spans="1:6" x14ac:dyDescent="0.25">
      <c r="A261" s="1">
        <v>18034</v>
      </c>
      <c r="B261" s="2">
        <v>16</v>
      </c>
      <c r="C261" s="2">
        <v>18</v>
      </c>
      <c r="D261" s="2">
        <v>0.84450000000000003</v>
      </c>
      <c r="E261" s="2" t="s">
        <v>261</v>
      </c>
      <c r="F261" s="2">
        <v>0.84450000000000003</v>
      </c>
    </row>
    <row r="262" spans="1:6" x14ac:dyDescent="0.25">
      <c r="A262" s="1">
        <v>18035</v>
      </c>
      <c r="B262" s="2">
        <v>17</v>
      </c>
      <c r="C262" s="2">
        <v>18</v>
      </c>
      <c r="D262" s="2">
        <v>1.7756000000000001</v>
      </c>
      <c r="E262" s="2" t="s">
        <v>262</v>
      </c>
      <c r="F262" s="2">
        <v>1.7756000000000001</v>
      </c>
    </row>
    <row r="263" spans="1:6" x14ac:dyDescent="0.25">
      <c r="A263" s="1">
        <v>18036</v>
      </c>
      <c r="B263" s="2">
        <v>18</v>
      </c>
      <c r="C263" s="2">
        <v>18</v>
      </c>
      <c r="D263" s="2" t="s">
        <v>3</v>
      </c>
      <c r="E263" s="2" t="s">
        <v>263</v>
      </c>
      <c r="F263" s="2" t="s">
        <v>3</v>
      </c>
    </row>
    <row r="264" spans="1:6" x14ac:dyDescent="0.25">
      <c r="A264" s="1">
        <v>18037</v>
      </c>
      <c r="B264" s="2">
        <v>19</v>
      </c>
      <c r="C264" s="2">
        <v>18</v>
      </c>
      <c r="D264" s="2">
        <v>3027456</v>
      </c>
      <c r="E264" s="2" t="s">
        <v>264</v>
      </c>
      <c r="F264" s="2">
        <v>3027456</v>
      </c>
    </row>
    <row r="265" spans="1:6" x14ac:dyDescent="0.25">
      <c r="A265" s="1">
        <v>18038</v>
      </c>
      <c r="B265" s="2">
        <v>20</v>
      </c>
      <c r="C265" s="2">
        <v>18</v>
      </c>
      <c r="D265" s="2" t="s">
        <v>3</v>
      </c>
      <c r="E265" s="2" t="s">
        <v>265</v>
      </c>
      <c r="F265" s="2" t="s">
        <v>3</v>
      </c>
    </row>
    <row r="266" spans="1:6" x14ac:dyDescent="0.25">
      <c r="A266" s="1">
        <v>18039</v>
      </c>
      <c r="B266" s="2">
        <v>21</v>
      </c>
      <c r="C266" s="2">
        <v>18</v>
      </c>
      <c r="D266" s="2">
        <v>8488994400</v>
      </c>
      <c r="E266" s="2" t="s">
        <v>266</v>
      </c>
      <c r="F266" s="2">
        <v>8488994400</v>
      </c>
    </row>
    <row r="267" spans="1:6" x14ac:dyDescent="0.25">
      <c r="A267" s="1">
        <v>18040</v>
      </c>
      <c r="B267" s="2">
        <v>22</v>
      </c>
      <c r="C267" s="2">
        <v>18</v>
      </c>
      <c r="D267" s="2" t="s">
        <v>3</v>
      </c>
      <c r="E267" s="2" t="s">
        <v>267</v>
      </c>
      <c r="F267" s="2" t="s">
        <v>3</v>
      </c>
    </row>
    <row r="268" spans="1:6" x14ac:dyDescent="0.25">
      <c r="A268" s="1">
        <v>18041</v>
      </c>
      <c r="B268" s="2">
        <v>23</v>
      </c>
      <c r="C268" s="2">
        <v>18</v>
      </c>
      <c r="D268" s="2">
        <v>6576.6</v>
      </c>
      <c r="E268" s="2" t="s">
        <v>268</v>
      </c>
      <c r="F268" s="2">
        <v>6576.6</v>
      </c>
    </row>
    <row r="269" spans="1:6" x14ac:dyDescent="0.25">
      <c r="A269" s="1">
        <v>18042</v>
      </c>
      <c r="B269" s="2">
        <v>24</v>
      </c>
      <c r="C269" s="2">
        <v>18</v>
      </c>
      <c r="D269" s="2">
        <v>1038245040</v>
      </c>
      <c r="E269" s="2" t="s">
        <v>269</v>
      </c>
      <c r="F269" s="2">
        <v>1038245040</v>
      </c>
    </row>
    <row r="270" spans="1:6" x14ac:dyDescent="0.25">
      <c r="A270" s="1">
        <v>18043</v>
      </c>
      <c r="B270" s="2">
        <v>25</v>
      </c>
      <c r="C270" s="2">
        <v>18</v>
      </c>
      <c r="D270" s="2">
        <v>322.2</v>
      </c>
      <c r="E270" s="2" t="s">
        <v>270</v>
      </c>
      <c r="F270" s="2">
        <v>322.2</v>
      </c>
    </row>
    <row r="271" spans="1:6" x14ac:dyDescent="0.25">
      <c r="A271" s="1">
        <v>18044</v>
      </c>
      <c r="B271" s="2">
        <v>26</v>
      </c>
      <c r="C271" s="2">
        <v>18</v>
      </c>
      <c r="D271" s="2">
        <v>712.19999999999902</v>
      </c>
      <c r="E271" s="2" t="s">
        <v>271</v>
      </c>
      <c r="F271" s="2">
        <v>712.19999999999902</v>
      </c>
    </row>
    <row r="272" spans="1:6" x14ac:dyDescent="0.25">
      <c r="A272" s="1">
        <v>18045</v>
      </c>
      <c r="B272" s="2">
        <v>27</v>
      </c>
      <c r="C272" s="2">
        <v>18</v>
      </c>
      <c r="D272" s="2">
        <v>21.48</v>
      </c>
      <c r="E272" s="2" t="s">
        <v>272</v>
      </c>
      <c r="F272" s="2">
        <v>21.48</v>
      </c>
    </row>
    <row r="273" spans="1:6" x14ac:dyDescent="0.25">
      <c r="A273" s="1">
        <v>18046</v>
      </c>
      <c r="B273" s="2">
        <v>28</v>
      </c>
      <c r="C273" s="2">
        <v>18</v>
      </c>
      <c r="D273" s="2">
        <v>8.4</v>
      </c>
      <c r="E273" s="2" t="s">
        <v>273</v>
      </c>
      <c r="F273" s="2">
        <v>8.4</v>
      </c>
    </row>
    <row r="274" spans="1:6" x14ac:dyDescent="0.25">
      <c r="A274" s="1">
        <v>18047</v>
      </c>
      <c r="B274" s="2">
        <v>29</v>
      </c>
      <c r="C274" s="2">
        <v>18</v>
      </c>
      <c r="D274" s="2">
        <v>1.23</v>
      </c>
      <c r="E274" s="2" t="s">
        <v>274</v>
      </c>
      <c r="F274" s="2">
        <v>1.23</v>
      </c>
    </row>
    <row r="275" spans="1:6" x14ac:dyDescent="0.25">
      <c r="A275" s="1">
        <v>18048</v>
      </c>
      <c r="B275" s="2">
        <v>30</v>
      </c>
      <c r="C275" s="2">
        <v>18</v>
      </c>
      <c r="D275" s="2">
        <v>0.42399999999999999</v>
      </c>
      <c r="E275" s="2" t="s">
        <v>275</v>
      </c>
      <c r="F275" s="2">
        <v>0.42399999999999999</v>
      </c>
    </row>
    <row r="276" spans="1:6" x14ac:dyDescent="0.25">
      <c r="A276" s="1">
        <v>18049</v>
      </c>
      <c r="B276" s="2">
        <v>31</v>
      </c>
      <c r="C276" s="2">
        <v>18</v>
      </c>
      <c r="D276" s="2">
        <v>0.23599999999999999</v>
      </c>
      <c r="E276" s="2" t="s">
        <v>276</v>
      </c>
      <c r="F276" s="2">
        <v>0.23599999999999999</v>
      </c>
    </row>
    <row r="277" spans="1:6" x14ac:dyDescent="0.25">
      <c r="A277" s="1">
        <v>18050</v>
      </c>
      <c r="B277" s="2">
        <v>32</v>
      </c>
      <c r="C277" s="2">
        <v>18</v>
      </c>
      <c r="D277" s="2">
        <v>0.106</v>
      </c>
      <c r="E277" s="2" t="s">
        <v>277</v>
      </c>
      <c r="F277" s="2">
        <v>0.106</v>
      </c>
    </row>
    <row r="278" spans="1:6" x14ac:dyDescent="0.25">
      <c r="A278" s="1">
        <v>18051</v>
      </c>
      <c r="B278" s="2">
        <v>33</v>
      </c>
      <c r="C278" s="2">
        <v>18</v>
      </c>
      <c r="D278" s="2">
        <v>1.9999999999999999E-7</v>
      </c>
      <c r="E278" s="2" t="s">
        <v>278</v>
      </c>
      <c r="F278" s="2">
        <v>1.9999999999999999E-7</v>
      </c>
    </row>
    <row r="279" spans="1:6" x14ac:dyDescent="0.25">
      <c r="A279" s="1">
        <v>18052</v>
      </c>
      <c r="B279" s="2">
        <v>34</v>
      </c>
      <c r="C279" s="2">
        <v>18</v>
      </c>
      <c r="D279" s="2">
        <v>6.1999999999999999E-7</v>
      </c>
      <c r="E279" s="2" t="s">
        <v>279</v>
      </c>
      <c r="F279" s="2">
        <v>6.1999999999999999E-7</v>
      </c>
    </row>
    <row r="280" spans="1:6" x14ac:dyDescent="0.25">
      <c r="A280" s="1">
        <v>18053</v>
      </c>
      <c r="B280" s="2">
        <v>35</v>
      </c>
      <c r="C280" s="2">
        <v>18</v>
      </c>
      <c r="D280" s="2">
        <v>6.1999999999999999E-7</v>
      </c>
      <c r="E280" s="2" t="s">
        <v>280</v>
      </c>
      <c r="F280" s="2">
        <v>6.1999999999999999E-7</v>
      </c>
    </row>
    <row r="281" spans="1:6" x14ac:dyDescent="0.25">
      <c r="A281" s="1">
        <v>19035</v>
      </c>
      <c r="B281" s="2">
        <v>16</v>
      </c>
      <c r="C281" s="2">
        <v>19</v>
      </c>
      <c r="D281" s="2">
        <v>0.17799999999999999</v>
      </c>
      <c r="E281" s="2" t="s">
        <v>281</v>
      </c>
      <c r="F281" s="2">
        <v>0.17799999999999999</v>
      </c>
    </row>
    <row r="282" spans="1:6" x14ac:dyDescent="0.25">
      <c r="A282" s="1">
        <v>19036</v>
      </c>
      <c r="B282" s="2">
        <v>17</v>
      </c>
      <c r="C282" s="2">
        <v>19</v>
      </c>
      <c r="D282" s="2">
        <v>0.34200000000000003</v>
      </c>
      <c r="E282" s="2" t="s">
        <v>282</v>
      </c>
      <c r="F282" s="2">
        <v>0.34200000000000003</v>
      </c>
    </row>
    <row r="283" spans="1:6" x14ac:dyDescent="0.25">
      <c r="A283" s="1">
        <v>19037</v>
      </c>
      <c r="B283" s="2">
        <v>18</v>
      </c>
      <c r="C283" s="2">
        <v>19</v>
      </c>
      <c r="D283" s="2">
        <v>1.226</v>
      </c>
      <c r="E283" s="2" t="s">
        <v>283</v>
      </c>
      <c r="F283" s="2">
        <v>1.226</v>
      </c>
    </row>
    <row r="284" spans="1:6" x14ac:dyDescent="0.25">
      <c r="A284" s="1">
        <v>19038</v>
      </c>
      <c r="B284" s="2">
        <v>19</v>
      </c>
      <c r="C284" s="2">
        <v>19</v>
      </c>
      <c r="D284" s="2">
        <v>458.16</v>
      </c>
      <c r="E284" s="2" t="s">
        <v>284</v>
      </c>
      <c r="F284" s="2">
        <v>458.16</v>
      </c>
    </row>
    <row r="285" spans="1:6" x14ac:dyDescent="0.25">
      <c r="A285" s="1">
        <v>19039</v>
      </c>
      <c r="B285" s="2">
        <v>20</v>
      </c>
      <c r="C285" s="2">
        <v>19</v>
      </c>
      <c r="D285" s="2" t="s">
        <v>3</v>
      </c>
      <c r="E285" s="2" t="s">
        <v>285</v>
      </c>
      <c r="F285" s="2" t="s">
        <v>3</v>
      </c>
    </row>
    <row r="286" spans="1:6" x14ac:dyDescent="0.25">
      <c r="A286" s="1">
        <v>19040</v>
      </c>
      <c r="B286" s="2">
        <v>21</v>
      </c>
      <c r="C286" s="2">
        <v>19</v>
      </c>
      <c r="D286" s="2">
        <v>3.93838848E+16</v>
      </c>
      <c r="E286" s="2" t="s">
        <v>286</v>
      </c>
      <c r="F286" s="2">
        <v>3.93838848E+16</v>
      </c>
    </row>
    <row r="287" spans="1:6" x14ac:dyDescent="0.25">
      <c r="A287" s="1">
        <v>19041</v>
      </c>
      <c r="B287" s="2">
        <v>22</v>
      </c>
      <c r="C287" s="2">
        <v>19</v>
      </c>
      <c r="D287" s="2" t="s">
        <v>3</v>
      </c>
      <c r="E287" s="2" t="s">
        <v>287</v>
      </c>
      <c r="F287" s="2" t="s">
        <v>3</v>
      </c>
    </row>
    <row r="288" spans="1:6" x14ac:dyDescent="0.25">
      <c r="A288" s="1">
        <v>19042</v>
      </c>
      <c r="B288" s="2">
        <v>23</v>
      </c>
      <c r="C288" s="2">
        <v>19</v>
      </c>
      <c r="D288" s="2">
        <v>44478</v>
      </c>
      <c r="E288" s="2" t="s">
        <v>288</v>
      </c>
      <c r="F288" s="2">
        <v>44478</v>
      </c>
    </row>
    <row r="289" spans="1:6" x14ac:dyDescent="0.25">
      <c r="A289" s="1">
        <v>19043</v>
      </c>
      <c r="B289" s="2">
        <v>24</v>
      </c>
      <c r="C289" s="2">
        <v>19</v>
      </c>
      <c r="D289" s="2">
        <v>80280</v>
      </c>
      <c r="E289" s="2" t="s">
        <v>289</v>
      </c>
      <c r="F289" s="2">
        <v>80280</v>
      </c>
    </row>
    <row r="290" spans="1:6" x14ac:dyDescent="0.25">
      <c r="A290" s="1">
        <v>19044</v>
      </c>
      <c r="B290" s="2">
        <v>25</v>
      </c>
      <c r="C290" s="2">
        <v>19</v>
      </c>
      <c r="D290" s="2">
        <v>1327.8</v>
      </c>
      <c r="E290" s="2" t="s">
        <v>290</v>
      </c>
      <c r="F290" s="2">
        <v>1327.8</v>
      </c>
    </row>
    <row r="291" spans="1:6" x14ac:dyDescent="0.25">
      <c r="A291" s="1">
        <v>19045</v>
      </c>
      <c r="B291" s="2">
        <v>26</v>
      </c>
      <c r="C291" s="2">
        <v>19</v>
      </c>
      <c r="D291" s="2">
        <v>1068.5999999999999</v>
      </c>
      <c r="E291" s="2" t="s">
        <v>291</v>
      </c>
      <c r="F291" s="2">
        <v>1068.5999999999999</v>
      </c>
    </row>
    <row r="292" spans="1:6" x14ac:dyDescent="0.25">
      <c r="A292" s="1">
        <v>19046</v>
      </c>
      <c r="B292" s="2">
        <v>27</v>
      </c>
      <c r="C292" s="2">
        <v>19</v>
      </c>
      <c r="D292" s="2">
        <v>105</v>
      </c>
      <c r="E292" s="2" t="s">
        <v>292</v>
      </c>
      <c r="F292" s="2">
        <v>105</v>
      </c>
    </row>
    <row r="293" spans="1:6" x14ac:dyDescent="0.25">
      <c r="A293" s="1">
        <v>19047</v>
      </c>
      <c r="B293" s="2">
        <v>28</v>
      </c>
      <c r="C293" s="2">
        <v>19</v>
      </c>
      <c r="D293" s="2">
        <v>17.5</v>
      </c>
      <c r="E293" s="2" t="s">
        <v>293</v>
      </c>
      <c r="F293" s="2">
        <v>17.5</v>
      </c>
    </row>
    <row r="294" spans="1:6" x14ac:dyDescent="0.25">
      <c r="A294" s="1">
        <v>19048</v>
      </c>
      <c r="B294" s="2">
        <v>29</v>
      </c>
      <c r="C294" s="2">
        <v>19</v>
      </c>
      <c r="D294" s="2">
        <v>6.83</v>
      </c>
      <c r="E294" s="2" t="s">
        <v>294</v>
      </c>
      <c r="F294" s="2">
        <v>6.83</v>
      </c>
    </row>
    <row r="295" spans="1:6" x14ac:dyDescent="0.25">
      <c r="A295" s="1">
        <v>19049</v>
      </c>
      <c r="B295" s="2">
        <v>30</v>
      </c>
      <c r="C295" s="2">
        <v>19</v>
      </c>
      <c r="D295" s="2">
        <v>1.2629999999999999</v>
      </c>
      <c r="E295" s="2" t="s">
        <v>295</v>
      </c>
      <c r="F295" s="2">
        <v>1.2629999999999999</v>
      </c>
    </row>
    <row r="296" spans="1:6" x14ac:dyDescent="0.25">
      <c r="A296" s="1">
        <v>19050</v>
      </c>
      <c r="B296" s="2">
        <v>31</v>
      </c>
      <c r="C296" s="2">
        <v>19</v>
      </c>
      <c r="D296" s="2">
        <v>0.47199999999999998</v>
      </c>
      <c r="E296" s="2" t="s">
        <v>296</v>
      </c>
      <c r="F296" s="2">
        <v>0.47199999999999998</v>
      </c>
    </row>
    <row r="297" spans="1:6" x14ac:dyDescent="0.25">
      <c r="A297" s="1">
        <v>19051</v>
      </c>
      <c r="B297" s="2">
        <v>32</v>
      </c>
      <c r="C297" s="2">
        <v>19</v>
      </c>
      <c r="D297" s="2">
        <v>0.36499999999999999</v>
      </c>
      <c r="E297" s="2" t="s">
        <v>297</v>
      </c>
      <c r="F297" s="2">
        <v>0.36499999999999999</v>
      </c>
    </row>
    <row r="298" spans="1:6" x14ac:dyDescent="0.25">
      <c r="A298" s="1">
        <v>19052</v>
      </c>
      <c r="B298" s="2">
        <v>33</v>
      </c>
      <c r="C298" s="2">
        <v>19</v>
      </c>
      <c r="D298" s="2">
        <v>0.11</v>
      </c>
      <c r="E298" s="2" t="s">
        <v>298</v>
      </c>
      <c r="F298" s="2">
        <v>0.11</v>
      </c>
    </row>
    <row r="299" spans="1:6" x14ac:dyDescent="0.25">
      <c r="A299" s="1">
        <v>19053</v>
      </c>
      <c r="B299" s="2">
        <v>34</v>
      </c>
      <c r="C299" s="2">
        <v>19</v>
      </c>
      <c r="D299" s="2">
        <v>0.03</v>
      </c>
      <c r="E299" s="2" t="s">
        <v>299</v>
      </c>
      <c r="F299" s="2">
        <v>0.03</v>
      </c>
    </row>
    <row r="300" spans="1:6" x14ac:dyDescent="0.25">
      <c r="A300" s="1">
        <v>19054</v>
      </c>
      <c r="B300" s="2">
        <v>35</v>
      </c>
      <c r="C300" s="2">
        <v>19</v>
      </c>
      <c r="D300" s="2">
        <v>0.01</v>
      </c>
      <c r="E300" s="2" t="s">
        <v>300</v>
      </c>
      <c r="F300" s="2">
        <v>0.01</v>
      </c>
    </row>
    <row r="301" spans="1:6" x14ac:dyDescent="0.25">
      <c r="A301" s="1">
        <v>19055</v>
      </c>
      <c r="B301" s="2">
        <v>36</v>
      </c>
      <c r="C301" s="2">
        <v>19</v>
      </c>
      <c r="D301" s="2">
        <v>3.5999999999999999E-7</v>
      </c>
      <c r="E301" s="2" t="s">
        <v>301</v>
      </c>
      <c r="F301" s="2">
        <v>3.5999999999999999E-7</v>
      </c>
    </row>
    <row r="302" spans="1:6" x14ac:dyDescent="0.25">
      <c r="A302" s="1">
        <v>19056</v>
      </c>
      <c r="B302" s="2">
        <v>37</v>
      </c>
      <c r="C302" s="2">
        <v>19</v>
      </c>
      <c r="D302" s="2">
        <v>2E-8</v>
      </c>
      <c r="E302" s="2" t="s">
        <v>302</v>
      </c>
      <c r="F302" s="2">
        <v>2E-8</v>
      </c>
    </row>
    <row r="303" spans="1:6" x14ac:dyDescent="0.25">
      <c r="A303" s="1">
        <v>20035</v>
      </c>
      <c r="B303" s="2">
        <v>15</v>
      </c>
      <c r="C303" s="2">
        <v>20</v>
      </c>
      <c r="D303" s="2">
        <v>2.5700000000000001E-2</v>
      </c>
      <c r="E303" s="2" t="s">
        <v>303</v>
      </c>
      <c r="F303" s="2">
        <v>2.5700000000000001E-2</v>
      </c>
    </row>
    <row r="304" spans="1:6" x14ac:dyDescent="0.25">
      <c r="A304" s="1">
        <v>20036</v>
      </c>
      <c r="B304" s="2">
        <v>16</v>
      </c>
      <c r="C304" s="2">
        <v>20</v>
      </c>
      <c r="D304" s="2">
        <v>0.10199999999999999</v>
      </c>
      <c r="E304" s="2" t="s">
        <v>304</v>
      </c>
      <c r="F304" s="2">
        <v>0.10199999999999999</v>
      </c>
    </row>
    <row r="305" spans="1:6" x14ac:dyDescent="0.25">
      <c r="A305" s="1">
        <v>20037</v>
      </c>
      <c r="B305" s="2">
        <v>17</v>
      </c>
      <c r="C305" s="2">
        <v>20</v>
      </c>
      <c r="D305" s="2">
        <v>0.18110000000000001</v>
      </c>
      <c r="E305" s="2" t="s">
        <v>305</v>
      </c>
      <c r="F305" s="2">
        <v>0.18110000000000001</v>
      </c>
    </row>
    <row r="306" spans="1:6" x14ac:dyDescent="0.25">
      <c r="A306" s="1">
        <v>20038</v>
      </c>
      <c r="B306" s="2">
        <v>18</v>
      </c>
      <c r="C306" s="2">
        <v>20</v>
      </c>
      <c r="D306" s="2">
        <v>0.44</v>
      </c>
      <c r="E306" s="2" t="s">
        <v>306</v>
      </c>
      <c r="F306" s="2">
        <v>0.44</v>
      </c>
    </row>
    <row r="307" spans="1:6" x14ac:dyDescent="0.25">
      <c r="A307" s="1">
        <v>20039</v>
      </c>
      <c r="B307" s="2">
        <v>19</v>
      </c>
      <c r="C307" s="2">
        <v>20</v>
      </c>
      <c r="D307" s="2">
        <v>0.85960000000000003</v>
      </c>
      <c r="E307" s="2" t="s">
        <v>307</v>
      </c>
      <c r="F307" s="2">
        <v>0.85960000000000003</v>
      </c>
    </row>
    <row r="308" spans="1:6" x14ac:dyDescent="0.25">
      <c r="A308" s="1">
        <v>20040</v>
      </c>
      <c r="B308" s="2">
        <v>20</v>
      </c>
      <c r="C308" s="2">
        <v>20</v>
      </c>
      <c r="D308" s="2">
        <v>9.4672799999999999E+28</v>
      </c>
      <c r="E308" s="2" t="s">
        <v>308</v>
      </c>
      <c r="F308" s="2">
        <v>9.4672799999999999E+28</v>
      </c>
    </row>
    <row r="309" spans="1:6" x14ac:dyDescent="0.25">
      <c r="A309" s="1">
        <v>20041</v>
      </c>
      <c r="B309" s="2">
        <v>21</v>
      </c>
      <c r="C309" s="2">
        <v>20</v>
      </c>
      <c r="D309" s="2">
        <v>3136825440000</v>
      </c>
      <c r="E309" s="2" t="s">
        <v>309</v>
      </c>
      <c r="F309" s="2">
        <v>3136825440000</v>
      </c>
    </row>
    <row r="310" spans="1:6" x14ac:dyDescent="0.25">
      <c r="A310" s="1">
        <v>20042</v>
      </c>
      <c r="B310" s="2">
        <v>22</v>
      </c>
      <c r="C310" s="2">
        <v>20</v>
      </c>
      <c r="D310" s="2" t="s">
        <v>3</v>
      </c>
      <c r="E310" s="2" t="s">
        <v>310</v>
      </c>
      <c r="F310" s="2" t="s">
        <v>3</v>
      </c>
    </row>
    <row r="311" spans="1:6" x14ac:dyDescent="0.25">
      <c r="A311" s="1">
        <v>20043</v>
      </c>
      <c r="B311" s="2">
        <v>23</v>
      </c>
      <c r="C311" s="2">
        <v>20</v>
      </c>
      <c r="D311" s="2" t="s">
        <v>3</v>
      </c>
      <c r="E311" s="2" t="s">
        <v>311</v>
      </c>
      <c r="F311" s="2" t="s">
        <v>3</v>
      </c>
    </row>
    <row r="312" spans="1:6" x14ac:dyDescent="0.25">
      <c r="A312" s="1">
        <v>20044</v>
      </c>
      <c r="B312" s="2">
        <v>24</v>
      </c>
      <c r="C312" s="2">
        <v>20</v>
      </c>
      <c r="D312" s="2" t="s">
        <v>3</v>
      </c>
      <c r="E312" s="2" t="s">
        <v>312</v>
      </c>
      <c r="F312" s="2" t="s">
        <v>3</v>
      </c>
    </row>
    <row r="313" spans="1:6" x14ac:dyDescent="0.25">
      <c r="A313" s="1">
        <v>20045</v>
      </c>
      <c r="B313" s="2">
        <v>25</v>
      </c>
      <c r="C313" s="2">
        <v>20</v>
      </c>
      <c r="D313" s="2">
        <v>14049504</v>
      </c>
      <c r="E313" s="2" t="s">
        <v>313</v>
      </c>
      <c r="F313" s="2">
        <v>14049504</v>
      </c>
    </row>
    <row r="314" spans="1:6" x14ac:dyDescent="0.25">
      <c r="A314" s="1">
        <v>20046</v>
      </c>
      <c r="B314" s="2">
        <v>26</v>
      </c>
      <c r="C314" s="2">
        <v>20</v>
      </c>
      <c r="D314" s="2">
        <v>8.8361279999999998E+22</v>
      </c>
      <c r="E314" s="2" t="s">
        <v>314</v>
      </c>
      <c r="F314" s="2">
        <v>8.8361279999999998E+22</v>
      </c>
    </row>
    <row r="315" spans="1:6" x14ac:dyDescent="0.25">
      <c r="A315" s="1">
        <v>20047</v>
      </c>
      <c r="B315" s="2">
        <v>27</v>
      </c>
      <c r="C315" s="2">
        <v>20</v>
      </c>
      <c r="D315" s="2">
        <v>391910.39999999898</v>
      </c>
      <c r="E315" s="2" t="s">
        <v>315</v>
      </c>
      <c r="F315" s="2">
        <v>391910.39999999898</v>
      </c>
    </row>
    <row r="316" spans="1:6" x14ac:dyDescent="0.25">
      <c r="A316" s="1">
        <v>20048</v>
      </c>
      <c r="B316" s="2">
        <v>28</v>
      </c>
      <c r="C316" s="2">
        <v>20</v>
      </c>
      <c r="D316" s="2">
        <v>1.8303407999999899E+30</v>
      </c>
      <c r="E316" s="2" t="s">
        <v>316</v>
      </c>
      <c r="F316" s="2">
        <v>1.8303407999999899E+30</v>
      </c>
    </row>
    <row r="317" spans="1:6" x14ac:dyDescent="0.25">
      <c r="A317" s="1">
        <v>20049</v>
      </c>
      <c r="B317" s="2">
        <v>29</v>
      </c>
      <c r="C317" s="2">
        <v>20</v>
      </c>
      <c r="D317" s="2">
        <v>523.08000000000004</v>
      </c>
      <c r="E317" s="2" t="s">
        <v>317</v>
      </c>
      <c r="F317" s="2">
        <v>523.08000000000004</v>
      </c>
    </row>
    <row r="318" spans="1:6" x14ac:dyDescent="0.25">
      <c r="A318" s="1">
        <v>20050</v>
      </c>
      <c r="B318" s="2">
        <v>30</v>
      </c>
      <c r="C318" s="2">
        <v>20</v>
      </c>
      <c r="D318" s="2">
        <v>13.9</v>
      </c>
      <c r="E318" s="2" t="s">
        <v>318</v>
      </c>
      <c r="F318" s="2">
        <v>13.9</v>
      </c>
    </row>
    <row r="319" spans="1:6" x14ac:dyDescent="0.25">
      <c r="A319" s="1">
        <v>20051</v>
      </c>
      <c r="B319" s="2">
        <v>31</v>
      </c>
      <c r="C319" s="2">
        <v>20</v>
      </c>
      <c r="D319" s="2">
        <v>10</v>
      </c>
      <c r="E319" s="2" t="s">
        <v>319</v>
      </c>
      <c r="F319" s="2">
        <v>10</v>
      </c>
    </row>
    <row r="320" spans="1:6" x14ac:dyDescent="0.25">
      <c r="A320" s="1">
        <v>20052</v>
      </c>
      <c r="B320" s="2">
        <v>32</v>
      </c>
      <c r="C320" s="2">
        <v>20</v>
      </c>
      <c r="D320" s="2">
        <v>4.5999999999999996</v>
      </c>
      <c r="E320" s="2" t="s">
        <v>320</v>
      </c>
      <c r="F320" s="2">
        <v>4.5999999999999996</v>
      </c>
    </row>
    <row r="321" spans="1:6" x14ac:dyDescent="0.25">
      <c r="A321" s="1">
        <v>20053</v>
      </c>
      <c r="B321" s="2">
        <v>33</v>
      </c>
      <c r="C321" s="2">
        <v>20</v>
      </c>
      <c r="D321" s="2">
        <v>0.46100000000000002</v>
      </c>
      <c r="E321" s="2" t="s">
        <v>321</v>
      </c>
      <c r="F321" s="2">
        <v>0.46100000000000002</v>
      </c>
    </row>
    <row r="322" spans="1:6" x14ac:dyDescent="0.25">
      <c r="A322" s="1">
        <v>20054</v>
      </c>
      <c r="B322" s="2">
        <v>34</v>
      </c>
      <c r="C322" s="2">
        <v>20</v>
      </c>
      <c r="D322" s="2">
        <v>0.107</v>
      </c>
      <c r="E322" s="2" t="s">
        <v>322</v>
      </c>
      <c r="F322" s="2">
        <v>0.107</v>
      </c>
    </row>
    <row r="323" spans="1:6" x14ac:dyDescent="0.25">
      <c r="A323" s="1">
        <v>20055</v>
      </c>
      <c r="B323" s="2">
        <v>35</v>
      </c>
      <c r="C323" s="2">
        <v>20</v>
      </c>
      <c r="D323" s="2">
        <v>2.1999999999999999E-2</v>
      </c>
      <c r="E323" s="2" t="s">
        <v>323</v>
      </c>
      <c r="F323" s="2">
        <v>2.1999999999999999E-2</v>
      </c>
    </row>
    <row r="324" spans="1:6" x14ac:dyDescent="0.25">
      <c r="A324" s="1">
        <v>20056</v>
      </c>
      <c r="B324" s="2">
        <v>36</v>
      </c>
      <c r="C324" s="2">
        <v>20</v>
      </c>
      <c r="D324" s="2">
        <v>1.0999999999999999E-2</v>
      </c>
      <c r="E324" s="2" t="s">
        <v>324</v>
      </c>
      <c r="F324" s="2">
        <v>1.0999999999999999E-2</v>
      </c>
    </row>
    <row r="325" spans="1:6" x14ac:dyDescent="0.25">
      <c r="A325" s="1">
        <v>20057</v>
      </c>
      <c r="B325" s="2">
        <v>37</v>
      </c>
      <c r="C325" s="2">
        <v>20</v>
      </c>
      <c r="D325" s="2">
        <v>6.1999999999999999E-7</v>
      </c>
      <c r="E325" s="2" t="s">
        <v>325</v>
      </c>
      <c r="F325" s="2">
        <v>6.1999999999999999E-7</v>
      </c>
    </row>
    <row r="326" spans="1:6" x14ac:dyDescent="0.25">
      <c r="A326" s="1">
        <v>20058</v>
      </c>
      <c r="B326" s="2">
        <v>38</v>
      </c>
      <c r="C326" s="2">
        <v>20</v>
      </c>
      <c r="D326" s="2">
        <v>6.1999999999999999E-7</v>
      </c>
      <c r="E326" s="2" t="s">
        <v>326</v>
      </c>
      <c r="F326" s="2">
        <v>6.1999999999999999E-7</v>
      </c>
    </row>
    <row r="327" spans="1:6" x14ac:dyDescent="0.25">
      <c r="A327" s="1">
        <v>21040</v>
      </c>
      <c r="B327" s="2">
        <v>19</v>
      </c>
      <c r="C327" s="2">
        <v>21</v>
      </c>
      <c r="D327" s="2">
        <v>0.18229999999999999</v>
      </c>
      <c r="E327" s="2" t="s">
        <v>327</v>
      </c>
      <c r="F327" s="2">
        <v>0.18229999999999999</v>
      </c>
    </row>
    <row r="328" spans="1:6" x14ac:dyDescent="0.25">
      <c r="A328" s="1">
        <v>21041</v>
      </c>
      <c r="B328" s="2">
        <v>20</v>
      </c>
      <c r="C328" s="2">
        <v>21</v>
      </c>
      <c r="D328" s="2">
        <v>0.59629999999999905</v>
      </c>
      <c r="E328" s="2" t="s">
        <v>328</v>
      </c>
      <c r="F328" s="2">
        <v>0.59629999999999905</v>
      </c>
    </row>
    <row r="329" spans="1:6" x14ac:dyDescent="0.25">
      <c r="A329" s="1">
        <v>21042</v>
      </c>
      <c r="B329" s="2">
        <v>21</v>
      </c>
      <c r="C329" s="2">
        <v>21</v>
      </c>
      <c r="D329" s="2">
        <v>0.68069999999999997</v>
      </c>
      <c r="E329" s="2" t="s">
        <v>329</v>
      </c>
      <c r="F329" s="2">
        <v>0.68069999999999997</v>
      </c>
    </row>
    <row r="330" spans="1:6" x14ac:dyDescent="0.25">
      <c r="A330" s="1">
        <v>21043</v>
      </c>
      <c r="B330" s="2">
        <v>22</v>
      </c>
      <c r="C330" s="2">
        <v>21</v>
      </c>
      <c r="D330" s="2">
        <v>14007.6</v>
      </c>
      <c r="E330" s="2" t="s">
        <v>330</v>
      </c>
      <c r="F330" s="2">
        <v>14007.6</v>
      </c>
    </row>
    <row r="331" spans="1:6" x14ac:dyDescent="0.25">
      <c r="A331" s="1">
        <v>21044</v>
      </c>
      <c r="B331" s="2">
        <v>23</v>
      </c>
      <c r="C331" s="2">
        <v>21</v>
      </c>
      <c r="D331" s="2">
        <v>14292</v>
      </c>
      <c r="E331" s="2" t="s">
        <v>331</v>
      </c>
      <c r="F331" s="2">
        <v>14292</v>
      </c>
    </row>
    <row r="332" spans="1:6" x14ac:dyDescent="0.25">
      <c r="A332" s="1">
        <v>21045</v>
      </c>
      <c r="B332" s="2">
        <v>24</v>
      </c>
      <c r="C332" s="2">
        <v>21</v>
      </c>
      <c r="D332" s="2" t="s">
        <v>3</v>
      </c>
      <c r="E332" s="2" t="s">
        <v>332</v>
      </c>
      <c r="F332" s="2" t="s">
        <v>3</v>
      </c>
    </row>
    <row r="333" spans="1:6" x14ac:dyDescent="0.25">
      <c r="A333" s="1">
        <v>21046</v>
      </c>
      <c r="B333" s="2">
        <v>25</v>
      </c>
      <c r="C333" s="2">
        <v>21</v>
      </c>
      <c r="D333" s="2">
        <v>7239456</v>
      </c>
      <c r="E333" s="2" t="s">
        <v>333</v>
      </c>
      <c r="F333" s="2">
        <v>7239456</v>
      </c>
    </row>
    <row r="334" spans="1:6" x14ac:dyDescent="0.25">
      <c r="A334" s="1">
        <v>21047</v>
      </c>
      <c r="B334" s="2">
        <v>26</v>
      </c>
      <c r="C334" s="2">
        <v>21</v>
      </c>
      <c r="D334" s="2">
        <v>289370.88</v>
      </c>
      <c r="E334" s="2" t="s">
        <v>334</v>
      </c>
      <c r="F334" s="2">
        <v>289370.88</v>
      </c>
    </row>
    <row r="335" spans="1:6" x14ac:dyDescent="0.25">
      <c r="A335" s="1">
        <v>21048</v>
      </c>
      <c r="B335" s="2">
        <v>27</v>
      </c>
      <c r="C335" s="2">
        <v>21</v>
      </c>
      <c r="D335" s="2">
        <v>157212</v>
      </c>
      <c r="E335" s="2" t="s">
        <v>335</v>
      </c>
      <c r="F335" s="2">
        <v>157212</v>
      </c>
    </row>
    <row r="336" spans="1:6" x14ac:dyDescent="0.25">
      <c r="A336" s="1">
        <v>21049</v>
      </c>
      <c r="B336" s="2">
        <v>28</v>
      </c>
      <c r="C336" s="2">
        <v>21</v>
      </c>
      <c r="D336" s="2">
        <v>3430.8</v>
      </c>
      <c r="E336" s="2" t="s">
        <v>336</v>
      </c>
      <c r="F336" s="2">
        <v>3430.8</v>
      </c>
    </row>
    <row r="337" spans="1:6" x14ac:dyDescent="0.25">
      <c r="A337" s="1">
        <v>21050</v>
      </c>
      <c r="B337" s="2">
        <v>29</v>
      </c>
      <c r="C337" s="2">
        <v>21</v>
      </c>
      <c r="D337" s="2">
        <v>102.5</v>
      </c>
      <c r="E337" s="2" t="s">
        <v>337</v>
      </c>
      <c r="F337" s="2">
        <v>102.5</v>
      </c>
    </row>
    <row r="338" spans="1:6" x14ac:dyDescent="0.25">
      <c r="A338" s="1">
        <v>21051</v>
      </c>
      <c r="B338" s="2">
        <v>30</v>
      </c>
      <c r="C338" s="2">
        <v>21</v>
      </c>
      <c r="D338" s="2">
        <v>12.4</v>
      </c>
      <c r="E338" s="2" t="s">
        <v>338</v>
      </c>
      <c r="F338" s="2">
        <v>12.4</v>
      </c>
    </row>
    <row r="339" spans="1:6" x14ac:dyDescent="0.25">
      <c r="A339" s="1">
        <v>21052</v>
      </c>
      <c r="B339" s="2">
        <v>31</v>
      </c>
      <c r="C339" s="2">
        <v>21</v>
      </c>
      <c r="D339" s="2">
        <v>0.2</v>
      </c>
      <c r="E339" s="2" t="s">
        <v>339</v>
      </c>
      <c r="F339" s="2">
        <v>0.2</v>
      </c>
    </row>
    <row r="340" spans="1:6" x14ac:dyDescent="0.25">
      <c r="A340" s="1">
        <v>21053</v>
      </c>
      <c r="B340" s="2">
        <v>32</v>
      </c>
      <c r="C340" s="2">
        <v>21</v>
      </c>
      <c r="D340" s="2">
        <v>2.4</v>
      </c>
      <c r="E340" s="2" t="s">
        <v>340</v>
      </c>
      <c r="F340" s="2">
        <v>2.4</v>
      </c>
    </row>
    <row r="341" spans="1:6" x14ac:dyDescent="0.25">
      <c r="A341" s="1">
        <v>21054</v>
      </c>
      <c r="B341" s="2">
        <v>33</v>
      </c>
      <c r="C341" s="2">
        <v>21</v>
      </c>
      <c r="D341" s="2">
        <v>0.52600000000000002</v>
      </c>
      <c r="E341" s="2" t="s">
        <v>341</v>
      </c>
      <c r="F341" s="2">
        <v>0.52600000000000002</v>
      </c>
    </row>
    <row r="342" spans="1:6" x14ac:dyDescent="0.25">
      <c r="A342" s="1">
        <v>21055</v>
      </c>
      <c r="B342" s="2">
        <v>34</v>
      </c>
      <c r="C342" s="2">
        <v>21</v>
      </c>
      <c r="D342" s="2">
        <v>9.6000000000000002E-2</v>
      </c>
      <c r="E342" s="2" t="s">
        <v>342</v>
      </c>
      <c r="F342" s="2">
        <v>9.6000000000000002E-2</v>
      </c>
    </row>
    <row r="343" spans="1:6" x14ac:dyDescent="0.25">
      <c r="A343" s="1">
        <v>21056</v>
      </c>
      <c r="B343" s="2">
        <v>35</v>
      </c>
      <c r="C343" s="2">
        <v>21</v>
      </c>
      <c r="D343" s="2">
        <v>3.1E-2</v>
      </c>
      <c r="E343" s="2" t="s">
        <v>343</v>
      </c>
      <c r="F343" s="2">
        <v>3.1E-2</v>
      </c>
    </row>
    <row r="344" spans="1:6" x14ac:dyDescent="0.25">
      <c r="A344" s="1">
        <v>21057</v>
      </c>
      <c r="B344" s="2">
        <v>36</v>
      </c>
      <c r="C344" s="2">
        <v>21</v>
      </c>
      <c r="D344" s="2">
        <v>2E-3</v>
      </c>
      <c r="E344" s="2" t="s">
        <v>344</v>
      </c>
      <c r="F344" s="2">
        <v>2E-3</v>
      </c>
    </row>
    <row r="345" spans="1:6" x14ac:dyDescent="0.25">
      <c r="A345" s="1">
        <v>21058</v>
      </c>
      <c r="B345" s="2">
        <v>37</v>
      </c>
      <c r="C345" s="2">
        <v>21</v>
      </c>
      <c r="D345" s="2">
        <v>1.2E-2</v>
      </c>
      <c r="E345" s="2" t="s">
        <v>345</v>
      </c>
      <c r="F345" s="2">
        <v>1.2E-2</v>
      </c>
    </row>
    <row r="346" spans="1:6" x14ac:dyDescent="0.25">
      <c r="A346" s="1">
        <v>21059</v>
      </c>
      <c r="B346" s="2">
        <v>38</v>
      </c>
      <c r="C346" s="2">
        <v>21</v>
      </c>
      <c r="D346" s="2">
        <v>3.5999999999999999E-7</v>
      </c>
      <c r="E346" s="2" t="s">
        <v>346</v>
      </c>
      <c r="F346" s="2">
        <v>3.5999999999999999E-7</v>
      </c>
    </row>
    <row r="347" spans="1:6" x14ac:dyDescent="0.25">
      <c r="A347" s="1">
        <v>21060</v>
      </c>
      <c r="B347" s="2">
        <v>39</v>
      </c>
      <c r="C347" s="2">
        <v>21</v>
      </c>
      <c r="D347" s="2">
        <v>3.5999999999999999E-7</v>
      </c>
      <c r="E347" s="2" t="s">
        <v>347</v>
      </c>
      <c r="F347" s="2">
        <v>3.5999999999999999E-7</v>
      </c>
    </row>
    <row r="348" spans="1:6" x14ac:dyDescent="0.25">
      <c r="A348" s="1">
        <v>21061</v>
      </c>
      <c r="B348" s="2">
        <v>40</v>
      </c>
      <c r="C348" s="2">
        <v>21</v>
      </c>
      <c r="D348" s="2">
        <v>3.5999999999999999E-7</v>
      </c>
      <c r="E348" s="2" t="s">
        <v>348</v>
      </c>
      <c r="F348" s="2">
        <v>3.5999999999999999E-7</v>
      </c>
    </row>
    <row r="349" spans="1:6" x14ac:dyDescent="0.25">
      <c r="A349" s="1">
        <v>22039</v>
      </c>
      <c r="B349" s="2">
        <v>17</v>
      </c>
      <c r="C349" s="2">
        <v>22</v>
      </c>
      <c r="D349" s="2">
        <v>3.1E-2</v>
      </c>
      <c r="E349" s="2" t="s">
        <v>349</v>
      </c>
      <c r="F349" s="2">
        <v>3.1E-2</v>
      </c>
    </row>
    <row r="350" spans="1:6" x14ac:dyDescent="0.25">
      <c r="A350" s="1">
        <v>22040</v>
      </c>
      <c r="B350" s="2">
        <v>18</v>
      </c>
      <c r="C350" s="2">
        <v>22</v>
      </c>
      <c r="D350" s="2">
        <v>5.2400000000000002E-2</v>
      </c>
      <c r="E350" s="2" t="s">
        <v>350</v>
      </c>
      <c r="F350" s="2">
        <v>5.2400000000000002E-2</v>
      </c>
    </row>
    <row r="351" spans="1:6" x14ac:dyDescent="0.25">
      <c r="A351" s="1">
        <v>22041</v>
      </c>
      <c r="B351" s="2">
        <v>19</v>
      </c>
      <c r="C351" s="2">
        <v>22</v>
      </c>
      <c r="D351" s="2">
        <v>8.1900000000000001E-2</v>
      </c>
      <c r="E351" s="2" t="s">
        <v>351</v>
      </c>
      <c r="F351" s="2">
        <v>8.1900000000000001E-2</v>
      </c>
    </row>
    <row r="352" spans="1:6" x14ac:dyDescent="0.25">
      <c r="A352" s="1">
        <v>22042</v>
      </c>
      <c r="B352" s="2">
        <v>20</v>
      </c>
      <c r="C352" s="2">
        <v>22</v>
      </c>
      <c r="D352" s="2">
        <v>0.20865</v>
      </c>
      <c r="E352" s="2" t="s">
        <v>352</v>
      </c>
      <c r="F352" s="2">
        <v>0.20865</v>
      </c>
    </row>
    <row r="353" spans="1:6" x14ac:dyDescent="0.25">
      <c r="A353" s="1">
        <v>22043</v>
      </c>
      <c r="B353" s="2">
        <v>21</v>
      </c>
      <c r="C353" s="2">
        <v>22</v>
      </c>
      <c r="D353" s="2">
        <v>0.50900000000000001</v>
      </c>
      <c r="E353" s="2" t="s">
        <v>353</v>
      </c>
      <c r="F353" s="2">
        <v>0.50900000000000001</v>
      </c>
    </row>
    <row r="354" spans="1:6" x14ac:dyDescent="0.25">
      <c r="A354" s="1">
        <v>22044</v>
      </c>
      <c r="B354" s="2">
        <v>22</v>
      </c>
      <c r="C354" s="2">
        <v>22</v>
      </c>
      <c r="D354" s="2">
        <v>1893456000</v>
      </c>
      <c r="E354" s="2" t="s">
        <v>354</v>
      </c>
      <c r="F354" s="2">
        <v>1893456000</v>
      </c>
    </row>
    <row r="355" spans="1:6" x14ac:dyDescent="0.25">
      <c r="A355" s="1">
        <v>22045</v>
      </c>
      <c r="B355" s="2">
        <v>23</v>
      </c>
      <c r="C355" s="2">
        <v>22</v>
      </c>
      <c r="D355" s="2">
        <v>11088</v>
      </c>
      <c r="E355" s="2" t="s">
        <v>355</v>
      </c>
      <c r="F355" s="2">
        <v>11088</v>
      </c>
    </row>
    <row r="356" spans="1:6" x14ac:dyDescent="0.25">
      <c r="A356" s="1">
        <v>22046</v>
      </c>
      <c r="B356" s="2">
        <v>24</v>
      </c>
      <c r="C356" s="2">
        <v>22</v>
      </c>
      <c r="D356" s="2" t="s">
        <v>3</v>
      </c>
      <c r="E356" s="2" t="s">
        <v>356</v>
      </c>
      <c r="F356" s="2" t="s">
        <v>3</v>
      </c>
    </row>
    <row r="357" spans="1:6" x14ac:dyDescent="0.25">
      <c r="A357" s="1">
        <v>22047</v>
      </c>
      <c r="B357" s="2">
        <v>25</v>
      </c>
      <c r="C357" s="2">
        <v>22</v>
      </c>
      <c r="D357" s="2" t="s">
        <v>3</v>
      </c>
      <c r="E357" s="2" t="s">
        <v>357</v>
      </c>
      <c r="F357" s="2" t="s">
        <v>3</v>
      </c>
    </row>
    <row r="358" spans="1:6" x14ac:dyDescent="0.25">
      <c r="A358" s="1">
        <v>22048</v>
      </c>
      <c r="B358" s="2">
        <v>26</v>
      </c>
      <c r="C358" s="2">
        <v>22</v>
      </c>
      <c r="D358" s="2" t="s">
        <v>3</v>
      </c>
      <c r="E358" s="2" t="s">
        <v>358</v>
      </c>
      <c r="F358" s="2" t="s">
        <v>3</v>
      </c>
    </row>
    <row r="359" spans="1:6" x14ac:dyDescent="0.25">
      <c r="A359" s="1">
        <v>22049</v>
      </c>
      <c r="B359" s="2">
        <v>27</v>
      </c>
      <c r="C359" s="2">
        <v>22</v>
      </c>
      <c r="D359" s="2" t="s">
        <v>3</v>
      </c>
      <c r="E359" s="2" t="s">
        <v>359</v>
      </c>
      <c r="F359" s="2" t="s">
        <v>3</v>
      </c>
    </row>
    <row r="360" spans="1:6" x14ac:dyDescent="0.25">
      <c r="A360" s="1">
        <v>22050</v>
      </c>
      <c r="B360" s="2">
        <v>28</v>
      </c>
      <c r="C360" s="2">
        <v>22</v>
      </c>
      <c r="D360" s="2" t="s">
        <v>3</v>
      </c>
      <c r="E360" s="2" t="s">
        <v>360</v>
      </c>
      <c r="F360" s="2" t="s">
        <v>3</v>
      </c>
    </row>
    <row r="361" spans="1:6" x14ac:dyDescent="0.25">
      <c r="A361" s="1">
        <v>22051</v>
      </c>
      <c r="B361" s="2">
        <v>29</v>
      </c>
      <c r="C361" s="2">
        <v>22</v>
      </c>
      <c r="D361" s="2">
        <v>345.599999999999</v>
      </c>
      <c r="E361" s="2" t="s">
        <v>361</v>
      </c>
      <c r="F361" s="2">
        <v>345.599999999999</v>
      </c>
    </row>
    <row r="362" spans="1:6" x14ac:dyDescent="0.25">
      <c r="A362" s="1">
        <v>22052</v>
      </c>
      <c r="B362" s="2">
        <v>30</v>
      </c>
      <c r="C362" s="2">
        <v>22</v>
      </c>
      <c r="D362" s="2">
        <v>102</v>
      </c>
      <c r="E362" s="2" t="s">
        <v>362</v>
      </c>
      <c r="F362" s="2">
        <v>102</v>
      </c>
    </row>
    <row r="363" spans="1:6" x14ac:dyDescent="0.25">
      <c r="A363" s="1">
        <v>22053</v>
      </c>
      <c r="B363" s="2">
        <v>31</v>
      </c>
      <c r="C363" s="2">
        <v>22</v>
      </c>
      <c r="D363" s="2">
        <v>32.700000000000003</v>
      </c>
      <c r="E363" s="2" t="s">
        <v>363</v>
      </c>
      <c r="F363" s="2">
        <v>32.700000000000003</v>
      </c>
    </row>
    <row r="364" spans="1:6" x14ac:dyDescent="0.25">
      <c r="A364" s="1">
        <v>22054</v>
      </c>
      <c r="B364" s="2">
        <v>32</v>
      </c>
      <c r="C364" s="2">
        <v>22</v>
      </c>
      <c r="D364" s="2">
        <v>2.1</v>
      </c>
      <c r="E364" s="2" t="s">
        <v>364</v>
      </c>
      <c r="F364" s="2">
        <v>2.1</v>
      </c>
    </row>
    <row r="365" spans="1:6" x14ac:dyDescent="0.25">
      <c r="A365" s="1">
        <v>22055</v>
      </c>
      <c r="B365" s="2">
        <v>33</v>
      </c>
      <c r="C365" s="2">
        <v>22</v>
      </c>
      <c r="D365" s="2">
        <v>1.3</v>
      </c>
      <c r="E365" s="2" t="s">
        <v>365</v>
      </c>
      <c r="F365" s="2">
        <v>1.3</v>
      </c>
    </row>
    <row r="366" spans="1:6" x14ac:dyDescent="0.25">
      <c r="A366" s="1">
        <v>22056</v>
      </c>
      <c r="B366" s="2">
        <v>34</v>
      </c>
      <c r="C366" s="2">
        <v>22</v>
      </c>
      <c r="D366" s="2">
        <v>0.2</v>
      </c>
      <c r="E366" s="2" t="s">
        <v>366</v>
      </c>
      <c r="F366" s="2">
        <v>0.2</v>
      </c>
    </row>
    <row r="367" spans="1:6" x14ac:dyDescent="0.25">
      <c r="A367" s="1">
        <v>22057</v>
      </c>
      <c r="B367" s="2">
        <v>35</v>
      </c>
      <c r="C367" s="2">
        <v>22</v>
      </c>
      <c r="D367" s="2">
        <v>9.8000000000000004E-2</v>
      </c>
      <c r="E367" s="2" t="s">
        <v>367</v>
      </c>
      <c r="F367" s="2">
        <v>9.8000000000000004E-2</v>
      </c>
    </row>
    <row r="368" spans="1:6" x14ac:dyDescent="0.25">
      <c r="A368" s="1">
        <v>22058</v>
      </c>
      <c r="B368" s="2">
        <v>36</v>
      </c>
      <c r="C368" s="2">
        <v>22</v>
      </c>
      <c r="D368" s="2">
        <v>5.8000000000000003E-2</v>
      </c>
      <c r="E368" s="2" t="s">
        <v>368</v>
      </c>
      <c r="F368" s="2">
        <v>5.8000000000000003E-2</v>
      </c>
    </row>
    <row r="369" spans="1:6" x14ac:dyDescent="0.25">
      <c r="A369" s="1">
        <v>22059</v>
      </c>
      <c r="B369" s="2">
        <v>37</v>
      </c>
      <c r="C369" s="2">
        <v>22</v>
      </c>
      <c r="D369" s="2">
        <v>2.8500000000000001E-2</v>
      </c>
      <c r="E369" s="2" t="s">
        <v>369</v>
      </c>
      <c r="F369" s="2">
        <v>2.8500000000000001E-2</v>
      </c>
    </row>
    <row r="370" spans="1:6" x14ac:dyDescent="0.25">
      <c r="A370" s="1">
        <v>22060</v>
      </c>
      <c r="B370" s="2">
        <v>38</v>
      </c>
      <c r="C370" s="2">
        <v>22</v>
      </c>
      <c r="D370" s="2">
        <v>2.2200000000000001E-2</v>
      </c>
      <c r="E370" s="2" t="s">
        <v>370</v>
      </c>
      <c r="F370" s="2">
        <v>2.2200000000000001E-2</v>
      </c>
    </row>
    <row r="371" spans="1:6" x14ac:dyDescent="0.25">
      <c r="A371" s="1">
        <v>22061</v>
      </c>
      <c r="B371" s="2">
        <v>39</v>
      </c>
      <c r="C371" s="2">
        <v>22</v>
      </c>
      <c r="D371" s="2">
        <v>1.4999999999999999E-2</v>
      </c>
      <c r="E371" s="2" t="s">
        <v>371</v>
      </c>
      <c r="F371" s="2">
        <v>1.4999999999999999E-2</v>
      </c>
    </row>
    <row r="372" spans="1:6" x14ac:dyDescent="0.25">
      <c r="A372" s="1">
        <v>22062</v>
      </c>
      <c r="B372" s="2">
        <v>40</v>
      </c>
      <c r="C372" s="2">
        <v>22</v>
      </c>
      <c r="D372" s="2">
        <v>6.1999999999999999E-7</v>
      </c>
      <c r="E372" s="2" t="s">
        <v>372</v>
      </c>
      <c r="F372" s="2">
        <v>6.1999999999999999E-7</v>
      </c>
    </row>
    <row r="373" spans="1:6" x14ac:dyDescent="0.25">
      <c r="A373" s="1">
        <v>22063</v>
      </c>
      <c r="B373" s="2">
        <v>41</v>
      </c>
      <c r="C373" s="2">
        <v>22</v>
      </c>
      <c r="D373" s="2">
        <v>3.5999999999999999E-7</v>
      </c>
      <c r="E373" s="2" t="s">
        <v>373</v>
      </c>
      <c r="F373" s="2">
        <v>3.5999999999999999E-7</v>
      </c>
    </row>
    <row r="374" spans="1:6" x14ac:dyDescent="0.25">
      <c r="A374" s="1">
        <v>23043</v>
      </c>
      <c r="B374" s="2">
        <v>20</v>
      </c>
      <c r="C374" s="2">
        <v>23</v>
      </c>
      <c r="D374" s="2">
        <v>7.9299999999999995E-2</v>
      </c>
      <c r="E374" s="2" t="s">
        <v>374</v>
      </c>
      <c r="F374" s="2">
        <v>7.9299999999999995E-2</v>
      </c>
    </row>
    <row r="375" spans="1:6" x14ac:dyDescent="0.25">
      <c r="A375" s="1">
        <v>23044</v>
      </c>
      <c r="B375" s="2">
        <v>21</v>
      </c>
      <c r="C375" s="2">
        <v>23</v>
      </c>
      <c r="D375" s="2">
        <v>0.111</v>
      </c>
      <c r="E375" s="2" t="s">
        <v>375</v>
      </c>
      <c r="F375" s="2">
        <v>0.111</v>
      </c>
    </row>
    <row r="376" spans="1:6" x14ac:dyDescent="0.25">
      <c r="A376" s="1">
        <v>23045</v>
      </c>
      <c r="B376" s="2">
        <v>22</v>
      </c>
      <c r="C376" s="2">
        <v>23</v>
      </c>
      <c r="D376" s="2">
        <v>0.54700000000000004</v>
      </c>
      <c r="E376" s="2" t="s">
        <v>376</v>
      </c>
      <c r="F376" s="2">
        <v>0.54700000000000004</v>
      </c>
    </row>
    <row r="377" spans="1:6" x14ac:dyDescent="0.25">
      <c r="A377" s="1">
        <v>23046</v>
      </c>
      <c r="B377" s="2">
        <v>23</v>
      </c>
      <c r="C377" s="2">
        <v>23</v>
      </c>
      <c r="D377" s="2">
        <v>0.42249999999999999</v>
      </c>
      <c r="E377" s="2" t="s">
        <v>377</v>
      </c>
      <c r="F377" s="2">
        <v>0.42249999999999999</v>
      </c>
    </row>
    <row r="378" spans="1:6" x14ac:dyDescent="0.25">
      <c r="A378" s="1">
        <v>23047</v>
      </c>
      <c r="B378" s="2">
        <v>24</v>
      </c>
      <c r="C378" s="2">
        <v>23</v>
      </c>
      <c r="D378" s="2">
        <v>1956</v>
      </c>
      <c r="E378" s="2" t="s">
        <v>378</v>
      </c>
      <c r="F378" s="2">
        <v>1956</v>
      </c>
    </row>
    <row r="379" spans="1:6" x14ac:dyDescent="0.25">
      <c r="A379" s="1">
        <v>23048</v>
      </c>
      <c r="B379" s="2">
        <v>25</v>
      </c>
      <c r="C379" s="2">
        <v>23</v>
      </c>
      <c r="D379" s="2">
        <v>1380110.4</v>
      </c>
      <c r="E379" s="2" t="s">
        <v>379</v>
      </c>
      <c r="F379" s="2">
        <v>1380110.4</v>
      </c>
    </row>
    <row r="380" spans="1:6" x14ac:dyDescent="0.25">
      <c r="A380" s="1">
        <v>23049</v>
      </c>
      <c r="B380" s="2">
        <v>26</v>
      </c>
      <c r="C380" s="2">
        <v>23</v>
      </c>
      <c r="D380" s="2">
        <v>28512000</v>
      </c>
      <c r="E380" s="2" t="s">
        <v>380</v>
      </c>
      <c r="F380" s="2">
        <v>28512000</v>
      </c>
    </row>
    <row r="381" spans="1:6" x14ac:dyDescent="0.25">
      <c r="A381" s="1">
        <v>23050</v>
      </c>
      <c r="B381" s="2">
        <v>27</v>
      </c>
      <c r="C381" s="2">
        <v>23</v>
      </c>
      <c r="D381" s="2">
        <v>6.6270959999999998E+24</v>
      </c>
      <c r="E381" s="2" t="s">
        <v>381</v>
      </c>
      <c r="F381" s="2">
        <v>6.6270959999999998E+24</v>
      </c>
    </row>
    <row r="382" spans="1:6" x14ac:dyDescent="0.25">
      <c r="A382" s="1">
        <v>23051</v>
      </c>
      <c r="B382" s="2">
        <v>28</v>
      </c>
      <c r="C382" s="2">
        <v>23</v>
      </c>
      <c r="D382" s="2" t="s">
        <v>3</v>
      </c>
      <c r="E382" s="2" t="s">
        <v>382</v>
      </c>
      <c r="F382" s="2" t="s">
        <v>3</v>
      </c>
    </row>
    <row r="383" spans="1:6" x14ac:dyDescent="0.25">
      <c r="A383" s="1">
        <v>23052</v>
      </c>
      <c r="B383" s="2">
        <v>29</v>
      </c>
      <c r="C383" s="2">
        <v>23</v>
      </c>
      <c r="D383" s="2">
        <v>224.57999999999899</v>
      </c>
      <c r="E383" s="2" t="s">
        <v>383</v>
      </c>
      <c r="F383" s="2">
        <v>224.57999999999899</v>
      </c>
    </row>
    <row r="384" spans="1:6" x14ac:dyDescent="0.25">
      <c r="A384" s="1">
        <v>23053</v>
      </c>
      <c r="B384" s="2">
        <v>30</v>
      </c>
      <c r="C384" s="2">
        <v>23</v>
      </c>
      <c r="D384" s="2">
        <v>92.58</v>
      </c>
      <c r="E384" s="2" t="s">
        <v>384</v>
      </c>
      <c r="F384" s="2">
        <v>92.58</v>
      </c>
    </row>
    <row r="385" spans="1:6" x14ac:dyDescent="0.25">
      <c r="A385" s="1">
        <v>23054</v>
      </c>
      <c r="B385" s="2">
        <v>31</v>
      </c>
      <c r="C385" s="2">
        <v>23</v>
      </c>
      <c r="D385" s="2">
        <v>49.8</v>
      </c>
      <c r="E385" s="2" t="s">
        <v>385</v>
      </c>
      <c r="F385" s="2">
        <v>49.8</v>
      </c>
    </row>
    <row r="386" spans="1:6" x14ac:dyDescent="0.25">
      <c r="A386" s="1">
        <v>23055</v>
      </c>
      <c r="B386" s="2">
        <v>32</v>
      </c>
      <c r="C386" s="2">
        <v>23</v>
      </c>
      <c r="D386" s="2">
        <v>6.54</v>
      </c>
      <c r="E386" s="2" t="s">
        <v>386</v>
      </c>
      <c r="F386" s="2">
        <v>6.54</v>
      </c>
    </row>
    <row r="387" spans="1:6" x14ac:dyDescent="0.25">
      <c r="A387" s="1">
        <v>23056</v>
      </c>
      <c r="B387" s="2">
        <v>33</v>
      </c>
      <c r="C387" s="2">
        <v>23</v>
      </c>
      <c r="D387" s="2">
        <v>0.216</v>
      </c>
      <c r="E387" s="2" t="s">
        <v>387</v>
      </c>
      <c r="F387" s="2">
        <v>0.216</v>
      </c>
    </row>
    <row r="388" spans="1:6" x14ac:dyDescent="0.25">
      <c r="A388" s="1">
        <v>23057</v>
      </c>
      <c r="B388" s="2">
        <v>34</v>
      </c>
      <c r="C388" s="2">
        <v>23</v>
      </c>
      <c r="D388" s="2">
        <v>0.34699999999999998</v>
      </c>
      <c r="E388" s="2" t="s">
        <v>388</v>
      </c>
      <c r="F388" s="2">
        <v>0.34699999999999998</v>
      </c>
    </row>
    <row r="389" spans="1:6" x14ac:dyDescent="0.25">
      <c r="A389" s="1">
        <v>23058</v>
      </c>
      <c r="B389" s="2">
        <v>35</v>
      </c>
      <c r="C389" s="2">
        <v>23</v>
      </c>
      <c r="D389" s="2">
        <v>0.19</v>
      </c>
      <c r="E389" s="2" t="s">
        <v>389</v>
      </c>
      <c r="F389" s="2">
        <v>0.19</v>
      </c>
    </row>
    <row r="390" spans="1:6" x14ac:dyDescent="0.25">
      <c r="A390" s="1">
        <v>23059</v>
      </c>
      <c r="B390" s="2">
        <v>36</v>
      </c>
      <c r="C390" s="2">
        <v>23</v>
      </c>
      <c r="D390" s="2">
        <v>9.1999999999999998E-2</v>
      </c>
      <c r="E390" s="2" t="s">
        <v>390</v>
      </c>
      <c r="F390" s="2">
        <v>9.1999999999999998E-2</v>
      </c>
    </row>
    <row r="391" spans="1:6" x14ac:dyDescent="0.25">
      <c r="A391" s="1">
        <v>23060</v>
      </c>
      <c r="B391" s="2">
        <v>37</v>
      </c>
      <c r="C391" s="2">
        <v>23</v>
      </c>
      <c r="D391" s="2">
        <v>0.04</v>
      </c>
      <c r="E391" s="2" t="s">
        <v>391</v>
      </c>
      <c r="F391" s="2">
        <v>0.04</v>
      </c>
    </row>
    <row r="392" spans="1:6" x14ac:dyDescent="0.25">
      <c r="A392" s="1">
        <v>23061</v>
      </c>
      <c r="B392" s="2">
        <v>38</v>
      </c>
      <c r="C392" s="2">
        <v>23</v>
      </c>
      <c r="D392" s="2">
        <v>4.8299999999999899E-2</v>
      </c>
      <c r="E392" s="2" t="s">
        <v>392</v>
      </c>
      <c r="F392" s="2">
        <v>4.8299999999999899E-2</v>
      </c>
    </row>
    <row r="393" spans="1:6" x14ac:dyDescent="0.25">
      <c r="A393" s="1">
        <v>23062</v>
      </c>
      <c r="B393" s="2">
        <v>39</v>
      </c>
      <c r="C393" s="2">
        <v>23</v>
      </c>
      <c r="D393" s="2">
        <v>3.3500000000000002E-2</v>
      </c>
      <c r="E393" s="2" t="s">
        <v>393</v>
      </c>
      <c r="F393" s="2">
        <v>3.3500000000000002E-2</v>
      </c>
    </row>
    <row r="394" spans="1:6" x14ac:dyDescent="0.25">
      <c r="A394" s="1">
        <v>23063</v>
      </c>
      <c r="B394" s="2">
        <v>40</v>
      </c>
      <c r="C394" s="2">
        <v>23</v>
      </c>
      <c r="D394" s="2">
        <v>1.9599999999999999E-2</v>
      </c>
      <c r="E394" s="2" t="s">
        <v>394</v>
      </c>
      <c r="F394" s="2">
        <v>1.9599999999999999E-2</v>
      </c>
    </row>
    <row r="395" spans="1:6" x14ac:dyDescent="0.25">
      <c r="A395" s="1">
        <v>23064</v>
      </c>
      <c r="B395" s="2">
        <v>41</v>
      </c>
      <c r="C395" s="2">
        <v>23</v>
      </c>
      <c r="D395" s="2">
        <v>1.4999999999999999E-2</v>
      </c>
      <c r="E395" s="2" t="s">
        <v>395</v>
      </c>
      <c r="F395" s="2">
        <v>1.4999999999999999E-2</v>
      </c>
    </row>
    <row r="396" spans="1:6" x14ac:dyDescent="0.25">
      <c r="A396" s="1">
        <v>23065</v>
      </c>
      <c r="B396" s="2">
        <v>42</v>
      </c>
      <c r="C396" s="2">
        <v>23</v>
      </c>
      <c r="D396" s="2">
        <v>3.5999999999999999E-7</v>
      </c>
      <c r="E396" s="2" t="s">
        <v>396</v>
      </c>
      <c r="F396" s="2">
        <v>3.5999999999999999E-7</v>
      </c>
    </row>
    <row r="397" spans="1:6" x14ac:dyDescent="0.25">
      <c r="A397" s="1">
        <v>23066</v>
      </c>
      <c r="B397" s="2">
        <v>43</v>
      </c>
      <c r="C397" s="2">
        <v>23</v>
      </c>
      <c r="D397" s="2">
        <v>3.5999999999999999E-7</v>
      </c>
      <c r="E397" s="2" t="s">
        <v>397</v>
      </c>
      <c r="F397" s="2">
        <v>3.5999999999999999E-7</v>
      </c>
    </row>
    <row r="398" spans="1:6" x14ac:dyDescent="0.25">
      <c r="A398" s="1">
        <v>24042</v>
      </c>
      <c r="B398" s="2">
        <v>18</v>
      </c>
      <c r="C398" s="2">
        <v>24</v>
      </c>
      <c r="D398" s="2">
        <v>1.3299999999999999E-2</v>
      </c>
      <c r="E398" s="2" t="s">
        <v>398</v>
      </c>
      <c r="F398" s="2">
        <v>1.3299999999999999E-2</v>
      </c>
    </row>
    <row r="399" spans="1:6" x14ac:dyDescent="0.25">
      <c r="A399" s="1">
        <v>24043</v>
      </c>
      <c r="B399" s="2">
        <v>19</v>
      </c>
      <c r="C399" s="2">
        <v>24</v>
      </c>
      <c r="D399" s="2">
        <v>2.12E-2</v>
      </c>
      <c r="E399" s="2" t="s">
        <v>399</v>
      </c>
      <c r="F399" s="2">
        <v>2.12E-2</v>
      </c>
    </row>
    <row r="400" spans="1:6" x14ac:dyDescent="0.25">
      <c r="A400" s="1">
        <v>24044</v>
      </c>
      <c r="B400" s="2">
        <v>20</v>
      </c>
      <c r="C400" s="2">
        <v>24</v>
      </c>
      <c r="D400" s="2">
        <v>4.2799999999999998E-2</v>
      </c>
      <c r="E400" s="2" t="s">
        <v>400</v>
      </c>
      <c r="F400" s="2">
        <v>4.2799999999999998E-2</v>
      </c>
    </row>
    <row r="401" spans="1:6" x14ac:dyDescent="0.25">
      <c r="A401" s="1">
        <v>24045</v>
      </c>
      <c r="B401" s="2">
        <v>21</v>
      </c>
      <c r="C401" s="2">
        <v>24</v>
      </c>
      <c r="D401" s="2">
        <v>6.0900000000000003E-2</v>
      </c>
      <c r="E401" s="2" t="s">
        <v>401</v>
      </c>
      <c r="F401" s="2">
        <v>6.0900000000000003E-2</v>
      </c>
    </row>
    <row r="402" spans="1:6" x14ac:dyDescent="0.25">
      <c r="A402" s="1">
        <v>24046</v>
      </c>
      <c r="B402" s="2">
        <v>22</v>
      </c>
      <c r="C402" s="2">
        <v>24</v>
      </c>
      <c r="D402" s="2">
        <v>0.26</v>
      </c>
      <c r="E402" s="2" t="s">
        <v>402</v>
      </c>
      <c r="F402" s="2">
        <v>0.26</v>
      </c>
    </row>
    <row r="403" spans="1:6" x14ac:dyDescent="0.25">
      <c r="A403" s="1">
        <v>24047</v>
      </c>
      <c r="B403" s="2">
        <v>23</v>
      </c>
      <c r="C403" s="2">
        <v>24</v>
      </c>
      <c r="D403" s="2">
        <v>0.5</v>
      </c>
      <c r="E403" s="2" t="s">
        <v>403</v>
      </c>
      <c r="F403" s="2">
        <v>0.5</v>
      </c>
    </row>
    <row r="404" spans="1:6" x14ac:dyDescent="0.25">
      <c r="A404" s="1">
        <v>24048</v>
      </c>
      <c r="B404" s="2">
        <v>24</v>
      </c>
      <c r="C404" s="2">
        <v>24</v>
      </c>
      <c r="D404" s="2">
        <v>77616</v>
      </c>
      <c r="E404" s="2" t="s">
        <v>404</v>
      </c>
      <c r="F404" s="2">
        <v>77616</v>
      </c>
    </row>
    <row r="405" spans="1:6" x14ac:dyDescent="0.25">
      <c r="A405" s="1">
        <v>24049</v>
      </c>
      <c r="B405" s="2">
        <v>25</v>
      </c>
      <c r="C405" s="2">
        <v>24</v>
      </c>
      <c r="D405" s="2">
        <v>2538</v>
      </c>
      <c r="E405" s="2" t="s">
        <v>405</v>
      </c>
      <c r="F405" s="2">
        <v>2538</v>
      </c>
    </row>
    <row r="406" spans="1:6" x14ac:dyDescent="0.25">
      <c r="A406" s="1">
        <v>24050</v>
      </c>
      <c r="B406" s="2">
        <v>26</v>
      </c>
      <c r="C406" s="2">
        <v>24</v>
      </c>
      <c r="D406" s="2">
        <v>4.1024880000000004E+25</v>
      </c>
      <c r="E406" s="2" t="s">
        <v>406</v>
      </c>
      <c r="F406" s="2">
        <v>4.1024880000000004E+25</v>
      </c>
    </row>
    <row r="407" spans="1:6" x14ac:dyDescent="0.25">
      <c r="A407" s="1">
        <v>24051</v>
      </c>
      <c r="B407" s="2">
        <v>27</v>
      </c>
      <c r="C407" s="2">
        <v>24</v>
      </c>
      <c r="D407" s="2">
        <v>2393496</v>
      </c>
      <c r="E407" s="2" t="s">
        <v>407</v>
      </c>
      <c r="F407" s="2">
        <v>2393496</v>
      </c>
    </row>
    <row r="408" spans="1:6" x14ac:dyDescent="0.25">
      <c r="A408" s="1">
        <v>24052</v>
      </c>
      <c r="B408" s="2">
        <v>28</v>
      </c>
      <c r="C408" s="2">
        <v>24</v>
      </c>
      <c r="D408" s="2" t="s">
        <v>3</v>
      </c>
      <c r="E408" s="2" t="s">
        <v>408</v>
      </c>
      <c r="F408" s="2" t="s">
        <v>3</v>
      </c>
    </row>
    <row r="409" spans="1:6" x14ac:dyDescent="0.25">
      <c r="A409" s="1">
        <v>24053</v>
      </c>
      <c r="B409" s="2">
        <v>29</v>
      </c>
      <c r="C409" s="2">
        <v>24</v>
      </c>
      <c r="D409" s="2" t="s">
        <v>3</v>
      </c>
      <c r="E409" s="2" t="s">
        <v>409</v>
      </c>
      <c r="F409" s="2" t="s">
        <v>3</v>
      </c>
    </row>
    <row r="410" spans="1:6" x14ac:dyDescent="0.25">
      <c r="A410" s="1">
        <v>24054</v>
      </c>
      <c r="B410" s="2">
        <v>30</v>
      </c>
      <c r="C410" s="2">
        <v>24</v>
      </c>
      <c r="D410" s="2" t="s">
        <v>3</v>
      </c>
      <c r="E410" s="2" t="s">
        <v>410</v>
      </c>
      <c r="F410" s="2" t="s">
        <v>3</v>
      </c>
    </row>
    <row r="411" spans="1:6" x14ac:dyDescent="0.25">
      <c r="A411" s="1">
        <v>24055</v>
      </c>
      <c r="B411" s="2">
        <v>31</v>
      </c>
      <c r="C411" s="2">
        <v>24</v>
      </c>
      <c r="D411" s="2">
        <v>209.82</v>
      </c>
      <c r="E411" s="2" t="s">
        <v>411</v>
      </c>
      <c r="F411" s="2">
        <v>209.82</v>
      </c>
    </row>
    <row r="412" spans="1:6" x14ac:dyDescent="0.25">
      <c r="A412" s="1">
        <v>24056</v>
      </c>
      <c r="B412" s="2">
        <v>32</v>
      </c>
      <c r="C412" s="2">
        <v>24</v>
      </c>
      <c r="D412" s="2">
        <v>356.4</v>
      </c>
      <c r="E412" s="2" t="s">
        <v>412</v>
      </c>
      <c r="F412" s="2">
        <v>356.4</v>
      </c>
    </row>
    <row r="413" spans="1:6" x14ac:dyDescent="0.25">
      <c r="A413" s="1">
        <v>24057</v>
      </c>
      <c r="B413" s="2">
        <v>33</v>
      </c>
      <c r="C413" s="2">
        <v>24</v>
      </c>
      <c r="D413" s="2">
        <v>21.1</v>
      </c>
      <c r="E413" s="2" t="s">
        <v>413</v>
      </c>
      <c r="F413" s="2">
        <v>21.1</v>
      </c>
    </row>
    <row r="414" spans="1:6" x14ac:dyDescent="0.25">
      <c r="A414" s="1">
        <v>24058</v>
      </c>
      <c r="B414" s="2">
        <v>34</v>
      </c>
      <c r="C414" s="2">
        <v>24</v>
      </c>
      <c r="D414" s="2">
        <v>7</v>
      </c>
      <c r="E414" s="2" t="s">
        <v>414</v>
      </c>
      <c r="F414" s="2">
        <v>7</v>
      </c>
    </row>
    <row r="415" spans="1:6" x14ac:dyDescent="0.25">
      <c r="A415" s="1">
        <v>24059</v>
      </c>
      <c r="B415" s="2">
        <v>35</v>
      </c>
      <c r="C415" s="2">
        <v>24</v>
      </c>
      <c r="D415" s="2">
        <v>1.05</v>
      </c>
      <c r="E415" s="2" t="s">
        <v>415</v>
      </c>
      <c r="F415" s="2">
        <v>1.05</v>
      </c>
    </row>
    <row r="416" spans="1:6" x14ac:dyDescent="0.25">
      <c r="A416" s="1">
        <v>24060</v>
      </c>
      <c r="B416" s="2">
        <v>36</v>
      </c>
      <c r="C416" s="2">
        <v>24</v>
      </c>
      <c r="D416" s="2">
        <v>0.49199999999999999</v>
      </c>
      <c r="E416" s="2" t="s">
        <v>416</v>
      </c>
      <c r="F416" s="2">
        <v>0.49199999999999999</v>
      </c>
    </row>
    <row r="417" spans="1:6" x14ac:dyDescent="0.25">
      <c r="A417" s="1">
        <v>24061</v>
      </c>
      <c r="B417" s="2">
        <v>37</v>
      </c>
      <c r="C417" s="2">
        <v>24</v>
      </c>
      <c r="D417" s="2">
        <v>0.23400000000000001</v>
      </c>
      <c r="E417" s="2" t="s">
        <v>417</v>
      </c>
      <c r="F417" s="2">
        <v>0.23400000000000001</v>
      </c>
    </row>
    <row r="418" spans="1:6" x14ac:dyDescent="0.25">
      <c r="A418" s="1">
        <v>24062</v>
      </c>
      <c r="B418" s="2">
        <v>38</v>
      </c>
      <c r="C418" s="2">
        <v>24</v>
      </c>
      <c r="D418" s="2">
        <v>0.2</v>
      </c>
      <c r="E418" s="2" t="s">
        <v>418</v>
      </c>
      <c r="F418" s="2">
        <v>0.2</v>
      </c>
    </row>
    <row r="419" spans="1:6" x14ac:dyDescent="0.25">
      <c r="A419" s="1">
        <v>24063</v>
      </c>
      <c r="B419" s="2">
        <v>39</v>
      </c>
      <c r="C419" s="2">
        <v>24</v>
      </c>
      <c r="D419" s="2">
        <v>0.129</v>
      </c>
      <c r="E419" s="2" t="s">
        <v>419</v>
      </c>
      <c r="F419" s="2">
        <v>0.129</v>
      </c>
    </row>
    <row r="420" spans="1:6" x14ac:dyDescent="0.25">
      <c r="A420" s="1">
        <v>24064</v>
      </c>
      <c r="B420" s="2">
        <v>40</v>
      </c>
      <c r="C420" s="2">
        <v>24</v>
      </c>
      <c r="D420" s="2">
        <v>4.2900000000000001E-2</v>
      </c>
      <c r="E420" s="2" t="s">
        <v>420</v>
      </c>
      <c r="F420" s="2">
        <v>4.2900000000000001E-2</v>
      </c>
    </row>
    <row r="421" spans="1:6" x14ac:dyDescent="0.25">
      <c r="A421" s="1">
        <v>24065</v>
      </c>
      <c r="B421" s="2">
        <v>41</v>
      </c>
      <c r="C421" s="2">
        <v>24</v>
      </c>
      <c r="D421" s="2">
        <v>2.8000000000000001E-2</v>
      </c>
      <c r="E421" s="2" t="s">
        <v>421</v>
      </c>
      <c r="F421" s="2">
        <v>2.8000000000000001E-2</v>
      </c>
    </row>
    <row r="422" spans="1:6" x14ac:dyDescent="0.25">
      <c r="A422" s="1">
        <v>24066</v>
      </c>
      <c r="B422" s="2">
        <v>42</v>
      </c>
      <c r="C422" s="2">
        <v>24</v>
      </c>
      <c r="D422" s="2">
        <v>2.3E-2</v>
      </c>
      <c r="E422" s="2" t="s">
        <v>422</v>
      </c>
      <c r="F422" s="2">
        <v>2.3E-2</v>
      </c>
    </row>
    <row r="423" spans="1:6" x14ac:dyDescent="0.25">
      <c r="A423" s="1">
        <v>24068</v>
      </c>
      <c r="B423" s="2">
        <v>44</v>
      </c>
      <c r="C423" s="2">
        <v>24</v>
      </c>
      <c r="D423" s="2">
        <v>5.9999999999999995E-8</v>
      </c>
      <c r="E423" s="2" t="s">
        <v>423</v>
      </c>
      <c r="F423" s="2">
        <v>5.9999999999999995E-8</v>
      </c>
    </row>
    <row r="424" spans="1:6" x14ac:dyDescent="0.25">
      <c r="A424" s="1">
        <v>25046</v>
      </c>
      <c r="B424" s="2">
        <v>21</v>
      </c>
      <c r="C424" s="2">
        <v>25</v>
      </c>
      <c r="D424" s="2">
        <v>3.6200000000000003E-2</v>
      </c>
      <c r="E424" s="2" t="s">
        <v>424</v>
      </c>
      <c r="F424" s="2">
        <v>3.6200000000000003E-2</v>
      </c>
    </row>
    <row r="425" spans="1:6" x14ac:dyDescent="0.25">
      <c r="A425" s="1">
        <v>25047</v>
      </c>
      <c r="B425" s="2">
        <v>22</v>
      </c>
      <c r="C425" s="2">
        <v>25</v>
      </c>
      <c r="D425" s="2">
        <v>8.7999999999999995E-2</v>
      </c>
      <c r="E425" s="2" t="s">
        <v>425</v>
      </c>
      <c r="F425" s="2">
        <v>8.7999999999999995E-2</v>
      </c>
    </row>
    <row r="426" spans="1:6" x14ac:dyDescent="0.25">
      <c r="A426" s="1">
        <v>25048</v>
      </c>
      <c r="B426" s="2">
        <v>23</v>
      </c>
      <c r="C426" s="2">
        <v>25</v>
      </c>
      <c r="D426" s="2">
        <v>0.15809999999999999</v>
      </c>
      <c r="E426" s="2" t="s">
        <v>426</v>
      </c>
      <c r="F426" s="2">
        <v>0.15809999999999999</v>
      </c>
    </row>
    <row r="427" spans="1:6" x14ac:dyDescent="0.25">
      <c r="A427" s="1">
        <v>25049</v>
      </c>
      <c r="B427" s="2">
        <v>24</v>
      </c>
      <c r="C427" s="2">
        <v>25</v>
      </c>
      <c r="D427" s="2">
        <v>0.38200000000000001</v>
      </c>
      <c r="E427" s="2" t="s">
        <v>427</v>
      </c>
      <c r="F427" s="2">
        <v>0.38200000000000001</v>
      </c>
    </row>
    <row r="428" spans="1:6" x14ac:dyDescent="0.25">
      <c r="A428" s="1">
        <v>25050</v>
      </c>
      <c r="B428" s="2">
        <v>25</v>
      </c>
      <c r="C428" s="2">
        <v>25</v>
      </c>
      <c r="D428" s="2">
        <v>0.28319</v>
      </c>
      <c r="E428" s="2" t="s">
        <v>428</v>
      </c>
      <c r="F428" s="2">
        <v>0.28319</v>
      </c>
    </row>
    <row r="429" spans="1:6" x14ac:dyDescent="0.25">
      <c r="A429" s="1">
        <v>25051</v>
      </c>
      <c r="B429" s="2">
        <v>26</v>
      </c>
      <c r="C429" s="2">
        <v>25</v>
      </c>
      <c r="D429" s="2">
        <v>2772</v>
      </c>
      <c r="E429" s="2" t="s">
        <v>429</v>
      </c>
      <c r="F429" s="2">
        <v>2772</v>
      </c>
    </row>
    <row r="430" spans="1:6" x14ac:dyDescent="0.25">
      <c r="A430" s="1">
        <v>25052</v>
      </c>
      <c r="B430" s="2">
        <v>27</v>
      </c>
      <c r="C430" s="2">
        <v>25</v>
      </c>
      <c r="D430" s="2">
        <v>483062.4</v>
      </c>
      <c r="E430" s="2" t="s">
        <v>430</v>
      </c>
      <c r="F430" s="2">
        <v>483062.4</v>
      </c>
    </row>
    <row r="431" spans="1:6" x14ac:dyDescent="0.25">
      <c r="A431" s="1">
        <v>25053</v>
      </c>
      <c r="B431" s="2">
        <v>28</v>
      </c>
      <c r="C431" s="2">
        <v>25</v>
      </c>
      <c r="D431" s="2">
        <v>118025424000000</v>
      </c>
      <c r="E431" s="2" t="s">
        <v>431</v>
      </c>
      <c r="F431" s="2">
        <v>118025424000000</v>
      </c>
    </row>
    <row r="432" spans="1:6" x14ac:dyDescent="0.25">
      <c r="A432" s="1">
        <v>25054</v>
      </c>
      <c r="B432" s="2">
        <v>29</v>
      </c>
      <c r="C432" s="2">
        <v>25</v>
      </c>
      <c r="D432" s="2">
        <v>26974080</v>
      </c>
      <c r="E432" s="2" t="s">
        <v>432</v>
      </c>
      <c r="F432" s="2">
        <v>26974080</v>
      </c>
    </row>
    <row r="433" spans="1:6" x14ac:dyDescent="0.25">
      <c r="A433" s="1">
        <v>25055</v>
      </c>
      <c r="B433" s="2">
        <v>30</v>
      </c>
      <c r="C433" s="2">
        <v>25</v>
      </c>
      <c r="D433" s="2" t="s">
        <v>3</v>
      </c>
      <c r="E433" s="2" t="s">
        <v>433</v>
      </c>
      <c r="F433" s="2" t="s">
        <v>3</v>
      </c>
    </row>
    <row r="434" spans="1:6" x14ac:dyDescent="0.25">
      <c r="A434" s="1">
        <v>25056</v>
      </c>
      <c r="B434" s="2">
        <v>31</v>
      </c>
      <c r="C434" s="2">
        <v>25</v>
      </c>
      <c r="D434" s="2">
        <v>9284.03999999999</v>
      </c>
      <c r="E434" s="2" t="s">
        <v>434</v>
      </c>
      <c r="F434" s="2">
        <v>9284.03999999999</v>
      </c>
    </row>
    <row r="435" spans="1:6" x14ac:dyDescent="0.25">
      <c r="A435" s="1">
        <v>25057</v>
      </c>
      <c r="B435" s="2">
        <v>32</v>
      </c>
      <c r="C435" s="2">
        <v>25</v>
      </c>
      <c r="D435" s="2">
        <v>85.4</v>
      </c>
      <c r="E435" s="2" t="s">
        <v>435</v>
      </c>
      <c r="F435" s="2">
        <v>85.4</v>
      </c>
    </row>
    <row r="436" spans="1:6" x14ac:dyDescent="0.25">
      <c r="A436" s="1">
        <v>25058</v>
      </c>
      <c r="B436" s="2">
        <v>33</v>
      </c>
      <c r="C436" s="2">
        <v>25</v>
      </c>
      <c r="D436" s="2">
        <v>3</v>
      </c>
      <c r="E436" s="2" t="s">
        <v>436</v>
      </c>
      <c r="F436" s="2">
        <v>3</v>
      </c>
    </row>
    <row r="437" spans="1:6" x14ac:dyDescent="0.25">
      <c r="A437" s="1">
        <v>25059</v>
      </c>
      <c r="B437" s="2">
        <v>34</v>
      </c>
      <c r="C437" s="2">
        <v>25</v>
      </c>
      <c r="D437" s="2">
        <v>4.59</v>
      </c>
      <c r="E437" s="2" t="s">
        <v>437</v>
      </c>
      <c r="F437" s="2">
        <v>4.59</v>
      </c>
    </row>
    <row r="438" spans="1:6" x14ac:dyDescent="0.25">
      <c r="A438" s="1">
        <v>25060</v>
      </c>
      <c r="B438" s="2">
        <v>35</v>
      </c>
      <c r="C438" s="2">
        <v>25</v>
      </c>
      <c r="D438" s="2">
        <v>0.28000000000000003</v>
      </c>
      <c r="E438" s="2" t="s">
        <v>438</v>
      </c>
      <c r="F438" s="2">
        <v>0.28000000000000003</v>
      </c>
    </row>
    <row r="439" spans="1:6" x14ac:dyDescent="0.25">
      <c r="A439" s="1">
        <v>25061</v>
      </c>
      <c r="B439" s="2">
        <v>36</v>
      </c>
      <c r="C439" s="2">
        <v>25</v>
      </c>
      <c r="D439" s="2">
        <v>0.70899999999999996</v>
      </c>
      <c r="E439" s="2" t="s">
        <v>439</v>
      </c>
      <c r="F439" s="2">
        <v>0.70899999999999996</v>
      </c>
    </row>
    <row r="440" spans="1:6" x14ac:dyDescent="0.25">
      <c r="A440" s="1">
        <v>25062</v>
      </c>
      <c r="B440" s="2">
        <v>37</v>
      </c>
      <c r="C440" s="2">
        <v>25</v>
      </c>
      <c r="D440" s="2">
        <v>9.1999999999999998E-2</v>
      </c>
      <c r="E440" s="2" t="s">
        <v>440</v>
      </c>
      <c r="F440" s="2">
        <v>9.1999999999999998E-2</v>
      </c>
    </row>
    <row r="441" spans="1:6" x14ac:dyDescent="0.25">
      <c r="A441" s="1">
        <v>25063</v>
      </c>
      <c r="B441" s="2">
        <v>38</v>
      </c>
      <c r="C441" s="2">
        <v>25</v>
      </c>
      <c r="D441" s="2">
        <v>0.27600000000000002</v>
      </c>
      <c r="E441" s="2" t="s">
        <v>441</v>
      </c>
      <c r="F441" s="2">
        <v>0.27600000000000002</v>
      </c>
    </row>
    <row r="442" spans="1:6" x14ac:dyDescent="0.25">
      <c r="A442" s="1">
        <v>25064</v>
      </c>
      <c r="B442" s="2">
        <v>39</v>
      </c>
      <c r="C442" s="2">
        <v>25</v>
      </c>
      <c r="D442" s="2">
        <v>0.09</v>
      </c>
      <c r="E442" s="2" t="s">
        <v>442</v>
      </c>
      <c r="F442" s="2">
        <v>0.09</v>
      </c>
    </row>
    <row r="443" spans="1:6" x14ac:dyDescent="0.25">
      <c r="A443" s="1">
        <v>25065</v>
      </c>
      <c r="B443" s="2">
        <v>40</v>
      </c>
      <c r="C443" s="2">
        <v>25</v>
      </c>
      <c r="D443" s="2">
        <v>9.1899999999999996E-2</v>
      </c>
      <c r="E443" s="2" t="s">
        <v>443</v>
      </c>
      <c r="F443" s="2">
        <v>9.1899999999999996E-2</v>
      </c>
    </row>
    <row r="444" spans="1:6" x14ac:dyDescent="0.25">
      <c r="A444" s="1">
        <v>25066</v>
      </c>
      <c r="B444" s="2">
        <v>41</v>
      </c>
      <c r="C444" s="2">
        <v>25</v>
      </c>
      <c r="D444" s="2">
        <v>6.5000000000000002E-2</v>
      </c>
      <c r="E444" s="2" t="s">
        <v>444</v>
      </c>
      <c r="F444" s="2">
        <v>6.5000000000000002E-2</v>
      </c>
    </row>
    <row r="445" spans="1:6" x14ac:dyDescent="0.25">
      <c r="A445" s="1">
        <v>25067</v>
      </c>
      <c r="B445" s="2">
        <v>42</v>
      </c>
      <c r="C445" s="2">
        <v>25</v>
      </c>
      <c r="D445" s="2">
        <v>4.7E-2</v>
      </c>
      <c r="E445" s="2" t="s">
        <v>445</v>
      </c>
      <c r="F445" s="2">
        <v>4.7E-2</v>
      </c>
    </row>
    <row r="446" spans="1:6" x14ac:dyDescent="0.25">
      <c r="A446" s="1">
        <v>25068</v>
      </c>
      <c r="B446" s="2">
        <v>43</v>
      </c>
      <c r="C446" s="2">
        <v>25</v>
      </c>
      <c r="D446" s="2">
        <v>2.8000000000000001E-2</v>
      </c>
      <c r="E446" s="2" t="s">
        <v>446</v>
      </c>
      <c r="F446" s="2">
        <v>2.8000000000000001E-2</v>
      </c>
    </row>
    <row r="447" spans="1:6" x14ac:dyDescent="0.25">
      <c r="A447" s="1">
        <v>25069</v>
      </c>
      <c r="B447" s="2">
        <v>44</v>
      </c>
      <c r="C447" s="2">
        <v>25</v>
      </c>
      <c r="D447" s="2">
        <v>1.6E-2</v>
      </c>
      <c r="E447" s="2" t="s">
        <v>447</v>
      </c>
      <c r="F447" s="2">
        <v>1.6E-2</v>
      </c>
    </row>
    <row r="448" spans="1:6" x14ac:dyDescent="0.25">
      <c r="A448" s="1">
        <v>25070</v>
      </c>
      <c r="B448" s="2">
        <v>45</v>
      </c>
      <c r="C448" s="2">
        <v>25</v>
      </c>
      <c r="D448" s="2">
        <v>3.5999999999999999E-7</v>
      </c>
      <c r="E448" s="2" t="s">
        <v>448</v>
      </c>
      <c r="F448" s="2">
        <v>3.5999999999999999E-7</v>
      </c>
    </row>
    <row r="449" spans="1:6" x14ac:dyDescent="0.25">
      <c r="A449" s="1">
        <v>25071</v>
      </c>
      <c r="B449" s="2">
        <v>46</v>
      </c>
      <c r="C449" s="2">
        <v>25</v>
      </c>
      <c r="D449" s="2">
        <v>6.37E-7</v>
      </c>
      <c r="E449" s="2" t="s">
        <v>449</v>
      </c>
      <c r="F449" s="2">
        <v>6.37E-7</v>
      </c>
    </row>
    <row r="450" spans="1:6" x14ac:dyDescent="0.25">
      <c r="A450" s="1">
        <v>26045</v>
      </c>
      <c r="B450" s="2">
        <v>19</v>
      </c>
      <c r="C450" s="2">
        <v>26</v>
      </c>
      <c r="D450" s="2">
        <v>2.4499999999999999E-3</v>
      </c>
      <c r="E450" s="2" t="s">
        <v>450</v>
      </c>
      <c r="F450" s="2">
        <v>2.4499999999999999E-3</v>
      </c>
    </row>
    <row r="451" spans="1:6" x14ac:dyDescent="0.25">
      <c r="A451" s="1">
        <v>26046</v>
      </c>
      <c r="B451" s="2">
        <v>20</v>
      </c>
      <c r="C451" s="2">
        <v>26</v>
      </c>
      <c r="D451" s="2">
        <v>1.2999999999999999E-2</v>
      </c>
      <c r="E451" s="2" t="s">
        <v>451</v>
      </c>
      <c r="F451" s="2">
        <v>1.2999999999999999E-2</v>
      </c>
    </row>
    <row r="452" spans="1:6" x14ac:dyDescent="0.25">
      <c r="A452" s="1">
        <v>26047</v>
      </c>
      <c r="B452" s="2">
        <v>21</v>
      </c>
      <c r="C452" s="2">
        <v>26</v>
      </c>
      <c r="D452" s="2">
        <v>2.1899999999999999E-2</v>
      </c>
      <c r="E452" s="2" t="s">
        <v>452</v>
      </c>
      <c r="F452" s="2">
        <v>2.1899999999999999E-2</v>
      </c>
    </row>
    <row r="453" spans="1:6" x14ac:dyDescent="0.25">
      <c r="A453" s="1">
        <v>26048</v>
      </c>
      <c r="B453" s="2">
        <v>22</v>
      </c>
      <c r="C453" s="2">
        <v>26</v>
      </c>
      <c r="D453" s="2">
        <v>4.53E-2</v>
      </c>
      <c r="E453" s="2" t="s">
        <v>453</v>
      </c>
      <c r="F453" s="2">
        <v>4.53E-2</v>
      </c>
    </row>
    <row r="454" spans="1:6" x14ac:dyDescent="0.25">
      <c r="A454" s="1">
        <v>26049</v>
      </c>
      <c r="B454" s="2">
        <v>23</v>
      </c>
      <c r="C454" s="2">
        <v>26</v>
      </c>
      <c r="D454" s="2">
        <v>6.4699999999999994E-2</v>
      </c>
      <c r="E454" s="2" t="s">
        <v>454</v>
      </c>
      <c r="F454" s="2">
        <v>6.4699999999999994E-2</v>
      </c>
    </row>
    <row r="455" spans="1:6" x14ac:dyDescent="0.25">
      <c r="A455" s="1">
        <v>26050</v>
      </c>
      <c r="B455" s="2">
        <v>24</v>
      </c>
      <c r="C455" s="2">
        <v>26</v>
      </c>
      <c r="D455" s="2">
        <v>0.155</v>
      </c>
      <c r="E455" s="2" t="s">
        <v>455</v>
      </c>
      <c r="F455" s="2">
        <v>0.155</v>
      </c>
    </row>
    <row r="456" spans="1:6" x14ac:dyDescent="0.25">
      <c r="A456" s="1">
        <v>26051</v>
      </c>
      <c r="B456" s="2">
        <v>25</v>
      </c>
      <c r="C456" s="2">
        <v>26</v>
      </c>
      <c r="D456" s="2">
        <v>0.30499999999999999</v>
      </c>
      <c r="E456" s="2" t="s">
        <v>456</v>
      </c>
      <c r="F456" s="2">
        <v>0.30499999999999999</v>
      </c>
    </row>
    <row r="457" spans="1:6" x14ac:dyDescent="0.25">
      <c r="A457" s="1">
        <v>26052</v>
      </c>
      <c r="B457" s="2">
        <v>26</v>
      </c>
      <c r="C457" s="2">
        <v>26</v>
      </c>
      <c r="D457" s="2">
        <v>29790</v>
      </c>
      <c r="E457" s="2" t="s">
        <v>457</v>
      </c>
      <c r="F457" s="2">
        <v>29790</v>
      </c>
    </row>
    <row r="458" spans="1:6" x14ac:dyDescent="0.25">
      <c r="A458" s="1">
        <v>26053</v>
      </c>
      <c r="B458" s="2">
        <v>27</v>
      </c>
      <c r="C458" s="2">
        <v>26</v>
      </c>
      <c r="D458" s="2">
        <v>510.599999999999</v>
      </c>
      <c r="E458" s="2" t="s">
        <v>458</v>
      </c>
      <c r="F458" s="2">
        <v>510.599999999999</v>
      </c>
    </row>
    <row r="459" spans="1:6" x14ac:dyDescent="0.25">
      <c r="A459" s="1">
        <v>26054</v>
      </c>
      <c r="B459" s="2">
        <v>28</v>
      </c>
      <c r="C459" s="2">
        <v>26</v>
      </c>
      <c r="D459" s="2" t="s">
        <v>3</v>
      </c>
      <c r="E459" s="2" t="s">
        <v>459</v>
      </c>
      <c r="F459" s="2" t="s">
        <v>3</v>
      </c>
    </row>
    <row r="460" spans="1:6" x14ac:dyDescent="0.25">
      <c r="A460" s="1">
        <v>26055</v>
      </c>
      <c r="B460" s="2">
        <v>29</v>
      </c>
      <c r="C460" s="2">
        <v>26</v>
      </c>
      <c r="D460" s="2">
        <v>86594054.400000006</v>
      </c>
      <c r="E460" s="2" t="s">
        <v>460</v>
      </c>
      <c r="F460" s="2">
        <v>86594054.400000006</v>
      </c>
    </row>
    <row r="461" spans="1:6" x14ac:dyDescent="0.25">
      <c r="A461" s="1">
        <v>26056</v>
      </c>
      <c r="B461" s="2">
        <v>30</v>
      </c>
      <c r="C461" s="2">
        <v>26</v>
      </c>
      <c r="D461" s="2" t="s">
        <v>3</v>
      </c>
      <c r="E461" s="2" t="s">
        <v>461</v>
      </c>
      <c r="F461" s="2" t="s">
        <v>3</v>
      </c>
    </row>
    <row r="462" spans="1:6" x14ac:dyDescent="0.25">
      <c r="A462" s="1">
        <v>26057</v>
      </c>
      <c r="B462" s="2">
        <v>31</v>
      </c>
      <c r="C462" s="2">
        <v>26</v>
      </c>
      <c r="D462" s="2" t="s">
        <v>3</v>
      </c>
      <c r="E462" s="2" t="s">
        <v>462</v>
      </c>
      <c r="F462" s="2" t="s">
        <v>3</v>
      </c>
    </row>
    <row r="463" spans="1:6" x14ac:dyDescent="0.25">
      <c r="A463" s="1">
        <v>26058</v>
      </c>
      <c r="B463" s="2">
        <v>32</v>
      </c>
      <c r="C463" s="2">
        <v>26</v>
      </c>
      <c r="D463" s="2" t="s">
        <v>3</v>
      </c>
      <c r="E463" s="2" t="s">
        <v>463</v>
      </c>
      <c r="F463" s="2" t="s">
        <v>3</v>
      </c>
    </row>
    <row r="464" spans="1:6" x14ac:dyDescent="0.25">
      <c r="A464" s="1">
        <v>26059</v>
      </c>
      <c r="B464" s="2">
        <v>33</v>
      </c>
      <c r="C464" s="2">
        <v>26</v>
      </c>
      <c r="D464" s="2">
        <v>3844368</v>
      </c>
      <c r="E464" s="2" t="s">
        <v>464</v>
      </c>
      <c r="F464" s="2">
        <v>3844368</v>
      </c>
    </row>
    <row r="465" spans="1:6" x14ac:dyDescent="0.25">
      <c r="A465" s="1">
        <v>26060</v>
      </c>
      <c r="B465" s="2">
        <v>34</v>
      </c>
      <c r="C465" s="2">
        <v>26</v>
      </c>
      <c r="D465" s="2">
        <v>82680912000000</v>
      </c>
      <c r="E465" s="2" t="s">
        <v>465</v>
      </c>
      <c r="F465" s="2">
        <v>82680912000000</v>
      </c>
    </row>
    <row r="466" spans="1:6" x14ac:dyDescent="0.25">
      <c r="A466" s="1">
        <v>26061</v>
      </c>
      <c r="B466" s="2">
        <v>35</v>
      </c>
      <c r="C466" s="2">
        <v>26</v>
      </c>
      <c r="D466" s="2">
        <v>358.8</v>
      </c>
      <c r="E466" s="2" t="s">
        <v>466</v>
      </c>
      <c r="F466" s="2">
        <v>358.8</v>
      </c>
    </row>
    <row r="467" spans="1:6" x14ac:dyDescent="0.25">
      <c r="A467" s="1">
        <v>26062</v>
      </c>
      <c r="B467" s="2">
        <v>36</v>
      </c>
      <c r="C467" s="2">
        <v>26</v>
      </c>
      <c r="D467" s="2">
        <v>68</v>
      </c>
      <c r="E467" s="2" t="s">
        <v>467</v>
      </c>
      <c r="F467" s="2">
        <v>68</v>
      </c>
    </row>
    <row r="468" spans="1:6" x14ac:dyDescent="0.25">
      <c r="A468" s="1">
        <v>26063</v>
      </c>
      <c r="B468" s="2">
        <v>37</v>
      </c>
      <c r="C468" s="2">
        <v>26</v>
      </c>
      <c r="D468" s="2">
        <v>6.1</v>
      </c>
      <c r="E468" s="2" t="s">
        <v>468</v>
      </c>
      <c r="F468" s="2">
        <v>6.1</v>
      </c>
    </row>
    <row r="469" spans="1:6" x14ac:dyDescent="0.25">
      <c r="A469" s="1">
        <v>26064</v>
      </c>
      <c r="B469" s="2">
        <v>38</v>
      </c>
      <c r="C469" s="2">
        <v>26</v>
      </c>
      <c r="D469" s="2">
        <v>2</v>
      </c>
      <c r="E469" s="2" t="s">
        <v>469</v>
      </c>
      <c r="F469" s="2">
        <v>2</v>
      </c>
    </row>
    <row r="470" spans="1:6" x14ac:dyDescent="0.25">
      <c r="A470" s="1">
        <v>26065</v>
      </c>
      <c r="B470" s="2">
        <v>39</v>
      </c>
      <c r="C470" s="2">
        <v>26</v>
      </c>
      <c r="D470" s="2">
        <v>0.81</v>
      </c>
      <c r="E470" s="2" t="s">
        <v>470</v>
      </c>
      <c r="F470" s="2">
        <v>0.81</v>
      </c>
    </row>
    <row r="471" spans="1:6" x14ac:dyDescent="0.25">
      <c r="A471" s="1">
        <v>26066</v>
      </c>
      <c r="B471" s="2">
        <v>40</v>
      </c>
      <c r="C471" s="2">
        <v>26</v>
      </c>
      <c r="D471" s="2">
        <v>0.35099999999999998</v>
      </c>
      <c r="E471" s="2" t="s">
        <v>471</v>
      </c>
      <c r="F471" s="2">
        <v>0.35099999999999998</v>
      </c>
    </row>
    <row r="472" spans="1:6" x14ac:dyDescent="0.25">
      <c r="A472" s="1">
        <v>26067</v>
      </c>
      <c r="B472" s="2">
        <v>41</v>
      </c>
      <c r="C472" s="2">
        <v>26</v>
      </c>
      <c r="D472" s="2">
        <v>0.39500000000000002</v>
      </c>
      <c r="E472" s="2" t="s">
        <v>472</v>
      </c>
      <c r="F472" s="2">
        <v>0.39500000000000002</v>
      </c>
    </row>
    <row r="473" spans="1:6" x14ac:dyDescent="0.25">
      <c r="A473" s="1">
        <v>26068</v>
      </c>
      <c r="B473" s="2">
        <v>42</v>
      </c>
      <c r="C473" s="2">
        <v>26</v>
      </c>
      <c r="D473" s="2">
        <v>0.188</v>
      </c>
      <c r="E473" s="2" t="s">
        <v>473</v>
      </c>
      <c r="F473" s="2">
        <v>0.188</v>
      </c>
    </row>
    <row r="474" spans="1:6" x14ac:dyDescent="0.25">
      <c r="A474" s="1">
        <v>26069</v>
      </c>
      <c r="B474" s="2">
        <v>43</v>
      </c>
      <c r="C474" s="2">
        <v>26</v>
      </c>
      <c r="D474" s="2">
        <v>0.16200000000000001</v>
      </c>
      <c r="E474" s="2" t="s">
        <v>474</v>
      </c>
      <c r="F474" s="2">
        <v>0.16200000000000001</v>
      </c>
    </row>
    <row r="475" spans="1:6" x14ac:dyDescent="0.25">
      <c r="A475" s="1">
        <v>26070</v>
      </c>
      <c r="B475" s="2">
        <v>44</v>
      </c>
      <c r="C475" s="2">
        <v>26</v>
      </c>
      <c r="D475" s="2">
        <v>6.3E-2</v>
      </c>
      <c r="E475" s="2" t="s">
        <v>475</v>
      </c>
      <c r="F475" s="2">
        <v>6.3E-2</v>
      </c>
    </row>
    <row r="476" spans="1:6" x14ac:dyDescent="0.25">
      <c r="A476" s="1">
        <v>26071</v>
      </c>
      <c r="B476" s="2">
        <v>45</v>
      </c>
      <c r="C476" s="2">
        <v>26</v>
      </c>
      <c r="D476" s="2">
        <v>3.5000000000000003E-2</v>
      </c>
      <c r="E476" s="2" t="s">
        <v>476</v>
      </c>
      <c r="F476" s="2">
        <v>3.5000000000000003E-2</v>
      </c>
    </row>
    <row r="477" spans="1:6" x14ac:dyDescent="0.25">
      <c r="A477" s="1">
        <v>26072</v>
      </c>
      <c r="B477" s="2">
        <v>46</v>
      </c>
      <c r="C477" s="2">
        <v>26</v>
      </c>
      <c r="D477" s="2">
        <v>1.9E-2</v>
      </c>
      <c r="E477" s="2" t="s">
        <v>477</v>
      </c>
      <c r="F477" s="2">
        <v>1.9E-2</v>
      </c>
    </row>
    <row r="478" spans="1:6" x14ac:dyDescent="0.25">
      <c r="A478" s="1">
        <v>26073</v>
      </c>
      <c r="B478" s="2">
        <v>47</v>
      </c>
      <c r="C478" s="2">
        <v>26</v>
      </c>
      <c r="D478" s="2">
        <v>6.3300000000000002E-7</v>
      </c>
      <c r="E478" s="2" t="s">
        <v>478</v>
      </c>
      <c r="F478" s="2">
        <v>6.3300000000000002E-7</v>
      </c>
    </row>
    <row r="479" spans="1:6" x14ac:dyDescent="0.25">
      <c r="A479" s="1">
        <v>26074</v>
      </c>
      <c r="B479" s="2">
        <v>48</v>
      </c>
      <c r="C479" s="2">
        <v>26</v>
      </c>
      <c r="D479" s="2">
        <v>6.3799999999999997E-7</v>
      </c>
      <c r="E479" s="2" t="s">
        <v>479</v>
      </c>
      <c r="F479" s="2">
        <v>6.3799999999999997E-7</v>
      </c>
    </row>
    <row r="480" spans="1:6" x14ac:dyDescent="0.25">
      <c r="A480" s="1">
        <v>27050</v>
      </c>
      <c r="B480" s="2">
        <v>23</v>
      </c>
      <c r="C480" s="2">
        <v>27</v>
      </c>
      <c r="D480" s="2">
        <v>3.8800000000000001E-2</v>
      </c>
      <c r="E480" s="2" t="s">
        <v>480</v>
      </c>
      <c r="F480" s="2">
        <v>3.8800000000000001E-2</v>
      </c>
    </row>
    <row r="481" spans="1:6" x14ac:dyDescent="0.25">
      <c r="A481" s="1">
        <v>27051</v>
      </c>
      <c r="B481" s="2">
        <v>24</v>
      </c>
      <c r="C481" s="2">
        <v>27</v>
      </c>
      <c r="D481" s="2">
        <v>1.9999999999999999E-7</v>
      </c>
      <c r="E481" s="2" t="s">
        <v>481</v>
      </c>
      <c r="F481" s="2">
        <v>1.9999999999999999E-7</v>
      </c>
    </row>
    <row r="482" spans="1:6" x14ac:dyDescent="0.25">
      <c r="A482" s="1">
        <v>27052</v>
      </c>
      <c r="B482" s="2">
        <v>25</v>
      </c>
      <c r="C482" s="2">
        <v>27</v>
      </c>
      <c r="D482" s="2">
        <v>0.104</v>
      </c>
      <c r="E482" s="2" t="s">
        <v>482</v>
      </c>
      <c r="F482" s="2">
        <v>0.104</v>
      </c>
    </row>
    <row r="483" spans="1:6" x14ac:dyDescent="0.25">
      <c r="A483" s="1">
        <v>27053</v>
      </c>
      <c r="B483" s="2">
        <v>26</v>
      </c>
      <c r="C483" s="2">
        <v>27</v>
      </c>
      <c r="D483" s="2">
        <v>0.24</v>
      </c>
      <c r="E483" s="2" t="s">
        <v>483</v>
      </c>
      <c r="F483" s="2">
        <v>0.24</v>
      </c>
    </row>
    <row r="484" spans="1:6" x14ac:dyDescent="0.25">
      <c r="A484" s="1">
        <v>27054</v>
      </c>
      <c r="B484" s="2">
        <v>27</v>
      </c>
      <c r="C484" s="2">
        <v>27</v>
      </c>
      <c r="D484" s="2">
        <v>0.193</v>
      </c>
      <c r="E484" s="2" t="s">
        <v>484</v>
      </c>
      <c r="F484" s="2">
        <v>0.193</v>
      </c>
    </row>
    <row r="485" spans="1:6" x14ac:dyDescent="0.25">
      <c r="A485" s="1">
        <v>27055</v>
      </c>
      <c r="B485" s="2">
        <v>28</v>
      </c>
      <c r="C485" s="2">
        <v>27</v>
      </c>
      <c r="D485" s="2">
        <v>63108</v>
      </c>
      <c r="E485" s="2" t="s">
        <v>485</v>
      </c>
      <c r="F485" s="2">
        <v>63108</v>
      </c>
    </row>
    <row r="486" spans="1:6" x14ac:dyDescent="0.25">
      <c r="A486" s="1">
        <v>27056</v>
      </c>
      <c r="B486" s="2">
        <v>29</v>
      </c>
      <c r="C486" s="2">
        <v>27</v>
      </c>
      <c r="D486" s="2">
        <v>6673190.4000000004</v>
      </c>
      <c r="E486" s="2" t="s">
        <v>486</v>
      </c>
      <c r="F486" s="2">
        <v>6673190.4000000004</v>
      </c>
    </row>
    <row r="487" spans="1:6" x14ac:dyDescent="0.25">
      <c r="A487" s="1">
        <v>27057</v>
      </c>
      <c r="B487" s="2">
        <v>30</v>
      </c>
      <c r="C487" s="2">
        <v>27</v>
      </c>
      <c r="D487" s="2">
        <v>23478336</v>
      </c>
      <c r="E487" s="2" t="s">
        <v>487</v>
      </c>
      <c r="F487" s="2">
        <v>23478336</v>
      </c>
    </row>
    <row r="488" spans="1:6" x14ac:dyDescent="0.25">
      <c r="A488" s="1">
        <v>27058</v>
      </c>
      <c r="B488" s="2">
        <v>31</v>
      </c>
      <c r="C488" s="2">
        <v>27</v>
      </c>
      <c r="D488" s="2">
        <v>6122304</v>
      </c>
      <c r="E488" s="2" t="s">
        <v>488</v>
      </c>
      <c r="F488" s="2">
        <v>6122304</v>
      </c>
    </row>
    <row r="489" spans="1:6" x14ac:dyDescent="0.25">
      <c r="A489" s="1">
        <v>27059</v>
      </c>
      <c r="B489" s="2">
        <v>32</v>
      </c>
      <c r="C489" s="2">
        <v>27</v>
      </c>
      <c r="D489" s="2" t="s">
        <v>3</v>
      </c>
      <c r="E489" s="2" t="s">
        <v>489</v>
      </c>
      <c r="F489" s="2" t="s">
        <v>3</v>
      </c>
    </row>
    <row r="490" spans="1:6" x14ac:dyDescent="0.25">
      <c r="A490" s="1">
        <v>27060</v>
      </c>
      <c r="B490" s="2">
        <v>33</v>
      </c>
      <c r="C490" s="2">
        <v>27</v>
      </c>
      <c r="D490" s="2">
        <v>166344192</v>
      </c>
      <c r="E490" s="2" t="s">
        <v>490</v>
      </c>
      <c r="F490" s="2">
        <v>166344192</v>
      </c>
    </row>
    <row r="491" spans="1:6" x14ac:dyDescent="0.25">
      <c r="A491" s="1">
        <v>27061</v>
      </c>
      <c r="B491" s="2">
        <v>34</v>
      </c>
      <c r="C491" s="2">
        <v>27</v>
      </c>
      <c r="D491" s="2">
        <v>5936.4</v>
      </c>
      <c r="E491" s="2" t="s">
        <v>491</v>
      </c>
      <c r="F491" s="2">
        <v>5936.4</v>
      </c>
    </row>
    <row r="492" spans="1:6" x14ac:dyDescent="0.25">
      <c r="A492" s="1">
        <v>27062</v>
      </c>
      <c r="B492" s="2">
        <v>35</v>
      </c>
      <c r="C492" s="2">
        <v>27</v>
      </c>
      <c r="D492" s="2">
        <v>90</v>
      </c>
      <c r="E492" s="2" t="s">
        <v>492</v>
      </c>
      <c r="F492" s="2">
        <v>90</v>
      </c>
    </row>
    <row r="493" spans="1:6" x14ac:dyDescent="0.25">
      <c r="A493" s="1">
        <v>27063</v>
      </c>
      <c r="B493" s="2">
        <v>36</v>
      </c>
      <c r="C493" s="2">
        <v>27</v>
      </c>
      <c r="D493" s="2">
        <v>27.4</v>
      </c>
      <c r="E493" s="2" t="s">
        <v>493</v>
      </c>
      <c r="F493" s="2">
        <v>27.4</v>
      </c>
    </row>
    <row r="494" spans="1:6" x14ac:dyDescent="0.25">
      <c r="A494" s="1">
        <v>27064</v>
      </c>
      <c r="B494" s="2">
        <v>37</v>
      </c>
      <c r="C494" s="2">
        <v>27</v>
      </c>
      <c r="D494" s="2">
        <v>0.3</v>
      </c>
      <c r="E494" s="2" t="s">
        <v>494</v>
      </c>
      <c r="F494" s="2">
        <v>0.3</v>
      </c>
    </row>
    <row r="495" spans="1:6" x14ac:dyDescent="0.25">
      <c r="A495" s="1">
        <v>27065</v>
      </c>
      <c r="B495" s="2">
        <v>38</v>
      </c>
      <c r="C495" s="2">
        <v>27</v>
      </c>
      <c r="D495" s="2">
        <v>1.1599999999999999</v>
      </c>
      <c r="E495" s="2" t="s">
        <v>495</v>
      </c>
      <c r="F495" s="2">
        <v>1.1599999999999999</v>
      </c>
    </row>
    <row r="496" spans="1:6" x14ac:dyDescent="0.25">
      <c r="A496" s="1">
        <v>27066</v>
      </c>
      <c r="B496" s="2">
        <v>39</v>
      </c>
      <c r="C496" s="2">
        <v>27</v>
      </c>
      <c r="D496" s="2">
        <v>0.20899999999999999</v>
      </c>
      <c r="E496" s="2" t="s">
        <v>496</v>
      </c>
      <c r="F496" s="2">
        <v>0.20899999999999999</v>
      </c>
    </row>
    <row r="497" spans="1:6" x14ac:dyDescent="0.25">
      <c r="A497" s="1">
        <v>27067</v>
      </c>
      <c r="B497" s="2">
        <v>40</v>
      </c>
      <c r="C497" s="2">
        <v>27</v>
      </c>
      <c r="D497" s="2">
        <v>0.32900000000000001</v>
      </c>
      <c r="E497" s="2" t="s">
        <v>497</v>
      </c>
      <c r="F497" s="2">
        <v>0.32900000000000001</v>
      </c>
    </row>
    <row r="498" spans="1:6" x14ac:dyDescent="0.25">
      <c r="A498" s="1">
        <v>27068</v>
      </c>
      <c r="B498" s="2">
        <v>41</v>
      </c>
      <c r="C498" s="2">
        <v>27</v>
      </c>
      <c r="D498" s="2">
        <v>9.9000000000000005E-2</v>
      </c>
      <c r="E498" s="2" t="s">
        <v>498</v>
      </c>
      <c r="F498" s="2">
        <v>9.9000000000000005E-2</v>
      </c>
    </row>
    <row r="499" spans="1:6" x14ac:dyDescent="0.25">
      <c r="A499" s="1">
        <v>27069</v>
      </c>
      <c r="B499" s="2">
        <v>42</v>
      </c>
      <c r="C499" s="2">
        <v>27</v>
      </c>
      <c r="D499" s="2">
        <v>0.18</v>
      </c>
      <c r="E499" s="2" t="s">
        <v>499</v>
      </c>
      <c r="F499" s="2">
        <v>0.18</v>
      </c>
    </row>
    <row r="500" spans="1:6" x14ac:dyDescent="0.25">
      <c r="A500" s="1">
        <v>27070</v>
      </c>
      <c r="B500" s="2">
        <v>43</v>
      </c>
      <c r="C500" s="2">
        <v>27</v>
      </c>
      <c r="D500" s="2">
        <v>1.4E-2</v>
      </c>
      <c r="E500" s="2" t="s">
        <v>500</v>
      </c>
      <c r="F500" s="2">
        <v>1.4E-2</v>
      </c>
    </row>
    <row r="501" spans="1:6" x14ac:dyDescent="0.25">
      <c r="A501" s="1">
        <v>27071</v>
      </c>
      <c r="B501" s="2">
        <v>44</v>
      </c>
      <c r="C501" s="2">
        <v>27</v>
      </c>
      <c r="D501" s="2">
        <v>0.08</v>
      </c>
      <c r="E501" s="2" t="s">
        <v>501</v>
      </c>
      <c r="F501" s="2">
        <v>0.08</v>
      </c>
    </row>
    <row r="502" spans="1:6" x14ac:dyDescent="0.25">
      <c r="A502" s="1">
        <v>27072</v>
      </c>
      <c r="B502" s="2">
        <v>45</v>
      </c>
      <c r="C502" s="2">
        <v>27</v>
      </c>
      <c r="D502" s="2">
        <v>5.7299999999999997E-2</v>
      </c>
      <c r="E502" s="2" t="s">
        <v>502</v>
      </c>
      <c r="F502" s="2">
        <v>5.7299999999999997E-2</v>
      </c>
    </row>
    <row r="503" spans="1:6" x14ac:dyDescent="0.25">
      <c r="A503" s="1">
        <v>27073</v>
      </c>
      <c r="B503" s="2">
        <v>46</v>
      </c>
      <c r="C503" s="2">
        <v>27</v>
      </c>
      <c r="D503" s="2">
        <v>4.0500000000000001E-2</v>
      </c>
      <c r="E503" s="2" t="s">
        <v>503</v>
      </c>
      <c r="F503" s="2">
        <v>4.0500000000000001E-2</v>
      </c>
    </row>
    <row r="504" spans="1:6" x14ac:dyDescent="0.25">
      <c r="A504" s="1">
        <v>27074</v>
      </c>
      <c r="B504" s="2">
        <v>47</v>
      </c>
      <c r="C504" s="2">
        <v>27</v>
      </c>
      <c r="D504" s="2">
        <v>3.1399999999999997E-2</v>
      </c>
      <c r="E504" s="2" t="s">
        <v>504</v>
      </c>
      <c r="F504" s="2">
        <v>3.1399999999999997E-2</v>
      </c>
    </row>
    <row r="505" spans="1:6" x14ac:dyDescent="0.25">
      <c r="A505" s="1">
        <v>27075</v>
      </c>
      <c r="B505" s="2">
        <v>48</v>
      </c>
      <c r="C505" s="2">
        <v>27</v>
      </c>
      <c r="D505" s="2">
        <v>2.6499999999999999E-2</v>
      </c>
      <c r="E505" s="2" t="s">
        <v>505</v>
      </c>
      <c r="F505" s="2">
        <v>2.6499999999999999E-2</v>
      </c>
    </row>
    <row r="506" spans="1:6" x14ac:dyDescent="0.25">
      <c r="A506" s="1">
        <v>27076</v>
      </c>
      <c r="B506" s="2">
        <v>49</v>
      </c>
      <c r="C506" s="2">
        <v>27</v>
      </c>
      <c r="D506" s="2">
        <v>2.1700000000000001E-2</v>
      </c>
      <c r="E506" s="2" t="s">
        <v>506</v>
      </c>
      <c r="F506" s="2">
        <v>2.1700000000000001E-2</v>
      </c>
    </row>
    <row r="507" spans="1:6" x14ac:dyDescent="0.25">
      <c r="A507" s="1">
        <v>27077</v>
      </c>
      <c r="B507" s="2">
        <v>50</v>
      </c>
      <c r="C507" s="2">
        <v>27</v>
      </c>
      <c r="D507" s="2">
        <v>1.2999999999999999E-2</v>
      </c>
      <c r="E507" s="2" t="s">
        <v>507</v>
      </c>
      <c r="F507" s="2">
        <v>1.2999999999999999E-2</v>
      </c>
    </row>
    <row r="508" spans="1:6" x14ac:dyDescent="0.25">
      <c r="A508" s="1">
        <v>28048</v>
      </c>
      <c r="B508" s="2">
        <v>20</v>
      </c>
      <c r="C508" s="2">
        <v>28</v>
      </c>
      <c r="D508" s="2">
        <v>2.0999999999999999E-3</v>
      </c>
      <c r="E508" s="2" t="s">
        <v>508</v>
      </c>
      <c r="F508" s="2">
        <v>2.0999999999999999E-3</v>
      </c>
    </row>
    <row r="509" spans="1:6" x14ac:dyDescent="0.25">
      <c r="A509" s="1">
        <v>28049</v>
      </c>
      <c r="B509" s="2">
        <v>21</v>
      </c>
      <c r="C509" s="2">
        <v>28</v>
      </c>
      <c r="D509" s="2">
        <v>7.4999999999999997E-3</v>
      </c>
      <c r="E509" s="2" t="s">
        <v>509</v>
      </c>
      <c r="F509" s="2">
        <v>7.4999999999999997E-3</v>
      </c>
    </row>
    <row r="510" spans="1:6" x14ac:dyDescent="0.25">
      <c r="A510" s="1">
        <v>28050</v>
      </c>
      <c r="B510" s="2">
        <v>22</v>
      </c>
      <c r="C510" s="2">
        <v>28</v>
      </c>
      <c r="D510" s="2">
        <v>1.8499999999999999E-2</v>
      </c>
      <c r="E510" s="2" t="s">
        <v>510</v>
      </c>
      <c r="F510" s="2">
        <v>1.8499999999999999E-2</v>
      </c>
    </row>
    <row r="511" spans="1:6" x14ac:dyDescent="0.25">
      <c r="A511" s="1">
        <v>28051</v>
      </c>
      <c r="B511" s="2">
        <v>23</v>
      </c>
      <c r="C511" s="2">
        <v>28</v>
      </c>
      <c r="D511" s="2">
        <v>2.3800000000000002E-2</v>
      </c>
      <c r="E511" s="2" t="s">
        <v>511</v>
      </c>
      <c r="F511" s="2">
        <v>2.3800000000000002E-2</v>
      </c>
    </row>
    <row r="512" spans="1:6" x14ac:dyDescent="0.25">
      <c r="A512" s="1">
        <v>28052</v>
      </c>
      <c r="B512" s="2">
        <v>24</v>
      </c>
      <c r="C512" s="2">
        <v>28</v>
      </c>
      <c r="D512" s="2">
        <v>4.0799999999999899E-2</v>
      </c>
      <c r="E512" s="2" t="s">
        <v>512</v>
      </c>
      <c r="F512" s="2">
        <v>4.0799999999999899E-2</v>
      </c>
    </row>
    <row r="513" spans="1:6" x14ac:dyDescent="0.25">
      <c r="A513" s="1">
        <v>28053</v>
      </c>
      <c r="B513" s="2">
        <v>25</v>
      </c>
      <c r="C513" s="2">
        <v>28</v>
      </c>
      <c r="D513" s="2">
        <v>5.5199999999999999E-2</v>
      </c>
      <c r="E513" s="2" t="s">
        <v>513</v>
      </c>
      <c r="F513" s="2">
        <v>5.5199999999999999E-2</v>
      </c>
    </row>
    <row r="514" spans="1:6" x14ac:dyDescent="0.25">
      <c r="A514" s="1">
        <v>28054</v>
      </c>
      <c r="B514" s="2">
        <v>26</v>
      </c>
      <c r="C514" s="2">
        <v>28</v>
      </c>
      <c r="D514" s="2">
        <v>0.1142</v>
      </c>
      <c r="E514" s="2" t="s">
        <v>514</v>
      </c>
      <c r="F514" s="2">
        <v>0.1142</v>
      </c>
    </row>
    <row r="515" spans="1:6" x14ac:dyDescent="0.25">
      <c r="A515" s="1">
        <v>28055</v>
      </c>
      <c r="B515" s="2">
        <v>27</v>
      </c>
      <c r="C515" s="2">
        <v>28</v>
      </c>
      <c r="D515" s="2">
        <v>0.20469999999999999</v>
      </c>
      <c r="E515" s="2" t="s">
        <v>515</v>
      </c>
      <c r="F515" s="2">
        <v>0.20469999999999999</v>
      </c>
    </row>
    <row r="516" spans="1:6" x14ac:dyDescent="0.25">
      <c r="A516" s="1">
        <v>28056</v>
      </c>
      <c r="B516" s="2">
        <v>28</v>
      </c>
      <c r="C516" s="2">
        <v>28</v>
      </c>
      <c r="D516" s="2">
        <v>524880</v>
      </c>
      <c r="E516" s="2" t="s">
        <v>516</v>
      </c>
      <c r="F516" s="2">
        <v>524880</v>
      </c>
    </row>
    <row r="517" spans="1:6" x14ac:dyDescent="0.25">
      <c r="A517" s="1">
        <v>28057</v>
      </c>
      <c r="B517" s="2">
        <v>29</v>
      </c>
      <c r="C517" s="2">
        <v>28</v>
      </c>
      <c r="D517" s="2">
        <v>128160</v>
      </c>
      <c r="E517" s="2" t="s">
        <v>517</v>
      </c>
      <c r="F517" s="2">
        <v>128160</v>
      </c>
    </row>
    <row r="518" spans="1:6" x14ac:dyDescent="0.25">
      <c r="A518" s="1">
        <v>28058</v>
      </c>
      <c r="B518" s="2">
        <v>30</v>
      </c>
      <c r="C518" s="2">
        <v>28</v>
      </c>
      <c r="D518" s="2" t="s">
        <v>3</v>
      </c>
      <c r="E518" s="2" t="s">
        <v>518</v>
      </c>
      <c r="F518" s="2" t="s">
        <v>3</v>
      </c>
    </row>
    <row r="519" spans="1:6" x14ac:dyDescent="0.25">
      <c r="A519" s="1">
        <v>28059</v>
      </c>
      <c r="B519" s="2">
        <v>31</v>
      </c>
      <c r="C519" s="2">
        <v>28</v>
      </c>
      <c r="D519" s="2">
        <v>2398377600000</v>
      </c>
      <c r="E519" s="2" t="s">
        <v>519</v>
      </c>
      <c r="F519" s="2">
        <v>2398377600000</v>
      </c>
    </row>
    <row r="520" spans="1:6" x14ac:dyDescent="0.25">
      <c r="A520" s="1">
        <v>28060</v>
      </c>
      <c r="B520" s="2">
        <v>32</v>
      </c>
      <c r="C520" s="2">
        <v>28</v>
      </c>
      <c r="D520" s="2" t="s">
        <v>3</v>
      </c>
      <c r="E520" s="2" t="s">
        <v>520</v>
      </c>
      <c r="F520" s="2" t="s">
        <v>3</v>
      </c>
    </row>
    <row r="521" spans="1:6" x14ac:dyDescent="0.25">
      <c r="A521" s="1">
        <v>28061</v>
      </c>
      <c r="B521" s="2">
        <v>33</v>
      </c>
      <c r="C521" s="2">
        <v>28</v>
      </c>
      <c r="D521" s="2" t="s">
        <v>3</v>
      </c>
      <c r="E521" s="2" t="s">
        <v>521</v>
      </c>
      <c r="F521" s="2" t="s">
        <v>3</v>
      </c>
    </row>
    <row r="522" spans="1:6" x14ac:dyDescent="0.25">
      <c r="A522" s="1">
        <v>28062</v>
      </c>
      <c r="B522" s="2">
        <v>34</v>
      </c>
      <c r="C522" s="2">
        <v>28</v>
      </c>
      <c r="D522" s="2" t="s">
        <v>3</v>
      </c>
      <c r="E522" s="2" t="s">
        <v>522</v>
      </c>
      <c r="F522" s="2" t="s">
        <v>3</v>
      </c>
    </row>
    <row r="523" spans="1:6" x14ac:dyDescent="0.25">
      <c r="A523" s="1">
        <v>28063</v>
      </c>
      <c r="B523" s="2">
        <v>35</v>
      </c>
      <c r="C523" s="2">
        <v>28</v>
      </c>
      <c r="D523" s="2">
        <v>3193629120</v>
      </c>
      <c r="E523" s="2" t="s">
        <v>523</v>
      </c>
      <c r="F523" s="2">
        <v>3193629120</v>
      </c>
    </row>
    <row r="524" spans="1:6" x14ac:dyDescent="0.25">
      <c r="A524" s="1">
        <v>28064</v>
      </c>
      <c r="B524" s="2">
        <v>36</v>
      </c>
      <c r="C524" s="2">
        <v>28</v>
      </c>
      <c r="D524" s="2" t="s">
        <v>3</v>
      </c>
      <c r="E524" s="2" t="s">
        <v>524</v>
      </c>
      <c r="F524" s="2" t="s">
        <v>3</v>
      </c>
    </row>
    <row r="525" spans="1:6" x14ac:dyDescent="0.25">
      <c r="A525" s="1">
        <v>28065</v>
      </c>
      <c r="B525" s="2">
        <v>37</v>
      </c>
      <c r="C525" s="2">
        <v>28</v>
      </c>
      <c r="D525" s="2">
        <v>9063</v>
      </c>
      <c r="E525" s="2" t="s">
        <v>525</v>
      </c>
      <c r="F525" s="2">
        <v>9063</v>
      </c>
    </row>
    <row r="526" spans="1:6" x14ac:dyDescent="0.25">
      <c r="A526" s="1">
        <v>28066</v>
      </c>
      <c r="B526" s="2">
        <v>38</v>
      </c>
      <c r="C526" s="2">
        <v>28</v>
      </c>
      <c r="D526" s="2">
        <v>196560</v>
      </c>
      <c r="E526" s="2" t="s">
        <v>526</v>
      </c>
      <c r="F526" s="2">
        <v>196560</v>
      </c>
    </row>
    <row r="527" spans="1:6" x14ac:dyDescent="0.25">
      <c r="A527" s="1">
        <v>28067</v>
      </c>
      <c r="B527" s="2">
        <v>39</v>
      </c>
      <c r="C527" s="2">
        <v>28</v>
      </c>
      <c r="D527" s="2">
        <v>21</v>
      </c>
      <c r="E527" s="2" t="s">
        <v>527</v>
      </c>
      <c r="F527" s="2">
        <v>21</v>
      </c>
    </row>
    <row r="528" spans="1:6" x14ac:dyDescent="0.25">
      <c r="A528" s="1">
        <v>28068</v>
      </c>
      <c r="B528" s="2">
        <v>40</v>
      </c>
      <c r="C528" s="2">
        <v>28</v>
      </c>
      <c r="D528" s="2">
        <v>29</v>
      </c>
      <c r="E528" s="2" t="s">
        <v>528</v>
      </c>
      <c r="F528" s="2">
        <v>29</v>
      </c>
    </row>
    <row r="529" spans="1:6" x14ac:dyDescent="0.25">
      <c r="A529" s="1">
        <v>28069</v>
      </c>
      <c r="B529" s="2">
        <v>41</v>
      </c>
      <c r="C529" s="2">
        <v>28</v>
      </c>
      <c r="D529" s="2">
        <v>11.4</v>
      </c>
      <c r="E529" s="2" t="s">
        <v>529</v>
      </c>
      <c r="F529" s="2">
        <v>11.4</v>
      </c>
    </row>
    <row r="530" spans="1:6" x14ac:dyDescent="0.25">
      <c r="A530" s="1">
        <v>28070</v>
      </c>
      <c r="B530" s="2">
        <v>42</v>
      </c>
      <c r="C530" s="2">
        <v>28</v>
      </c>
      <c r="D530" s="2">
        <v>6</v>
      </c>
      <c r="E530" s="2" t="s">
        <v>530</v>
      </c>
      <c r="F530" s="2">
        <v>6</v>
      </c>
    </row>
    <row r="531" spans="1:6" x14ac:dyDescent="0.25">
      <c r="A531" s="1">
        <v>28071</v>
      </c>
      <c r="B531" s="2">
        <v>43</v>
      </c>
      <c r="C531" s="2">
        <v>28</v>
      </c>
      <c r="D531" s="2">
        <v>2.56</v>
      </c>
      <c r="E531" s="2" t="s">
        <v>531</v>
      </c>
      <c r="F531" s="2">
        <v>2.56</v>
      </c>
    </row>
    <row r="532" spans="1:6" x14ac:dyDescent="0.25">
      <c r="A532" s="1">
        <v>28072</v>
      </c>
      <c r="B532" s="2">
        <v>44</v>
      </c>
      <c r="C532" s="2">
        <v>28</v>
      </c>
      <c r="D532" s="2">
        <v>1.587</v>
      </c>
      <c r="E532" s="2" t="s">
        <v>532</v>
      </c>
      <c r="F532" s="2">
        <v>1.587</v>
      </c>
    </row>
    <row r="533" spans="1:6" x14ac:dyDescent="0.25">
      <c r="A533" s="1">
        <v>28073</v>
      </c>
      <c r="B533" s="2">
        <v>45</v>
      </c>
      <c r="C533" s="2">
        <v>28</v>
      </c>
      <c r="D533" s="2">
        <v>0.84199999999999997</v>
      </c>
      <c r="E533" s="2" t="s">
        <v>533</v>
      </c>
      <c r="F533" s="2">
        <v>0.84199999999999997</v>
      </c>
    </row>
    <row r="534" spans="1:6" x14ac:dyDescent="0.25">
      <c r="A534" s="1">
        <v>28074</v>
      </c>
      <c r="B534" s="2">
        <v>46</v>
      </c>
      <c r="C534" s="2">
        <v>28</v>
      </c>
      <c r="D534" s="2">
        <v>0.50770000000000004</v>
      </c>
      <c r="E534" s="2" t="s">
        <v>534</v>
      </c>
      <c r="F534" s="2">
        <v>0.50770000000000004</v>
      </c>
    </row>
    <row r="535" spans="1:6" x14ac:dyDescent="0.25">
      <c r="A535" s="1">
        <v>28075</v>
      </c>
      <c r="B535" s="2">
        <v>47</v>
      </c>
      <c r="C535" s="2">
        <v>28</v>
      </c>
      <c r="D535" s="2">
        <v>0.33179999999999998</v>
      </c>
      <c r="E535" s="2" t="s">
        <v>535</v>
      </c>
      <c r="F535" s="2">
        <v>0.33179999999999998</v>
      </c>
    </row>
    <row r="536" spans="1:6" x14ac:dyDescent="0.25">
      <c r="A536" s="1">
        <v>28076</v>
      </c>
      <c r="B536" s="2">
        <v>48</v>
      </c>
      <c r="C536" s="2">
        <v>28</v>
      </c>
      <c r="D536" s="2">
        <v>0.23469999999999999</v>
      </c>
      <c r="E536" s="2" t="s">
        <v>536</v>
      </c>
      <c r="F536" s="2">
        <v>0.23469999999999999</v>
      </c>
    </row>
    <row r="537" spans="1:6" x14ac:dyDescent="0.25">
      <c r="A537" s="1">
        <v>28077</v>
      </c>
      <c r="B537" s="2">
        <v>49</v>
      </c>
      <c r="C537" s="2">
        <v>28</v>
      </c>
      <c r="D537" s="2">
        <v>0.15840000000000001</v>
      </c>
      <c r="E537" s="2" t="s">
        <v>537</v>
      </c>
      <c r="F537" s="2">
        <v>0.15840000000000001</v>
      </c>
    </row>
    <row r="538" spans="1:6" x14ac:dyDescent="0.25">
      <c r="A538" s="1">
        <v>28078</v>
      </c>
      <c r="B538" s="2">
        <v>50</v>
      </c>
      <c r="C538" s="2">
        <v>28</v>
      </c>
      <c r="D538" s="2">
        <v>0.1222</v>
      </c>
      <c r="E538" s="2" t="s">
        <v>538</v>
      </c>
      <c r="F538" s="2">
        <v>0.1222</v>
      </c>
    </row>
    <row r="539" spans="1:6" x14ac:dyDescent="0.25">
      <c r="A539" s="1">
        <v>28079</v>
      </c>
      <c r="B539" s="2">
        <v>51</v>
      </c>
      <c r="C539" s="2">
        <v>28</v>
      </c>
      <c r="D539" s="2">
        <v>4.2999999999999997E-2</v>
      </c>
      <c r="E539" s="2" t="s">
        <v>539</v>
      </c>
      <c r="F539" s="2">
        <v>4.2999999999999997E-2</v>
      </c>
    </row>
    <row r="540" spans="1:6" x14ac:dyDescent="0.25">
      <c r="A540" s="1">
        <v>28080</v>
      </c>
      <c r="B540" s="2">
        <v>52</v>
      </c>
      <c r="C540" s="2">
        <v>28</v>
      </c>
      <c r="D540" s="2">
        <v>2.4E-2</v>
      </c>
      <c r="E540" s="2" t="s">
        <v>540</v>
      </c>
      <c r="F540" s="2">
        <v>2.4E-2</v>
      </c>
    </row>
    <row r="541" spans="1:6" x14ac:dyDescent="0.25">
      <c r="A541" s="1">
        <v>29055</v>
      </c>
      <c r="B541" s="2">
        <v>26</v>
      </c>
      <c r="C541" s="2">
        <v>29</v>
      </c>
      <c r="D541" s="2">
        <v>2.7E-2</v>
      </c>
      <c r="E541" s="2" t="s">
        <v>541</v>
      </c>
      <c r="F541" s="2">
        <v>2.7E-2</v>
      </c>
    </row>
    <row r="542" spans="1:6" x14ac:dyDescent="0.25">
      <c r="A542" s="1">
        <v>29056</v>
      </c>
      <c r="B542" s="2">
        <v>27</v>
      </c>
      <c r="C542" s="2">
        <v>29</v>
      </c>
      <c r="D542" s="2">
        <v>9.2999999999999999E-2</v>
      </c>
      <c r="E542" s="2" t="s">
        <v>542</v>
      </c>
      <c r="F542" s="2">
        <v>9.2999999999999999E-2</v>
      </c>
    </row>
    <row r="543" spans="1:6" x14ac:dyDescent="0.25">
      <c r="A543" s="1">
        <v>29057</v>
      </c>
      <c r="B543" s="2">
        <v>28</v>
      </c>
      <c r="C543" s="2">
        <v>29</v>
      </c>
      <c r="D543" s="2">
        <v>0.1963</v>
      </c>
      <c r="E543" s="2" t="s">
        <v>543</v>
      </c>
      <c r="F543" s="2">
        <v>0.1963</v>
      </c>
    </row>
    <row r="544" spans="1:6" x14ac:dyDescent="0.25">
      <c r="A544" s="1">
        <v>29058</v>
      </c>
      <c r="B544" s="2">
        <v>29</v>
      </c>
      <c r="C544" s="2">
        <v>29</v>
      </c>
      <c r="D544" s="2">
        <v>3.2040000000000002</v>
      </c>
      <c r="E544" s="2" t="s">
        <v>544</v>
      </c>
      <c r="F544" s="2">
        <v>3.2040000000000002</v>
      </c>
    </row>
    <row r="545" spans="1:6" x14ac:dyDescent="0.25">
      <c r="A545" s="1">
        <v>29059</v>
      </c>
      <c r="B545" s="2">
        <v>30</v>
      </c>
      <c r="C545" s="2">
        <v>29</v>
      </c>
      <c r="D545" s="2">
        <v>81.5</v>
      </c>
      <c r="E545" s="2" t="s">
        <v>545</v>
      </c>
      <c r="F545" s="2">
        <v>81.5</v>
      </c>
    </row>
    <row r="546" spans="1:6" x14ac:dyDescent="0.25">
      <c r="A546" s="1">
        <v>29060</v>
      </c>
      <c r="B546" s="2">
        <v>31</v>
      </c>
      <c r="C546" s="2">
        <v>29</v>
      </c>
      <c r="D546" s="2">
        <v>1422</v>
      </c>
      <c r="E546" s="2" t="s">
        <v>546</v>
      </c>
      <c r="F546" s="2">
        <v>1422</v>
      </c>
    </row>
    <row r="547" spans="1:6" x14ac:dyDescent="0.25">
      <c r="A547" s="1">
        <v>29061</v>
      </c>
      <c r="B547" s="2">
        <v>32</v>
      </c>
      <c r="C547" s="2">
        <v>29</v>
      </c>
      <c r="D547" s="2">
        <v>12020.4</v>
      </c>
      <c r="E547" s="2" t="s">
        <v>547</v>
      </c>
      <c r="F547" s="2">
        <v>12020.4</v>
      </c>
    </row>
    <row r="548" spans="1:6" x14ac:dyDescent="0.25">
      <c r="A548" s="1">
        <v>29062</v>
      </c>
      <c r="B548" s="2">
        <v>33</v>
      </c>
      <c r="C548" s="2">
        <v>29</v>
      </c>
      <c r="D548" s="2">
        <v>580.38</v>
      </c>
      <c r="E548" s="2" t="s">
        <v>548</v>
      </c>
      <c r="F548" s="2">
        <v>580.38</v>
      </c>
    </row>
    <row r="549" spans="1:6" x14ac:dyDescent="0.25">
      <c r="A549" s="1">
        <v>29063</v>
      </c>
      <c r="B549" s="2">
        <v>34</v>
      </c>
      <c r="C549" s="2">
        <v>29</v>
      </c>
      <c r="D549" s="2" t="s">
        <v>3</v>
      </c>
      <c r="E549" s="2" t="s">
        <v>549</v>
      </c>
      <c r="F549" s="2" t="s">
        <v>3</v>
      </c>
    </row>
    <row r="550" spans="1:6" x14ac:dyDescent="0.25">
      <c r="A550" s="1">
        <v>29064</v>
      </c>
      <c r="B550" s="2">
        <v>35</v>
      </c>
      <c r="C550" s="2">
        <v>29</v>
      </c>
      <c r="D550" s="2">
        <v>45723.6</v>
      </c>
      <c r="E550" s="2" t="s">
        <v>550</v>
      </c>
      <c r="F550" s="2">
        <v>45723.6</v>
      </c>
    </row>
    <row r="551" spans="1:6" x14ac:dyDescent="0.25">
      <c r="A551" s="1">
        <v>29065</v>
      </c>
      <c r="B551" s="2">
        <v>36</v>
      </c>
      <c r="C551" s="2">
        <v>29</v>
      </c>
      <c r="D551" s="2" t="s">
        <v>3</v>
      </c>
      <c r="E551" s="2" t="s">
        <v>551</v>
      </c>
      <c r="F551" s="2" t="s">
        <v>3</v>
      </c>
    </row>
    <row r="552" spans="1:6" x14ac:dyDescent="0.25">
      <c r="A552" s="1">
        <v>29066</v>
      </c>
      <c r="B552" s="2">
        <v>37</v>
      </c>
      <c r="C552" s="2">
        <v>29</v>
      </c>
      <c r="D552" s="2">
        <v>307.2</v>
      </c>
      <c r="E552" s="2" t="s">
        <v>552</v>
      </c>
      <c r="F552" s="2">
        <v>307.2</v>
      </c>
    </row>
    <row r="553" spans="1:6" x14ac:dyDescent="0.25">
      <c r="A553" s="1">
        <v>29067</v>
      </c>
      <c r="B553" s="2">
        <v>38</v>
      </c>
      <c r="C553" s="2">
        <v>29</v>
      </c>
      <c r="D553" s="2">
        <v>222588</v>
      </c>
      <c r="E553" s="2" t="s">
        <v>553</v>
      </c>
      <c r="F553" s="2">
        <v>222588</v>
      </c>
    </row>
    <row r="554" spans="1:6" x14ac:dyDescent="0.25">
      <c r="A554" s="1">
        <v>29068</v>
      </c>
      <c r="B554" s="2">
        <v>39</v>
      </c>
      <c r="C554" s="2">
        <v>29</v>
      </c>
      <c r="D554" s="2">
        <v>30.9</v>
      </c>
      <c r="E554" s="2" t="s">
        <v>554</v>
      </c>
      <c r="F554" s="2">
        <v>30.9</v>
      </c>
    </row>
    <row r="555" spans="1:6" x14ac:dyDescent="0.25">
      <c r="A555" s="1">
        <v>29069</v>
      </c>
      <c r="B555" s="2">
        <v>40</v>
      </c>
      <c r="C555" s="2">
        <v>29</v>
      </c>
      <c r="D555" s="2">
        <v>171</v>
      </c>
      <c r="E555" s="2" t="s">
        <v>555</v>
      </c>
      <c r="F555" s="2">
        <v>171</v>
      </c>
    </row>
    <row r="556" spans="1:6" x14ac:dyDescent="0.25">
      <c r="A556" s="1">
        <v>29070</v>
      </c>
      <c r="B556" s="2">
        <v>41</v>
      </c>
      <c r="C556" s="2">
        <v>29</v>
      </c>
      <c r="D556" s="2">
        <v>44.5</v>
      </c>
      <c r="E556" s="2" t="s">
        <v>556</v>
      </c>
      <c r="F556" s="2">
        <v>44.5</v>
      </c>
    </row>
    <row r="557" spans="1:6" x14ac:dyDescent="0.25">
      <c r="A557" s="1">
        <v>29071</v>
      </c>
      <c r="B557" s="2">
        <v>42</v>
      </c>
      <c r="C557" s="2">
        <v>29</v>
      </c>
      <c r="D557" s="2">
        <v>19.399999999999999</v>
      </c>
      <c r="E557" s="2" t="s">
        <v>557</v>
      </c>
      <c r="F557" s="2">
        <v>19.399999999999999</v>
      </c>
    </row>
    <row r="558" spans="1:6" x14ac:dyDescent="0.25">
      <c r="A558" s="1">
        <v>29072</v>
      </c>
      <c r="B558" s="2">
        <v>43</v>
      </c>
      <c r="C558" s="2">
        <v>29</v>
      </c>
      <c r="D558" s="2">
        <v>6.63</v>
      </c>
      <c r="E558" s="2" t="s">
        <v>558</v>
      </c>
      <c r="F558" s="2">
        <v>6.63</v>
      </c>
    </row>
    <row r="559" spans="1:6" x14ac:dyDescent="0.25">
      <c r="A559" s="1">
        <v>29073</v>
      </c>
      <c r="B559" s="2">
        <v>44</v>
      </c>
      <c r="C559" s="2">
        <v>29</v>
      </c>
      <c r="D559" s="2">
        <v>4.2</v>
      </c>
      <c r="E559" s="2" t="s">
        <v>559</v>
      </c>
      <c r="F559" s="2">
        <v>4.2</v>
      </c>
    </row>
    <row r="560" spans="1:6" x14ac:dyDescent="0.25">
      <c r="A560" s="1">
        <v>29074</v>
      </c>
      <c r="B560" s="2">
        <v>45</v>
      </c>
      <c r="C560" s="2">
        <v>29</v>
      </c>
      <c r="D560" s="2">
        <v>1.5940000000000001</v>
      </c>
      <c r="E560" s="2" t="s">
        <v>560</v>
      </c>
      <c r="F560" s="2">
        <v>1.5940000000000001</v>
      </c>
    </row>
    <row r="561" spans="1:6" x14ac:dyDescent="0.25">
      <c r="A561" s="1">
        <v>29075</v>
      </c>
      <c r="B561" s="2">
        <v>46</v>
      </c>
      <c r="C561" s="2">
        <v>29</v>
      </c>
      <c r="D561" s="2">
        <v>1.224</v>
      </c>
      <c r="E561" s="2" t="s">
        <v>561</v>
      </c>
      <c r="F561" s="2">
        <v>1.224</v>
      </c>
    </row>
    <row r="562" spans="1:6" x14ac:dyDescent="0.25">
      <c r="A562" s="1">
        <v>29076</v>
      </c>
      <c r="B562" s="2">
        <v>47</v>
      </c>
      <c r="C562" s="2">
        <v>29</v>
      </c>
      <c r="D562" s="2">
        <v>0.63800000000000001</v>
      </c>
      <c r="E562" s="2" t="s">
        <v>562</v>
      </c>
      <c r="F562" s="2">
        <v>0.63800000000000001</v>
      </c>
    </row>
    <row r="563" spans="1:6" x14ac:dyDescent="0.25">
      <c r="A563" s="1">
        <v>29077</v>
      </c>
      <c r="B563" s="2">
        <v>48</v>
      </c>
      <c r="C563" s="2">
        <v>29</v>
      </c>
      <c r="D563" s="2">
        <v>0.46810000000000002</v>
      </c>
      <c r="E563" s="2" t="s">
        <v>563</v>
      </c>
      <c r="F563" s="2">
        <v>0.46810000000000002</v>
      </c>
    </row>
    <row r="564" spans="1:6" x14ac:dyDescent="0.25">
      <c r="A564" s="1">
        <v>29078</v>
      </c>
      <c r="B564" s="2">
        <v>49</v>
      </c>
      <c r="C564" s="2">
        <v>29</v>
      </c>
      <c r="D564" s="2">
        <v>0.33500000000000002</v>
      </c>
      <c r="E564" s="2" t="s">
        <v>564</v>
      </c>
      <c r="F564" s="2">
        <v>0.33500000000000002</v>
      </c>
    </row>
    <row r="565" spans="1:6" x14ac:dyDescent="0.25">
      <c r="A565" s="1">
        <v>29079</v>
      </c>
      <c r="B565" s="2">
        <v>50</v>
      </c>
      <c r="C565" s="2">
        <v>29</v>
      </c>
      <c r="D565" s="2">
        <v>0.24099999999999999</v>
      </c>
      <c r="E565" s="2" t="s">
        <v>565</v>
      </c>
      <c r="F565" s="2">
        <v>0.24099999999999999</v>
      </c>
    </row>
    <row r="566" spans="1:6" x14ac:dyDescent="0.25">
      <c r="A566" s="1">
        <v>29080</v>
      </c>
      <c r="B566" s="2">
        <v>51</v>
      </c>
      <c r="C566" s="2">
        <v>29</v>
      </c>
      <c r="D566" s="2">
        <v>0.17</v>
      </c>
      <c r="E566" s="2" t="s">
        <v>566</v>
      </c>
      <c r="F566" s="2">
        <v>0.17</v>
      </c>
    </row>
    <row r="567" spans="1:6" x14ac:dyDescent="0.25">
      <c r="A567" s="1">
        <v>29081</v>
      </c>
      <c r="B567" s="2">
        <v>52</v>
      </c>
      <c r="C567" s="2">
        <v>29</v>
      </c>
      <c r="D567" s="2">
        <v>6.3200000000000005E-7</v>
      </c>
      <c r="E567" s="2" t="s">
        <v>567</v>
      </c>
      <c r="F567" s="2">
        <v>6.3200000000000005E-7</v>
      </c>
    </row>
    <row r="568" spans="1:6" x14ac:dyDescent="0.25">
      <c r="A568" s="1">
        <v>29082</v>
      </c>
      <c r="B568" s="2">
        <v>53</v>
      </c>
      <c r="C568" s="2">
        <v>29</v>
      </c>
      <c r="D568" s="2">
        <v>6.3600000000000003E-7</v>
      </c>
      <c r="E568" s="2" t="s">
        <v>568</v>
      </c>
      <c r="F568" s="2">
        <v>6.3600000000000003E-7</v>
      </c>
    </row>
    <row r="569" spans="1:6" x14ac:dyDescent="0.25">
      <c r="A569" s="1">
        <v>30054</v>
      </c>
      <c r="B569" s="2">
        <v>24</v>
      </c>
      <c r="C569" s="2">
        <v>30</v>
      </c>
      <c r="D569" s="2">
        <v>1.5900000000000001E-3</v>
      </c>
      <c r="E569" s="2" t="s">
        <v>569</v>
      </c>
      <c r="F569" s="2">
        <v>1.5900000000000001E-3</v>
      </c>
    </row>
    <row r="570" spans="1:6" x14ac:dyDescent="0.25">
      <c r="A570" s="1">
        <v>30055</v>
      </c>
      <c r="B570" s="2">
        <v>25</v>
      </c>
      <c r="C570" s="2">
        <v>30</v>
      </c>
      <c r="D570" s="2">
        <v>1.9800000000000002E-2</v>
      </c>
      <c r="E570" s="2" t="s">
        <v>570</v>
      </c>
      <c r="F570" s="2">
        <v>1.9800000000000002E-2</v>
      </c>
    </row>
    <row r="571" spans="1:6" x14ac:dyDescent="0.25">
      <c r="A571" s="1">
        <v>30056</v>
      </c>
      <c r="B571" s="2">
        <v>26</v>
      </c>
      <c r="C571" s="2">
        <v>30</v>
      </c>
      <c r="D571" s="2">
        <v>0.03</v>
      </c>
      <c r="E571" s="2" t="s">
        <v>571</v>
      </c>
      <c r="F571" s="2">
        <v>0.03</v>
      </c>
    </row>
    <row r="572" spans="1:6" x14ac:dyDescent="0.25">
      <c r="A572" s="1">
        <v>30057</v>
      </c>
      <c r="B572" s="2">
        <v>27</v>
      </c>
      <c r="C572" s="2">
        <v>30</v>
      </c>
      <c r="D572" s="2">
        <v>3.7999999999999999E-2</v>
      </c>
      <c r="E572" s="2" t="s">
        <v>572</v>
      </c>
      <c r="F572" s="2">
        <v>3.7999999999999999E-2</v>
      </c>
    </row>
    <row r="573" spans="1:6" x14ac:dyDescent="0.25">
      <c r="A573" s="1">
        <v>30058</v>
      </c>
      <c r="B573" s="2">
        <v>28</v>
      </c>
      <c r="C573" s="2">
        <v>30</v>
      </c>
      <c r="D573" s="2">
        <v>8.5999999999999993E-2</v>
      </c>
      <c r="E573" s="2" t="s">
        <v>573</v>
      </c>
      <c r="F573" s="2">
        <v>8.5999999999999993E-2</v>
      </c>
    </row>
    <row r="574" spans="1:6" x14ac:dyDescent="0.25">
      <c r="A574" s="1">
        <v>30059</v>
      </c>
      <c r="B574" s="2">
        <v>29</v>
      </c>
      <c r="C574" s="2">
        <v>30</v>
      </c>
      <c r="D574" s="2">
        <v>0.182</v>
      </c>
      <c r="E574" s="2" t="s">
        <v>574</v>
      </c>
      <c r="F574" s="2">
        <v>0.182</v>
      </c>
    </row>
    <row r="575" spans="1:6" x14ac:dyDescent="0.25">
      <c r="A575" s="1">
        <v>30060</v>
      </c>
      <c r="B575" s="2">
        <v>30</v>
      </c>
      <c r="C575" s="2">
        <v>30</v>
      </c>
      <c r="D575" s="2">
        <v>142.79999999999899</v>
      </c>
      <c r="E575" s="2" t="s">
        <v>575</v>
      </c>
      <c r="F575" s="2">
        <v>142.79999999999899</v>
      </c>
    </row>
    <row r="576" spans="1:6" x14ac:dyDescent="0.25">
      <c r="A576" s="1">
        <v>30061</v>
      </c>
      <c r="B576" s="2">
        <v>31</v>
      </c>
      <c r="C576" s="2">
        <v>30</v>
      </c>
      <c r="D576" s="2">
        <v>89.1</v>
      </c>
      <c r="E576" s="2" t="s">
        <v>576</v>
      </c>
      <c r="F576" s="2">
        <v>89.1</v>
      </c>
    </row>
    <row r="577" spans="1:6" x14ac:dyDescent="0.25">
      <c r="A577" s="1">
        <v>30062</v>
      </c>
      <c r="B577" s="2">
        <v>32</v>
      </c>
      <c r="C577" s="2">
        <v>30</v>
      </c>
      <c r="D577" s="2">
        <v>33069.599999999999</v>
      </c>
      <c r="E577" s="2" t="s">
        <v>577</v>
      </c>
      <c r="F577" s="2">
        <v>33069.599999999999</v>
      </c>
    </row>
    <row r="578" spans="1:6" x14ac:dyDescent="0.25">
      <c r="A578" s="1">
        <v>30063</v>
      </c>
      <c r="B578" s="2">
        <v>33</v>
      </c>
      <c r="C578" s="2">
        <v>30</v>
      </c>
      <c r="D578" s="2">
        <v>2308.1999999999998</v>
      </c>
      <c r="E578" s="2" t="s">
        <v>578</v>
      </c>
      <c r="F578" s="2">
        <v>2308.1999999999998</v>
      </c>
    </row>
    <row r="579" spans="1:6" x14ac:dyDescent="0.25">
      <c r="A579" s="1">
        <v>30064</v>
      </c>
      <c r="B579" s="2">
        <v>34</v>
      </c>
      <c r="C579" s="2">
        <v>30</v>
      </c>
      <c r="D579" s="2">
        <v>2.209032E+28</v>
      </c>
      <c r="E579" s="2" t="s">
        <v>579</v>
      </c>
      <c r="F579" s="2">
        <v>2.209032E+28</v>
      </c>
    </row>
    <row r="580" spans="1:6" x14ac:dyDescent="0.25">
      <c r="A580" s="1">
        <v>30065</v>
      </c>
      <c r="B580" s="2">
        <v>35</v>
      </c>
      <c r="C580" s="2">
        <v>30</v>
      </c>
      <c r="D580" s="2">
        <v>21075552</v>
      </c>
      <c r="E580" s="2" t="s">
        <v>580</v>
      </c>
      <c r="F580" s="2">
        <v>21075552</v>
      </c>
    </row>
    <row r="581" spans="1:6" x14ac:dyDescent="0.25">
      <c r="A581" s="1">
        <v>30066</v>
      </c>
      <c r="B581" s="2">
        <v>36</v>
      </c>
      <c r="C581" s="2">
        <v>30</v>
      </c>
      <c r="D581" s="2" t="s">
        <v>3</v>
      </c>
      <c r="E581" s="2" t="s">
        <v>581</v>
      </c>
      <c r="F581" s="2" t="s">
        <v>3</v>
      </c>
    </row>
    <row r="582" spans="1:6" x14ac:dyDescent="0.25">
      <c r="A582" s="1">
        <v>30067</v>
      </c>
      <c r="B582" s="2">
        <v>37</v>
      </c>
      <c r="C582" s="2">
        <v>30</v>
      </c>
      <c r="D582" s="2" t="s">
        <v>3</v>
      </c>
      <c r="E582" s="2" t="s">
        <v>582</v>
      </c>
      <c r="F582" s="2" t="s">
        <v>3</v>
      </c>
    </row>
    <row r="583" spans="1:6" x14ac:dyDescent="0.25">
      <c r="A583" s="1">
        <v>30068</v>
      </c>
      <c r="B583" s="2">
        <v>38</v>
      </c>
      <c r="C583" s="2">
        <v>30</v>
      </c>
      <c r="D583" s="2" t="s">
        <v>3</v>
      </c>
      <c r="E583" s="2" t="s">
        <v>583</v>
      </c>
      <c r="F583" s="2" t="s">
        <v>3</v>
      </c>
    </row>
    <row r="584" spans="1:6" x14ac:dyDescent="0.25">
      <c r="A584" s="1">
        <v>30069</v>
      </c>
      <c r="B584" s="2">
        <v>39</v>
      </c>
      <c r="C584" s="2">
        <v>30</v>
      </c>
      <c r="D584" s="2">
        <v>3384</v>
      </c>
      <c r="E584" s="2" t="s">
        <v>584</v>
      </c>
      <c r="F584" s="2">
        <v>3384</v>
      </c>
    </row>
    <row r="585" spans="1:6" x14ac:dyDescent="0.25">
      <c r="A585" s="1">
        <v>30070</v>
      </c>
      <c r="B585" s="2">
        <v>40</v>
      </c>
      <c r="C585" s="2">
        <v>30</v>
      </c>
      <c r="D585" s="2">
        <v>7.2582480000000003E+24</v>
      </c>
      <c r="E585" s="2" t="s">
        <v>585</v>
      </c>
      <c r="F585" s="2">
        <v>7.2582480000000003E+24</v>
      </c>
    </row>
    <row r="586" spans="1:6" x14ac:dyDescent="0.25">
      <c r="A586" s="1">
        <v>30071</v>
      </c>
      <c r="B586" s="2">
        <v>41</v>
      </c>
      <c r="C586" s="2">
        <v>30</v>
      </c>
      <c r="D586" s="2">
        <v>147</v>
      </c>
      <c r="E586" s="2" t="s">
        <v>586</v>
      </c>
      <c r="F586" s="2">
        <v>147</v>
      </c>
    </row>
    <row r="587" spans="1:6" x14ac:dyDescent="0.25">
      <c r="A587" s="1">
        <v>30072</v>
      </c>
      <c r="B587" s="2">
        <v>42</v>
      </c>
      <c r="C587" s="2">
        <v>30</v>
      </c>
      <c r="D587" s="2">
        <v>167400</v>
      </c>
      <c r="E587" s="2" t="s">
        <v>587</v>
      </c>
      <c r="F587" s="2">
        <v>167400</v>
      </c>
    </row>
    <row r="588" spans="1:6" x14ac:dyDescent="0.25">
      <c r="A588" s="1">
        <v>30073</v>
      </c>
      <c r="B588" s="2">
        <v>43</v>
      </c>
      <c r="C588" s="2">
        <v>30</v>
      </c>
      <c r="D588" s="2">
        <v>23.5</v>
      </c>
      <c r="E588" s="2" t="s">
        <v>588</v>
      </c>
      <c r="F588" s="2">
        <v>23.5</v>
      </c>
    </row>
    <row r="589" spans="1:6" x14ac:dyDescent="0.25">
      <c r="A589" s="1">
        <v>30074</v>
      </c>
      <c r="B589" s="2">
        <v>44</v>
      </c>
      <c r="C589" s="2">
        <v>30</v>
      </c>
      <c r="D589" s="2">
        <v>95.6</v>
      </c>
      <c r="E589" s="2" t="s">
        <v>589</v>
      </c>
      <c r="F589" s="2">
        <v>95.6</v>
      </c>
    </row>
    <row r="590" spans="1:6" x14ac:dyDescent="0.25">
      <c r="A590" s="1">
        <v>30075</v>
      </c>
      <c r="B590" s="2">
        <v>45</v>
      </c>
      <c r="C590" s="2">
        <v>30</v>
      </c>
      <c r="D590" s="2">
        <v>10.199999999999999</v>
      </c>
      <c r="E590" s="2" t="s">
        <v>590</v>
      </c>
      <c r="F590" s="2">
        <v>10.199999999999999</v>
      </c>
    </row>
    <row r="591" spans="1:6" x14ac:dyDescent="0.25">
      <c r="A591" s="1">
        <v>30076</v>
      </c>
      <c r="B591" s="2">
        <v>46</v>
      </c>
      <c r="C591" s="2">
        <v>30</v>
      </c>
      <c r="D591" s="2">
        <v>5.7</v>
      </c>
      <c r="E591" s="2" t="s">
        <v>591</v>
      </c>
      <c r="F591" s="2">
        <v>5.7</v>
      </c>
    </row>
    <row r="592" spans="1:6" x14ac:dyDescent="0.25">
      <c r="A592" s="1">
        <v>30077</v>
      </c>
      <c r="B592" s="2">
        <v>47</v>
      </c>
      <c r="C592" s="2">
        <v>30</v>
      </c>
      <c r="D592" s="2">
        <v>2.08</v>
      </c>
      <c r="E592" s="2" t="s">
        <v>592</v>
      </c>
      <c r="F592" s="2">
        <v>2.08</v>
      </c>
    </row>
    <row r="593" spans="1:6" x14ac:dyDescent="0.25">
      <c r="A593" s="1">
        <v>30078</v>
      </c>
      <c r="B593" s="2">
        <v>48</v>
      </c>
      <c r="C593" s="2">
        <v>30</v>
      </c>
      <c r="D593" s="2">
        <v>1.47</v>
      </c>
      <c r="E593" s="2" t="s">
        <v>593</v>
      </c>
      <c r="F593" s="2">
        <v>1.47</v>
      </c>
    </row>
    <row r="594" spans="1:6" x14ac:dyDescent="0.25">
      <c r="A594" s="1">
        <v>30079</v>
      </c>
      <c r="B594" s="2">
        <v>49</v>
      </c>
      <c r="C594" s="2">
        <v>30</v>
      </c>
      <c r="D594" s="2">
        <v>0.746</v>
      </c>
      <c r="E594" s="2" t="s">
        <v>594</v>
      </c>
      <c r="F594" s="2">
        <v>0.746</v>
      </c>
    </row>
    <row r="595" spans="1:6" x14ac:dyDescent="0.25">
      <c r="A595" s="1">
        <v>30080</v>
      </c>
      <c r="B595" s="2">
        <v>50</v>
      </c>
      <c r="C595" s="2">
        <v>30</v>
      </c>
      <c r="D595" s="2">
        <v>0.56189999999999996</v>
      </c>
      <c r="E595" s="2" t="s">
        <v>595</v>
      </c>
      <c r="F595" s="2">
        <v>0.56189999999999996</v>
      </c>
    </row>
    <row r="596" spans="1:6" x14ac:dyDescent="0.25">
      <c r="A596" s="1">
        <v>30081</v>
      </c>
      <c r="B596" s="2">
        <v>51</v>
      </c>
      <c r="C596" s="2">
        <v>30</v>
      </c>
      <c r="D596" s="2">
        <v>0.30349999999999999</v>
      </c>
      <c r="E596" s="2" t="s">
        <v>596</v>
      </c>
      <c r="F596" s="2">
        <v>0.30349999999999999</v>
      </c>
    </row>
    <row r="597" spans="1:6" x14ac:dyDescent="0.25">
      <c r="A597" s="1">
        <v>30082</v>
      </c>
      <c r="B597" s="2">
        <v>52</v>
      </c>
      <c r="C597" s="2">
        <v>30</v>
      </c>
      <c r="D597" s="2">
        <v>0.22800000000000001</v>
      </c>
      <c r="E597" s="2" t="s">
        <v>597</v>
      </c>
      <c r="F597" s="2">
        <v>0.22800000000000001</v>
      </c>
    </row>
    <row r="598" spans="1:6" x14ac:dyDescent="0.25">
      <c r="A598" s="1">
        <v>30083</v>
      </c>
      <c r="B598" s="2">
        <v>53</v>
      </c>
      <c r="C598" s="2">
        <v>30</v>
      </c>
      <c r="D598" s="2">
        <v>0.11700000000000001</v>
      </c>
      <c r="E598" s="2" t="s">
        <v>598</v>
      </c>
      <c r="F598" s="2">
        <v>0.11700000000000001</v>
      </c>
    </row>
    <row r="599" spans="1:6" x14ac:dyDescent="0.25">
      <c r="A599" s="1">
        <v>30084</v>
      </c>
      <c r="B599" s="2">
        <v>54</v>
      </c>
      <c r="C599" s="2">
        <v>30</v>
      </c>
      <c r="D599" s="2">
        <v>6.3300000000000002E-7</v>
      </c>
      <c r="E599" s="2" t="s">
        <v>599</v>
      </c>
      <c r="F599" s="2">
        <v>6.3300000000000002E-7</v>
      </c>
    </row>
    <row r="600" spans="1:6" x14ac:dyDescent="0.25">
      <c r="A600" s="1">
        <v>30085</v>
      </c>
      <c r="B600" s="2">
        <v>55</v>
      </c>
      <c r="C600" s="2">
        <v>30</v>
      </c>
      <c r="D600" s="2">
        <v>6.37E-7</v>
      </c>
      <c r="E600" s="2" t="s">
        <v>600</v>
      </c>
      <c r="F600" s="2">
        <v>6.37E-7</v>
      </c>
    </row>
    <row r="601" spans="1:6" x14ac:dyDescent="0.25">
      <c r="A601" s="1">
        <v>31060</v>
      </c>
      <c r="B601" s="2">
        <v>29</v>
      </c>
      <c r="C601" s="2">
        <v>31</v>
      </c>
      <c r="D601" s="2">
        <v>7.0000000000000007E-2</v>
      </c>
      <c r="E601" s="2" t="s">
        <v>601</v>
      </c>
      <c r="F601" s="2">
        <v>7.0000000000000007E-2</v>
      </c>
    </row>
    <row r="602" spans="1:6" x14ac:dyDescent="0.25">
      <c r="A602" s="1">
        <v>31061</v>
      </c>
      <c r="B602" s="2">
        <v>30</v>
      </c>
      <c r="C602" s="2">
        <v>31</v>
      </c>
      <c r="D602" s="2">
        <v>0.16700000000000001</v>
      </c>
      <c r="E602" s="2" t="s">
        <v>602</v>
      </c>
      <c r="F602" s="2">
        <v>0.16700000000000001</v>
      </c>
    </row>
    <row r="603" spans="1:6" x14ac:dyDescent="0.25">
      <c r="A603" s="1">
        <v>31062</v>
      </c>
      <c r="B603" s="2">
        <v>31</v>
      </c>
      <c r="C603" s="2">
        <v>31</v>
      </c>
      <c r="D603" s="2">
        <v>0.116121</v>
      </c>
      <c r="E603" s="2" t="s">
        <v>603</v>
      </c>
      <c r="F603" s="2">
        <v>0.116121</v>
      </c>
    </row>
    <row r="604" spans="1:6" x14ac:dyDescent="0.25">
      <c r="A604" s="1">
        <v>31063</v>
      </c>
      <c r="B604" s="2">
        <v>32</v>
      </c>
      <c r="C604" s="2">
        <v>31</v>
      </c>
      <c r="D604" s="2">
        <v>32.4</v>
      </c>
      <c r="E604" s="2" t="s">
        <v>604</v>
      </c>
      <c r="F604" s="2">
        <v>32.4</v>
      </c>
    </row>
    <row r="605" spans="1:6" x14ac:dyDescent="0.25">
      <c r="A605" s="1">
        <v>31064</v>
      </c>
      <c r="B605" s="2">
        <v>33</v>
      </c>
      <c r="C605" s="2">
        <v>31</v>
      </c>
      <c r="D605" s="2">
        <v>157.61999999999901</v>
      </c>
      <c r="E605" s="2" t="s">
        <v>605</v>
      </c>
      <c r="F605" s="2">
        <v>157.61999999999901</v>
      </c>
    </row>
    <row r="606" spans="1:6" x14ac:dyDescent="0.25">
      <c r="A606" s="1">
        <v>31065</v>
      </c>
      <c r="B606" s="2">
        <v>34</v>
      </c>
      <c r="C606" s="2">
        <v>31</v>
      </c>
      <c r="D606" s="2">
        <v>912</v>
      </c>
      <c r="E606" s="2" t="s">
        <v>606</v>
      </c>
      <c r="F606" s="2">
        <v>912</v>
      </c>
    </row>
    <row r="607" spans="1:6" x14ac:dyDescent="0.25">
      <c r="A607" s="1">
        <v>31066</v>
      </c>
      <c r="B607" s="2">
        <v>35</v>
      </c>
      <c r="C607" s="2">
        <v>31</v>
      </c>
      <c r="D607" s="2">
        <v>34164</v>
      </c>
      <c r="E607" s="2" t="s">
        <v>607</v>
      </c>
      <c r="F607" s="2">
        <v>34164</v>
      </c>
    </row>
    <row r="608" spans="1:6" x14ac:dyDescent="0.25">
      <c r="A608" s="1">
        <v>31067</v>
      </c>
      <c r="B608" s="2">
        <v>36</v>
      </c>
      <c r="C608" s="2">
        <v>31</v>
      </c>
      <c r="D608" s="2">
        <v>281810.88</v>
      </c>
      <c r="E608" s="2" t="s">
        <v>608</v>
      </c>
      <c r="F608" s="2">
        <v>281810.88</v>
      </c>
    </row>
    <row r="609" spans="1:6" x14ac:dyDescent="0.25">
      <c r="A609" s="1">
        <v>31068</v>
      </c>
      <c r="B609" s="2">
        <v>37</v>
      </c>
      <c r="C609" s="2">
        <v>31</v>
      </c>
      <c r="D609" s="2">
        <v>4062.5999999999899</v>
      </c>
      <c r="E609" s="2" t="s">
        <v>609</v>
      </c>
      <c r="F609" s="2">
        <v>4062.5999999999899</v>
      </c>
    </row>
    <row r="610" spans="1:6" x14ac:dyDescent="0.25">
      <c r="A610" s="1">
        <v>31069</v>
      </c>
      <c r="B610" s="2">
        <v>38</v>
      </c>
      <c r="C610" s="2">
        <v>31</v>
      </c>
      <c r="D610" s="2" t="s">
        <v>3</v>
      </c>
      <c r="E610" s="2" t="s">
        <v>610</v>
      </c>
      <c r="F610" s="2" t="s">
        <v>3</v>
      </c>
    </row>
    <row r="611" spans="1:6" x14ac:dyDescent="0.25">
      <c r="A611" s="1">
        <v>31070</v>
      </c>
      <c r="B611" s="2">
        <v>39</v>
      </c>
      <c r="C611" s="2">
        <v>31</v>
      </c>
      <c r="D611" s="2">
        <v>1268.4000000000001</v>
      </c>
      <c r="E611" s="2" t="s">
        <v>611</v>
      </c>
      <c r="F611" s="2">
        <v>1268.4000000000001</v>
      </c>
    </row>
    <row r="612" spans="1:6" x14ac:dyDescent="0.25">
      <c r="A612" s="1">
        <v>31071</v>
      </c>
      <c r="B612" s="2">
        <v>40</v>
      </c>
      <c r="C612" s="2">
        <v>31</v>
      </c>
      <c r="D612" s="2" t="s">
        <v>3</v>
      </c>
      <c r="E612" s="2" t="s">
        <v>612</v>
      </c>
      <c r="F612" s="2" t="s">
        <v>3</v>
      </c>
    </row>
    <row r="613" spans="1:6" x14ac:dyDescent="0.25">
      <c r="A613" s="1">
        <v>31072</v>
      </c>
      <c r="B613" s="2">
        <v>41</v>
      </c>
      <c r="C613" s="2">
        <v>31</v>
      </c>
      <c r="D613" s="2">
        <v>50760</v>
      </c>
      <c r="E613" s="2" t="s">
        <v>613</v>
      </c>
      <c r="F613" s="2">
        <v>50760</v>
      </c>
    </row>
    <row r="614" spans="1:6" x14ac:dyDescent="0.25">
      <c r="A614" s="1">
        <v>31073</v>
      </c>
      <c r="B614" s="2">
        <v>42</v>
      </c>
      <c r="C614" s="2">
        <v>31</v>
      </c>
      <c r="D614" s="2">
        <v>17496</v>
      </c>
      <c r="E614" s="2" t="s">
        <v>614</v>
      </c>
      <c r="F614" s="2">
        <v>17496</v>
      </c>
    </row>
    <row r="615" spans="1:6" x14ac:dyDescent="0.25">
      <c r="A615" s="1">
        <v>31074</v>
      </c>
      <c r="B615" s="2">
        <v>43</v>
      </c>
      <c r="C615" s="2">
        <v>31</v>
      </c>
      <c r="D615" s="2">
        <v>487.19999999999902</v>
      </c>
      <c r="E615" s="2" t="s">
        <v>615</v>
      </c>
      <c r="F615" s="2">
        <v>487.19999999999902</v>
      </c>
    </row>
    <row r="616" spans="1:6" x14ac:dyDescent="0.25">
      <c r="A616" s="1">
        <v>31075</v>
      </c>
      <c r="B616" s="2">
        <v>44</v>
      </c>
      <c r="C616" s="2">
        <v>31</v>
      </c>
      <c r="D616" s="2">
        <v>126</v>
      </c>
      <c r="E616" s="2" t="s">
        <v>616</v>
      </c>
      <c r="F616" s="2">
        <v>126</v>
      </c>
    </row>
    <row r="617" spans="1:6" x14ac:dyDescent="0.25">
      <c r="A617" s="1">
        <v>31076</v>
      </c>
      <c r="B617" s="2">
        <v>45</v>
      </c>
      <c r="C617" s="2">
        <v>31</v>
      </c>
      <c r="D617" s="2">
        <v>32.6</v>
      </c>
      <c r="E617" s="2" t="s">
        <v>617</v>
      </c>
      <c r="F617" s="2">
        <v>32.6</v>
      </c>
    </row>
    <row r="618" spans="1:6" x14ac:dyDescent="0.25">
      <c r="A618" s="1">
        <v>31077</v>
      </c>
      <c r="B618" s="2">
        <v>46</v>
      </c>
      <c r="C618" s="2">
        <v>31</v>
      </c>
      <c r="D618" s="2">
        <v>13.2</v>
      </c>
      <c r="E618" s="2" t="s">
        <v>618</v>
      </c>
      <c r="F618" s="2">
        <v>13.2</v>
      </c>
    </row>
    <row r="619" spans="1:6" x14ac:dyDescent="0.25">
      <c r="A619" s="1">
        <v>31078</v>
      </c>
      <c r="B619" s="2">
        <v>47</v>
      </c>
      <c r="C619" s="2">
        <v>31</v>
      </c>
      <c r="D619" s="2">
        <v>5.09</v>
      </c>
      <c r="E619" s="2" t="s">
        <v>619</v>
      </c>
      <c r="F619" s="2">
        <v>5.09</v>
      </c>
    </row>
    <row r="620" spans="1:6" x14ac:dyDescent="0.25">
      <c r="A620" s="1">
        <v>31079</v>
      </c>
      <c r="B620" s="2">
        <v>48</v>
      </c>
      <c r="C620" s="2">
        <v>31</v>
      </c>
      <c r="D620" s="2">
        <v>2.847</v>
      </c>
      <c r="E620" s="2" t="s">
        <v>620</v>
      </c>
      <c r="F620" s="2">
        <v>2.847</v>
      </c>
    </row>
    <row r="621" spans="1:6" x14ac:dyDescent="0.25">
      <c r="A621" s="1">
        <v>31080</v>
      </c>
      <c r="B621" s="2">
        <v>49</v>
      </c>
      <c r="C621" s="2">
        <v>31</v>
      </c>
      <c r="D621" s="2">
        <v>1.9</v>
      </c>
      <c r="E621" s="2" t="s">
        <v>621</v>
      </c>
      <c r="F621" s="2">
        <v>1.9</v>
      </c>
    </row>
    <row r="622" spans="1:6" x14ac:dyDescent="0.25">
      <c r="A622" s="1">
        <v>31081</v>
      </c>
      <c r="B622" s="2">
        <v>50</v>
      </c>
      <c r="C622" s="2">
        <v>31</v>
      </c>
      <c r="D622" s="2">
        <v>1.2170000000000001</v>
      </c>
      <c r="E622" s="2" t="s">
        <v>622</v>
      </c>
      <c r="F622" s="2">
        <v>1.2170000000000001</v>
      </c>
    </row>
    <row r="623" spans="1:6" x14ac:dyDescent="0.25">
      <c r="A623" s="1">
        <v>31082</v>
      </c>
      <c r="B623" s="2">
        <v>51</v>
      </c>
      <c r="C623" s="2">
        <v>31</v>
      </c>
      <c r="D623" s="2">
        <v>0.59899999999999998</v>
      </c>
      <c r="E623" s="2" t="s">
        <v>623</v>
      </c>
      <c r="F623" s="2">
        <v>0.59899999999999998</v>
      </c>
    </row>
    <row r="624" spans="1:6" x14ac:dyDescent="0.25">
      <c r="A624" s="1">
        <v>31083</v>
      </c>
      <c r="B624" s="2">
        <v>52</v>
      </c>
      <c r="C624" s="2">
        <v>31</v>
      </c>
      <c r="D624" s="2">
        <v>0.30809999999999998</v>
      </c>
      <c r="E624" s="2" t="s">
        <v>624</v>
      </c>
      <c r="F624" s="2">
        <v>0.30809999999999998</v>
      </c>
    </row>
    <row r="625" spans="1:6" x14ac:dyDescent="0.25">
      <c r="A625" s="1">
        <v>31084</v>
      </c>
      <c r="B625" s="2">
        <v>53</v>
      </c>
      <c r="C625" s="2">
        <v>31</v>
      </c>
      <c r="D625" s="2">
        <v>8.5000000000000006E-2</v>
      </c>
      <c r="E625" s="2" t="s">
        <v>625</v>
      </c>
      <c r="F625" s="2">
        <v>8.5000000000000006E-2</v>
      </c>
    </row>
    <row r="626" spans="1:6" x14ac:dyDescent="0.25">
      <c r="A626" s="1">
        <v>31085</v>
      </c>
      <c r="B626" s="2">
        <v>54</v>
      </c>
      <c r="C626" s="2">
        <v>31</v>
      </c>
      <c r="D626" s="2">
        <v>9.1999999999999998E-2</v>
      </c>
      <c r="E626" s="2" t="s">
        <v>626</v>
      </c>
      <c r="F626" s="2">
        <v>9.1999999999999998E-2</v>
      </c>
    </row>
    <row r="627" spans="1:6" x14ac:dyDescent="0.25">
      <c r="A627" s="1">
        <v>31086</v>
      </c>
      <c r="B627" s="2">
        <v>55</v>
      </c>
      <c r="C627" s="2">
        <v>31</v>
      </c>
      <c r="D627" s="2">
        <v>4.2999999999999997E-2</v>
      </c>
      <c r="E627" s="2" t="s">
        <v>627</v>
      </c>
      <c r="F627" s="2">
        <v>4.2999999999999997E-2</v>
      </c>
    </row>
    <row r="628" spans="1:6" x14ac:dyDescent="0.25">
      <c r="A628" s="1">
        <v>31087</v>
      </c>
      <c r="B628" s="2">
        <v>56</v>
      </c>
      <c r="C628" s="2">
        <v>31</v>
      </c>
      <c r="D628" s="2">
        <v>6.3399999999999999E-7</v>
      </c>
      <c r="E628" s="2" t="s">
        <v>628</v>
      </c>
      <c r="F628" s="2">
        <v>6.3399999999999999E-7</v>
      </c>
    </row>
    <row r="629" spans="1:6" x14ac:dyDescent="0.25">
      <c r="A629" s="1">
        <v>32059</v>
      </c>
      <c r="B629" s="2">
        <v>27</v>
      </c>
      <c r="C629" s="2">
        <v>32</v>
      </c>
      <c r="D629" s="2">
        <v>3.5999999999999999E-7</v>
      </c>
      <c r="E629" s="2" t="s">
        <v>629</v>
      </c>
      <c r="F629" s="2">
        <v>3.5999999999999999E-7</v>
      </c>
    </row>
    <row r="630" spans="1:6" x14ac:dyDescent="0.25">
      <c r="A630" s="1">
        <v>32060</v>
      </c>
      <c r="B630" s="2">
        <v>28</v>
      </c>
      <c r="C630" s="2">
        <v>32</v>
      </c>
      <c r="D630" s="2">
        <v>1.1000000000000001E-7</v>
      </c>
      <c r="E630" s="2" t="s">
        <v>630</v>
      </c>
      <c r="F630" s="2">
        <v>1.1000000000000001E-7</v>
      </c>
    </row>
    <row r="631" spans="1:6" x14ac:dyDescent="0.25">
      <c r="A631" s="1">
        <v>32061</v>
      </c>
      <c r="B631" s="2">
        <v>29</v>
      </c>
      <c r="C631" s="2">
        <v>32</v>
      </c>
      <c r="D631" s="2">
        <v>4.3999999999999997E-2</v>
      </c>
      <c r="E631" s="2" t="s">
        <v>631</v>
      </c>
      <c r="F631" s="2">
        <v>4.3999999999999997E-2</v>
      </c>
    </row>
    <row r="632" spans="1:6" x14ac:dyDescent="0.25">
      <c r="A632" s="1">
        <v>32062</v>
      </c>
      <c r="B632" s="2">
        <v>30</v>
      </c>
      <c r="C632" s="2">
        <v>32</v>
      </c>
      <c r="D632" s="2">
        <v>0.129</v>
      </c>
      <c r="E632" s="2" t="s">
        <v>632</v>
      </c>
      <c r="F632" s="2">
        <v>0.129</v>
      </c>
    </row>
    <row r="633" spans="1:6" x14ac:dyDescent="0.25">
      <c r="A633" s="1">
        <v>32063</v>
      </c>
      <c r="B633" s="2">
        <v>31</v>
      </c>
      <c r="C633" s="2">
        <v>32</v>
      </c>
      <c r="D633" s="2">
        <v>0.15</v>
      </c>
      <c r="E633" s="2" t="s">
        <v>633</v>
      </c>
      <c r="F633" s="2">
        <v>0.15</v>
      </c>
    </row>
    <row r="634" spans="1:6" x14ac:dyDescent="0.25">
      <c r="A634" s="1">
        <v>32064</v>
      </c>
      <c r="B634" s="2">
        <v>32</v>
      </c>
      <c r="C634" s="2">
        <v>32</v>
      </c>
      <c r="D634" s="2">
        <v>63.7</v>
      </c>
      <c r="E634" s="2" t="s">
        <v>634</v>
      </c>
      <c r="F634" s="2">
        <v>63.7</v>
      </c>
    </row>
    <row r="635" spans="1:6" x14ac:dyDescent="0.25">
      <c r="A635" s="1">
        <v>32065</v>
      </c>
      <c r="B635" s="2">
        <v>33</v>
      </c>
      <c r="C635" s="2">
        <v>32</v>
      </c>
      <c r="D635" s="2">
        <v>30.9</v>
      </c>
      <c r="E635" s="2" t="s">
        <v>635</v>
      </c>
      <c r="F635" s="2">
        <v>30.9</v>
      </c>
    </row>
    <row r="636" spans="1:6" x14ac:dyDescent="0.25">
      <c r="A636" s="1">
        <v>32066</v>
      </c>
      <c r="B636" s="2">
        <v>34</v>
      </c>
      <c r="C636" s="2">
        <v>32</v>
      </c>
      <c r="D636" s="2">
        <v>8135.99999999999</v>
      </c>
      <c r="E636" s="2" t="s">
        <v>636</v>
      </c>
      <c r="F636" s="2">
        <v>8135.99999999999</v>
      </c>
    </row>
    <row r="637" spans="1:6" x14ac:dyDescent="0.25">
      <c r="A637" s="1">
        <v>32067</v>
      </c>
      <c r="B637" s="2">
        <v>35</v>
      </c>
      <c r="C637" s="2">
        <v>32</v>
      </c>
      <c r="D637" s="2">
        <v>1134</v>
      </c>
      <c r="E637" s="2" t="s">
        <v>637</v>
      </c>
      <c r="F637" s="2">
        <v>1134</v>
      </c>
    </row>
    <row r="638" spans="1:6" x14ac:dyDescent="0.25">
      <c r="A638" s="1">
        <v>32068</v>
      </c>
      <c r="B638" s="2">
        <v>36</v>
      </c>
      <c r="C638" s="2">
        <v>32</v>
      </c>
      <c r="D638" s="2">
        <v>23408352</v>
      </c>
      <c r="E638" s="2" t="s">
        <v>638</v>
      </c>
      <c r="F638" s="2">
        <v>23408352</v>
      </c>
    </row>
    <row r="639" spans="1:6" x14ac:dyDescent="0.25">
      <c r="A639" s="1">
        <v>32069</v>
      </c>
      <c r="B639" s="2">
        <v>37</v>
      </c>
      <c r="C639" s="2">
        <v>32</v>
      </c>
      <c r="D639" s="2">
        <v>140580</v>
      </c>
      <c r="E639" s="2" t="s">
        <v>639</v>
      </c>
      <c r="F639" s="2">
        <v>140580</v>
      </c>
    </row>
    <row r="640" spans="1:6" x14ac:dyDescent="0.25">
      <c r="A640" s="1">
        <v>32070</v>
      </c>
      <c r="B640" s="2">
        <v>38</v>
      </c>
      <c r="C640" s="2">
        <v>32</v>
      </c>
      <c r="D640" s="2" t="s">
        <v>3</v>
      </c>
      <c r="E640" s="2" t="s">
        <v>640</v>
      </c>
      <c r="F640" s="2" t="s">
        <v>3</v>
      </c>
    </row>
    <row r="641" spans="1:6" x14ac:dyDescent="0.25">
      <c r="A641" s="1">
        <v>32071</v>
      </c>
      <c r="B641" s="2">
        <v>39</v>
      </c>
      <c r="C641" s="2">
        <v>32</v>
      </c>
      <c r="D641" s="2">
        <v>987552</v>
      </c>
      <c r="E641" s="2" t="s">
        <v>641</v>
      </c>
      <c r="F641" s="2">
        <v>987552</v>
      </c>
    </row>
    <row r="642" spans="1:6" x14ac:dyDescent="0.25">
      <c r="A642" s="1">
        <v>32072</v>
      </c>
      <c r="B642" s="2">
        <v>40</v>
      </c>
      <c r="C642" s="2">
        <v>32</v>
      </c>
      <c r="D642" s="2" t="s">
        <v>3</v>
      </c>
      <c r="E642" s="2" t="s">
        <v>642</v>
      </c>
      <c r="F642" s="2" t="s">
        <v>3</v>
      </c>
    </row>
    <row r="643" spans="1:6" x14ac:dyDescent="0.25">
      <c r="A643" s="1">
        <v>32073</v>
      </c>
      <c r="B643" s="2">
        <v>41</v>
      </c>
      <c r="C643" s="2">
        <v>32</v>
      </c>
      <c r="D643" s="2" t="s">
        <v>3</v>
      </c>
      <c r="E643" s="2" t="s">
        <v>643</v>
      </c>
      <c r="F643" s="2" t="s">
        <v>3</v>
      </c>
    </row>
    <row r="644" spans="1:6" x14ac:dyDescent="0.25">
      <c r="A644" s="1">
        <v>32074</v>
      </c>
      <c r="B644" s="2">
        <v>42</v>
      </c>
      <c r="C644" s="2">
        <v>32</v>
      </c>
      <c r="D644" s="2" t="s">
        <v>3</v>
      </c>
      <c r="E644" s="2" t="s">
        <v>644</v>
      </c>
      <c r="F644" s="2" t="s">
        <v>3</v>
      </c>
    </row>
    <row r="645" spans="1:6" x14ac:dyDescent="0.25">
      <c r="A645" s="1">
        <v>32075</v>
      </c>
      <c r="B645" s="2">
        <v>43</v>
      </c>
      <c r="C645" s="2">
        <v>32</v>
      </c>
      <c r="D645" s="2">
        <v>4966.8</v>
      </c>
      <c r="E645" s="2" t="s">
        <v>645</v>
      </c>
      <c r="F645" s="2">
        <v>4966.8</v>
      </c>
    </row>
    <row r="646" spans="1:6" x14ac:dyDescent="0.25">
      <c r="A646" s="1">
        <v>32076</v>
      </c>
      <c r="B646" s="2">
        <v>44</v>
      </c>
      <c r="C646" s="2">
        <v>32</v>
      </c>
      <c r="D646" s="2" t="s">
        <v>3</v>
      </c>
      <c r="E646" s="2" t="s">
        <v>646</v>
      </c>
      <c r="F646" s="2" t="s">
        <v>3</v>
      </c>
    </row>
    <row r="647" spans="1:6" x14ac:dyDescent="0.25">
      <c r="A647" s="1">
        <v>32077</v>
      </c>
      <c r="B647" s="2">
        <v>45</v>
      </c>
      <c r="C647" s="2">
        <v>32</v>
      </c>
      <c r="D647" s="2">
        <v>40680</v>
      </c>
      <c r="E647" s="2" t="s">
        <v>647</v>
      </c>
      <c r="F647" s="2">
        <v>40680</v>
      </c>
    </row>
    <row r="648" spans="1:6" x14ac:dyDescent="0.25">
      <c r="A648" s="1">
        <v>32078</v>
      </c>
      <c r="B648" s="2">
        <v>46</v>
      </c>
      <c r="C648" s="2">
        <v>32</v>
      </c>
      <c r="D648" s="2">
        <v>5280</v>
      </c>
      <c r="E648" s="2" t="s">
        <v>648</v>
      </c>
      <c r="F648" s="2">
        <v>5280</v>
      </c>
    </row>
    <row r="649" spans="1:6" x14ac:dyDescent="0.25">
      <c r="A649" s="1">
        <v>32079</v>
      </c>
      <c r="B649" s="2">
        <v>47</v>
      </c>
      <c r="C649" s="2">
        <v>32</v>
      </c>
      <c r="D649" s="2">
        <v>18.98</v>
      </c>
      <c r="E649" s="2" t="s">
        <v>649</v>
      </c>
      <c r="F649" s="2">
        <v>18.98</v>
      </c>
    </row>
    <row r="650" spans="1:6" x14ac:dyDescent="0.25">
      <c r="A650" s="1">
        <v>32080</v>
      </c>
      <c r="B650" s="2">
        <v>48</v>
      </c>
      <c r="C650" s="2">
        <v>32</v>
      </c>
      <c r="D650" s="2">
        <v>29.5</v>
      </c>
      <c r="E650" s="2" t="s">
        <v>650</v>
      </c>
      <c r="F650" s="2">
        <v>29.5</v>
      </c>
    </row>
    <row r="651" spans="1:6" x14ac:dyDescent="0.25">
      <c r="A651" s="1">
        <v>32081</v>
      </c>
      <c r="B651" s="2">
        <v>49</v>
      </c>
      <c r="C651" s="2">
        <v>32</v>
      </c>
      <c r="D651" s="2">
        <v>7.6</v>
      </c>
      <c r="E651" s="2" t="s">
        <v>651</v>
      </c>
      <c r="F651" s="2">
        <v>7.6</v>
      </c>
    </row>
    <row r="652" spans="1:6" x14ac:dyDescent="0.25">
      <c r="A652" s="1">
        <v>32082</v>
      </c>
      <c r="B652" s="2">
        <v>50</v>
      </c>
      <c r="C652" s="2">
        <v>32</v>
      </c>
      <c r="D652" s="2">
        <v>4.5599999999999996</v>
      </c>
      <c r="E652" s="2" t="s">
        <v>652</v>
      </c>
      <c r="F652" s="2">
        <v>4.5599999999999996</v>
      </c>
    </row>
    <row r="653" spans="1:6" x14ac:dyDescent="0.25">
      <c r="A653" s="1">
        <v>32083</v>
      </c>
      <c r="B653" s="2">
        <v>51</v>
      </c>
      <c r="C653" s="2">
        <v>32</v>
      </c>
      <c r="D653" s="2">
        <v>1.85</v>
      </c>
      <c r="E653" s="2" t="s">
        <v>653</v>
      </c>
      <c r="F653" s="2">
        <v>1.85</v>
      </c>
    </row>
    <row r="654" spans="1:6" x14ac:dyDescent="0.25">
      <c r="A654" s="1">
        <v>32084</v>
      </c>
      <c r="B654" s="2">
        <v>52</v>
      </c>
      <c r="C654" s="2">
        <v>32</v>
      </c>
      <c r="D654" s="2">
        <v>0.95399999999999996</v>
      </c>
      <c r="E654" s="2" t="s">
        <v>654</v>
      </c>
      <c r="F654" s="2">
        <v>0.95399999999999996</v>
      </c>
    </row>
    <row r="655" spans="1:6" x14ac:dyDescent="0.25">
      <c r="A655" s="1">
        <v>32085</v>
      </c>
      <c r="B655" s="2">
        <v>53</v>
      </c>
      <c r="C655" s="2">
        <v>32</v>
      </c>
      <c r="D655" s="2">
        <v>0.503</v>
      </c>
      <c r="E655" s="2" t="s">
        <v>655</v>
      </c>
      <c r="F655" s="2">
        <v>0.503</v>
      </c>
    </row>
    <row r="656" spans="1:6" x14ac:dyDescent="0.25">
      <c r="A656" s="1">
        <v>32086</v>
      </c>
      <c r="B656" s="2">
        <v>54</v>
      </c>
      <c r="C656" s="2">
        <v>32</v>
      </c>
      <c r="D656" s="2">
        <v>0.22600000000000001</v>
      </c>
      <c r="E656" s="2" t="s">
        <v>656</v>
      </c>
      <c r="F656" s="2">
        <v>0.22600000000000001</v>
      </c>
    </row>
    <row r="657" spans="1:6" x14ac:dyDescent="0.25">
      <c r="A657" s="1">
        <v>32087</v>
      </c>
      <c r="B657" s="2">
        <v>55</v>
      </c>
      <c r="C657" s="2">
        <v>32</v>
      </c>
      <c r="D657" s="2">
        <v>0.14000000000000001</v>
      </c>
      <c r="E657" s="2" t="s">
        <v>657</v>
      </c>
      <c r="F657" s="2">
        <v>0.14000000000000001</v>
      </c>
    </row>
    <row r="658" spans="1:6" x14ac:dyDescent="0.25">
      <c r="A658" s="1">
        <v>32088</v>
      </c>
      <c r="B658" s="2">
        <v>56</v>
      </c>
      <c r="C658" s="2">
        <v>32</v>
      </c>
      <c r="D658" s="2">
        <v>2.9999999999999999E-7</v>
      </c>
      <c r="E658" s="2" t="s">
        <v>658</v>
      </c>
      <c r="F658" s="2">
        <v>2.9999999999999999E-7</v>
      </c>
    </row>
    <row r="659" spans="1:6" x14ac:dyDescent="0.25">
      <c r="A659" s="1">
        <v>32089</v>
      </c>
      <c r="B659" s="2">
        <v>57</v>
      </c>
      <c r="C659" s="2">
        <v>32</v>
      </c>
      <c r="D659" s="2">
        <v>2.9999999999999999E-7</v>
      </c>
      <c r="E659" s="2" t="s">
        <v>659</v>
      </c>
      <c r="F659" s="2">
        <v>2.9999999999999999E-7</v>
      </c>
    </row>
    <row r="660" spans="1:6" x14ac:dyDescent="0.25">
      <c r="A660" s="1">
        <v>32090</v>
      </c>
      <c r="B660" s="2">
        <v>58</v>
      </c>
      <c r="C660" s="2">
        <v>32</v>
      </c>
      <c r="D660" s="2">
        <v>6.3499999999999996E-7</v>
      </c>
      <c r="E660" s="2" t="s">
        <v>660</v>
      </c>
      <c r="F660" s="2">
        <v>6.3499999999999996E-7</v>
      </c>
    </row>
    <row r="661" spans="1:6" x14ac:dyDescent="0.25">
      <c r="A661" s="1">
        <v>33064</v>
      </c>
      <c r="B661" s="2">
        <v>31</v>
      </c>
      <c r="C661" s="2">
        <v>33</v>
      </c>
      <c r="D661" s="2">
        <v>1.7999999999999999E-2</v>
      </c>
      <c r="E661" s="2" t="s">
        <v>661</v>
      </c>
      <c r="F661" s="2">
        <v>1.7999999999999999E-2</v>
      </c>
    </row>
    <row r="662" spans="1:6" x14ac:dyDescent="0.25">
      <c r="A662" s="1">
        <v>33065</v>
      </c>
      <c r="B662" s="2">
        <v>32</v>
      </c>
      <c r="C662" s="2">
        <v>33</v>
      </c>
      <c r="D662" s="2">
        <v>0.128</v>
      </c>
      <c r="E662" s="2" t="s">
        <v>662</v>
      </c>
      <c r="F662" s="2">
        <v>0.128</v>
      </c>
    </row>
    <row r="663" spans="1:6" x14ac:dyDescent="0.25">
      <c r="A663" s="1">
        <v>33066</v>
      </c>
      <c r="B663" s="2">
        <v>33</v>
      </c>
      <c r="C663" s="2">
        <v>33</v>
      </c>
      <c r="D663" s="2">
        <v>9.5769999999999994E-2</v>
      </c>
      <c r="E663" s="2" t="s">
        <v>663</v>
      </c>
      <c r="F663" s="2">
        <v>9.5769999999999994E-2</v>
      </c>
    </row>
    <row r="664" spans="1:6" x14ac:dyDescent="0.25">
      <c r="A664" s="1">
        <v>33067</v>
      </c>
      <c r="B664" s="2">
        <v>34</v>
      </c>
      <c r="C664" s="2">
        <v>33</v>
      </c>
      <c r="D664" s="2">
        <v>42.5</v>
      </c>
      <c r="E664" s="2" t="s">
        <v>664</v>
      </c>
      <c r="F664" s="2">
        <v>42.5</v>
      </c>
    </row>
    <row r="665" spans="1:6" x14ac:dyDescent="0.25">
      <c r="A665" s="1">
        <v>33068</v>
      </c>
      <c r="B665" s="2">
        <v>35</v>
      </c>
      <c r="C665" s="2">
        <v>33</v>
      </c>
      <c r="D665" s="2">
        <v>151.6</v>
      </c>
      <c r="E665" s="2" t="s">
        <v>665</v>
      </c>
      <c r="F665" s="2">
        <v>151.6</v>
      </c>
    </row>
    <row r="666" spans="1:6" x14ac:dyDescent="0.25">
      <c r="A666" s="1">
        <v>33069</v>
      </c>
      <c r="B666" s="2">
        <v>36</v>
      </c>
      <c r="C666" s="2">
        <v>33</v>
      </c>
      <c r="D666" s="2">
        <v>912</v>
      </c>
      <c r="E666" s="2" t="s">
        <v>666</v>
      </c>
      <c r="F666" s="2">
        <v>912</v>
      </c>
    </row>
    <row r="667" spans="1:6" x14ac:dyDescent="0.25">
      <c r="A667" s="1">
        <v>33070</v>
      </c>
      <c r="B667" s="2">
        <v>37</v>
      </c>
      <c r="C667" s="2">
        <v>33</v>
      </c>
      <c r="D667" s="2">
        <v>3156</v>
      </c>
      <c r="E667" s="2" t="s">
        <v>667</v>
      </c>
      <c r="F667" s="2">
        <v>3156</v>
      </c>
    </row>
    <row r="668" spans="1:6" x14ac:dyDescent="0.25">
      <c r="A668" s="1">
        <v>33071</v>
      </c>
      <c r="B668" s="2">
        <v>38</v>
      </c>
      <c r="C668" s="2">
        <v>33</v>
      </c>
      <c r="D668" s="2">
        <v>235080</v>
      </c>
      <c r="E668" s="2" t="s">
        <v>668</v>
      </c>
      <c r="F668" s="2">
        <v>235080</v>
      </c>
    </row>
    <row r="669" spans="1:6" x14ac:dyDescent="0.25">
      <c r="A669" s="1">
        <v>33072</v>
      </c>
      <c r="B669" s="2">
        <v>39</v>
      </c>
      <c r="C669" s="2">
        <v>33</v>
      </c>
      <c r="D669" s="2">
        <v>93600</v>
      </c>
      <c r="E669" s="2" t="s">
        <v>669</v>
      </c>
      <c r="F669" s="2">
        <v>93600</v>
      </c>
    </row>
    <row r="670" spans="1:6" x14ac:dyDescent="0.25">
      <c r="A670" s="1">
        <v>33073</v>
      </c>
      <c r="B670" s="2">
        <v>40</v>
      </c>
      <c r="C670" s="2">
        <v>33</v>
      </c>
      <c r="D670" s="2">
        <v>6937920</v>
      </c>
      <c r="E670" s="2" t="s">
        <v>670</v>
      </c>
      <c r="F670" s="2">
        <v>6937920</v>
      </c>
    </row>
    <row r="671" spans="1:6" x14ac:dyDescent="0.25">
      <c r="A671" s="1">
        <v>33074</v>
      </c>
      <c r="B671" s="2">
        <v>41</v>
      </c>
      <c r="C671" s="2">
        <v>33</v>
      </c>
      <c r="D671" s="2">
        <v>1535328</v>
      </c>
      <c r="E671" s="2" t="s">
        <v>671</v>
      </c>
      <c r="F671" s="2">
        <v>1535328</v>
      </c>
    </row>
    <row r="672" spans="1:6" x14ac:dyDescent="0.25">
      <c r="A672" s="1">
        <v>33075</v>
      </c>
      <c r="B672" s="2">
        <v>42</v>
      </c>
      <c r="C672" s="2">
        <v>33</v>
      </c>
      <c r="D672" s="2" t="s">
        <v>3</v>
      </c>
      <c r="E672" s="2" t="s">
        <v>672</v>
      </c>
      <c r="F672" s="2" t="s">
        <v>3</v>
      </c>
    </row>
    <row r="673" spans="1:6" x14ac:dyDescent="0.25">
      <c r="A673" s="1">
        <v>33076</v>
      </c>
      <c r="B673" s="2">
        <v>43</v>
      </c>
      <c r="C673" s="2">
        <v>33</v>
      </c>
      <c r="D673" s="2">
        <v>94538.880000000005</v>
      </c>
      <c r="E673" s="2" t="s">
        <v>673</v>
      </c>
      <c r="F673" s="2">
        <v>94538.880000000005</v>
      </c>
    </row>
    <row r="674" spans="1:6" x14ac:dyDescent="0.25">
      <c r="A674" s="1">
        <v>33077</v>
      </c>
      <c r="B674" s="2">
        <v>44</v>
      </c>
      <c r="C674" s="2">
        <v>33</v>
      </c>
      <c r="D674" s="2">
        <v>139788</v>
      </c>
      <c r="E674" s="2" t="s">
        <v>674</v>
      </c>
      <c r="F674" s="2">
        <v>139788</v>
      </c>
    </row>
    <row r="675" spans="1:6" x14ac:dyDescent="0.25">
      <c r="A675" s="1">
        <v>33078</v>
      </c>
      <c r="B675" s="2">
        <v>45</v>
      </c>
      <c r="C675" s="2">
        <v>33</v>
      </c>
      <c r="D675" s="2">
        <v>5442</v>
      </c>
      <c r="E675" s="2" t="s">
        <v>675</v>
      </c>
      <c r="F675" s="2">
        <v>5442</v>
      </c>
    </row>
    <row r="676" spans="1:6" x14ac:dyDescent="0.25">
      <c r="A676" s="1">
        <v>33079</v>
      </c>
      <c r="B676" s="2">
        <v>46</v>
      </c>
      <c r="C676" s="2">
        <v>33</v>
      </c>
      <c r="D676" s="2">
        <v>540.6</v>
      </c>
      <c r="E676" s="2" t="s">
        <v>676</v>
      </c>
      <c r="F676" s="2">
        <v>540.6</v>
      </c>
    </row>
    <row r="677" spans="1:6" x14ac:dyDescent="0.25">
      <c r="A677" s="1">
        <v>33080</v>
      </c>
      <c r="B677" s="2">
        <v>47</v>
      </c>
      <c r="C677" s="2">
        <v>33</v>
      </c>
      <c r="D677" s="2">
        <v>15.2</v>
      </c>
      <c r="E677" s="2" t="s">
        <v>677</v>
      </c>
      <c r="F677" s="2">
        <v>15.2</v>
      </c>
    </row>
    <row r="678" spans="1:6" x14ac:dyDescent="0.25">
      <c r="A678" s="1">
        <v>33081</v>
      </c>
      <c r="B678" s="2">
        <v>48</v>
      </c>
      <c r="C678" s="2">
        <v>33</v>
      </c>
      <c r="D678" s="2">
        <v>33.299999999999997</v>
      </c>
      <c r="E678" s="2" t="s">
        <v>678</v>
      </c>
      <c r="F678" s="2">
        <v>33.299999999999997</v>
      </c>
    </row>
    <row r="679" spans="1:6" x14ac:dyDescent="0.25">
      <c r="A679" s="1">
        <v>33082</v>
      </c>
      <c r="B679" s="2">
        <v>49</v>
      </c>
      <c r="C679" s="2">
        <v>33</v>
      </c>
      <c r="D679" s="2">
        <v>19.100000000000001</v>
      </c>
      <c r="E679" s="2" t="s">
        <v>679</v>
      </c>
      <c r="F679" s="2">
        <v>19.100000000000001</v>
      </c>
    </row>
    <row r="680" spans="1:6" x14ac:dyDescent="0.25">
      <c r="A680" s="1">
        <v>33083</v>
      </c>
      <c r="B680" s="2">
        <v>50</v>
      </c>
      <c r="C680" s="2">
        <v>33</v>
      </c>
      <c r="D680" s="2">
        <v>13.4</v>
      </c>
      <c r="E680" s="2" t="s">
        <v>680</v>
      </c>
      <c r="F680" s="2">
        <v>13.4</v>
      </c>
    </row>
    <row r="681" spans="1:6" x14ac:dyDescent="0.25">
      <c r="A681" s="1">
        <v>33084</v>
      </c>
      <c r="B681" s="2">
        <v>51</v>
      </c>
      <c r="C681" s="2">
        <v>33</v>
      </c>
      <c r="D681" s="2">
        <v>4.0199999999999996</v>
      </c>
      <c r="E681" s="2" t="s">
        <v>681</v>
      </c>
      <c r="F681" s="2">
        <v>4.0199999999999996</v>
      </c>
    </row>
    <row r="682" spans="1:6" x14ac:dyDescent="0.25">
      <c r="A682" s="1">
        <v>33085</v>
      </c>
      <c r="B682" s="2">
        <v>52</v>
      </c>
      <c r="C682" s="2">
        <v>33</v>
      </c>
      <c r="D682" s="2">
        <v>2.0209999999999999</v>
      </c>
      <c r="E682" s="2" t="s">
        <v>682</v>
      </c>
      <c r="F682" s="2">
        <v>2.0209999999999999</v>
      </c>
    </row>
    <row r="683" spans="1:6" x14ac:dyDescent="0.25">
      <c r="A683" s="1">
        <v>33086</v>
      </c>
      <c r="B683" s="2">
        <v>53</v>
      </c>
      <c r="C683" s="2">
        <v>33</v>
      </c>
      <c r="D683" s="2">
        <v>0.94499999999999995</v>
      </c>
      <c r="E683" s="2" t="s">
        <v>683</v>
      </c>
      <c r="F683" s="2">
        <v>0.94499999999999995</v>
      </c>
    </row>
    <row r="684" spans="1:6" x14ac:dyDescent="0.25">
      <c r="A684" s="1">
        <v>33087</v>
      </c>
      <c r="B684" s="2">
        <v>54</v>
      </c>
      <c r="C684" s="2">
        <v>33</v>
      </c>
      <c r="D684" s="2">
        <v>0.48399999999999999</v>
      </c>
      <c r="E684" s="2" t="s">
        <v>684</v>
      </c>
      <c r="F684" s="2">
        <v>0.48399999999999999</v>
      </c>
    </row>
    <row r="685" spans="1:6" x14ac:dyDescent="0.25">
      <c r="A685" s="1">
        <v>33088</v>
      </c>
      <c r="B685" s="2">
        <v>55</v>
      </c>
      <c r="C685" s="2">
        <v>33</v>
      </c>
      <c r="D685" s="2">
        <v>0.2</v>
      </c>
      <c r="E685" s="2" t="s">
        <v>685</v>
      </c>
      <c r="F685" s="2">
        <v>0.2</v>
      </c>
    </row>
    <row r="686" spans="1:6" x14ac:dyDescent="0.25">
      <c r="A686" s="1">
        <v>33089</v>
      </c>
      <c r="B686" s="2">
        <v>56</v>
      </c>
      <c r="C686" s="2">
        <v>33</v>
      </c>
      <c r="D686" s="2">
        <v>2.9999999999999999E-7</v>
      </c>
      <c r="E686" s="2" t="s">
        <v>686</v>
      </c>
      <c r="F686" s="2">
        <v>2.9999999999999999E-7</v>
      </c>
    </row>
    <row r="687" spans="1:6" x14ac:dyDescent="0.25">
      <c r="A687" s="1">
        <v>33090</v>
      </c>
      <c r="B687" s="2">
        <v>57</v>
      </c>
      <c r="C687" s="2">
        <v>33</v>
      </c>
      <c r="D687" s="2">
        <v>2.9999999999999999E-7</v>
      </c>
      <c r="E687" s="2" t="s">
        <v>687</v>
      </c>
      <c r="F687" s="2">
        <v>2.9999999999999999E-7</v>
      </c>
    </row>
    <row r="688" spans="1:6" x14ac:dyDescent="0.25">
      <c r="A688" s="1">
        <v>33091</v>
      </c>
      <c r="B688" s="2">
        <v>58</v>
      </c>
      <c r="C688" s="2">
        <v>33</v>
      </c>
      <c r="D688" s="2">
        <v>1.4999999999999999E-7</v>
      </c>
      <c r="E688" s="2" t="s">
        <v>688</v>
      </c>
      <c r="F688" s="2">
        <v>1.4999999999999999E-7</v>
      </c>
    </row>
    <row r="689" spans="1:6" x14ac:dyDescent="0.25">
      <c r="A689" s="1">
        <v>34064</v>
      </c>
      <c r="B689" s="2">
        <v>30</v>
      </c>
      <c r="C689" s="2">
        <v>34</v>
      </c>
      <c r="D689" s="2">
        <v>1.8E-7</v>
      </c>
      <c r="E689" s="2" t="s">
        <v>689</v>
      </c>
      <c r="F689" s="2">
        <v>1.8E-7</v>
      </c>
    </row>
    <row r="690" spans="1:6" x14ac:dyDescent="0.25">
      <c r="A690" s="1">
        <v>34065</v>
      </c>
      <c r="B690" s="2">
        <v>31</v>
      </c>
      <c r="C690" s="2">
        <v>34</v>
      </c>
      <c r="D690" s="2">
        <v>3.3000000000000002E-2</v>
      </c>
      <c r="E690" s="2" t="s">
        <v>690</v>
      </c>
      <c r="F690" s="2">
        <v>3.3000000000000002E-2</v>
      </c>
    </row>
    <row r="691" spans="1:6" x14ac:dyDescent="0.25">
      <c r="A691" s="1">
        <v>34066</v>
      </c>
      <c r="B691" s="2">
        <v>32</v>
      </c>
      <c r="C691" s="2">
        <v>34</v>
      </c>
      <c r="D691" s="2">
        <v>4.2000000000000003E-2</v>
      </c>
      <c r="E691" s="2" t="s">
        <v>691</v>
      </c>
      <c r="F691" s="2">
        <v>4.2000000000000003E-2</v>
      </c>
    </row>
    <row r="692" spans="1:6" x14ac:dyDescent="0.25">
      <c r="A692" s="1">
        <v>34067</v>
      </c>
      <c r="B692" s="2">
        <v>33</v>
      </c>
      <c r="C692" s="2">
        <v>34</v>
      </c>
      <c r="D692" s="2">
        <v>0.13600000000000001</v>
      </c>
      <c r="E692" s="2" t="s">
        <v>692</v>
      </c>
      <c r="F692" s="2">
        <v>0.13600000000000001</v>
      </c>
    </row>
    <row r="693" spans="1:6" x14ac:dyDescent="0.25">
      <c r="A693" s="1">
        <v>34068</v>
      </c>
      <c r="B693" s="2">
        <v>34</v>
      </c>
      <c r="C693" s="2">
        <v>34</v>
      </c>
      <c r="D693" s="2">
        <v>35.5</v>
      </c>
      <c r="E693" s="2" t="s">
        <v>693</v>
      </c>
      <c r="F693" s="2">
        <v>35.5</v>
      </c>
    </row>
    <row r="694" spans="1:6" x14ac:dyDescent="0.25">
      <c r="A694" s="1">
        <v>34069</v>
      </c>
      <c r="B694" s="2">
        <v>35</v>
      </c>
      <c r="C694" s="2">
        <v>34</v>
      </c>
      <c r="D694" s="2">
        <v>27.4</v>
      </c>
      <c r="E694" s="2" t="s">
        <v>694</v>
      </c>
      <c r="F694" s="2">
        <v>27.4</v>
      </c>
    </row>
    <row r="695" spans="1:6" x14ac:dyDescent="0.25">
      <c r="A695" s="1">
        <v>34070</v>
      </c>
      <c r="B695" s="2">
        <v>36</v>
      </c>
      <c r="C695" s="2">
        <v>34</v>
      </c>
      <c r="D695" s="2">
        <v>2466</v>
      </c>
      <c r="E695" s="2" t="s">
        <v>695</v>
      </c>
      <c r="F695" s="2">
        <v>2466</v>
      </c>
    </row>
    <row r="696" spans="1:6" x14ac:dyDescent="0.25">
      <c r="A696" s="1">
        <v>34071</v>
      </c>
      <c r="B696" s="2">
        <v>37</v>
      </c>
      <c r="C696" s="2">
        <v>34</v>
      </c>
      <c r="D696" s="2">
        <v>284.39999999999998</v>
      </c>
      <c r="E696" s="2" t="s">
        <v>696</v>
      </c>
      <c r="F696" s="2">
        <v>284.39999999999998</v>
      </c>
    </row>
    <row r="697" spans="1:6" x14ac:dyDescent="0.25">
      <c r="A697" s="1">
        <v>34072</v>
      </c>
      <c r="B697" s="2">
        <v>38</v>
      </c>
      <c r="C697" s="2">
        <v>34</v>
      </c>
      <c r="D697" s="2">
        <v>725760</v>
      </c>
      <c r="E697" s="2" t="s">
        <v>697</v>
      </c>
      <c r="F697" s="2">
        <v>725760</v>
      </c>
    </row>
    <row r="698" spans="1:6" x14ac:dyDescent="0.25">
      <c r="A698" s="1">
        <v>34073</v>
      </c>
      <c r="B698" s="2">
        <v>39</v>
      </c>
      <c r="C698" s="2">
        <v>34</v>
      </c>
      <c r="D698" s="2">
        <v>25740</v>
      </c>
      <c r="E698" s="2" t="s">
        <v>698</v>
      </c>
      <c r="F698" s="2">
        <v>25740</v>
      </c>
    </row>
    <row r="699" spans="1:6" x14ac:dyDescent="0.25">
      <c r="A699" s="1">
        <v>34074</v>
      </c>
      <c r="B699" s="2">
        <v>40</v>
      </c>
      <c r="C699" s="2">
        <v>34</v>
      </c>
      <c r="D699" s="2" t="s">
        <v>3</v>
      </c>
      <c r="E699" s="2" t="s">
        <v>699</v>
      </c>
      <c r="F699" s="2" t="s">
        <v>3</v>
      </c>
    </row>
    <row r="700" spans="1:6" x14ac:dyDescent="0.25">
      <c r="A700" s="1">
        <v>34075</v>
      </c>
      <c r="B700" s="2">
        <v>41</v>
      </c>
      <c r="C700" s="2">
        <v>34</v>
      </c>
      <c r="D700" s="2">
        <v>10348992</v>
      </c>
      <c r="E700" s="2" t="s">
        <v>700</v>
      </c>
      <c r="F700" s="2">
        <v>10348992</v>
      </c>
    </row>
    <row r="701" spans="1:6" x14ac:dyDescent="0.25">
      <c r="A701" s="1">
        <v>34076</v>
      </c>
      <c r="B701" s="2">
        <v>42</v>
      </c>
      <c r="C701" s="2">
        <v>34</v>
      </c>
      <c r="D701" s="2" t="s">
        <v>3</v>
      </c>
      <c r="E701" s="2" t="s">
        <v>701</v>
      </c>
      <c r="F701" s="2" t="s">
        <v>3</v>
      </c>
    </row>
    <row r="702" spans="1:6" x14ac:dyDescent="0.25">
      <c r="A702" s="1">
        <v>34077</v>
      </c>
      <c r="B702" s="2">
        <v>43</v>
      </c>
      <c r="C702" s="2">
        <v>34</v>
      </c>
      <c r="D702" s="2" t="s">
        <v>3</v>
      </c>
      <c r="E702" s="2" t="s">
        <v>702</v>
      </c>
      <c r="F702" s="2" t="s">
        <v>3</v>
      </c>
    </row>
    <row r="703" spans="1:6" x14ac:dyDescent="0.25">
      <c r="A703" s="1">
        <v>34078</v>
      </c>
      <c r="B703" s="2">
        <v>44</v>
      </c>
      <c r="C703" s="2">
        <v>34</v>
      </c>
      <c r="D703" s="2" t="s">
        <v>3</v>
      </c>
      <c r="E703" s="2" t="s">
        <v>703</v>
      </c>
      <c r="F703" s="2" t="s">
        <v>3</v>
      </c>
    </row>
    <row r="704" spans="1:6" x14ac:dyDescent="0.25">
      <c r="A704" s="1">
        <v>34079</v>
      </c>
      <c r="B704" s="2">
        <v>45</v>
      </c>
      <c r="C704" s="2">
        <v>34</v>
      </c>
      <c r="D704" s="2">
        <v>10287777600000</v>
      </c>
      <c r="E704" s="2" t="s">
        <v>704</v>
      </c>
      <c r="F704" s="2">
        <v>10287777600000</v>
      </c>
    </row>
    <row r="705" spans="1:6" x14ac:dyDescent="0.25">
      <c r="A705" s="1">
        <v>34080</v>
      </c>
      <c r="B705" s="2">
        <v>46</v>
      </c>
      <c r="C705" s="2">
        <v>34</v>
      </c>
      <c r="D705" s="2" t="s">
        <v>3</v>
      </c>
      <c r="E705" s="2" t="s">
        <v>705</v>
      </c>
      <c r="F705" s="2" t="s">
        <v>3</v>
      </c>
    </row>
    <row r="706" spans="1:6" x14ac:dyDescent="0.25">
      <c r="A706" s="1">
        <v>34081</v>
      </c>
      <c r="B706" s="2">
        <v>47</v>
      </c>
      <c r="C706" s="2">
        <v>34</v>
      </c>
      <c r="D706" s="2">
        <v>1107</v>
      </c>
      <c r="E706" s="2" t="s">
        <v>706</v>
      </c>
      <c r="F706" s="2">
        <v>1107</v>
      </c>
    </row>
    <row r="707" spans="1:6" x14ac:dyDescent="0.25">
      <c r="A707" s="1">
        <v>34082</v>
      </c>
      <c r="B707" s="2">
        <v>48</v>
      </c>
      <c r="C707" s="2">
        <v>34</v>
      </c>
      <c r="D707" s="2" t="s">
        <v>3</v>
      </c>
      <c r="E707" s="2" t="s">
        <v>707</v>
      </c>
      <c r="F707" s="2" t="s">
        <v>3</v>
      </c>
    </row>
    <row r="708" spans="1:6" x14ac:dyDescent="0.25">
      <c r="A708" s="1">
        <v>34083</v>
      </c>
      <c r="B708" s="2">
        <v>49</v>
      </c>
      <c r="C708" s="2">
        <v>34</v>
      </c>
      <c r="D708" s="2">
        <v>1335</v>
      </c>
      <c r="E708" s="2" t="s">
        <v>708</v>
      </c>
      <c r="F708" s="2">
        <v>1335</v>
      </c>
    </row>
    <row r="709" spans="1:6" x14ac:dyDescent="0.25">
      <c r="A709" s="1">
        <v>34084</v>
      </c>
      <c r="B709" s="2">
        <v>50</v>
      </c>
      <c r="C709" s="2">
        <v>34</v>
      </c>
      <c r="D709" s="2">
        <v>195.6</v>
      </c>
      <c r="E709" s="2" t="s">
        <v>709</v>
      </c>
      <c r="F709" s="2">
        <v>195.6</v>
      </c>
    </row>
    <row r="710" spans="1:6" x14ac:dyDescent="0.25">
      <c r="A710" s="1">
        <v>34085</v>
      </c>
      <c r="B710" s="2">
        <v>51</v>
      </c>
      <c r="C710" s="2">
        <v>34</v>
      </c>
      <c r="D710" s="2">
        <v>32.9</v>
      </c>
      <c r="E710" s="2" t="s">
        <v>710</v>
      </c>
      <c r="F710" s="2">
        <v>32.9</v>
      </c>
    </row>
    <row r="711" spans="1:6" x14ac:dyDescent="0.25">
      <c r="A711" s="1">
        <v>34086</v>
      </c>
      <c r="B711" s="2">
        <v>52</v>
      </c>
      <c r="C711" s="2">
        <v>34</v>
      </c>
      <c r="D711" s="2">
        <v>14.3</v>
      </c>
      <c r="E711" s="2" t="s">
        <v>711</v>
      </c>
      <c r="F711" s="2">
        <v>14.3</v>
      </c>
    </row>
    <row r="712" spans="1:6" x14ac:dyDescent="0.25">
      <c r="A712" s="1">
        <v>34087</v>
      </c>
      <c r="B712" s="2">
        <v>53</v>
      </c>
      <c r="C712" s="2">
        <v>34</v>
      </c>
      <c r="D712" s="2">
        <v>5.5</v>
      </c>
      <c r="E712" s="2" t="s">
        <v>712</v>
      </c>
      <c r="F712" s="2">
        <v>5.5</v>
      </c>
    </row>
    <row r="713" spans="1:6" x14ac:dyDescent="0.25">
      <c r="A713" s="1">
        <v>34088</v>
      </c>
      <c r="B713" s="2">
        <v>54</v>
      </c>
      <c r="C713" s="2">
        <v>34</v>
      </c>
      <c r="D713" s="2">
        <v>1.53</v>
      </c>
      <c r="E713" s="2" t="s">
        <v>713</v>
      </c>
      <c r="F713" s="2">
        <v>1.53</v>
      </c>
    </row>
    <row r="714" spans="1:6" x14ac:dyDescent="0.25">
      <c r="A714" s="1">
        <v>34089</v>
      </c>
      <c r="B714" s="2">
        <v>55</v>
      </c>
      <c r="C714" s="2">
        <v>34</v>
      </c>
      <c r="D714" s="2">
        <v>0.43</v>
      </c>
      <c r="E714" s="2" t="s">
        <v>714</v>
      </c>
      <c r="F714" s="2">
        <v>0.43</v>
      </c>
    </row>
    <row r="715" spans="1:6" x14ac:dyDescent="0.25">
      <c r="A715" s="1">
        <v>34090</v>
      </c>
      <c r="B715" s="2">
        <v>56</v>
      </c>
      <c r="C715" s="2">
        <v>34</v>
      </c>
      <c r="D715" s="2">
        <v>0.19500000000000001</v>
      </c>
      <c r="E715" s="2" t="s">
        <v>715</v>
      </c>
      <c r="F715" s="2">
        <v>0.19500000000000001</v>
      </c>
    </row>
    <row r="716" spans="1:6" x14ac:dyDescent="0.25">
      <c r="A716" s="1">
        <v>34091</v>
      </c>
      <c r="B716" s="2">
        <v>57</v>
      </c>
      <c r="C716" s="2">
        <v>34</v>
      </c>
      <c r="D716" s="2">
        <v>0.27</v>
      </c>
      <c r="E716" s="2" t="s">
        <v>716</v>
      </c>
      <c r="F716" s="2">
        <v>0.27</v>
      </c>
    </row>
    <row r="717" spans="1:6" x14ac:dyDescent="0.25">
      <c r="A717" s="1">
        <v>34094</v>
      </c>
      <c r="B717" s="2">
        <v>60</v>
      </c>
      <c r="C717" s="2">
        <v>34</v>
      </c>
      <c r="D717" s="2">
        <v>1.4999999999999999E-7</v>
      </c>
      <c r="E717" s="2" t="s">
        <v>717</v>
      </c>
      <c r="F717" s="2">
        <v>1.4999999999999999E-7</v>
      </c>
    </row>
    <row r="718" spans="1:6" x14ac:dyDescent="0.25">
      <c r="A718" s="1">
        <v>34095</v>
      </c>
      <c r="B718" s="2">
        <v>61</v>
      </c>
      <c r="C718" s="2">
        <v>34</v>
      </c>
      <c r="D718" s="2">
        <v>3.9200000000000002E-7</v>
      </c>
      <c r="E718" s="2" t="s">
        <v>718</v>
      </c>
      <c r="F718" s="2">
        <v>3.9200000000000002E-7</v>
      </c>
    </row>
    <row r="719" spans="1:6" x14ac:dyDescent="0.25">
      <c r="A719" s="1">
        <v>35070</v>
      </c>
      <c r="B719" s="2">
        <v>35</v>
      </c>
      <c r="C719" s="2">
        <v>35</v>
      </c>
      <c r="D719" s="2">
        <v>7.9099999999999906E-2</v>
      </c>
      <c r="E719" s="2" t="s">
        <v>719</v>
      </c>
      <c r="F719" s="2">
        <v>7.9099999999999906E-2</v>
      </c>
    </row>
    <row r="720" spans="1:6" x14ac:dyDescent="0.25">
      <c r="A720" s="1">
        <v>35071</v>
      </c>
      <c r="B720" s="2">
        <v>36</v>
      </c>
      <c r="C720" s="2">
        <v>35</v>
      </c>
      <c r="D720" s="2">
        <v>21.4</v>
      </c>
      <c r="E720" s="2" t="s">
        <v>720</v>
      </c>
      <c r="F720" s="2">
        <v>21.4</v>
      </c>
    </row>
    <row r="721" spans="1:6" x14ac:dyDescent="0.25">
      <c r="A721" s="1">
        <v>35072</v>
      </c>
      <c r="B721" s="2">
        <v>37</v>
      </c>
      <c r="C721" s="2">
        <v>35</v>
      </c>
      <c r="D721" s="2">
        <v>78.599999999999994</v>
      </c>
      <c r="E721" s="2" t="s">
        <v>721</v>
      </c>
      <c r="F721" s="2">
        <v>78.599999999999994</v>
      </c>
    </row>
    <row r="722" spans="1:6" x14ac:dyDescent="0.25">
      <c r="A722" s="1">
        <v>35073</v>
      </c>
      <c r="B722" s="2">
        <v>38</v>
      </c>
      <c r="C722" s="2">
        <v>35</v>
      </c>
      <c r="D722" s="2">
        <v>204</v>
      </c>
      <c r="E722" s="2" t="s">
        <v>722</v>
      </c>
      <c r="F722" s="2">
        <v>204</v>
      </c>
    </row>
    <row r="723" spans="1:6" x14ac:dyDescent="0.25">
      <c r="A723" s="1">
        <v>35074</v>
      </c>
      <c r="B723" s="2">
        <v>39</v>
      </c>
      <c r="C723" s="2">
        <v>35</v>
      </c>
      <c r="D723" s="2">
        <v>1524</v>
      </c>
      <c r="E723" s="2" t="s">
        <v>723</v>
      </c>
      <c r="F723" s="2">
        <v>1524</v>
      </c>
    </row>
    <row r="724" spans="1:6" x14ac:dyDescent="0.25">
      <c r="A724" s="1">
        <v>35075</v>
      </c>
      <c r="B724" s="2">
        <v>40</v>
      </c>
      <c r="C724" s="2">
        <v>35</v>
      </c>
      <c r="D724" s="2">
        <v>5802</v>
      </c>
      <c r="E724" s="2" t="s">
        <v>724</v>
      </c>
      <c r="F724" s="2">
        <v>5802</v>
      </c>
    </row>
    <row r="725" spans="1:6" x14ac:dyDescent="0.25">
      <c r="A725" s="1">
        <v>35076</v>
      </c>
      <c r="B725" s="2">
        <v>41</v>
      </c>
      <c r="C725" s="2">
        <v>35</v>
      </c>
      <c r="D725" s="2">
        <v>58320</v>
      </c>
      <c r="E725" s="2" t="s">
        <v>725</v>
      </c>
      <c r="F725" s="2">
        <v>58320</v>
      </c>
    </row>
    <row r="726" spans="1:6" x14ac:dyDescent="0.25">
      <c r="A726" s="1">
        <v>35077</v>
      </c>
      <c r="B726" s="2">
        <v>42</v>
      </c>
      <c r="C726" s="2">
        <v>35</v>
      </c>
      <c r="D726" s="2">
        <v>205329.6</v>
      </c>
      <c r="E726" s="2" t="s">
        <v>726</v>
      </c>
      <c r="F726" s="2">
        <v>205329.6</v>
      </c>
    </row>
    <row r="727" spans="1:6" x14ac:dyDescent="0.25">
      <c r="A727" s="1">
        <v>35078</v>
      </c>
      <c r="B727" s="2">
        <v>43</v>
      </c>
      <c r="C727" s="2">
        <v>35</v>
      </c>
      <c r="D727" s="2">
        <v>387</v>
      </c>
      <c r="E727" s="2" t="s">
        <v>727</v>
      </c>
      <c r="F727" s="2">
        <v>387</v>
      </c>
    </row>
    <row r="728" spans="1:6" x14ac:dyDescent="0.25">
      <c r="A728" s="1">
        <v>35079</v>
      </c>
      <c r="B728" s="2">
        <v>44</v>
      </c>
      <c r="C728" s="2">
        <v>35</v>
      </c>
      <c r="D728" s="2" t="s">
        <v>3</v>
      </c>
      <c r="E728" s="2" t="s">
        <v>728</v>
      </c>
      <c r="F728" s="2" t="s">
        <v>3</v>
      </c>
    </row>
    <row r="729" spans="1:6" x14ac:dyDescent="0.25">
      <c r="A729" s="1">
        <v>35080</v>
      </c>
      <c r="B729" s="2">
        <v>45</v>
      </c>
      <c r="C729" s="2">
        <v>35</v>
      </c>
      <c r="D729" s="2">
        <v>1060.8</v>
      </c>
      <c r="E729" s="2" t="s">
        <v>729</v>
      </c>
      <c r="F729" s="2">
        <v>1060.8</v>
      </c>
    </row>
    <row r="730" spans="1:6" x14ac:dyDescent="0.25">
      <c r="A730" s="1">
        <v>35081</v>
      </c>
      <c r="B730" s="2">
        <v>46</v>
      </c>
      <c r="C730" s="2">
        <v>35</v>
      </c>
      <c r="D730" s="2" t="s">
        <v>3</v>
      </c>
      <c r="E730" s="2" t="s">
        <v>730</v>
      </c>
      <c r="F730" s="2" t="s">
        <v>3</v>
      </c>
    </row>
    <row r="731" spans="1:6" x14ac:dyDescent="0.25">
      <c r="A731" s="1">
        <v>35082</v>
      </c>
      <c r="B731" s="2">
        <v>47</v>
      </c>
      <c r="C731" s="2">
        <v>35</v>
      </c>
      <c r="D731" s="2">
        <v>127015.19999999899</v>
      </c>
      <c r="E731" s="2" t="s">
        <v>731</v>
      </c>
      <c r="F731" s="2">
        <v>127015.19999999899</v>
      </c>
    </row>
    <row r="732" spans="1:6" x14ac:dyDescent="0.25">
      <c r="A732" s="1">
        <v>35083</v>
      </c>
      <c r="B732" s="2">
        <v>48</v>
      </c>
      <c r="C732" s="2">
        <v>35</v>
      </c>
      <c r="D732" s="2">
        <v>8546.4</v>
      </c>
      <c r="E732" s="2" t="s">
        <v>732</v>
      </c>
      <c r="F732" s="2">
        <v>8546.4</v>
      </c>
    </row>
    <row r="733" spans="1:6" x14ac:dyDescent="0.25">
      <c r="A733" s="1">
        <v>35084</v>
      </c>
      <c r="B733" s="2">
        <v>49</v>
      </c>
      <c r="C733" s="2">
        <v>35</v>
      </c>
      <c r="D733" s="2">
        <v>1905.6</v>
      </c>
      <c r="E733" s="2" t="s">
        <v>733</v>
      </c>
      <c r="F733" s="2">
        <v>1905.6</v>
      </c>
    </row>
    <row r="734" spans="1:6" x14ac:dyDescent="0.25">
      <c r="A734" s="1">
        <v>35085</v>
      </c>
      <c r="B734" s="2">
        <v>50</v>
      </c>
      <c r="C734" s="2">
        <v>35</v>
      </c>
      <c r="D734" s="2">
        <v>174</v>
      </c>
      <c r="E734" s="2" t="s">
        <v>734</v>
      </c>
      <c r="F734" s="2">
        <v>174</v>
      </c>
    </row>
    <row r="735" spans="1:6" x14ac:dyDescent="0.25">
      <c r="A735" s="1">
        <v>35086</v>
      </c>
      <c r="B735" s="2">
        <v>51</v>
      </c>
      <c r="C735" s="2">
        <v>35</v>
      </c>
      <c r="D735" s="2">
        <v>55.1</v>
      </c>
      <c r="E735" s="2" t="s">
        <v>735</v>
      </c>
      <c r="F735" s="2">
        <v>55.1</v>
      </c>
    </row>
    <row r="736" spans="1:6" x14ac:dyDescent="0.25">
      <c r="A736" s="1">
        <v>35087</v>
      </c>
      <c r="B736" s="2">
        <v>52</v>
      </c>
      <c r="C736" s="2">
        <v>35</v>
      </c>
      <c r="D736" s="2">
        <v>55.65</v>
      </c>
      <c r="E736" s="2" t="s">
        <v>736</v>
      </c>
      <c r="F736" s="2">
        <v>55.65</v>
      </c>
    </row>
    <row r="737" spans="1:6" x14ac:dyDescent="0.25">
      <c r="A737" s="1">
        <v>35088</v>
      </c>
      <c r="B737" s="2">
        <v>53</v>
      </c>
      <c r="C737" s="2">
        <v>35</v>
      </c>
      <c r="D737" s="2">
        <v>16.34</v>
      </c>
      <c r="E737" s="2" t="s">
        <v>737</v>
      </c>
      <c r="F737" s="2">
        <v>16.34</v>
      </c>
    </row>
    <row r="738" spans="1:6" x14ac:dyDescent="0.25">
      <c r="A738" s="1">
        <v>35089</v>
      </c>
      <c r="B738" s="2">
        <v>54</v>
      </c>
      <c r="C738" s="2">
        <v>35</v>
      </c>
      <c r="D738" s="2">
        <v>4.3570000000000002</v>
      </c>
      <c r="E738" s="2" t="s">
        <v>738</v>
      </c>
      <c r="F738" s="2">
        <v>4.3570000000000002</v>
      </c>
    </row>
    <row r="739" spans="1:6" x14ac:dyDescent="0.25">
      <c r="A739" s="1">
        <v>35090</v>
      </c>
      <c r="B739" s="2">
        <v>55</v>
      </c>
      <c r="C739" s="2">
        <v>35</v>
      </c>
      <c r="D739" s="2">
        <v>1.92</v>
      </c>
      <c r="E739" s="2" t="s">
        <v>739</v>
      </c>
      <c r="F739" s="2">
        <v>1.92</v>
      </c>
    </row>
    <row r="740" spans="1:6" x14ac:dyDescent="0.25">
      <c r="A740" s="1">
        <v>35091</v>
      </c>
      <c r="B740" s="2">
        <v>56</v>
      </c>
      <c r="C740" s="2">
        <v>35</v>
      </c>
      <c r="D740" s="2">
        <v>0.54300000000000004</v>
      </c>
      <c r="E740" s="2" t="s">
        <v>740</v>
      </c>
      <c r="F740" s="2">
        <v>0.54300000000000004</v>
      </c>
    </row>
    <row r="741" spans="1:6" x14ac:dyDescent="0.25">
      <c r="A741" s="1">
        <v>35092</v>
      </c>
      <c r="B741" s="2">
        <v>57</v>
      </c>
      <c r="C741" s="2">
        <v>35</v>
      </c>
      <c r="D741" s="2">
        <v>0.314</v>
      </c>
      <c r="E741" s="2" t="s">
        <v>741</v>
      </c>
      <c r="F741" s="2">
        <v>0.314</v>
      </c>
    </row>
    <row r="742" spans="1:6" x14ac:dyDescent="0.25">
      <c r="A742" s="1">
        <v>35093</v>
      </c>
      <c r="B742" s="2">
        <v>58</v>
      </c>
      <c r="C742" s="2">
        <v>35</v>
      </c>
      <c r="D742" s="2">
        <v>0.10199999999999999</v>
      </c>
      <c r="E742" s="2" t="s">
        <v>742</v>
      </c>
      <c r="F742" s="2">
        <v>0.10199999999999999</v>
      </c>
    </row>
    <row r="743" spans="1:6" x14ac:dyDescent="0.25">
      <c r="A743" s="1">
        <v>35094</v>
      </c>
      <c r="B743" s="2">
        <v>59</v>
      </c>
      <c r="C743" s="2">
        <v>35</v>
      </c>
      <c r="D743" s="2">
        <v>7.0000000000000007E-2</v>
      </c>
      <c r="E743" s="2" t="s">
        <v>743</v>
      </c>
      <c r="F743" s="2">
        <v>7.0000000000000007E-2</v>
      </c>
    </row>
    <row r="744" spans="1:6" x14ac:dyDescent="0.25">
      <c r="A744" s="1">
        <v>35095</v>
      </c>
      <c r="B744" s="2">
        <v>60</v>
      </c>
      <c r="C744" s="2">
        <v>35</v>
      </c>
      <c r="D744" s="2">
        <v>1.4999999999999999E-7</v>
      </c>
      <c r="E744" s="2" t="s">
        <v>744</v>
      </c>
      <c r="F744" s="2">
        <v>1.4999999999999999E-7</v>
      </c>
    </row>
    <row r="745" spans="1:6" x14ac:dyDescent="0.25">
      <c r="A745" s="1">
        <v>35096</v>
      </c>
      <c r="B745" s="2">
        <v>61</v>
      </c>
      <c r="C745" s="2">
        <v>35</v>
      </c>
      <c r="D745" s="2">
        <v>1.4999999999999999E-7</v>
      </c>
      <c r="E745" s="2" t="s">
        <v>745</v>
      </c>
      <c r="F745" s="2">
        <v>1.4999999999999999E-7</v>
      </c>
    </row>
    <row r="746" spans="1:6" x14ac:dyDescent="0.25">
      <c r="A746" s="1">
        <v>35097</v>
      </c>
      <c r="B746" s="2">
        <v>62</v>
      </c>
      <c r="C746" s="2">
        <v>35</v>
      </c>
      <c r="D746" s="2">
        <v>2.9999999999999999E-7</v>
      </c>
      <c r="E746" s="2" t="s">
        <v>746</v>
      </c>
      <c r="F746" s="2">
        <v>2.9999999999999999E-7</v>
      </c>
    </row>
    <row r="747" spans="1:6" x14ac:dyDescent="0.25">
      <c r="A747" s="1">
        <v>35098</v>
      </c>
      <c r="B747" s="2">
        <v>63</v>
      </c>
      <c r="C747" s="2">
        <v>35</v>
      </c>
      <c r="D747" s="2">
        <v>6.3399999999999999E-7</v>
      </c>
      <c r="E747" s="2" t="s">
        <v>747</v>
      </c>
      <c r="F747" s="2">
        <v>6.3399999999999999E-7</v>
      </c>
    </row>
    <row r="748" spans="1:6" x14ac:dyDescent="0.25">
      <c r="A748" s="1">
        <v>36069</v>
      </c>
      <c r="B748" s="2">
        <v>33</v>
      </c>
      <c r="C748" s="2">
        <v>36</v>
      </c>
      <c r="D748" s="2">
        <v>2.8000000000000001E-2</v>
      </c>
      <c r="E748" s="2" t="s">
        <v>748</v>
      </c>
      <c r="F748" s="2">
        <v>2.8000000000000001E-2</v>
      </c>
    </row>
    <row r="749" spans="1:6" x14ac:dyDescent="0.25">
      <c r="A749" s="1">
        <v>36070</v>
      </c>
      <c r="B749" s="2">
        <v>34</v>
      </c>
      <c r="C749" s="2">
        <v>36</v>
      </c>
      <c r="D749" s="2">
        <v>0.04</v>
      </c>
      <c r="E749" s="2" t="s">
        <v>749</v>
      </c>
      <c r="F749" s="2">
        <v>0.04</v>
      </c>
    </row>
    <row r="750" spans="1:6" x14ac:dyDescent="0.25">
      <c r="A750" s="1">
        <v>36071</v>
      </c>
      <c r="B750" s="2">
        <v>35</v>
      </c>
      <c r="C750" s="2">
        <v>36</v>
      </c>
      <c r="D750" s="2">
        <v>0.1</v>
      </c>
      <c r="E750" s="2" t="s">
        <v>750</v>
      </c>
      <c r="F750" s="2">
        <v>0.1</v>
      </c>
    </row>
    <row r="751" spans="1:6" x14ac:dyDescent="0.25">
      <c r="A751" s="1">
        <v>36072</v>
      </c>
      <c r="B751" s="2">
        <v>36</v>
      </c>
      <c r="C751" s="2">
        <v>36</v>
      </c>
      <c r="D751" s="2">
        <v>17.100000000000001</v>
      </c>
      <c r="E751" s="2" t="s">
        <v>751</v>
      </c>
      <c r="F751" s="2">
        <v>17.100000000000001</v>
      </c>
    </row>
    <row r="752" spans="1:6" x14ac:dyDescent="0.25">
      <c r="A752" s="1">
        <v>36073</v>
      </c>
      <c r="B752" s="2">
        <v>37</v>
      </c>
      <c r="C752" s="2">
        <v>36</v>
      </c>
      <c r="D752" s="2">
        <v>27.3</v>
      </c>
      <c r="E752" s="2" t="s">
        <v>752</v>
      </c>
      <c r="F752" s="2">
        <v>27.3</v>
      </c>
    </row>
    <row r="753" spans="1:6" x14ac:dyDescent="0.25">
      <c r="A753" s="1">
        <v>36074</v>
      </c>
      <c r="B753" s="2">
        <v>38</v>
      </c>
      <c r="C753" s="2">
        <v>36</v>
      </c>
      <c r="D753" s="2">
        <v>690</v>
      </c>
      <c r="E753" s="2" t="s">
        <v>753</v>
      </c>
      <c r="F753" s="2">
        <v>690</v>
      </c>
    </row>
    <row r="754" spans="1:6" x14ac:dyDescent="0.25">
      <c r="A754" s="1">
        <v>36075</v>
      </c>
      <c r="B754" s="2">
        <v>39</v>
      </c>
      <c r="C754" s="2">
        <v>36</v>
      </c>
      <c r="D754" s="2">
        <v>276</v>
      </c>
      <c r="E754" s="2" t="s">
        <v>754</v>
      </c>
      <c r="F754" s="2">
        <v>276</v>
      </c>
    </row>
    <row r="755" spans="1:6" x14ac:dyDescent="0.25">
      <c r="A755" s="1">
        <v>36076</v>
      </c>
      <c r="B755" s="2">
        <v>40</v>
      </c>
      <c r="C755" s="2">
        <v>36</v>
      </c>
      <c r="D755" s="2">
        <v>53280</v>
      </c>
      <c r="E755" s="2" t="s">
        <v>755</v>
      </c>
      <c r="F755" s="2">
        <v>53280</v>
      </c>
    </row>
    <row r="756" spans="1:6" x14ac:dyDescent="0.25">
      <c r="A756" s="1">
        <v>36077</v>
      </c>
      <c r="B756" s="2">
        <v>41</v>
      </c>
      <c r="C756" s="2">
        <v>36</v>
      </c>
      <c r="D756" s="2">
        <v>4464</v>
      </c>
      <c r="E756" s="2" t="s">
        <v>756</v>
      </c>
      <c r="F756" s="2">
        <v>4464</v>
      </c>
    </row>
    <row r="757" spans="1:6" x14ac:dyDescent="0.25">
      <c r="A757" s="1">
        <v>36078</v>
      </c>
      <c r="B757" s="2">
        <v>42</v>
      </c>
      <c r="C757" s="2">
        <v>36</v>
      </c>
      <c r="D757" s="2">
        <v>4.73364E+28</v>
      </c>
      <c r="E757" s="2" t="s">
        <v>757</v>
      </c>
      <c r="F757" s="2">
        <v>4.73364E+28</v>
      </c>
    </row>
    <row r="758" spans="1:6" x14ac:dyDescent="0.25">
      <c r="A758" s="1">
        <v>36079</v>
      </c>
      <c r="B758" s="2">
        <v>43</v>
      </c>
      <c r="C758" s="2">
        <v>36</v>
      </c>
      <c r="D758" s="2">
        <v>126144</v>
      </c>
      <c r="E758" s="2" t="s">
        <v>758</v>
      </c>
      <c r="F758" s="2">
        <v>126144</v>
      </c>
    </row>
    <row r="759" spans="1:6" x14ac:dyDescent="0.25">
      <c r="A759" s="1">
        <v>36080</v>
      </c>
      <c r="B759" s="2">
        <v>44</v>
      </c>
      <c r="C759" s="2">
        <v>36</v>
      </c>
      <c r="D759" s="2" t="s">
        <v>3</v>
      </c>
      <c r="E759" s="2" t="s">
        <v>759</v>
      </c>
      <c r="F759" s="2" t="s">
        <v>3</v>
      </c>
    </row>
    <row r="760" spans="1:6" x14ac:dyDescent="0.25">
      <c r="A760" s="1">
        <v>36081</v>
      </c>
      <c r="B760" s="2">
        <v>45</v>
      </c>
      <c r="C760" s="2">
        <v>36</v>
      </c>
      <c r="D760" s="2">
        <v>7226690400000</v>
      </c>
      <c r="E760" s="2" t="s">
        <v>760</v>
      </c>
      <c r="F760" s="2">
        <v>7226690400000</v>
      </c>
    </row>
    <row r="761" spans="1:6" x14ac:dyDescent="0.25">
      <c r="A761" s="1">
        <v>36082</v>
      </c>
      <c r="B761" s="2">
        <v>46</v>
      </c>
      <c r="C761" s="2">
        <v>36</v>
      </c>
      <c r="D761" s="2" t="s">
        <v>3</v>
      </c>
      <c r="E761" s="2" t="s">
        <v>761</v>
      </c>
      <c r="F761" s="2" t="s">
        <v>3</v>
      </c>
    </row>
    <row r="762" spans="1:6" x14ac:dyDescent="0.25">
      <c r="A762" s="1">
        <v>36083</v>
      </c>
      <c r="B762" s="2">
        <v>47</v>
      </c>
      <c r="C762" s="2">
        <v>36</v>
      </c>
      <c r="D762" s="2" t="s">
        <v>3</v>
      </c>
      <c r="E762" s="2" t="s">
        <v>762</v>
      </c>
      <c r="F762" s="2" t="s">
        <v>3</v>
      </c>
    </row>
    <row r="763" spans="1:6" x14ac:dyDescent="0.25">
      <c r="A763" s="1">
        <v>36084</v>
      </c>
      <c r="B763" s="2">
        <v>48</v>
      </c>
      <c r="C763" s="2">
        <v>36</v>
      </c>
      <c r="D763" s="2" t="s">
        <v>3</v>
      </c>
      <c r="E763" s="2" t="s">
        <v>763</v>
      </c>
      <c r="F763" s="2" t="s">
        <v>3</v>
      </c>
    </row>
    <row r="764" spans="1:6" x14ac:dyDescent="0.25">
      <c r="A764" s="1">
        <v>36085</v>
      </c>
      <c r="B764" s="2">
        <v>49</v>
      </c>
      <c r="C764" s="2">
        <v>36</v>
      </c>
      <c r="D764" s="2">
        <v>338897066.39999998</v>
      </c>
      <c r="E764" s="2" t="s">
        <v>764</v>
      </c>
      <c r="F764" s="2">
        <v>338897066.39999998</v>
      </c>
    </row>
    <row r="765" spans="1:6" x14ac:dyDescent="0.25">
      <c r="A765" s="1">
        <v>36086</v>
      </c>
      <c r="B765" s="2">
        <v>50</v>
      </c>
      <c r="C765" s="2">
        <v>36</v>
      </c>
      <c r="D765" s="2" t="s">
        <v>3</v>
      </c>
      <c r="E765" s="2" t="s">
        <v>765</v>
      </c>
      <c r="F765" s="2" t="s">
        <v>3</v>
      </c>
    </row>
    <row r="766" spans="1:6" x14ac:dyDescent="0.25">
      <c r="A766" s="1">
        <v>36087</v>
      </c>
      <c r="B766" s="2">
        <v>51</v>
      </c>
      <c r="C766" s="2">
        <v>36</v>
      </c>
      <c r="D766" s="2">
        <v>4578</v>
      </c>
      <c r="E766" s="2" t="s">
        <v>766</v>
      </c>
      <c r="F766" s="2">
        <v>4578</v>
      </c>
    </row>
    <row r="767" spans="1:6" x14ac:dyDescent="0.25">
      <c r="A767" s="1">
        <v>36088</v>
      </c>
      <c r="B767" s="2">
        <v>52</v>
      </c>
      <c r="C767" s="2">
        <v>36</v>
      </c>
      <c r="D767" s="2">
        <v>10170</v>
      </c>
      <c r="E767" s="2" t="s">
        <v>767</v>
      </c>
      <c r="F767" s="2">
        <v>10170</v>
      </c>
    </row>
    <row r="768" spans="1:6" x14ac:dyDescent="0.25">
      <c r="A768" s="1">
        <v>36089</v>
      </c>
      <c r="B768" s="2">
        <v>53</v>
      </c>
      <c r="C768" s="2">
        <v>36</v>
      </c>
      <c r="D768" s="2">
        <v>189</v>
      </c>
      <c r="E768" s="2" t="s">
        <v>768</v>
      </c>
      <c r="F768" s="2">
        <v>189</v>
      </c>
    </row>
    <row r="769" spans="1:6" x14ac:dyDescent="0.25">
      <c r="A769" s="1">
        <v>36090</v>
      </c>
      <c r="B769" s="2">
        <v>54</v>
      </c>
      <c r="C769" s="2">
        <v>36</v>
      </c>
      <c r="D769" s="2">
        <v>32.32</v>
      </c>
      <c r="E769" s="2" t="s">
        <v>769</v>
      </c>
      <c r="F769" s="2">
        <v>32.32</v>
      </c>
    </row>
    <row r="770" spans="1:6" x14ac:dyDescent="0.25">
      <c r="A770" s="1">
        <v>36091</v>
      </c>
      <c r="B770" s="2">
        <v>55</v>
      </c>
      <c r="C770" s="2">
        <v>36</v>
      </c>
      <c r="D770" s="2">
        <v>8.57</v>
      </c>
      <c r="E770" s="2" t="s">
        <v>770</v>
      </c>
      <c r="F770" s="2">
        <v>8.57</v>
      </c>
    </row>
    <row r="771" spans="1:6" x14ac:dyDescent="0.25">
      <c r="A771" s="1">
        <v>36092</v>
      </c>
      <c r="B771" s="2">
        <v>56</v>
      </c>
      <c r="C771" s="2">
        <v>36</v>
      </c>
      <c r="D771" s="2">
        <v>1.84</v>
      </c>
      <c r="E771" s="2" t="s">
        <v>771</v>
      </c>
      <c r="F771" s="2">
        <v>1.84</v>
      </c>
    </row>
    <row r="772" spans="1:6" x14ac:dyDescent="0.25">
      <c r="A772" s="1">
        <v>36093</v>
      </c>
      <c r="B772" s="2">
        <v>57</v>
      </c>
      <c r="C772" s="2">
        <v>36</v>
      </c>
      <c r="D772" s="2">
        <v>1.286</v>
      </c>
      <c r="E772" s="2" t="s">
        <v>772</v>
      </c>
      <c r="F772" s="2">
        <v>1.286</v>
      </c>
    </row>
    <row r="773" spans="1:6" x14ac:dyDescent="0.25">
      <c r="A773" s="1">
        <v>36094</v>
      </c>
      <c r="B773" s="2">
        <v>58</v>
      </c>
      <c r="C773" s="2">
        <v>36</v>
      </c>
      <c r="D773" s="2">
        <v>0.21199999999999999</v>
      </c>
      <c r="E773" s="2" t="s">
        <v>773</v>
      </c>
      <c r="F773" s="2">
        <v>0.21199999999999999</v>
      </c>
    </row>
    <row r="774" spans="1:6" x14ac:dyDescent="0.25">
      <c r="A774" s="1">
        <v>36095</v>
      </c>
      <c r="B774" s="2">
        <v>59</v>
      </c>
      <c r="C774" s="2">
        <v>36</v>
      </c>
      <c r="D774" s="2">
        <v>0.114</v>
      </c>
      <c r="E774" s="2" t="s">
        <v>774</v>
      </c>
      <c r="F774" s="2">
        <v>0.114</v>
      </c>
    </row>
    <row r="775" spans="1:6" x14ac:dyDescent="0.25">
      <c r="A775" s="1">
        <v>36096</v>
      </c>
      <c r="B775" s="2">
        <v>60</v>
      </c>
      <c r="C775" s="2">
        <v>36</v>
      </c>
      <c r="D775" s="2">
        <v>0.08</v>
      </c>
      <c r="E775" s="2" t="s">
        <v>775</v>
      </c>
      <c r="F775" s="2">
        <v>0.08</v>
      </c>
    </row>
    <row r="776" spans="1:6" x14ac:dyDescent="0.25">
      <c r="A776" s="1">
        <v>36097</v>
      </c>
      <c r="B776" s="2">
        <v>61</v>
      </c>
      <c r="C776" s="2">
        <v>36</v>
      </c>
      <c r="D776" s="2">
        <v>6.3E-2</v>
      </c>
      <c r="E776" s="2" t="s">
        <v>776</v>
      </c>
      <c r="F776" s="2">
        <v>6.3E-2</v>
      </c>
    </row>
    <row r="777" spans="1:6" x14ac:dyDescent="0.25">
      <c r="A777" s="1">
        <v>36098</v>
      </c>
      <c r="B777" s="2">
        <v>62</v>
      </c>
      <c r="C777" s="2">
        <v>36</v>
      </c>
      <c r="D777" s="2">
        <v>4.5999999999999999E-2</v>
      </c>
      <c r="E777" s="2" t="s">
        <v>777</v>
      </c>
      <c r="F777" s="2">
        <v>4.5999999999999999E-2</v>
      </c>
    </row>
    <row r="778" spans="1:6" x14ac:dyDescent="0.25">
      <c r="A778" s="1">
        <v>36099</v>
      </c>
      <c r="B778" s="2">
        <v>63</v>
      </c>
      <c r="C778" s="2">
        <v>36</v>
      </c>
      <c r="D778" s="2">
        <v>1.2999999999999999E-2</v>
      </c>
      <c r="E778" s="2" t="s">
        <v>778</v>
      </c>
      <c r="F778" s="2">
        <v>1.2999999999999999E-2</v>
      </c>
    </row>
    <row r="779" spans="1:6" x14ac:dyDescent="0.25">
      <c r="A779" s="1">
        <v>36100</v>
      </c>
      <c r="B779" s="2">
        <v>64</v>
      </c>
      <c r="C779" s="2">
        <v>36</v>
      </c>
      <c r="D779" s="2">
        <v>7.0000000000000001E-3</v>
      </c>
      <c r="E779" s="2" t="s">
        <v>779</v>
      </c>
      <c r="F779" s="2">
        <v>7.0000000000000001E-3</v>
      </c>
    </row>
    <row r="780" spans="1:6" x14ac:dyDescent="0.25">
      <c r="A780" s="1">
        <v>36101</v>
      </c>
      <c r="B780" s="2">
        <v>65</v>
      </c>
      <c r="C780" s="2">
        <v>36</v>
      </c>
      <c r="D780" s="2">
        <v>6.3499999999999996E-7</v>
      </c>
      <c r="E780" s="2" t="s">
        <v>780</v>
      </c>
      <c r="F780" s="2">
        <v>6.3499999999999996E-7</v>
      </c>
    </row>
    <row r="781" spans="1:6" x14ac:dyDescent="0.25">
      <c r="A781" s="1">
        <v>37074</v>
      </c>
      <c r="B781" s="2">
        <v>37</v>
      </c>
      <c r="C781" s="2">
        <v>37</v>
      </c>
      <c r="D781" s="2">
        <v>6.4899999999999999E-2</v>
      </c>
      <c r="E781" s="2" t="s">
        <v>781</v>
      </c>
      <c r="F781" s="2">
        <v>6.4899999999999999E-2</v>
      </c>
    </row>
    <row r="782" spans="1:6" x14ac:dyDescent="0.25">
      <c r="A782" s="1">
        <v>37075</v>
      </c>
      <c r="B782" s="2">
        <v>38</v>
      </c>
      <c r="C782" s="2">
        <v>37</v>
      </c>
      <c r="D782" s="2">
        <v>19</v>
      </c>
      <c r="E782" s="2" t="s">
        <v>782</v>
      </c>
      <c r="F782" s="2">
        <v>19</v>
      </c>
    </row>
    <row r="783" spans="1:6" x14ac:dyDescent="0.25">
      <c r="A783" s="1">
        <v>37076</v>
      </c>
      <c r="B783" s="2">
        <v>39</v>
      </c>
      <c r="C783" s="2">
        <v>37</v>
      </c>
      <c r="D783" s="2">
        <v>36.5</v>
      </c>
      <c r="E783" s="2" t="s">
        <v>783</v>
      </c>
      <c r="F783" s="2">
        <v>36.5</v>
      </c>
    </row>
    <row r="784" spans="1:6" x14ac:dyDescent="0.25">
      <c r="A784" s="1">
        <v>37077</v>
      </c>
      <c r="B784" s="2">
        <v>40</v>
      </c>
      <c r="C784" s="2">
        <v>37</v>
      </c>
      <c r="D784" s="2">
        <v>226.2</v>
      </c>
      <c r="E784" s="2" t="s">
        <v>784</v>
      </c>
      <c r="F784" s="2">
        <v>226.2</v>
      </c>
    </row>
    <row r="785" spans="1:6" x14ac:dyDescent="0.25">
      <c r="A785" s="1">
        <v>37078</v>
      </c>
      <c r="B785" s="2">
        <v>41</v>
      </c>
      <c r="C785" s="2">
        <v>37</v>
      </c>
      <c r="D785" s="2">
        <v>1059.5999999999999</v>
      </c>
      <c r="E785" s="2" t="s">
        <v>785</v>
      </c>
      <c r="F785" s="2">
        <v>1059.5999999999999</v>
      </c>
    </row>
    <row r="786" spans="1:6" x14ac:dyDescent="0.25">
      <c r="A786" s="1">
        <v>37079</v>
      </c>
      <c r="B786" s="2">
        <v>42</v>
      </c>
      <c r="C786" s="2">
        <v>37</v>
      </c>
      <c r="D786" s="2">
        <v>1374</v>
      </c>
      <c r="E786" s="2" t="s">
        <v>786</v>
      </c>
      <c r="F786" s="2">
        <v>1374</v>
      </c>
    </row>
    <row r="787" spans="1:6" x14ac:dyDescent="0.25">
      <c r="A787" s="1">
        <v>37080</v>
      </c>
      <c r="B787" s="2">
        <v>43</v>
      </c>
      <c r="C787" s="2">
        <v>37</v>
      </c>
      <c r="D787" s="2">
        <v>33.4</v>
      </c>
      <c r="E787" s="2" t="s">
        <v>787</v>
      </c>
      <c r="F787" s="2">
        <v>33.4</v>
      </c>
    </row>
    <row r="788" spans="1:6" x14ac:dyDescent="0.25">
      <c r="A788" s="1">
        <v>37081</v>
      </c>
      <c r="B788" s="2">
        <v>44</v>
      </c>
      <c r="C788" s="2">
        <v>37</v>
      </c>
      <c r="D788" s="2">
        <v>16459.2</v>
      </c>
      <c r="E788" s="2" t="s">
        <v>788</v>
      </c>
      <c r="F788" s="2">
        <v>16459.2</v>
      </c>
    </row>
    <row r="789" spans="1:6" x14ac:dyDescent="0.25">
      <c r="A789" s="1">
        <v>37082</v>
      </c>
      <c r="B789" s="2">
        <v>45</v>
      </c>
      <c r="C789" s="2">
        <v>37</v>
      </c>
      <c r="D789" s="2">
        <v>75.45</v>
      </c>
      <c r="E789" s="2" t="s">
        <v>789</v>
      </c>
      <c r="F789" s="2">
        <v>75.45</v>
      </c>
    </row>
    <row r="790" spans="1:6" x14ac:dyDescent="0.25">
      <c r="A790" s="1">
        <v>37083</v>
      </c>
      <c r="B790" s="2">
        <v>46</v>
      </c>
      <c r="C790" s="2">
        <v>37</v>
      </c>
      <c r="D790" s="2">
        <v>7447680</v>
      </c>
      <c r="E790" s="2" t="s">
        <v>790</v>
      </c>
      <c r="F790" s="2">
        <v>7447680</v>
      </c>
    </row>
    <row r="791" spans="1:6" x14ac:dyDescent="0.25">
      <c r="A791" s="1">
        <v>37084</v>
      </c>
      <c r="B791" s="2">
        <v>47</v>
      </c>
      <c r="C791" s="2">
        <v>37</v>
      </c>
      <c r="D791" s="2">
        <v>2835648</v>
      </c>
      <c r="E791" s="2" t="s">
        <v>791</v>
      </c>
      <c r="F791" s="2">
        <v>2835648</v>
      </c>
    </row>
    <row r="792" spans="1:6" x14ac:dyDescent="0.25">
      <c r="A792" s="1">
        <v>37085</v>
      </c>
      <c r="B792" s="2">
        <v>48</v>
      </c>
      <c r="C792" s="2">
        <v>37</v>
      </c>
      <c r="D792" s="2" t="s">
        <v>3</v>
      </c>
      <c r="E792" s="2" t="s">
        <v>792</v>
      </c>
      <c r="F792" s="2" t="s">
        <v>3</v>
      </c>
    </row>
    <row r="793" spans="1:6" x14ac:dyDescent="0.25">
      <c r="A793" s="1">
        <v>37086</v>
      </c>
      <c r="B793" s="2">
        <v>49</v>
      </c>
      <c r="C793" s="2">
        <v>37</v>
      </c>
      <c r="D793" s="2">
        <v>1610668.8</v>
      </c>
      <c r="E793" s="2" t="s">
        <v>793</v>
      </c>
      <c r="F793" s="2">
        <v>1610668.8</v>
      </c>
    </row>
    <row r="794" spans="1:6" x14ac:dyDescent="0.25">
      <c r="A794" s="1">
        <v>37087</v>
      </c>
      <c r="B794" s="2">
        <v>50</v>
      </c>
      <c r="C794" s="2">
        <v>37</v>
      </c>
      <c r="D794" s="2">
        <v>1.56841272E+18</v>
      </c>
      <c r="E794" s="2" t="s">
        <v>794</v>
      </c>
      <c r="F794" s="2">
        <v>1.56841272E+18</v>
      </c>
    </row>
    <row r="795" spans="1:6" x14ac:dyDescent="0.25">
      <c r="A795" s="1">
        <v>37088</v>
      </c>
      <c r="B795" s="2">
        <v>51</v>
      </c>
      <c r="C795" s="2">
        <v>37</v>
      </c>
      <c r="D795" s="2">
        <v>1066.3799999999901</v>
      </c>
      <c r="E795" s="2" t="s">
        <v>795</v>
      </c>
      <c r="F795" s="2">
        <v>1066.3799999999901</v>
      </c>
    </row>
    <row r="796" spans="1:6" x14ac:dyDescent="0.25">
      <c r="A796" s="1">
        <v>37089</v>
      </c>
      <c r="B796" s="2">
        <v>52</v>
      </c>
      <c r="C796" s="2">
        <v>37</v>
      </c>
      <c r="D796" s="2">
        <v>919.2</v>
      </c>
      <c r="E796" s="2" t="s">
        <v>796</v>
      </c>
      <c r="F796" s="2">
        <v>919.2</v>
      </c>
    </row>
    <row r="797" spans="1:6" x14ac:dyDescent="0.25">
      <c r="A797" s="1">
        <v>37090</v>
      </c>
      <c r="B797" s="2">
        <v>53</v>
      </c>
      <c r="C797" s="2">
        <v>37</v>
      </c>
      <c r="D797" s="2">
        <v>158</v>
      </c>
      <c r="E797" s="2" t="s">
        <v>797</v>
      </c>
      <c r="F797" s="2">
        <v>158</v>
      </c>
    </row>
    <row r="798" spans="1:6" x14ac:dyDescent="0.25">
      <c r="A798" s="1">
        <v>37091</v>
      </c>
      <c r="B798" s="2">
        <v>54</v>
      </c>
      <c r="C798" s="2">
        <v>37</v>
      </c>
      <c r="D798" s="2">
        <v>58.2</v>
      </c>
      <c r="E798" s="2" t="s">
        <v>798</v>
      </c>
      <c r="F798" s="2">
        <v>58.2</v>
      </c>
    </row>
    <row r="799" spans="1:6" x14ac:dyDescent="0.25">
      <c r="A799" s="1">
        <v>37092</v>
      </c>
      <c r="B799" s="2">
        <v>55</v>
      </c>
      <c r="C799" s="2">
        <v>37</v>
      </c>
      <c r="D799" s="2">
        <v>4.492</v>
      </c>
      <c r="E799" s="2" t="s">
        <v>799</v>
      </c>
      <c r="F799" s="2">
        <v>4.492</v>
      </c>
    </row>
    <row r="800" spans="1:6" x14ac:dyDescent="0.25">
      <c r="A800" s="1">
        <v>37093</v>
      </c>
      <c r="B800" s="2">
        <v>56</v>
      </c>
      <c r="C800" s="2">
        <v>37</v>
      </c>
      <c r="D800" s="2">
        <v>5.84</v>
      </c>
      <c r="E800" s="2" t="s">
        <v>800</v>
      </c>
      <c r="F800" s="2">
        <v>5.84</v>
      </c>
    </row>
    <row r="801" spans="1:6" x14ac:dyDescent="0.25">
      <c r="A801" s="1">
        <v>37094</v>
      </c>
      <c r="B801" s="2">
        <v>57</v>
      </c>
      <c r="C801" s="2">
        <v>37</v>
      </c>
      <c r="D801" s="2">
        <v>2.702</v>
      </c>
      <c r="E801" s="2" t="s">
        <v>801</v>
      </c>
      <c r="F801" s="2">
        <v>2.702</v>
      </c>
    </row>
    <row r="802" spans="1:6" x14ac:dyDescent="0.25">
      <c r="A802" s="1">
        <v>37095</v>
      </c>
      <c r="B802" s="2">
        <v>58</v>
      </c>
      <c r="C802" s="2">
        <v>37</v>
      </c>
      <c r="D802" s="2">
        <v>0.37769999999999998</v>
      </c>
      <c r="E802" s="2" t="s">
        <v>802</v>
      </c>
      <c r="F802" s="2">
        <v>0.37769999999999998</v>
      </c>
    </row>
    <row r="803" spans="1:6" x14ac:dyDescent="0.25">
      <c r="A803" s="1">
        <v>37096</v>
      </c>
      <c r="B803" s="2">
        <v>59</v>
      </c>
      <c r="C803" s="2">
        <v>37</v>
      </c>
      <c r="D803" s="2">
        <v>0.20300000000000001</v>
      </c>
      <c r="E803" s="2" t="s">
        <v>803</v>
      </c>
      <c r="F803" s="2">
        <v>0.20300000000000001</v>
      </c>
    </row>
    <row r="804" spans="1:6" x14ac:dyDescent="0.25">
      <c r="A804" s="1">
        <v>37097</v>
      </c>
      <c r="B804" s="2">
        <v>60</v>
      </c>
      <c r="C804" s="2">
        <v>37</v>
      </c>
      <c r="D804" s="2">
        <v>0.1691</v>
      </c>
      <c r="E804" s="2" t="s">
        <v>804</v>
      </c>
      <c r="F804" s="2">
        <v>0.1691</v>
      </c>
    </row>
    <row r="805" spans="1:6" x14ac:dyDescent="0.25">
      <c r="A805" s="1">
        <v>37098</v>
      </c>
      <c r="B805" s="2">
        <v>61</v>
      </c>
      <c r="C805" s="2">
        <v>37</v>
      </c>
      <c r="D805" s="2">
        <v>0.10199999999999999</v>
      </c>
      <c r="E805" s="2" t="s">
        <v>805</v>
      </c>
      <c r="F805" s="2">
        <v>0.10199999999999999</v>
      </c>
    </row>
    <row r="806" spans="1:6" x14ac:dyDescent="0.25">
      <c r="A806" s="1">
        <v>37099</v>
      </c>
      <c r="B806" s="2">
        <v>62</v>
      </c>
      <c r="C806" s="2">
        <v>37</v>
      </c>
      <c r="D806" s="2">
        <v>5.3999999999999999E-2</v>
      </c>
      <c r="E806" s="2" t="s">
        <v>806</v>
      </c>
      <c r="F806" s="2">
        <v>5.3999999999999999E-2</v>
      </c>
    </row>
    <row r="807" spans="1:6" x14ac:dyDescent="0.25">
      <c r="A807" s="1">
        <v>37100</v>
      </c>
      <c r="B807" s="2">
        <v>63</v>
      </c>
      <c r="C807" s="2">
        <v>37</v>
      </c>
      <c r="D807" s="2">
        <v>5.0999999999999997E-2</v>
      </c>
      <c r="E807" s="2" t="s">
        <v>807</v>
      </c>
      <c r="F807" s="2">
        <v>5.0999999999999997E-2</v>
      </c>
    </row>
    <row r="808" spans="1:6" x14ac:dyDescent="0.25">
      <c r="A808" s="1">
        <v>37101</v>
      </c>
      <c r="B808" s="2">
        <v>64</v>
      </c>
      <c r="C808" s="2">
        <v>37</v>
      </c>
      <c r="D808" s="2">
        <v>3.2000000000000001E-2</v>
      </c>
      <c r="E808" s="2" t="s">
        <v>808</v>
      </c>
      <c r="F808" s="2">
        <v>3.2000000000000001E-2</v>
      </c>
    </row>
    <row r="809" spans="1:6" x14ac:dyDescent="0.25">
      <c r="A809" s="1">
        <v>37102</v>
      </c>
      <c r="B809" s="2">
        <v>65</v>
      </c>
      <c r="C809" s="2">
        <v>37</v>
      </c>
      <c r="D809" s="2">
        <v>3.6999999999999998E-2</v>
      </c>
      <c r="E809" s="2" t="s">
        <v>809</v>
      </c>
      <c r="F809" s="2">
        <v>3.6999999999999998E-2</v>
      </c>
    </row>
    <row r="810" spans="1:6" x14ac:dyDescent="0.25">
      <c r="A810" s="1">
        <v>37103</v>
      </c>
      <c r="B810" s="2">
        <v>66</v>
      </c>
      <c r="C810" s="2">
        <v>37</v>
      </c>
      <c r="D810" s="2">
        <v>2.3E-2</v>
      </c>
      <c r="E810" s="2" t="s">
        <v>810</v>
      </c>
      <c r="F810" s="2">
        <v>2.3E-2</v>
      </c>
    </row>
    <row r="811" spans="1:6" x14ac:dyDescent="0.25">
      <c r="A811" s="1">
        <v>38073</v>
      </c>
      <c r="B811" s="2">
        <v>35</v>
      </c>
      <c r="C811" s="2">
        <v>38</v>
      </c>
      <c r="D811" s="2">
        <v>2.5000000000000001E-2</v>
      </c>
      <c r="E811" s="2" t="s">
        <v>811</v>
      </c>
      <c r="F811" s="2">
        <v>2.5000000000000001E-2</v>
      </c>
    </row>
    <row r="812" spans="1:6" x14ac:dyDescent="0.25">
      <c r="A812" s="1">
        <v>38074</v>
      </c>
      <c r="B812" s="2">
        <v>36</v>
      </c>
      <c r="C812" s="2">
        <v>38</v>
      </c>
      <c r="D812" s="2">
        <v>2.7E-2</v>
      </c>
      <c r="E812" s="2" t="s">
        <v>812</v>
      </c>
      <c r="F812" s="2">
        <v>2.7E-2</v>
      </c>
    </row>
    <row r="813" spans="1:6" x14ac:dyDescent="0.25">
      <c r="A813" s="1">
        <v>38075</v>
      </c>
      <c r="B813" s="2">
        <v>37</v>
      </c>
      <c r="C813" s="2">
        <v>38</v>
      </c>
      <c r="D813" s="2">
        <v>8.7999999999999995E-2</v>
      </c>
      <c r="E813" s="2" t="s">
        <v>813</v>
      </c>
      <c r="F813" s="2">
        <v>8.7999999999999995E-2</v>
      </c>
    </row>
    <row r="814" spans="1:6" x14ac:dyDescent="0.25">
      <c r="A814" s="1">
        <v>38076</v>
      </c>
      <c r="B814" s="2">
        <v>38</v>
      </c>
      <c r="C814" s="2">
        <v>38</v>
      </c>
      <c r="D814" s="2">
        <v>7.89</v>
      </c>
      <c r="E814" s="2" t="s">
        <v>814</v>
      </c>
      <c r="F814" s="2">
        <v>7.89</v>
      </c>
    </row>
    <row r="815" spans="1:6" x14ac:dyDescent="0.25">
      <c r="A815" s="1">
        <v>38077</v>
      </c>
      <c r="B815" s="2">
        <v>39</v>
      </c>
      <c r="C815" s="2">
        <v>38</v>
      </c>
      <c r="D815" s="2">
        <v>9</v>
      </c>
      <c r="E815" s="2" t="s">
        <v>815</v>
      </c>
      <c r="F815" s="2">
        <v>9</v>
      </c>
    </row>
    <row r="816" spans="1:6" x14ac:dyDescent="0.25">
      <c r="A816" s="1">
        <v>38078</v>
      </c>
      <c r="B816" s="2">
        <v>40</v>
      </c>
      <c r="C816" s="2">
        <v>38</v>
      </c>
      <c r="D816" s="2">
        <v>160</v>
      </c>
      <c r="E816" s="2" t="s">
        <v>816</v>
      </c>
      <c r="F816" s="2">
        <v>160</v>
      </c>
    </row>
    <row r="817" spans="1:6" x14ac:dyDescent="0.25">
      <c r="A817" s="1">
        <v>38079</v>
      </c>
      <c r="B817" s="2">
        <v>41</v>
      </c>
      <c r="C817" s="2">
        <v>38</v>
      </c>
      <c r="D817" s="2">
        <v>135</v>
      </c>
      <c r="E817" s="2" t="s">
        <v>817</v>
      </c>
      <c r="F817" s="2">
        <v>135</v>
      </c>
    </row>
    <row r="818" spans="1:6" x14ac:dyDescent="0.25">
      <c r="A818" s="1">
        <v>38080</v>
      </c>
      <c r="B818" s="2">
        <v>42</v>
      </c>
      <c r="C818" s="2">
        <v>38</v>
      </c>
      <c r="D818" s="2">
        <v>6378</v>
      </c>
      <c r="E818" s="2" t="s">
        <v>818</v>
      </c>
      <c r="F818" s="2">
        <v>6378</v>
      </c>
    </row>
    <row r="819" spans="1:6" x14ac:dyDescent="0.25">
      <c r="A819" s="1">
        <v>38081</v>
      </c>
      <c r="B819" s="2">
        <v>43</v>
      </c>
      <c r="C819" s="2">
        <v>38</v>
      </c>
      <c r="D819" s="2">
        <v>1338</v>
      </c>
      <c r="E819" s="2" t="s">
        <v>819</v>
      </c>
      <c r="F819" s="2">
        <v>1338</v>
      </c>
    </row>
    <row r="820" spans="1:6" x14ac:dyDescent="0.25">
      <c r="A820" s="1">
        <v>38082</v>
      </c>
      <c r="B820" s="2">
        <v>44</v>
      </c>
      <c r="C820" s="2">
        <v>38</v>
      </c>
      <c r="D820" s="2">
        <v>2189376</v>
      </c>
      <c r="E820" s="2" t="s">
        <v>820</v>
      </c>
      <c r="F820" s="2">
        <v>2189376</v>
      </c>
    </row>
    <row r="821" spans="1:6" x14ac:dyDescent="0.25">
      <c r="A821" s="1">
        <v>38083</v>
      </c>
      <c r="B821" s="2">
        <v>45</v>
      </c>
      <c r="C821" s="2">
        <v>38</v>
      </c>
      <c r="D821" s="2">
        <v>116675.999999999</v>
      </c>
      <c r="E821" s="2" t="s">
        <v>821</v>
      </c>
      <c r="F821" s="2">
        <v>116675.999999999</v>
      </c>
    </row>
    <row r="822" spans="1:6" x14ac:dyDescent="0.25">
      <c r="A822" s="1">
        <v>38084</v>
      </c>
      <c r="B822" s="2">
        <v>46</v>
      </c>
      <c r="C822" s="2">
        <v>38</v>
      </c>
      <c r="D822" s="2" t="s">
        <v>3</v>
      </c>
      <c r="E822" s="2" t="s">
        <v>822</v>
      </c>
      <c r="F822" s="2" t="s">
        <v>3</v>
      </c>
    </row>
    <row r="823" spans="1:6" x14ac:dyDescent="0.25">
      <c r="A823" s="1">
        <v>38085</v>
      </c>
      <c r="B823" s="2">
        <v>47</v>
      </c>
      <c r="C823" s="2">
        <v>38</v>
      </c>
      <c r="D823" s="2">
        <v>5602953.5999999996</v>
      </c>
      <c r="E823" s="2" t="s">
        <v>823</v>
      </c>
      <c r="F823" s="2">
        <v>5602953.5999999996</v>
      </c>
    </row>
    <row r="824" spans="1:6" x14ac:dyDescent="0.25">
      <c r="A824" s="1">
        <v>38086</v>
      </c>
      <c r="B824" s="2">
        <v>48</v>
      </c>
      <c r="C824" s="2">
        <v>38</v>
      </c>
      <c r="D824" s="2" t="s">
        <v>3</v>
      </c>
      <c r="E824" s="2" t="s">
        <v>824</v>
      </c>
      <c r="F824" s="2" t="s">
        <v>3</v>
      </c>
    </row>
    <row r="825" spans="1:6" x14ac:dyDescent="0.25">
      <c r="A825" s="1">
        <v>38087</v>
      </c>
      <c r="B825" s="2">
        <v>49</v>
      </c>
      <c r="C825" s="2">
        <v>38</v>
      </c>
      <c r="D825" s="2" t="s">
        <v>3</v>
      </c>
      <c r="E825" s="2" t="s">
        <v>825</v>
      </c>
      <c r="F825" s="2" t="s">
        <v>3</v>
      </c>
    </row>
    <row r="826" spans="1:6" x14ac:dyDescent="0.25">
      <c r="A826" s="1">
        <v>38088</v>
      </c>
      <c r="B826" s="2">
        <v>50</v>
      </c>
      <c r="C826" s="2">
        <v>38</v>
      </c>
      <c r="D826" s="2" t="s">
        <v>3</v>
      </c>
      <c r="E826" s="2" t="s">
        <v>826</v>
      </c>
      <c r="F826" s="2" t="s">
        <v>3</v>
      </c>
    </row>
    <row r="827" spans="1:6" x14ac:dyDescent="0.25">
      <c r="A827" s="1">
        <v>38089</v>
      </c>
      <c r="B827" s="2">
        <v>51</v>
      </c>
      <c r="C827" s="2">
        <v>38</v>
      </c>
      <c r="D827" s="2">
        <v>4368643.2</v>
      </c>
      <c r="E827" s="2" t="s">
        <v>827</v>
      </c>
      <c r="F827" s="2">
        <v>4368643.2</v>
      </c>
    </row>
    <row r="828" spans="1:6" x14ac:dyDescent="0.25">
      <c r="A828" s="1">
        <v>38090</v>
      </c>
      <c r="B828" s="2">
        <v>52</v>
      </c>
      <c r="C828" s="2">
        <v>38</v>
      </c>
      <c r="D828" s="2">
        <v>912014640</v>
      </c>
      <c r="E828" s="2" t="s">
        <v>828</v>
      </c>
      <c r="F828" s="2">
        <v>912014640</v>
      </c>
    </row>
    <row r="829" spans="1:6" x14ac:dyDescent="0.25">
      <c r="A829" s="1">
        <v>38091</v>
      </c>
      <c r="B829" s="2">
        <v>53</v>
      </c>
      <c r="C829" s="2">
        <v>38</v>
      </c>
      <c r="D829" s="2">
        <v>34740</v>
      </c>
      <c r="E829" s="2" t="s">
        <v>829</v>
      </c>
      <c r="F829" s="2">
        <v>34740</v>
      </c>
    </row>
    <row r="830" spans="1:6" x14ac:dyDescent="0.25">
      <c r="A830" s="1">
        <v>38092</v>
      </c>
      <c r="B830" s="2">
        <v>54</v>
      </c>
      <c r="C830" s="2">
        <v>38</v>
      </c>
      <c r="D830" s="2">
        <v>9399.6</v>
      </c>
      <c r="E830" s="2" t="s">
        <v>830</v>
      </c>
      <c r="F830" s="2">
        <v>9399.6</v>
      </c>
    </row>
    <row r="831" spans="1:6" x14ac:dyDescent="0.25">
      <c r="A831" s="1">
        <v>38093</v>
      </c>
      <c r="B831" s="2">
        <v>55</v>
      </c>
      <c r="C831" s="2">
        <v>38</v>
      </c>
      <c r="D831" s="2">
        <v>445.79999999999899</v>
      </c>
      <c r="E831" s="2" t="s">
        <v>831</v>
      </c>
      <c r="F831" s="2">
        <v>445.79999999999899</v>
      </c>
    </row>
    <row r="832" spans="1:6" x14ac:dyDescent="0.25">
      <c r="A832" s="1">
        <v>38094</v>
      </c>
      <c r="B832" s="2">
        <v>56</v>
      </c>
      <c r="C832" s="2">
        <v>38</v>
      </c>
      <c r="D832" s="2">
        <v>75.3</v>
      </c>
      <c r="E832" s="2" t="s">
        <v>832</v>
      </c>
      <c r="F832" s="2">
        <v>75.3</v>
      </c>
    </row>
    <row r="833" spans="1:6" x14ac:dyDescent="0.25">
      <c r="A833" s="1">
        <v>38095</v>
      </c>
      <c r="B833" s="2">
        <v>57</v>
      </c>
      <c r="C833" s="2">
        <v>38</v>
      </c>
      <c r="D833" s="2">
        <v>23.9</v>
      </c>
      <c r="E833" s="2" t="s">
        <v>833</v>
      </c>
      <c r="F833" s="2">
        <v>23.9</v>
      </c>
    </row>
    <row r="834" spans="1:6" x14ac:dyDescent="0.25">
      <c r="A834" s="1">
        <v>38096</v>
      </c>
      <c r="B834" s="2">
        <v>58</v>
      </c>
      <c r="C834" s="2">
        <v>38</v>
      </c>
      <c r="D834" s="2">
        <v>1.07</v>
      </c>
      <c r="E834" s="2" t="s">
        <v>834</v>
      </c>
      <c r="F834" s="2">
        <v>1.07</v>
      </c>
    </row>
    <row r="835" spans="1:6" x14ac:dyDescent="0.25">
      <c r="A835" s="1">
        <v>38097</v>
      </c>
      <c r="B835" s="2">
        <v>59</v>
      </c>
      <c r="C835" s="2">
        <v>38</v>
      </c>
      <c r="D835" s="2">
        <v>0.42899999999999999</v>
      </c>
      <c r="E835" s="2" t="s">
        <v>835</v>
      </c>
      <c r="F835" s="2">
        <v>0.42899999999999999</v>
      </c>
    </row>
    <row r="836" spans="1:6" x14ac:dyDescent="0.25">
      <c r="A836" s="1">
        <v>38098</v>
      </c>
      <c r="B836" s="2">
        <v>60</v>
      </c>
      <c r="C836" s="2">
        <v>38</v>
      </c>
      <c r="D836" s="2">
        <v>0.65300000000000002</v>
      </c>
      <c r="E836" s="2" t="s">
        <v>836</v>
      </c>
      <c r="F836" s="2">
        <v>0.65300000000000002</v>
      </c>
    </row>
    <row r="837" spans="1:6" x14ac:dyDescent="0.25">
      <c r="A837" s="1">
        <v>38099</v>
      </c>
      <c r="B837" s="2">
        <v>61</v>
      </c>
      <c r="C837" s="2">
        <v>38</v>
      </c>
      <c r="D837" s="2">
        <v>0.26900000000000002</v>
      </c>
      <c r="E837" s="2" t="s">
        <v>837</v>
      </c>
      <c r="F837" s="2">
        <v>0.26900000000000002</v>
      </c>
    </row>
    <row r="838" spans="1:6" x14ac:dyDescent="0.25">
      <c r="A838" s="1">
        <v>38100</v>
      </c>
      <c r="B838" s="2">
        <v>62</v>
      </c>
      <c r="C838" s="2">
        <v>38</v>
      </c>
      <c r="D838" s="2">
        <v>0.20200000000000001</v>
      </c>
      <c r="E838" s="2" t="s">
        <v>838</v>
      </c>
      <c r="F838" s="2">
        <v>0.20200000000000001</v>
      </c>
    </row>
    <row r="839" spans="1:6" x14ac:dyDescent="0.25">
      <c r="A839" s="1">
        <v>38101</v>
      </c>
      <c r="B839" s="2">
        <v>63</v>
      </c>
      <c r="C839" s="2">
        <v>38</v>
      </c>
      <c r="D839" s="2">
        <v>0.11799999999999999</v>
      </c>
      <c r="E839" s="2" t="s">
        <v>839</v>
      </c>
      <c r="F839" s="2">
        <v>0.11799999999999999</v>
      </c>
    </row>
    <row r="840" spans="1:6" x14ac:dyDescent="0.25">
      <c r="A840" s="1">
        <v>38102</v>
      </c>
      <c r="B840" s="2">
        <v>64</v>
      </c>
      <c r="C840" s="2">
        <v>38</v>
      </c>
      <c r="D840" s="2">
        <v>6.9000000000000006E-2</v>
      </c>
      <c r="E840" s="2" t="s">
        <v>840</v>
      </c>
      <c r="F840" s="2">
        <v>6.9000000000000006E-2</v>
      </c>
    </row>
    <row r="841" spans="1:6" x14ac:dyDescent="0.25">
      <c r="A841" s="1">
        <v>38103</v>
      </c>
      <c r="B841" s="2">
        <v>65</v>
      </c>
      <c r="C841" s="2">
        <v>38</v>
      </c>
      <c r="D841" s="2">
        <v>5.2999999999999999E-2</v>
      </c>
      <c r="E841" s="2" t="s">
        <v>841</v>
      </c>
      <c r="F841" s="2">
        <v>5.2999999999999999E-2</v>
      </c>
    </row>
    <row r="842" spans="1:6" x14ac:dyDescent="0.25">
      <c r="A842" s="1">
        <v>38104</v>
      </c>
      <c r="B842" s="2">
        <v>66</v>
      </c>
      <c r="C842" s="2">
        <v>38</v>
      </c>
      <c r="D842" s="2">
        <v>5.2999999999999999E-2</v>
      </c>
      <c r="E842" s="2" t="s">
        <v>842</v>
      </c>
      <c r="F842" s="2">
        <v>5.2999999999999999E-2</v>
      </c>
    </row>
    <row r="843" spans="1:6" x14ac:dyDescent="0.25">
      <c r="A843" s="1">
        <v>38105</v>
      </c>
      <c r="B843" s="2">
        <v>67</v>
      </c>
      <c r="C843" s="2">
        <v>38</v>
      </c>
      <c r="D843" s="2">
        <v>3.9E-2</v>
      </c>
      <c r="E843" s="2" t="s">
        <v>843</v>
      </c>
      <c r="F843" s="2">
        <v>3.9E-2</v>
      </c>
    </row>
    <row r="844" spans="1:6" x14ac:dyDescent="0.25">
      <c r="A844" s="1">
        <v>38106</v>
      </c>
      <c r="B844" s="2">
        <v>68</v>
      </c>
      <c r="C844" s="2">
        <v>38</v>
      </c>
      <c r="D844" s="2">
        <v>0.02</v>
      </c>
      <c r="E844" s="2" t="s">
        <v>844</v>
      </c>
      <c r="F844" s="2">
        <v>0.02</v>
      </c>
    </row>
    <row r="845" spans="1:6" x14ac:dyDescent="0.25">
      <c r="A845" s="1">
        <v>38107</v>
      </c>
      <c r="B845" s="2">
        <v>69</v>
      </c>
      <c r="C845" s="2">
        <v>38</v>
      </c>
      <c r="D845" s="2">
        <v>3.9499999999999998E-7</v>
      </c>
      <c r="E845" s="2" t="s">
        <v>845</v>
      </c>
      <c r="F845" s="2">
        <v>3.9499999999999998E-7</v>
      </c>
    </row>
    <row r="846" spans="1:6" x14ac:dyDescent="0.25">
      <c r="A846" s="1">
        <v>39076</v>
      </c>
      <c r="B846" s="2">
        <v>37</v>
      </c>
      <c r="C846" s="2">
        <v>39</v>
      </c>
      <c r="D846" s="2">
        <v>1.9999999999999999E-7</v>
      </c>
      <c r="E846" s="2" t="s">
        <v>846</v>
      </c>
      <c r="F846" s="2">
        <v>1.9999999999999999E-7</v>
      </c>
    </row>
    <row r="847" spans="1:6" x14ac:dyDescent="0.25">
      <c r="A847" s="1">
        <v>39077</v>
      </c>
      <c r="B847" s="2">
        <v>38</v>
      </c>
      <c r="C847" s="2">
        <v>39</v>
      </c>
      <c r="D847" s="2">
        <v>5.7000000000000002E-2</v>
      </c>
      <c r="E847" s="2" t="s">
        <v>847</v>
      </c>
      <c r="F847" s="2">
        <v>5.7000000000000002E-2</v>
      </c>
    </row>
    <row r="848" spans="1:6" x14ac:dyDescent="0.25">
      <c r="A848" s="1">
        <v>39078</v>
      </c>
      <c r="B848" s="2">
        <v>39</v>
      </c>
      <c r="C848" s="2">
        <v>39</v>
      </c>
      <c r="D848" s="2">
        <v>5.2999999999999999E-2</v>
      </c>
      <c r="E848" s="2" t="s">
        <v>848</v>
      </c>
      <c r="F848" s="2">
        <v>5.2999999999999999E-2</v>
      </c>
    </row>
    <row r="849" spans="1:6" x14ac:dyDescent="0.25">
      <c r="A849" s="1">
        <v>39079</v>
      </c>
      <c r="B849" s="2">
        <v>40</v>
      </c>
      <c r="C849" s="2">
        <v>39</v>
      </c>
      <c r="D849" s="2">
        <v>14.8</v>
      </c>
      <c r="E849" s="2" t="s">
        <v>849</v>
      </c>
      <c r="F849" s="2">
        <v>14.8</v>
      </c>
    </row>
    <row r="850" spans="1:6" x14ac:dyDescent="0.25">
      <c r="A850" s="1">
        <v>39080</v>
      </c>
      <c r="B850" s="2">
        <v>41</v>
      </c>
      <c r="C850" s="2">
        <v>39</v>
      </c>
      <c r="D850" s="2">
        <v>30.1</v>
      </c>
      <c r="E850" s="2" t="s">
        <v>850</v>
      </c>
      <c r="F850" s="2">
        <v>30.1</v>
      </c>
    </row>
    <row r="851" spans="1:6" x14ac:dyDescent="0.25">
      <c r="A851" s="1">
        <v>39081</v>
      </c>
      <c r="B851" s="2">
        <v>42</v>
      </c>
      <c r="C851" s="2">
        <v>39</v>
      </c>
      <c r="D851" s="2">
        <v>70.400000000000006</v>
      </c>
      <c r="E851" s="2" t="s">
        <v>851</v>
      </c>
      <c r="F851" s="2">
        <v>70.400000000000006</v>
      </c>
    </row>
    <row r="852" spans="1:6" x14ac:dyDescent="0.25">
      <c r="A852" s="1">
        <v>39082</v>
      </c>
      <c r="B852" s="2">
        <v>43</v>
      </c>
      <c r="C852" s="2">
        <v>39</v>
      </c>
      <c r="D852" s="2">
        <v>8.3000000000000007</v>
      </c>
      <c r="E852" s="2" t="s">
        <v>852</v>
      </c>
      <c r="F852" s="2">
        <v>8.3000000000000007</v>
      </c>
    </row>
    <row r="853" spans="1:6" x14ac:dyDescent="0.25">
      <c r="A853" s="1">
        <v>39083</v>
      </c>
      <c r="B853" s="2">
        <v>44</v>
      </c>
      <c r="C853" s="2">
        <v>39</v>
      </c>
      <c r="D853" s="2">
        <v>424.8</v>
      </c>
      <c r="E853" s="2" t="s">
        <v>853</v>
      </c>
      <c r="F853" s="2">
        <v>424.8</v>
      </c>
    </row>
    <row r="854" spans="1:6" x14ac:dyDescent="0.25">
      <c r="A854" s="1">
        <v>39084</v>
      </c>
      <c r="B854" s="2">
        <v>45</v>
      </c>
      <c r="C854" s="2">
        <v>39</v>
      </c>
      <c r="D854" s="2">
        <v>2370</v>
      </c>
      <c r="E854" s="2" t="s">
        <v>854</v>
      </c>
      <c r="F854" s="2">
        <v>2370</v>
      </c>
    </row>
    <row r="855" spans="1:6" x14ac:dyDescent="0.25">
      <c r="A855" s="1">
        <v>39085</v>
      </c>
      <c r="B855" s="2">
        <v>46</v>
      </c>
      <c r="C855" s="2">
        <v>39</v>
      </c>
      <c r="D855" s="2">
        <v>9648</v>
      </c>
      <c r="E855" s="2" t="s">
        <v>855</v>
      </c>
      <c r="F855" s="2">
        <v>9648</v>
      </c>
    </row>
    <row r="856" spans="1:6" x14ac:dyDescent="0.25">
      <c r="A856" s="1">
        <v>39086</v>
      </c>
      <c r="B856" s="2">
        <v>47</v>
      </c>
      <c r="C856" s="2">
        <v>39</v>
      </c>
      <c r="D856" s="2">
        <v>53064</v>
      </c>
      <c r="E856" s="2" t="s">
        <v>856</v>
      </c>
      <c r="F856" s="2">
        <v>53064</v>
      </c>
    </row>
    <row r="857" spans="1:6" x14ac:dyDescent="0.25">
      <c r="A857" s="1">
        <v>39087</v>
      </c>
      <c r="B857" s="2">
        <v>48</v>
      </c>
      <c r="C857" s="2">
        <v>39</v>
      </c>
      <c r="D857" s="2">
        <v>287280</v>
      </c>
      <c r="E857" s="2" t="s">
        <v>857</v>
      </c>
      <c r="F857" s="2">
        <v>287280</v>
      </c>
    </row>
    <row r="858" spans="1:6" x14ac:dyDescent="0.25">
      <c r="A858" s="1">
        <v>39088</v>
      </c>
      <c r="B858" s="2">
        <v>49</v>
      </c>
      <c r="C858" s="2">
        <v>39</v>
      </c>
      <c r="D858" s="2">
        <v>9212486.4000000004</v>
      </c>
      <c r="E858" s="2" t="s">
        <v>858</v>
      </c>
      <c r="F858" s="2">
        <v>9212486.4000000004</v>
      </c>
    </row>
    <row r="859" spans="1:6" x14ac:dyDescent="0.25">
      <c r="A859" s="1">
        <v>39089</v>
      </c>
      <c r="B859" s="2">
        <v>50</v>
      </c>
      <c r="C859" s="2">
        <v>39</v>
      </c>
      <c r="D859" s="2" t="s">
        <v>3</v>
      </c>
      <c r="E859" s="2" t="s">
        <v>859</v>
      </c>
      <c r="F859" s="2" t="s">
        <v>3</v>
      </c>
    </row>
    <row r="860" spans="1:6" x14ac:dyDescent="0.25">
      <c r="A860" s="1">
        <v>39090</v>
      </c>
      <c r="B860" s="2">
        <v>51</v>
      </c>
      <c r="C860" s="2">
        <v>39</v>
      </c>
      <c r="D860" s="2">
        <v>230590.8</v>
      </c>
      <c r="E860" s="2" t="s">
        <v>860</v>
      </c>
      <c r="F860" s="2">
        <v>230590.8</v>
      </c>
    </row>
    <row r="861" spans="1:6" x14ac:dyDescent="0.25">
      <c r="A861" s="1">
        <v>39091</v>
      </c>
      <c r="B861" s="2">
        <v>52</v>
      </c>
      <c r="C861" s="2">
        <v>39</v>
      </c>
      <c r="D861" s="2">
        <v>5055264</v>
      </c>
      <c r="E861" s="2" t="s">
        <v>861</v>
      </c>
      <c r="F861" s="2">
        <v>5055264</v>
      </c>
    </row>
    <row r="862" spans="1:6" x14ac:dyDescent="0.25">
      <c r="A862" s="1">
        <v>39092</v>
      </c>
      <c r="B862" s="2">
        <v>53</v>
      </c>
      <c r="C862" s="2">
        <v>39</v>
      </c>
      <c r="D862" s="2">
        <v>12744</v>
      </c>
      <c r="E862" s="2" t="s">
        <v>862</v>
      </c>
      <c r="F862" s="2">
        <v>12744</v>
      </c>
    </row>
    <row r="863" spans="1:6" x14ac:dyDescent="0.25">
      <c r="A863" s="1">
        <v>39093</v>
      </c>
      <c r="B863" s="2">
        <v>54</v>
      </c>
      <c r="C863" s="2">
        <v>39</v>
      </c>
      <c r="D863" s="2">
        <v>36648</v>
      </c>
      <c r="E863" s="2" t="s">
        <v>863</v>
      </c>
      <c r="F863" s="2">
        <v>36648</v>
      </c>
    </row>
    <row r="864" spans="1:6" x14ac:dyDescent="0.25">
      <c r="A864" s="1">
        <v>39094</v>
      </c>
      <c r="B864" s="2">
        <v>55</v>
      </c>
      <c r="C864" s="2">
        <v>39</v>
      </c>
      <c r="D864" s="2">
        <v>1122</v>
      </c>
      <c r="E864" s="2" t="s">
        <v>864</v>
      </c>
      <c r="F864" s="2">
        <v>1122</v>
      </c>
    </row>
    <row r="865" spans="1:6" x14ac:dyDescent="0.25">
      <c r="A865" s="1">
        <v>39095</v>
      </c>
      <c r="B865" s="2">
        <v>56</v>
      </c>
      <c r="C865" s="2">
        <v>39</v>
      </c>
      <c r="D865" s="2">
        <v>618</v>
      </c>
      <c r="E865" s="2" t="s">
        <v>865</v>
      </c>
      <c r="F865" s="2">
        <v>618</v>
      </c>
    </row>
    <row r="866" spans="1:6" x14ac:dyDescent="0.25">
      <c r="A866" s="1">
        <v>39096</v>
      </c>
      <c r="B866" s="2">
        <v>57</v>
      </c>
      <c r="C866" s="2">
        <v>39</v>
      </c>
      <c r="D866" s="2">
        <v>5.34</v>
      </c>
      <c r="E866" s="2" t="s">
        <v>866</v>
      </c>
      <c r="F866" s="2">
        <v>5.34</v>
      </c>
    </row>
    <row r="867" spans="1:6" x14ac:dyDescent="0.25">
      <c r="A867" s="1">
        <v>39097</v>
      </c>
      <c r="B867" s="2">
        <v>58</v>
      </c>
      <c r="C867" s="2">
        <v>39</v>
      </c>
      <c r="D867" s="2">
        <v>3.75</v>
      </c>
      <c r="E867" s="2" t="s">
        <v>867</v>
      </c>
      <c r="F867" s="2">
        <v>3.75</v>
      </c>
    </row>
    <row r="868" spans="1:6" x14ac:dyDescent="0.25">
      <c r="A868" s="1">
        <v>39098</v>
      </c>
      <c r="B868" s="2">
        <v>59</v>
      </c>
      <c r="C868" s="2">
        <v>39</v>
      </c>
      <c r="D868" s="2">
        <v>0.54800000000000004</v>
      </c>
      <c r="E868" s="2" t="s">
        <v>868</v>
      </c>
      <c r="F868" s="2">
        <v>0.54800000000000004</v>
      </c>
    </row>
    <row r="869" spans="1:6" x14ac:dyDescent="0.25">
      <c r="A869" s="1">
        <v>39099</v>
      </c>
      <c r="B869" s="2">
        <v>60</v>
      </c>
      <c r="C869" s="2">
        <v>39</v>
      </c>
      <c r="D869" s="2">
        <v>1.484</v>
      </c>
      <c r="E869" s="2" t="s">
        <v>869</v>
      </c>
      <c r="F869" s="2">
        <v>1.484</v>
      </c>
    </row>
    <row r="870" spans="1:6" x14ac:dyDescent="0.25">
      <c r="A870" s="1">
        <v>39100</v>
      </c>
      <c r="B870" s="2">
        <v>61</v>
      </c>
      <c r="C870" s="2">
        <v>39</v>
      </c>
      <c r="D870" s="2">
        <v>0.73499999999999999</v>
      </c>
      <c r="E870" s="2" t="s">
        <v>870</v>
      </c>
      <c r="F870" s="2">
        <v>0.73499999999999999</v>
      </c>
    </row>
    <row r="871" spans="1:6" x14ac:dyDescent="0.25">
      <c r="A871" s="1">
        <v>39101</v>
      </c>
      <c r="B871" s="2">
        <v>62</v>
      </c>
      <c r="C871" s="2">
        <v>39</v>
      </c>
      <c r="D871" s="2">
        <v>0.45</v>
      </c>
      <c r="E871" s="2" t="s">
        <v>871</v>
      </c>
      <c r="F871" s="2">
        <v>0.45</v>
      </c>
    </row>
    <row r="872" spans="1:6" x14ac:dyDescent="0.25">
      <c r="A872" s="1">
        <v>39102</v>
      </c>
      <c r="B872" s="2">
        <v>63</v>
      </c>
      <c r="C872" s="2">
        <v>39</v>
      </c>
      <c r="D872" s="2">
        <v>0.36</v>
      </c>
      <c r="E872" s="2" t="s">
        <v>872</v>
      </c>
      <c r="F872" s="2">
        <v>0.36</v>
      </c>
    </row>
    <row r="873" spans="1:6" x14ac:dyDescent="0.25">
      <c r="A873" s="1">
        <v>39103</v>
      </c>
      <c r="B873" s="2">
        <v>64</v>
      </c>
      <c r="C873" s="2">
        <v>39</v>
      </c>
      <c r="D873" s="2">
        <v>0.23</v>
      </c>
      <c r="E873" s="2" t="s">
        <v>873</v>
      </c>
      <c r="F873" s="2">
        <v>0.23</v>
      </c>
    </row>
    <row r="874" spans="1:6" x14ac:dyDescent="0.25">
      <c r="A874" s="1">
        <v>39104</v>
      </c>
      <c r="B874" s="2">
        <v>65</v>
      </c>
      <c r="C874" s="2">
        <v>39</v>
      </c>
      <c r="D874" s="2">
        <v>0.19700000000000001</v>
      </c>
      <c r="E874" s="2" t="s">
        <v>874</v>
      </c>
      <c r="F874" s="2">
        <v>0.19700000000000001</v>
      </c>
    </row>
    <row r="875" spans="1:6" x14ac:dyDescent="0.25">
      <c r="A875" s="1">
        <v>39105</v>
      </c>
      <c r="B875" s="2">
        <v>66</v>
      </c>
      <c r="C875" s="2">
        <v>39</v>
      </c>
      <c r="D875" s="2">
        <v>9.5000000000000001E-2</v>
      </c>
      <c r="E875" s="2" t="s">
        <v>875</v>
      </c>
      <c r="F875" s="2">
        <v>9.5000000000000001E-2</v>
      </c>
    </row>
    <row r="876" spans="1:6" x14ac:dyDescent="0.25">
      <c r="A876" s="1">
        <v>39106</v>
      </c>
      <c r="B876" s="2">
        <v>67</v>
      </c>
      <c r="C876" s="2">
        <v>39</v>
      </c>
      <c r="D876" s="2">
        <v>7.9000000000000001E-2</v>
      </c>
      <c r="E876" s="2" t="s">
        <v>876</v>
      </c>
      <c r="F876" s="2">
        <v>7.9000000000000001E-2</v>
      </c>
    </row>
    <row r="877" spans="1:6" x14ac:dyDescent="0.25">
      <c r="A877" s="1">
        <v>39107</v>
      </c>
      <c r="B877" s="2">
        <v>68</v>
      </c>
      <c r="C877" s="2">
        <v>39</v>
      </c>
      <c r="D877" s="2">
        <v>3.5000000000000001E-3</v>
      </c>
      <c r="E877" s="2" t="s">
        <v>877</v>
      </c>
      <c r="F877" s="2">
        <v>3.5000000000000001E-3</v>
      </c>
    </row>
    <row r="878" spans="1:6" x14ac:dyDescent="0.25">
      <c r="A878" s="1">
        <v>39108</v>
      </c>
      <c r="B878" s="2">
        <v>69</v>
      </c>
      <c r="C878" s="2">
        <v>39</v>
      </c>
      <c r="D878" s="2">
        <v>0.03</v>
      </c>
      <c r="E878" s="2" t="s">
        <v>878</v>
      </c>
      <c r="F878" s="2">
        <v>0.03</v>
      </c>
    </row>
    <row r="879" spans="1:6" x14ac:dyDescent="0.25">
      <c r="A879" s="1">
        <v>39109</v>
      </c>
      <c r="B879" s="2">
        <v>70</v>
      </c>
      <c r="C879" s="2">
        <v>39</v>
      </c>
      <c r="D879" s="2">
        <v>2.5000000000000001E-2</v>
      </c>
      <c r="E879" s="2" t="s">
        <v>879</v>
      </c>
      <c r="F879" s="2">
        <v>2.5000000000000001E-2</v>
      </c>
    </row>
    <row r="880" spans="1:6" x14ac:dyDescent="0.25">
      <c r="A880" s="1">
        <v>40078</v>
      </c>
      <c r="B880" s="2">
        <v>38</v>
      </c>
      <c r="C880" s="2">
        <v>40</v>
      </c>
      <c r="D880" s="2">
        <v>1.6999999999999999E-7</v>
      </c>
      <c r="E880" s="2" t="s">
        <v>880</v>
      </c>
      <c r="F880" s="2">
        <v>1.6999999999999999E-7</v>
      </c>
    </row>
    <row r="881" spans="1:6" x14ac:dyDescent="0.25">
      <c r="A881" s="1">
        <v>40079</v>
      </c>
      <c r="B881" s="2">
        <v>39</v>
      </c>
      <c r="C881" s="2">
        <v>40</v>
      </c>
      <c r="D881" s="2">
        <v>5.6000000000000001E-2</v>
      </c>
      <c r="E881" s="2" t="s">
        <v>881</v>
      </c>
      <c r="F881" s="2">
        <v>5.6000000000000001E-2</v>
      </c>
    </row>
    <row r="882" spans="1:6" x14ac:dyDescent="0.25">
      <c r="A882" s="1">
        <v>40080</v>
      </c>
      <c r="B882" s="2">
        <v>40</v>
      </c>
      <c r="C882" s="2">
        <v>40</v>
      </c>
      <c r="D882" s="2">
        <v>4.5999999999999996</v>
      </c>
      <c r="E882" s="2" t="s">
        <v>882</v>
      </c>
      <c r="F882" s="2">
        <v>4.5999999999999996</v>
      </c>
    </row>
    <row r="883" spans="1:6" x14ac:dyDescent="0.25">
      <c r="A883" s="1">
        <v>40081</v>
      </c>
      <c r="B883" s="2">
        <v>41</v>
      </c>
      <c r="C883" s="2">
        <v>40</v>
      </c>
      <c r="D883" s="2">
        <v>5.5</v>
      </c>
      <c r="E883" s="2" t="s">
        <v>883</v>
      </c>
      <c r="F883" s="2">
        <v>5.5</v>
      </c>
    </row>
    <row r="884" spans="1:6" x14ac:dyDescent="0.25">
      <c r="A884" s="1">
        <v>40082</v>
      </c>
      <c r="B884" s="2">
        <v>42</v>
      </c>
      <c r="C884" s="2">
        <v>40</v>
      </c>
      <c r="D884" s="2">
        <v>32</v>
      </c>
      <c r="E884" s="2" t="s">
        <v>884</v>
      </c>
      <c r="F884" s="2">
        <v>32</v>
      </c>
    </row>
    <row r="885" spans="1:6" x14ac:dyDescent="0.25">
      <c r="A885" s="1">
        <v>40083</v>
      </c>
      <c r="B885" s="2">
        <v>43</v>
      </c>
      <c r="C885" s="2">
        <v>40</v>
      </c>
      <c r="D885" s="2">
        <v>42</v>
      </c>
      <c r="E885" s="2" t="s">
        <v>885</v>
      </c>
      <c r="F885" s="2">
        <v>42</v>
      </c>
    </row>
    <row r="886" spans="1:6" x14ac:dyDescent="0.25">
      <c r="A886" s="1">
        <v>40084</v>
      </c>
      <c r="B886" s="2">
        <v>44</v>
      </c>
      <c r="C886" s="2">
        <v>40</v>
      </c>
      <c r="D886" s="2">
        <v>1548</v>
      </c>
      <c r="E886" s="2" t="s">
        <v>886</v>
      </c>
      <c r="F886" s="2">
        <v>1548</v>
      </c>
    </row>
    <row r="887" spans="1:6" x14ac:dyDescent="0.25">
      <c r="A887" s="1">
        <v>40085</v>
      </c>
      <c r="B887" s="2">
        <v>45</v>
      </c>
      <c r="C887" s="2">
        <v>40</v>
      </c>
      <c r="D887" s="2">
        <v>471.6</v>
      </c>
      <c r="E887" s="2" t="s">
        <v>887</v>
      </c>
      <c r="F887" s="2">
        <v>471.6</v>
      </c>
    </row>
    <row r="888" spans="1:6" x14ac:dyDescent="0.25">
      <c r="A888" s="1">
        <v>40086</v>
      </c>
      <c r="B888" s="2">
        <v>46</v>
      </c>
      <c r="C888" s="2">
        <v>40</v>
      </c>
      <c r="D888" s="2">
        <v>59400</v>
      </c>
      <c r="E888" s="2" t="s">
        <v>888</v>
      </c>
      <c r="F888" s="2">
        <v>59400</v>
      </c>
    </row>
    <row r="889" spans="1:6" x14ac:dyDescent="0.25">
      <c r="A889" s="1">
        <v>40087</v>
      </c>
      <c r="B889" s="2">
        <v>47</v>
      </c>
      <c r="C889" s="2">
        <v>40</v>
      </c>
      <c r="D889" s="2">
        <v>6048</v>
      </c>
      <c r="E889" s="2" t="s">
        <v>889</v>
      </c>
      <c r="F889" s="2">
        <v>6048</v>
      </c>
    </row>
    <row r="890" spans="1:6" x14ac:dyDescent="0.25">
      <c r="A890" s="1">
        <v>40088</v>
      </c>
      <c r="B890" s="2">
        <v>48</v>
      </c>
      <c r="C890" s="2">
        <v>40</v>
      </c>
      <c r="D890" s="2">
        <v>7205760</v>
      </c>
      <c r="E890" s="2" t="s">
        <v>890</v>
      </c>
      <c r="F890" s="2">
        <v>7205760</v>
      </c>
    </row>
    <row r="891" spans="1:6" x14ac:dyDescent="0.25">
      <c r="A891" s="1">
        <v>40089</v>
      </c>
      <c r="B891" s="2">
        <v>49</v>
      </c>
      <c r="C891" s="2">
        <v>40</v>
      </c>
      <c r="D891" s="2">
        <v>282276</v>
      </c>
      <c r="E891" s="2" t="s">
        <v>891</v>
      </c>
      <c r="F891" s="2">
        <v>282276</v>
      </c>
    </row>
    <row r="892" spans="1:6" x14ac:dyDescent="0.25">
      <c r="A892" s="1">
        <v>40090</v>
      </c>
      <c r="B892" s="2">
        <v>50</v>
      </c>
      <c r="C892" s="2">
        <v>40</v>
      </c>
      <c r="D892" s="2" t="s">
        <v>3</v>
      </c>
      <c r="E892" s="2" t="s">
        <v>892</v>
      </c>
      <c r="F892" s="2" t="s">
        <v>3</v>
      </c>
    </row>
    <row r="893" spans="1:6" x14ac:dyDescent="0.25">
      <c r="A893" s="1">
        <v>40091</v>
      </c>
      <c r="B893" s="2">
        <v>51</v>
      </c>
      <c r="C893" s="2">
        <v>40</v>
      </c>
      <c r="D893" s="2" t="s">
        <v>3</v>
      </c>
      <c r="E893" s="2" t="s">
        <v>893</v>
      </c>
      <c r="F893" s="2" t="s">
        <v>3</v>
      </c>
    </row>
    <row r="894" spans="1:6" x14ac:dyDescent="0.25">
      <c r="A894" s="1">
        <v>40092</v>
      </c>
      <c r="B894" s="2">
        <v>52</v>
      </c>
      <c r="C894" s="2">
        <v>40</v>
      </c>
      <c r="D894" s="2" t="s">
        <v>3</v>
      </c>
      <c r="E894" s="2" t="s">
        <v>894</v>
      </c>
      <c r="F894" s="2" t="s">
        <v>3</v>
      </c>
    </row>
    <row r="895" spans="1:6" x14ac:dyDescent="0.25">
      <c r="A895" s="1">
        <v>40093</v>
      </c>
      <c r="B895" s="2">
        <v>53</v>
      </c>
      <c r="C895" s="2">
        <v>40</v>
      </c>
      <c r="D895" s="2">
        <v>50807736000000</v>
      </c>
      <c r="E895" s="2" t="s">
        <v>895</v>
      </c>
      <c r="F895" s="2">
        <v>50807736000000</v>
      </c>
    </row>
    <row r="896" spans="1:6" x14ac:dyDescent="0.25">
      <c r="A896" s="1">
        <v>40094</v>
      </c>
      <c r="B896" s="2">
        <v>54</v>
      </c>
      <c r="C896" s="2">
        <v>40</v>
      </c>
      <c r="D896" s="2" t="s">
        <v>3</v>
      </c>
      <c r="E896" s="2" t="s">
        <v>896</v>
      </c>
      <c r="F896" s="2" t="s">
        <v>3</v>
      </c>
    </row>
    <row r="897" spans="1:6" x14ac:dyDescent="0.25">
      <c r="A897" s="1">
        <v>40095</v>
      </c>
      <c r="B897" s="2">
        <v>55</v>
      </c>
      <c r="C897" s="2">
        <v>40</v>
      </c>
      <c r="D897" s="2">
        <v>5532364.7999999998</v>
      </c>
      <c r="E897" s="2" t="s">
        <v>897</v>
      </c>
      <c r="F897" s="2">
        <v>5532364.7999999998</v>
      </c>
    </row>
    <row r="898" spans="1:6" x14ac:dyDescent="0.25">
      <c r="A898" s="1">
        <v>40096</v>
      </c>
      <c r="B898" s="2">
        <v>56</v>
      </c>
      <c r="C898" s="2">
        <v>40</v>
      </c>
      <c r="D898" s="2">
        <v>7.4160360000000004E+26</v>
      </c>
      <c r="E898" s="2" t="s">
        <v>898</v>
      </c>
      <c r="F898" s="2">
        <v>7.4160360000000004E+26</v>
      </c>
    </row>
    <row r="899" spans="1:6" x14ac:dyDescent="0.25">
      <c r="A899" s="1">
        <v>40097</v>
      </c>
      <c r="B899" s="2">
        <v>57</v>
      </c>
      <c r="C899" s="2">
        <v>40</v>
      </c>
      <c r="D899" s="2">
        <v>60296.3999999999</v>
      </c>
      <c r="E899" s="2" t="s">
        <v>899</v>
      </c>
      <c r="F899" s="2">
        <v>60296.3999999999</v>
      </c>
    </row>
    <row r="900" spans="1:6" x14ac:dyDescent="0.25">
      <c r="A900" s="1">
        <v>40098</v>
      </c>
      <c r="B900" s="2">
        <v>58</v>
      </c>
      <c r="C900" s="2">
        <v>40</v>
      </c>
      <c r="D900" s="2">
        <v>30.7</v>
      </c>
      <c r="E900" s="2" t="s">
        <v>900</v>
      </c>
      <c r="F900" s="2">
        <v>30.7</v>
      </c>
    </row>
    <row r="901" spans="1:6" x14ac:dyDescent="0.25">
      <c r="A901" s="1">
        <v>40099</v>
      </c>
      <c r="B901" s="2">
        <v>59</v>
      </c>
      <c r="C901" s="2">
        <v>40</v>
      </c>
      <c r="D901" s="2">
        <v>2.1</v>
      </c>
      <c r="E901" s="2" t="s">
        <v>901</v>
      </c>
      <c r="F901" s="2">
        <v>2.1</v>
      </c>
    </row>
    <row r="902" spans="1:6" x14ac:dyDescent="0.25">
      <c r="A902" s="1">
        <v>40100</v>
      </c>
      <c r="B902" s="2">
        <v>60</v>
      </c>
      <c r="C902" s="2">
        <v>40</v>
      </c>
      <c r="D902" s="2">
        <v>7.1</v>
      </c>
      <c r="E902" s="2" t="s">
        <v>902</v>
      </c>
      <c r="F902" s="2">
        <v>7.1</v>
      </c>
    </row>
    <row r="903" spans="1:6" x14ac:dyDescent="0.25">
      <c r="A903" s="1">
        <v>40101</v>
      </c>
      <c r="B903" s="2">
        <v>61</v>
      </c>
      <c r="C903" s="2">
        <v>40</v>
      </c>
      <c r="D903" s="2">
        <v>2.2999999999999998</v>
      </c>
      <c r="E903" s="2" t="s">
        <v>903</v>
      </c>
      <c r="F903" s="2">
        <v>2.2999999999999998</v>
      </c>
    </row>
    <row r="904" spans="1:6" x14ac:dyDescent="0.25">
      <c r="A904" s="1">
        <v>40102</v>
      </c>
      <c r="B904" s="2">
        <v>62</v>
      </c>
      <c r="C904" s="2">
        <v>40</v>
      </c>
      <c r="D904" s="2">
        <v>2.9</v>
      </c>
      <c r="E904" s="2" t="s">
        <v>904</v>
      </c>
      <c r="F904" s="2">
        <v>2.9</v>
      </c>
    </row>
    <row r="905" spans="1:6" x14ac:dyDescent="0.25">
      <c r="A905" s="1">
        <v>40103</v>
      </c>
      <c r="B905" s="2">
        <v>63</v>
      </c>
      <c r="C905" s="2">
        <v>40</v>
      </c>
      <c r="D905" s="2">
        <v>1.32</v>
      </c>
      <c r="E905" s="2" t="s">
        <v>905</v>
      </c>
      <c r="F905" s="2">
        <v>1.32</v>
      </c>
    </row>
    <row r="906" spans="1:6" x14ac:dyDescent="0.25">
      <c r="A906" s="1">
        <v>40104</v>
      </c>
      <c r="B906" s="2">
        <v>64</v>
      </c>
      <c r="C906" s="2">
        <v>40</v>
      </c>
      <c r="D906" s="2">
        <v>0.87</v>
      </c>
      <c r="E906" s="2" t="s">
        <v>906</v>
      </c>
      <c r="F906" s="2">
        <v>0.87</v>
      </c>
    </row>
    <row r="907" spans="1:6" x14ac:dyDescent="0.25">
      <c r="A907" s="1">
        <v>40105</v>
      </c>
      <c r="B907" s="2">
        <v>65</v>
      </c>
      <c r="C907" s="2">
        <v>40</v>
      </c>
      <c r="D907" s="2">
        <v>0.67</v>
      </c>
      <c r="E907" s="2" t="s">
        <v>907</v>
      </c>
      <c r="F907" s="2">
        <v>0.67</v>
      </c>
    </row>
    <row r="908" spans="1:6" x14ac:dyDescent="0.25">
      <c r="A908" s="1">
        <v>40106</v>
      </c>
      <c r="B908" s="2">
        <v>66</v>
      </c>
      <c r="C908" s="2">
        <v>40</v>
      </c>
      <c r="D908" s="2">
        <v>0.18</v>
      </c>
      <c r="E908" s="2" t="s">
        <v>908</v>
      </c>
      <c r="F908" s="2">
        <v>0.18</v>
      </c>
    </row>
    <row r="909" spans="1:6" x14ac:dyDescent="0.25">
      <c r="A909" s="1">
        <v>40107</v>
      </c>
      <c r="B909" s="2">
        <v>67</v>
      </c>
      <c r="C909" s="2">
        <v>40</v>
      </c>
      <c r="D909" s="2">
        <v>0.14599999999999999</v>
      </c>
      <c r="E909" s="2" t="s">
        <v>909</v>
      </c>
      <c r="F909" s="2">
        <v>0.14599999999999999</v>
      </c>
    </row>
    <row r="910" spans="1:6" x14ac:dyDescent="0.25">
      <c r="A910" s="1">
        <v>40108</v>
      </c>
      <c r="B910" s="2">
        <v>68</v>
      </c>
      <c r="C910" s="2">
        <v>40</v>
      </c>
      <c r="D910" s="2">
        <v>7.7399999999999997E-2</v>
      </c>
      <c r="E910" s="2" t="s">
        <v>910</v>
      </c>
      <c r="F910" s="2">
        <v>7.7399999999999997E-2</v>
      </c>
    </row>
    <row r="911" spans="1:6" x14ac:dyDescent="0.25">
      <c r="A911" s="1">
        <v>40109</v>
      </c>
      <c r="B911" s="2">
        <v>69</v>
      </c>
      <c r="C911" s="2">
        <v>40</v>
      </c>
      <c r="D911" s="2">
        <v>5.6000000000000001E-2</v>
      </c>
      <c r="E911" s="2" t="s">
        <v>911</v>
      </c>
      <c r="F911" s="2">
        <v>5.6000000000000001E-2</v>
      </c>
    </row>
    <row r="912" spans="1:6" x14ac:dyDescent="0.25">
      <c r="A912" s="1">
        <v>40110</v>
      </c>
      <c r="B912" s="2">
        <v>70</v>
      </c>
      <c r="C912" s="2">
        <v>40</v>
      </c>
      <c r="D912" s="2">
        <v>3.7499999999999999E-2</v>
      </c>
      <c r="E912" s="2" t="s">
        <v>912</v>
      </c>
      <c r="F912" s="2">
        <v>3.7499999999999999E-2</v>
      </c>
    </row>
    <row r="913" spans="1:6" x14ac:dyDescent="0.25">
      <c r="A913" s="1">
        <v>40111</v>
      </c>
      <c r="B913" s="2">
        <v>71</v>
      </c>
      <c r="C913" s="2">
        <v>40</v>
      </c>
      <c r="D913" s="2">
        <v>2.4E-2</v>
      </c>
      <c r="E913" s="2" t="s">
        <v>913</v>
      </c>
      <c r="F913" s="2">
        <v>2.4E-2</v>
      </c>
    </row>
    <row r="914" spans="1:6" x14ac:dyDescent="0.25">
      <c r="A914" s="1">
        <v>40112</v>
      </c>
      <c r="B914" s="2">
        <v>72</v>
      </c>
      <c r="C914" s="2">
        <v>40</v>
      </c>
      <c r="D914" s="2">
        <v>0.03</v>
      </c>
      <c r="E914" s="2" t="s">
        <v>914</v>
      </c>
      <c r="F914" s="2">
        <v>0.03</v>
      </c>
    </row>
    <row r="915" spans="1:6" x14ac:dyDescent="0.25">
      <c r="A915" s="1">
        <v>41082</v>
      </c>
      <c r="B915" s="2">
        <v>41</v>
      </c>
      <c r="C915" s="2">
        <v>41</v>
      </c>
      <c r="D915" s="2">
        <v>0.05</v>
      </c>
      <c r="E915" s="2" t="s">
        <v>915</v>
      </c>
      <c r="F915" s="2">
        <v>0.05</v>
      </c>
    </row>
    <row r="916" spans="1:6" x14ac:dyDescent="0.25">
      <c r="A916" s="1">
        <v>41083</v>
      </c>
      <c r="B916" s="2">
        <v>42</v>
      </c>
      <c r="C916" s="2">
        <v>41</v>
      </c>
      <c r="D916" s="2">
        <v>3.9</v>
      </c>
      <c r="E916" s="2" t="s">
        <v>916</v>
      </c>
      <c r="F916" s="2">
        <v>3.9</v>
      </c>
    </row>
    <row r="917" spans="1:6" x14ac:dyDescent="0.25">
      <c r="A917" s="1">
        <v>41084</v>
      </c>
      <c r="B917" s="2">
        <v>43</v>
      </c>
      <c r="C917" s="2">
        <v>41</v>
      </c>
      <c r="D917" s="2">
        <v>9.8000000000000007</v>
      </c>
      <c r="E917" s="2" t="s">
        <v>917</v>
      </c>
      <c r="F917" s="2">
        <v>9.8000000000000007</v>
      </c>
    </row>
    <row r="918" spans="1:6" x14ac:dyDescent="0.25">
      <c r="A918" s="1">
        <v>41085</v>
      </c>
      <c r="B918" s="2">
        <v>44</v>
      </c>
      <c r="C918" s="2">
        <v>41</v>
      </c>
      <c r="D918" s="2">
        <v>20.5</v>
      </c>
      <c r="E918" s="2" t="s">
        <v>918</v>
      </c>
      <c r="F918" s="2">
        <v>20.5</v>
      </c>
    </row>
    <row r="919" spans="1:6" x14ac:dyDescent="0.25">
      <c r="A919" s="1">
        <v>41086</v>
      </c>
      <c r="B919" s="2">
        <v>45</v>
      </c>
      <c r="C919" s="2">
        <v>41</v>
      </c>
      <c r="D919" s="2">
        <v>88</v>
      </c>
      <c r="E919" s="2" t="s">
        <v>919</v>
      </c>
      <c r="F919" s="2">
        <v>88</v>
      </c>
    </row>
    <row r="920" spans="1:6" x14ac:dyDescent="0.25">
      <c r="A920" s="1">
        <v>41087</v>
      </c>
      <c r="B920" s="2">
        <v>46</v>
      </c>
      <c r="C920" s="2">
        <v>41</v>
      </c>
      <c r="D920" s="2">
        <v>222</v>
      </c>
      <c r="E920" s="2" t="s">
        <v>920</v>
      </c>
      <c r="F920" s="2">
        <v>222</v>
      </c>
    </row>
    <row r="921" spans="1:6" x14ac:dyDescent="0.25">
      <c r="A921" s="1">
        <v>41088</v>
      </c>
      <c r="B921" s="2">
        <v>47</v>
      </c>
      <c r="C921" s="2">
        <v>41</v>
      </c>
      <c r="D921" s="2">
        <v>873</v>
      </c>
      <c r="E921" s="2" t="s">
        <v>921</v>
      </c>
      <c r="F921" s="2">
        <v>873</v>
      </c>
    </row>
    <row r="922" spans="1:6" x14ac:dyDescent="0.25">
      <c r="A922" s="1">
        <v>41089</v>
      </c>
      <c r="B922" s="2">
        <v>48</v>
      </c>
      <c r="C922" s="2">
        <v>41</v>
      </c>
      <c r="D922" s="2">
        <v>7307.99999999999</v>
      </c>
      <c r="E922" s="2" t="s">
        <v>922</v>
      </c>
      <c r="F922" s="2">
        <v>7307.99999999999</v>
      </c>
    </row>
    <row r="923" spans="1:6" x14ac:dyDescent="0.25">
      <c r="A923" s="1">
        <v>41090</v>
      </c>
      <c r="B923" s="2">
        <v>49</v>
      </c>
      <c r="C923" s="2">
        <v>41</v>
      </c>
      <c r="D923" s="2">
        <v>52560</v>
      </c>
      <c r="E923" s="2" t="s">
        <v>923</v>
      </c>
      <c r="F923" s="2">
        <v>52560</v>
      </c>
    </row>
    <row r="924" spans="1:6" x14ac:dyDescent="0.25">
      <c r="A924" s="1">
        <v>41091</v>
      </c>
      <c r="B924" s="2">
        <v>50</v>
      </c>
      <c r="C924" s="2">
        <v>41</v>
      </c>
      <c r="D924" s="2">
        <v>21459168000</v>
      </c>
      <c r="E924" s="2" t="s">
        <v>924</v>
      </c>
      <c r="F924" s="2">
        <v>21459168000</v>
      </c>
    </row>
    <row r="925" spans="1:6" x14ac:dyDescent="0.25">
      <c r="A925" s="1">
        <v>41092</v>
      </c>
      <c r="B925" s="2">
        <v>51</v>
      </c>
      <c r="C925" s="2">
        <v>41</v>
      </c>
      <c r="D925" s="2">
        <v>1095048720000000</v>
      </c>
      <c r="E925" s="2" t="s">
        <v>925</v>
      </c>
      <c r="F925" s="2">
        <v>1095048720000000</v>
      </c>
    </row>
    <row r="926" spans="1:6" x14ac:dyDescent="0.25">
      <c r="A926" s="1">
        <v>41093</v>
      </c>
      <c r="B926" s="2">
        <v>52</v>
      </c>
      <c r="C926" s="2">
        <v>41</v>
      </c>
      <c r="D926" s="2" t="s">
        <v>3</v>
      </c>
      <c r="E926" s="2" t="s">
        <v>926</v>
      </c>
      <c r="F926" s="2" t="s">
        <v>3</v>
      </c>
    </row>
    <row r="927" spans="1:6" x14ac:dyDescent="0.25">
      <c r="A927" s="1">
        <v>41094</v>
      </c>
      <c r="B927" s="2">
        <v>53</v>
      </c>
      <c r="C927" s="2">
        <v>41</v>
      </c>
      <c r="D927" s="2">
        <v>640619280000</v>
      </c>
      <c r="E927" s="2" t="s">
        <v>927</v>
      </c>
      <c r="F927" s="2">
        <v>640619280000</v>
      </c>
    </row>
    <row r="928" spans="1:6" x14ac:dyDescent="0.25">
      <c r="A928" s="1">
        <v>41095</v>
      </c>
      <c r="B928" s="2">
        <v>54</v>
      </c>
      <c r="C928" s="2">
        <v>41</v>
      </c>
      <c r="D928" s="2">
        <v>3023222.4</v>
      </c>
      <c r="E928" s="2" t="s">
        <v>928</v>
      </c>
      <c r="F928" s="2">
        <v>3023222.4</v>
      </c>
    </row>
    <row r="929" spans="1:6" x14ac:dyDescent="0.25">
      <c r="A929" s="1">
        <v>41096</v>
      </c>
      <c r="B929" s="2">
        <v>55</v>
      </c>
      <c r="C929" s="2">
        <v>41</v>
      </c>
      <c r="D929" s="2">
        <v>84060</v>
      </c>
      <c r="E929" s="2" t="s">
        <v>929</v>
      </c>
      <c r="F929" s="2">
        <v>84060</v>
      </c>
    </row>
    <row r="930" spans="1:6" x14ac:dyDescent="0.25">
      <c r="A930" s="1">
        <v>41097</v>
      </c>
      <c r="B930" s="2">
        <v>56</v>
      </c>
      <c r="C930" s="2">
        <v>41</v>
      </c>
      <c r="D930" s="2">
        <v>4326</v>
      </c>
      <c r="E930" s="2" t="s">
        <v>930</v>
      </c>
      <c r="F930" s="2">
        <v>4326</v>
      </c>
    </row>
    <row r="931" spans="1:6" x14ac:dyDescent="0.25">
      <c r="A931" s="1">
        <v>41098</v>
      </c>
      <c r="B931" s="2">
        <v>57</v>
      </c>
      <c r="C931" s="2">
        <v>41</v>
      </c>
      <c r="D931" s="2">
        <v>2.86</v>
      </c>
      <c r="E931" s="2" t="s">
        <v>931</v>
      </c>
      <c r="F931" s="2">
        <v>2.86</v>
      </c>
    </row>
    <row r="932" spans="1:6" x14ac:dyDescent="0.25">
      <c r="A932" s="1">
        <v>41099</v>
      </c>
      <c r="B932" s="2">
        <v>58</v>
      </c>
      <c r="C932" s="2">
        <v>41</v>
      </c>
      <c r="D932" s="2">
        <v>15</v>
      </c>
      <c r="E932" s="2" t="s">
        <v>932</v>
      </c>
      <c r="F932" s="2">
        <v>15</v>
      </c>
    </row>
    <row r="933" spans="1:6" x14ac:dyDescent="0.25">
      <c r="A933" s="1">
        <v>41100</v>
      </c>
      <c r="B933" s="2">
        <v>59</v>
      </c>
      <c r="C933" s="2">
        <v>41</v>
      </c>
      <c r="D933" s="2">
        <v>1.5</v>
      </c>
      <c r="E933" s="2" t="s">
        <v>933</v>
      </c>
      <c r="F933" s="2">
        <v>1.5</v>
      </c>
    </row>
    <row r="934" spans="1:6" x14ac:dyDescent="0.25">
      <c r="A934" s="1">
        <v>41101</v>
      </c>
      <c r="B934" s="2">
        <v>60</v>
      </c>
      <c r="C934" s="2">
        <v>41</v>
      </c>
      <c r="D934" s="2">
        <v>7.1</v>
      </c>
      <c r="E934" s="2" t="s">
        <v>934</v>
      </c>
      <c r="F934" s="2">
        <v>7.1</v>
      </c>
    </row>
    <row r="935" spans="1:6" x14ac:dyDescent="0.25">
      <c r="A935" s="1">
        <v>41102</v>
      </c>
      <c r="B935" s="2">
        <v>61</v>
      </c>
      <c r="C935" s="2">
        <v>41</v>
      </c>
      <c r="D935" s="2">
        <v>4.3</v>
      </c>
      <c r="E935" s="2" t="s">
        <v>935</v>
      </c>
      <c r="F935" s="2">
        <v>4.3</v>
      </c>
    </row>
    <row r="936" spans="1:6" x14ac:dyDescent="0.25">
      <c r="A936" s="1">
        <v>41103</v>
      </c>
      <c r="B936" s="2">
        <v>62</v>
      </c>
      <c r="C936" s="2">
        <v>41</v>
      </c>
      <c r="D936" s="2">
        <v>1.5</v>
      </c>
      <c r="E936" s="2" t="s">
        <v>936</v>
      </c>
      <c r="F936" s="2">
        <v>1.5</v>
      </c>
    </row>
    <row r="937" spans="1:6" x14ac:dyDescent="0.25">
      <c r="A937" s="1">
        <v>41104</v>
      </c>
      <c r="B937" s="2">
        <v>63</v>
      </c>
      <c r="C937" s="2">
        <v>41</v>
      </c>
      <c r="D937" s="2">
        <v>4.9000000000000004</v>
      </c>
      <c r="E937" s="2" t="s">
        <v>937</v>
      </c>
      <c r="F937" s="2">
        <v>4.9000000000000004</v>
      </c>
    </row>
    <row r="938" spans="1:6" x14ac:dyDescent="0.25">
      <c r="A938" s="1">
        <v>41105</v>
      </c>
      <c r="B938" s="2">
        <v>64</v>
      </c>
      <c r="C938" s="2">
        <v>41</v>
      </c>
      <c r="D938" s="2">
        <v>2.95</v>
      </c>
      <c r="E938" s="2" t="s">
        <v>938</v>
      </c>
      <c r="F938" s="2">
        <v>2.95</v>
      </c>
    </row>
    <row r="939" spans="1:6" x14ac:dyDescent="0.25">
      <c r="A939" s="1">
        <v>41106</v>
      </c>
      <c r="B939" s="2">
        <v>65</v>
      </c>
      <c r="C939" s="2">
        <v>41</v>
      </c>
      <c r="D939" s="2">
        <v>1.02</v>
      </c>
      <c r="E939" s="2" t="s">
        <v>939</v>
      </c>
      <c r="F939" s="2">
        <v>1.02</v>
      </c>
    </row>
    <row r="940" spans="1:6" x14ac:dyDescent="0.25">
      <c r="A940" s="1">
        <v>41107</v>
      </c>
      <c r="B940" s="2">
        <v>66</v>
      </c>
      <c r="C940" s="2">
        <v>41</v>
      </c>
      <c r="D940" s="2">
        <v>0.3</v>
      </c>
      <c r="E940" s="2" t="s">
        <v>940</v>
      </c>
      <c r="F940" s="2">
        <v>0.3</v>
      </c>
    </row>
    <row r="941" spans="1:6" x14ac:dyDescent="0.25">
      <c r="A941" s="1">
        <v>41108</v>
      </c>
      <c r="B941" s="2">
        <v>67</v>
      </c>
      <c r="C941" s="2">
        <v>41</v>
      </c>
      <c r="D941" s="2">
        <v>0.19800000000000001</v>
      </c>
      <c r="E941" s="2" t="s">
        <v>941</v>
      </c>
      <c r="F941" s="2">
        <v>0.19800000000000001</v>
      </c>
    </row>
    <row r="942" spans="1:6" x14ac:dyDescent="0.25">
      <c r="A942" s="1">
        <v>41109</v>
      </c>
      <c r="B942" s="2">
        <v>68</v>
      </c>
      <c r="C942" s="2">
        <v>41</v>
      </c>
      <c r="D942" s="2">
        <v>0.106</v>
      </c>
      <c r="E942" s="2" t="s">
        <v>942</v>
      </c>
      <c r="F942" s="2">
        <v>0.106</v>
      </c>
    </row>
    <row r="943" spans="1:6" x14ac:dyDescent="0.25">
      <c r="A943" s="1">
        <v>41110</v>
      </c>
      <c r="B943" s="2">
        <v>69</v>
      </c>
      <c r="C943" s="2">
        <v>41</v>
      </c>
      <c r="D943" s="2">
        <v>8.5999999999999993E-2</v>
      </c>
      <c r="E943" s="2" t="s">
        <v>943</v>
      </c>
      <c r="F943" s="2">
        <v>8.5999999999999993E-2</v>
      </c>
    </row>
    <row r="944" spans="1:6" x14ac:dyDescent="0.25">
      <c r="A944" s="1">
        <v>41111</v>
      </c>
      <c r="B944" s="2">
        <v>70</v>
      </c>
      <c r="C944" s="2">
        <v>41</v>
      </c>
      <c r="D944" s="2">
        <v>5.0999999999999997E-2</v>
      </c>
      <c r="E944" s="2" t="s">
        <v>944</v>
      </c>
      <c r="F944" s="2">
        <v>5.0999999999999997E-2</v>
      </c>
    </row>
    <row r="945" spans="1:6" x14ac:dyDescent="0.25">
      <c r="A945" s="1">
        <v>41112</v>
      </c>
      <c r="B945" s="2">
        <v>71</v>
      </c>
      <c r="C945" s="2">
        <v>41</v>
      </c>
      <c r="D945" s="2">
        <v>3.3000000000000002E-2</v>
      </c>
      <c r="E945" s="2" t="s">
        <v>945</v>
      </c>
      <c r="F945" s="2">
        <v>3.3000000000000002E-2</v>
      </c>
    </row>
    <row r="946" spans="1:6" x14ac:dyDescent="0.25">
      <c r="A946" s="1">
        <v>41113</v>
      </c>
      <c r="B946" s="2">
        <v>72</v>
      </c>
      <c r="C946" s="2">
        <v>41</v>
      </c>
      <c r="D946" s="2">
        <v>3.2000000000000001E-2</v>
      </c>
      <c r="E946" s="2" t="s">
        <v>946</v>
      </c>
      <c r="F946" s="2">
        <v>3.2000000000000001E-2</v>
      </c>
    </row>
    <row r="947" spans="1:6" x14ac:dyDescent="0.25">
      <c r="A947" s="1">
        <v>41114</v>
      </c>
      <c r="B947" s="2">
        <v>73</v>
      </c>
      <c r="C947" s="2">
        <v>41</v>
      </c>
      <c r="D947" s="2">
        <v>1.7000000000000001E-2</v>
      </c>
      <c r="E947" s="2" t="s">
        <v>947</v>
      </c>
      <c r="F947" s="2">
        <v>1.7000000000000001E-2</v>
      </c>
    </row>
    <row r="948" spans="1:6" x14ac:dyDescent="0.25">
      <c r="A948" s="1">
        <v>41115</v>
      </c>
      <c r="B948" s="2">
        <v>74</v>
      </c>
      <c r="C948" s="2">
        <v>41</v>
      </c>
      <c r="D948" s="2">
        <v>2.3E-2</v>
      </c>
      <c r="E948" s="2" t="s">
        <v>948</v>
      </c>
      <c r="F948" s="2">
        <v>2.3E-2</v>
      </c>
    </row>
    <row r="949" spans="1:6" x14ac:dyDescent="0.25">
      <c r="A949" s="1">
        <v>42081</v>
      </c>
      <c r="B949" s="2">
        <v>39</v>
      </c>
      <c r="C949" s="2">
        <v>42</v>
      </c>
      <c r="D949" s="2">
        <v>4.4999999999999998E-7</v>
      </c>
      <c r="E949" s="2" t="s">
        <v>949</v>
      </c>
      <c r="F949" s="2">
        <v>4.4999999999999998E-7</v>
      </c>
    </row>
    <row r="950" spans="1:6" x14ac:dyDescent="0.25">
      <c r="A950" s="1">
        <v>42082</v>
      </c>
      <c r="B950" s="2">
        <v>40</v>
      </c>
      <c r="C950" s="2">
        <v>42</v>
      </c>
      <c r="D950" s="2">
        <v>4.3700000000000001E-7</v>
      </c>
      <c r="E950" s="2" t="s">
        <v>950</v>
      </c>
      <c r="F950" s="2">
        <v>4.3700000000000001E-7</v>
      </c>
    </row>
    <row r="951" spans="1:6" x14ac:dyDescent="0.25">
      <c r="A951" s="1">
        <v>42083</v>
      </c>
      <c r="B951" s="2">
        <v>41</v>
      </c>
      <c r="C951" s="2">
        <v>42</v>
      </c>
      <c r="D951" s="2">
        <v>6.0000000000000001E-3</v>
      </c>
      <c r="E951" s="2" t="s">
        <v>951</v>
      </c>
      <c r="F951" s="2">
        <v>6.0000000000000001E-3</v>
      </c>
    </row>
    <row r="952" spans="1:6" x14ac:dyDescent="0.25">
      <c r="A952" s="1">
        <v>42084</v>
      </c>
      <c r="B952" s="2">
        <v>42</v>
      </c>
      <c r="C952" s="2">
        <v>42</v>
      </c>
      <c r="D952" s="2">
        <v>2.2999999999999998</v>
      </c>
      <c r="E952" s="2" t="s">
        <v>952</v>
      </c>
      <c r="F952" s="2">
        <v>2.2999999999999998</v>
      </c>
    </row>
    <row r="953" spans="1:6" x14ac:dyDescent="0.25">
      <c r="A953" s="1">
        <v>42085</v>
      </c>
      <c r="B953" s="2">
        <v>43</v>
      </c>
      <c r="C953" s="2">
        <v>42</v>
      </c>
      <c r="D953" s="2">
        <v>3.2</v>
      </c>
      <c r="E953" s="2" t="s">
        <v>953</v>
      </c>
      <c r="F953" s="2">
        <v>3.2</v>
      </c>
    </row>
    <row r="954" spans="1:6" x14ac:dyDescent="0.25">
      <c r="A954" s="1">
        <v>42086</v>
      </c>
      <c r="B954" s="2">
        <v>44</v>
      </c>
      <c r="C954" s="2">
        <v>42</v>
      </c>
      <c r="D954" s="2">
        <v>19.100000000000001</v>
      </c>
      <c r="E954" s="2" t="s">
        <v>954</v>
      </c>
      <c r="F954" s="2">
        <v>19.100000000000001</v>
      </c>
    </row>
    <row r="955" spans="1:6" x14ac:dyDescent="0.25">
      <c r="A955" s="1">
        <v>42087</v>
      </c>
      <c r="B955" s="2">
        <v>45</v>
      </c>
      <c r="C955" s="2">
        <v>42</v>
      </c>
      <c r="D955" s="2">
        <v>14.02</v>
      </c>
      <c r="E955" s="2" t="s">
        <v>955</v>
      </c>
      <c r="F955" s="2">
        <v>14.02</v>
      </c>
    </row>
    <row r="956" spans="1:6" x14ac:dyDescent="0.25">
      <c r="A956" s="1">
        <v>42088</v>
      </c>
      <c r="B956" s="2">
        <v>46</v>
      </c>
      <c r="C956" s="2">
        <v>42</v>
      </c>
      <c r="D956" s="2">
        <v>480</v>
      </c>
      <c r="E956" s="2" t="s">
        <v>956</v>
      </c>
      <c r="F956" s="2">
        <v>480</v>
      </c>
    </row>
    <row r="957" spans="1:6" x14ac:dyDescent="0.25">
      <c r="A957" s="1">
        <v>42089</v>
      </c>
      <c r="B957" s="2">
        <v>47</v>
      </c>
      <c r="C957" s="2">
        <v>42</v>
      </c>
      <c r="D957" s="2">
        <v>126.6</v>
      </c>
      <c r="E957" s="2" t="s">
        <v>957</v>
      </c>
      <c r="F957" s="2">
        <v>126.6</v>
      </c>
    </row>
    <row r="958" spans="1:6" x14ac:dyDescent="0.25">
      <c r="A958" s="1">
        <v>42090</v>
      </c>
      <c r="B958" s="2">
        <v>48</v>
      </c>
      <c r="C958" s="2">
        <v>42</v>
      </c>
      <c r="D958" s="2">
        <v>20016</v>
      </c>
      <c r="E958" s="2" t="s">
        <v>958</v>
      </c>
      <c r="F958" s="2">
        <v>20016</v>
      </c>
    </row>
    <row r="959" spans="1:6" x14ac:dyDescent="0.25">
      <c r="A959" s="1">
        <v>42091</v>
      </c>
      <c r="B959" s="2">
        <v>49</v>
      </c>
      <c r="C959" s="2">
        <v>42</v>
      </c>
      <c r="D959" s="2">
        <v>929.4</v>
      </c>
      <c r="E959" s="2" t="s">
        <v>959</v>
      </c>
      <c r="F959" s="2">
        <v>929.4</v>
      </c>
    </row>
    <row r="960" spans="1:6" x14ac:dyDescent="0.25">
      <c r="A960" s="1">
        <v>42092</v>
      </c>
      <c r="B960" s="2">
        <v>50</v>
      </c>
      <c r="C960" s="2">
        <v>42</v>
      </c>
      <c r="D960" s="2" t="s">
        <v>3</v>
      </c>
      <c r="E960" s="2" t="s">
        <v>960</v>
      </c>
      <c r="F960" s="2" t="s">
        <v>3</v>
      </c>
    </row>
    <row r="961" spans="1:6" x14ac:dyDescent="0.25">
      <c r="A961" s="1">
        <v>42093</v>
      </c>
      <c r="B961" s="2">
        <v>51</v>
      </c>
      <c r="C961" s="2">
        <v>42</v>
      </c>
      <c r="D961" s="2">
        <v>126230400000</v>
      </c>
      <c r="E961" s="2" t="s">
        <v>961</v>
      </c>
      <c r="F961" s="2">
        <v>126230400000</v>
      </c>
    </row>
    <row r="962" spans="1:6" x14ac:dyDescent="0.25">
      <c r="A962" s="1">
        <v>42094</v>
      </c>
      <c r="B962" s="2">
        <v>52</v>
      </c>
      <c r="C962" s="2">
        <v>42</v>
      </c>
      <c r="D962" s="2" t="s">
        <v>3</v>
      </c>
      <c r="E962" s="2" t="s">
        <v>962</v>
      </c>
      <c r="F962" s="2" t="s">
        <v>3</v>
      </c>
    </row>
    <row r="963" spans="1:6" x14ac:dyDescent="0.25">
      <c r="A963" s="1">
        <v>42095</v>
      </c>
      <c r="B963" s="2">
        <v>53</v>
      </c>
      <c r="C963" s="2">
        <v>42</v>
      </c>
      <c r="D963" s="2" t="s">
        <v>3</v>
      </c>
      <c r="E963" s="2" t="s">
        <v>963</v>
      </c>
      <c r="F963" s="2" t="s">
        <v>3</v>
      </c>
    </row>
    <row r="964" spans="1:6" x14ac:dyDescent="0.25">
      <c r="A964" s="1">
        <v>42096</v>
      </c>
      <c r="B964" s="2">
        <v>54</v>
      </c>
      <c r="C964" s="2">
        <v>42</v>
      </c>
      <c r="D964" s="2" t="s">
        <v>3</v>
      </c>
      <c r="E964" s="2" t="s">
        <v>964</v>
      </c>
      <c r="F964" s="2" t="s">
        <v>3</v>
      </c>
    </row>
    <row r="965" spans="1:6" x14ac:dyDescent="0.25">
      <c r="A965" s="1">
        <v>42097</v>
      </c>
      <c r="B965" s="2">
        <v>55</v>
      </c>
      <c r="C965" s="2">
        <v>42</v>
      </c>
      <c r="D965" s="2" t="s">
        <v>3</v>
      </c>
      <c r="E965" s="2" t="s">
        <v>965</v>
      </c>
      <c r="F965" s="2" t="s">
        <v>3</v>
      </c>
    </row>
    <row r="966" spans="1:6" x14ac:dyDescent="0.25">
      <c r="A966" s="1">
        <v>42098</v>
      </c>
      <c r="B966" s="2">
        <v>56</v>
      </c>
      <c r="C966" s="2">
        <v>42</v>
      </c>
      <c r="D966" s="2" t="s">
        <v>3</v>
      </c>
      <c r="E966" s="2" t="s">
        <v>966</v>
      </c>
      <c r="F966" s="2" t="s">
        <v>3</v>
      </c>
    </row>
    <row r="967" spans="1:6" x14ac:dyDescent="0.25">
      <c r="A967" s="1">
        <v>42099</v>
      </c>
      <c r="B967" s="2">
        <v>57</v>
      </c>
      <c r="C967" s="2">
        <v>42</v>
      </c>
      <c r="D967" s="2">
        <v>237513.60000000001</v>
      </c>
      <c r="E967" s="2" t="s">
        <v>967</v>
      </c>
      <c r="F967" s="2">
        <v>237513.60000000001</v>
      </c>
    </row>
    <row r="968" spans="1:6" x14ac:dyDescent="0.25">
      <c r="A968" s="1">
        <v>42100</v>
      </c>
      <c r="B968" s="2">
        <v>58</v>
      </c>
      <c r="C968" s="2">
        <v>42</v>
      </c>
      <c r="D968" s="2">
        <v>2.3037048000000002E+26</v>
      </c>
      <c r="E968" s="2" t="s">
        <v>968</v>
      </c>
      <c r="F968" s="2">
        <v>2.3037048000000002E+26</v>
      </c>
    </row>
    <row r="969" spans="1:6" x14ac:dyDescent="0.25">
      <c r="A969" s="1">
        <v>42101</v>
      </c>
      <c r="B969" s="2">
        <v>59</v>
      </c>
      <c r="C969" s="2">
        <v>42</v>
      </c>
      <c r="D969" s="2">
        <v>876.599999999999</v>
      </c>
      <c r="E969" s="2" t="s">
        <v>969</v>
      </c>
      <c r="F969" s="2">
        <v>876.599999999999</v>
      </c>
    </row>
    <row r="970" spans="1:6" x14ac:dyDescent="0.25">
      <c r="A970" s="1">
        <v>42102</v>
      </c>
      <c r="B970" s="2">
        <v>60</v>
      </c>
      <c r="C970" s="2">
        <v>42</v>
      </c>
      <c r="D970" s="2">
        <v>678</v>
      </c>
      <c r="E970" s="2" t="s">
        <v>970</v>
      </c>
      <c r="F970" s="2">
        <v>678</v>
      </c>
    </row>
    <row r="971" spans="1:6" x14ac:dyDescent="0.25">
      <c r="A971" s="1">
        <v>42103</v>
      </c>
      <c r="B971" s="2">
        <v>61</v>
      </c>
      <c r="C971" s="2">
        <v>42</v>
      </c>
      <c r="D971" s="2">
        <v>67.5</v>
      </c>
      <c r="E971" s="2" t="s">
        <v>971</v>
      </c>
      <c r="F971" s="2">
        <v>67.5</v>
      </c>
    </row>
    <row r="972" spans="1:6" x14ac:dyDescent="0.25">
      <c r="A972" s="1">
        <v>42104</v>
      </c>
      <c r="B972" s="2">
        <v>62</v>
      </c>
      <c r="C972" s="2">
        <v>42</v>
      </c>
      <c r="D972" s="2">
        <v>60</v>
      </c>
      <c r="E972" s="2" t="s">
        <v>972</v>
      </c>
      <c r="F972" s="2">
        <v>60</v>
      </c>
    </row>
    <row r="973" spans="1:6" x14ac:dyDescent="0.25">
      <c r="A973" s="1">
        <v>42105</v>
      </c>
      <c r="B973" s="2">
        <v>63</v>
      </c>
      <c r="C973" s="2">
        <v>42</v>
      </c>
      <c r="D973" s="2">
        <v>35.6</v>
      </c>
      <c r="E973" s="2" t="s">
        <v>973</v>
      </c>
      <c r="F973" s="2">
        <v>35.6</v>
      </c>
    </row>
    <row r="974" spans="1:6" x14ac:dyDescent="0.25">
      <c r="A974" s="1">
        <v>42106</v>
      </c>
      <c r="B974" s="2">
        <v>64</v>
      </c>
      <c r="C974" s="2">
        <v>42</v>
      </c>
      <c r="D974" s="2">
        <v>8.73</v>
      </c>
      <c r="E974" s="2" t="s">
        <v>974</v>
      </c>
      <c r="F974" s="2">
        <v>8.73</v>
      </c>
    </row>
    <row r="975" spans="1:6" x14ac:dyDescent="0.25">
      <c r="A975" s="1">
        <v>42107</v>
      </c>
      <c r="B975" s="2">
        <v>65</v>
      </c>
      <c r="C975" s="2">
        <v>42</v>
      </c>
      <c r="D975" s="2">
        <v>3.5</v>
      </c>
      <c r="E975" s="2" t="s">
        <v>975</v>
      </c>
      <c r="F975" s="2">
        <v>3.5</v>
      </c>
    </row>
    <row r="976" spans="1:6" x14ac:dyDescent="0.25">
      <c r="A976" s="1">
        <v>42108</v>
      </c>
      <c r="B976" s="2">
        <v>66</v>
      </c>
      <c r="C976" s="2">
        <v>42</v>
      </c>
      <c r="D976" s="2">
        <v>1.0900000000000001</v>
      </c>
      <c r="E976" s="2" t="s">
        <v>976</v>
      </c>
      <c r="F976" s="2">
        <v>1.0900000000000001</v>
      </c>
    </row>
    <row r="977" spans="1:6" x14ac:dyDescent="0.25">
      <c r="A977" s="1">
        <v>42109</v>
      </c>
      <c r="B977" s="2">
        <v>67</v>
      </c>
      <c r="C977" s="2">
        <v>42</v>
      </c>
      <c r="D977" s="2">
        <v>0.66</v>
      </c>
      <c r="E977" s="2" t="s">
        <v>977</v>
      </c>
      <c r="F977" s="2">
        <v>0.66</v>
      </c>
    </row>
    <row r="978" spans="1:6" x14ac:dyDescent="0.25">
      <c r="A978" s="1">
        <v>42110</v>
      </c>
      <c r="B978" s="2">
        <v>68</v>
      </c>
      <c r="C978" s="2">
        <v>42</v>
      </c>
      <c r="D978" s="2">
        <v>0.29599999999999999</v>
      </c>
      <c r="E978" s="2" t="s">
        <v>978</v>
      </c>
      <c r="F978" s="2">
        <v>0.29599999999999999</v>
      </c>
    </row>
    <row r="979" spans="1:6" x14ac:dyDescent="0.25">
      <c r="A979" s="1">
        <v>42111</v>
      </c>
      <c r="B979" s="2">
        <v>69</v>
      </c>
      <c r="C979" s="2">
        <v>42</v>
      </c>
      <c r="D979" s="2">
        <v>0.186</v>
      </c>
      <c r="E979" s="2" t="s">
        <v>979</v>
      </c>
      <c r="F979" s="2">
        <v>0.186</v>
      </c>
    </row>
    <row r="980" spans="1:6" x14ac:dyDescent="0.25">
      <c r="A980" s="1">
        <v>42112</v>
      </c>
      <c r="B980" s="2">
        <v>70</v>
      </c>
      <c r="C980" s="2">
        <v>42</v>
      </c>
      <c r="D980" s="2">
        <v>0.12</v>
      </c>
      <c r="E980" s="2" t="s">
        <v>980</v>
      </c>
      <c r="F980" s="2">
        <v>0.12</v>
      </c>
    </row>
    <row r="981" spans="1:6" x14ac:dyDescent="0.25">
      <c r="A981" s="1">
        <v>42113</v>
      </c>
      <c r="B981" s="2">
        <v>71</v>
      </c>
      <c r="C981" s="2">
        <v>42</v>
      </c>
      <c r="D981" s="2">
        <v>0.08</v>
      </c>
      <c r="E981" s="2" t="s">
        <v>981</v>
      </c>
      <c r="F981" s="2">
        <v>0.08</v>
      </c>
    </row>
    <row r="982" spans="1:6" x14ac:dyDescent="0.25">
      <c r="A982" s="1">
        <v>42114</v>
      </c>
      <c r="B982" s="2">
        <v>72</v>
      </c>
      <c r="C982" s="2">
        <v>42</v>
      </c>
      <c r="D982" s="2">
        <v>5.8000000000000003E-2</v>
      </c>
      <c r="E982" s="2" t="s">
        <v>982</v>
      </c>
      <c r="F982" s="2">
        <v>5.8000000000000003E-2</v>
      </c>
    </row>
    <row r="983" spans="1:6" x14ac:dyDescent="0.25">
      <c r="A983" s="1">
        <v>42115</v>
      </c>
      <c r="B983" s="2">
        <v>73</v>
      </c>
      <c r="C983" s="2">
        <v>42</v>
      </c>
      <c r="D983" s="2">
        <v>4.5499999999999999E-2</v>
      </c>
      <c r="E983" s="2" t="s">
        <v>983</v>
      </c>
      <c r="F983" s="2">
        <v>4.5499999999999999E-2</v>
      </c>
    </row>
    <row r="984" spans="1:6" x14ac:dyDescent="0.25">
      <c r="A984" s="1">
        <v>42116</v>
      </c>
      <c r="B984" s="2">
        <v>74</v>
      </c>
      <c r="C984" s="2">
        <v>42</v>
      </c>
      <c r="D984" s="2">
        <v>3.2000000000000001E-2</v>
      </c>
      <c r="E984" s="2" t="s">
        <v>984</v>
      </c>
      <c r="F984" s="2">
        <v>3.2000000000000001E-2</v>
      </c>
    </row>
    <row r="985" spans="1:6" x14ac:dyDescent="0.25">
      <c r="A985" s="1">
        <v>42117</v>
      </c>
      <c r="B985" s="2">
        <v>75</v>
      </c>
      <c r="C985" s="2">
        <v>42</v>
      </c>
      <c r="D985" s="2">
        <v>2.1999999999999999E-2</v>
      </c>
      <c r="E985" s="2" t="s">
        <v>985</v>
      </c>
      <c r="F985" s="2">
        <v>2.1999999999999999E-2</v>
      </c>
    </row>
    <row r="986" spans="1:6" x14ac:dyDescent="0.25">
      <c r="A986" s="1">
        <v>42118</v>
      </c>
      <c r="B986" s="2">
        <v>76</v>
      </c>
      <c r="C986" s="2">
        <v>42</v>
      </c>
      <c r="D986" s="2">
        <v>1.9E-2</v>
      </c>
      <c r="E986" s="2" t="s">
        <v>986</v>
      </c>
      <c r="F986" s="2">
        <v>1.9E-2</v>
      </c>
    </row>
    <row r="987" spans="1:6" x14ac:dyDescent="0.25">
      <c r="A987" s="1">
        <v>43085</v>
      </c>
      <c r="B987" s="2">
        <v>42</v>
      </c>
      <c r="C987" s="2">
        <v>43</v>
      </c>
      <c r="D987" s="2">
        <v>0.5</v>
      </c>
      <c r="E987" s="2" t="s">
        <v>987</v>
      </c>
      <c r="F987" s="2">
        <v>0.5</v>
      </c>
    </row>
    <row r="988" spans="1:6" x14ac:dyDescent="0.25">
      <c r="A988" s="1">
        <v>43086</v>
      </c>
      <c r="B988" s="2">
        <v>43</v>
      </c>
      <c r="C988" s="2">
        <v>43</v>
      </c>
      <c r="D988" s="2">
        <v>5.5E-2</v>
      </c>
      <c r="E988" s="2" t="s">
        <v>988</v>
      </c>
      <c r="F988" s="2">
        <v>5.5E-2</v>
      </c>
    </row>
    <row r="989" spans="1:6" x14ac:dyDescent="0.25">
      <c r="A989" s="1">
        <v>43087</v>
      </c>
      <c r="B989" s="2">
        <v>44</v>
      </c>
      <c r="C989" s="2">
        <v>43</v>
      </c>
      <c r="D989" s="2">
        <v>2.2000000000000002</v>
      </c>
      <c r="E989" s="2" t="s">
        <v>989</v>
      </c>
      <c r="F989" s="2">
        <v>2.2000000000000002</v>
      </c>
    </row>
    <row r="990" spans="1:6" x14ac:dyDescent="0.25">
      <c r="A990" s="1">
        <v>43088</v>
      </c>
      <c r="B990" s="2">
        <v>45</v>
      </c>
      <c r="C990" s="2">
        <v>43</v>
      </c>
      <c r="D990" s="2">
        <v>6.4</v>
      </c>
      <c r="E990" s="2" t="s">
        <v>990</v>
      </c>
      <c r="F990" s="2">
        <v>6.4</v>
      </c>
    </row>
    <row r="991" spans="1:6" x14ac:dyDescent="0.25">
      <c r="A991" s="1">
        <v>43089</v>
      </c>
      <c r="B991" s="2">
        <v>46</v>
      </c>
      <c r="C991" s="2">
        <v>43</v>
      </c>
      <c r="D991" s="2">
        <v>12.8</v>
      </c>
      <c r="E991" s="2" t="s">
        <v>991</v>
      </c>
      <c r="F991" s="2">
        <v>12.8</v>
      </c>
    </row>
    <row r="992" spans="1:6" x14ac:dyDescent="0.25">
      <c r="A992" s="1">
        <v>43090</v>
      </c>
      <c r="B992" s="2">
        <v>47</v>
      </c>
      <c r="C992" s="2">
        <v>43</v>
      </c>
      <c r="D992" s="2">
        <v>8.6999999999999993</v>
      </c>
      <c r="E992" s="2" t="s">
        <v>992</v>
      </c>
      <c r="F992" s="2">
        <v>8.6999999999999993</v>
      </c>
    </row>
    <row r="993" spans="1:6" x14ac:dyDescent="0.25">
      <c r="A993" s="1">
        <v>43091</v>
      </c>
      <c r="B993" s="2">
        <v>48</v>
      </c>
      <c r="C993" s="2">
        <v>43</v>
      </c>
      <c r="D993" s="2">
        <v>188.4</v>
      </c>
      <c r="E993" s="2" t="s">
        <v>993</v>
      </c>
      <c r="F993" s="2">
        <v>188.4</v>
      </c>
    </row>
    <row r="994" spans="1:6" x14ac:dyDescent="0.25">
      <c r="A994" s="1">
        <v>43092</v>
      </c>
      <c r="B994" s="2">
        <v>49</v>
      </c>
      <c r="C994" s="2">
        <v>43</v>
      </c>
      <c r="D994" s="2">
        <v>255</v>
      </c>
      <c r="E994" s="2" t="s">
        <v>994</v>
      </c>
      <c r="F994" s="2">
        <v>255</v>
      </c>
    </row>
    <row r="995" spans="1:6" x14ac:dyDescent="0.25">
      <c r="A995" s="1">
        <v>43093</v>
      </c>
      <c r="B995" s="2">
        <v>50</v>
      </c>
      <c r="C995" s="2">
        <v>43</v>
      </c>
      <c r="D995" s="2">
        <v>9900</v>
      </c>
      <c r="E995" s="2" t="s">
        <v>995</v>
      </c>
      <c r="F995" s="2">
        <v>9900</v>
      </c>
    </row>
    <row r="996" spans="1:6" x14ac:dyDescent="0.25">
      <c r="A996" s="1">
        <v>43094</v>
      </c>
      <c r="B996" s="2">
        <v>51</v>
      </c>
      <c r="C996" s="2">
        <v>43</v>
      </c>
      <c r="D996" s="2">
        <v>17580</v>
      </c>
      <c r="E996" s="2" t="s">
        <v>996</v>
      </c>
      <c r="F996" s="2">
        <v>17580</v>
      </c>
    </row>
    <row r="997" spans="1:6" x14ac:dyDescent="0.25">
      <c r="A997" s="1">
        <v>43095</v>
      </c>
      <c r="B997" s="2">
        <v>52</v>
      </c>
      <c r="C997" s="2">
        <v>43</v>
      </c>
      <c r="D997" s="2">
        <v>72000</v>
      </c>
      <c r="E997" s="2" t="s">
        <v>997</v>
      </c>
      <c r="F997" s="2">
        <v>72000</v>
      </c>
    </row>
    <row r="998" spans="1:6" x14ac:dyDescent="0.25">
      <c r="A998" s="1">
        <v>43096</v>
      </c>
      <c r="B998" s="2">
        <v>53</v>
      </c>
      <c r="C998" s="2">
        <v>43</v>
      </c>
      <c r="D998" s="2">
        <v>369792</v>
      </c>
      <c r="E998" s="2" t="s">
        <v>998</v>
      </c>
      <c r="F998" s="2">
        <v>369792</v>
      </c>
    </row>
    <row r="999" spans="1:6" x14ac:dyDescent="0.25">
      <c r="A999" s="1">
        <v>43097</v>
      </c>
      <c r="B999" s="2">
        <v>54</v>
      </c>
      <c r="C999" s="2">
        <v>43</v>
      </c>
      <c r="D999" s="2">
        <v>132857496000000</v>
      </c>
      <c r="E999" s="2" t="s">
        <v>999</v>
      </c>
      <c r="F999" s="2">
        <v>132857496000000</v>
      </c>
    </row>
    <row r="1000" spans="1:6" x14ac:dyDescent="0.25">
      <c r="A1000" s="1">
        <v>43098</v>
      </c>
      <c r="B1000" s="2">
        <v>55</v>
      </c>
      <c r="C1000" s="2">
        <v>43</v>
      </c>
      <c r="D1000" s="2">
        <v>132541920000000</v>
      </c>
      <c r="E1000" s="2" t="s">
        <v>1000</v>
      </c>
      <c r="F1000" s="2">
        <v>132541920000000</v>
      </c>
    </row>
    <row r="1001" spans="1:6" x14ac:dyDescent="0.25">
      <c r="A1001" s="1">
        <v>43099</v>
      </c>
      <c r="B1001" s="2">
        <v>56</v>
      </c>
      <c r="C1001" s="2">
        <v>43</v>
      </c>
      <c r="D1001" s="2">
        <v>6661809360000</v>
      </c>
      <c r="E1001" s="2" t="s">
        <v>1001</v>
      </c>
      <c r="F1001" s="2">
        <v>6661809360000</v>
      </c>
    </row>
    <row r="1002" spans="1:6" x14ac:dyDescent="0.25">
      <c r="A1002" s="1">
        <v>43100</v>
      </c>
      <c r="B1002" s="2">
        <v>57</v>
      </c>
      <c r="C1002" s="2">
        <v>43</v>
      </c>
      <c r="D1002" s="2">
        <v>15.46</v>
      </c>
      <c r="E1002" s="2" t="s">
        <v>1002</v>
      </c>
      <c r="F1002" s="2">
        <v>15.46</v>
      </c>
    </row>
    <row r="1003" spans="1:6" x14ac:dyDescent="0.25">
      <c r="A1003" s="1">
        <v>43101</v>
      </c>
      <c r="B1003" s="2">
        <v>58</v>
      </c>
      <c r="C1003" s="2">
        <v>43</v>
      </c>
      <c r="D1003" s="2">
        <v>841.19999999999902</v>
      </c>
      <c r="E1003" s="2" t="s">
        <v>1003</v>
      </c>
      <c r="F1003" s="2">
        <v>841.19999999999902</v>
      </c>
    </row>
    <row r="1004" spans="1:6" x14ac:dyDescent="0.25">
      <c r="A1004" s="1">
        <v>43102</v>
      </c>
      <c r="B1004" s="2">
        <v>59</v>
      </c>
      <c r="C1004" s="2">
        <v>43</v>
      </c>
      <c r="D1004" s="2">
        <v>5.28</v>
      </c>
      <c r="E1004" s="2" t="s">
        <v>1004</v>
      </c>
      <c r="F1004" s="2">
        <v>5.28</v>
      </c>
    </row>
    <row r="1005" spans="1:6" x14ac:dyDescent="0.25">
      <c r="A1005" s="1">
        <v>43103</v>
      </c>
      <c r="B1005" s="2">
        <v>60</v>
      </c>
      <c r="C1005" s="2">
        <v>43</v>
      </c>
      <c r="D1005" s="2">
        <v>54.2</v>
      </c>
      <c r="E1005" s="2" t="s">
        <v>1005</v>
      </c>
      <c r="F1005" s="2">
        <v>54.2</v>
      </c>
    </row>
    <row r="1006" spans="1:6" x14ac:dyDescent="0.25">
      <c r="A1006" s="1">
        <v>43104</v>
      </c>
      <c r="B1006" s="2">
        <v>61</v>
      </c>
      <c r="C1006" s="2">
        <v>43</v>
      </c>
      <c r="D1006" s="2">
        <v>1098</v>
      </c>
      <c r="E1006" s="2" t="s">
        <v>1006</v>
      </c>
      <c r="F1006" s="2">
        <v>1098</v>
      </c>
    </row>
    <row r="1007" spans="1:6" x14ac:dyDescent="0.25">
      <c r="A1007" s="1">
        <v>43105</v>
      </c>
      <c r="B1007" s="2">
        <v>62</v>
      </c>
      <c r="C1007" s="2">
        <v>43</v>
      </c>
      <c r="D1007" s="2">
        <v>456</v>
      </c>
      <c r="E1007" s="2" t="s">
        <v>1007</v>
      </c>
      <c r="F1007" s="2">
        <v>456</v>
      </c>
    </row>
    <row r="1008" spans="1:6" x14ac:dyDescent="0.25">
      <c r="A1008" s="1">
        <v>43106</v>
      </c>
      <c r="B1008" s="2">
        <v>63</v>
      </c>
      <c r="C1008" s="2">
        <v>43</v>
      </c>
      <c r="D1008" s="2">
        <v>35.6</v>
      </c>
      <c r="E1008" s="2" t="s">
        <v>1008</v>
      </c>
      <c r="F1008" s="2">
        <v>35.6</v>
      </c>
    </row>
    <row r="1009" spans="1:6" x14ac:dyDescent="0.25">
      <c r="A1009" s="1">
        <v>43107</v>
      </c>
      <c r="B1009" s="2">
        <v>64</v>
      </c>
      <c r="C1009" s="2">
        <v>43</v>
      </c>
      <c r="D1009" s="2">
        <v>21.2</v>
      </c>
      <c r="E1009" s="2" t="s">
        <v>1009</v>
      </c>
      <c r="F1009" s="2">
        <v>21.2</v>
      </c>
    </row>
    <row r="1010" spans="1:6" x14ac:dyDescent="0.25">
      <c r="A1010" s="1">
        <v>43108</v>
      </c>
      <c r="B1010" s="2">
        <v>65</v>
      </c>
      <c r="C1010" s="2">
        <v>43</v>
      </c>
      <c r="D1010" s="2">
        <v>5.17</v>
      </c>
      <c r="E1010" s="2" t="s">
        <v>1010</v>
      </c>
      <c r="F1010" s="2">
        <v>5.17</v>
      </c>
    </row>
    <row r="1011" spans="1:6" x14ac:dyDescent="0.25">
      <c r="A1011" s="1">
        <v>43109</v>
      </c>
      <c r="B1011" s="2">
        <v>66</v>
      </c>
      <c r="C1011" s="2">
        <v>43</v>
      </c>
      <c r="D1011" s="2">
        <v>0.86</v>
      </c>
      <c r="E1011" s="2" t="s">
        <v>1011</v>
      </c>
      <c r="F1011" s="2">
        <v>0.86</v>
      </c>
    </row>
    <row r="1012" spans="1:6" x14ac:dyDescent="0.25">
      <c r="A1012" s="1">
        <v>43110</v>
      </c>
      <c r="B1012" s="2">
        <v>67</v>
      </c>
      <c r="C1012" s="2">
        <v>43</v>
      </c>
      <c r="D1012" s="2">
        <v>0.92</v>
      </c>
      <c r="E1012" s="2" t="s">
        <v>1012</v>
      </c>
      <c r="F1012" s="2">
        <v>0.92</v>
      </c>
    </row>
    <row r="1013" spans="1:6" x14ac:dyDescent="0.25">
      <c r="A1013" s="1">
        <v>43111</v>
      </c>
      <c r="B1013" s="2">
        <v>68</v>
      </c>
      <c r="C1013" s="2">
        <v>43</v>
      </c>
      <c r="D1013" s="2">
        <v>0.35</v>
      </c>
      <c r="E1013" s="2" t="s">
        <v>1013</v>
      </c>
      <c r="F1013" s="2">
        <v>0.35</v>
      </c>
    </row>
    <row r="1014" spans="1:6" x14ac:dyDescent="0.25">
      <c r="A1014" s="1">
        <v>43112</v>
      </c>
      <c r="B1014" s="2">
        <v>69</v>
      </c>
      <c r="C1014" s="2">
        <v>43</v>
      </c>
      <c r="D1014" s="2">
        <v>0.27100000000000002</v>
      </c>
      <c r="E1014" s="2" t="s">
        <v>1014</v>
      </c>
      <c r="F1014" s="2">
        <v>0.27100000000000002</v>
      </c>
    </row>
    <row r="1015" spans="1:6" x14ac:dyDescent="0.25">
      <c r="A1015" s="1">
        <v>43113</v>
      </c>
      <c r="B1015" s="2">
        <v>70</v>
      </c>
      <c r="C1015" s="2">
        <v>43</v>
      </c>
      <c r="D1015" s="2">
        <v>0.152</v>
      </c>
      <c r="E1015" s="2" t="s">
        <v>1015</v>
      </c>
      <c r="F1015" s="2">
        <v>0.152</v>
      </c>
    </row>
    <row r="1016" spans="1:6" x14ac:dyDescent="0.25">
      <c r="A1016" s="1">
        <v>43114</v>
      </c>
      <c r="B1016" s="2">
        <v>71</v>
      </c>
      <c r="C1016" s="2">
        <v>43</v>
      </c>
      <c r="D1016" s="2">
        <v>0.1</v>
      </c>
      <c r="E1016" s="2" t="s">
        <v>1016</v>
      </c>
      <c r="F1016" s="2">
        <v>0.1</v>
      </c>
    </row>
    <row r="1017" spans="1:6" x14ac:dyDescent="0.25">
      <c r="A1017" s="1">
        <v>43115</v>
      </c>
      <c r="B1017" s="2">
        <v>72</v>
      </c>
      <c r="C1017" s="2">
        <v>43</v>
      </c>
      <c r="D1017" s="2">
        <v>7.8E-2</v>
      </c>
      <c r="E1017" s="2" t="s">
        <v>1017</v>
      </c>
      <c r="F1017" s="2">
        <v>7.8E-2</v>
      </c>
    </row>
    <row r="1018" spans="1:6" x14ac:dyDescent="0.25">
      <c r="A1018" s="1">
        <v>43116</v>
      </c>
      <c r="B1018" s="2">
        <v>73</v>
      </c>
      <c r="C1018" s="2">
        <v>43</v>
      </c>
      <c r="D1018" s="2">
        <v>5.7000000000000002E-2</v>
      </c>
      <c r="E1018" s="2" t="s">
        <v>1018</v>
      </c>
      <c r="F1018" s="2">
        <v>5.7000000000000002E-2</v>
      </c>
    </row>
    <row r="1019" spans="1:6" x14ac:dyDescent="0.25">
      <c r="A1019" s="1">
        <v>43117</v>
      </c>
      <c r="B1019" s="2">
        <v>74</v>
      </c>
      <c r="C1019" s="2">
        <v>43</v>
      </c>
      <c r="D1019" s="2">
        <v>4.4499999999999998E-2</v>
      </c>
      <c r="E1019" s="2" t="s">
        <v>1019</v>
      </c>
      <c r="F1019" s="2">
        <v>4.4499999999999998E-2</v>
      </c>
    </row>
    <row r="1020" spans="1:6" x14ac:dyDescent="0.25">
      <c r="A1020" s="1">
        <v>43118</v>
      </c>
      <c r="B1020" s="2">
        <v>75</v>
      </c>
      <c r="C1020" s="2">
        <v>43</v>
      </c>
      <c r="D1020" s="2">
        <v>0.03</v>
      </c>
      <c r="E1020" s="2" t="s">
        <v>1020</v>
      </c>
      <c r="F1020" s="2">
        <v>0.03</v>
      </c>
    </row>
    <row r="1021" spans="1:6" x14ac:dyDescent="0.25">
      <c r="A1021" s="1">
        <v>43119</v>
      </c>
      <c r="B1021" s="2">
        <v>76</v>
      </c>
      <c r="C1021" s="2">
        <v>43</v>
      </c>
      <c r="D1021" s="2">
        <v>2.1999999999999999E-2</v>
      </c>
      <c r="E1021" s="2" t="s">
        <v>1021</v>
      </c>
      <c r="F1021" s="2">
        <v>2.1999999999999999E-2</v>
      </c>
    </row>
    <row r="1022" spans="1:6" x14ac:dyDescent="0.25">
      <c r="A1022" s="1">
        <v>43120</v>
      </c>
      <c r="B1022" s="2">
        <v>77</v>
      </c>
      <c r="C1022" s="2">
        <v>43</v>
      </c>
      <c r="D1022" s="2">
        <v>2.1000000000000001E-2</v>
      </c>
      <c r="E1022" s="2" t="s">
        <v>1022</v>
      </c>
      <c r="F1022" s="2">
        <v>2.1000000000000001E-2</v>
      </c>
    </row>
    <row r="1023" spans="1:6" x14ac:dyDescent="0.25">
      <c r="A1023" s="1">
        <v>43121</v>
      </c>
      <c r="B1023" s="2">
        <v>78</v>
      </c>
      <c r="C1023" s="2">
        <v>43</v>
      </c>
      <c r="D1023" s="2">
        <v>2.1999999999999999E-2</v>
      </c>
      <c r="E1023" s="2" t="s">
        <v>1023</v>
      </c>
      <c r="F1023" s="2">
        <v>2.1999999999999999E-2</v>
      </c>
    </row>
    <row r="1024" spans="1:6" x14ac:dyDescent="0.25">
      <c r="A1024" s="1">
        <v>44085</v>
      </c>
      <c r="B1024" s="2">
        <v>41</v>
      </c>
      <c r="C1024" s="2">
        <v>44</v>
      </c>
      <c r="D1024" s="2">
        <v>4.4999999999999998E-7</v>
      </c>
      <c r="E1024" s="2" t="s">
        <v>1024</v>
      </c>
      <c r="F1024" s="2">
        <v>4.4999999999999998E-7</v>
      </c>
    </row>
    <row r="1025" spans="1:6" x14ac:dyDescent="0.25">
      <c r="A1025" s="1">
        <v>44086</v>
      </c>
      <c r="B1025" s="2">
        <v>42</v>
      </c>
      <c r="C1025" s="2">
        <v>44</v>
      </c>
      <c r="D1025" s="2">
        <v>4.3799999999999998E-7</v>
      </c>
      <c r="E1025" s="2" t="s">
        <v>1025</v>
      </c>
      <c r="F1025" s="2">
        <v>4.3799999999999998E-7</v>
      </c>
    </row>
    <row r="1026" spans="1:6" x14ac:dyDescent="0.25">
      <c r="A1026" s="1">
        <v>44087</v>
      </c>
      <c r="B1026" s="2">
        <v>43</v>
      </c>
      <c r="C1026" s="2">
        <v>44</v>
      </c>
      <c r="D1026" s="2">
        <v>1.5E-6</v>
      </c>
      <c r="E1026" s="2" t="s">
        <v>1026</v>
      </c>
      <c r="F1026" s="2">
        <v>1.5E-6</v>
      </c>
    </row>
    <row r="1027" spans="1:6" x14ac:dyDescent="0.25">
      <c r="A1027" s="1">
        <v>44088</v>
      </c>
      <c r="B1027" s="2">
        <v>44</v>
      </c>
      <c r="C1027" s="2">
        <v>44</v>
      </c>
      <c r="D1027" s="2">
        <v>1.2</v>
      </c>
      <c r="E1027" s="2" t="s">
        <v>1027</v>
      </c>
      <c r="F1027" s="2">
        <v>1.2</v>
      </c>
    </row>
    <row r="1028" spans="1:6" x14ac:dyDescent="0.25">
      <c r="A1028" s="1">
        <v>44089</v>
      </c>
      <c r="B1028" s="2">
        <v>45</v>
      </c>
      <c r="C1028" s="2">
        <v>44</v>
      </c>
      <c r="D1028" s="2">
        <v>1.5</v>
      </c>
      <c r="E1028" s="2" t="s">
        <v>1028</v>
      </c>
      <c r="F1028" s="2">
        <v>1.5</v>
      </c>
    </row>
    <row r="1029" spans="1:6" x14ac:dyDescent="0.25">
      <c r="A1029" s="1">
        <v>44090</v>
      </c>
      <c r="B1029" s="2">
        <v>46</v>
      </c>
      <c r="C1029" s="2">
        <v>44</v>
      </c>
      <c r="D1029" s="2">
        <v>11.7</v>
      </c>
      <c r="E1029" s="2" t="s">
        <v>1029</v>
      </c>
      <c r="F1029" s="2">
        <v>11.7</v>
      </c>
    </row>
    <row r="1030" spans="1:6" x14ac:dyDescent="0.25">
      <c r="A1030" s="1">
        <v>44091</v>
      </c>
      <c r="B1030" s="2">
        <v>47</v>
      </c>
      <c r="C1030" s="2">
        <v>44</v>
      </c>
      <c r="D1030" s="2">
        <v>8</v>
      </c>
      <c r="E1030" s="2" t="s">
        <v>1030</v>
      </c>
      <c r="F1030" s="2">
        <v>8</v>
      </c>
    </row>
    <row r="1031" spans="1:6" x14ac:dyDescent="0.25">
      <c r="A1031" s="1">
        <v>44092</v>
      </c>
      <c r="B1031" s="2">
        <v>48</v>
      </c>
      <c r="C1031" s="2">
        <v>44</v>
      </c>
      <c r="D1031" s="2">
        <v>219</v>
      </c>
      <c r="E1031" s="2" t="s">
        <v>1031</v>
      </c>
      <c r="F1031" s="2">
        <v>219</v>
      </c>
    </row>
    <row r="1032" spans="1:6" x14ac:dyDescent="0.25">
      <c r="A1032" s="1">
        <v>44093</v>
      </c>
      <c r="B1032" s="2">
        <v>49</v>
      </c>
      <c r="C1032" s="2">
        <v>44</v>
      </c>
      <c r="D1032" s="2">
        <v>59.7</v>
      </c>
      <c r="E1032" s="2" t="s">
        <v>1032</v>
      </c>
      <c r="F1032" s="2">
        <v>59.7</v>
      </c>
    </row>
    <row r="1033" spans="1:6" x14ac:dyDescent="0.25">
      <c r="A1033" s="1">
        <v>44094</v>
      </c>
      <c r="B1033" s="2">
        <v>50</v>
      </c>
      <c r="C1033" s="2">
        <v>44</v>
      </c>
      <c r="D1033" s="2">
        <v>3108</v>
      </c>
      <c r="E1033" s="2" t="s">
        <v>1033</v>
      </c>
      <c r="F1033" s="2">
        <v>3108</v>
      </c>
    </row>
    <row r="1034" spans="1:6" x14ac:dyDescent="0.25">
      <c r="A1034" s="1">
        <v>44095</v>
      </c>
      <c r="B1034" s="2">
        <v>51</v>
      </c>
      <c r="C1034" s="2">
        <v>44</v>
      </c>
      <c r="D1034" s="2">
        <v>5914.8</v>
      </c>
      <c r="E1034" s="2" t="s">
        <v>1034</v>
      </c>
      <c r="F1034" s="2">
        <v>5914.8</v>
      </c>
    </row>
    <row r="1035" spans="1:6" x14ac:dyDescent="0.25">
      <c r="A1035" s="1">
        <v>44096</v>
      </c>
      <c r="B1035" s="2">
        <v>52</v>
      </c>
      <c r="C1035" s="2">
        <v>44</v>
      </c>
      <c r="D1035" s="2" t="s">
        <v>3</v>
      </c>
      <c r="E1035" s="2" t="s">
        <v>1035</v>
      </c>
      <c r="F1035" s="2" t="s">
        <v>3</v>
      </c>
    </row>
    <row r="1036" spans="1:6" x14ac:dyDescent="0.25">
      <c r="A1036" s="1">
        <v>44097</v>
      </c>
      <c r="B1036" s="2">
        <v>53</v>
      </c>
      <c r="C1036" s="2">
        <v>44</v>
      </c>
      <c r="D1036" s="2">
        <v>244512</v>
      </c>
      <c r="E1036" s="2" t="s">
        <v>1036</v>
      </c>
      <c r="F1036" s="2">
        <v>244512</v>
      </c>
    </row>
    <row r="1037" spans="1:6" x14ac:dyDescent="0.25">
      <c r="A1037" s="1">
        <v>44098</v>
      </c>
      <c r="B1037" s="2">
        <v>54</v>
      </c>
      <c r="C1037" s="2">
        <v>44</v>
      </c>
      <c r="D1037" s="2" t="s">
        <v>3</v>
      </c>
      <c r="E1037" s="2" t="s">
        <v>1037</v>
      </c>
      <c r="F1037" s="2" t="s">
        <v>3</v>
      </c>
    </row>
    <row r="1038" spans="1:6" x14ac:dyDescent="0.25">
      <c r="A1038" s="1">
        <v>44099</v>
      </c>
      <c r="B1038" s="2">
        <v>55</v>
      </c>
      <c r="C1038" s="2">
        <v>44</v>
      </c>
      <c r="D1038" s="2" t="s">
        <v>3</v>
      </c>
      <c r="E1038" s="2" t="s">
        <v>1038</v>
      </c>
      <c r="F1038" s="2" t="s">
        <v>3</v>
      </c>
    </row>
    <row r="1039" spans="1:6" x14ac:dyDescent="0.25">
      <c r="A1039" s="1">
        <v>44100</v>
      </c>
      <c r="B1039" s="2">
        <v>56</v>
      </c>
      <c r="C1039" s="2">
        <v>44</v>
      </c>
      <c r="D1039" s="2" t="s">
        <v>3</v>
      </c>
      <c r="E1039" s="2" t="s">
        <v>1039</v>
      </c>
      <c r="F1039" s="2" t="s">
        <v>3</v>
      </c>
    </row>
    <row r="1040" spans="1:6" x14ac:dyDescent="0.25">
      <c r="A1040" s="1">
        <v>44101</v>
      </c>
      <c r="B1040" s="2">
        <v>57</v>
      </c>
      <c r="C1040" s="2">
        <v>44</v>
      </c>
      <c r="D1040" s="2" t="s">
        <v>3</v>
      </c>
      <c r="E1040" s="2" t="s">
        <v>1040</v>
      </c>
      <c r="F1040" s="2" t="s">
        <v>3</v>
      </c>
    </row>
    <row r="1041" spans="1:6" x14ac:dyDescent="0.25">
      <c r="A1041" s="1">
        <v>44102</v>
      </c>
      <c r="B1041" s="2">
        <v>58</v>
      </c>
      <c r="C1041" s="2">
        <v>44</v>
      </c>
      <c r="D1041" s="2" t="s">
        <v>3</v>
      </c>
      <c r="E1041" s="2" t="s">
        <v>1041</v>
      </c>
      <c r="F1041" s="2" t="s">
        <v>3</v>
      </c>
    </row>
    <row r="1042" spans="1:6" x14ac:dyDescent="0.25">
      <c r="A1042" s="1">
        <v>44103</v>
      </c>
      <c r="B1042" s="2">
        <v>59</v>
      </c>
      <c r="C1042" s="2">
        <v>44</v>
      </c>
      <c r="D1042" s="2">
        <v>3390940.8</v>
      </c>
      <c r="E1042" s="2" t="s">
        <v>1042</v>
      </c>
      <c r="F1042" s="2">
        <v>3390940.8</v>
      </c>
    </row>
    <row r="1043" spans="1:6" x14ac:dyDescent="0.25">
      <c r="A1043" s="1">
        <v>44104</v>
      </c>
      <c r="B1043" s="2">
        <v>60</v>
      </c>
      <c r="C1043" s="2">
        <v>44</v>
      </c>
      <c r="D1043" s="2" t="s">
        <v>3</v>
      </c>
      <c r="E1043" s="2" t="s">
        <v>1043</v>
      </c>
      <c r="F1043" s="2" t="s">
        <v>3</v>
      </c>
    </row>
    <row r="1044" spans="1:6" x14ac:dyDescent="0.25">
      <c r="A1044" s="1">
        <v>44105</v>
      </c>
      <c r="B1044" s="2">
        <v>61</v>
      </c>
      <c r="C1044" s="2">
        <v>44</v>
      </c>
      <c r="D1044" s="2">
        <v>15984</v>
      </c>
      <c r="E1044" s="2" t="s">
        <v>1044</v>
      </c>
      <c r="F1044" s="2">
        <v>15984</v>
      </c>
    </row>
    <row r="1045" spans="1:6" x14ac:dyDescent="0.25">
      <c r="A1045" s="1">
        <v>44106</v>
      </c>
      <c r="B1045" s="2">
        <v>62</v>
      </c>
      <c r="C1045" s="2">
        <v>44</v>
      </c>
      <c r="D1045" s="2">
        <v>32123520</v>
      </c>
      <c r="E1045" s="2" t="s">
        <v>1045</v>
      </c>
      <c r="F1045" s="2">
        <v>32123520</v>
      </c>
    </row>
    <row r="1046" spans="1:6" x14ac:dyDescent="0.25">
      <c r="A1046" s="1">
        <v>44107</v>
      </c>
      <c r="B1046" s="2">
        <v>63</v>
      </c>
      <c r="C1046" s="2">
        <v>44</v>
      </c>
      <c r="D1046" s="2">
        <v>225</v>
      </c>
      <c r="E1046" s="2" t="s">
        <v>1046</v>
      </c>
      <c r="F1046" s="2">
        <v>225</v>
      </c>
    </row>
    <row r="1047" spans="1:6" x14ac:dyDescent="0.25">
      <c r="A1047" s="1">
        <v>44108</v>
      </c>
      <c r="B1047" s="2">
        <v>64</v>
      </c>
      <c r="C1047" s="2">
        <v>44</v>
      </c>
      <c r="D1047" s="2">
        <v>273</v>
      </c>
      <c r="E1047" s="2" t="s">
        <v>1047</v>
      </c>
      <c r="F1047" s="2">
        <v>273</v>
      </c>
    </row>
    <row r="1048" spans="1:6" x14ac:dyDescent="0.25">
      <c r="A1048" s="1">
        <v>44109</v>
      </c>
      <c r="B1048" s="2">
        <v>65</v>
      </c>
      <c r="C1048" s="2">
        <v>44</v>
      </c>
      <c r="D1048" s="2">
        <v>34.5</v>
      </c>
      <c r="E1048" s="2" t="s">
        <v>1048</v>
      </c>
      <c r="F1048" s="2">
        <v>34.5</v>
      </c>
    </row>
    <row r="1049" spans="1:6" x14ac:dyDescent="0.25">
      <c r="A1049" s="1">
        <v>44110</v>
      </c>
      <c r="B1049" s="2">
        <v>66</v>
      </c>
      <c r="C1049" s="2">
        <v>44</v>
      </c>
      <c r="D1049" s="2">
        <v>11.6</v>
      </c>
      <c r="E1049" s="2" t="s">
        <v>1049</v>
      </c>
      <c r="F1049" s="2">
        <v>11.6</v>
      </c>
    </row>
    <row r="1050" spans="1:6" x14ac:dyDescent="0.25">
      <c r="A1050" s="1">
        <v>44111</v>
      </c>
      <c r="B1050" s="2">
        <v>67</v>
      </c>
      <c r="C1050" s="2">
        <v>44</v>
      </c>
      <c r="D1050" s="2">
        <v>2.12</v>
      </c>
      <c r="E1050" s="2" t="s">
        <v>1050</v>
      </c>
      <c r="F1050" s="2">
        <v>2.12</v>
      </c>
    </row>
    <row r="1051" spans="1:6" x14ac:dyDescent="0.25">
      <c r="A1051" s="1">
        <v>44112</v>
      </c>
      <c r="B1051" s="2">
        <v>68</v>
      </c>
      <c r="C1051" s="2">
        <v>44</v>
      </c>
      <c r="D1051" s="2">
        <v>1.75</v>
      </c>
      <c r="E1051" s="2" t="s">
        <v>1051</v>
      </c>
      <c r="F1051" s="2">
        <v>1.75</v>
      </c>
    </row>
    <row r="1052" spans="1:6" x14ac:dyDescent="0.25">
      <c r="A1052" s="1">
        <v>44113</v>
      </c>
      <c r="B1052" s="2">
        <v>69</v>
      </c>
      <c r="C1052" s="2">
        <v>44</v>
      </c>
      <c r="D1052" s="2">
        <v>0.8</v>
      </c>
      <c r="E1052" s="2" t="s">
        <v>1052</v>
      </c>
      <c r="F1052" s="2">
        <v>0.8</v>
      </c>
    </row>
    <row r="1053" spans="1:6" x14ac:dyDescent="0.25">
      <c r="A1053" s="1">
        <v>44114</v>
      </c>
      <c r="B1053" s="2">
        <v>70</v>
      </c>
      <c r="C1053" s="2">
        <v>44</v>
      </c>
      <c r="D1053" s="2">
        <v>0.52</v>
      </c>
      <c r="E1053" s="2" t="s">
        <v>1053</v>
      </c>
      <c r="F1053" s="2">
        <v>0.52</v>
      </c>
    </row>
    <row r="1054" spans="1:6" x14ac:dyDescent="0.25">
      <c r="A1054" s="1">
        <v>44115</v>
      </c>
      <c r="B1054" s="2">
        <v>71</v>
      </c>
      <c r="C1054" s="2">
        <v>44</v>
      </c>
      <c r="D1054" s="2">
        <v>0.318</v>
      </c>
      <c r="E1054" s="2" t="s">
        <v>1054</v>
      </c>
      <c r="F1054" s="2">
        <v>0.318</v>
      </c>
    </row>
    <row r="1055" spans="1:6" x14ac:dyDescent="0.25">
      <c r="A1055" s="1">
        <v>44116</v>
      </c>
      <c r="B1055" s="2">
        <v>72</v>
      </c>
      <c r="C1055" s="2">
        <v>44</v>
      </c>
      <c r="D1055" s="2">
        <v>0.20399999999999999</v>
      </c>
      <c r="E1055" s="2" t="s">
        <v>1055</v>
      </c>
      <c r="F1055" s="2">
        <v>0.20399999999999999</v>
      </c>
    </row>
    <row r="1056" spans="1:6" x14ac:dyDescent="0.25">
      <c r="A1056" s="1">
        <v>44117</v>
      </c>
      <c r="B1056" s="2">
        <v>73</v>
      </c>
      <c r="C1056" s="2">
        <v>44</v>
      </c>
      <c r="D1056" s="2">
        <v>0.151</v>
      </c>
      <c r="E1056" s="2" t="s">
        <v>1056</v>
      </c>
      <c r="F1056" s="2">
        <v>0.151</v>
      </c>
    </row>
    <row r="1057" spans="1:6" x14ac:dyDescent="0.25">
      <c r="A1057" s="1">
        <v>44118</v>
      </c>
      <c r="B1057" s="2">
        <v>74</v>
      </c>
      <c r="C1057" s="2">
        <v>44</v>
      </c>
      <c r="D1057" s="2">
        <v>0.123</v>
      </c>
      <c r="E1057" s="2" t="s">
        <v>1057</v>
      </c>
      <c r="F1057" s="2">
        <v>0.123</v>
      </c>
    </row>
    <row r="1058" spans="1:6" x14ac:dyDescent="0.25">
      <c r="A1058" s="1">
        <v>44119</v>
      </c>
      <c r="B1058" s="2">
        <v>75</v>
      </c>
      <c r="C1058" s="2">
        <v>44</v>
      </c>
      <c r="D1058" s="2">
        <v>6.9500000000000006E-2</v>
      </c>
      <c r="E1058" s="2" t="s">
        <v>1058</v>
      </c>
      <c r="F1058" s="2">
        <v>6.9500000000000006E-2</v>
      </c>
    </row>
    <row r="1059" spans="1:6" x14ac:dyDescent="0.25">
      <c r="A1059" s="1">
        <v>44120</v>
      </c>
      <c r="B1059" s="2">
        <v>76</v>
      </c>
      <c r="C1059" s="2">
        <v>44</v>
      </c>
      <c r="D1059" s="2">
        <v>4.4999999999999998E-2</v>
      </c>
      <c r="E1059" s="2" t="s">
        <v>1059</v>
      </c>
      <c r="F1059" s="2">
        <v>4.4999999999999998E-2</v>
      </c>
    </row>
    <row r="1060" spans="1:6" x14ac:dyDescent="0.25">
      <c r="A1060" s="1">
        <v>44121</v>
      </c>
      <c r="B1060" s="2">
        <v>77</v>
      </c>
      <c r="C1060" s="2">
        <v>44</v>
      </c>
      <c r="D1060" s="2">
        <v>2.9000000000000001E-2</v>
      </c>
      <c r="E1060" s="2" t="s">
        <v>1060</v>
      </c>
      <c r="F1060" s="2">
        <v>2.9000000000000001E-2</v>
      </c>
    </row>
    <row r="1061" spans="1:6" x14ac:dyDescent="0.25">
      <c r="A1061" s="1">
        <v>44122</v>
      </c>
      <c r="B1061" s="2">
        <v>78</v>
      </c>
      <c r="C1061" s="2">
        <v>44</v>
      </c>
      <c r="D1061" s="2">
        <v>2.5000000000000001E-2</v>
      </c>
      <c r="E1061" s="2" t="s">
        <v>1061</v>
      </c>
      <c r="F1061" s="2">
        <v>2.5000000000000001E-2</v>
      </c>
    </row>
    <row r="1062" spans="1:6" x14ac:dyDescent="0.25">
      <c r="A1062" s="1">
        <v>44123</v>
      </c>
      <c r="B1062" s="2">
        <v>79</v>
      </c>
      <c r="C1062" s="2">
        <v>44</v>
      </c>
      <c r="D1062" s="2">
        <v>1.9E-2</v>
      </c>
      <c r="E1062" s="2" t="s">
        <v>1062</v>
      </c>
      <c r="F1062" s="2">
        <v>1.9E-2</v>
      </c>
    </row>
    <row r="1063" spans="1:6" x14ac:dyDescent="0.25">
      <c r="A1063" s="1">
        <v>44124</v>
      </c>
      <c r="B1063" s="2">
        <v>80</v>
      </c>
      <c r="C1063" s="2">
        <v>44</v>
      </c>
      <c r="D1063" s="2">
        <v>1.4999999999999999E-2</v>
      </c>
      <c r="E1063" s="2" t="s">
        <v>1063</v>
      </c>
      <c r="F1063" s="2">
        <v>1.4999999999999999E-2</v>
      </c>
    </row>
    <row r="1064" spans="1:6" x14ac:dyDescent="0.25">
      <c r="A1064" s="1">
        <v>45089</v>
      </c>
      <c r="B1064" s="2">
        <v>44</v>
      </c>
      <c r="C1064" s="2">
        <v>45</v>
      </c>
      <c r="D1064" s="2">
        <v>1.5E-6</v>
      </c>
      <c r="E1064" s="2" t="s">
        <v>1064</v>
      </c>
      <c r="F1064" s="2">
        <v>1.5E-6</v>
      </c>
    </row>
    <row r="1065" spans="1:6" x14ac:dyDescent="0.25">
      <c r="A1065" s="1">
        <v>45090</v>
      </c>
      <c r="B1065" s="2">
        <v>45</v>
      </c>
      <c r="C1065" s="2">
        <v>45</v>
      </c>
      <c r="D1065" s="2">
        <v>1.2E-2</v>
      </c>
      <c r="E1065" s="2" t="s">
        <v>1065</v>
      </c>
      <c r="F1065" s="2">
        <v>1.2E-2</v>
      </c>
    </row>
    <row r="1066" spans="1:6" x14ac:dyDescent="0.25">
      <c r="A1066" s="1">
        <v>45091</v>
      </c>
      <c r="B1066" s="2">
        <v>46</v>
      </c>
      <c r="C1066" s="2">
        <v>45</v>
      </c>
      <c r="D1066" s="2">
        <v>1.47</v>
      </c>
      <c r="E1066" s="2" t="s">
        <v>1066</v>
      </c>
      <c r="F1066" s="2">
        <v>1.47</v>
      </c>
    </row>
    <row r="1067" spans="1:6" x14ac:dyDescent="0.25">
      <c r="A1067" s="1">
        <v>45092</v>
      </c>
      <c r="B1067" s="2">
        <v>47</v>
      </c>
      <c r="C1067" s="2">
        <v>45</v>
      </c>
      <c r="D1067" s="2">
        <v>5.7</v>
      </c>
      <c r="E1067" s="2" t="s">
        <v>1067</v>
      </c>
      <c r="F1067" s="2">
        <v>5.7</v>
      </c>
    </row>
    <row r="1068" spans="1:6" x14ac:dyDescent="0.25">
      <c r="A1068" s="1">
        <v>45093</v>
      </c>
      <c r="B1068" s="2">
        <v>48</v>
      </c>
      <c r="C1068" s="2">
        <v>45</v>
      </c>
      <c r="D1068" s="2">
        <v>12.2</v>
      </c>
      <c r="E1068" s="2" t="s">
        <v>1068</v>
      </c>
      <c r="F1068" s="2">
        <v>12.2</v>
      </c>
    </row>
    <row r="1069" spans="1:6" x14ac:dyDescent="0.25">
      <c r="A1069" s="1">
        <v>45094</v>
      </c>
      <c r="B1069" s="2">
        <v>49</v>
      </c>
      <c r="C1069" s="2">
        <v>45</v>
      </c>
      <c r="D1069" s="2">
        <v>66</v>
      </c>
      <c r="E1069" s="2" t="s">
        <v>1069</v>
      </c>
      <c r="F1069" s="2">
        <v>66</v>
      </c>
    </row>
    <row r="1070" spans="1:6" x14ac:dyDescent="0.25">
      <c r="A1070" s="1">
        <v>45095</v>
      </c>
      <c r="B1070" s="2">
        <v>50</v>
      </c>
      <c r="C1070" s="2">
        <v>45</v>
      </c>
      <c r="D1070" s="2">
        <v>301.2</v>
      </c>
      <c r="E1070" s="2" t="s">
        <v>1070</v>
      </c>
      <c r="F1070" s="2">
        <v>301.2</v>
      </c>
    </row>
    <row r="1071" spans="1:6" x14ac:dyDescent="0.25">
      <c r="A1071" s="1">
        <v>45096</v>
      </c>
      <c r="B1071" s="2">
        <v>51</v>
      </c>
      <c r="C1071" s="2">
        <v>45</v>
      </c>
      <c r="D1071" s="2">
        <v>594</v>
      </c>
      <c r="E1071" s="2" t="s">
        <v>1071</v>
      </c>
      <c r="F1071" s="2">
        <v>594</v>
      </c>
    </row>
    <row r="1072" spans="1:6" x14ac:dyDescent="0.25">
      <c r="A1072" s="1">
        <v>45097</v>
      </c>
      <c r="B1072" s="2">
        <v>52</v>
      </c>
      <c r="C1072" s="2">
        <v>45</v>
      </c>
      <c r="D1072" s="2">
        <v>1842</v>
      </c>
      <c r="E1072" s="2" t="s">
        <v>1072</v>
      </c>
      <c r="F1072" s="2">
        <v>1842</v>
      </c>
    </row>
    <row r="1073" spans="1:6" x14ac:dyDescent="0.25">
      <c r="A1073" s="1">
        <v>45098</v>
      </c>
      <c r="B1073" s="2">
        <v>53</v>
      </c>
      <c r="C1073" s="2">
        <v>45</v>
      </c>
      <c r="D1073" s="2">
        <v>523.20000000000005</v>
      </c>
      <c r="E1073" s="2" t="s">
        <v>1073</v>
      </c>
      <c r="F1073" s="2">
        <v>523.20000000000005</v>
      </c>
    </row>
    <row r="1074" spans="1:6" x14ac:dyDescent="0.25">
      <c r="A1074" s="1">
        <v>45099</v>
      </c>
      <c r="B1074" s="2">
        <v>54</v>
      </c>
      <c r="C1074" s="2">
        <v>45</v>
      </c>
      <c r="D1074" s="2">
        <v>1391040</v>
      </c>
      <c r="E1074" s="2" t="s">
        <v>1074</v>
      </c>
      <c r="F1074" s="2">
        <v>1391040</v>
      </c>
    </row>
    <row r="1075" spans="1:6" x14ac:dyDescent="0.25">
      <c r="A1075" s="1">
        <v>45100</v>
      </c>
      <c r="B1075" s="2">
        <v>55</v>
      </c>
      <c r="C1075" s="2">
        <v>45</v>
      </c>
      <c r="D1075" s="2">
        <v>74880</v>
      </c>
      <c r="E1075" s="2" t="s">
        <v>1075</v>
      </c>
      <c r="F1075" s="2">
        <v>74880</v>
      </c>
    </row>
    <row r="1076" spans="1:6" x14ac:dyDescent="0.25">
      <c r="A1076" s="1">
        <v>45101</v>
      </c>
      <c r="B1076" s="2">
        <v>56</v>
      </c>
      <c r="C1076" s="2">
        <v>45</v>
      </c>
      <c r="D1076" s="2">
        <v>104140080</v>
      </c>
      <c r="E1076" s="2" t="s">
        <v>1076</v>
      </c>
      <c r="F1076" s="2">
        <v>104140080</v>
      </c>
    </row>
    <row r="1077" spans="1:6" x14ac:dyDescent="0.25">
      <c r="A1077" s="1">
        <v>45102</v>
      </c>
      <c r="B1077" s="2">
        <v>57</v>
      </c>
      <c r="C1077" s="2">
        <v>45</v>
      </c>
      <c r="D1077" s="2">
        <v>17910720</v>
      </c>
      <c r="E1077" s="2" t="s">
        <v>1077</v>
      </c>
      <c r="F1077" s="2">
        <v>17910720</v>
      </c>
    </row>
    <row r="1078" spans="1:6" x14ac:dyDescent="0.25">
      <c r="A1078" s="1">
        <v>45103</v>
      </c>
      <c r="B1078" s="2">
        <v>58</v>
      </c>
      <c r="C1078" s="2">
        <v>45</v>
      </c>
      <c r="D1078" s="2" t="s">
        <v>3</v>
      </c>
      <c r="E1078" s="2" t="s">
        <v>1078</v>
      </c>
      <c r="F1078" s="2" t="s">
        <v>3</v>
      </c>
    </row>
    <row r="1079" spans="1:6" x14ac:dyDescent="0.25">
      <c r="A1079" s="1">
        <v>45104</v>
      </c>
      <c r="B1079" s="2">
        <v>59</v>
      </c>
      <c r="C1079" s="2">
        <v>45</v>
      </c>
      <c r="D1079" s="2">
        <v>42.3</v>
      </c>
      <c r="E1079" s="2" t="s">
        <v>1079</v>
      </c>
      <c r="F1079" s="2">
        <v>42.3</v>
      </c>
    </row>
    <row r="1080" spans="1:6" x14ac:dyDescent="0.25">
      <c r="A1080" s="1">
        <v>45105</v>
      </c>
      <c r="B1080" s="2">
        <v>60</v>
      </c>
      <c r="C1080" s="2">
        <v>45</v>
      </c>
      <c r="D1080" s="2">
        <v>127296</v>
      </c>
      <c r="E1080" s="2" t="s">
        <v>1080</v>
      </c>
      <c r="F1080" s="2">
        <v>127296</v>
      </c>
    </row>
    <row r="1081" spans="1:6" x14ac:dyDescent="0.25">
      <c r="A1081" s="1">
        <v>45106</v>
      </c>
      <c r="B1081" s="2">
        <v>61</v>
      </c>
      <c r="C1081" s="2">
        <v>45</v>
      </c>
      <c r="D1081" s="2">
        <v>30.07</v>
      </c>
      <c r="E1081" s="2" t="s">
        <v>1081</v>
      </c>
      <c r="F1081" s="2">
        <v>30.07</v>
      </c>
    </row>
    <row r="1082" spans="1:6" x14ac:dyDescent="0.25">
      <c r="A1082" s="1">
        <v>45107</v>
      </c>
      <c r="B1082" s="2">
        <v>62</v>
      </c>
      <c r="C1082" s="2">
        <v>45</v>
      </c>
      <c r="D1082" s="2">
        <v>1302</v>
      </c>
      <c r="E1082" s="2" t="s">
        <v>1082</v>
      </c>
      <c r="F1082" s="2">
        <v>1302</v>
      </c>
    </row>
    <row r="1083" spans="1:6" x14ac:dyDescent="0.25">
      <c r="A1083" s="1">
        <v>45108</v>
      </c>
      <c r="B1083" s="2">
        <v>63</v>
      </c>
      <c r="C1083" s="2">
        <v>45</v>
      </c>
      <c r="D1083" s="2">
        <v>16.8</v>
      </c>
      <c r="E1083" s="2" t="s">
        <v>1083</v>
      </c>
      <c r="F1083" s="2">
        <v>16.8</v>
      </c>
    </row>
    <row r="1084" spans="1:6" x14ac:dyDescent="0.25">
      <c r="A1084" s="1">
        <v>45109</v>
      </c>
      <c r="B1084" s="2">
        <v>64</v>
      </c>
      <c r="C1084" s="2">
        <v>45</v>
      </c>
      <c r="D1084" s="2">
        <v>80</v>
      </c>
      <c r="E1084" s="2" t="s">
        <v>1084</v>
      </c>
      <c r="F1084" s="2">
        <v>80</v>
      </c>
    </row>
    <row r="1085" spans="1:6" x14ac:dyDescent="0.25">
      <c r="A1085" s="1">
        <v>45110</v>
      </c>
      <c r="B1085" s="2">
        <v>65</v>
      </c>
      <c r="C1085" s="2">
        <v>45</v>
      </c>
      <c r="D1085" s="2">
        <v>28.5</v>
      </c>
      <c r="E1085" s="2" t="s">
        <v>1085</v>
      </c>
      <c r="F1085" s="2">
        <v>28.5</v>
      </c>
    </row>
    <row r="1086" spans="1:6" x14ac:dyDescent="0.25">
      <c r="A1086" s="1">
        <v>45111</v>
      </c>
      <c r="B1086" s="2">
        <v>66</v>
      </c>
      <c r="C1086" s="2">
        <v>45</v>
      </c>
      <c r="D1086" s="2">
        <v>11</v>
      </c>
      <c r="E1086" s="2" t="s">
        <v>1086</v>
      </c>
      <c r="F1086" s="2">
        <v>11</v>
      </c>
    </row>
    <row r="1087" spans="1:6" x14ac:dyDescent="0.25">
      <c r="A1087" s="1">
        <v>45112</v>
      </c>
      <c r="B1087" s="2">
        <v>67</v>
      </c>
      <c r="C1087" s="2">
        <v>45</v>
      </c>
      <c r="D1087" s="2">
        <v>3.6</v>
      </c>
      <c r="E1087" s="2" t="s">
        <v>1087</v>
      </c>
      <c r="F1087" s="2">
        <v>3.6</v>
      </c>
    </row>
    <row r="1088" spans="1:6" x14ac:dyDescent="0.25">
      <c r="A1088" s="1">
        <v>45113</v>
      </c>
      <c r="B1088" s="2">
        <v>68</v>
      </c>
      <c r="C1088" s="2">
        <v>45</v>
      </c>
      <c r="D1088" s="2">
        <v>2.8</v>
      </c>
      <c r="E1088" s="2" t="s">
        <v>1088</v>
      </c>
      <c r="F1088" s="2">
        <v>2.8</v>
      </c>
    </row>
    <row r="1089" spans="1:6" x14ac:dyDescent="0.25">
      <c r="A1089" s="1">
        <v>45114</v>
      </c>
      <c r="B1089" s="2">
        <v>69</v>
      </c>
      <c r="C1089" s="2">
        <v>45</v>
      </c>
      <c r="D1089" s="2">
        <v>1.85</v>
      </c>
      <c r="E1089" s="2" t="s">
        <v>1089</v>
      </c>
      <c r="F1089" s="2">
        <v>1.85</v>
      </c>
    </row>
    <row r="1090" spans="1:6" x14ac:dyDescent="0.25">
      <c r="A1090" s="1">
        <v>45115</v>
      </c>
      <c r="B1090" s="2">
        <v>70</v>
      </c>
      <c r="C1090" s="2">
        <v>45</v>
      </c>
      <c r="D1090" s="2">
        <v>0.99</v>
      </c>
      <c r="E1090" s="2" t="s">
        <v>1090</v>
      </c>
      <c r="F1090" s="2">
        <v>0.99</v>
      </c>
    </row>
    <row r="1091" spans="1:6" x14ac:dyDescent="0.25">
      <c r="A1091" s="1">
        <v>45116</v>
      </c>
      <c r="B1091" s="2">
        <v>71</v>
      </c>
      <c r="C1091" s="2">
        <v>45</v>
      </c>
      <c r="D1091" s="2">
        <v>0.68</v>
      </c>
      <c r="E1091" s="2" t="s">
        <v>1091</v>
      </c>
      <c r="F1091" s="2">
        <v>0.68</v>
      </c>
    </row>
    <row r="1092" spans="1:6" x14ac:dyDescent="0.25">
      <c r="A1092" s="1">
        <v>45117</v>
      </c>
      <c r="B1092" s="2">
        <v>72</v>
      </c>
      <c r="C1092" s="2">
        <v>45</v>
      </c>
      <c r="D1092" s="2">
        <v>0.44</v>
      </c>
      <c r="E1092" s="2" t="s">
        <v>1092</v>
      </c>
      <c r="F1092" s="2">
        <v>0.44</v>
      </c>
    </row>
    <row r="1093" spans="1:6" x14ac:dyDescent="0.25">
      <c r="A1093" s="1">
        <v>45118</v>
      </c>
      <c r="B1093" s="2">
        <v>73</v>
      </c>
      <c r="C1093" s="2">
        <v>45</v>
      </c>
      <c r="D1093" s="2">
        <v>0.26600000000000001</v>
      </c>
      <c r="E1093" s="2" t="s">
        <v>1093</v>
      </c>
      <c r="F1093" s="2">
        <v>0.26600000000000001</v>
      </c>
    </row>
    <row r="1094" spans="1:6" x14ac:dyDescent="0.25">
      <c r="A1094" s="1">
        <v>45119</v>
      </c>
      <c r="B1094" s="2">
        <v>74</v>
      </c>
      <c r="C1094" s="2">
        <v>45</v>
      </c>
      <c r="D1094" s="2">
        <v>0.17100000000000001</v>
      </c>
      <c r="E1094" s="2" t="s">
        <v>1094</v>
      </c>
      <c r="F1094" s="2">
        <v>0.17100000000000001</v>
      </c>
    </row>
    <row r="1095" spans="1:6" x14ac:dyDescent="0.25">
      <c r="A1095" s="1">
        <v>45120</v>
      </c>
      <c r="B1095" s="2">
        <v>75</v>
      </c>
      <c r="C1095" s="2">
        <v>45</v>
      </c>
      <c r="D1095" s="2">
        <v>0.13600000000000001</v>
      </c>
      <c r="E1095" s="2" t="s">
        <v>1095</v>
      </c>
      <c r="F1095" s="2">
        <v>0.13600000000000001</v>
      </c>
    </row>
    <row r="1096" spans="1:6" x14ac:dyDescent="0.25">
      <c r="A1096" s="1">
        <v>45121</v>
      </c>
      <c r="B1096" s="2">
        <v>76</v>
      </c>
      <c r="C1096" s="2">
        <v>45</v>
      </c>
      <c r="D1096" s="2">
        <v>0.151</v>
      </c>
      <c r="E1096" s="2" t="s">
        <v>1096</v>
      </c>
      <c r="F1096" s="2">
        <v>0.151</v>
      </c>
    </row>
    <row r="1097" spans="1:6" x14ac:dyDescent="0.25">
      <c r="A1097" s="1">
        <v>45122</v>
      </c>
      <c r="B1097" s="2">
        <v>77</v>
      </c>
      <c r="C1097" s="2">
        <v>45</v>
      </c>
      <c r="D1097" s="2">
        <v>2.9999999999999999E-7</v>
      </c>
      <c r="E1097" s="2" t="s">
        <v>1097</v>
      </c>
      <c r="F1097" s="2">
        <v>2.9999999999999999E-7</v>
      </c>
    </row>
    <row r="1098" spans="1:6" x14ac:dyDescent="0.25">
      <c r="A1098" s="1">
        <v>45123</v>
      </c>
      <c r="B1098" s="2">
        <v>78</v>
      </c>
      <c r="C1098" s="2">
        <v>45</v>
      </c>
      <c r="D1098" s="2">
        <v>4.2000000000000003E-2</v>
      </c>
      <c r="E1098" s="2" t="s">
        <v>1098</v>
      </c>
      <c r="F1098" s="2">
        <v>4.2000000000000003E-2</v>
      </c>
    </row>
    <row r="1099" spans="1:6" x14ac:dyDescent="0.25">
      <c r="A1099" s="1">
        <v>45124</v>
      </c>
      <c r="B1099" s="2">
        <v>79</v>
      </c>
      <c r="C1099" s="2">
        <v>45</v>
      </c>
      <c r="D1099" s="2">
        <v>0.03</v>
      </c>
      <c r="E1099" s="2" t="s">
        <v>1099</v>
      </c>
      <c r="F1099" s="2">
        <v>0.03</v>
      </c>
    </row>
    <row r="1100" spans="1:6" x14ac:dyDescent="0.25">
      <c r="A1100" s="1">
        <v>45125</v>
      </c>
      <c r="B1100" s="2">
        <v>80</v>
      </c>
      <c r="C1100" s="2">
        <v>45</v>
      </c>
      <c r="D1100" s="2">
        <v>2.6499999999999999E-2</v>
      </c>
      <c r="E1100" s="2" t="s">
        <v>1100</v>
      </c>
      <c r="F1100" s="2">
        <v>2.6499999999999999E-2</v>
      </c>
    </row>
    <row r="1101" spans="1:6" x14ac:dyDescent="0.25">
      <c r="A1101" s="1">
        <v>45126</v>
      </c>
      <c r="B1101" s="2">
        <v>81</v>
      </c>
      <c r="C1101" s="2">
        <v>45</v>
      </c>
      <c r="D1101" s="2">
        <v>1.9E-2</v>
      </c>
      <c r="E1101" s="2" t="s">
        <v>1101</v>
      </c>
      <c r="F1101" s="2">
        <v>1.9E-2</v>
      </c>
    </row>
    <row r="1102" spans="1:6" x14ac:dyDescent="0.25">
      <c r="A1102" s="1">
        <v>45127</v>
      </c>
      <c r="B1102" s="2">
        <v>82</v>
      </c>
      <c r="C1102" s="2">
        <v>45</v>
      </c>
      <c r="D1102" s="2">
        <v>0.02</v>
      </c>
      <c r="E1102" s="2" t="s">
        <v>1102</v>
      </c>
      <c r="F1102" s="2">
        <v>0.02</v>
      </c>
    </row>
    <row r="1103" spans="1:6" x14ac:dyDescent="0.25">
      <c r="A1103" s="1">
        <v>46091</v>
      </c>
      <c r="B1103" s="2">
        <v>45</v>
      </c>
      <c r="C1103" s="2">
        <v>46</v>
      </c>
      <c r="D1103" s="2">
        <v>9.9999999999999995E-7</v>
      </c>
      <c r="E1103" s="2" t="s">
        <v>1103</v>
      </c>
      <c r="F1103" s="2">
        <v>9.9999999999999995E-7</v>
      </c>
    </row>
    <row r="1104" spans="1:6" x14ac:dyDescent="0.25">
      <c r="A1104" s="1">
        <v>46092</v>
      </c>
      <c r="B1104" s="2">
        <v>46</v>
      </c>
      <c r="C1104" s="2">
        <v>46</v>
      </c>
      <c r="D1104" s="2">
        <v>0.7</v>
      </c>
      <c r="E1104" s="2" t="s">
        <v>1104</v>
      </c>
      <c r="F1104" s="2">
        <v>0.7</v>
      </c>
    </row>
    <row r="1105" spans="1:6" x14ac:dyDescent="0.25">
      <c r="A1105" s="1">
        <v>46093</v>
      </c>
      <c r="B1105" s="2">
        <v>47</v>
      </c>
      <c r="C1105" s="2">
        <v>46</v>
      </c>
      <c r="D1105" s="2">
        <v>1</v>
      </c>
      <c r="E1105" s="2" t="s">
        <v>1105</v>
      </c>
      <c r="F1105" s="2">
        <v>1</v>
      </c>
    </row>
    <row r="1106" spans="1:6" x14ac:dyDescent="0.25">
      <c r="A1106" s="1">
        <v>46094</v>
      </c>
      <c r="B1106" s="2">
        <v>48</v>
      </c>
      <c r="C1106" s="2">
        <v>46</v>
      </c>
      <c r="D1106" s="2">
        <v>9.6</v>
      </c>
      <c r="E1106" s="2" t="s">
        <v>1106</v>
      </c>
      <c r="F1106" s="2">
        <v>9.6</v>
      </c>
    </row>
    <row r="1107" spans="1:6" x14ac:dyDescent="0.25">
      <c r="A1107" s="1">
        <v>46095</v>
      </c>
      <c r="B1107" s="2">
        <v>49</v>
      </c>
      <c r="C1107" s="2">
        <v>46</v>
      </c>
      <c r="D1107" s="2">
        <v>5</v>
      </c>
      <c r="E1107" s="2" t="s">
        <v>1107</v>
      </c>
      <c r="F1107" s="2">
        <v>5</v>
      </c>
    </row>
    <row r="1108" spans="1:6" x14ac:dyDescent="0.25">
      <c r="A1108" s="1">
        <v>46096</v>
      </c>
      <c r="B1108" s="2">
        <v>50</v>
      </c>
      <c r="C1108" s="2">
        <v>46</v>
      </c>
      <c r="D1108" s="2">
        <v>122</v>
      </c>
      <c r="E1108" s="2" t="s">
        <v>1108</v>
      </c>
      <c r="F1108" s="2">
        <v>122</v>
      </c>
    </row>
    <row r="1109" spans="1:6" x14ac:dyDescent="0.25">
      <c r="A1109" s="1">
        <v>46097</v>
      </c>
      <c r="B1109" s="2">
        <v>51</v>
      </c>
      <c r="C1109" s="2">
        <v>46</v>
      </c>
      <c r="D1109" s="2">
        <v>186</v>
      </c>
      <c r="E1109" s="2" t="s">
        <v>1109</v>
      </c>
      <c r="F1109" s="2">
        <v>186</v>
      </c>
    </row>
    <row r="1110" spans="1:6" x14ac:dyDescent="0.25">
      <c r="A1110" s="1">
        <v>46098</v>
      </c>
      <c r="B1110" s="2">
        <v>52</v>
      </c>
      <c r="C1110" s="2">
        <v>46</v>
      </c>
      <c r="D1110" s="2">
        <v>1062</v>
      </c>
      <c r="E1110" s="2" t="s">
        <v>1110</v>
      </c>
      <c r="F1110" s="2">
        <v>1062</v>
      </c>
    </row>
    <row r="1111" spans="1:6" x14ac:dyDescent="0.25">
      <c r="A1111" s="1">
        <v>46099</v>
      </c>
      <c r="B1111" s="2">
        <v>53</v>
      </c>
      <c r="C1111" s="2">
        <v>46</v>
      </c>
      <c r="D1111" s="2">
        <v>1284</v>
      </c>
      <c r="E1111" s="2" t="s">
        <v>1111</v>
      </c>
      <c r="F1111" s="2">
        <v>1284</v>
      </c>
    </row>
    <row r="1112" spans="1:6" x14ac:dyDescent="0.25">
      <c r="A1112" s="1">
        <v>46100</v>
      </c>
      <c r="B1112" s="2">
        <v>54</v>
      </c>
      <c r="C1112" s="2">
        <v>46</v>
      </c>
      <c r="D1112" s="2">
        <v>313632</v>
      </c>
      <c r="E1112" s="2" t="s">
        <v>1112</v>
      </c>
      <c r="F1112" s="2">
        <v>313632</v>
      </c>
    </row>
    <row r="1113" spans="1:6" x14ac:dyDescent="0.25">
      <c r="A1113" s="1">
        <v>46101</v>
      </c>
      <c r="B1113" s="2">
        <v>55</v>
      </c>
      <c r="C1113" s="2">
        <v>46</v>
      </c>
      <c r="D1113" s="2">
        <v>30492</v>
      </c>
      <c r="E1113" s="2" t="s">
        <v>1113</v>
      </c>
      <c r="F1113" s="2">
        <v>30492</v>
      </c>
    </row>
    <row r="1114" spans="1:6" x14ac:dyDescent="0.25">
      <c r="A1114" s="1">
        <v>46102</v>
      </c>
      <c r="B1114" s="2">
        <v>56</v>
      </c>
      <c r="C1114" s="2">
        <v>46</v>
      </c>
      <c r="D1114" s="2" t="s">
        <v>3</v>
      </c>
      <c r="E1114" s="2" t="s">
        <v>1114</v>
      </c>
      <c r="F1114" s="2" t="s">
        <v>3</v>
      </c>
    </row>
    <row r="1115" spans="1:6" x14ac:dyDescent="0.25">
      <c r="A1115" s="1">
        <v>46103</v>
      </c>
      <c r="B1115" s="2">
        <v>57</v>
      </c>
      <c r="C1115" s="2">
        <v>46</v>
      </c>
      <c r="D1115" s="2">
        <v>1468022.4</v>
      </c>
      <c r="E1115" s="2" t="s">
        <v>1115</v>
      </c>
      <c r="F1115" s="2">
        <v>1468022.4</v>
      </c>
    </row>
    <row r="1116" spans="1:6" x14ac:dyDescent="0.25">
      <c r="A1116" s="1">
        <v>46104</v>
      </c>
      <c r="B1116" s="2">
        <v>58</v>
      </c>
      <c r="C1116" s="2">
        <v>46</v>
      </c>
      <c r="D1116" s="2" t="s">
        <v>3</v>
      </c>
      <c r="E1116" s="2" t="s">
        <v>1116</v>
      </c>
      <c r="F1116" s="2" t="s">
        <v>3</v>
      </c>
    </row>
    <row r="1117" spans="1:6" x14ac:dyDescent="0.25">
      <c r="A1117" s="1">
        <v>46105</v>
      </c>
      <c r="B1117" s="2">
        <v>59</v>
      </c>
      <c r="C1117" s="2">
        <v>46</v>
      </c>
      <c r="D1117" s="2" t="s">
        <v>3</v>
      </c>
      <c r="E1117" s="2" t="s">
        <v>1117</v>
      </c>
      <c r="F1117" s="2" t="s">
        <v>3</v>
      </c>
    </row>
    <row r="1118" spans="1:6" x14ac:dyDescent="0.25">
      <c r="A1118" s="1">
        <v>46106</v>
      </c>
      <c r="B1118" s="2">
        <v>60</v>
      </c>
      <c r="C1118" s="2">
        <v>46</v>
      </c>
      <c r="D1118" s="2" t="s">
        <v>3</v>
      </c>
      <c r="E1118" s="2" t="s">
        <v>1118</v>
      </c>
      <c r="F1118" s="2" t="s">
        <v>3</v>
      </c>
    </row>
    <row r="1119" spans="1:6" x14ac:dyDescent="0.25">
      <c r="A1119" s="1">
        <v>46107</v>
      </c>
      <c r="B1119" s="2">
        <v>61</v>
      </c>
      <c r="C1119" s="2">
        <v>46</v>
      </c>
      <c r="D1119" s="2">
        <v>205124400000000</v>
      </c>
      <c r="E1119" s="2" t="s">
        <v>1119</v>
      </c>
      <c r="F1119" s="2">
        <v>205124400000000</v>
      </c>
    </row>
    <row r="1120" spans="1:6" x14ac:dyDescent="0.25">
      <c r="A1120" s="1">
        <v>46108</v>
      </c>
      <c r="B1120" s="2">
        <v>62</v>
      </c>
      <c r="C1120" s="2">
        <v>46</v>
      </c>
      <c r="D1120" s="2" t="s">
        <v>3</v>
      </c>
      <c r="E1120" s="2" t="s">
        <v>1120</v>
      </c>
      <c r="F1120" s="2" t="s">
        <v>3</v>
      </c>
    </row>
    <row r="1121" spans="1:6" x14ac:dyDescent="0.25">
      <c r="A1121" s="1">
        <v>46109</v>
      </c>
      <c r="B1121" s="2">
        <v>63</v>
      </c>
      <c r="C1121" s="2">
        <v>46</v>
      </c>
      <c r="D1121" s="2">
        <v>49324.32</v>
      </c>
      <c r="E1121" s="2" t="s">
        <v>1121</v>
      </c>
      <c r="F1121" s="2">
        <v>49324.32</v>
      </c>
    </row>
    <row r="1122" spans="1:6" x14ac:dyDescent="0.25">
      <c r="A1122" s="1">
        <v>46110</v>
      </c>
      <c r="B1122" s="2">
        <v>64</v>
      </c>
      <c r="C1122" s="2">
        <v>46</v>
      </c>
      <c r="D1122" s="2" t="s">
        <v>3</v>
      </c>
      <c r="E1122" s="2" t="s">
        <v>1122</v>
      </c>
      <c r="F1122" s="2" t="s">
        <v>3</v>
      </c>
    </row>
    <row r="1123" spans="1:6" x14ac:dyDescent="0.25">
      <c r="A1123" s="1">
        <v>46111</v>
      </c>
      <c r="B1123" s="2">
        <v>65</v>
      </c>
      <c r="C1123" s="2">
        <v>46</v>
      </c>
      <c r="D1123" s="2">
        <v>1404</v>
      </c>
      <c r="E1123" s="2" t="s">
        <v>1123</v>
      </c>
      <c r="F1123" s="2">
        <v>1404</v>
      </c>
    </row>
    <row r="1124" spans="1:6" x14ac:dyDescent="0.25">
      <c r="A1124" s="1">
        <v>46112</v>
      </c>
      <c r="B1124" s="2">
        <v>66</v>
      </c>
      <c r="C1124" s="2">
        <v>46</v>
      </c>
      <c r="D1124" s="2">
        <v>75744</v>
      </c>
      <c r="E1124" s="2" t="s">
        <v>1124</v>
      </c>
      <c r="F1124" s="2">
        <v>75744</v>
      </c>
    </row>
    <row r="1125" spans="1:6" x14ac:dyDescent="0.25">
      <c r="A1125" s="1">
        <v>46113</v>
      </c>
      <c r="B1125" s="2">
        <v>67</v>
      </c>
      <c r="C1125" s="2">
        <v>46</v>
      </c>
      <c r="D1125" s="2">
        <v>93</v>
      </c>
      <c r="E1125" s="2" t="s">
        <v>1125</v>
      </c>
      <c r="F1125" s="2">
        <v>93</v>
      </c>
    </row>
    <row r="1126" spans="1:6" x14ac:dyDescent="0.25">
      <c r="A1126" s="1">
        <v>46114</v>
      </c>
      <c r="B1126" s="2">
        <v>68</v>
      </c>
      <c r="C1126" s="2">
        <v>46</v>
      </c>
      <c r="D1126" s="2">
        <v>145.19999999999999</v>
      </c>
      <c r="E1126" s="2" t="s">
        <v>1126</v>
      </c>
      <c r="F1126" s="2">
        <v>145.19999999999999</v>
      </c>
    </row>
    <row r="1127" spans="1:6" x14ac:dyDescent="0.25">
      <c r="A1127" s="1">
        <v>46115</v>
      </c>
      <c r="B1127" s="2">
        <v>69</v>
      </c>
      <c r="C1127" s="2">
        <v>46</v>
      </c>
      <c r="D1127" s="2">
        <v>25</v>
      </c>
      <c r="E1127" s="2" t="s">
        <v>1127</v>
      </c>
      <c r="F1127" s="2">
        <v>25</v>
      </c>
    </row>
    <row r="1128" spans="1:6" x14ac:dyDescent="0.25">
      <c r="A1128" s="1">
        <v>46116</v>
      </c>
      <c r="B1128" s="2">
        <v>70</v>
      </c>
      <c r="C1128" s="2">
        <v>46</v>
      </c>
      <c r="D1128" s="2">
        <v>11.8</v>
      </c>
      <c r="E1128" s="2" t="s">
        <v>1128</v>
      </c>
      <c r="F1128" s="2">
        <v>11.8</v>
      </c>
    </row>
    <row r="1129" spans="1:6" x14ac:dyDescent="0.25">
      <c r="A1129" s="1">
        <v>46117</v>
      </c>
      <c r="B1129" s="2">
        <v>71</v>
      </c>
      <c r="C1129" s="2">
        <v>46</v>
      </c>
      <c r="D1129" s="2">
        <v>4.3</v>
      </c>
      <c r="E1129" s="2" t="s">
        <v>1129</v>
      </c>
      <c r="F1129" s="2">
        <v>4.3</v>
      </c>
    </row>
    <row r="1130" spans="1:6" x14ac:dyDescent="0.25">
      <c r="A1130" s="1">
        <v>46118</v>
      </c>
      <c r="B1130" s="2">
        <v>72</v>
      </c>
      <c r="C1130" s="2">
        <v>46</v>
      </c>
      <c r="D1130" s="2">
        <v>1.9</v>
      </c>
      <c r="E1130" s="2" t="s">
        <v>1130</v>
      </c>
      <c r="F1130" s="2">
        <v>1.9</v>
      </c>
    </row>
    <row r="1131" spans="1:6" x14ac:dyDescent="0.25">
      <c r="A1131" s="1">
        <v>46119</v>
      </c>
      <c r="B1131" s="2">
        <v>73</v>
      </c>
      <c r="C1131" s="2">
        <v>46</v>
      </c>
      <c r="D1131" s="2">
        <v>0.92</v>
      </c>
      <c r="E1131" s="2" t="s">
        <v>1131</v>
      </c>
      <c r="F1131" s="2">
        <v>0.92</v>
      </c>
    </row>
    <row r="1132" spans="1:6" x14ac:dyDescent="0.25">
      <c r="A1132" s="1">
        <v>46120</v>
      </c>
      <c r="B1132" s="2">
        <v>74</v>
      </c>
      <c r="C1132" s="2">
        <v>46</v>
      </c>
      <c r="D1132" s="2">
        <v>0.49199999999999999</v>
      </c>
      <c r="E1132" s="2" t="s">
        <v>1132</v>
      </c>
      <c r="F1132" s="2">
        <v>0.49199999999999999</v>
      </c>
    </row>
    <row r="1133" spans="1:6" x14ac:dyDescent="0.25">
      <c r="A1133" s="1">
        <v>46121</v>
      </c>
      <c r="B1133" s="2">
        <v>75</v>
      </c>
      <c r="C1133" s="2">
        <v>46</v>
      </c>
      <c r="D1133" s="2">
        <v>0.28499999999999998</v>
      </c>
      <c r="E1133" s="2" t="s">
        <v>1133</v>
      </c>
      <c r="F1133" s="2">
        <v>0.28499999999999998</v>
      </c>
    </row>
    <row r="1134" spans="1:6" x14ac:dyDescent="0.25">
      <c r="A1134" s="1">
        <v>46122</v>
      </c>
      <c r="B1134" s="2">
        <v>76</v>
      </c>
      <c r="C1134" s="2">
        <v>46</v>
      </c>
      <c r="D1134" s="2">
        <v>0.17499999999999999</v>
      </c>
      <c r="E1134" s="2" t="s">
        <v>1134</v>
      </c>
      <c r="F1134" s="2">
        <v>0.17499999999999999</v>
      </c>
    </row>
    <row r="1135" spans="1:6" x14ac:dyDescent="0.25">
      <c r="A1135" s="1">
        <v>46123</v>
      </c>
      <c r="B1135" s="2">
        <v>77</v>
      </c>
      <c r="C1135" s="2">
        <v>46</v>
      </c>
      <c r="D1135" s="2">
        <v>0.108</v>
      </c>
      <c r="E1135" s="2" t="s">
        <v>1135</v>
      </c>
      <c r="F1135" s="2">
        <v>0.108</v>
      </c>
    </row>
    <row r="1136" spans="1:6" x14ac:dyDescent="0.25">
      <c r="A1136" s="1">
        <v>46124</v>
      </c>
      <c r="B1136" s="2">
        <v>78</v>
      </c>
      <c r="C1136" s="2">
        <v>46</v>
      </c>
      <c r="D1136" s="2">
        <v>3.7999999999999999E-2</v>
      </c>
      <c r="E1136" s="2" t="s">
        <v>1136</v>
      </c>
      <c r="F1136" s="2">
        <v>3.7999999999999999E-2</v>
      </c>
    </row>
    <row r="1137" spans="1:6" x14ac:dyDescent="0.25">
      <c r="A1137" s="1">
        <v>46125</v>
      </c>
      <c r="B1137" s="2">
        <v>79</v>
      </c>
      <c r="C1137" s="2">
        <v>46</v>
      </c>
      <c r="D1137" s="2">
        <v>5.7000000000000002E-2</v>
      </c>
      <c r="E1137" s="2" t="s">
        <v>1137</v>
      </c>
      <c r="F1137" s="2">
        <v>5.7000000000000002E-2</v>
      </c>
    </row>
    <row r="1138" spans="1:6" x14ac:dyDescent="0.25">
      <c r="A1138" s="1">
        <v>46126</v>
      </c>
      <c r="B1138" s="2">
        <v>80</v>
      </c>
      <c r="C1138" s="2">
        <v>46</v>
      </c>
      <c r="D1138" s="2">
        <v>4.8599999999999997E-2</v>
      </c>
      <c r="E1138" s="2" t="s">
        <v>1138</v>
      </c>
      <c r="F1138" s="2">
        <v>4.8599999999999997E-2</v>
      </c>
    </row>
    <row r="1139" spans="1:6" x14ac:dyDescent="0.25">
      <c r="A1139" s="1">
        <v>46127</v>
      </c>
      <c r="B1139" s="2">
        <v>81</v>
      </c>
      <c r="C1139" s="2">
        <v>46</v>
      </c>
      <c r="D1139" s="2">
        <v>3.7999999999999999E-2</v>
      </c>
      <c r="E1139" s="2" t="s">
        <v>1139</v>
      </c>
      <c r="F1139" s="2">
        <v>3.7999999999999999E-2</v>
      </c>
    </row>
    <row r="1140" spans="1:6" x14ac:dyDescent="0.25">
      <c r="A1140" s="1">
        <v>46128</v>
      </c>
      <c r="B1140" s="2">
        <v>82</v>
      </c>
      <c r="C1140" s="2">
        <v>46</v>
      </c>
      <c r="D1140" s="2">
        <v>3.5000000000000003E-2</v>
      </c>
      <c r="E1140" s="2" t="s">
        <v>1140</v>
      </c>
      <c r="F1140" s="2">
        <v>3.5000000000000003E-2</v>
      </c>
    </row>
    <row r="1141" spans="1:6" x14ac:dyDescent="0.25">
      <c r="A1141" s="1">
        <v>47094</v>
      </c>
      <c r="B1141" s="2">
        <v>47</v>
      </c>
      <c r="C1141" s="2">
        <v>47</v>
      </c>
      <c r="D1141" s="2">
        <v>2.5999999999999999E-2</v>
      </c>
      <c r="E1141" s="2" t="s">
        <v>1141</v>
      </c>
      <c r="F1141" s="2">
        <v>2.5999999999999999E-2</v>
      </c>
    </row>
    <row r="1142" spans="1:6" x14ac:dyDescent="0.25">
      <c r="A1142" s="1">
        <v>47095</v>
      </c>
      <c r="B1142" s="2">
        <v>48</v>
      </c>
      <c r="C1142" s="2">
        <v>47</v>
      </c>
      <c r="D1142" s="2">
        <v>1.75</v>
      </c>
      <c r="E1142" s="2" t="s">
        <v>1142</v>
      </c>
      <c r="F1142" s="2">
        <v>1.75</v>
      </c>
    </row>
    <row r="1143" spans="1:6" x14ac:dyDescent="0.25">
      <c r="A1143" s="1">
        <v>47096</v>
      </c>
      <c r="B1143" s="2">
        <v>49</v>
      </c>
      <c r="C1143" s="2">
        <v>47</v>
      </c>
      <c r="D1143" s="2">
        <v>4.4000000000000004</v>
      </c>
      <c r="E1143" s="2" t="s">
        <v>1143</v>
      </c>
      <c r="F1143" s="2">
        <v>4.4000000000000004</v>
      </c>
    </row>
    <row r="1144" spans="1:6" x14ac:dyDescent="0.25">
      <c r="A1144" s="1">
        <v>47097</v>
      </c>
      <c r="B1144" s="2">
        <v>50</v>
      </c>
      <c r="C1144" s="2">
        <v>47</v>
      </c>
      <c r="D1144" s="2">
        <v>25.5</v>
      </c>
      <c r="E1144" s="2" t="s">
        <v>1144</v>
      </c>
      <c r="F1144" s="2">
        <v>25.5</v>
      </c>
    </row>
    <row r="1145" spans="1:6" x14ac:dyDescent="0.25">
      <c r="A1145" s="1">
        <v>47098</v>
      </c>
      <c r="B1145" s="2">
        <v>51</v>
      </c>
      <c r="C1145" s="2">
        <v>47</v>
      </c>
      <c r="D1145" s="2">
        <v>47.5</v>
      </c>
      <c r="E1145" s="2" t="s">
        <v>1145</v>
      </c>
      <c r="F1145" s="2">
        <v>47.5</v>
      </c>
    </row>
    <row r="1146" spans="1:6" x14ac:dyDescent="0.25">
      <c r="A1146" s="1">
        <v>47099</v>
      </c>
      <c r="B1146" s="2">
        <v>52</v>
      </c>
      <c r="C1146" s="2">
        <v>47</v>
      </c>
      <c r="D1146" s="2">
        <v>124</v>
      </c>
      <c r="E1146" s="2" t="s">
        <v>1146</v>
      </c>
      <c r="F1146" s="2">
        <v>124</v>
      </c>
    </row>
    <row r="1147" spans="1:6" x14ac:dyDescent="0.25">
      <c r="A1147" s="1">
        <v>47100</v>
      </c>
      <c r="B1147" s="2">
        <v>53</v>
      </c>
      <c r="C1147" s="2">
        <v>47</v>
      </c>
      <c r="D1147" s="2">
        <v>120.6</v>
      </c>
      <c r="E1147" s="2" t="s">
        <v>1147</v>
      </c>
      <c r="F1147" s="2">
        <v>120.6</v>
      </c>
    </row>
    <row r="1148" spans="1:6" x14ac:dyDescent="0.25">
      <c r="A1148" s="1">
        <v>47101</v>
      </c>
      <c r="B1148" s="2">
        <v>54</v>
      </c>
      <c r="C1148" s="2">
        <v>47</v>
      </c>
      <c r="D1148" s="2">
        <v>666</v>
      </c>
      <c r="E1148" s="2" t="s">
        <v>1148</v>
      </c>
      <c r="F1148" s="2">
        <v>666</v>
      </c>
    </row>
    <row r="1149" spans="1:6" x14ac:dyDescent="0.25">
      <c r="A1149" s="1">
        <v>47102</v>
      </c>
      <c r="B1149" s="2">
        <v>55</v>
      </c>
      <c r="C1149" s="2">
        <v>47</v>
      </c>
      <c r="D1149" s="2">
        <v>774</v>
      </c>
      <c r="E1149" s="2" t="s">
        <v>1149</v>
      </c>
      <c r="F1149" s="2">
        <v>774</v>
      </c>
    </row>
    <row r="1150" spans="1:6" x14ac:dyDescent="0.25">
      <c r="A1150" s="1">
        <v>47103</v>
      </c>
      <c r="B1150" s="2">
        <v>56</v>
      </c>
      <c r="C1150" s="2">
        <v>47</v>
      </c>
      <c r="D1150" s="2">
        <v>3942</v>
      </c>
      <c r="E1150" s="2" t="s">
        <v>1150</v>
      </c>
      <c r="F1150" s="2">
        <v>3942</v>
      </c>
    </row>
    <row r="1151" spans="1:6" x14ac:dyDescent="0.25">
      <c r="A1151" s="1">
        <v>47104</v>
      </c>
      <c r="B1151" s="2">
        <v>57</v>
      </c>
      <c r="C1151" s="2">
        <v>47</v>
      </c>
      <c r="D1151" s="2">
        <v>4152</v>
      </c>
      <c r="E1151" s="2" t="s">
        <v>1151</v>
      </c>
      <c r="F1151" s="2">
        <v>4152</v>
      </c>
    </row>
    <row r="1152" spans="1:6" x14ac:dyDescent="0.25">
      <c r="A1152" s="1">
        <v>47105</v>
      </c>
      <c r="B1152" s="2">
        <v>58</v>
      </c>
      <c r="C1152" s="2">
        <v>47</v>
      </c>
      <c r="D1152" s="2">
        <v>3567456</v>
      </c>
      <c r="E1152" s="2" t="s">
        <v>1152</v>
      </c>
      <c r="F1152" s="2">
        <v>3567456</v>
      </c>
    </row>
    <row r="1153" spans="1:6" x14ac:dyDescent="0.25">
      <c r="A1153" s="1">
        <v>47106</v>
      </c>
      <c r="B1153" s="2">
        <v>59</v>
      </c>
      <c r="C1153" s="2">
        <v>47</v>
      </c>
      <c r="D1153" s="2">
        <v>1437.6</v>
      </c>
      <c r="E1153" s="2" t="s">
        <v>1153</v>
      </c>
      <c r="F1153" s="2">
        <v>1437.6</v>
      </c>
    </row>
    <row r="1154" spans="1:6" x14ac:dyDescent="0.25">
      <c r="A1154" s="1">
        <v>47107</v>
      </c>
      <c r="B1154" s="2">
        <v>60</v>
      </c>
      <c r="C1154" s="2">
        <v>47</v>
      </c>
      <c r="D1154" s="2" t="s">
        <v>3</v>
      </c>
      <c r="E1154" s="2" t="s">
        <v>1154</v>
      </c>
      <c r="F1154" s="2" t="s">
        <v>3</v>
      </c>
    </row>
    <row r="1155" spans="1:6" x14ac:dyDescent="0.25">
      <c r="A1155" s="1">
        <v>47108</v>
      </c>
      <c r="B1155" s="2">
        <v>61</v>
      </c>
      <c r="C1155" s="2">
        <v>47</v>
      </c>
      <c r="D1155" s="2">
        <v>142.91999999999999</v>
      </c>
      <c r="E1155" s="2" t="s">
        <v>1155</v>
      </c>
      <c r="F1155" s="2">
        <v>142.91999999999999</v>
      </c>
    </row>
    <row r="1156" spans="1:6" x14ac:dyDescent="0.25">
      <c r="A1156" s="1">
        <v>47109</v>
      </c>
      <c r="B1156" s="2">
        <v>62</v>
      </c>
      <c r="C1156" s="2">
        <v>47</v>
      </c>
      <c r="D1156" s="2" t="s">
        <v>3</v>
      </c>
      <c r="E1156" s="2" t="s">
        <v>1156</v>
      </c>
      <c r="F1156" s="2" t="s">
        <v>3</v>
      </c>
    </row>
    <row r="1157" spans="1:6" x14ac:dyDescent="0.25">
      <c r="A1157" s="1">
        <v>47110</v>
      </c>
      <c r="B1157" s="2">
        <v>63</v>
      </c>
      <c r="C1157" s="2">
        <v>47</v>
      </c>
      <c r="D1157" s="2">
        <v>24.6</v>
      </c>
      <c r="E1157" s="2" t="s">
        <v>1157</v>
      </c>
      <c r="F1157" s="2">
        <v>24.6</v>
      </c>
    </row>
    <row r="1158" spans="1:6" x14ac:dyDescent="0.25">
      <c r="A1158" s="1">
        <v>47111</v>
      </c>
      <c r="B1158" s="2">
        <v>64</v>
      </c>
      <c r="C1158" s="2">
        <v>47</v>
      </c>
      <c r="D1158" s="2">
        <v>643680</v>
      </c>
      <c r="E1158" s="2" t="s">
        <v>1158</v>
      </c>
      <c r="F1158" s="2">
        <v>643680</v>
      </c>
    </row>
    <row r="1159" spans="1:6" x14ac:dyDescent="0.25">
      <c r="A1159" s="1">
        <v>47112</v>
      </c>
      <c r="B1159" s="2">
        <v>65</v>
      </c>
      <c r="C1159" s="2">
        <v>47</v>
      </c>
      <c r="D1159" s="2">
        <v>11268</v>
      </c>
      <c r="E1159" s="2" t="s">
        <v>1159</v>
      </c>
      <c r="F1159" s="2">
        <v>11268</v>
      </c>
    </row>
    <row r="1160" spans="1:6" x14ac:dyDescent="0.25">
      <c r="A1160" s="1">
        <v>47113</v>
      </c>
      <c r="B1160" s="2">
        <v>66</v>
      </c>
      <c r="C1160" s="2">
        <v>47</v>
      </c>
      <c r="D1160" s="2">
        <v>19332</v>
      </c>
      <c r="E1160" s="2" t="s">
        <v>1160</v>
      </c>
      <c r="F1160" s="2">
        <v>19332</v>
      </c>
    </row>
    <row r="1161" spans="1:6" x14ac:dyDescent="0.25">
      <c r="A1161" s="1">
        <v>47114</v>
      </c>
      <c r="B1161" s="2">
        <v>67</v>
      </c>
      <c r="C1161" s="2">
        <v>47</v>
      </c>
      <c r="D1161" s="2">
        <v>4.5999999999999996</v>
      </c>
      <c r="E1161" s="2" t="s">
        <v>1161</v>
      </c>
      <c r="F1161" s="2">
        <v>4.5999999999999996</v>
      </c>
    </row>
    <row r="1162" spans="1:6" x14ac:dyDescent="0.25">
      <c r="A1162" s="1">
        <v>47115</v>
      </c>
      <c r="B1162" s="2">
        <v>68</v>
      </c>
      <c r="C1162" s="2">
        <v>47</v>
      </c>
      <c r="D1162" s="2">
        <v>1200</v>
      </c>
      <c r="E1162" s="2" t="s">
        <v>1162</v>
      </c>
      <c r="F1162" s="2">
        <v>1200</v>
      </c>
    </row>
    <row r="1163" spans="1:6" x14ac:dyDescent="0.25">
      <c r="A1163" s="1">
        <v>47116</v>
      </c>
      <c r="B1163" s="2">
        <v>69</v>
      </c>
      <c r="C1163" s="2">
        <v>47</v>
      </c>
      <c r="D1163" s="2">
        <v>237</v>
      </c>
      <c r="E1163" s="2" t="s">
        <v>1163</v>
      </c>
      <c r="F1163" s="2">
        <v>237</v>
      </c>
    </row>
    <row r="1164" spans="1:6" x14ac:dyDescent="0.25">
      <c r="A1164" s="1">
        <v>47117</v>
      </c>
      <c r="B1164" s="2">
        <v>70</v>
      </c>
      <c r="C1164" s="2">
        <v>47</v>
      </c>
      <c r="D1164" s="2">
        <v>72.8</v>
      </c>
      <c r="E1164" s="2" t="s">
        <v>1164</v>
      </c>
      <c r="F1164" s="2">
        <v>72.8</v>
      </c>
    </row>
    <row r="1165" spans="1:6" x14ac:dyDescent="0.25">
      <c r="A1165" s="1">
        <v>47118</v>
      </c>
      <c r="B1165" s="2">
        <v>71</v>
      </c>
      <c r="C1165" s="2">
        <v>47</v>
      </c>
      <c r="D1165" s="2">
        <v>3.76</v>
      </c>
      <c r="E1165" s="2" t="s">
        <v>1165</v>
      </c>
      <c r="F1165" s="2">
        <v>3.76</v>
      </c>
    </row>
    <row r="1166" spans="1:6" x14ac:dyDescent="0.25">
      <c r="A1166" s="1">
        <v>47119</v>
      </c>
      <c r="B1166" s="2">
        <v>72</v>
      </c>
      <c r="C1166" s="2">
        <v>47</v>
      </c>
      <c r="D1166" s="2">
        <v>6</v>
      </c>
      <c r="E1166" s="2" t="s">
        <v>1166</v>
      </c>
      <c r="F1166" s="2">
        <v>6</v>
      </c>
    </row>
    <row r="1167" spans="1:6" x14ac:dyDescent="0.25">
      <c r="A1167" s="1">
        <v>47120</v>
      </c>
      <c r="B1167" s="2">
        <v>73</v>
      </c>
      <c r="C1167" s="2">
        <v>47</v>
      </c>
      <c r="D1167" s="2">
        <v>1.23</v>
      </c>
      <c r="E1167" s="2" t="s">
        <v>1167</v>
      </c>
      <c r="F1167" s="2">
        <v>1.23</v>
      </c>
    </row>
    <row r="1168" spans="1:6" x14ac:dyDescent="0.25">
      <c r="A1168" s="1">
        <v>47121</v>
      </c>
      <c r="B1168" s="2">
        <v>74</v>
      </c>
      <c r="C1168" s="2">
        <v>47</v>
      </c>
      <c r="D1168" s="2">
        <v>0.78</v>
      </c>
      <c r="E1168" s="2" t="s">
        <v>1168</v>
      </c>
      <c r="F1168" s="2">
        <v>0.78</v>
      </c>
    </row>
    <row r="1169" spans="1:6" x14ac:dyDescent="0.25">
      <c r="A1169" s="1">
        <v>47122</v>
      </c>
      <c r="B1169" s="2">
        <v>75</v>
      </c>
      <c r="C1169" s="2">
        <v>47</v>
      </c>
      <c r="D1169" s="2">
        <v>0.52900000000000003</v>
      </c>
      <c r="E1169" s="2" t="s">
        <v>1169</v>
      </c>
      <c r="F1169" s="2">
        <v>0.52900000000000003</v>
      </c>
    </row>
    <row r="1170" spans="1:6" x14ac:dyDescent="0.25">
      <c r="A1170" s="1">
        <v>47123</v>
      </c>
      <c r="B1170" s="2">
        <v>76</v>
      </c>
      <c r="C1170" s="2">
        <v>47</v>
      </c>
      <c r="D1170" s="2">
        <v>0.3</v>
      </c>
      <c r="E1170" s="2" t="s">
        <v>1170</v>
      </c>
      <c r="F1170" s="2">
        <v>0.3</v>
      </c>
    </row>
    <row r="1171" spans="1:6" x14ac:dyDescent="0.25">
      <c r="A1171" s="1">
        <v>47124</v>
      </c>
      <c r="B1171" s="2">
        <v>77</v>
      </c>
      <c r="C1171" s="2">
        <v>47</v>
      </c>
      <c r="D1171" s="2">
        <v>0.191</v>
      </c>
      <c r="E1171" s="2" t="s">
        <v>1171</v>
      </c>
      <c r="F1171" s="2">
        <v>0.191</v>
      </c>
    </row>
    <row r="1172" spans="1:6" x14ac:dyDescent="0.25">
      <c r="A1172" s="1">
        <v>47125</v>
      </c>
      <c r="B1172" s="2">
        <v>78</v>
      </c>
      <c r="C1172" s="2">
        <v>47</v>
      </c>
      <c r="D1172" s="2">
        <v>0.159</v>
      </c>
      <c r="E1172" s="2" t="s">
        <v>1172</v>
      </c>
      <c r="F1172" s="2">
        <v>0.159</v>
      </c>
    </row>
    <row r="1173" spans="1:6" x14ac:dyDescent="0.25">
      <c r="A1173" s="1">
        <v>47126</v>
      </c>
      <c r="B1173" s="2">
        <v>79</v>
      </c>
      <c r="C1173" s="2">
        <v>47</v>
      </c>
      <c r="D1173" s="2">
        <v>5.1999999999999998E-2</v>
      </c>
      <c r="E1173" s="2" t="s">
        <v>1173</v>
      </c>
      <c r="F1173" s="2">
        <v>5.1999999999999998E-2</v>
      </c>
    </row>
    <row r="1174" spans="1:6" x14ac:dyDescent="0.25">
      <c r="A1174" s="1">
        <v>47127</v>
      </c>
      <c r="B1174" s="2">
        <v>80</v>
      </c>
      <c r="C1174" s="2">
        <v>47</v>
      </c>
      <c r="D1174" s="2">
        <v>0.109</v>
      </c>
      <c r="E1174" s="2" t="s">
        <v>1174</v>
      </c>
      <c r="F1174" s="2">
        <v>0.109</v>
      </c>
    </row>
    <row r="1175" spans="1:6" x14ac:dyDescent="0.25">
      <c r="A1175" s="1">
        <v>47128</v>
      </c>
      <c r="B1175" s="2">
        <v>81</v>
      </c>
      <c r="C1175" s="2">
        <v>47</v>
      </c>
      <c r="D1175" s="2">
        <v>5.8000000000000003E-2</v>
      </c>
      <c r="E1175" s="2" t="s">
        <v>1175</v>
      </c>
      <c r="F1175" s="2">
        <v>5.8000000000000003E-2</v>
      </c>
    </row>
    <row r="1176" spans="1:6" x14ac:dyDescent="0.25">
      <c r="A1176" s="1">
        <v>47129</v>
      </c>
      <c r="B1176" s="2">
        <v>82</v>
      </c>
      <c r="C1176" s="2">
        <v>47</v>
      </c>
      <c r="D1176" s="2">
        <v>4.5999999999999999E-2</v>
      </c>
      <c r="E1176" s="2" t="s">
        <v>1176</v>
      </c>
      <c r="F1176" s="2">
        <v>4.5999999999999999E-2</v>
      </c>
    </row>
    <row r="1177" spans="1:6" x14ac:dyDescent="0.25">
      <c r="A1177" s="1">
        <v>47130</v>
      </c>
      <c r="B1177" s="2">
        <v>83</v>
      </c>
      <c r="C1177" s="2">
        <v>47</v>
      </c>
      <c r="D1177" s="2">
        <v>4.2000000000000003E-2</v>
      </c>
      <c r="E1177" s="2" t="s">
        <v>1177</v>
      </c>
      <c r="F1177" s="2">
        <v>4.2000000000000003E-2</v>
      </c>
    </row>
    <row r="1178" spans="1:6" x14ac:dyDescent="0.25">
      <c r="A1178" s="1">
        <v>47131</v>
      </c>
      <c r="B1178" s="2">
        <v>84</v>
      </c>
      <c r="C1178" s="2">
        <v>47</v>
      </c>
      <c r="D1178" s="2">
        <v>3.5000000000000003E-2</v>
      </c>
      <c r="E1178" s="2" t="s">
        <v>1178</v>
      </c>
      <c r="F1178" s="2">
        <v>3.5000000000000003E-2</v>
      </c>
    </row>
    <row r="1179" spans="1:6" x14ac:dyDescent="0.25">
      <c r="A1179" s="1">
        <v>47132</v>
      </c>
      <c r="B1179" s="2">
        <v>85</v>
      </c>
      <c r="C1179" s="2">
        <v>47</v>
      </c>
      <c r="D1179" s="2">
        <v>2.8000000000000001E-2</v>
      </c>
      <c r="E1179" s="2" t="s">
        <v>1179</v>
      </c>
      <c r="F1179" s="2">
        <v>2.8000000000000001E-2</v>
      </c>
    </row>
    <row r="1180" spans="1:6" x14ac:dyDescent="0.25">
      <c r="A1180" s="1">
        <v>48096</v>
      </c>
      <c r="B1180" s="2">
        <v>48</v>
      </c>
      <c r="C1180" s="2">
        <v>48</v>
      </c>
      <c r="D1180" s="2">
        <v>1.03</v>
      </c>
      <c r="E1180" s="2" t="s">
        <v>1180</v>
      </c>
      <c r="F1180" s="2">
        <v>1.03</v>
      </c>
    </row>
    <row r="1181" spans="1:6" x14ac:dyDescent="0.25">
      <c r="A1181" s="1">
        <v>48097</v>
      </c>
      <c r="B1181" s="2">
        <v>49</v>
      </c>
      <c r="C1181" s="2">
        <v>48</v>
      </c>
      <c r="D1181" s="2">
        <v>1.1000000000000001</v>
      </c>
      <c r="E1181" s="2" t="s">
        <v>1181</v>
      </c>
      <c r="F1181" s="2">
        <v>1.1000000000000001</v>
      </c>
    </row>
    <row r="1182" spans="1:6" x14ac:dyDescent="0.25">
      <c r="A1182" s="1">
        <v>48098</v>
      </c>
      <c r="B1182" s="2">
        <v>50</v>
      </c>
      <c r="C1182" s="2">
        <v>48</v>
      </c>
      <c r="D1182" s="2">
        <v>9.1999999999999993</v>
      </c>
      <c r="E1182" s="2" t="s">
        <v>1182</v>
      </c>
      <c r="F1182" s="2">
        <v>9.1999999999999993</v>
      </c>
    </row>
    <row r="1183" spans="1:6" x14ac:dyDescent="0.25">
      <c r="A1183" s="1">
        <v>48099</v>
      </c>
      <c r="B1183" s="2">
        <v>51</v>
      </c>
      <c r="C1183" s="2">
        <v>48</v>
      </c>
      <c r="D1183" s="2">
        <v>16</v>
      </c>
      <c r="E1183" s="2" t="s">
        <v>1183</v>
      </c>
      <c r="F1183" s="2">
        <v>16</v>
      </c>
    </row>
    <row r="1184" spans="1:6" x14ac:dyDescent="0.25">
      <c r="A1184" s="1">
        <v>48100</v>
      </c>
      <c r="B1184" s="2">
        <v>52</v>
      </c>
      <c r="C1184" s="2">
        <v>48</v>
      </c>
      <c r="D1184" s="2">
        <v>49.1</v>
      </c>
      <c r="E1184" s="2" t="s">
        <v>1184</v>
      </c>
      <c r="F1184" s="2">
        <v>49.1</v>
      </c>
    </row>
    <row r="1185" spans="1:6" x14ac:dyDescent="0.25">
      <c r="A1185" s="1">
        <v>48101</v>
      </c>
      <c r="B1185" s="2">
        <v>53</v>
      </c>
      <c r="C1185" s="2">
        <v>48</v>
      </c>
      <c r="D1185" s="2">
        <v>81.599999999999994</v>
      </c>
      <c r="E1185" s="2" t="s">
        <v>1185</v>
      </c>
      <c r="F1185" s="2">
        <v>81.599999999999994</v>
      </c>
    </row>
    <row r="1186" spans="1:6" x14ac:dyDescent="0.25">
      <c r="A1186" s="1">
        <v>48102</v>
      </c>
      <c r="B1186" s="2">
        <v>54</v>
      </c>
      <c r="C1186" s="2">
        <v>48</v>
      </c>
      <c r="D1186" s="2">
        <v>330</v>
      </c>
      <c r="E1186" s="2" t="s">
        <v>1186</v>
      </c>
      <c r="F1186" s="2">
        <v>330</v>
      </c>
    </row>
    <row r="1187" spans="1:6" x14ac:dyDescent="0.25">
      <c r="A1187" s="1">
        <v>48103</v>
      </c>
      <c r="B1187" s="2">
        <v>55</v>
      </c>
      <c r="C1187" s="2">
        <v>48</v>
      </c>
      <c r="D1187" s="2">
        <v>438</v>
      </c>
      <c r="E1187" s="2" t="s">
        <v>1187</v>
      </c>
      <c r="F1187" s="2">
        <v>438</v>
      </c>
    </row>
    <row r="1188" spans="1:6" x14ac:dyDescent="0.25">
      <c r="A1188" s="1">
        <v>48104</v>
      </c>
      <c r="B1188" s="2">
        <v>56</v>
      </c>
      <c r="C1188" s="2">
        <v>48</v>
      </c>
      <c r="D1188" s="2">
        <v>3462</v>
      </c>
      <c r="E1188" s="2" t="s">
        <v>1188</v>
      </c>
      <c r="F1188" s="2">
        <v>3462</v>
      </c>
    </row>
    <row r="1189" spans="1:6" x14ac:dyDescent="0.25">
      <c r="A1189" s="1">
        <v>48105</v>
      </c>
      <c r="B1189" s="2">
        <v>57</v>
      </c>
      <c r="C1189" s="2">
        <v>48</v>
      </c>
      <c r="D1189" s="2">
        <v>3330</v>
      </c>
      <c r="E1189" s="2" t="s">
        <v>1189</v>
      </c>
      <c r="F1189" s="2">
        <v>3330</v>
      </c>
    </row>
    <row r="1190" spans="1:6" x14ac:dyDescent="0.25">
      <c r="A1190" s="1">
        <v>48106</v>
      </c>
      <c r="B1190" s="2">
        <v>58</v>
      </c>
      <c r="C1190" s="2">
        <v>48</v>
      </c>
      <c r="D1190" s="2">
        <v>1.1360736E+28</v>
      </c>
      <c r="E1190" s="2" t="s">
        <v>1190</v>
      </c>
      <c r="F1190" s="2">
        <v>1.1360736E+28</v>
      </c>
    </row>
    <row r="1191" spans="1:6" x14ac:dyDescent="0.25">
      <c r="A1191" s="1">
        <v>48107</v>
      </c>
      <c r="B1191" s="2">
        <v>59</v>
      </c>
      <c r="C1191" s="2">
        <v>48</v>
      </c>
      <c r="D1191" s="2">
        <v>23400</v>
      </c>
      <c r="E1191" s="2" t="s">
        <v>1191</v>
      </c>
      <c r="F1191" s="2">
        <v>23400</v>
      </c>
    </row>
    <row r="1192" spans="1:6" x14ac:dyDescent="0.25">
      <c r="A1192" s="1">
        <v>48108</v>
      </c>
      <c r="B1192" s="2">
        <v>60</v>
      </c>
      <c r="C1192" s="2">
        <v>48</v>
      </c>
      <c r="D1192" s="2">
        <v>5.9959439999999997E+25</v>
      </c>
      <c r="E1192" s="2" t="s">
        <v>1192</v>
      </c>
      <c r="F1192" s="2">
        <v>5.9959439999999997E+25</v>
      </c>
    </row>
    <row r="1193" spans="1:6" x14ac:dyDescent="0.25">
      <c r="A1193" s="1">
        <v>48109</v>
      </c>
      <c r="B1193" s="2">
        <v>61</v>
      </c>
      <c r="C1193" s="2">
        <v>48</v>
      </c>
      <c r="D1193" s="2">
        <v>39864960</v>
      </c>
      <c r="E1193" s="2" t="s">
        <v>1193</v>
      </c>
      <c r="F1193" s="2">
        <v>39864960</v>
      </c>
    </row>
    <row r="1194" spans="1:6" x14ac:dyDescent="0.25">
      <c r="A1194" s="1">
        <v>48110</v>
      </c>
      <c r="B1194" s="2">
        <v>62</v>
      </c>
      <c r="C1194" s="2">
        <v>48</v>
      </c>
      <c r="D1194" s="2" t="s">
        <v>3</v>
      </c>
      <c r="E1194" s="2" t="s">
        <v>1194</v>
      </c>
      <c r="F1194" s="2" t="s">
        <v>3</v>
      </c>
    </row>
    <row r="1195" spans="1:6" x14ac:dyDescent="0.25">
      <c r="A1195" s="1">
        <v>48111</v>
      </c>
      <c r="B1195" s="2">
        <v>63</v>
      </c>
      <c r="C1195" s="2">
        <v>48</v>
      </c>
      <c r="D1195" s="2" t="s">
        <v>3</v>
      </c>
      <c r="E1195" s="2" t="s">
        <v>1195</v>
      </c>
      <c r="F1195" s="2" t="s">
        <v>3</v>
      </c>
    </row>
    <row r="1196" spans="1:6" x14ac:dyDescent="0.25">
      <c r="A1196" s="1">
        <v>48112</v>
      </c>
      <c r="B1196" s="2">
        <v>64</v>
      </c>
      <c r="C1196" s="2">
        <v>48</v>
      </c>
      <c r="D1196" s="2" t="s">
        <v>3</v>
      </c>
      <c r="E1196" s="2" t="s">
        <v>1196</v>
      </c>
      <c r="F1196" s="2" t="s">
        <v>3</v>
      </c>
    </row>
    <row r="1197" spans="1:6" x14ac:dyDescent="0.25">
      <c r="A1197" s="1">
        <v>48113</v>
      </c>
      <c r="B1197" s="2">
        <v>65</v>
      </c>
      <c r="C1197" s="2">
        <v>48</v>
      </c>
      <c r="D1197" s="2">
        <v>2.5246080000000001E+23</v>
      </c>
      <c r="E1197" s="2" t="s">
        <v>1197</v>
      </c>
      <c r="F1197" s="2">
        <v>2.5246080000000001E+23</v>
      </c>
    </row>
    <row r="1198" spans="1:6" x14ac:dyDescent="0.25">
      <c r="A1198" s="1">
        <v>48114</v>
      </c>
      <c r="B1198" s="2">
        <v>66</v>
      </c>
      <c r="C1198" s="2">
        <v>48</v>
      </c>
      <c r="D1198" s="2">
        <v>6.627096E+25</v>
      </c>
      <c r="E1198" s="2" t="s">
        <v>1198</v>
      </c>
      <c r="F1198" s="2">
        <v>6.627096E+25</v>
      </c>
    </row>
    <row r="1199" spans="1:6" x14ac:dyDescent="0.25">
      <c r="A1199" s="1">
        <v>48115</v>
      </c>
      <c r="B1199" s="2">
        <v>67</v>
      </c>
      <c r="C1199" s="2">
        <v>48</v>
      </c>
      <c r="D1199" s="2">
        <v>192456</v>
      </c>
      <c r="E1199" s="2" t="s">
        <v>1199</v>
      </c>
      <c r="F1199" s="2">
        <v>192456</v>
      </c>
    </row>
    <row r="1200" spans="1:6" x14ac:dyDescent="0.25">
      <c r="A1200" s="1">
        <v>48116</v>
      </c>
      <c r="B1200" s="2">
        <v>68</v>
      </c>
      <c r="C1200" s="2">
        <v>48</v>
      </c>
      <c r="D1200" s="2">
        <v>1.0414008E+27</v>
      </c>
      <c r="E1200" s="2" t="s">
        <v>1200</v>
      </c>
      <c r="F1200" s="2">
        <v>1.0414008E+27</v>
      </c>
    </row>
    <row r="1201" spans="1:6" x14ac:dyDescent="0.25">
      <c r="A1201" s="1">
        <v>48117</v>
      </c>
      <c r="B1201" s="2">
        <v>69</v>
      </c>
      <c r="C1201" s="2">
        <v>48</v>
      </c>
      <c r="D1201" s="2">
        <v>8964</v>
      </c>
      <c r="E1201" s="2" t="s">
        <v>1201</v>
      </c>
      <c r="F1201" s="2">
        <v>8964</v>
      </c>
    </row>
    <row r="1202" spans="1:6" x14ac:dyDescent="0.25">
      <c r="A1202" s="1">
        <v>48118</v>
      </c>
      <c r="B1202" s="2">
        <v>70</v>
      </c>
      <c r="C1202" s="2">
        <v>48</v>
      </c>
      <c r="D1202" s="2">
        <v>3018</v>
      </c>
      <c r="E1202" s="2" t="s">
        <v>1202</v>
      </c>
      <c r="F1202" s="2">
        <v>3018</v>
      </c>
    </row>
    <row r="1203" spans="1:6" x14ac:dyDescent="0.25">
      <c r="A1203" s="1">
        <v>48119</v>
      </c>
      <c r="B1203" s="2">
        <v>71</v>
      </c>
      <c r="C1203" s="2">
        <v>48</v>
      </c>
      <c r="D1203" s="2">
        <v>161.4</v>
      </c>
      <c r="E1203" s="2" t="s">
        <v>1203</v>
      </c>
      <c r="F1203" s="2">
        <v>161.4</v>
      </c>
    </row>
    <row r="1204" spans="1:6" x14ac:dyDescent="0.25">
      <c r="A1204" s="1">
        <v>48120</v>
      </c>
      <c r="B1204" s="2">
        <v>72</v>
      </c>
      <c r="C1204" s="2">
        <v>48</v>
      </c>
      <c r="D1204" s="2">
        <v>50.8</v>
      </c>
      <c r="E1204" s="2" t="s">
        <v>1204</v>
      </c>
      <c r="F1204" s="2">
        <v>50.8</v>
      </c>
    </row>
    <row r="1205" spans="1:6" x14ac:dyDescent="0.25">
      <c r="A1205" s="1">
        <v>48121</v>
      </c>
      <c r="B1205" s="2">
        <v>73</v>
      </c>
      <c r="C1205" s="2">
        <v>48</v>
      </c>
      <c r="D1205" s="2">
        <v>13.5</v>
      </c>
      <c r="E1205" s="2" t="s">
        <v>1205</v>
      </c>
      <c r="F1205" s="2">
        <v>13.5</v>
      </c>
    </row>
    <row r="1206" spans="1:6" x14ac:dyDescent="0.25">
      <c r="A1206" s="1">
        <v>48122</v>
      </c>
      <c r="B1206" s="2">
        <v>74</v>
      </c>
      <c r="C1206" s="2">
        <v>48</v>
      </c>
      <c r="D1206" s="2">
        <v>5.24</v>
      </c>
      <c r="E1206" s="2" t="s">
        <v>1206</v>
      </c>
      <c r="F1206" s="2">
        <v>5.24</v>
      </c>
    </row>
    <row r="1207" spans="1:6" x14ac:dyDescent="0.25">
      <c r="A1207" s="1">
        <v>48123</v>
      </c>
      <c r="B1207" s="2">
        <v>75</v>
      </c>
      <c r="C1207" s="2">
        <v>48</v>
      </c>
      <c r="D1207" s="2">
        <v>2.1</v>
      </c>
      <c r="E1207" s="2" t="s">
        <v>1207</v>
      </c>
      <c r="F1207" s="2">
        <v>2.1</v>
      </c>
    </row>
    <row r="1208" spans="1:6" x14ac:dyDescent="0.25">
      <c r="A1208" s="1">
        <v>48124</v>
      </c>
      <c r="B1208" s="2">
        <v>76</v>
      </c>
      <c r="C1208" s="2">
        <v>48</v>
      </c>
      <c r="D1208" s="2">
        <v>1.25</v>
      </c>
      <c r="E1208" s="2" t="s">
        <v>1208</v>
      </c>
      <c r="F1208" s="2">
        <v>1.25</v>
      </c>
    </row>
    <row r="1209" spans="1:6" x14ac:dyDescent="0.25">
      <c r="A1209" s="1">
        <v>48125</v>
      </c>
      <c r="B1209" s="2">
        <v>77</v>
      </c>
      <c r="C1209" s="2">
        <v>48</v>
      </c>
      <c r="D1209" s="2">
        <v>0.68</v>
      </c>
      <c r="E1209" s="2" t="s">
        <v>1209</v>
      </c>
      <c r="F1209" s="2">
        <v>0.68</v>
      </c>
    </row>
    <row r="1210" spans="1:6" x14ac:dyDescent="0.25">
      <c r="A1210" s="1">
        <v>48126</v>
      </c>
      <c r="B1210" s="2">
        <v>78</v>
      </c>
      <c r="C1210" s="2">
        <v>48</v>
      </c>
      <c r="D1210" s="2">
        <v>0.51500000000000001</v>
      </c>
      <c r="E1210" s="2" t="s">
        <v>1210</v>
      </c>
      <c r="F1210" s="2">
        <v>0.51500000000000001</v>
      </c>
    </row>
    <row r="1211" spans="1:6" x14ac:dyDescent="0.25">
      <c r="A1211" s="1">
        <v>48127</v>
      </c>
      <c r="B1211" s="2">
        <v>79</v>
      </c>
      <c r="C1211" s="2">
        <v>48</v>
      </c>
      <c r="D1211" s="2">
        <v>0.37</v>
      </c>
      <c r="E1211" s="2" t="s">
        <v>1211</v>
      </c>
      <c r="F1211" s="2">
        <v>0.37</v>
      </c>
    </row>
    <row r="1212" spans="1:6" x14ac:dyDescent="0.25">
      <c r="A1212" s="1">
        <v>48128</v>
      </c>
      <c r="B1212" s="2">
        <v>80</v>
      </c>
      <c r="C1212" s="2">
        <v>48</v>
      </c>
      <c r="D1212" s="2">
        <v>0.28000000000000003</v>
      </c>
      <c r="E1212" s="2" t="s">
        <v>1212</v>
      </c>
      <c r="F1212" s="2">
        <v>0.28000000000000003</v>
      </c>
    </row>
    <row r="1213" spans="1:6" x14ac:dyDescent="0.25">
      <c r="A1213" s="1">
        <v>48129</v>
      </c>
      <c r="B1213" s="2">
        <v>81</v>
      </c>
      <c r="C1213" s="2">
        <v>48</v>
      </c>
      <c r="D1213" s="2">
        <v>0.154</v>
      </c>
      <c r="E1213" s="2" t="s">
        <v>1213</v>
      </c>
      <c r="F1213" s="2">
        <v>0.154</v>
      </c>
    </row>
    <row r="1214" spans="1:6" x14ac:dyDescent="0.25">
      <c r="A1214" s="1">
        <v>48130</v>
      </c>
      <c r="B1214" s="2">
        <v>82</v>
      </c>
      <c r="C1214" s="2">
        <v>48</v>
      </c>
      <c r="D1214" s="2">
        <v>0.16200000000000001</v>
      </c>
      <c r="E1214" s="2" t="s">
        <v>1214</v>
      </c>
      <c r="F1214" s="2">
        <v>0.16200000000000001</v>
      </c>
    </row>
    <row r="1215" spans="1:6" x14ac:dyDescent="0.25">
      <c r="A1215" s="1">
        <v>48131</v>
      </c>
      <c r="B1215" s="2">
        <v>83</v>
      </c>
      <c r="C1215" s="2">
        <v>48</v>
      </c>
      <c r="D1215" s="2">
        <v>6.8000000000000005E-2</v>
      </c>
      <c r="E1215" s="2" t="s">
        <v>1215</v>
      </c>
      <c r="F1215" s="2">
        <v>6.8000000000000005E-2</v>
      </c>
    </row>
    <row r="1216" spans="1:6" x14ac:dyDescent="0.25">
      <c r="A1216" s="1">
        <v>48132</v>
      </c>
      <c r="B1216" s="2">
        <v>84</v>
      </c>
      <c r="C1216" s="2">
        <v>48</v>
      </c>
      <c r="D1216" s="2">
        <v>9.7000000000000003E-2</v>
      </c>
      <c r="E1216" s="2" t="s">
        <v>1216</v>
      </c>
      <c r="F1216" s="2">
        <v>9.7000000000000003E-2</v>
      </c>
    </row>
    <row r="1217" spans="1:6" x14ac:dyDescent="0.25">
      <c r="A1217" s="1">
        <v>48133</v>
      </c>
      <c r="B1217" s="2">
        <v>85</v>
      </c>
      <c r="C1217" s="2">
        <v>48</v>
      </c>
      <c r="D1217" s="2">
        <v>5.7000000000000002E-2</v>
      </c>
      <c r="E1217" s="2" t="s">
        <v>1217</v>
      </c>
      <c r="F1217" s="2">
        <v>5.7000000000000002E-2</v>
      </c>
    </row>
    <row r="1218" spans="1:6" x14ac:dyDescent="0.25">
      <c r="A1218" s="1">
        <v>48134</v>
      </c>
      <c r="B1218" s="2">
        <v>86</v>
      </c>
      <c r="C1218" s="2">
        <v>48</v>
      </c>
      <c r="D1218" s="2">
        <v>6.5000000000000002E-2</v>
      </c>
      <c r="E1218" s="2" t="s">
        <v>1218</v>
      </c>
      <c r="F1218" s="2">
        <v>6.5000000000000002E-2</v>
      </c>
    </row>
    <row r="1219" spans="1:6" x14ac:dyDescent="0.25">
      <c r="A1219" s="1">
        <v>49098</v>
      </c>
      <c r="B1219" s="2">
        <v>49</v>
      </c>
      <c r="C1219" s="2">
        <v>49</v>
      </c>
      <c r="D1219" s="2">
        <v>3.2000000000000001E-2</v>
      </c>
      <c r="E1219" s="2" t="s">
        <v>1219</v>
      </c>
      <c r="F1219" s="2">
        <v>3.2000000000000001E-2</v>
      </c>
    </row>
    <row r="1220" spans="1:6" x14ac:dyDescent="0.25">
      <c r="A1220" s="1">
        <v>49099</v>
      </c>
      <c r="B1220" s="2">
        <v>50</v>
      </c>
      <c r="C1220" s="2">
        <v>49</v>
      </c>
      <c r="D1220" s="2">
        <v>3</v>
      </c>
      <c r="E1220" s="2" t="s">
        <v>1220</v>
      </c>
      <c r="F1220" s="2">
        <v>3</v>
      </c>
    </row>
    <row r="1221" spans="1:6" x14ac:dyDescent="0.25">
      <c r="A1221" s="1">
        <v>49100</v>
      </c>
      <c r="B1221" s="2">
        <v>51</v>
      </c>
      <c r="C1221" s="2">
        <v>49</v>
      </c>
      <c r="D1221" s="2">
        <v>5.8</v>
      </c>
      <c r="E1221" s="2" t="s">
        <v>1221</v>
      </c>
      <c r="F1221" s="2">
        <v>5.8</v>
      </c>
    </row>
    <row r="1222" spans="1:6" x14ac:dyDescent="0.25">
      <c r="A1222" s="1">
        <v>49101</v>
      </c>
      <c r="B1222" s="2">
        <v>52</v>
      </c>
      <c r="C1222" s="2">
        <v>49</v>
      </c>
      <c r="D1222" s="2">
        <v>15.1</v>
      </c>
      <c r="E1222" s="2" t="s">
        <v>1222</v>
      </c>
      <c r="F1222" s="2">
        <v>15.1</v>
      </c>
    </row>
    <row r="1223" spans="1:6" x14ac:dyDescent="0.25">
      <c r="A1223" s="1">
        <v>49102</v>
      </c>
      <c r="B1223" s="2">
        <v>53</v>
      </c>
      <c r="C1223" s="2">
        <v>49</v>
      </c>
      <c r="D1223" s="2">
        <v>23.3</v>
      </c>
      <c r="E1223" s="2" t="s">
        <v>1223</v>
      </c>
      <c r="F1223" s="2">
        <v>23.3</v>
      </c>
    </row>
    <row r="1224" spans="1:6" x14ac:dyDescent="0.25">
      <c r="A1224" s="1">
        <v>49103</v>
      </c>
      <c r="B1224" s="2">
        <v>54</v>
      </c>
      <c r="C1224" s="2">
        <v>49</v>
      </c>
      <c r="D1224" s="2">
        <v>65</v>
      </c>
      <c r="E1224" s="2" t="s">
        <v>1224</v>
      </c>
      <c r="F1224" s="2">
        <v>65</v>
      </c>
    </row>
    <row r="1225" spans="1:6" x14ac:dyDescent="0.25">
      <c r="A1225" s="1">
        <v>49104</v>
      </c>
      <c r="B1225" s="2">
        <v>55</v>
      </c>
      <c r="C1225" s="2">
        <v>49</v>
      </c>
      <c r="D1225" s="2">
        <v>108</v>
      </c>
      <c r="E1225" s="2" t="s">
        <v>1225</v>
      </c>
      <c r="F1225" s="2">
        <v>108</v>
      </c>
    </row>
    <row r="1226" spans="1:6" x14ac:dyDescent="0.25">
      <c r="A1226" s="1">
        <v>49105</v>
      </c>
      <c r="B1226" s="2">
        <v>56</v>
      </c>
      <c r="C1226" s="2">
        <v>49</v>
      </c>
      <c r="D1226" s="2">
        <v>304.2</v>
      </c>
      <c r="E1226" s="2" t="s">
        <v>1226</v>
      </c>
      <c r="F1226" s="2">
        <v>304.2</v>
      </c>
    </row>
    <row r="1227" spans="1:6" x14ac:dyDescent="0.25">
      <c r="A1227" s="1">
        <v>49106</v>
      </c>
      <c r="B1227" s="2">
        <v>57</v>
      </c>
      <c r="C1227" s="2">
        <v>49</v>
      </c>
      <c r="D1227" s="2">
        <v>372</v>
      </c>
      <c r="E1227" s="2" t="s">
        <v>1227</v>
      </c>
      <c r="F1227" s="2">
        <v>372</v>
      </c>
    </row>
    <row r="1228" spans="1:6" x14ac:dyDescent="0.25">
      <c r="A1228" s="1">
        <v>49107</v>
      </c>
      <c r="B1228" s="2">
        <v>58</v>
      </c>
      <c r="C1228" s="2">
        <v>49</v>
      </c>
      <c r="D1228" s="2">
        <v>1944</v>
      </c>
      <c r="E1228" s="2" t="s">
        <v>1228</v>
      </c>
      <c r="F1228" s="2">
        <v>1944</v>
      </c>
    </row>
    <row r="1229" spans="1:6" x14ac:dyDescent="0.25">
      <c r="A1229" s="1">
        <v>49108</v>
      </c>
      <c r="B1229" s="2">
        <v>59</v>
      </c>
      <c r="C1229" s="2">
        <v>49</v>
      </c>
      <c r="D1229" s="2">
        <v>3480</v>
      </c>
      <c r="E1229" s="2" t="s">
        <v>1229</v>
      </c>
      <c r="F1229" s="2">
        <v>3480</v>
      </c>
    </row>
    <row r="1230" spans="1:6" x14ac:dyDescent="0.25">
      <c r="A1230" s="1">
        <v>49109</v>
      </c>
      <c r="B1230" s="2">
        <v>60</v>
      </c>
      <c r="C1230" s="2">
        <v>49</v>
      </c>
      <c r="D1230" s="2">
        <v>15001.199999999901</v>
      </c>
      <c r="E1230" s="2" t="s">
        <v>1230</v>
      </c>
      <c r="F1230" s="2">
        <v>15001.199999999901</v>
      </c>
    </row>
    <row r="1231" spans="1:6" x14ac:dyDescent="0.25">
      <c r="A1231" s="1">
        <v>49110</v>
      </c>
      <c r="B1231" s="2">
        <v>61</v>
      </c>
      <c r="C1231" s="2">
        <v>49</v>
      </c>
      <c r="D1231" s="2">
        <v>17640</v>
      </c>
      <c r="E1231" s="2" t="s">
        <v>1231</v>
      </c>
      <c r="F1231" s="2">
        <v>17640</v>
      </c>
    </row>
    <row r="1232" spans="1:6" x14ac:dyDescent="0.25">
      <c r="A1232" s="1">
        <v>49111</v>
      </c>
      <c r="B1232" s="2">
        <v>62</v>
      </c>
      <c r="C1232" s="2">
        <v>49</v>
      </c>
      <c r="D1232" s="2">
        <v>242326.08</v>
      </c>
      <c r="E1232" s="2" t="s">
        <v>1232</v>
      </c>
      <c r="F1232" s="2">
        <v>242326.08</v>
      </c>
    </row>
    <row r="1233" spans="1:6" x14ac:dyDescent="0.25">
      <c r="A1233" s="1">
        <v>49112</v>
      </c>
      <c r="B1233" s="2">
        <v>63</v>
      </c>
      <c r="C1233" s="2">
        <v>49</v>
      </c>
      <c r="D1233" s="2">
        <v>892.8</v>
      </c>
      <c r="E1233" s="2" t="s">
        <v>1233</v>
      </c>
      <c r="F1233" s="2">
        <v>892.8</v>
      </c>
    </row>
    <row r="1234" spans="1:6" x14ac:dyDescent="0.25">
      <c r="A1234" s="1">
        <v>49113</v>
      </c>
      <c r="B1234" s="2">
        <v>64</v>
      </c>
      <c r="C1234" s="2">
        <v>49</v>
      </c>
      <c r="D1234" s="2" t="s">
        <v>3</v>
      </c>
      <c r="E1234" s="2" t="s">
        <v>1234</v>
      </c>
      <c r="F1234" s="2" t="s">
        <v>3</v>
      </c>
    </row>
    <row r="1235" spans="1:6" x14ac:dyDescent="0.25">
      <c r="A1235" s="1">
        <v>49114</v>
      </c>
      <c r="B1235" s="2">
        <v>65</v>
      </c>
      <c r="C1235" s="2">
        <v>49</v>
      </c>
      <c r="D1235" s="2">
        <v>71.900000000000006</v>
      </c>
      <c r="E1235" s="2" t="s">
        <v>1235</v>
      </c>
      <c r="F1235" s="2">
        <v>71.900000000000006</v>
      </c>
    </row>
    <row r="1236" spans="1:6" x14ac:dyDescent="0.25">
      <c r="A1236" s="1">
        <v>49115</v>
      </c>
      <c r="B1236" s="2">
        <v>66</v>
      </c>
      <c r="C1236" s="2">
        <v>49</v>
      </c>
      <c r="D1236" s="2">
        <v>1.3916901599999999E+22</v>
      </c>
      <c r="E1236" s="2" t="s">
        <v>1236</v>
      </c>
      <c r="F1236" s="2">
        <v>1.3916901599999999E+22</v>
      </c>
    </row>
    <row r="1237" spans="1:6" x14ac:dyDescent="0.25">
      <c r="A1237" s="1">
        <v>49116</v>
      </c>
      <c r="B1237" s="2">
        <v>67</v>
      </c>
      <c r="C1237" s="2">
        <v>49</v>
      </c>
      <c r="D1237" s="2">
        <v>14.1</v>
      </c>
      <c r="E1237" s="2" t="s">
        <v>1237</v>
      </c>
      <c r="F1237" s="2">
        <v>14.1</v>
      </c>
    </row>
    <row r="1238" spans="1:6" x14ac:dyDescent="0.25">
      <c r="A1238" s="1">
        <v>49117</v>
      </c>
      <c r="B1238" s="2">
        <v>68</v>
      </c>
      <c r="C1238" s="2">
        <v>49</v>
      </c>
      <c r="D1238" s="2">
        <v>2592</v>
      </c>
      <c r="E1238" s="2" t="s">
        <v>1238</v>
      </c>
      <c r="F1238" s="2">
        <v>2592</v>
      </c>
    </row>
    <row r="1239" spans="1:6" x14ac:dyDescent="0.25">
      <c r="A1239" s="1">
        <v>49118</v>
      </c>
      <c r="B1239" s="2">
        <v>69</v>
      </c>
      <c r="C1239" s="2">
        <v>49</v>
      </c>
      <c r="D1239" s="2">
        <v>5</v>
      </c>
      <c r="E1239" s="2" t="s">
        <v>1239</v>
      </c>
      <c r="F1239" s="2">
        <v>5</v>
      </c>
    </row>
    <row r="1240" spans="1:6" x14ac:dyDescent="0.25">
      <c r="A1240" s="1">
        <v>49119</v>
      </c>
      <c r="B1240" s="2">
        <v>70</v>
      </c>
      <c r="C1240" s="2">
        <v>49</v>
      </c>
      <c r="D1240" s="2">
        <v>144</v>
      </c>
      <c r="E1240" s="2" t="s">
        <v>1240</v>
      </c>
      <c r="F1240" s="2">
        <v>144</v>
      </c>
    </row>
    <row r="1241" spans="1:6" x14ac:dyDescent="0.25">
      <c r="A1241" s="1">
        <v>49120</v>
      </c>
      <c r="B1241" s="2">
        <v>71</v>
      </c>
      <c r="C1241" s="2">
        <v>49</v>
      </c>
      <c r="D1241" s="2">
        <v>3.08</v>
      </c>
      <c r="E1241" s="2" t="s">
        <v>1241</v>
      </c>
      <c r="F1241" s="2">
        <v>3.08</v>
      </c>
    </row>
    <row r="1242" spans="1:6" x14ac:dyDescent="0.25">
      <c r="A1242" s="1">
        <v>49121</v>
      </c>
      <c r="B1242" s="2">
        <v>72</v>
      </c>
      <c r="C1242" s="2">
        <v>49</v>
      </c>
      <c r="D1242" s="2">
        <v>23.1</v>
      </c>
      <c r="E1242" s="2" t="s">
        <v>1242</v>
      </c>
      <c r="F1242" s="2">
        <v>23.1</v>
      </c>
    </row>
    <row r="1243" spans="1:6" x14ac:dyDescent="0.25">
      <c r="A1243" s="1">
        <v>49122</v>
      </c>
      <c r="B1243" s="2">
        <v>73</v>
      </c>
      <c r="C1243" s="2">
        <v>49</v>
      </c>
      <c r="D1243" s="2">
        <v>1.5</v>
      </c>
      <c r="E1243" s="2" t="s">
        <v>1243</v>
      </c>
      <c r="F1243" s="2">
        <v>1.5</v>
      </c>
    </row>
    <row r="1244" spans="1:6" x14ac:dyDescent="0.25">
      <c r="A1244" s="1">
        <v>49123</v>
      </c>
      <c r="B1244" s="2">
        <v>74</v>
      </c>
      <c r="C1244" s="2">
        <v>49</v>
      </c>
      <c r="D1244" s="2">
        <v>6.17</v>
      </c>
      <c r="E1244" s="2" t="s">
        <v>1244</v>
      </c>
      <c r="F1244" s="2">
        <v>6.17</v>
      </c>
    </row>
    <row r="1245" spans="1:6" x14ac:dyDescent="0.25">
      <c r="A1245" s="1">
        <v>49124</v>
      </c>
      <c r="B1245" s="2">
        <v>75</v>
      </c>
      <c r="C1245" s="2">
        <v>49</v>
      </c>
      <c r="D1245" s="2">
        <v>3.12</v>
      </c>
      <c r="E1245" s="2" t="s">
        <v>1245</v>
      </c>
      <c r="F1245" s="2">
        <v>3.12</v>
      </c>
    </row>
    <row r="1246" spans="1:6" x14ac:dyDescent="0.25">
      <c r="A1246" s="1">
        <v>49125</v>
      </c>
      <c r="B1246" s="2">
        <v>76</v>
      </c>
      <c r="C1246" s="2">
        <v>49</v>
      </c>
      <c r="D1246" s="2">
        <v>2.36</v>
      </c>
      <c r="E1246" s="2" t="s">
        <v>1246</v>
      </c>
      <c r="F1246" s="2">
        <v>2.36</v>
      </c>
    </row>
    <row r="1247" spans="1:6" x14ac:dyDescent="0.25">
      <c r="A1247" s="1">
        <v>49126</v>
      </c>
      <c r="B1247" s="2">
        <v>77</v>
      </c>
      <c r="C1247" s="2">
        <v>49</v>
      </c>
      <c r="D1247" s="2">
        <v>1.53</v>
      </c>
      <c r="E1247" s="2" t="s">
        <v>1247</v>
      </c>
      <c r="F1247" s="2">
        <v>1.53</v>
      </c>
    </row>
    <row r="1248" spans="1:6" x14ac:dyDescent="0.25">
      <c r="A1248" s="1">
        <v>49127</v>
      </c>
      <c r="B1248" s="2">
        <v>78</v>
      </c>
      <c r="C1248" s="2">
        <v>49</v>
      </c>
      <c r="D1248" s="2">
        <v>1.0900000000000001</v>
      </c>
      <c r="E1248" s="2" t="s">
        <v>1248</v>
      </c>
      <c r="F1248" s="2">
        <v>1.0900000000000001</v>
      </c>
    </row>
    <row r="1249" spans="1:6" x14ac:dyDescent="0.25">
      <c r="A1249" s="1">
        <v>49128</v>
      </c>
      <c r="B1249" s="2">
        <v>79</v>
      </c>
      <c r="C1249" s="2">
        <v>49</v>
      </c>
      <c r="D1249" s="2">
        <v>0.84</v>
      </c>
      <c r="E1249" s="2" t="s">
        <v>1249</v>
      </c>
      <c r="F1249" s="2">
        <v>0.84</v>
      </c>
    </row>
    <row r="1250" spans="1:6" x14ac:dyDescent="0.25">
      <c r="A1250" s="1">
        <v>49129</v>
      </c>
      <c r="B1250" s="2">
        <v>80</v>
      </c>
      <c r="C1250" s="2">
        <v>49</v>
      </c>
      <c r="D1250" s="2">
        <v>0.61099999999999999</v>
      </c>
      <c r="E1250" s="2" t="s">
        <v>1250</v>
      </c>
      <c r="F1250" s="2">
        <v>0.61099999999999999</v>
      </c>
    </row>
    <row r="1251" spans="1:6" x14ac:dyDescent="0.25">
      <c r="A1251" s="1">
        <v>49130</v>
      </c>
      <c r="B1251" s="2">
        <v>81</v>
      </c>
      <c r="C1251" s="2">
        <v>49</v>
      </c>
      <c r="D1251" s="2">
        <v>0.28999999999999998</v>
      </c>
      <c r="E1251" s="2" t="s">
        <v>1251</v>
      </c>
      <c r="F1251" s="2">
        <v>0.28999999999999998</v>
      </c>
    </row>
    <row r="1252" spans="1:6" x14ac:dyDescent="0.25">
      <c r="A1252" s="1">
        <v>49131</v>
      </c>
      <c r="B1252" s="2">
        <v>82</v>
      </c>
      <c r="C1252" s="2">
        <v>49</v>
      </c>
      <c r="D1252" s="2">
        <v>0.28000000000000003</v>
      </c>
      <c r="E1252" s="2" t="s">
        <v>1252</v>
      </c>
      <c r="F1252" s="2">
        <v>0.28000000000000003</v>
      </c>
    </row>
    <row r="1253" spans="1:6" x14ac:dyDescent="0.25">
      <c r="A1253" s="1">
        <v>49132</v>
      </c>
      <c r="B1253" s="2">
        <v>83</v>
      </c>
      <c r="C1253" s="2">
        <v>49</v>
      </c>
      <c r="D1253" s="2">
        <v>0.20699999999999999</v>
      </c>
      <c r="E1253" s="2" t="s">
        <v>1253</v>
      </c>
      <c r="F1253" s="2">
        <v>0.20699999999999999</v>
      </c>
    </row>
    <row r="1254" spans="1:6" x14ac:dyDescent="0.25">
      <c r="A1254" s="1">
        <v>49133</v>
      </c>
      <c r="B1254" s="2">
        <v>84</v>
      </c>
      <c r="C1254" s="2">
        <v>49</v>
      </c>
      <c r="D1254" s="2">
        <v>0.16500000000000001</v>
      </c>
      <c r="E1254" s="2" t="s">
        <v>1254</v>
      </c>
      <c r="F1254" s="2">
        <v>0.16500000000000001</v>
      </c>
    </row>
    <row r="1255" spans="1:6" x14ac:dyDescent="0.25">
      <c r="A1255" s="1">
        <v>49134</v>
      </c>
      <c r="B1255" s="2">
        <v>85</v>
      </c>
      <c r="C1255" s="2">
        <v>49</v>
      </c>
      <c r="D1255" s="2">
        <v>0.14000000000000001</v>
      </c>
      <c r="E1255" s="2" t="s">
        <v>1255</v>
      </c>
      <c r="F1255" s="2">
        <v>0.14000000000000001</v>
      </c>
    </row>
    <row r="1256" spans="1:6" x14ac:dyDescent="0.25">
      <c r="A1256" s="1">
        <v>49135</v>
      </c>
      <c r="B1256" s="2">
        <v>86</v>
      </c>
      <c r="C1256" s="2">
        <v>49</v>
      </c>
      <c r="D1256" s="2">
        <v>9.1999999999999998E-2</v>
      </c>
      <c r="E1256" s="2" t="s">
        <v>1256</v>
      </c>
      <c r="F1256" s="2">
        <v>9.1999999999999998E-2</v>
      </c>
    </row>
    <row r="1257" spans="1:6" x14ac:dyDescent="0.25">
      <c r="A1257" s="1">
        <v>49136</v>
      </c>
      <c r="B1257" s="2">
        <v>87</v>
      </c>
      <c r="C1257" s="2">
        <v>49</v>
      </c>
      <c r="D1257" s="2">
        <v>8.5000000000000006E-2</v>
      </c>
      <c r="E1257" s="2" t="s">
        <v>1257</v>
      </c>
      <c r="F1257" s="2">
        <v>8.5000000000000006E-2</v>
      </c>
    </row>
    <row r="1258" spans="1:6" x14ac:dyDescent="0.25">
      <c r="A1258" s="1">
        <v>49137</v>
      </c>
      <c r="B1258" s="2">
        <v>88</v>
      </c>
      <c r="C1258" s="2">
        <v>49</v>
      </c>
      <c r="D1258" s="2">
        <v>6.5000000000000002E-2</v>
      </c>
      <c r="E1258" s="2" t="s">
        <v>1258</v>
      </c>
      <c r="F1258" s="2">
        <v>6.5000000000000002E-2</v>
      </c>
    </row>
    <row r="1259" spans="1:6" x14ac:dyDescent="0.25">
      <c r="A1259" s="1">
        <v>50100</v>
      </c>
      <c r="B1259" s="2">
        <v>50</v>
      </c>
      <c r="C1259" s="2">
        <v>50</v>
      </c>
      <c r="D1259" s="2">
        <v>1.1599999999999999</v>
      </c>
      <c r="E1259" s="2" t="s">
        <v>1259</v>
      </c>
      <c r="F1259" s="2">
        <v>1.1599999999999999</v>
      </c>
    </row>
    <row r="1260" spans="1:6" x14ac:dyDescent="0.25">
      <c r="A1260" s="1">
        <v>50101</v>
      </c>
      <c r="B1260" s="2">
        <v>51</v>
      </c>
      <c r="C1260" s="2">
        <v>50</v>
      </c>
      <c r="D1260" s="2">
        <v>1.7</v>
      </c>
      <c r="E1260" s="2" t="s">
        <v>1260</v>
      </c>
      <c r="F1260" s="2">
        <v>1.7</v>
      </c>
    </row>
    <row r="1261" spans="1:6" x14ac:dyDescent="0.25">
      <c r="A1261" s="1">
        <v>50102</v>
      </c>
      <c r="B1261" s="2">
        <v>52</v>
      </c>
      <c r="C1261" s="2">
        <v>50</v>
      </c>
      <c r="D1261" s="2">
        <v>3.8</v>
      </c>
      <c r="E1261" s="2" t="s">
        <v>1261</v>
      </c>
      <c r="F1261" s="2">
        <v>3.8</v>
      </c>
    </row>
    <row r="1262" spans="1:6" x14ac:dyDescent="0.25">
      <c r="A1262" s="1">
        <v>50103</v>
      </c>
      <c r="B1262" s="2">
        <v>53</v>
      </c>
      <c r="C1262" s="2">
        <v>50</v>
      </c>
      <c r="D1262" s="2">
        <v>7</v>
      </c>
      <c r="E1262" s="2" t="s">
        <v>1262</v>
      </c>
      <c r="F1262" s="2">
        <v>7</v>
      </c>
    </row>
    <row r="1263" spans="1:6" x14ac:dyDescent="0.25">
      <c r="A1263" s="1">
        <v>50104</v>
      </c>
      <c r="B1263" s="2">
        <v>54</v>
      </c>
      <c r="C1263" s="2">
        <v>50</v>
      </c>
      <c r="D1263" s="2">
        <v>20.8</v>
      </c>
      <c r="E1263" s="2" t="s">
        <v>1263</v>
      </c>
      <c r="F1263" s="2">
        <v>20.8</v>
      </c>
    </row>
    <row r="1264" spans="1:6" x14ac:dyDescent="0.25">
      <c r="A1264" s="1">
        <v>50105</v>
      </c>
      <c r="B1264" s="2">
        <v>55</v>
      </c>
      <c r="C1264" s="2">
        <v>50</v>
      </c>
      <c r="D1264" s="2">
        <v>32.700000000000003</v>
      </c>
      <c r="E1264" s="2" t="s">
        <v>1264</v>
      </c>
      <c r="F1264" s="2">
        <v>32.700000000000003</v>
      </c>
    </row>
    <row r="1265" spans="1:6" x14ac:dyDescent="0.25">
      <c r="A1265" s="1">
        <v>50106</v>
      </c>
      <c r="B1265" s="2">
        <v>56</v>
      </c>
      <c r="C1265" s="2">
        <v>50</v>
      </c>
      <c r="D1265" s="2">
        <v>115</v>
      </c>
      <c r="E1265" s="2" t="s">
        <v>1265</v>
      </c>
      <c r="F1265" s="2">
        <v>115</v>
      </c>
    </row>
    <row r="1266" spans="1:6" x14ac:dyDescent="0.25">
      <c r="A1266" s="1">
        <v>50107</v>
      </c>
      <c r="B1266" s="2">
        <v>57</v>
      </c>
      <c r="C1266" s="2">
        <v>50</v>
      </c>
      <c r="D1266" s="2">
        <v>174</v>
      </c>
      <c r="E1266" s="2" t="s">
        <v>1266</v>
      </c>
      <c r="F1266" s="2">
        <v>174</v>
      </c>
    </row>
    <row r="1267" spans="1:6" x14ac:dyDescent="0.25">
      <c r="A1267" s="1">
        <v>50108</v>
      </c>
      <c r="B1267" s="2">
        <v>58</v>
      </c>
      <c r="C1267" s="2">
        <v>50</v>
      </c>
      <c r="D1267" s="2">
        <v>618</v>
      </c>
      <c r="E1267" s="2" t="s">
        <v>1267</v>
      </c>
      <c r="F1267" s="2">
        <v>618</v>
      </c>
    </row>
    <row r="1268" spans="1:6" x14ac:dyDescent="0.25">
      <c r="A1268" s="1">
        <v>50109</v>
      </c>
      <c r="B1268" s="2">
        <v>59</v>
      </c>
      <c r="C1268" s="2">
        <v>50</v>
      </c>
      <c r="D1268" s="2">
        <v>1080</v>
      </c>
      <c r="E1268" s="2" t="s">
        <v>1268</v>
      </c>
      <c r="F1268" s="2">
        <v>1080</v>
      </c>
    </row>
    <row r="1269" spans="1:6" x14ac:dyDescent="0.25">
      <c r="A1269" s="1">
        <v>50110</v>
      </c>
      <c r="B1269" s="2">
        <v>60</v>
      </c>
      <c r="C1269" s="2">
        <v>50</v>
      </c>
      <c r="D1269" s="2">
        <v>14796</v>
      </c>
      <c r="E1269" s="2" t="s">
        <v>1269</v>
      </c>
      <c r="F1269" s="2">
        <v>14796</v>
      </c>
    </row>
    <row r="1270" spans="1:6" x14ac:dyDescent="0.25">
      <c r="A1270" s="1">
        <v>50111</v>
      </c>
      <c r="B1270" s="2">
        <v>61</v>
      </c>
      <c r="C1270" s="2">
        <v>50</v>
      </c>
      <c r="D1270" s="2">
        <v>2118</v>
      </c>
      <c r="E1270" s="2" t="s">
        <v>1270</v>
      </c>
      <c r="F1270" s="2">
        <v>2118</v>
      </c>
    </row>
    <row r="1271" spans="1:6" x14ac:dyDescent="0.25">
      <c r="A1271" s="1">
        <v>50113</v>
      </c>
      <c r="B1271" s="2">
        <v>63</v>
      </c>
      <c r="C1271" s="2">
        <v>50</v>
      </c>
      <c r="D1271" s="2">
        <v>9943776</v>
      </c>
      <c r="E1271" s="2" t="s">
        <v>1271</v>
      </c>
      <c r="F1271" s="2">
        <v>9943776</v>
      </c>
    </row>
    <row r="1272" spans="1:6" x14ac:dyDescent="0.25">
      <c r="A1272" s="1">
        <v>50114</v>
      </c>
      <c r="B1272" s="2">
        <v>64</v>
      </c>
      <c r="C1272" s="2">
        <v>50</v>
      </c>
      <c r="D1272" s="2" t="s">
        <v>3</v>
      </c>
      <c r="E1272" s="2" t="s">
        <v>1272</v>
      </c>
      <c r="F1272" s="2" t="s">
        <v>3</v>
      </c>
    </row>
    <row r="1273" spans="1:6" x14ac:dyDescent="0.25">
      <c r="A1273" s="1">
        <v>50115</v>
      </c>
      <c r="B1273" s="2">
        <v>65</v>
      </c>
      <c r="C1273" s="2">
        <v>50</v>
      </c>
      <c r="D1273" s="2" t="s">
        <v>3</v>
      </c>
      <c r="E1273" s="2" t="s">
        <v>1273</v>
      </c>
      <c r="F1273" s="2" t="s">
        <v>3</v>
      </c>
    </row>
    <row r="1274" spans="1:6" x14ac:dyDescent="0.25">
      <c r="A1274" s="1">
        <v>50116</v>
      </c>
      <c r="B1274" s="2">
        <v>66</v>
      </c>
      <c r="C1274" s="2">
        <v>50</v>
      </c>
      <c r="D1274" s="2" t="s">
        <v>3</v>
      </c>
      <c r="E1274" s="2" t="s">
        <v>1274</v>
      </c>
      <c r="F1274" s="2" t="s">
        <v>3</v>
      </c>
    </row>
    <row r="1275" spans="1:6" x14ac:dyDescent="0.25">
      <c r="A1275" s="1">
        <v>50117</v>
      </c>
      <c r="B1275" s="2">
        <v>67</v>
      </c>
      <c r="C1275" s="2">
        <v>50</v>
      </c>
      <c r="D1275" s="2" t="s">
        <v>3</v>
      </c>
      <c r="E1275" s="2" t="s">
        <v>1275</v>
      </c>
      <c r="F1275" s="2" t="s">
        <v>3</v>
      </c>
    </row>
    <row r="1276" spans="1:6" x14ac:dyDescent="0.25">
      <c r="A1276" s="1">
        <v>50118</v>
      </c>
      <c r="B1276" s="2">
        <v>68</v>
      </c>
      <c r="C1276" s="2">
        <v>50</v>
      </c>
      <c r="D1276" s="2" t="s">
        <v>3</v>
      </c>
      <c r="E1276" s="2" t="s">
        <v>1276</v>
      </c>
      <c r="F1276" s="2" t="s">
        <v>3</v>
      </c>
    </row>
    <row r="1277" spans="1:6" x14ac:dyDescent="0.25">
      <c r="A1277" s="1">
        <v>50119</v>
      </c>
      <c r="B1277" s="2">
        <v>69</v>
      </c>
      <c r="C1277" s="2">
        <v>50</v>
      </c>
      <c r="D1277" s="2" t="s">
        <v>3</v>
      </c>
      <c r="E1277" s="2" t="s">
        <v>1277</v>
      </c>
      <c r="F1277" s="2" t="s">
        <v>3</v>
      </c>
    </row>
    <row r="1278" spans="1:6" x14ac:dyDescent="0.25">
      <c r="A1278" s="1">
        <v>50120</v>
      </c>
      <c r="B1278" s="2">
        <v>70</v>
      </c>
      <c r="C1278" s="2">
        <v>50</v>
      </c>
      <c r="D1278" s="2" t="s">
        <v>3</v>
      </c>
      <c r="E1278" s="2" t="s">
        <v>1278</v>
      </c>
      <c r="F1278" s="2" t="s">
        <v>3</v>
      </c>
    </row>
    <row r="1279" spans="1:6" x14ac:dyDescent="0.25">
      <c r="A1279" s="1">
        <v>50121</v>
      </c>
      <c r="B1279" s="2">
        <v>71</v>
      </c>
      <c r="C1279" s="2">
        <v>50</v>
      </c>
      <c r="D1279" s="2">
        <v>97308</v>
      </c>
      <c r="E1279" s="2" t="s">
        <v>1279</v>
      </c>
      <c r="F1279" s="2">
        <v>97308</v>
      </c>
    </row>
    <row r="1280" spans="1:6" x14ac:dyDescent="0.25">
      <c r="A1280" s="1">
        <v>50122</v>
      </c>
      <c r="B1280" s="2">
        <v>72</v>
      </c>
      <c r="C1280" s="2">
        <v>50</v>
      </c>
      <c r="D1280" s="2" t="s">
        <v>3</v>
      </c>
      <c r="E1280" s="2" t="s">
        <v>1280</v>
      </c>
      <c r="F1280" s="2" t="s">
        <v>3</v>
      </c>
    </row>
    <row r="1281" spans="1:6" x14ac:dyDescent="0.25">
      <c r="A1281" s="1">
        <v>50123</v>
      </c>
      <c r="B1281" s="2">
        <v>73</v>
      </c>
      <c r="C1281" s="2">
        <v>50</v>
      </c>
      <c r="D1281" s="2">
        <v>11162879.999999899</v>
      </c>
      <c r="E1281" s="2" t="s">
        <v>1281</v>
      </c>
      <c r="F1281" s="2">
        <v>11162879.999999899</v>
      </c>
    </row>
    <row r="1282" spans="1:6" x14ac:dyDescent="0.25">
      <c r="A1282" s="1">
        <v>50124</v>
      </c>
      <c r="B1282" s="2">
        <v>74</v>
      </c>
      <c r="C1282" s="2">
        <v>50</v>
      </c>
      <c r="D1282" s="2">
        <v>3.786912E+28</v>
      </c>
      <c r="E1282" s="2" t="s">
        <v>1282</v>
      </c>
      <c r="F1282" s="2">
        <v>3.786912E+28</v>
      </c>
    </row>
    <row r="1283" spans="1:6" x14ac:dyDescent="0.25">
      <c r="A1283" s="1">
        <v>50125</v>
      </c>
      <c r="B1283" s="2">
        <v>75</v>
      </c>
      <c r="C1283" s="2">
        <v>50</v>
      </c>
      <c r="D1283" s="2">
        <v>832896</v>
      </c>
      <c r="E1283" s="2" t="s">
        <v>1283</v>
      </c>
      <c r="F1283" s="2">
        <v>832896</v>
      </c>
    </row>
    <row r="1284" spans="1:6" x14ac:dyDescent="0.25">
      <c r="A1284" s="1">
        <v>50126</v>
      </c>
      <c r="B1284" s="2">
        <v>76</v>
      </c>
      <c r="C1284" s="2">
        <v>50</v>
      </c>
      <c r="D1284" s="2">
        <v>7258248000000</v>
      </c>
      <c r="E1284" s="2" t="s">
        <v>1284</v>
      </c>
      <c r="F1284" s="2">
        <v>7258248000000</v>
      </c>
    </row>
    <row r="1285" spans="1:6" x14ac:dyDescent="0.25">
      <c r="A1285" s="1">
        <v>50127</v>
      </c>
      <c r="B1285" s="2">
        <v>77</v>
      </c>
      <c r="C1285" s="2">
        <v>50</v>
      </c>
      <c r="D1285" s="2">
        <v>7560</v>
      </c>
      <c r="E1285" s="2" t="s">
        <v>1285</v>
      </c>
      <c r="F1285" s="2">
        <v>7560</v>
      </c>
    </row>
    <row r="1286" spans="1:6" x14ac:dyDescent="0.25">
      <c r="A1286" s="1">
        <v>50128</v>
      </c>
      <c r="B1286" s="2">
        <v>78</v>
      </c>
      <c r="C1286" s="2">
        <v>50</v>
      </c>
      <c r="D1286" s="2">
        <v>3544.2</v>
      </c>
      <c r="E1286" s="2" t="s">
        <v>1286</v>
      </c>
      <c r="F1286" s="2">
        <v>3544.2</v>
      </c>
    </row>
    <row r="1287" spans="1:6" x14ac:dyDescent="0.25">
      <c r="A1287" s="1">
        <v>50129</v>
      </c>
      <c r="B1287" s="2">
        <v>79</v>
      </c>
      <c r="C1287" s="2">
        <v>50</v>
      </c>
      <c r="D1287" s="2">
        <v>133.80000000000001</v>
      </c>
      <c r="E1287" s="2" t="s">
        <v>1287</v>
      </c>
      <c r="F1287" s="2">
        <v>133.80000000000001</v>
      </c>
    </row>
    <row r="1288" spans="1:6" x14ac:dyDescent="0.25">
      <c r="A1288" s="1">
        <v>50130</v>
      </c>
      <c r="B1288" s="2">
        <v>80</v>
      </c>
      <c r="C1288" s="2">
        <v>50</v>
      </c>
      <c r="D1288" s="2">
        <v>223.2</v>
      </c>
      <c r="E1288" s="2" t="s">
        <v>1288</v>
      </c>
      <c r="F1288" s="2">
        <v>223.2</v>
      </c>
    </row>
    <row r="1289" spans="1:6" x14ac:dyDescent="0.25">
      <c r="A1289" s="1">
        <v>50131</v>
      </c>
      <c r="B1289" s="2">
        <v>81</v>
      </c>
      <c r="C1289" s="2">
        <v>50</v>
      </c>
      <c r="D1289" s="2">
        <v>56</v>
      </c>
      <c r="E1289" s="2" t="s">
        <v>1289</v>
      </c>
      <c r="F1289" s="2">
        <v>56</v>
      </c>
    </row>
    <row r="1290" spans="1:6" x14ac:dyDescent="0.25">
      <c r="A1290" s="1">
        <v>50132</v>
      </c>
      <c r="B1290" s="2">
        <v>82</v>
      </c>
      <c r="C1290" s="2">
        <v>50</v>
      </c>
      <c r="D1290" s="2">
        <v>39.700000000000003</v>
      </c>
      <c r="E1290" s="2" t="s">
        <v>1290</v>
      </c>
      <c r="F1290" s="2">
        <v>39.700000000000003</v>
      </c>
    </row>
    <row r="1291" spans="1:6" x14ac:dyDescent="0.25">
      <c r="A1291" s="1">
        <v>50133</v>
      </c>
      <c r="B1291" s="2">
        <v>83</v>
      </c>
      <c r="C1291" s="2">
        <v>50</v>
      </c>
      <c r="D1291" s="2">
        <v>1.46</v>
      </c>
      <c r="E1291" s="2" t="s">
        <v>1291</v>
      </c>
      <c r="F1291" s="2">
        <v>1.46</v>
      </c>
    </row>
    <row r="1292" spans="1:6" x14ac:dyDescent="0.25">
      <c r="A1292" s="1">
        <v>50134</v>
      </c>
      <c r="B1292" s="2">
        <v>84</v>
      </c>
      <c r="C1292" s="2">
        <v>50</v>
      </c>
      <c r="D1292" s="2">
        <v>1.05</v>
      </c>
      <c r="E1292" s="2" t="s">
        <v>1292</v>
      </c>
      <c r="F1292" s="2">
        <v>1.05</v>
      </c>
    </row>
    <row r="1293" spans="1:6" x14ac:dyDescent="0.25">
      <c r="A1293" s="1">
        <v>50135</v>
      </c>
      <c r="B1293" s="2">
        <v>85</v>
      </c>
      <c r="C1293" s="2">
        <v>50</v>
      </c>
      <c r="D1293" s="2">
        <v>0.53</v>
      </c>
      <c r="E1293" s="2" t="s">
        <v>1293</v>
      </c>
      <c r="F1293" s="2">
        <v>0.53</v>
      </c>
    </row>
    <row r="1294" spans="1:6" x14ac:dyDescent="0.25">
      <c r="A1294" s="1">
        <v>50136</v>
      </c>
      <c r="B1294" s="2">
        <v>86</v>
      </c>
      <c r="C1294" s="2">
        <v>50</v>
      </c>
      <c r="D1294" s="2">
        <v>0.28999999999999998</v>
      </c>
      <c r="E1294" s="2" t="s">
        <v>1294</v>
      </c>
      <c r="F1294" s="2">
        <v>0.28999999999999998</v>
      </c>
    </row>
    <row r="1295" spans="1:6" x14ac:dyDescent="0.25">
      <c r="A1295" s="1">
        <v>50137</v>
      </c>
      <c r="B1295" s="2">
        <v>87</v>
      </c>
      <c r="C1295" s="2">
        <v>50</v>
      </c>
      <c r="D1295" s="2">
        <v>0.19</v>
      </c>
      <c r="E1295" s="2" t="s">
        <v>1295</v>
      </c>
      <c r="F1295" s="2">
        <v>0.19</v>
      </c>
    </row>
    <row r="1296" spans="1:6" x14ac:dyDescent="0.25">
      <c r="A1296" s="1">
        <v>50138</v>
      </c>
      <c r="B1296" s="2">
        <v>88</v>
      </c>
      <c r="C1296" s="2">
        <v>50</v>
      </c>
      <c r="D1296" s="2">
        <v>0.14000000000000001</v>
      </c>
      <c r="E1296" s="2" t="s">
        <v>1296</v>
      </c>
      <c r="F1296" s="2">
        <v>0.14000000000000001</v>
      </c>
    </row>
    <row r="1297" spans="1:6" x14ac:dyDescent="0.25">
      <c r="A1297" s="1">
        <v>50139</v>
      </c>
      <c r="B1297" s="2">
        <v>89</v>
      </c>
      <c r="C1297" s="2">
        <v>50</v>
      </c>
      <c r="D1297" s="2">
        <v>0.13</v>
      </c>
      <c r="E1297" s="2" t="s">
        <v>1297</v>
      </c>
      <c r="F1297" s="2">
        <v>0.13</v>
      </c>
    </row>
    <row r="1298" spans="1:6" x14ac:dyDescent="0.25">
      <c r="A1298" s="1">
        <v>51103</v>
      </c>
      <c r="B1298" s="2">
        <v>52</v>
      </c>
      <c r="C1298" s="2">
        <v>51</v>
      </c>
      <c r="D1298" s="2">
        <v>1.5E-6</v>
      </c>
      <c r="E1298" s="2" t="s">
        <v>1298</v>
      </c>
      <c r="F1298" s="2">
        <v>1.5E-6</v>
      </c>
    </row>
    <row r="1299" spans="1:6" x14ac:dyDescent="0.25">
      <c r="A1299" s="1">
        <v>51104</v>
      </c>
      <c r="B1299" s="2">
        <v>53</v>
      </c>
      <c r="C1299" s="2">
        <v>51</v>
      </c>
      <c r="D1299" s="2">
        <v>0.44</v>
      </c>
      <c r="E1299" s="2" t="s">
        <v>1299</v>
      </c>
      <c r="F1299" s="2">
        <v>0.44</v>
      </c>
    </row>
    <row r="1300" spans="1:6" x14ac:dyDescent="0.25">
      <c r="A1300" s="1">
        <v>51105</v>
      </c>
      <c r="B1300" s="2">
        <v>54</v>
      </c>
      <c r="C1300" s="2">
        <v>51</v>
      </c>
      <c r="D1300" s="2">
        <v>1.22</v>
      </c>
      <c r="E1300" s="2" t="s">
        <v>1300</v>
      </c>
      <c r="F1300" s="2">
        <v>1.22</v>
      </c>
    </row>
    <row r="1301" spans="1:6" x14ac:dyDescent="0.25">
      <c r="A1301" s="1">
        <v>51106</v>
      </c>
      <c r="B1301" s="2">
        <v>55</v>
      </c>
      <c r="C1301" s="2">
        <v>51</v>
      </c>
      <c r="D1301" s="2">
        <v>0.6</v>
      </c>
      <c r="E1301" s="2" t="s">
        <v>1301</v>
      </c>
      <c r="F1301" s="2">
        <v>0.6</v>
      </c>
    </row>
    <row r="1302" spans="1:6" x14ac:dyDescent="0.25">
      <c r="A1302" s="1">
        <v>51107</v>
      </c>
      <c r="B1302" s="2">
        <v>56</v>
      </c>
      <c r="C1302" s="2">
        <v>51</v>
      </c>
      <c r="D1302" s="2">
        <v>4</v>
      </c>
      <c r="E1302" s="2" t="s">
        <v>1302</v>
      </c>
      <c r="F1302" s="2">
        <v>4</v>
      </c>
    </row>
    <row r="1303" spans="1:6" x14ac:dyDescent="0.25">
      <c r="A1303" s="1">
        <v>51108</v>
      </c>
      <c r="B1303" s="2">
        <v>57</v>
      </c>
      <c r="C1303" s="2">
        <v>51</v>
      </c>
      <c r="D1303" s="2">
        <v>7.4</v>
      </c>
      <c r="E1303" s="2" t="s">
        <v>1303</v>
      </c>
      <c r="F1303" s="2">
        <v>7.4</v>
      </c>
    </row>
    <row r="1304" spans="1:6" x14ac:dyDescent="0.25">
      <c r="A1304" s="1">
        <v>51109</v>
      </c>
      <c r="B1304" s="2">
        <v>58</v>
      </c>
      <c r="C1304" s="2">
        <v>51</v>
      </c>
      <c r="D1304" s="2">
        <v>17</v>
      </c>
      <c r="E1304" s="2" t="s">
        <v>1304</v>
      </c>
      <c r="F1304" s="2">
        <v>17</v>
      </c>
    </row>
    <row r="1305" spans="1:6" x14ac:dyDescent="0.25">
      <c r="A1305" s="1">
        <v>51110</v>
      </c>
      <c r="B1305" s="2">
        <v>59</v>
      </c>
      <c r="C1305" s="2">
        <v>51</v>
      </c>
      <c r="D1305" s="2">
        <v>23</v>
      </c>
      <c r="E1305" s="2" t="s">
        <v>1305</v>
      </c>
      <c r="F1305" s="2">
        <v>23</v>
      </c>
    </row>
    <row r="1306" spans="1:6" x14ac:dyDescent="0.25">
      <c r="A1306" s="1">
        <v>51111</v>
      </c>
      <c r="B1306" s="2">
        <v>60</v>
      </c>
      <c r="C1306" s="2">
        <v>51</v>
      </c>
      <c r="D1306" s="2">
        <v>75</v>
      </c>
      <c r="E1306" s="2" t="s">
        <v>1306</v>
      </c>
      <c r="F1306" s="2">
        <v>75</v>
      </c>
    </row>
    <row r="1307" spans="1:6" x14ac:dyDescent="0.25">
      <c r="A1307" s="1">
        <v>51112</v>
      </c>
      <c r="B1307" s="2">
        <v>61</v>
      </c>
      <c r="C1307" s="2">
        <v>51</v>
      </c>
      <c r="D1307" s="2">
        <v>53.5</v>
      </c>
      <c r="E1307" s="2" t="s">
        <v>1307</v>
      </c>
      <c r="F1307" s="2">
        <v>53.5</v>
      </c>
    </row>
    <row r="1308" spans="1:6" x14ac:dyDescent="0.25">
      <c r="A1308" s="1">
        <v>51113</v>
      </c>
      <c r="B1308" s="2">
        <v>62</v>
      </c>
      <c r="C1308" s="2">
        <v>51</v>
      </c>
      <c r="D1308" s="2">
        <v>400.2</v>
      </c>
      <c r="E1308" s="2" t="s">
        <v>1308</v>
      </c>
      <c r="F1308" s="2">
        <v>400.2</v>
      </c>
    </row>
    <row r="1309" spans="1:6" x14ac:dyDescent="0.25">
      <c r="A1309" s="1">
        <v>51114</v>
      </c>
      <c r="B1309" s="2">
        <v>63</v>
      </c>
      <c r="C1309" s="2">
        <v>51</v>
      </c>
      <c r="D1309" s="2">
        <v>209.4</v>
      </c>
      <c r="E1309" s="2" t="s">
        <v>1309</v>
      </c>
      <c r="F1309" s="2">
        <v>209.4</v>
      </c>
    </row>
    <row r="1310" spans="1:6" x14ac:dyDescent="0.25">
      <c r="A1310" s="1">
        <v>51115</v>
      </c>
      <c r="B1310" s="2">
        <v>64</v>
      </c>
      <c r="C1310" s="2">
        <v>51</v>
      </c>
      <c r="D1310" s="2">
        <v>1926</v>
      </c>
      <c r="E1310" s="2" t="s">
        <v>1310</v>
      </c>
      <c r="F1310" s="2">
        <v>1926</v>
      </c>
    </row>
    <row r="1311" spans="1:6" x14ac:dyDescent="0.25">
      <c r="A1311" s="1">
        <v>51116</v>
      </c>
      <c r="B1311" s="2">
        <v>65</v>
      </c>
      <c r="C1311" s="2">
        <v>51</v>
      </c>
      <c r="D1311" s="2">
        <v>948</v>
      </c>
      <c r="E1311" s="2" t="s">
        <v>1311</v>
      </c>
      <c r="F1311" s="2">
        <v>948</v>
      </c>
    </row>
    <row r="1312" spans="1:6" x14ac:dyDescent="0.25">
      <c r="A1312" s="1">
        <v>51117</v>
      </c>
      <c r="B1312" s="2">
        <v>66</v>
      </c>
      <c r="C1312" s="2">
        <v>51</v>
      </c>
      <c r="D1312" s="2">
        <v>10080</v>
      </c>
      <c r="E1312" s="2" t="s">
        <v>1312</v>
      </c>
      <c r="F1312" s="2">
        <v>10080</v>
      </c>
    </row>
    <row r="1313" spans="1:6" x14ac:dyDescent="0.25">
      <c r="A1313" s="1">
        <v>51118</v>
      </c>
      <c r="B1313" s="2">
        <v>67</v>
      </c>
      <c r="C1313" s="2">
        <v>51</v>
      </c>
      <c r="D1313" s="2">
        <v>216</v>
      </c>
      <c r="E1313" s="2" t="s">
        <v>1313</v>
      </c>
      <c r="F1313" s="2">
        <v>216</v>
      </c>
    </row>
    <row r="1314" spans="1:6" x14ac:dyDescent="0.25">
      <c r="A1314" s="1">
        <v>51119</v>
      </c>
      <c r="B1314" s="2">
        <v>68</v>
      </c>
      <c r="C1314" s="2">
        <v>51</v>
      </c>
      <c r="D1314" s="2">
        <v>137484</v>
      </c>
      <c r="E1314" s="2" t="s">
        <v>1314</v>
      </c>
      <c r="F1314" s="2">
        <v>137484</v>
      </c>
    </row>
    <row r="1315" spans="1:6" x14ac:dyDescent="0.25">
      <c r="A1315" s="1">
        <v>51120</v>
      </c>
      <c r="B1315" s="2">
        <v>69</v>
      </c>
      <c r="C1315" s="2">
        <v>51</v>
      </c>
      <c r="D1315" s="2">
        <v>953.4</v>
      </c>
      <c r="E1315" s="2" t="s">
        <v>1315</v>
      </c>
      <c r="F1315" s="2">
        <v>953.4</v>
      </c>
    </row>
    <row r="1316" spans="1:6" x14ac:dyDescent="0.25">
      <c r="A1316" s="1">
        <v>51121</v>
      </c>
      <c r="B1316" s="2">
        <v>70</v>
      </c>
      <c r="C1316" s="2">
        <v>51</v>
      </c>
      <c r="D1316" s="2" t="s">
        <v>3</v>
      </c>
      <c r="E1316" s="2" t="s">
        <v>1316</v>
      </c>
      <c r="F1316" s="2" t="s">
        <v>3</v>
      </c>
    </row>
    <row r="1317" spans="1:6" x14ac:dyDescent="0.25">
      <c r="A1317" s="1">
        <v>51122</v>
      </c>
      <c r="B1317" s="2">
        <v>71</v>
      </c>
      <c r="C1317" s="2">
        <v>51</v>
      </c>
      <c r="D1317" s="2">
        <v>235336.32000000001</v>
      </c>
      <c r="E1317" s="2" t="s">
        <v>1317</v>
      </c>
      <c r="F1317" s="2">
        <v>235336.32000000001</v>
      </c>
    </row>
    <row r="1318" spans="1:6" x14ac:dyDescent="0.25">
      <c r="A1318" s="1">
        <v>51123</v>
      </c>
      <c r="B1318" s="2">
        <v>72</v>
      </c>
      <c r="C1318" s="2">
        <v>51</v>
      </c>
      <c r="D1318" s="2" t="s">
        <v>3</v>
      </c>
      <c r="E1318" s="2" t="s">
        <v>1318</v>
      </c>
      <c r="F1318" s="2" t="s">
        <v>3</v>
      </c>
    </row>
    <row r="1319" spans="1:6" x14ac:dyDescent="0.25">
      <c r="A1319" s="1">
        <v>51124</v>
      </c>
      <c r="B1319" s="2">
        <v>73</v>
      </c>
      <c r="C1319" s="2">
        <v>51</v>
      </c>
      <c r="D1319" s="2">
        <v>5201280</v>
      </c>
      <c r="E1319" s="2" t="s">
        <v>1319</v>
      </c>
      <c r="F1319" s="2">
        <v>5201280</v>
      </c>
    </row>
    <row r="1320" spans="1:6" x14ac:dyDescent="0.25">
      <c r="A1320" s="1">
        <v>51125</v>
      </c>
      <c r="B1320" s="2">
        <v>74</v>
      </c>
      <c r="C1320" s="2">
        <v>51</v>
      </c>
      <c r="D1320" s="2">
        <v>87053533.055999994</v>
      </c>
      <c r="E1320" s="2" t="s">
        <v>1320</v>
      </c>
      <c r="F1320" s="2">
        <v>87053533.055999994</v>
      </c>
    </row>
    <row r="1321" spans="1:6" x14ac:dyDescent="0.25">
      <c r="A1321" s="1">
        <v>51126</v>
      </c>
      <c r="B1321" s="2">
        <v>75</v>
      </c>
      <c r="C1321" s="2">
        <v>51</v>
      </c>
      <c r="D1321" s="2">
        <v>1067040</v>
      </c>
      <c r="E1321" s="2" t="s">
        <v>1321</v>
      </c>
      <c r="F1321" s="2">
        <v>1067040</v>
      </c>
    </row>
    <row r="1322" spans="1:6" x14ac:dyDescent="0.25">
      <c r="A1322" s="1">
        <v>51127</v>
      </c>
      <c r="B1322" s="2">
        <v>76</v>
      </c>
      <c r="C1322" s="2">
        <v>51</v>
      </c>
      <c r="D1322" s="2">
        <v>332640</v>
      </c>
      <c r="E1322" s="2" t="s">
        <v>1322</v>
      </c>
      <c r="F1322" s="2">
        <v>332640</v>
      </c>
    </row>
    <row r="1323" spans="1:6" x14ac:dyDescent="0.25">
      <c r="A1323" s="1">
        <v>51128</v>
      </c>
      <c r="B1323" s="2">
        <v>77</v>
      </c>
      <c r="C1323" s="2">
        <v>51</v>
      </c>
      <c r="D1323" s="2">
        <v>32580</v>
      </c>
      <c r="E1323" s="2" t="s">
        <v>1323</v>
      </c>
      <c r="F1323" s="2">
        <v>32580</v>
      </c>
    </row>
    <row r="1324" spans="1:6" x14ac:dyDescent="0.25">
      <c r="A1324" s="1">
        <v>51129</v>
      </c>
      <c r="B1324" s="2">
        <v>78</v>
      </c>
      <c r="C1324" s="2">
        <v>51</v>
      </c>
      <c r="D1324" s="2">
        <v>15717.5999999999</v>
      </c>
      <c r="E1324" s="2" t="s">
        <v>1324</v>
      </c>
      <c r="F1324" s="2">
        <v>15717.5999999999</v>
      </c>
    </row>
    <row r="1325" spans="1:6" x14ac:dyDescent="0.25">
      <c r="A1325" s="1">
        <v>51130</v>
      </c>
      <c r="B1325" s="2">
        <v>79</v>
      </c>
      <c r="C1325" s="2">
        <v>51</v>
      </c>
      <c r="D1325" s="2">
        <v>2370</v>
      </c>
      <c r="E1325" s="2" t="s">
        <v>1325</v>
      </c>
      <c r="F1325" s="2">
        <v>2370</v>
      </c>
    </row>
    <row r="1326" spans="1:6" x14ac:dyDescent="0.25">
      <c r="A1326" s="1">
        <v>51131</v>
      </c>
      <c r="B1326" s="2">
        <v>80</v>
      </c>
      <c r="C1326" s="2">
        <v>51</v>
      </c>
      <c r="D1326" s="2">
        <v>1381.8</v>
      </c>
      <c r="E1326" s="2" t="s">
        <v>1326</v>
      </c>
      <c r="F1326" s="2">
        <v>1381.8</v>
      </c>
    </row>
    <row r="1327" spans="1:6" x14ac:dyDescent="0.25">
      <c r="A1327" s="1">
        <v>51132</v>
      </c>
      <c r="B1327" s="2">
        <v>81</v>
      </c>
      <c r="C1327" s="2">
        <v>51</v>
      </c>
      <c r="D1327" s="2">
        <v>167.4</v>
      </c>
      <c r="E1327" s="2" t="s">
        <v>1327</v>
      </c>
      <c r="F1327" s="2">
        <v>167.4</v>
      </c>
    </row>
    <row r="1328" spans="1:6" x14ac:dyDescent="0.25">
      <c r="A1328" s="1">
        <v>51133</v>
      </c>
      <c r="B1328" s="2">
        <v>82</v>
      </c>
      <c r="C1328" s="2">
        <v>51</v>
      </c>
      <c r="D1328" s="2">
        <v>140.39999999999901</v>
      </c>
      <c r="E1328" s="2" t="s">
        <v>1328</v>
      </c>
      <c r="F1328" s="2">
        <v>140.39999999999901</v>
      </c>
    </row>
    <row r="1329" spans="1:6" x14ac:dyDescent="0.25">
      <c r="A1329" s="1">
        <v>51134</v>
      </c>
      <c r="B1329" s="2">
        <v>83</v>
      </c>
      <c r="C1329" s="2">
        <v>51</v>
      </c>
      <c r="D1329" s="2">
        <v>0.78</v>
      </c>
      <c r="E1329" s="2" t="s">
        <v>1329</v>
      </c>
      <c r="F1329" s="2">
        <v>0.78</v>
      </c>
    </row>
    <row r="1330" spans="1:6" x14ac:dyDescent="0.25">
      <c r="A1330" s="1">
        <v>51135</v>
      </c>
      <c r="B1330" s="2">
        <v>84</v>
      </c>
      <c r="C1330" s="2">
        <v>51</v>
      </c>
      <c r="D1330" s="2">
        <v>1.679</v>
      </c>
      <c r="E1330" s="2" t="s">
        <v>1330</v>
      </c>
      <c r="F1330" s="2">
        <v>1.679</v>
      </c>
    </row>
    <row r="1331" spans="1:6" x14ac:dyDescent="0.25">
      <c r="A1331" s="1">
        <v>51136</v>
      </c>
      <c r="B1331" s="2">
        <v>85</v>
      </c>
      <c r="C1331" s="2">
        <v>51</v>
      </c>
      <c r="D1331" s="2">
        <v>0.92300000000000004</v>
      </c>
      <c r="E1331" s="2" t="s">
        <v>1331</v>
      </c>
      <c r="F1331" s="2">
        <v>0.92300000000000004</v>
      </c>
    </row>
    <row r="1332" spans="1:6" x14ac:dyDescent="0.25">
      <c r="A1332" s="1">
        <v>51137</v>
      </c>
      <c r="B1332" s="2">
        <v>86</v>
      </c>
      <c r="C1332" s="2">
        <v>51</v>
      </c>
      <c r="D1332" s="2">
        <v>0.49199999999999999</v>
      </c>
      <c r="E1332" s="2" t="s">
        <v>1332</v>
      </c>
      <c r="F1332" s="2">
        <v>0.49199999999999999</v>
      </c>
    </row>
    <row r="1333" spans="1:6" x14ac:dyDescent="0.25">
      <c r="A1333" s="1">
        <v>51138</v>
      </c>
      <c r="B1333" s="2">
        <v>87</v>
      </c>
      <c r="C1333" s="2">
        <v>51</v>
      </c>
      <c r="D1333" s="2">
        <v>0.34799999999999998</v>
      </c>
      <c r="E1333" s="2" t="s">
        <v>1333</v>
      </c>
      <c r="F1333" s="2">
        <v>0.34799999999999998</v>
      </c>
    </row>
    <row r="1334" spans="1:6" x14ac:dyDescent="0.25">
      <c r="A1334" s="1">
        <v>51139</v>
      </c>
      <c r="B1334" s="2">
        <v>88</v>
      </c>
      <c r="C1334" s="2">
        <v>51</v>
      </c>
      <c r="D1334" s="2">
        <v>9.2999999999999999E-2</v>
      </c>
      <c r="E1334" s="2" t="s">
        <v>1334</v>
      </c>
      <c r="F1334" s="2">
        <v>9.2999999999999999E-2</v>
      </c>
    </row>
    <row r="1335" spans="1:6" x14ac:dyDescent="0.25">
      <c r="A1335" s="1">
        <v>51140</v>
      </c>
      <c r="B1335" s="2">
        <v>89</v>
      </c>
      <c r="C1335" s="2">
        <v>51</v>
      </c>
      <c r="D1335" s="2">
        <v>4.0699999999999998E-7</v>
      </c>
      <c r="E1335" s="2" t="s">
        <v>1335</v>
      </c>
      <c r="F1335" s="2">
        <v>4.0699999999999998E-7</v>
      </c>
    </row>
    <row r="1336" spans="1:6" x14ac:dyDescent="0.25">
      <c r="A1336" s="1">
        <v>52105</v>
      </c>
      <c r="B1336" s="2">
        <v>53</v>
      </c>
      <c r="C1336" s="2">
        <v>52</v>
      </c>
      <c r="D1336" s="2">
        <v>6.1999999999999999E-7</v>
      </c>
      <c r="E1336" s="2" t="s">
        <v>1336</v>
      </c>
      <c r="F1336" s="2">
        <v>6.1999999999999999E-7</v>
      </c>
    </row>
    <row r="1337" spans="1:6" x14ac:dyDescent="0.25">
      <c r="A1337" s="1">
        <v>52106</v>
      </c>
      <c r="B1337" s="2">
        <v>54</v>
      </c>
      <c r="C1337" s="2">
        <v>52</v>
      </c>
      <c r="D1337" s="2">
        <v>6.9999999999999994E-5</v>
      </c>
      <c r="E1337" s="2" t="s">
        <v>1337</v>
      </c>
      <c r="F1337" s="2">
        <v>6.9999999999999994E-5</v>
      </c>
    </row>
    <row r="1338" spans="1:6" x14ac:dyDescent="0.25">
      <c r="A1338" s="1">
        <v>52107</v>
      </c>
      <c r="B1338" s="2">
        <v>55</v>
      </c>
      <c r="C1338" s="2">
        <v>52</v>
      </c>
      <c r="D1338" s="2">
        <v>3.0999999999999999E-3</v>
      </c>
      <c r="E1338" s="2" t="s">
        <v>1338</v>
      </c>
      <c r="F1338" s="2">
        <v>3.0999999999999999E-3</v>
      </c>
    </row>
    <row r="1339" spans="1:6" x14ac:dyDescent="0.25">
      <c r="A1339" s="1">
        <v>52108</v>
      </c>
      <c r="B1339" s="2">
        <v>56</v>
      </c>
      <c r="C1339" s="2">
        <v>52</v>
      </c>
      <c r="D1339" s="2">
        <v>2.1</v>
      </c>
      <c r="E1339" s="2" t="s">
        <v>1339</v>
      </c>
      <c r="F1339" s="2">
        <v>2.1</v>
      </c>
    </row>
    <row r="1340" spans="1:6" x14ac:dyDescent="0.25">
      <c r="A1340" s="1">
        <v>52109</v>
      </c>
      <c r="B1340" s="2">
        <v>57</v>
      </c>
      <c r="C1340" s="2">
        <v>52</v>
      </c>
      <c r="D1340" s="2">
        <v>4.5999999999999996</v>
      </c>
      <c r="E1340" s="2" t="s">
        <v>1340</v>
      </c>
      <c r="F1340" s="2">
        <v>4.5999999999999996</v>
      </c>
    </row>
    <row r="1341" spans="1:6" x14ac:dyDescent="0.25">
      <c r="A1341" s="1">
        <v>52110</v>
      </c>
      <c r="B1341" s="2">
        <v>58</v>
      </c>
      <c r="C1341" s="2">
        <v>52</v>
      </c>
      <c r="D1341" s="2">
        <v>18.600000000000001</v>
      </c>
      <c r="E1341" s="2" t="s">
        <v>1341</v>
      </c>
      <c r="F1341" s="2">
        <v>18.600000000000001</v>
      </c>
    </row>
    <row r="1342" spans="1:6" x14ac:dyDescent="0.25">
      <c r="A1342" s="1">
        <v>52111</v>
      </c>
      <c r="B1342" s="2">
        <v>59</v>
      </c>
      <c r="C1342" s="2">
        <v>52</v>
      </c>
      <c r="D1342" s="2">
        <v>19.3</v>
      </c>
      <c r="E1342" s="2" t="s">
        <v>1342</v>
      </c>
      <c r="F1342" s="2">
        <v>19.3</v>
      </c>
    </row>
    <row r="1343" spans="1:6" x14ac:dyDescent="0.25">
      <c r="A1343" s="1">
        <v>52112</v>
      </c>
      <c r="B1343" s="2">
        <v>60</v>
      </c>
      <c r="C1343" s="2">
        <v>52</v>
      </c>
      <c r="D1343" s="2">
        <v>120</v>
      </c>
      <c r="E1343" s="2" t="s">
        <v>1343</v>
      </c>
      <c r="F1343" s="2">
        <v>120</v>
      </c>
    </row>
    <row r="1344" spans="1:6" x14ac:dyDescent="0.25">
      <c r="A1344" s="1">
        <v>52113</v>
      </c>
      <c r="B1344" s="2">
        <v>61</v>
      </c>
      <c r="C1344" s="2">
        <v>52</v>
      </c>
      <c r="D1344" s="2">
        <v>102</v>
      </c>
      <c r="E1344" s="2" t="s">
        <v>1344</v>
      </c>
      <c r="F1344" s="2">
        <v>102</v>
      </c>
    </row>
    <row r="1345" spans="1:6" x14ac:dyDescent="0.25">
      <c r="A1345" s="1">
        <v>52114</v>
      </c>
      <c r="B1345" s="2">
        <v>62</v>
      </c>
      <c r="C1345" s="2">
        <v>52</v>
      </c>
      <c r="D1345" s="2">
        <v>912</v>
      </c>
      <c r="E1345" s="2" t="s">
        <v>1345</v>
      </c>
      <c r="F1345" s="2">
        <v>912</v>
      </c>
    </row>
    <row r="1346" spans="1:6" x14ac:dyDescent="0.25">
      <c r="A1346" s="1">
        <v>52115</v>
      </c>
      <c r="B1346" s="2">
        <v>63</v>
      </c>
      <c r="C1346" s="2">
        <v>52</v>
      </c>
      <c r="D1346" s="2">
        <v>348</v>
      </c>
      <c r="E1346" s="2" t="s">
        <v>1346</v>
      </c>
      <c r="F1346" s="2">
        <v>348</v>
      </c>
    </row>
    <row r="1347" spans="1:6" x14ac:dyDescent="0.25">
      <c r="A1347" s="1">
        <v>52116</v>
      </c>
      <c r="B1347" s="2">
        <v>64</v>
      </c>
      <c r="C1347" s="2">
        <v>52</v>
      </c>
      <c r="D1347" s="2">
        <v>8964</v>
      </c>
      <c r="E1347" s="2" t="s">
        <v>1347</v>
      </c>
      <c r="F1347" s="2">
        <v>8964</v>
      </c>
    </row>
    <row r="1348" spans="1:6" x14ac:dyDescent="0.25">
      <c r="A1348" s="1">
        <v>52117</v>
      </c>
      <c r="B1348" s="2">
        <v>65</v>
      </c>
      <c r="C1348" s="2">
        <v>52</v>
      </c>
      <c r="D1348" s="2">
        <v>3720</v>
      </c>
      <c r="E1348" s="2" t="s">
        <v>1348</v>
      </c>
      <c r="F1348" s="2">
        <v>3720</v>
      </c>
    </row>
    <row r="1349" spans="1:6" x14ac:dyDescent="0.25">
      <c r="A1349" s="1">
        <v>52118</v>
      </c>
      <c r="B1349" s="2">
        <v>66</v>
      </c>
      <c r="C1349" s="2">
        <v>52</v>
      </c>
      <c r="D1349" s="2">
        <v>518400</v>
      </c>
      <c r="E1349" s="2" t="s">
        <v>1349</v>
      </c>
      <c r="F1349" s="2">
        <v>518400</v>
      </c>
    </row>
    <row r="1350" spans="1:6" x14ac:dyDescent="0.25">
      <c r="A1350" s="1">
        <v>52119</v>
      </c>
      <c r="B1350" s="2">
        <v>67</v>
      </c>
      <c r="C1350" s="2">
        <v>52</v>
      </c>
      <c r="D1350" s="2">
        <v>57780</v>
      </c>
      <c r="E1350" s="2" t="s">
        <v>1350</v>
      </c>
      <c r="F1350" s="2">
        <v>57780</v>
      </c>
    </row>
    <row r="1351" spans="1:6" x14ac:dyDescent="0.25">
      <c r="A1351" s="1">
        <v>52120</v>
      </c>
      <c r="B1351" s="2">
        <v>68</v>
      </c>
      <c r="C1351" s="2">
        <v>52</v>
      </c>
      <c r="D1351" s="2" t="s">
        <v>3</v>
      </c>
      <c r="E1351" s="2" t="s">
        <v>1351</v>
      </c>
      <c r="F1351" s="2" t="s">
        <v>3</v>
      </c>
    </row>
    <row r="1352" spans="1:6" x14ac:dyDescent="0.25">
      <c r="A1352" s="1">
        <v>52121</v>
      </c>
      <c r="B1352" s="2">
        <v>69</v>
      </c>
      <c r="C1352" s="2">
        <v>52</v>
      </c>
      <c r="D1352" s="2">
        <v>1656288</v>
      </c>
      <c r="E1352" s="2" t="s">
        <v>1352</v>
      </c>
      <c r="F1352" s="2">
        <v>1656288</v>
      </c>
    </row>
    <row r="1353" spans="1:6" x14ac:dyDescent="0.25">
      <c r="A1353" s="1">
        <v>52122</v>
      </c>
      <c r="B1353" s="2">
        <v>70</v>
      </c>
      <c r="C1353" s="2">
        <v>52</v>
      </c>
      <c r="D1353" s="2" t="s">
        <v>3</v>
      </c>
      <c r="E1353" s="2" t="s">
        <v>1353</v>
      </c>
      <c r="F1353" s="2" t="s">
        <v>3</v>
      </c>
    </row>
    <row r="1354" spans="1:6" x14ac:dyDescent="0.25">
      <c r="A1354" s="1">
        <v>52123</v>
      </c>
      <c r="B1354" s="2">
        <v>71</v>
      </c>
      <c r="C1354" s="2">
        <v>52</v>
      </c>
      <c r="D1354" s="2">
        <v>2.9032991999999999E+24</v>
      </c>
      <c r="E1354" s="2" t="s">
        <v>1354</v>
      </c>
      <c r="F1354" s="2">
        <v>2.9032991999999999E+24</v>
      </c>
    </row>
    <row r="1355" spans="1:6" x14ac:dyDescent="0.25">
      <c r="A1355" s="1">
        <v>52124</v>
      </c>
      <c r="B1355" s="2">
        <v>72</v>
      </c>
      <c r="C1355" s="2">
        <v>52</v>
      </c>
      <c r="D1355" s="2" t="s">
        <v>3</v>
      </c>
      <c r="E1355" s="2" t="s">
        <v>1355</v>
      </c>
      <c r="F1355" s="2" t="s">
        <v>3</v>
      </c>
    </row>
    <row r="1356" spans="1:6" x14ac:dyDescent="0.25">
      <c r="A1356" s="1">
        <v>52125</v>
      </c>
      <c r="B1356" s="2">
        <v>73</v>
      </c>
      <c r="C1356" s="2">
        <v>52</v>
      </c>
      <c r="D1356" s="2" t="s">
        <v>3</v>
      </c>
      <c r="E1356" s="2" t="s">
        <v>1356</v>
      </c>
      <c r="F1356" s="2" t="s">
        <v>3</v>
      </c>
    </row>
    <row r="1357" spans="1:6" x14ac:dyDescent="0.25">
      <c r="A1357" s="1">
        <v>52126</v>
      </c>
      <c r="B1357" s="2">
        <v>74</v>
      </c>
      <c r="C1357" s="2">
        <v>52</v>
      </c>
      <c r="D1357" s="2" t="s">
        <v>3</v>
      </c>
      <c r="E1357" s="2" t="s">
        <v>1357</v>
      </c>
      <c r="F1357" s="2" t="s">
        <v>3</v>
      </c>
    </row>
    <row r="1358" spans="1:6" x14ac:dyDescent="0.25">
      <c r="A1358" s="1">
        <v>52127</v>
      </c>
      <c r="B1358" s="2">
        <v>75</v>
      </c>
      <c r="C1358" s="2">
        <v>52</v>
      </c>
      <c r="D1358" s="2">
        <v>33660</v>
      </c>
      <c r="E1358" s="2" t="s">
        <v>1358</v>
      </c>
      <c r="F1358" s="2">
        <v>33660</v>
      </c>
    </row>
    <row r="1359" spans="1:6" x14ac:dyDescent="0.25">
      <c r="A1359" s="1">
        <v>52128</v>
      </c>
      <c r="B1359" s="2">
        <v>76</v>
      </c>
      <c r="C1359" s="2">
        <v>52</v>
      </c>
      <c r="D1359" s="2">
        <v>7.6053815999999996E+31</v>
      </c>
      <c r="E1359" s="2" t="s">
        <v>1359</v>
      </c>
      <c r="F1359" s="2">
        <v>7.6053815999999996E+31</v>
      </c>
    </row>
    <row r="1360" spans="1:6" x14ac:dyDescent="0.25">
      <c r="A1360" s="1">
        <v>52129</v>
      </c>
      <c r="B1360" s="2">
        <v>77</v>
      </c>
      <c r="C1360" s="2">
        <v>52</v>
      </c>
      <c r="D1360" s="2">
        <v>4194</v>
      </c>
      <c r="E1360" s="2" t="s">
        <v>1360</v>
      </c>
      <c r="F1360" s="2">
        <v>4194</v>
      </c>
    </row>
    <row r="1361" spans="1:6" x14ac:dyDescent="0.25">
      <c r="A1361" s="1">
        <v>52130</v>
      </c>
      <c r="B1361" s="2">
        <v>78</v>
      </c>
      <c r="C1361" s="2">
        <v>52</v>
      </c>
      <c r="D1361" s="2">
        <v>9.46728E+31</v>
      </c>
      <c r="E1361" s="2" t="s">
        <v>1361</v>
      </c>
      <c r="F1361" s="2">
        <v>9.46728E+31</v>
      </c>
    </row>
    <row r="1362" spans="1:6" x14ac:dyDescent="0.25">
      <c r="A1362" s="1">
        <v>52131</v>
      </c>
      <c r="B1362" s="2">
        <v>79</v>
      </c>
      <c r="C1362" s="2">
        <v>52</v>
      </c>
      <c r="D1362" s="2">
        <v>1500</v>
      </c>
      <c r="E1362" s="2" t="s">
        <v>1362</v>
      </c>
      <c r="F1362" s="2">
        <v>1500</v>
      </c>
    </row>
    <row r="1363" spans="1:6" x14ac:dyDescent="0.25">
      <c r="A1363" s="1">
        <v>52132</v>
      </c>
      <c r="B1363" s="2">
        <v>80</v>
      </c>
      <c r="C1363" s="2">
        <v>52</v>
      </c>
      <c r="D1363" s="2">
        <v>276825.59999999998</v>
      </c>
      <c r="E1363" s="2" t="s">
        <v>1363</v>
      </c>
      <c r="F1363" s="2">
        <v>276825.59999999998</v>
      </c>
    </row>
    <row r="1364" spans="1:6" x14ac:dyDescent="0.25">
      <c r="A1364" s="1">
        <v>52133</v>
      </c>
      <c r="B1364" s="2">
        <v>81</v>
      </c>
      <c r="C1364" s="2">
        <v>52</v>
      </c>
      <c r="D1364" s="2">
        <v>750</v>
      </c>
      <c r="E1364" s="2" t="s">
        <v>1364</v>
      </c>
      <c r="F1364" s="2">
        <v>750</v>
      </c>
    </row>
    <row r="1365" spans="1:6" x14ac:dyDescent="0.25">
      <c r="A1365" s="1">
        <v>52134</v>
      </c>
      <c r="B1365" s="2">
        <v>82</v>
      </c>
      <c r="C1365" s="2">
        <v>52</v>
      </c>
      <c r="D1365" s="2">
        <v>2508</v>
      </c>
      <c r="E1365" s="2" t="s">
        <v>1365</v>
      </c>
      <c r="F1365" s="2">
        <v>2508</v>
      </c>
    </row>
    <row r="1366" spans="1:6" x14ac:dyDescent="0.25">
      <c r="A1366" s="1">
        <v>52135</v>
      </c>
      <c r="B1366" s="2">
        <v>83</v>
      </c>
      <c r="C1366" s="2">
        <v>52</v>
      </c>
      <c r="D1366" s="2">
        <v>19</v>
      </c>
      <c r="E1366" s="2" t="s">
        <v>1366</v>
      </c>
      <c r="F1366" s="2">
        <v>19</v>
      </c>
    </row>
    <row r="1367" spans="1:6" x14ac:dyDescent="0.25">
      <c r="A1367" s="1">
        <v>52136</v>
      </c>
      <c r="B1367" s="2">
        <v>84</v>
      </c>
      <c r="C1367" s="2">
        <v>52</v>
      </c>
      <c r="D1367" s="2">
        <v>17.63</v>
      </c>
      <c r="E1367" s="2" t="s">
        <v>1367</v>
      </c>
      <c r="F1367" s="2">
        <v>17.63</v>
      </c>
    </row>
    <row r="1368" spans="1:6" x14ac:dyDescent="0.25">
      <c r="A1368" s="1">
        <v>52137</v>
      </c>
      <c r="B1368" s="2">
        <v>85</v>
      </c>
      <c r="C1368" s="2">
        <v>52</v>
      </c>
      <c r="D1368" s="2">
        <v>2.4900000000000002</v>
      </c>
      <c r="E1368" s="2" t="s">
        <v>1368</v>
      </c>
      <c r="F1368" s="2">
        <v>2.4900000000000002</v>
      </c>
    </row>
    <row r="1369" spans="1:6" x14ac:dyDescent="0.25">
      <c r="A1369" s="1">
        <v>52138</v>
      </c>
      <c r="B1369" s="2">
        <v>86</v>
      </c>
      <c r="C1369" s="2">
        <v>52</v>
      </c>
      <c r="D1369" s="2">
        <v>1.4</v>
      </c>
      <c r="E1369" s="2" t="s">
        <v>1369</v>
      </c>
      <c r="F1369" s="2">
        <v>1.4</v>
      </c>
    </row>
    <row r="1370" spans="1:6" x14ac:dyDescent="0.25">
      <c r="A1370" s="1">
        <v>52139</v>
      </c>
      <c r="B1370" s="2">
        <v>87</v>
      </c>
      <c r="C1370" s="2">
        <v>52</v>
      </c>
      <c r="D1370" s="2">
        <v>1.4999999999999999E-7</v>
      </c>
      <c r="E1370" s="2" t="s">
        <v>1370</v>
      </c>
      <c r="F1370" s="2">
        <v>1.4999999999999999E-7</v>
      </c>
    </row>
    <row r="1371" spans="1:6" x14ac:dyDescent="0.25">
      <c r="A1371" s="1">
        <v>52140</v>
      </c>
      <c r="B1371" s="2">
        <v>88</v>
      </c>
      <c r="C1371" s="2">
        <v>52</v>
      </c>
      <c r="D1371" s="2">
        <v>2.9999999999999999E-7</v>
      </c>
      <c r="E1371" s="2" t="s">
        <v>1371</v>
      </c>
      <c r="F1371" s="2">
        <v>2.9999999999999999E-7</v>
      </c>
    </row>
    <row r="1372" spans="1:6" x14ac:dyDescent="0.25">
      <c r="A1372" s="1">
        <v>52141</v>
      </c>
      <c r="B1372" s="2">
        <v>89</v>
      </c>
      <c r="C1372" s="2">
        <v>52</v>
      </c>
      <c r="D1372" s="2">
        <v>1.4999999999999999E-7</v>
      </c>
      <c r="E1372" s="2" t="s">
        <v>1372</v>
      </c>
      <c r="F1372" s="2">
        <v>1.4999999999999999E-7</v>
      </c>
    </row>
    <row r="1373" spans="1:6" x14ac:dyDescent="0.25">
      <c r="A1373" s="1">
        <v>52143</v>
      </c>
      <c r="B1373" s="2">
        <v>91</v>
      </c>
      <c r="C1373" s="2">
        <v>52</v>
      </c>
      <c r="D1373" s="2">
        <v>4.08E-7</v>
      </c>
      <c r="E1373" s="2" t="s">
        <v>1373</v>
      </c>
      <c r="F1373" s="2">
        <v>4.08E-7</v>
      </c>
    </row>
    <row r="1374" spans="1:6" x14ac:dyDescent="0.25">
      <c r="A1374" s="1">
        <v>53108</v>
      </c>
      <c r="B1374" s="2">
        <v>55</v>
      </c>
      <c r="C1374" s="2">
        <v>53</v>
      </c>
      <c r="D1374" s="2">
        <v>3.5999999999999997E-2</v>
      </c>
      <c r="E1374" s="2" t="s">
        <v>1374</v>
      </c>
      <c r="F1374" s="2">
        <v>3.5999999999999997E-2</v>
      </c>
    </row>
    <row r="1375" spans="1:6" x14ac:dyDescent="0.25">
      <c r="A1375" s="1">
        <v>53109</v>
      </c>
      <c r="B1375" s="2">
        <v>56</v>
      </c>
      <c r="C1375" s="2">
        <v>53</v>
      </c>
      <c r="D1375" s="2">
        <v>9.3499999999999996E-5</v>
      </c>
      <c r="E1375" s="2" t="s">
        <v>1375</v>
      </c>
      <c r="F1375" s="2">
        <v>9.3499999999999996E-5</v>
      </c>
    </row>
    <row r="1376" spans="1:6" x14ac:dyDescent="0.25">
      <c r="A1376" s="1">
        <v>53110</v>
      </c>
      <c r="B1376" s="2">
        <v>57</v>
      </c>
      <c r="C1376" s="2">
        <v>53</v>
      </c>
      <c r="D1376" s="2">
        <v>0.65</v>
      </c>
      <c r="E1376" s="2" t="s">
        <v>1376</v>
      </c>
      <c r="F1376" s="2">
        <v>0.65</v>
      </c>
    </row>
    <row r="1377" spans="1:6" x14ac:dyDescent="0.25">
      <c r="A1377" s="1">
        <v>53111</v>
      </c>
      <c r="B1377" s="2">
        <v>58</v>
      </c>
      <c r="C1377" s="2">
        <v>53</v>
      </c>
      <c r="D1377" s="2">
        <v>2.5</v>
      </c>
      <c r="E1377" s="2" t="s">
        <v>1377</v>
      </c>
      <c r="F1377" s="2">
        <v>2.5</v>
      </c>
    </row>
    <row r="1378" spans="1:6" x14ac:dyDescent="0.25">
      <c r="A1378" s="1">
        <v>53112</v>
      </c>
      <c r="B1378" s="2">
        <v>59</v>
      </c>
      <c r="C1378" s="2">
        <v>53</v>
      </c>
      <c r="D1378" s="2">
        <v>3.34</v>
      </c>
      <c r="E1378" s="2" t="s">
        <v>1378</v>
      </c>
      <c r="F1378" s="2">
        <v>3.34</v>
      </c>
    </row>
    <row r="1379" spans="1:6" x14ac:dyDescent="0.25">
      <c r="A1379" s="1">
        <v>53113</v>
      </c>
      <c r="B1379" s="2">
        <v>60</v>
      </c>
      <c r="C1379" s="2">
        <v>53</v>
      </c>
      <c r="D1379" s="2">
        <v>6.6</v>
      </c>
      <c r="E1379" s="2" t="s">
        <v>1379</v>
      </c>
      <c r="F1379" s="2">
        <v>6.6</v>
      </c>
    </row>
    <row r="1380" spans="1:6" x14ac:dyDescent="0.25">
      <c r="A1380" s="1">
        <v>53114</v>
      </c>
      <c r="B1380" s="2">
        <v>61</v>
      </c>
      <c r="C1380" s="2">
        <v>53</v>
      </c>
      <c r="D1380" s="2">
        <v>2.1</v>
      </c>
      <c r="E1380" s="2" t="s">
        <v>1380</v>
      </c>
      <c r="F1380" s="2">
        <v>2.1</v>
      </c>
    </row>
    <row r="1381" spans="1:6" x14ac:dyDescent="0.25">
      <c r="A1381" s="1">
        <v>53115</v>
      </c>
      <c r="B1381" s="2">
        <v>62</v>
      </c>
      <c r="C1381" s="2">
        <v>53</v>
      </c>
      <c r="D1381" s="2">
        <v>78</v>
      </c>
      <c r="E1381" s="2" t="s">
        <v>1381</v>
      </c>
      <c r="F1381" s="2">
        <v>78</v>
      </c>
    </row>
    <row r="1382" spans="1:6" x14ac:dyDescent="0.25">
      <c r="A1382" s="1">
        <v>53116</v>
      </c>
      <c r="B1382" s="2">
        <v>63</v>
      </c>
      <c r="C1382" s="2">
        <v>53</v>
      </c>
      <c r="D1382" s="2">
        <v>2.91</v>
      </c>
      <c r="E1382" s="2" t="s">
        <v>1382</v>
      </c>
      <c r="F1382" s="2">
        <v>2.91</v>
      </c>
    </row>
    <row r="1383" spans="1:6" x14ac:dyDescent="0.25">
      <c r="A1383" s="1">
        <v>53117</v>
      </c>
      <c r="B1383" s="2">
        <v>64</v>
      </c>
      <c r="C1383" s="2">
        <v>53</v>
      </c>
      <c r="D1383" s="2">
        <v>133.19999999999999</v>
      </c>
      <c r="E1383" s="2" t="s">
        <v>1383</v>
      </c>
      <c r="F1383" s="2">
        <v>133.19999999999999</v>
      </c>
    </row>
    <row r="1384" spans="1:6" x14ac:dyDescent="0.25">
      <c r="A1384" s="1">
        <v>53118</v>
      </c>
      <c r="B1384" s="2">
        <v>65</v>
      </c>
      <c r="C1384" s="2">
        <v>53</v>
      </c>
      <c r="D1384" s="2">
        <v>822</v>
      </c>
      <c r="E1384" s="2" t="s">
        <v>1384</v>
      </c>
      <c r="F1384" s="2">
        <v>822</v>
      </c>
    </row>
    <row r="1385" spans="1:6" x14ac:dyDescent="0.25">
      <c r="A1385" s="1">
        <v>53119</v>
      </c>
      <c r="B1385" s="2">
        <v>66</v>
      </c>
      <c r="C1385" s="2">
        <v>53</v>
      </c>
      <c r="D1385" s="2">
        <v>1146</v>
      </c>
      <c r="E1385" s="2" t="s">
        <v>1385</v>
      </c>
      <c r="F1385" s="2">
        <v>1146</v>
      </c>
    </row>
    <row r="1386" spans="1:6" x14ac:dyDescent="0.25">
      <c r="A1386" s="1">
        <v>53120</v>
      </c>
      <c r="B1386" s="2">
        <v>67</v>
      </c>
      <c r="C1386" s="2">
        <v>53</v>
      </c>
      <c r="D1386" s="2">
        <v>4896</v>
      </c>
      <c r="E1386" s="2" t="s">
        <v>1386</v>
      </c>
      <c r="F1386" s="2">
        <v>4896</v>
      </c>
    </row>
    <row r="1387" spans="1:6" x14ac:dyDescent="0.25">
      <c r="A1387" s="1">
        <v>53121</v>
      </c>
      <c r="B1387" s="2">
        <v>68</v>
      </c>
      <c r="C1387" s="2">
        <v>53</v>
      </c>
      <c r="D1387" s="2">
        <v>7632</v>
      </c>
      <c r="E1387" s="2" t="s">
        <v>1387</v>
      </c>
      <c r="F1387" s="2">
        <v>7632</v>
      </c>
    </row>
    <row r="1388" spans="1:6" x14ac:dyDescent="0.25">
      <c r="A1388" s="1">
        <v>53122</v>
      </c>
      <c r="B1388" s="2">
        <v>69</v>
      </c>
      <c r="C1388" s="2">
        <v>53</v>
      </c>
      <c r="D1388" s="2">
        <v>217.79999999999899</v>
      </c>
      <c r="E1388" s="2" t="s">
        <v>1388</v>
      </c>
      <c r="F1388" s="2">
        <v>217.79999999999899</v>
      </c>
    </row>
    <row r="1389" spans="1:6" x14ac:dyDescent="0.25">
      <c r="A1389" s="1">
        <v>53123</v>
      </c>
      <c r="B1389" s="2">
        <v>70</v>
      </c>
      <c r="C1389" s="2">
        <v>53</v>
      </c>
      <c r="D1389" s="2">
        <v>47604.6</v>
      </c>
      <c r="E1389" s="2" t="s">
        <v>1389</v>
      </c>
      <c r="F1389" s="2">
        <v>47604.6</v>
      </c>
    </row>
    <row r="1390" spans="1:6" x14ac:dyDescent="0.25">
      <c r="A1390" s="1">
        <v>53124</v>
      </c>
      <c r="B1390" s="2">
        <v>71</v>
      </c>
      <c r="C1390" s="2">
        <v>53</v>
      </c>
      <c r="D1390" s="2">
        <v>360806.40000000002</v>
      </c>
      <c r="E1390" s="2" t="s">
        <v>1390</v>
      </c>
      <c r="F1390" s="2">
        <v>360806.40000000002</v>
      </c>
    </row>
    <row r="1391" spans="1:6" x14ac:dyDescent="0.25">
      <c r="A1391" s="1">
        <v>53125</v>
      </c>
      <c r="B1391" s="2">
        <v>72</v>
      </c>
      <c r="C1391" s="2">
        <v>53</v>
      </c>
      <c r="D1391" s="2">
        <v>5132764.8</v>
      </c>
      <c r="E1391" s="2" t="s">
        <v>1391</v>
      </c>
      <c r="F1391" s="2">
        <v>5132764.8</v>
      </c>
    </row>
    <row r="1392" spans="1:6" x14ac:dyDescent="0.25">
      <c r="A1392" s="1">
        <v>53126</v>
      </c>
      <c r="B1392" s="2">
        <v>73</v>
      </c>
      <c r="C1392" s="2">
        <v>53</v>
      </c>
      <c r="D1392" s="2">
        <v>1117152</v>
      </c>
      <c r="E1392" s="2" t="s">
        <v>1392</v>
      </c>
      <c r="F1392" s="2">
        <v>1117152</v>
      </c>
    </row>
    <row r="1393" spans="1:6" x14ac:dyDescent="0.25">
      <c r="A1393" s="1">
        <v>53127</v>
      </c>
      <c r="B1393" s="2">
        <v>74</v>
      </c>
      <c r="C1393" s="2">
        <v>53</v>
      </c>
      <c r="D1393" s="2" t="s">
        <v>3</v>
      </c>
      <c r="E1393" s="2" t="s">
        <v>1393</v>
      </c>
      <c r="F1393" s="2" t="s">
        <v>3</v>
      </c>
    </row>
    <row r="1394" spans="1:6" x14ac:dyDescent="0.25">
      <c r="A1394" s="1">
        <v>53128</v>
      </c>
      <c r="B1394" s="2">
        <v>75</v>
      </c>
      <c r="C1394" s="2">
        <v>53</v>
      </c>
      <c r="D1394" s="2">
        <v>1499.3999999999901</v>
      </c>
      <c r="E1394" s="2" t="s">
        <v>1394</v>
      </c>
      <c r="F1394" s="2">
        <v>1499.3999999999901</v>
      </c>
    </row>
    <row r="1395" spans="1:6" x14ac:dyDescent="0.25">
      <c r="A1395" s="1">
        <v>53129</v>
      </c>
      <c r="B1395" s="2">
        <v>76</v>
      </c>
      <c r="C1395" s="2">
        <v>53</v>
      </c>
      <c r="D1395" s="2">
        <v>495454320000000</v>
      </c>
      <c r="E1395" s="2" t="s">
        <v>1395</v>
      </c>
      <c r="F1395" s="2">
        <v>495454320000000</v>
      </c>
    </row>
    <row r="1396" spans="1:6" x14ac:dyDescent="0.25">
      <c r="A1396" s="1">
        <v>53130</v>
      </c>
      <c r="B1396" s="2">
        <v>77</v>
      </c>
      <c r="C1396" s="2">
        <v>53</v>
      </c>
      <c r="D1396" s="2">
        <v>44496</v>
      </c>
      <c r="E1396" s="2" t="s">
        <v>1396</v>
      </c>
      <c r="F1396" s="2">
        <v>44496</v>
      </c>
    </row>
    <row r="1397" spans="1:6" x14ac:dyDescent="0.25">
      <c r="A1397" s="1">
        <v>53131</v>
      </c>
      <c r="B1397" s="2">
        <v>78</v>
      </c>
      <c r="C1397" s="2">
        <v>53</v>
      </c>
      <c r="D1397" s="2">
        <v>693377.28</v>
      </c>
      <c r="E1397" s="2" t="s">
        <v>1397</v>
      </c>
      <c r="F1397" s="2">
        <v>693377.28</v>
      </c>
    </row>
    <row r="1398" spans="1:6" x14ac:dyDescent="0.25">
      <c r="A1398" s="1">
        <v>53132</v>
      </c>
      <c r="B1398" s="2">
        <v>79</v>
      </c>
      <c r="C1398" s="2">
        <v>53</v>
      </c>
      <c r="D1398" s="2">
        <v>8262</v>
      </c>
      <c r="E1398" s="2" t="s">
        <v>1398</v>
      </c>
      <c r="F1398" s="2">
        <v>8262</v>
      </c>
    </row>
    <row r="1399" spans="1:6" x14ac:dyDescent="0.25">
      <c r="A1399" s="1">
        <v>53133</v>
      </c>
      <c r="B1399" s="2">
        <v>80</v>
      </c>
      <c r="C1399" s="2">
        <v>53</v>
      </c>
      <c r="D1399" s="2">
        <v>74988</v>
      </c>
      <c r="E1399" s="2" t="s">
        <v>1399</v>
      </c>
      <c r="F1399" s="2">
        <v>74988</v>
      </c>
    </row>
    <row r="1400" spans="1:6" x14ac:dyDescent="0.25">
      <c r="A1400" s="1">
        <v>53134</v>
      </c>
      <c r="B1400" s="2">
        <v>81</v>
      </c>
      <c r="C1400" s="2">
        <v>53</v>
      </c>
      <c r="D1400" s="2">
        <v>3150</v>
      </c>
      <c r="E1400" s="2" t="s">
        <v>1400</v>
      </c>
      <c r="F1400" s="2">
        <v>3150</v>
      </c>
    </row>
    <row r="1401" spans="1:6" x14ac:dyDescent="0.25">
      <c r="A1401" s="1">
        <v>53135</v>
      </c>
      <c r="B1401" s="2">
        <v>82</v>
      </c>
      <c r="C1401" s="2">
        <v>53</v>
      </c>
      <c r="D1401" s="2">
        <v>23688</v>
      </c>
      <c r="E1401" s="2" t="s">
        <v>1401</v>
      </c>
      <c r="F1401" s="2">
        <v>23688</v>
      </c>
    </row>
    <row r="1402" spans="1:6" x14ac:dyDescent="0.25">
      <c r="A1402" s="1">
        <v>53136</v>
      </c>
      <c r="B1402" s="2">
        <v>83</v>
      </c>
      <c r="C1402" s="2">
        <v>53</v>
      </c>
      <c r="D1402" s="2">
        <v>83.4</v>
      </c>
      <c r="E1402" s="2" t="s">
        <v>1402</v>
      </c>
      <c r="F1402" s="2">
        <v>83.4</v>
      </c>
    </row>
    <row r="1403" spans="1:6" x14ac:dyDescent="0.25">
      <c r="A1403" s="1">
        <v>53137</v>
      </c>
      <c r="B1403" s="2">
        <v>84</v>
      </c>
      <c r="C1403" s="2">
        <v>53</v>
      </c>
      <c r="D1403" s="2">
        <v>24.5</v>
      </c>
      <c r="E1403" s="2" t="s">
        <v>1403</v>
      </c>
      <c r="F1403" s="2">
        <v>24.5</v>
      </c>
    </row>
    <row r="1404" spans="1:6" x14ac:dyDescent="0.25">
      <c r="A1404" s="1">
        <v>53138</v>
      </c>
      <c r="B1404" s="2">
        <v>85</v>
      </c>
      <c r="C1404" s="2">
        <v>53</v>
      </c>
      <c r="D1404" s="2">
        <v>6.23</v>
      </c>
      <c r="E1404" s="2" t="s">
        <v>1404</v>
      </c>
      <c r="F1404" s="2">
        <v>6.23</v>
      </c>
    </row>
    <row r="1405" spans="1:6" x14ac:dyDescent="0.25">
      <c r="A1405" s="1">
        <v>53139</v>
      </c>
      <c r="B1405" s="2">
        <v>86</v>
      </c>
      <c r="C1405" s="2">
        <v>53</v>
      </c>
      <c r="D1405" s="2">
        <v>2.2799999999999998</v>
      </c>
      <c r="E1405" s="2" t="s">
        <v>1405</v>
      </c>
      <c r="F1405" s="2">
        <v>2.2799999999999998</v>
      </c>
    </row>
    <row r="1406" spans="1:6" x14ac:dyDescent="0.25">
      <c r="A1406" s="1">
        <v>53140</v>
      </c>
      <c r="B1406" s="2">
        <v>87</v>
      </c>
      <c r="C1406" s="2">
        <v>53</v>
      </c>
      <c r="D1406" s="2">
        <v>0.86</v>
      </c>
      <c r="E1406" s="2" t="s">
        <v>1406</v>
      </c>
      <c r="F1406" s="2">
        <v>0.86</v>
      </c>
    </row>
    <row r="1407" spans="1:6" x14ac:dyDescent="0.25">
      <c r="A1407" s="1">
        <v>53141</v>
      </c>
      <c r="B1407" s="2">
        <v>88</v>
      </c>
      <c r="C1407" s="2">
        <v>53</v>
      </c>
      <c r="D1407" s="2">
        <v>0.43</v>
      </c>
      <c r="E1407" s="2" t="s">
        <v>1407</v>
      </c>
      <c r="F1407" s="2">
        <v>0.43</v>
      </c>
    </row>
    <row r="1408" spans="1:6" x14ac:dyDescent="0.25">
      <c r="A1408" s="1">
        <v>53142</v>
      </c>
      <c r="B1408" s="2">
        <v>89</v>
      </c>
      <c r="C1408" s="2">
        <v>53</v>
      </c>
      <c r="D1408" s="2">
        <v>0.222</v>
      </c>
      <c r="E1408" s="2" t="s">
        <v>1408</v>
      </c>
      <c r="F1408" s="2">
        <v>0.222</v>
      </c>
    </row>
    <row r="1409" spans="1:6" x14ac:dyDescent="0.25">
      <c r="A1409" s="1">
        <v>53143</v>
      </c>
      <c r="B1409" s="2">
        <v>90</v>
      </c>
      <c r="C1409" s="2">
        <v>53</v>
      </c>
      <c r="D1409" s="2">
        <v>0.13</v>
      </c>
      <c r="E1409" s="2" t="s">
        <v>1409</v>
      </c>
      <c r="F1409" s="2">
        <v>0.13</v>
      </c>
    </row>
    <row r="1410" spans="1:6" x14ac:dyDescent="0.25">
      <c r="A1410" s="1">
        <v>53144</v>
      </c>
      <c r="B1410" s="2">
        <v>91</v>
      </c>
      <c r="C1410" s="2">
        <v>53</v>
      </c>
      <c r="D1410" s="2">
        <v>2.9999999999999999E-7</v>
      </c>
      <c r="E1410" s="2" t="s">
        <v>1410</v>
      </c>
      <c r="F1410" s="2">
        <v>2.9999999999999999E-7</v>
      </c>
    </row>
    <row r="1411" spans="1:6" x14ac:dyDescent="0.25">
      <c r="A1411" s="1">
        <v>53145</v>
      </c>
      <c r="B1411" s="2">
        <v>92</v>
      </c>
      <c r="C1411" s="2">
        <v>53</v>
      </c>
      <c r="D1411" s="2">
        <v>4.0699999999999998E-7</v>
      </c>
      <c r="E1411" s="2" t="s">
        <v>1411</v>
      </c>
      <c r="F1411" s="2">
        <v>4.0699999999999998E-7</v>
      </c>
    </row>
    <row r="1412" spans="1:6" x14ac:dyDescent="0.25">
      <c r="A1412" s="1">
        <v>54109</v>
      </c>
      <c r="B1412" s="2">
        <v>55</v>
      </c>
      <c r="C1412" s="2">
        <v>54</v>
      </c>
      <c r="D1412" s="2">
        <v>1.2999999999999999E-2</v>
      </c>
      <c r="E1412" s="2" t="s">
        <v>1412</v>
      </c>
      <c r="F1412" s="2">
        <v>1.2999999999999999E-2</v>
      </c>
    </row>
    <row r="1413" spans="1:6" x14ac:dyDescent="0.25">
      <c r="A1413" s="1">
        <v>54110</v>
      </c>
      <c r="B1413" s="2">
        <v>56</v>
      </c>
      <c r="C1413" s="2">
        <v>54</v>
      </c>
      <c r="D1413" s="2">
        <v>9.2999999999999999E-2</v>
      </c>
      <c r="E1413" s="2" t="s">
        <v>1413</v>
      </c>
      <c r="F1413" s="2">
        <v>9.2999999999999999E-2</v>
      </c>
    </row>
    <row r="1414" spans="1:6" x14ac:dyDescent="0.25">
      <c r="A1414" s="1">
        <v>54111</v>
      </c>
      <c r="B1414" s="2">
        <v>57</v>
      </c>
      <c r="C1414" s="2">
        <v>54</v>
      </c>
      <c r="D1414" s="2">
        <v>0.81</v>
      </c>
      <c r="E1414" s="2" t="s">
        <v>1414</v>
      </c>
      <c r="F1414" s="2">
        <v>0.81</v>
      </c>
    </row>
    <row r="1415" spans="1:6" x14ac:dyDescent="0.25">
      <c r="A1415" s="1">
        <v>54112</v>
      </c>
      <c r="B1415" s="2">
        <v>58</v>
      </c>
      <c r="C1415" s="2">
        <v>54</v>
      </c>
      <c r="D1415" s="2">
        <v>2.7</v>
      </c>
      <c r="E1415" s="2" t="s">
        <v>1415</v>
      </c>
      <c r="F1415" s="2">
        <v>2.7</v>
      </c>
    </row>
    <row r="1416" spans="1:6" x14ac:dyDescent="0.25">
      <c r="A1416" s="1">
        <v>54113</v>
      </c>
      <c r="B1416" s="2">
        <v>59</v>
      </c>
      <c r="C1416" s="2">
        <v>54</v>
      </c>
      <c r="D1416" s="2">
        <v>2.74</v>
      </c>
      <c r="E1416" s="2" t="s">
        <v>1416</v>
      </c>
      <c r="F1416" s="2">
        <v>2.74</v>
      </c>
    </row>
    <row r="1417" spans="1:6" x14ac:dyDescent="0.25">
      <c r="A1417" s="1">
        <v>54114</v>
      </c>
      <c r="B1417" s="2">
        <v>60</v>
      </c>
      <c r="C1417" s="2">
        <v>54</v>
      </c>
      <c r="D1417" s="2">
        <v>10</v>
      </c>
      <c r="E1417" s="2" t="s">
        <v>1417</v>
      </c>
      <c r="F1417" s="2">
        <v>10</v>
      </c>
    </row>
    <row r="1418" spans="1:6" x14ac:dyDescent="0.25">
      <c r="A1418" s="1">
        <v>54115</v>
      </c>
      <c r="B1418" s="2">
        <v>61</v>
      </c>
      <c r="C1418" s="2">
        <v>54</v>
      </c>
      <c r="D1418" s="2">
        <v>18</v>
      </c>
      <c r="E1418" s="2" t="s">
        <v>1418</v>
      </c>
      <c r="F1418" s="2">
        <v>18</v>
      </c>
    </row>
    <row r="1419" spans="1:6" x14ac:dyDescent="0.25">
      <c r="A1419" s="1">
        <v>54116</v>
      </c>
      <c r="B1419" s="2">
        <v>62</v>
      </c>
      <c r="C1419" s="2">
        <v>54</v>
      </c>
      <c r="D1419" s="2">
        <v>59</v>
      </c>
      <c r="E1419" s="2" t="s">
        <v>1419</v>
      </c>
      <c r="F1419" s="2">
        <v>59</v>
      </c>
    </row>
    <row r="1420" spans="1:6" x14ac:dyDescent="0.25">
      <c r="A1420" s="1">
        <v>54117</v>
      </c>
      <c r="B1420" s="2">
        <v>63</v>
      </c>
      <c r="C1420" s="2">
        <v>54</v>
      </c>
      <c r="D1420" s="2">
        <v>61</v>
      </c>
      <c r="E1420" s="2" t="s">
        <v>1420</v>
      </c>
      <c r="F1420" s="2">
        <v>61</v>
      </c>
    </row>
    <row r="1421" spans="1:6" x14ac:dyDescent="0.25">
      <c r="A1421" s="1">
        <v>54118</v>
      </c>
      <c r="B1421" s="2">
        <v>64</v>
      </c>
      <c r="C1421" s="2">
        <v>54</v>
      </c>
      <c r="D1421" s="2">
        <v>228</v>
      </c>
      <c r="E1421" s="2" t="s">
        <v>1421</v>
      </c>
      <c r="F1421" s="2">
        <v>228</v>
      </c>
    </row>
    <row r="1422" spans="1:6" x14ac:dyDescent="0.25">
      <c r="A1422" s="1">
        <v>54119</v>
      </c>
      <c r="B1422" s="2">
        <v>65</v>
      </c>
      <c r="C1422" s="2">
        <v>54</v>
      </c>
      <c r="D1422" s="2">
        <v>348</v>
      </c>
      <c r="E1422" s="2" t="s">
        <v>1422</v>
      </c>
      <c r="F1422" s="2">
        <v>348</v>
      </c>
    </row>
    <row r="1423" spans="1:6" x14ac:dyDescent="0.25">
      <c r="A1423" s="1">
        <v>54120</v>
      </c>
      <c r="B1423" s="2">
        <v>66</v>
      </c>
      <c r="C1423" s="2">
        <v>54</v>
      </c>
      <c r="D1423" s="2">
        <v>2400</v>
      </c>
      <c r="E1423" s="2" t="s">
        <v>1423</v>
      </c>
      <c r="F1423" s="2">
        <v>2400</v>
      </c>
    </row>
    <row r="1424" spans="1:6" x14ac:dyDescent="0.25">
      <c r="A1424" s="1">
        <v>54121</v>
      </c>
      <c r="B1424" s="2">
        <v>67</v>
      </c>
      <c r="C1424" s="2">
        <v>54</v>
      </c>
      <c r="D1424" s="2">
        <v>2406</v>
      </c>
      <c r="E1424" s="2" t="s">
        <v>1424</v>
      </c>
      <c r="F1424" s="2">
        <v>2406</v>
      </c>
    </row>
    <row r="1425" spans="1:6" x14ac:dyDescent="0.25">
      <c r="A1425" s="1">
        <v>54122</v>
      </c>
      <c r="B1425" s="2">
        <v>68</v>
      </c>
      <c r="C1425" s="2">
        <v>54</v>
      </c>
      <c r="D1425" s="2">
        <v>72360</v>
      </c>
      <c r="E1425" s="2" t="s">
        <v>1425</v>
      </c>
      <c r="F1425" s="2">
        <v>72360</v>
      </c>
    </row>
    <row r="1426" spans="1:6" x14ac:dyDescent="0.25">
      <c r="A1426" s="1">
        <v>54123</v>
      </c>
      <c r="B1426" s="2">
        <v>69</v>
      </c>
      <c r="C1426" s="2">
        <v>54</v>
      </c>
      <c r="D1426" s="2">
        <v>7488</v>
      </c>
      <c r="E1426" s="2" t="s">
        <v>1426</v>
      </c>
      <c r="F1426" s="2">
        <v>7488</v>
      </c>
    </row>
    <row r="1427" spans="1:6" x14ac:dyDescent="0.25">
      <c r="A1427" s="1">
        <v>54124</v>
      </c>
      <c r="B1427" s="2">
        <v>70</v>
      </c>
      <c r="C1427" s="2">
        <v>54</v>
      </c>
      <c r="D1427" s="2">
        <v>5.049216E+21</v>
      </c>
      <c r="E1427" s="2" t="s">
        <v>1427</v>
      </c>
      <c r="F1427" s="2">
        <v>5.049216E+21</v>
      </c>
    </row>
    <row r="1428" spans="1:6" x14ac:dyDescent="0.25">
      <c r="A1428" s="1">
        <v>54125</v>
      </c>
      <c r="B1428" s="2">
        <v>71</v>
      </c>
      <c r="C1428" s="2">
        <v>54</v>
      </c>
      <c r="D1428" s="2">
        <v>60839.999999999898</v>
      </c>
      <c r="E1428" s="2" t="s">
        <v>1428</v>
      </c>
      <c r="F1428" s="2">
        <v>60839.999999999898</v>
      </c>
    </row>
    <row r="1429" spans="1:6" x14ac:dyDescent="0.25">
      <c r="A1429" s="1">
        <v>54126</v>
      </c>
      <c r="B1429" s="2">
        <v>72</v>
      </c>
      <c r="C1429" s="2">
        <v>54</v>
      </c>
      <c r="D1429" s="2" t="s">
        <v>3</v>
      </c>
      <c r="E1429" s="2" t="s">
        <v>1429</v>
      </c>
      <c r="F1429" s="2" t="s">
        <v>3</v>
      </c>
    </row>
    <row r="1430" spans="1:6" x14ac:dyDescent="0.25">
      <c r="A1430" s="1">
        <v>54127</v>
      </c>
      <c r="B1430" s="2">
        <v>73</v>
      </c>
      <c r="C1430" s="2">
        <v>54</v>
      </c>
      <c r="D1430" s="2">
        <v>3140294.4</v>
      </c>
      <c r="E1430" s="2" t="s">
        <v>1430</v>
      </c>
      <c r="F1430" s="2">
        <v>3140294.4</v>
      </c>
    </row>
    <row r="1431" spans="1:6" x14ac:dyDescent="0.25">
      <c r="A1431" s="1">
        <v>54128</v>
      </c>
      <c r="B1431" s="2">
        <v>74</v>
      </c>
      <c r="C1431" s="2">
        <v>54</v>
      </c>
      <c r="D1431" s="2" t="s">
        <v>3</v>
      </c>
      <c r="E1431" s="2" t="s">
        <v>1431</v>
      </c>
      <c r="F1431" s="2" t="s">
        <v>3</v>
      </c>
    </row>
    <row r="1432" spans="1:6" x14ac:dyDescent="0.25">
      <c r="A1432" s="1">
        <v>54129</v>
      </c>
      <c r="B1432" s="2">
        <v>75</v>
      </c>
      <c r="C1432" s="2">
        <v>54</v>
      </c>
      <c r="D1432" s="2" t="s">
        <v>3</v>
      </c>
      <c r="E1432" s="2" t="s">
        <v>1432</v>
      </c>
      <c r="F1432" s="2" t="s">
        <v>3</v>
      </c>
    </row>
    <row r="1433" spans="1:6" x14ac:dyDescent="0.25">
      <c r="A1433" s="1">
        <v>54130</v>
      </c>
      <c r="B1433" s="2">
        <v>76</v>
      </c>
      <c r="C1433" s="2">
        <v>54</v>
      </c>
      <c r="D1433" s="2" t="s">
        <v>3</v>
      </c>
      <c r="E1433" s="2" t="s">
        <v>1433</v>
      </c>
      <c r="F1433" s="2" t="s">
        <v>3</v>
      </c>
    </row>
    <row r="1434" spans="1:6" x14ac:dyDescent="0.25">
      <c r="A1434" s="1">
        <v>54131</v>
      </c>
      <c r="B1434" s="2">
        <v>77</v>
      </c>
      <c r="C1434" s="2">
        <v>54</v>
      </c>
      <c r="D1434" s="2" t="s">
        <v>3</v>
      </c>
      <c r="E1434" s="2" t="s">
        <v>1434</v>
      </c>
      <c r="F1434" s="2" t="s">
        <v>3</v>
      </c>
    </row>
    <row r="1435" spans="1:6" x14ac:dyDescent="0.25">
      <c r="A1435" s="1">
        <v>54132</v>
      </c>
      <c r="B1435" s="2">
        <v>78</v>
      </c>
      <c r="C1435" s="2">
        <v>54</v>
      </c>
      <c r="D1435" s="2" t="s">
        <v>3</v>
      </c>
      <c r="E1435" s="2" t="s">
        <v>1435</v>
      </c>
      <c r="F1435" s="2" t="s">
        <v>3</v>
      </c>
    </row>
    <row r="1436" spans="1:6" x14ac:dyDescent="0.25">
      <c r="A1436" s="1">
        <v>54133</v>
      </c>
      <c r="B1436" s="2">
        <v>79</v>
      </c>
      <c r="C1436" s="2">
        <v>54</v>
      </c>
      <c r="D1436" s="2">
        <v>453383.99999999901</v>
      </c>
      <c r="E1436" s="2" t="s">
        <v>1436</v>
      </c>
      <c r="F1436" s="2">
        <v>453383.99999999901</v>
      </c>
    </row>
    <row r="1437" spans="1:6" x14ac:dyDescent="0.25">
      <c r="A1437" s="1">
        <v>54134</v>
      </c>
      <c r="B1437" s="2">
        <v>80</v>
      </c>
      <c r="C1437" s="2">
        <v>54</v>
      </c>
      <c r="D1437" s="2">
        <v>1.8303407999999899E+30</v>
      </c>
      <c r="E1437" s="2" t="s">
        <v>1437</v>
      </c>
      <c r="F1437" s="2">
        <v>1.8303407999999899E+30</v>
      </c>
    </row>
    <row r="1438" spans="1:6" x14ac:dyDescent="0.25">
      <c r="A1438" s="1">
        <v>54135</v>
      </c>
      <c r="B1438" s="2">
        <v>81</v>
      </c>
      <c r="C1438" s="2">
        <v>54</v>
      </c>
      <c r="D1438" s="2">
        <v>32904</v>
      </c>
      <c r="E1438" s="2" t="s">
        <v>1438</v>
      </c>
      <c r="F1438" s="2">
        <v>32904</v>
      </c>
    </row>
    <row r="1439" spans="1:6" x14ac:dyDescent="0.25">
      <c r="A1439" s="1">
        <v>54136</v>
      </c>
      <c r="B1439" s="2">
        <v>82</v>
      </c>
      <c r="C1439" s="2">
        <v>54</v>
      </c>
      <c r="D1439" s="2">
        <v>7.573824E+28</v>
      </c>
      <c r="E1439" s="2" t="s">
        <v>1439</v>
      </c>
      <c r="F1439" s="2">
        <v>7.573824E+28</v>
      </c>
    </row>
    <row r="1440" spans="1:6" x14ac:dyDescent="0.25">
      <c r="A1440" s="1">
        <v>54137</v>
      </c>
      <c r="B1440" s="2">
        <v>83</v>
      </c>
      <c r="C1440" s="2">
        <v>54</v>
      </c>
      <c r="D1440" s="2">
        <v>229.08</v>
      </c>
      <c r="E1440" s="2" t="s">
        <v>1440</v>
      </c>
      <c r="F1440" s="2">
        <v>229.08</v>
      </c>
    </row>
    <row r="1441" spans="1:6" x14ac:dyDescent="0.25">
      <c r="A1441" s="1">
        <v>54138</v>
      </c>
      <c r="B1441" s="2">
        <v>84</v>
      </c>
      <c r="C1441" s="2">
        <v>54</v>
      </c>
      <c r="D1441" s="2">
        <v>848.4</v>
      </c>
      <c r="E1441" s="2" t="s">
        <v>1441</v>
      </c>
      <c r="F1441" s="2">
        <v>848.4</v>
      </c>
    </row>
    <row r="1442" spans="1:6" x14ac:dyDescent="0.25">
      <c r="A1442" s="1">
        <v>54139</v>
      </c>
      <c r="B1442" s="2">
        <v>85</v>
      </c>
      <c r="C1442" s="2">
        <v>54</v>
      </c>
      <c r="D1442" s="2">
        <v>39.68</v>
      </c>
      <c r="E1442" s="2" t="s">
        <v>1442</v>
      </c>
      <c r="F1442" s="2">
        <v>39.68</v>
      </c>
    </row>
    <row r="1443" spans="1:6" x14ac:dyDescent="0.25">
      <c r="A1443" s="1">
        <v>54140</v>
      </c>
      <c r="B1443" s="2">
        <v>86</v>
      </c>
      <c r="C1443" s="2">
        <v>54</v>
      </c>
      <c r="D1443" s="2">
        <v>13.6</v>
      </c>
      <c r="E1443" s="2" t="s">
        <v>1443</v>
      </c>
      <c r="F1443" s="2">
        <v>13.6</v>
      </c>
    </row>
    <row r="1444" spans="1:6" x14ac:dyDescent="0.25">
      <c r="A1444" s="1">
        <v>54141</v>
      </c>
      <c r="B1444" s="2">
        <v>87</v>
      </c>
      <c r="C1444" s="2">
        <v>54</v>
      </c>
      <c r="D1444" s="2">
        <v>1.73</v>
      </c>
      <c r="E1444" s="2" t="s">
        <v>1444</v>
      </c>
      <c r="F1444" s="2">
        <v>1.73</v>
      </c>
    </row>
    <row r="1445" spans="1:6" x14ac:dyDescent="0.25">
      <c r="A1445" s="1">
        <v>54142</v>
      </c>
      <c r="B1445" s="2">
        <v>88</v>
      </c>
      <c r="C1445" s="2">
        <v>54</v>
      </c>
      <c r="D1445" s="2">
        <v>1.23</v>
      </c>
      <c r="E1445" s="2" t="s">
        <v>1445</v>
      </c>
      <c r="F1445" s="2">
        <v>1.23</v>
      </c>
    </row>
    <row r="1446" spans="1:6" x14ac:dyDescent="0.25">
      <c r="A1446" s="1">
        <v>54143</v>
      </c>
      <c r="B1446" s="2">
        <v>89</v>
      </c>
      <c r="C1446" s="2">
        <v>54</v>
      </c>
      <c r="D1446" s="2">
        <v>0.51100000000000001</v>
      </c>
      <c r="E1446" s="2" t="s">
        <v>1446</v>
      </c>
      <c r="F1446" s="2">
        <v>0.51100000000000001</v>
      </c>
    </row>
    <row r="1447" spans="1:6" x14ac:dyDescent="0.25">
      <c r="A1447" s="1">
        <v>54144</v>
      </c>
      <c r="B1447" s="2">
        <v>90</v>
      </c>
      <c r="C1447" s="2">
        <v>54</v>
      </c>
      <c r="D1447" s="2">
        <v>0.38800000000000001</v>
      </c>
      <c r="E1447" s="2" t="s">
        <v>1447</v>
      </c>
      <c r="F1447" s="2">
        <v>0.38800000000000001</v>
      </c>
    </row>
    <row r="1448" spans="1:6" x14ac:dyDescent="0.25">
      <c r="A1448" s="1">
        <v>54145</v>
      </c>
      <c r="B1448" s="2">
        <v>91</v>
      </c>
      <c r="C1448" s="2">
        <v>54</v>
      </c>
      <c r="D1448" s="2">
        <v>0.188</v>
      </c>
      <c r="E1448" s="2" t="s">
        <v>1448</v>
      </c>
      <c r="F1448" s="2">
        <v>0.188</v>
      </c>
    </row>
    <row r="1449" spans="1:6" x14ac:dyDescent="0.25">
      <c r="A1449" s="1">
        <v>54146</v>
      </c>
      <c r="B1449" s="2">
        <v>92</v>
      </c>
      <c r="C1449" s="2">
        <v>54</v>
      </c>
      <c r="D1449" s="2">
        <v>0.14599999999999999</v>
      </c>
      <c r="E1449" s="2" t="s">
        <v>1449</v>
      </c>
      <c r="F1449" s="2">
        <v>0.14599999999999999</v>
      </c>
    </row>
    <row r="1450" spans="1:6" x14ac:dyDescent="0.25">
      <c r="A1450" s="1">
        <v>54147</v>
      </c>
      <c r="B1450" s="2">
        <v>93</v>
      </c>
      <c r="C1450" s="2">
        <v>54</v>
      </c>
      <c r="D1450" s="2">
        <v>0.1</v>
      </c>
      <c r="E1450" s="2" t="s">
        <v>1450</v>
      </c>
      <c r="F1450" s="2">
        <v>0.1</v>
      </c>
    </row>
    <row r="1451" spans="1:6" x14ac:dyDescent="0.25">
      <c r="A1451" s="1">
        <v>54148</v>
      </c>
      <c r="B1451" s="2">
        <v>94</v>
      </c>
      <c r="C1451" s="2">
        <v>54</v>
      </c>
      <c r="D1451" s="2">
        <v>4.08E-7</v>
      </c>
      <c r="E1451" s="2" t="s">
        <v>1451</v>
      </c>
      <c r="F1451" s="2">
        <v>4.08E-7</v>
      </c>
    </row>
    <row r="1452" spans="1:6" x14ac:dyDescent="0.25">
      <c r="A1452" s="1">
        <v>55112</v>
      </c>
      <c r="B1452" s="2">
        <v>57</v>
      </c>
      <c r="C1452" s="2">
        <v>55</v>
      </c>
      <c r="D1452" s="2">
        <v>4.8999999999999998E-4</v>
      </c>
      <c r="E1452" s="2" t="s">
        <v>1452</v>
      </c>
      <c r="F1452" s="2">
        <v>4.8999999999999998E-4</v>
      </c>
    </row>
    <row r="1453" spans="1:6" x14ac:dyDescent="0.25">
      <c r="A1453" s="1">
        <v>55113</v>
      </c>
      <c r="B1453" s="2">
        <v>58</v>
      </c>
      <c r="C1453" s="2">
        <v>55</v>
      </c>
      <c r="D1453" s="2">
        <v>1.77E-5</v>
      </c>
      <c r="E1453" s="2" t="s">
        <v>1453</v>
      </c>
      <c r="F1453" s="2">
        <v>1.77E-5</v>
      </c>
    </row>
    <row r="1454" spans="1:6" x14ac:dyDescent="0.25">
      <c r="A1454" s="1">
        <v>55114</v>
      </c>
      <c r="B1454" s="2">
        <v>59</v>
      </c>
      <c r="C1454" s="2">
        <v>55</v>
      </c>
      <c r="D1454" s="2">
        <v>0.56999999999999995</v>
      </c>
      <c r="E1454" s="2" t="s">
        <v>1454</v>
      </c>
      <c r="F1454" s="2">
        <v>0.56999999999999995</v>
      </c>
    </row>
    <row r="1455" spans="1:6" x14ac:dyDescent="0.25">
      <c r="A1455" s="1">
        <v>55115</v>
      </c>
      <c r="B1455" s="2">
        <v>60</v>
      </c>
      <c r="C1455" s="2">
        <v>55</v>
      </c>
      <c r="D1455" s="2">
        <v>1.4</v>
      </c>
      <c r="E1455" s="2" t="s">
        <v>1455</v>
      </c>
      <c r="F1455" s="2">
        <v>1.4</v>
      </c>
    </row>
    <row r="1456" spans="1:6" x14ac:dyDescent="0.25">
      <c r="A1456" s="1">
        <v>55116</v>
      </c>
      <c r="B1456" s="2">
        <v>61</v>
      </c>
      <c r="C1456" s="2">
        <v>55</v>
      </c>
      <c r="D1456" s="2">
        <v>0.7</v>
      </c>
      <c r="E1456" s="2" t="s">
        <v>1456</v>
      </c>
      <c r="F1456" s="2">
        <v>0.7</v>
      </c>
    </row>
    <row r="1457" spans="1:6" x14ac:dyDescent="0.25">
      <c r="A1457" s="1">
        <v>55117</v>
      </c>
      <c r="B1457" s="2">
        <v>62</v>
      </c>
      <c r="C1457" s="2">
        <v>55</v>
      </c>
      <c r="D1457" s="2">
        <v>8.4</v>
      </c>
      <c r="E1457" s="2" t="s">
        <v>1457</v>
      </c>
      <c r="F1457" s="2">
        <v>8.4</v>
      </c>
    </row>
    <row r="1458" spans="1:6" x14ac:dyDescent="0.25">
      <c r="A1458" s="1">
        <v>55118</v>
      </c>
      <c r="B1458" s="2">
        <v>63</v>
      </c>
      <c r="C1458" s="2">
        <v>55</v>
      </c>
      <c r="D1458" s="2">
        <v>14</v>
      </c>
      <c r="E1458" s="2" t="s">
        <v>1458</v>
      </c>
      <c r="F1458" s="2">
        <v>14</v>
      </c>
    </row>
    <row r="1459" spans="1:6" x14ac:dyDescent="0.25">
      <c r="A1459" s="1">
        <v>55119</v>
      </c>
      <c r="B1459" s="2">
        <v>64</v>
      </c>
      <c r="C1459" s="2">
        <v>55</v>
      </c>
      <c r="D1459" s="2">
        <v>43</v>
      </c>
      <c r="E1459" s="2" t="s">
        <v>1459</v>
      </c>
      <c r="F1459" s="2">
        <v>43</v>
      </c>
    </row>
    <row r="1460" spans="1:6" x14ac:dyDescent="0.25">
      <c r="A1460" s="1">
        <v>55120</v>
      </c>
      <c r="B1460" s="2">
        <v>65</v>
      </c>
      <c r="C1460" s="2">
        <v>55</v>
      </c>
      <c r="D1460" s="2">
        <v>61.3</v>
      </c>
      <c r="E1460" s="2" t="s">
        <v>1460</v>
      </c>
      <c r="F1460" s="2">
        <v>61.3</v>
      </c>
    </row>
    <row r="1461" spans="1:6" x14ac:dyDescent="0.25">
      <c r="A1461" s="1">
        <v>55121</v>
      </c>
      <c r="B1461" s="2">
        <v>66</v>
      </c>
      <c r="C1461" s="2">
        <v>55</v>
      </c>
      <c r="D1461" s="2">
        <v>155</v>
      </c>
      <c r="E1461" s="2" t="s">
        <v>1461</v>
      </c>
      <c r="F1461" s="2">
        <v>155</v>
      </c>
    </row>
    <row r="1462" spans="1:6" x14ac:dyDescent="0.25">
      <c r="A1462" s="1">
        <v>55122</v>
      </c>
      <c r="B1462" s="2">
        <v>67</v>
      </c>
      <c r="C1462" s="2">
        <v>55</v>
      </c>
      <c r="D1462" s="2">
        <v>21.18</v>
      </c>
      <c r="E1462" s="2" t="s">
        <v>1462</v>
      </c>
      <c r="F1462" s="2">
        <v>21.18</v>
      </c>
    </row>
    <row r="1463" spans="1:6" x14ac:dyDescent="0.25">
      <c r="A1463" s="1">
        <v>55123</v>
      </c>
      <c r="B1463" s="2">
        <v>68</v>
      </c>
      <c r="C1463" s="2">
        <v>55</v>
      </c>
      <c r="D1463" s="2">
        <v>352.8</v>
      </c>
      <c r="E1463" s="2" t="s">
        <v>1463</v>
      </c>
      <c r="F1463" s="2">
        <v>352.8</v>
      </c>
    </row>
    <row r="1464" spans="1:6" x14ac:dyDescent="0.25">
      <c r="A1464" s="1">
        <v>55124</v>
      </c>
      <c r="B1464" s="2">
        <v>69</v>
      </c>
      <c r="C1464" s="2">
        <v>55</v>
      </c>
      <c r="D1464" s="2">
        <v>30.9</v>
      </c>
      <c r="E1464" s="2" t="s">
        <v>1464</v>
      </c>
      <c r="F1464" s="2">
        <v>30.9</v>
      </c>
    </row>
    <row r="1465" spans="1:6" x14ac:dyDescent="0.25">
      <c r="A1465" s="1">
        <v>55125</v>
      </c>
      <c r="B1465" s="2">
        <v>70</v>
      </c>
      <c r="C1465" s="2">
        <v>55</v>
      </c>
      <c r="D1465" s="2">
        <v>2802</v>
      </c>
      <c r="E1465" s="2" t="s">
        <v>1465</v>
      </c>
      <c r="F1465" s="2">
        <v>2802</v>
      </c>
    </row>
    <row r="1466" spans="1:6" x14ac:dyDescent="0.25">
      <c r="A1466" s="1">
        <v>55126</v>
      </c>
      <c r="B1466" s="2">
        <v>71</v>
      </c>
      <c r="C1466" s="2">
        <v>55</v>
      </c>
      <c r="D1466" s="2">
        <v>98.399999999999906</v>
      </c>
      <c r="E1466" s="2" t="s">
        <v>1466</v>
      </c>
      <c r="F1466" s="2">
        <v>98.399999999999906</v>
      </c>
    </row>
    <row r="1467" spans="1:6" x14ac:dyDescent="0.25">
      <c r="A1467" s="1">
        <v>55127</v>
      </c>
      <c r="B1467" s="2">
        <v>72</v>
      </c>
      <c r="C1467" s="2">
        <v>55</v>
      </c>
      <c r="D1467" s="2">
        <v>22500</v>
      </c>
      <c r="E1467" s="2" t="s">
        <v>1467</v>
      </c>
      <c r="F1467" s="2">
        <v>22500</v>
      </c>
    </row>
    <row r="1468" spans="1:6" x14ac:dyDescent="0.25">
      <c r="A1468" s="1">
        <v>55128</v>
      </c>
      <c r="B1468" s="2">
        <v>73</v>
      </c>
      <c r="C1468" s="2">
        <v>55</v>
      </c>
      <c r="D1468" s="2">
        <v>219.6</v>
      </c>
      <c r="E1468" s="2" t="s">
        <v>1468</v>
      </c>
      <c r="F1468" s="2">
        <v>219.6</v>
      </c>
    </row>
    <row r="1469" spans="1:6" x14ac:dyDescent="0.25">
      <c r="A1469" s="1">
        <v>55129</v>
      </c>
      <c r="B1469" s="2">
        <v>74</v>
      </c>
      <c r="C1469" s="2">
        <v>55</v>
      </c>
      <c r="D1469" s="2">
        <v>115416</v>
      </c>
      <c r="E1469" s="2" t="s">
        <v>1469</v>
      </c>
      <c r="F1469" s="2">
        <v>115416</v>
      </c>
    </row>
    <row r="1470" spans="1:6" x14ac:dyDescent="0.25">
      <c r="A1470" s="1">
        <v>55130</v>
      </c>
      <c r="B1470" s="2">
        <v>75</v>
      </c>
      <c r="C1470" s="2">
        <v>55</v>
      </c>
      <c r="D1470" s="2">
        <v>1752.6</v>
      </c>
      <c r="E1470" s="2" t="s">
        <v>1470</v>
      </c>
      <c r="F1470" s="2">
        <v>1752.6</v>
      </c>
    </row>
    <row r="1471" spans="1:6" x14ac:dyDescent="0.25">
      <c r="A1471" s="1">
        <v>55131</v>
      </c>
      <c r="B1471" s="2">
        <v>76</v>
      </c>
      <c r="C1471" s="2">
        <v>55</v>
      </c>
      <c r="D1471" s="2">
        <v>837129.6</v>
      </c>
      <c r="E1471" s="2" t="s">
        <v>1471</v>
      </c>
      <c r="F1471" s="2">
        <v>837129.6</v>
      </c>
    </row>
    <row r="1472" spans="1:6" x14ac:dyDescent="0.25">
      <c r="A1472" s="1">
        <v>55132</v>
      </c>
      <c r="B1472" s="2">
        <v>77</v>
      </c>
      <c r="C1472" s="2">
        <v>55</v>
      </c>
      <c r="D1472" s="2">
        <v>559872</v>
      </c>
      <c r="E1472" s="2" t="s">
        <v>1472</v>
      </c>
      <c r="F1472" s="2">
        <v>559872</v>
      </c>
    </row>
    <row r="1473" spans="1:6" x14ac:dyDescent="0.25">
      <c r="A1473" s="1">
        <v>55133</v>
      </c>
      <c r="B1473" s="2">
        <v>78</v>
      </c>
      <c r="C1473" s="2">
        <v>55</v>
      </c>
      <c r="D1473" s="2" t="s">
        <v>3</v>
      </c>
      <c r="E1473" s="2" t="s">
        <v>1473</v>
      </c>
      <c r="F1473" s="2" t="s">
        <v>3</v>
      </c>
    </row>
    <row r="1474" spans="1:6" x14ac:dyDescent="0.25">
      <c r="A1474" s="1">
        <v>55134</v>
      </c>
      <c r="B1474" s="2">
        <v>79</v>
      </c>
      <c r="C1474" s="2">
        <v>55</v>
      </c>
      <c r="D1474" s="2">
        <v>65172755.519999899</v>
      </c>
      <c r="E1474" s="2" t="s">
        <v>1474</v>
      </c>
      <c r="F1474" s="2">
        <v>65172755.519999899</v>
      </c>
    </row>
    <row r="1475" spans="1:6" x14ac:dyDescent="0.25">
      <c r="A1475" s="1">
        <v>55135</v>
      </c>
      <c r="B1475" s="2">
        <v>80</v>
      </c>
      <c r="C1475" s="2">
        <v>55</v>
      </c>
      <c r="D1475" s="2">
        <v>72582480000000</v>
      </c>
      <c r="E1475" s="2" t="s">
        <v>1475</v>
      </c>
      <c r="F1475" s="2">
        <v>72582480000000</v>
      </c>
    </row>
    <row r="1476" spans="1:6" x14ac:dyDescent="0.25">
      <c r="A1476" s="1">
        <v>55136</v>
      </c>
      <c r="B1476" s="2">
        <v>81</v>
      </c>
      <c r="C1476" s="2">
        <v>55</v>
      </c>
      <c r="D1476" s="2">
        <v>1126656</v>
      </c>
      <c r="E1476" s="2" t="s">
        <v>1476</v>
      </c>
      <c r="F1476" s="2">
        <v>1126656</v>
      </c>
    </row>
    <row r="1477" spans="1:6" x14ac:dyDescent="0.25">
      <c r="A1477" s="1">
        <v>55137</v>
      </c>
      <c r="B1477" s="2">
        <v>82</v>
      </c>
      <c r="C1477" s="2">
        <v>55</v>
      </c>
      <c r="D1477" s="2">
        <v>949252608</v>
      </c>
      <c r="E1477" s="2" t="s">
        <v>1477</v>
      </c>
      <c r="F1477" s="2">
        <v>949252608</v>
      </c>
    </row>
    <row r="1478" spans="1:6" x14ac:dyDescent="0.25">
      <c r="A1478" s="1">
        <v>55138</v>
      </c>
      <c r="B1478" s="2">
        <v>83</v>
      </c>
      <c r="C1478" s="2">
        <v>55</v>
      </c>
      <c r="D1478" s="2">
        <v>2004.6</v>
      </c>
      <c r="E1478" s="2" t="s">
        <v>1478</v>
      </c>
      <c r="F1478" s="2">
        <v>2004.6</v>
      </c>
    </row>
    <row r="1479" spans="1:6" x14ac:dyDescent="0.25">
      <c r="A1479" s="1">
        <v>55139</v>
      </c>
      <c r="B1479" s="2">
        <v>84</v>
      </c>
      <c r="C1479" s="2">
        <v>55</v>
      </c>
      <c r="D1479" s="2">
        <v>556.19999999999902</v>
      </c>
      <c r="E1479" s="2" t="s">
        <v>1479</v>
      </c>
      <c r="F1479" s="2">
        <v>556.19999999999902</v>
      </c>
    </row>
    <row r="1480" spans="1:6" x14ac:dyDescent="0.25">
      <c r="A1480" s="1">
        <v>55140</v>
      </c>
      <c r="B1480" s="2">
        <v>85</v>
      </c>
      <c r="C1480" s="2">
        <v>55</v>
      </c>
      <c r="D1480" s="2">
        <v>63.7</v>
      </c>
      <c r="E1480" s="2" t="s">
        <v>1480</v>
      </c>
      <c r="F1480" s="2">
        <v>63.7</v>
      </c>
    </row>
    <row r="1481" spans="1:6" x14ac:dyDescent="0.25">
      <c r="A1481" s="1">
        <v>55141</v>
      </c>
      <c r="B1481" s="2">
        <v>86</v>
      </c>
      <c r="C1481" s="2">
        <v>55</v>
      </c>
      <c r="D1481" s="2">
        <v>24.84</v>
      </c>
      <c r="E1481" s="2" t="s">
        <v>1481</v>
      </c>
      <c r="F1481" s="2">
        <v>24.84</v>
      </c>
    </row>
    <row r="1482" spans="1:6" x14ac:dyDescent="0.25">
      <c r="A1482" s="1">
        <v>55142</v>
      </c>
      <c r="B1482" s="2">
        <v>87</v>
      </c>
      <c r="C1482" s="2">
        <v>55</v>
      </c>
      <c r="D1482" s="2">
        <v>1.6839999999999999</v>
      </c>
      <c r="E1482" s="2" t="s">
        <v>1482</v>
      </c>
      <c r="F1482" s="2">
        <v>1.6839999999999999</v>
      </c>
    </row>
    <row r="1483" spans="1:6" x14ac:dyDescent="0.25">
      <c r="A1483" s="1">
        <v>55143</v>
      </c>
      <c r="B1483" s="2">
        <v>88</v>
      </c>
      <c r="C1483" s="2">
        <v>55</v>
      </c>
      <c r="D1483" s="2">
        <v>1.7909999999999999</v>
      </c>
      <c r="E1483" s="2" t="s">
        <v>1483</v>
      </c>
      <c r="F1483" s="2">
        <v>1.7909999999999999</v>
      </c>
    </row>
    <row r="1484" spans="1:6" x14ac:dyDescent="0.25">
      <c r="A1484" s="1">
        <v>55144</v>
      </c>
      <c r="B1484" s="2">
        <v>89</v>
      </c>
      <c r="C1484" s="2">
        <v>55</v>
      </c>
      <c r="D1484" s="2">
        <v>0.99399999999999999</v>
      </c>
      <c r="E1484" s="2" t="s">
        <v>1484</v>
      </c>
      <c r="F1484" s="2">
        <v>0.99399999999999999</v>
      </c>
    </row>
    <row r="1485" spans="1:6" x14ac:dyDescent="0.25">
      <c r="A1485" s="1">
        <v>55145</v>
      </c>
      <c r="B1485" s="2">
        <v>90</v>
      </c>
      <c r="C1485" s="2">
        <v>55</v>
      </c>
      <c r="D1485" s="2">
        <v>0.58699999999999997</v>
      </c>
      <c r="E1485" s="2" t="s">
        <v>1485</v>
      </c>
      <c r="F1485" s="2">
        <v>0.58699999999999997</v>
      </c>
    </row>
    <row r="1486" spans="1:6" x14ac:dyDescent="0.25">
      <c r="A1486" s="1">
        <v>55146</v>
      </c>
      <c r="B1486" s="2">
        <v>91</v>
      </c>
      <c r="C1486" s="2">
        <v>55</v>
      </c>
      <c r="D1486" s="2">
        <v>0.32200000000000001</v>
      </c>
      <c r="E1486" s="2" t="s">
        <v>1486</v>
      </c>
      <c r="F1486" s="2">
        <v>0.32200000000000001</v>
      </c>
    </row>
    <row r="1487" spans="1:6" x14ac:dyDescent="0.25">
      <c r="A1487" s="1">
        <v>55147</v>
      </c>
      <c r="B1487" s="2">
        <v>92</v>
      </c>
      <c r="C1487" s="2">
        <v>55</v>
      </c>
      <c r="D1487" s="2">
        <v>0.23</v>
      </c>
      <c r="E1487" s="2" t="s">
        <v>1487</v>
      </c>
      <c r="F1487" s="2">
        <v>0.23</v>
      </c>
    </row>
    <row r="1488" spans="1:6" x14ac:dyDescent="0.25">
      <c r="A1488" s="1">
        <v>55148</v>
      </c>
      <c r="B1488" s="2">
        <v>93</v>
      </c>
      <c r="C1488" s="2">
        <v>55</v>
      </c>
      <c r="D1488" s="2">
        <v>0.14599999999999999</v>
      </c>
      <c r="E1488" s="2" t="s">
        <v>1488</v>
      </c>
      <c r="F1488" s="2">
        <v>0.14599999999999999</v>
      </c>
    </row>
    <row r="1489" spans="1:6" x14ac:dyDescent="0.25">
      <c r="A1489" s="1">
        <v>55149</v>
      </c>
      <c r="B1489" s="2">
        <v>94</v>
      </c>
      <c r="C1489" s="2">
        <v>55</v>
      </c>
      <c r="D1489" s="2">
        <v>0.05</v>
      </c>
      <c r="E1489" s="2" t="s">
        <v>1489</v>
      </c>
      <c r="F1489" s="2">
        <v>0.05</v>
      </c>
    </row>
    <row r="1490" spans="1:6" x14ac:dyDescent="0.25">
      <c r="A1490" s="1">
        <v>55150</v>
      </c>
      <c r="B1490" s="2">
        <v>95</v>
      </c>
      <c r="C1490" s="2">
        <v>55</v>
      </c>
      <c r="D1490" s="2">
        <v>0.05</v>
      </c>
      <c r="E1490" s="2" t="s">
        <v>1490</v>
      </c>
      <c r="F1490" s="2">
        <v>0.05</v>
      </c>
    </row>
    <row r="1491" spans="1:6" x14ac:dyDescent="0.25">
      <c r="A1491" s="1">
        <v>55151</v>
      </c>
      <c r="B1491" s="2">
        <v>96</v>
      </c>
      <c r="C1491" s="2">
        <v>55</v>
      </c>
      <c r="D1491" s="2">
        <v>0.05</v>
      </c>
      <c r="E1491" s="2" t="s">
        <v>1491</v>
      </c>
      <c r="F1491" s="2">
        <v>0.05</v>
      </c>
    </row>
    <row r="1492" spans="1:6" x14ac:dyDescent="0.25">
      <c r="A1492" s="1">
        <v>56114</v>
      </c>
      <c r="B1492" s="2">
        <v>58</v>
      </c>
      <c r="C1492" s="2">
        <v>56</v>
      </c>
      <c r="D1492" s="2">
        <v>0.43</v>
      </c>
      <c r="E1492" s="2" t="s">
        <v>1492</v>
      </c>
      <c r="F1492" s="2">
        <v>0.43</v>
      </c>
    </row>
    <row r="1493" spans="1:6" x14ac:dyDescent="0.25">
      <c r="A1493" s="1">
        <v>56115</v>
      </c>
      <c r="B1493" s="2">
        <v>59</v>
      </c>
      <c r="C1493" s="2">
        <v>56</v>
      </c>
      <c r="D1493" s="2">
        <v>0.45</v>
      </c>
      <c r="E1493" s="2" t="s">
        <v>1493</v>
      </c>
      <c r="F1493" s="2">
        <v>0.45</v>
      </c>
    </row>
    <row r="1494" spans="1:6" x14ac:dyDescent="0.25">
      <c r="A1494" s="1">
        <v>56116</v>
      </c>
      <c r="B1494" s="2">
        <v>60</v>
      </c>
      <c r="C1494" s="2">
        <v>56</v>
      </c>
      <c r="D1494" s="2">
        <v>1.3</v>
      </c>
      <c r="E1494" s="2" t="s">
        <v>1494</v>
      </c>
      <c r="F1494" s="2">
        <v>1.3</v>
      </c>
    </row>
    <row r="1495" spans="1:6" x14ac:dyDescent="0.25">
      <c r="A1495" s="1">
        <v>56117</v>
      </c>
      <c r="B1495" s="2">
        <v>61</v>
      </c>
      <c r="C1495" s="2">
        <v>56</v>
      </c>
      <c r="D1495" s="2">
        <v>1.75</v>
      </c>
      <c r="E1495" s="2" t="s">
        <v>1495</v>
      </c>
      <c r="F1495" s="2">
        <v>1.75</v>
      </c>
    </row>
    <row r="1496" spans="1:6" x14ac:dyDescent="0.25">
      <c r="A1496" s="1">
        <v>56118</v>
      </c>
      <c r="B1496" s="2">
        <v>62</v>
      </c>
      <c r="C1496" s="2">
        <v>56</v>
      </c>
      <c r="D1496" s="2">
        <v>5.5</v>
      </c>
      <c r="E1496" s="2" t="s">
        <v>1496</v>
      </c>
      <c r="F1496" s="2">
        <v>5.5</v>
      </c>
    </row>
    <row r="1497" spans="1:6" x14ac:dyDescent="0.25">
      <c r="A1497" s="1">
        <v>56119</v>
      </c>
      <c r="B1497" s="2">
        <v>63</v>
      </c>
      <c r="C1497" s="2">
        <v>56</v>
      </c>
      <c r="D1497" s="2">
        <v>5.4</v>
      </c>
      <c r="E1497" s="2" t="s">
        <v>1497</v>
      </c>
      <c r="F1497" s="2">
        <v>5.4</v>
      </c>
    </row>
    <row r="1498" spans="1:6" x14ac:dyDescent="0.25">
      <c r="A1498" s="1">
        <v>56120</v>
      </c>
      <c r="B1498" s="2">
        <v>64</v>
      </c>
      <c r="C1498" s="2">
        <v>56</v>
      </c>
      <c r="D1498" s="2">
        <v>24</v>
      </c>
      <c r="E1498" s="2" t="s">
        <v>1498</v>
      </c>
      <c r="F1498" s="2">
        <v>24</v>
      </c>
    </row>
    <row r="1499" spans="1:6" x14ac:dyDescent="0.25">
      <c r="A1499" s="1">
        <v>56121</v>
      </c>
      <c r="B1499" s="2">
        <v>65</v>
      </c>
      <c r="C1499" s="2">
        <v>56</v>
      </c>
      <c r="D1499" s="2">
        <v>29.7</v>
      </c>
      <c r="E1499" s="2" t="s">
        <v>1499</v>
      </c>
      <c r="F1499" s="2">
        <v>29.7</v>
      </c>
    </row>
    <row r="1500" spans="1:6" x14ac:dyDescent="0.25">
      <c r="A1500" s="1">
        <v>56122</v>
      </c>
      <c r="B1500" s="2">
        <v>66</v>
      </c>
      <c r="C1500" s="2">
        <v>56</v>
      </c>
      <c r="D1500" s="2">
        <v>117</v>
      </c>
      <c r="E1500" s="2" t="s">
        <v>1500</v>
      </c>
      <c r="F1500" s="2">
        <v>117</v>
      </c>
    </row>
    <row r="1501" spans="1:6" x14ac:dyDescent="0.25">
      <c r="A1501" s="1">
        <v>56123</v>
      </c>
      <c r="B1501" s="2">
        <v>67</v>
      </c>
      <c r="C1501" s="2">
        <v>56</v>
      </c>
      <c r="D1501" s="2">
        <v>162</v>
      </c>
      <c r="E1501" s="2" t="s">
        <v>1501</v>
      </c>
      <c r="F1501" s="2">
        <v>162</v>
      </c>
    </row>
    <row r="1502" spans="1:6" x14ac:dyDescent="0.25">
      <c r="A1502" s="1">
        <v>56124</v>
      </c>
      <c r="B1502" s="2">
        <v>68</v>
      </c>
      <c r="C1502" s="2">
        <v>56</v>
      </c>
      <c r="D1502" s="2">
        <v>660</v>
      </c>
      <c r="E1502" s="2" t="s">
        <v>1502</v>
      </c>
      <c r="F1502" s="2">
        <v>660</v>
      </c>
    </row>
    <row r="1503" spans="1:6" x14ac:dyDescent="0.25">
      <c r="A1503" s="1">
        <v>56125</v>
      </c>
      <c r="B1503" s="2">
        <v>69</v>
      </c>
      <c r="C1503" s="2">
        <v>56</v>
      </c>
      <c r="D1503" s="2">
        <v>198</v>
      </c>
      <c r="E1503" s="2" t="s">
        <v>1503</v>
      </c>
      <c r="F1503" s="2">
        <v>198</v>
      </c>
    </row>
    <row r="1504" spans="1:6" x14ac:dyDescent="0.25">
      <c r="A1504" s="1">
        <v>56126</v>
      </c>
      <c r="B1504" s="2">
        <v>70</v>
      </c>
      <c r="C1504" s="2">
        <v>56</v>
      </c>
      <c r="D1504" s="2">
        <v>6000</v>
      </c>
      <c r="E1504" s="2" t="s">
        <v>1504</v>
      </c>
      <c r="F1504" s="2">
        <v>6000</v>
      </c>
    </row>
    <row r="1505" spans="1:6" x14ac:dyDescent="0.25">
      <c r="A1505" s="1">
        <v>56127</v>
      </c>
      <c r="B1505" s="2">
        <v>71</v>
      </c>
      <c r="C1505" s="2">
        <v>56</v>
      </c>
      <c r="D1505" s="2">
        <v>762</v>
      </c>
      <c r="E1505" s="2" t="s">
        <v>1505</v>
      </c>
      <c r="F1505" s="2">
        <v>762</v>
      </c>
    </row>
    <row r="1506" spans="1:6" x14ac:dyDescent="0.25">
      <c r="A1506" s="1">
        <v>56128</v>
      </c>
      <c r="B1506" s="2">
        <v>72</v>
      </c>
      <c r="C1506" s="2">
        <v>56</v>
      </c>
      <c r="D1506" s="2">
        <v>209952</v>
      </c>
      <c r="E1506" s="2" t="s">
        <v>1506</v>
      </c>
      <c r="F1506" s="2">
        <v>209952</v>
      </c>
    </row>
    <row r="1507" spans="1:6" x14ac:dyDescent="0.25">
      <c r="A1507" s="1">
        <v>56129</v>
      </c>
      <c r="B1507" s="2">
        <v>73</v>
      </c>
      <c r="C1507" s="2">
        <v>56</v>
      </c>
      <c r="D1507" s="2">
        <v>8028</v>
      </c>
      <c r="E1507" s="2" t="s">
        <v>1507</v>
      </c>
      <c r="F1507" s="2">
        <v>8028</v>
      </c>
    </row>
    <row r="1508" spans="1:6" x14ac:dyDescent="0.25">
      <c r="A1508" s="1">
        <v>56130</v>
      </c>
      <c r="B1508" s="2">
        <v>74</v>
      </c>
      <c r="C1508" s="2">
        <v>56</v>
      </c>
      <c r="D1508" s="2" t="s">
        <v>3</v>
      </c>
      <c r="E1508" s="2" t="s">
        <v>1508</v>
      </c>
      <c r="F1508" s="2" t="s">
        <v>3</v>
      </c>
    </row>
    <row r="1509" spans="1:6" x14ac:dyDescent="0.25">
      <c r="A1509" s="1">
        <v>56131</v>
      </c>
      <c r="B1509" s="2">
        <v>75</v>
      </c>
      <c r="C1509" s="2">
        <v>56</v>
      </c>
      <c r="D1509" s="2">
        <v>993600</v>
      </c>
      <c r="E1509" s="2" t="s">
        <v>1509</v>
      </c>
      <c r="F1509" s="2">
        <v>993600</v>
      </c>
    </row>
    <row r="1510" spans="1:6" x14ac:dyDescent="0.25">
      <c r="A1510" s="1">
        <v>56132</v>
      </c>
      <c r="B1510" s="2">
        <v>76</v>
      </c>
      <c r="C1510" s="2">
        <v>56</v>
      </c>
      <c r="D1510" s="2">
        <v>9.4672799999999999E+28</v>
      </c>
      <c r="E1510" s="2" t="s">
        <v>1510</v>
      </c>
      <c r="F1510" s="2">
        <v>9.4672799999999999E+28</v>
      </c>
    </row>
    <row r="1511" spans="1:6" x14ac:dyDescent="0.25">
      <c r="A1511" s="1">
        <v>56133</v>
      </c>
      <c r="B1511" s="2">
        <v>77</v>
      </c>
      <c r="C1511" s="2">
        <v>56</v>
      </c>
      <c r="D1511" s="2">
        <v>332964237.60000002</v>
      </c>
      <c r="E1511" s="2" t="s">
        <v>1511</v>
      </c>
      <c r="F1511" s="2">
        <v>332964237.60000002</v>
      </c>
    </row>
    <row r="1512" spans="1:6" x14ac:dyDescent="0.25">
      <c r="A1512" s="1">
        <v>56134</v>
      </c>
      <c r="B1512" s="2">
        <v>78</v>
      </c>
      <c r="C1512" s="2">
        <v>56</v>
      </c>
      <c r="D1512" s="2" t="s">
        <v>3</v>
      </c>
      <c r="E1512" s="2" t="s">
        <v>1512</v>
      </c>
      <c r="F1512" s="2" t="s">
        <v>3</v>
      </c>
    </row>
    <row r="1513" spans="1:6" x14ac:dyDescent="0.25">
      <c r="A1513" s="1">
        <v>56135</v>
      </c>
      <c r="B1513" s="2">
        <v>79</v>
      </c>
      <c r="C1513" s="2">
        <v>56</v>
      </c>
      <c r="D1513" s="2" t="s">
        <v>3</v>
      </c>
      <c r="E1513" s="2" t="s">
        <v>1513</v>
      </c>
      <c r="F1513" s="2" t="s">
        <v>3</v>
      </c>
    </row>
    <row r="1514" spans="1:6" x14ac:dyDescent="0.25">
      <c r="A1514" s="1">
        <v>56136</v>
      </c>
      <c r="B1514" s="2">
        <v>80</v>
      </c>
      <c r="C1514" s="2">
        <v>56</v>
      </c>
      <c r="D1514" s="2" t="s">
        <v>3</v>
      </c>
      <c r="E1514" s="2" t="s">
        <v>1514</v>
      </c>
      <c r="F1514" s="2" t="s">
        <v>3</v>
      </c>
    </row>
    <row r="1515" spans="1:6" x14ac:dyDescent="0.25">
      <c r="A1515" s="1">
        <v>56137</v>
      </c>
      <c r="B1515" s="2">
        <v>81</v>
      </c>
      <c r="C1515" s="2">
        <v>56</v>
      </c>
      <c r="D1515" s="2" t="s">
        <v>3</v>
      </c>
      <c r="E1515" s="2" t="s">
        <v>1515</v>
      </c>
      <c r="F1515" s="2" t="s">
        <v>3</v>
      </c>
    </row>
    <row r="1516" spans="1:6" x14ac:dyDescent="0.25">
      <c r="A1516" s="1">
        <v>56138</v>
      </c>
      <c r="B1516" s="2">
        <v>82</v>
      </c>
      <c r="C1516" s="2">
        <v>56</v>
      </c>
      <c r="D1516" s="2" t="s">
        <v>3</v>
      </c>
      <c r="E1516" s="2" t="s">
        <v>1516</v>
      </c>
      <c r="F1516" s="2" t="s">
        <v>3</v>
      </c>
    </row>
    <row r="1517" spans="1:6" x14ac:dyDescent="0.25">
      <c r="A1517" s="1">
        <v>56139</v>
      </c>
      <c r="B1517" s="2">
        <v>83</v>
      </c>
      <c r="C1517" s="2">
        <v>56</v>
      </c>
      <c r="D1517" s="2">
        <v>4983.6000000000004</v>
      </c>
      <c r="E1517" s="2" t="s">
        <v>1517</v>
      </c>
      <c r="F1517" s="2">
        <v>4983.6000000000004</v>
      </c>
    </row>
    <row r="1518" spans="1:6" x14ac:dyDescent="0.25">
      <c r="A1518" s="1">
        <v>56140</v>
      </c>
      <c r="B1518" s="2">
        <v>84</v>
      </c>
      <c r="C1518" s="2">
        <v>56</v>
      </c>
      <c r="D1518" s="2">
        <v>1101833.28</v>
      </c>
      <c r="E1518" s="2" t="s">
        <v>1518</v>
      </c>
      <c r="F1518" s="2">
        <v>1101833.28</v>
      </c>
    </row>
    <row r="1519" spans="1:6" x14ac:dyDescent="0.25">
      <c r="A1519" s="1">
        <v>56141</v>
      </c>
      <c r="B1519" s="2">
        <v>85</v>
      </c>
      <c r="C1519" s="2">
        <v>56</v>
      </c>
      <c r="D1519" s="2">
        <v>1096.2</v>
      </c>
      <c r="E1519" s="2" t="s">
        <v>1519</v>
      </c>
      <c r="F1519" s="2">
        <v>1096.2</v>
      </c>
    </row>
    <row r="1520" spans="1:6" x14ac:dyDescent="0.25">
      <c r="A1520" s="1">
        <v>56142</v>
      </c>
      <c r="B1520" s="2">
        <v>86</v>
      </c>
      <c r="C1520" s="2">
        <v>56</v>
      </c>
      <c r="D1520" s="2">
        <v>636</v>
      </c>
      <c r="E1520" s="2" t="s">
        <v>1520</v>
      </c>
      <c r="F1520" s="2">
        <v>636</v>
      </c>
    </row>
    <row r="1521" spans="1:6" x14ac:dyDescent="0.25">
      <c r="A1521" s="1">
        <v>56143</v>
      </c>
      <c r="B1521" s="2">
        <v>87</v>
      </c>
      <c r="C1521" s="2">
        <v>56</v>
      </c>
      <c r="D1521" s="2">
        <v>14.5</v>
      </c>
      <c r="E1521" s="2" t="s">
        <v>1521</v>
      </c>
      <c r="F1521" s="2">
        <v>14.5</v>
      </c>
    </row>
    <row r="1522" spans="1:6" x14ac:dyDescent="0.25">
      <c r="A1522" s="1">
        <v>56144</v>
      </c>
      <c r="B1522" s="2">
        <v>88</v>
      </c>
      <c r="C1522" s="2">
        <v>56</v>
      </c>
      <c r="D1522" s="2">
        <v>11.5</v>
      </c>
      <c r="E1522" s="2" t="s">
        <v>1522</v>
      </c>
      <c r="F1522" s="2">
        <v>11.5</v>
      </c>
    </row>
    <row r="1523" spans="1:6" x14ac:dyDescent="0.25">
      <c r="A1523" s="1">
        <v>56145</v>
      </c>
      <c r="B1523" s="2">
        <v>89</v>
      </c>
      <c r="C1523" s="2">
        <v>56</v>
      </c>
      <c r="D1523" s="2">
        <v>4.3099999999999996</v>
      </c>
      <c r="E1523" s="2" t="s">
        <v>1523</v>
      </c>
      <c r="F1523" s="2">
        <v>4.3099999999999996</v>
      </c>
    </row>
    <row r="1524" spans="1:6" x14ac:dyDescent="0.25">
      <c r="A1524" s="1">
        <v>56146</v>
      </c>
      <c r="B1524" s="2">
        <v>90</v>
      </c>
      <c r="C1524" s="2">
        <v>56</v>
      </c>
      <c r="D1524" s="2">
        <v>2.2200000000000002</v>
      </c>
      <c r="E1524" s="2" t="s">
        <v>1524</v>
      </c>
      <c r="F1524" s="2">
        <v>2.2200000000000002</v>
      </c>
    </row>
    <row r="1525" spans="1:6" x14ac:dyDescent="0.25">
      <c r="A1525" s="1">
        <v>56147</v>
      </c>
      <c r="B1525" s="2">
        <v>91</v>
      </c>
      <c r="C1525" s="2">
        <v>56</v>
      </c>
      <c r="D1525" s="2">
        <v>0.89400000000000002</v>
      </c>
      <c r="E1525" s="2" t="s">
        <v>1525</v>
      </c>
      <c r="F1525" s="2">
        <v>0.89400000000000002</v>
      </c>
    </row>
    <row r="1526" spans="1:6" x14ac:dyDescent="0.25">
      <c r="A1526" s="1">
        <v>56148</v>
      </c>
      <c r="B1526" s="2">
        <v>92</v>
      </c>
      <c r="C1526" s="2">
        <v>56</v>
      </c>
      <c r="D1526" s="2">
        <v>0.61199999999999999</v>
      </c>
      <c r="E1526" s="2" t="s">
        <v>1526</v>
      </c>
      <c r="F1526" s="2">
        <v>0.61199999999999999</v>
      </c>
    </row>
    <row r="1527" spans="1:6" x14ac:dyDescent="0.25">
      <c r="A1527" s="1">
        <v>56149</v>
      </c>
      <c r="B1527" s="2">
        <v>93</v>
      </c>
      <c r="C1527" s="2">
        <v>56</v>
      </c>
      <c r="D1527" s="2">
        <v>0.34399999999999997</v>
      </c>
      <c r="E1527" s="2" t="s">
        <v>1527</v>
      </c>
      <c r="F1527" s="2">
        <v>0.34399999999999997</v>
      </c>
    </row>
    <row r="1528" spans="1:6" x14ac:dyDescent="0.25">
      <c r="A1528" s="1">
        <v>56150</v>
      </c>
      <c r="B1528" s="2">
        <v>94</v>
      </c>
      <c r="C1528" s="2">
        <v>56</v>
      </c>
      <c r="D1528" s="2">
        <v>0.3</v>
      </c>
      <c r="E1528" s="2" t="s">
        <v>1528</v>
      </c>
      <c r="F1528" s="2">
        <v>0.3</v>
      </c>
    </row>
    <row r="1529" spans="1:6" x14ac:dyDescent="0.25">
      <c r="A1529" s="1">
        <v>56151</v>
      </c>
      <c r="B1529" s="2">
        <v>95</v>
      </c>
      <c r="C1529" s="2">
        <v>56</v>
      </c>
      <c r="D1529" s="2">
        <v>2.9999999999999999E-7</v>
      </c>
      <c r="E1529" s="2" t="s">
        <v>1529</v>
      </c>
      <c r="F1529" s="2">
        <v>2.9999999999999999E-7</v>
      </c>
    </row>
    <row r="1530" spans="1:6" x14ac:dyDescent="0.25">
      <c r="A1530" s="1">
        <v>56152</v>
      </c>
      <c r="B1530" s="2">
        <v>96</v>
      </c>
      <c r="C1530" s="2">
        <v>56</v>
      </c>
      <c r="D1530" s="2">
        <v>4.0600000000000001E-7</v>
      </c>
      <c r="E1530" s="2" t="s">
        <v>1530</v>
      </c>
      <c r="F1530" s="2">
        <v>4.0600000000000001E-7</v>
      </c>
    </row>
    <row r="1531" spans="1:6" x14ac:dyDescent="0.25">
      <c r="A1531" s="1">
        <v>57117</v>
      </c>
      <c r="B1531" s="2">
        <v>60</v>
      </c>
      <c r="C1531" s="2">
        <v>57</v>
      </c>
      <c r="D1531" s="2">
        <v>2.35E-2</v>
      </c>
      <c r="E1531" s="2" t="s">
        <v>1531</v>
      </c>
      <c r="F1531" s="2">
        <v>2.35E-2</v>
      </c>
    </row>
    <row r="1532" spans="1:6" x14ac:dyDescent="0.25">
      <c r="A1532" s="1">
        <v>57120</v>
      </c>
      <c r="B1532" s="2">
        <v>63</v>
      </c>
      <c r="C1532" s="2">
        <v>57</v>
      </c>
      <c r="D1532" s="2">
        <v>2.8</v>
      </c>
      <c r="E1532" s="2" t="s">
        <v>1532</v>
      </c>
      <c r="F1532" s="2">
        <v>2.8</v>
      </c>
    </row>
    <row r="1533" spans="1:6" x14ac:dyDescent="0.25">
      <c r="A1533" s="1">
        <v>57121</v>
      </c>
      <c r="B1533" s="2">
        <v>64</v>
      </c>
      <c r="C1533" s="2">
        <v>57</v>
      </c>
      <c r="D1533" s="2">
        <v>5.3</v>
      </c>
      <c r="E1533" s="2" t="s">
        <v>1533</v>
      </c>
      <c r="F1533" s="2">
        <v>5.3</v>
      </c>
    </row>
    <row r="1534" spans="1:6" x14ac:dyDescent="0.25">
      <c r="A1534" s="1">
        <v>57122</v>
      </c>
      <c r="B1534" s="2">
        <v>65</v>
      </c>
      <c r="C1534" s="2">
        <v>57</v>
      </c>
      <c r="D1534" s="2">
        <v>8.6</v>
      </c>
      <c r="E1534" s="2" t="s">
        <v>1534</v>
      </c>
      <c r="F1534" s="2">
        <v>8.6</v>
      </c>
    </row>
    <row r="1535" spans="1:6" x14ac:dyDescent="0.25">
      <c r="A1535" s="1">
        <v>57123</v>
      </c>
      <c r="B1535" s="2">
        <v>66</v>
      </c>
      <c r="C1535" s="2">
        <v>57</v>
      </c>
      <c r="D1535" s="2">
        <v>17</v>
      </c>
      <c r="E1535" s="2" t="s">
        <v>1535</v>
      </c>
      <c r="F1535" s="2">
        <v>17</v>
      </c>
    </row>
    <row r="1536" spans="1:6" x14ac:dyDescent="0.25">
      <c r="A1536" s="1">
        <v>57124</v>
      </c>
      <c r="B1536" s="2">
        <v>67</v>
      </c>
      <c r="C1536" s="2">
        <v>57</v>
      </c>
      <c r="D1536" s="2">
        <v>29.21</v>
      </c>
      <c r="E1536" s="2" t="s">
        <v>1536</v>
      </c>
      <c r="F1536" s="2">
        <v>29.21</v>
      </c>
    </row>
    <row r="1537" spans="1:6" x14ac:dyDescent="0.25">
      <c r="A1537" s="1">
        <v>57125</v>
      </c>
      <c r="B1537" s="2">
        <v>68</v>
      </c>
      <c r="C1537" s="2">
        <v>57</v>
      </c>
      <c r="D1537" s="2">
        <v>64.8</v>
      </c>
      <c r="E1537" s="2" t="s">
        <v>1537</v>
      </c>
      <c r="F1537" s="2">
        <v>64.8</v>
      </c>
    </row>
    <row r="1538" spans="1:6" x14ac:dyDescent="0.25">
      <c r="A1538" s="1">
        <v>57126</v>
      </c>
      <c r="B1538" s="2">
        <v>69</v>
      </c>
      <c r="C1538" s="2">
        <v>57</v>
      </c>
      <c r="D1538" s="2">
        <v>54</v>
      </c>
      <c r="E1538" s="2" t="s">
        <v>1538</v>
      </c>
      <c r="F1538" s="2">
        <v>54</v>
      </c>
    </row>
    <row r="1539" spans="1:6" x14ac:dyDescent="0.25">
      <c r="A1539" s="1">
        <v>57127</v>
      </c>
      <c r="B1539" s="2">
        <v>70</v>
      </c>
      <c r="C1539" s="2">
        <v>57</v>
      </c>
      <c r="D1539" s="2">
        <v>306</v>
      </c>
      <c r="E1539" s="2" t="s">
        <v>1539</v>
      </c>
      <c r="F1539" s="2">
        <v>306</v>
      </c>
    </row>
    <row r="1540" spans="1:6" x14ac:dyDescent="0.25">
      <c r="A1540" s="1">
        <v>57128</v>
      </c>
      <c r="B1540" s="2">
        <v>71</v>
      </c>
      <c r="C1540" s="2">
        <v>57</v>
      </c>
      <c r="D1540" s="2">
        <v>310.79999999999899</v>
      </c>
      <c r="E1540" s="2" t="s">
        <v>1540</v>
      </c>
      <c r="F1540" s="2">
        <v>310.79999999999899</v>
      </c>
    </row>
    <row r="1541" spans="1:6" x14ac:dyDescent="0.25">
      <c r="A1541" s="1">
        <v>57129</v>
      </c>
      <c r="B1541" s="2">
        <v>72</v>
      </c>
      <c r="C1541" s="2">
        <v>57</v>
      </c>
      <c r="D1541" s="2">
        <v>696</v>
      </c>
      <c r="E1541" s="2" t="s">
        <v>1541</v>
      </c>
      <c r="F1541" s="2">
        <v>696</v>
      </c>
    </row>
    <row r="1542" spans="1:6" x14ac:dyDescent="0.25">
      <c r="A1542" s="1">
        <v>57130</v>
      </c>
      <c r="B1542" s="2">
        <v>73</v>
      </c>
      <c r="C1542" s="2">
        <v>57</v>
      </c>
      <c r="D1542" s="2">
        <v>522</v>
      </c>
      <c r="E1542" s="2" t="s">
        <v>1542</v>
      </c>
      <c r="F1542" s="2">
        <v>522</v>
      </c>
    </row>
    <row r="1543" spans="1:6" x14ac:dyDescent="0.25">
      <c r="A1543" s="1">
        <v>57131</v>
      </c>
      <c r="B1543" s="2">
        <v>74</v>
      </c>
      <c r="C1543" s="2">
        <v>57</v>
      </c>
      <c r="D1543" s="2">
        <v>3540</v>
      </c>
      <c r="E1543" s="2" t="s">
        <v>1543</v>
      </c>
      <c r="F1543" s="2">
        <v>3540</v>
      </c>
    </row>
    <row r="1544" spans="1:6" x14ac:dyDescent="0.25">
      <c r="A1544" s="1">
        <v>57132</v>
      </c>
      <c r="B1544" s="2">
        <v>75</v>
      </c>
      <c r="C1544" s="2">
        <v>57</v>
      </c>
      <c r="D1544" s="2">
        <v>17280</v>
      </c>
      <c r="E1544" s="2" t="s">
        <v>1544</v>
      </c>
      <c r="F1544" s="2">
        <v>17280</v>
      </c>
    </row>
    <row r="1545" spans="1:6" x14ac:dyDescent="0.25">
      <c r="A1545" s="1">
        <v>57133</v>
      </c>
      <c r="B1545" s="2">
        <v>76</v>
      </c>
      <c r="C1545" s="2">
        <v>57</v>
      </c>
      <c r="D1545" s="2">
        <v>14083.199999999901</v>
      </c>
      <c r="E1545" s="2" t="s">
        <v>1545</v>
      </c>
      <c r="F1545" s="2">
        <v>14083.199999999901</v>
      </c>
    </row>
    <row r="1546" spans="1:6" x14ac:dyDescent="0.25">
      <c r="A1546" s="1">
        <v>57134</v>
      </c>
      <c r="B1546" s="2">
        <v>77</v>
      </c>
      <c r="C1546" s="2">
        <v>57</v>
      </c>
      <c r="D1546" s="2">
        <v>387</v>
      </c>
      <c r="E1546" s="2" t="s">
        <v>1546</v>
      </c>
      <c r="F1546" s="2">
        <v>387</v>
      </c>
    </row>
    <row r="1547" spans="1:6" x14ac:dyDescent="0.25">
      <c r="A1547" s="1">
        <v>57135</v>
      </c>
      <c r="B1547" s="2">
        <v>78</v>
      </c>
      <c r="C1547" s="2">
        <v>57</v>
      </c>
      <c r="D1547" s="2">
        <v>70200</v>
      </c>
      <c r="E1547" s="2" t="s">
        <v>1547</v>
      </c>
      <c r="F1547" s="2">
        <v>70200</v>
      </c>
    </row>
    <row r="1548" spans="1:6" x14ac:dyDescent="0.25">
      <c r="A1548" s="1">
        <v>57136</v>
      </c>
      <c r="B1548" s="2">
        <v>79</v>
      </c>
      <c r="C1548" s="2">
        <v>57</v>
      </c>
      <c r="D1548" s="2">
        <v>592.19999999999902</v>
      </c>
      <c r="E1548" s="2" t="s">
        <v>1548</v>
      </c>
      <c r="F1548" s="2">
        <v>592.19999999999902</v>
      </c>
    </row>
    <row r="1549" spans="1:6" x14ac:dyDescent="0.25">
      <c r="A1549" s="1">
        <v>57137</v>
      </c>
      <c r="B1549" s="2">
        <v>80</v>
      </c>
      <c r="C1549" s="2">
        <v>57</v>
      </c>
      <c r="D1549" s="2">
        <v>1893456000000</v>
      </c>
      <c r="E1549" s="2" t="s">
        <v>1549</v>
      </c>
      <c r="F1549" s="2">
        <v>1893456000000</v>
      </c>
    </row>
    <row r="1550" spans="1:6" x14ac:dyDescent="0.25">
      <c r="A1550" s="1">
        <v>57138</v>
      </c>
      <c r="B1550" s="2">
        <v>81</v>
      </c>
      <c r="C1550" s="2">
        <v>57</v>
      </c>
      <c r="D1550" s="2">
        <v>3.2188752E+18</v>
      </c>
      <c r="E1550" s="2" t="s">
        <v>1550</v>
      </c>
      <c r="F1550" s="2">
        <v>3.2188752E+18</v>
      </c>
    </row>
    <row r="1551" spans="1:6" x14ac:dyDescent="0.25">
      <c r="A1551" s="1">
        <v>57139</v>
      </c>
      <c r="B1551" s="2">
        <v>82</v>
      </c>
      <c r="C1551" s="2">
        <v>57</v>
      </c>
      <c r="D1551" s="2" t="s">
        <v>3</v>
      </c>
      <c r="E1551" s="2" t="s">
        <v>1551</v>
      </c>
      <c r="F1551" s="2" t="s">
        <v>3</v>
      </c>
    </row>
    <row r="1552" spans="1:6" x14ac:dyDescent="0.25">
      <c r="A1552" s="1">
        <v>57140</v>
      </c>
      <c r="B1552" s="2">
        <v>83</v>
      </c>
      <c r="C1552" s="2">
        <v>57</v>
      </c>
      <c r="D1552" s="2">
        <v>145026.72</v>
      </c>
      <c r="E1552" s="2" t="s">
        <v>1552</v>
      </c>
      <c r="F1552" s="2">
        <v>145026.72</v>
      </c>
    </row>
    <row r="1553" spans="1:6" x14ac:dyDescent="0.25">
      <c r="A1553" s="1">
        <v>57141</v>
      </c>
      <c r="B1553" s="2">
        <v>84</v>
      </c>
      <c r="C1553" s="2">
        <v>57</v>
      </c>
      <c r="D1553" s="2">
        <v>14112</v>
      </c>
      <c r="E1553" s="2" t="s">
        <v>1553</v>
      </c>
      <c r="F1553" s="2">
        <v>14112</v>
      </c>
    </row>
    <row r="1554" spans="1:6" x14ac:dyDescent="0.25">
      <c r="A1554" s="1">
        <v>57142</v>
      </c>
      <c r="B1554" s="2">
        <v>85</v>
      </c>
      <c r="C1554" s="2">
        <v>57</v>
      </c>
      <c r="D1554" s="2">
        <v>5466</v>
      </c>
      <c r="E1554" s="2" t="s">
        <v>1554</v>
      </c>
      <c r="F1554" s="2">
        <v>5466</v>
      </c>
    </row>
    <row r="1555" spans="1:6" x14ac:dyDescent="0.25">
      <c r="A1555" s="1">
        <v>57143</v>
      </c>
      <c r="B1555" s="2">
        <v>86</v>
      </c>
      <c r="C1555" s="2">
        <v>57</v>
      </c>
      <c r="D1555" s="2">
        <v>852</v>
      </c>
      <c r="E1555" s="2" t="s">
        <v>1555</v>
      </c>
      <c r="F1555" s="2">
        <v>852</v>
      </c>
    </row>
    <row r="1556" spans="1:6" x14ac:dyDescent="0.25">
      <c r="A1556" s="1">
        <v>57144</v>
      </c>
      <c r="B1556" s="2">
        <v>87</v>
      </c>
      <c r="C1556" s="2">
        <v>57</v>
      </c>
      <c r="D1556" s="2">
        <v>40.799999999999997</v>
      </c>
      <c r="E1556" s="2" t="s">
        <v>1556</v>
      </c>
      <c r="F1556" s="2">
        <v>40.799999999999997</v>
      </c>
    </row>
    <row r="1557" spans="1:6" x14ac:dyDescent="0.25">
      <c r="A1557" s="1">
        <v>57145</v>
      </c>
      <c r="B1557" s="2">
        <v>88</v>
      </c>
      <c r="C1557" s="2">
        <v>57</v>
      </c>
      <c r="D1557" s="2">
        <v>24.8</v>
      </c>
      <c r="E1557" s="2" t="s">
        <v>1557</v>
      </c>
      <c r="F1557" s="2">
        <v>24.8</v>
      </c>
    </row>
    <row r="1558" spans="1:6" x14ac:dyDescent="0.25">
      <c r="A1558" s="1">
        <v>57146</v>
      </c>
      <c r="B1558" s="2">
        <v>89</v>
      </c>
      <c r="C1558" s="2">
        <v>57</v>
      </c>
      <c r="D1558" s="2">
        <v>6.27</v>
      </c>
      <c r="E1558" s="2" t="s">
        <v>1558</v>
      </c>
      <c r="F1558" s="2">
        <v>6.27</v>
      </c>
    </row>
    <row r="1559" spans="1:6" x14ac:dyDescent="0.25">
      <c r="A1559" s="1">
        <v>57147</v>
      </c>
      <c r="B1559" s="2">
        <v>90</v>
      </c>
      <c r="C1559" s="2">
        <v>57</v>
      </c>
      <c r="D1559" s="2">
        <v>4.0599999999999996</v>
      </c>
      <c r="E1559" s="2" t="s">
        <v>1559</v>
      </c>
      <c r="F1559" s="2">
        <v>4.0599999999999996</v>
      </c>
    </row>
    <row r="1560" spans="1:6" x14ac:dyDescent="0.25">
      <c r="A1560" s="1">
        <v>57148</v>
      </c>
      <c r="B1560" s="2">
        <v>91</v>
      </c>
      <c r="C1560" s="2">
        <v>57</v>
      </c>
      <c r="D1560" s="2">
        <v>1.26</v>
      </c>
      <c r="E1560" s="2" t="s">
        <v>1560</v>
      </c>
      <c r="F1560" s="2">
        <v>1.26</v>
      </c>
    </row>
    <row r="1561" spans="1:6" x14ac:dyDescent="0.25">
      <c r="A1561" s="1">
        <v>57149</v>
      </c>
      <c r="B1561" s="2">
        <v>92</v>
      </c>
      <c r="C1561" s="2">
        <v>57</v>
      </c>
      <c r="D1561" s="2">
        <v>1.05</v>
      </c>
      <c r="E1561" s="2" t="s">
        <v>1561</v>
      </c>
      <c r="F1561" s="2">
        <v>1.05</v>
      </c>
    </row>
    <row r="1562" spans="1:6" x14ac:dyDescent="0.25">
      <c r="A1562" s="1">
        <v>57150</v>
      </c>
      <c r="B1562" s="2">
        <v>93</v>
      </c>
      <c r="C1562" s="2">
        <v>57</v>
      </c>
      <c r="D1562" s="2">
        <v>0.59</v>
      </c>
      <c r="E1562" s="2" t="s">
        <v>1562</v>
      </c>
      <c r="F1562" s="2">
        <v>0.59</v>
      </c>
    </row>
    <row r="1563" spans="1:6" x14ac:dyDescent="0.25">
      <c r="A1563" s="1">
        <v>57151</v>
      </c>
      <c r="B1563" s="2">
        <v>94</v>
      </c>
      <c r="C1563" s="2">
        <v>57</v>
      </c>
      <c r="D1563" s="2">
        <v>2.9999999999999999E-7</v>
      </c>
      <c r="E1563" s="2" t="s">
        <v>1563</v>
      </c>
      <c r="F1563" s="2">
        <v>2.9999999999999999E-7</v>
      </c>
    </row>
    <row r="1564" spans="1:6" x14ac:dyDescent="0.25">
      <c r="A1564" s="1">
        <v>57152</v>
      </c>
      <c r="B1564" s="2">
        <v>95</v>
      </c>
      <c r="C1564" s="2">
        <v>57</v>
      </c>
      <c r="D1564" s="2">
        <v>1.4999999999999999E-7</v>
      </c>
      <c r="E1564" s="2" t="s">
        <v>1564</v>
      </c>
      <c r="F1564" s="2">
        <v>1.4999999999999999E-7</v>
      </c>
    </row>
    <row r="1565" spans="1:6" x14ac:dyDescent="0.25">
      <c r="A1565" s="1">
        <v>57153</v>
      </c>
      <c r="B1565" s="2">
        <v>96</v>
      </c>
      <c r="C1565" s="2">
        <v>57</v>
      </c>
      <c r="D1565" s="2">
        <v>9.9999999999999995E-8</v>
      </c>
      <c r="E1565" s="2" t="s">
        <v>1565</v>
      </c>
      <c r="F1565" s="2">
        <v>9.9999999999999995E-8</v>
      </c>
    </row>
    <row r="1566" spans="1:6" x14ac:dyDescent="0.25">
      <c r="A1566" s="1">
        <v>58121</v>
      </c>
      <c r="B1566" s="2">
        <v>63</v>
      </c>
      <c r="C1566" s="2">
        <v>58</v>
      </c>
      <c r="D1566" s="2">
        <v>1.1000000000000001</v>
      </c>
      <c r="E1566" s="2" t="s">
        <v>1566</v>
      </c>
      <c r="F1566" s="2">
        <v>1.1000000000000001</v>
      </c>
    </row>
    <row r="1567" spans="1:6" x14ac:dyDescent="0.25">
      <c r="A1567" s="1">
        <v>58123</v>
      </c>
      <c r="B1567" s="2">
        <v>65</v>
      </c>
      <c r="C1567" s="2">
        <v>58</v>
      </c>
      <c r="D1567" s="2">
        <v>3.8</v>
      </c>
      <c r="E1567" s="2" t="s">
        <v>1567</v>
      </c>
      <c r="F1567" s="2">
        <v>3.8</v>
      </c>
    </row>
    <row r="1568" spans="1:6" x14ac:dyDescent="0.25">
      <c r="A1568" s="1">
        <v>58124</v>
      </c>
      <c r="B1568" s="2">
        <v>66</v>
      </c>
      <c r="C1568" s="2">
        <v>58</v>
      </c>
      <c r="D1568" s="2">
        <v>6</v>
      </c>
      <c r="E1568" s="2" t="s">
        <v>1568</v>
      </c>
      <c r="F1568" s="2">
        <v>6</v>
      </c>
    </row>
    <row r="1569" spans="1:6" x14ac:dyDescent="0.25">
      <c r="A1569" s="1">
        <v>58125</v>
      </c>
      <c r="B1569" s="2">
        <v>67</v>
      </c>
      <c r="C1569" s="2">
        <v>58</v>
      </c>
      <c r="D1569" s="2">
        <v>9.6999999999999993</v>
      </c>
      <c r="E1569" s="2" t="s">
        <v>1569</v>
      </c>
      <c r="F1569" s="2">
        <v>9.6999999999999993</v>
      </c>
    </row>
    <row r="1570" spans="1:6" x14ac:dyDescent="0.25">
      <c r="A1570" s="1">
        <v>58126</v>
      </c>
      <c r="B1570" s="2">
        <v>68</v>
      </c>
      <c r="C1570" s="2">
        <v>58</v>
      </c>
      <c r="D1570" s="2">
        <v>51</v>
      </c>
      <c r="E1570" s="2" t="s">
        <v>1570</v>
      </c>
      <c r="F1570" s="2">
        <v>51</v>
      </c>
    </row>
    <row r="1571" spans="1:6" x14ac:dyDescent="0.25">
      <c r="A1571" s="1">
        <v>58127</v>
      </c>
      <c r="B1571" s="2">
        <v>69</v>
      </c>
      <c r="C1571" s="2">
        <v>58</v>
      </c>
      <c r="D1571" s="2">
        <v>34</v>
      </c>
      <c r="E1571" s="2" t="s">
        <v>1571</v>
      </c>
      <c r="F1571" s="2">
        <v>34</v>
      </c>
    </row>
    <row r="1572" spans="1:6" x14ac:dyDescent="0.25">
      <c r="A1572" s="1">
        <v>58128</v>
      </c>
      <c r="B1572" s="2">
        <v>70</v>
      </c>
      <c r="C1572" s="2">
        <v>58</v>
      </c>
      <c r="D1572" s="2">
        <v>235.8</v>
      </c>
      <c r="E1572" s="2" t="s">
        <v>1572</v>
      </c>
      <c r="F1572" s="2">
        <v>235.8</v>
      </c>
    </row>
    <row r="1573" spans="1:6" x14ac:dyDescent="0.25">
      <c r="A1573" s="1">
        <v>58129</v>
      </c>
      <c r="B1573" s="2">
        <v>71</v>
      </c>
      <c r="C1573" s="2">
        <v>58</v>
      </c>
      <c r="D1573" s="2">
        <v>210</v>
      </c>
      <c r="E1573" s="2" t="s">
        <v>1573</v>
      </c>
      <c r="F1573" s="2">
        <v>210</v>
      </c>
    </row>
    <row r="1574" spans="1:6" x14ac:dyDescent="0.25">
      <c r="A1574" s="1">
        <v>58130</v>
      </c>
      <c r="B1574" s="2">
        <v>72</v>
      </c>
      <c r="C1574" s="2">
        <v>58</v>
      </c>
      <c r="D1574" s="2">
        <v>1374</v>
      </c>
      <c r="E1574" s="2" t="s">
        <v>1574</v>
      </c>
      <c r="F1574" s="2">
        <v>1374</v>
      </c>
    </row>
    <row r="1575" spans="1:6" x14ac:dyDescent="0.25">
      <c r="A1575" s="1">
        <v>58131</v>
      </c>
      <c r="B1575" s="2">
        <v>73</v>
      </c>
      <c r="C1575" s="2">
        <v>58</v>
      </c>
      <c r="D1575" s="2">
        <v>618</v>
      </c>
      <c r="E1575" s="2" t="s">
        <v>1575</v>
      </c>
      <c r="F1575" s="2">
        <v>618</v>
      </c>
    </row>
    <row r="1576" spans="1:6" x14ac:dyDescent="0.25">
      <c r="A1576" s="1">
        <v>58132</v>
      </c>
      <c r="B1576" s="2">
        <v>74</v>
      </c>
      <c r="C1576" s="2">
        <v>58</v>
      </c>
      <c r="D1576" s="2">
        <v>12636</v>
      </c>
      <c r="E1576" s="2" t="s">
        <v>1576</v>
      </c>
      <c r="F1576" s="2">
        <v>12636</v>
      </c>
    </row>
    <row r="1577" spans="1:6" x14ac:dyDescent="0.25">
      <c r="A1577" s="1">
        <v>58133</v>
      </c>
      <c r="B1577" s="2">
        <v>75</v>
      </c>
      <c r="C1577" s="2">
        <v>58</v>
      </c>
      <c r="D1577" s="2">
        <v>5820</v>
      </c>
      <c r="E1577" s="2" t="s">
        <v>1577</v>
      </c>
      <c r="F1577" s="2">
        <v>5820</v>
      </c>
    </row>
    <row r="1578" spans="1:6" x14ac:dyDescent="0.25">
      <c r="A1578" s="1">
        <v>58134</v>
      </c>
      <c r="B1578" s="2">
        <v>76</v>
      </c>
      <c r="C1578" s="2">
        <v>58</v>
      </c>
      <c r="D1578" s="2">
        <v>273024</v>
      </c>
      <c r="E1578" s="2" t="s">
        <v>1578</v>
      </c>
      <c r="F1578" s="2">
        <v>273024</v>
      </c>
    </row>
    <row r="1579" spans="1:6" x14ac:dyDescent="0.25">
      <c r="A1579" s="1">
        <v>58135</v>
      </c>
      <c r="B1579" s="2">
        <v>77</v>
      </c>
      <c r="C1579" s="2">
        <v>58</v>
      </c>
      <c r="D1579" s="2">
        <v>63720</v>
      </c>
      <c r="E1579" s="2" t="s">
        <v>1579</v>
      </c>
      <c r="F1579" s="2">
        <v>63720</v>
      </c>
    </row>
    <row r="1580" spans="1:6" x14ac:dyDescent="0.25">
      <c r="A1580" s="1">
        <v>58136</v>
      </c>
      <c r="B1580" s="2">
        <v>78</v>
      </c>
      <c r="C1580" s="2">
        <v>58</v>
      </c>
      <c r="D1580" s="2">
        <v>2.209032E+21</v>
      </c>
      <c r="E1580" s="2" t="s">
        <v>1580</v>
      </c>
      <c r="F1580" s="2">
        <v>2.209032E+21</v>
      </c>
    </row>
    <row r="1581" spans="1:6" x14ac:dyDescent="0.25">
      <c r="A1581" s="1">
        <v>58137</v>
      </c>
      <c r="B1581" s="2">
        <v>79</v>
      </c>
      <c r="C1581" s="2">
        <v>58</v>
      </c>
      <c r="D1581" s="2">
        <v>32400</v>
      </c>
      <c r="E1581" s="2" t="s">
        <v>1581</v>
      </c>
      <c r="F1581" s="2">
        <v>32400</v>
      </c>
    </row>
    <row r="1582" spans="1:6" x14ac:dyDescent="0.25">
      <c r="A1582" s="1">
        <v>58138</v>
      </c>
      <c r="B1582" s="2">
        <v>80</v>
      </c>
      <c r="C1582" s="2">
        <v>58</v>
      </c>
      <c r="D1582" s="2">
        <v>2.8401840000000003E+21</v>
      </c>
      <c r="E1582" s="2" t="s">
        <v>1582</v>
      </c>
      <c r="F1582" s="2">
        <v>2.8401840000000003E+21</v>
      </c>
    </row>
    <row r="1583" spans="1:6" x14ac:dyDescent="0.25">
      <c r="A1583" s="1">
        <v>58139</v>
      </c>
      <c r="B1583" s="2">
        <v>81</v>
      </c>
      <c r="C1583" s="2">
        <v>58</v>
      </c>
      <c r="D1583" s="2">
        <v>11892182.3999999</v>
      </c>
      <c r="E1583" s="2" t="s">
        <v>1583</v>
      </c>
      <c r="F1583" s="2">
        <v>11892182.3999999</v>
      </c>
    </row>
    <row r="1584" spans="1:6" x14ac:dyDescent="0.25">
      <c r="A1584" s="1">
        <v>58140</v>
      </c>
      <c r="B1584" s="2">
        <v>82</v>
      </c>
      <c r="C1584" s="2">
        <v>58</v>
      </c>
      <c r="D1584" s="2" t="s">
        <v>3</v>
      </c>
      <c r="E1584" s="2" t="s">
        <v>1584</v>
      </c>
      <c r="F1584" s="2" t="s">
        <v>3</v>
      </c>
    </row>
    <row r="1585" spans="1:6" x14ac:dyDescent="0.25">
      <c r="A1585" s="1">
        <v>58141</v>
      </c>
      <c r="B1585" s="2">
        <v>83</v>
      </c>
      <c r="C1585" s="2">
        <v>58</v>
      </c>
      <c r="D1585" s="2">
        <v>2808950.4</v>
      </c>
      <c r="E1585" s="2" t="s">
        <v>1585</v>
      </c>
      <c r="F1585" s="2">
        <v>2808950.4</v>
      </c>
    </row>
    <row r="1586" spans="1:6" x14ac:dyDescent="0.25">
      <c r="A1586" s="1">
        <v>58142</v>
      </c>
      <c r="B1586" s="2">
        <v>84</v>
      </c>
      <c r="C1586" s="2">
        <v>58</v>
      </c>
      <c r="D1586" s="2">
        <v>1.57788E+24</v>
      </c>
      <c r="E1586" s="2" t="s">
        <v>1586</v>
      </c>
      <c r="F1586" s="2">
        <v>1.57788E+24</v>
      </c>
    </row>
    <row r="1587" spans="1:6" x14ac:dyDescent="0.25">
      <c r="A1587" s="1">
        <v>58143</v>
      </c>
      <c r="B1587" s="2">
        <v>85</v>
      </c>
      <c r="C1587" s="2">
        <v>58</v>
      </c>
      <c r="D1587" s="2">
        <v>118940.4</v>
      </c>
      <c r="E1587" s="2" t="s">
        <v>1587</v>
      </c>
      <c r="F1587" s="2">
        <v>118940.4</v>
      </c>
    </row>
    <row r="1588" spans="1:6" x14ac:dyDescent="0.25">
      <c r="A1588" s="1">
        <v>58144</v>
      </c>
      <c r="B1588" s="2">
        <v>86</v>
      </c>
      <c r="C1588" s="2">
        <v>58</v>
      </c>
      <c r="D1588" s="2">
        <v>24616224</v>
      </c>
      <c r="E1588" s="2" t="s">
        <v>1588</v>
      </c>
      <c r="F1588" s="2">
        <v>24616224</v>
      </c>
    </row>
    <row r="1589" spans="1:6" x14ac:dyDescent="0.25">
      <c r="A1589" s="1">
        <v>58145</v>
      </c>
      <c r="B1589" s="2">
        <v>87</v>
      </c>
      <c r="C1589" s="2">
        <v>58</v>
      </c>
      <c r="D1589" s="2">
        <v>180.6</v>
      </c>
      <c r="E1589" s="2" t="s">
        <v>1589</v>
      </c>
      <c r="F1589" s="2">
        <v>180.6</v>
      </c>
    </row>
    <row r="1590" spans="1:6" x14ac:dyDescent="0.25">
      <c r="A1590" s="1">
        <v>58146</v>
      </c>
      <c r="B1590" s="2">
        <v>88</v>
      </c>
      <c r="C1590" s="2">
        <v>58</v>
      </c>
      <c r="D1590" s="2">
        <v>809.4</v>
      </c>
      <c r="E1590" s="2" t="s">
        <v>1590</v>
      </c>
      <c r="F1590" s="2">
        <v>809.4</v>
      </c>
    </row>
    <row r="1591" spans="1:6" x14ac:dyDescent="0.25">
      <c r="A1591" s="1">
        <v>58147</v>
      </c>
      <c r="B1591" s="2">
        <v>89</v>
      </c>
      <c r="C1591" s="2">
        <v>58</v>
      </c>
      <c r="D1591" s="2">
        <v>56.4</v>
      </c>
      <c r="E1591" s="2" t="s">
        <v>1591</v>
      </c>
      <c r="F1591" s="2">
        <v>56.4</v>
      </c>
    </row>
    <row r="1592" spans="1:6" x14ac:dyDescent="0.25">
      <c r="A1592" s="1">
        <v>58148</v>
      </c>
      <c r="B1592" s="2">
        <v>90</v>
      </c>
      <c r="C1592" s="2">
        <v>58</v>
      </c>
      <c r="D1592" s="2">
        <v>56.8</v>
      </c>
      <c r="E1592" s="2" t="s">
        <v>1592</v>
      </c>
      <c r="F1592" s="2">
        <v>56.8</v>
      </c>
    </row>
    <row r="1593" spans="1:6" x14ac:dyDescent="0.25">
      <c r="A1593" s="1">
        <v>58149</v>
      </c>
      <c r="B1593" s="2">
        <v>91</v>
      </c>
      <c r="C1593" s="2">
        <v>58</v>
      </c>
      <c r="D1593" s="2">
        <v>5.3</v>
      </c>
      <c r="E1593" s="2" t="s">
        <v>1593</v>
      </c>
      <c r="F1593" s="2">
        <v>5.3</v>
      </c>
    </row>
    <row r="1594" spans="1:6" x14ac:dyDescent="0.25">
      <c r="A1594" s="1">
        <v>58150</v>
      </c>
      <c r="B1594" s="2">
        <v>92</v>
      </c>
      <c r="C1594" s="2">
        <v>58</v>
      </c>
      <c r="D1594" s="2">
        <v>4</v>
      </c>
      <c r="E1594" s="2" t="s">
        <v>1594</v>
      </c>
      <c r="F1594" s="2">
        <v>4</v>
      </c>
    </row>
    <row r="1595" spans="1:6" x14ac:dyDescent="0.25">
      <c r="A1595" s="1">
        <v>58151</v>
      </c>
      <c r="B1595" s="2">
        <v>93</v>
      </c>
      <c r="C1595" s="2">
        <v>58</v>
      </c>
      <c r="D1595" s="2">
        <v>1.76</v>
      </c>
      <c r="E1595" s="2" t="s">
        <v>1595</v>
      </c>
      <c r="F1595" s="2">
        <v>1.76</v>
      </c>
    </row>
    <row r="1596" spans="1:6" x14ac:dyDescent="0.25">
      <c r="A1596" s="1">
        <v>58152</v>
      </c>
      <c r="B1596" s="2">
        <v>94</v>
      </c>
      <c r="C1596" s="2">
        <v>58</v>
      </c>
      <c r="D1596" s="2">
        <v>1.4</v>
      </c>
      <c r="E1596" s="2" t="s">
        <v>1596</v>
      </c>
      <c r="F1596" s="2">
        <v>1.4</v>
      </c>
    </row>
    <row r="1597" spans="1:6" x14ac:dyDescent="0.25">
      <c r="A1597" s="1">
        <v>58153</v>
      </c>
      <c r="B1597" s="2">
        <v>95</v>
      </c>
      <c r="C1597" s="2">
        <v>58</v>
      </c>
      <c r="D1597" s="2">
        <v>9.9999999999999995E-8</v>
      </c>
      <c r="E1597" s="2" t="s">
        <v>1597</v>
      </c>
      <c r="F1597" s="2">
        <v>9.9999999999999995E-8</v>
      </c>
    </row>
    <row r="1598" spans="1:6" x14ac:dyDescent="0.25">
      <c r="A1598" s="1">
        <v>58154</v>
      </c>
      <c r="B1598" s="2">
        <v>96</v>
      </c>
      <c r="C1598" s="2">
        <v>58</v>
      </c>
      <c r="D1598" s="2">
        <v>9.9999999999999995E-8</v>
      </c>
      <c r="E1598" s="2" t="s">
        <v>1598</v>
      </c>
      <c r="F1598" s="2">
        <v>9.9999999999999995E-8</v>
      </c>
    </row>
    <row r="1599" spans="1:6" x14ac:dyDescent="0.25">
      <c r="A1599" s="1">
        <v>58155</v>
      </c>
      <c r="B1599" s="2">
        <v>97</v>
      </c>
      <c r="C1599" s="2">
        <v>58</v>
      </c>
      <c r="D1599" s="2">
        <v>2.9999999999999999E-7</v>
      </c>
      <c r="E1599" s="2" t="s">
        <v>1599</v>
      </c>
      <c r="F1599" s="2">
        <v>2.9999999999999999E-7</v>
      </c>
    </row>
    <row r="1600" spans="1:6" x14ac:dyDescent="0.25">
      <c r="A1600" s="1">
        <v>59121</v>
      </c>
      <c r="B1600" s="2">
        <v>62</v>
      </c>
      <c r="C1600" s="2">
        <v>59</v>
      </c>
      <c r="D1600" s="2">
        <v>0.01</v>
      </c>
      <c r="E1600" s="2" t="s">
        <v>1600</v>
      </c>
      <c r="F1600" s="2">
        <v>0.01</v>
      </c>
    </row>
    <row r="1601" spans="1:6" x14ac:dyDescent="0.25">
      <c r="A1601" s="1">
        <v>59122</v>
      </c>
      <c r="B1601" s="2">
        <v>63</v>
      </c>
      <c r="C1601" s="2">
        <v>59</v>
      </c>
      <c r="D1601" s="2">
        <v>0.5</v>
      </c>
      <c r="E1601" s="2" t="s">
        <v>1601</v>
      </c>
      <c r="F1601" s="2">
        <v>0.5</v>
      </c>
    </row>
    <row r="1602" spans="1:6" x14ac:dyDescent="0.25">
      <c r="A1602" s="1">
        <v>59123</v>
      </c>
      <c r="B1602" s="2">
        <v>64</v>
      </c>
      <c r="C1602" s="2">
        <v>59</v>
      </c>
      <c r="D1602" s="2">
        <v>0.8</v>
      </c>
      <c r="E1602" s="2" t="s">
        <v>1602</v>
      </c>
      <c r="F1602" s="2">
        <v>0.8</v>
      </c>
    </row>
    <row r="1603" spans="1:6" x14ac:dyDescent="0.25">
      <c r="A1603" s="1">
        <v>59124</v>
      </c>
      <c r="B1603" s="2">
        <v>65</v>
      </c>
      <c r="C1603" s="2">
        <v>59</v>
      </c>
      <c r="D1603" s="2">
        <v>1.2</v>
      </c>
      <c r="E1603" s="2" t="s">
        <v>1603</v>
      </c>
      <c r="F1603" s="2">
        <v>1.2</v>
      </c>
    </row>
    <row r="1604" spans="1:6" x14ac:dyDescent="0.25">
      <c r="A1604" s="1">
        <v>59125</v>
      </c>
      <c r="B1604" s="2">
        <v>66</v>
      </c>
      <c r="C1604" s="2">
        <v>59</v>
      </c>
      <c r="D1604" s="2">
        <v>3.3</v>
      </c>
      <c r="E1604" s="2" t="s">
        <v>1604</v>
      </c>
      <c r="F1604" s="2">
        <v>3.3</v>
      </c>
    </row>
    <row r="1605" spans="1:6" x14ac:dyDescent="0.25">
      <c r="A1605" s="1">
        <v>59126</v>
      </c>
      <c r="B1605" s="2">
        <v>67</v>
      </c>
      <c r="C1605" s="2">
        <v>59</v>
      </c>
      <c r="D1605" s="2">
        <v>3.14</v>
      </c>
      <c r="E1605" s="2" t="s">
        <v>1605</v>
      </c>
      <c r="F1605" s="2">
        <v>3.14</v>
      </c>
    </row>
    <row r="1606" spans="1:6" x14ac:dyDescent="0.25">
      <c r="A1606" s="1">
        <v>59127</v>
      </c>
      <c r="B1606" s="2">
        <v>68</v>
      </c>
      <c r="C1606" s="2">
        <v>59</v>
      </c>
      <c r="D1606" s="2">
        <v>4.2</v>
      </c>
      <c r="E1606" s="2" t="s">
        <v>1606</v>
      </c>
      <c r="F1606" s="2">
        <v>4.2</v>
      </c>
    </row>
    <row r="1607" spans="1:6" x14ac:dyDescent="0.25">
      <c r="A1607" s="1">
        <v>59128</v>
      </c>
      <c r="B1607" s="2">
        <v>69</v>
      </c>
      <c r="C1607" s="2">
        <v>59</v>
      </c>
      <c r="D1607" s="2">
        <v>2.85</v>
      </c>
      <c r="E1607" s="2" t="s">
        <v>1607</v>
      </c>
      <c r="F1607" s="2">
        <v>2.85</v>
      </c>
    </row>
    <row r="1608" spans="1:6" x14ac:dyDescent="0.25">
      <c r="A1608" s="1">
        <v>59129</v>
      </c>
      <c r="B1608" s="2">
        <v>70</v>
      </c>
      <c r="C1608" s="2">
        <v>59</v>
      </c>
      <c r="D1608" s="2">
        <v>30</v>
      </c>
      <c r="E1608" s="2" t="s">
        <v>1608</v>
      </c>
      <c r="F1608" s="2">
        <v>30</v>
      </c>
    </row>
    <row r="1609" spans="1:6" x14ac:dyDescent="0.25">
      <c r="A1609" s="1">
        <v>59130</v>
      </c>
      <c r="B1609" s="2">
        <v>71</v>
      </c>
      <c r="C1609" s="2">
        <v>59</v>
      </c>
      <c r="D1609" s="2">
        <v>40</v>
      </c>
      <c r="E1609" s="2" t="s">
        <v>1609</v>
      </c>
      <c r="F1609" s="2">
        <v>40</v>
      </c>
    </row>
    <row r="1610" spans="1:6" x14ac:dyDescent="0.25">
      <c r="A1610" s="1">
        <v>59131</v>
      </c>
      <c r="B1610" s="2">
        <v>72</v>
      </c>
      <c r="C1610" s="2">
        <v>59</v>
      </c>
      <c r="D1610" s="2">
        <v>90.6</v>
      </c>
      <c r="E1610" s="2" t="s">
        <v>1610</v>
      </c>
      <c r="F1610" s="2">
        <v>90.6</v>
      </c>
    </row>
    <row r="1611" spans="1:6" x14ac:dyDescent="0.25">
      <c r="A1611" s="1">
        <v>59132</v>
      </c>
      <c r="B1611" s="2">
        <v>73</v>
      </c>
      <c r="C1611" s="2">
        <v>59</v>
      </c>
      <c r="D1611" s="2">
        <v>96</v>
      </c>
      <c r="E1611" s="2" t="s">
        <v>1611</v>
      </c>
      <c r="F1611" s="2">
        <v>96</v>
      </c>
    </row>
    <row r="1612" spans="1:6" x14ac:dyDescent="0.25">
      <c r="A1612" s="1">
        <v>59133</v>
      </c>
      <c r="B1612" s="2">
        <v>74</v>
      </c>
      <c r="C1612" s="2">
        <v>59</v>
      </c>
      <c r="D1612" s="2">
        <v>390</v>
      </c>
      <c r="E1612" s="2" t="s">
        <v>1612</v>
      </c>
      <c r="F1612" s="2">
        <v>390</v>
      </c>
    </row>
    <row r="1613" spans="1:6" x14ac:dyDescent="0.25">
      <c r="A1613" s="1">
        <v>59134</v>
      </c>
      <c r="B1613" s="2">
        <v>75</v>
      </c>
      <c r="C1613" s="2">
        <v>59</v>
      </c>
      <c r="D1613" s="2">
        <v>660</v>
      </c>
      <c r="E1613" s="2" t="s">
        <v>1613</v>
      </c>
      <c r="F1613" s="2">
        <v>660</v>
      </c>
    </row>
    <row r="1614" spans="1:6" x14ac:dyDescent="0.25">
      <c r="A1614" s="1">
        <v>59135</v>
      </c>
      <c r="B1614" s="2">
        <v>76</v>
      </c>
      <c r="C1614" s="2">
        <v>59</v>
      </c>
      <c r="D1614" s="2">
        <v>1440</v>
      </c>
      <c r="E1614" s="2" t="s">
        <v>1614</v>
      </c>
      <c r="F1614" s="2">
        <v>1440</v>
      </c>
    </row>
    <row r="1615" spans="1:6" x14ac:dyDescent="0.25">
      <c r="A1615" s="1">
        <v>59136</v>
      </c>
      <c r="B1615" s="2">
        <v>77</v>
      </c>
      <c r="C1615" s="2">
        <v>59</v>
      </c>
      <c r="D1615" s="2">
        <v>786</v>
      </c>
      <c r="E1615" s="2" t="s">
        <v>1615</v>
      </c>
      <c r="F1615" s="2">
        <v>786</v>
      </c>
    </row>
    <row r="1616" spans="1:6" x14ac:dyDescent="0.25">
      <c r="A1616" s="1">
        <v>59137</v>
      </c>
      <c r="B1616" s="2">
        <v>78</v>
      </c>
      <c r="C1616" s="2">
        <v>59</v>
      </c>
      <c r="D1616" s="2">
        <v>4608</v>
      </c>
      <c r="E1616" s="2" t="s">
        <v>1616</v>
      </c>
      <c r="F1616" s="2">
        <v>4608</v>
      </c>
    </row>
    <row r="1617" spans="1:6" x14ac:dyDescent="0.25">
      <c r="A1617" s="1">
        <v>59138</v>
      </c>
      <c r="B1617" s="2">
        <v>79</v>
      </c>
      <c r="C1617" s="2">
        <v>59</v>
      </c>
      <c r="D1617" s="2">
        <v>87</v>
      </c>
      <c r="E1617" s="2" t="s">
        <v>1617</v>
      </c>
      <c r="F1617" s="2">
        <v>87</v>
      </c>
    </row>
    <row r="1618" spans="1:6" x14ac:dyDescent="0.25">
      <c r="A1618" s="1">
        <v>59139</v>
      </c>
      <c r="B1618" s="2">
        <v>80</v>
      </c>
      <c r="C1618" s="2">
        <v>59</v>
      </c>
      <c r="D1618" s="2">
        <v>15876</v>
      </c>
      <c r="E1618" s="2" t="s">
        <v>1618</v>
      </c>
      <c r="F1618" s="2">
        <v>15876</v>
      </c>
    </row>
    <row r="1619" spans="1:6" x14ac:dyDescent="0.25">
      <c r="A1619" s="1">
        <v>59140</v>
      </c>
      <c r="B1619" s="2">
        <v>81</v>
      </c>
      <c r="C1619" s="2">
        <v>59</v>
      </c>
      <c r="D1619" s="2">
        <v>203.4</v>
      </c>
      <c r="E1619" s="2" t="s">
        <v>1619</v>
      </c>
      <c r="F1619" s="2">
        <v>203.4</v>
      </c>
    </row>
    <row r="1620" spans="1:6" x14ac:dyDescent="0.25">
      <c r="A1620" s="1">
        <v>59141</v>
      </c>
      <c r="B1620" s="2">
        <v>82</v>
      </c>
      <c r="C1620" s="2">
        <v>59</v>
      </c>
      <c r="D1620" s="2" t="s">
        <v>3</v>
      </c>
      <c r="E1620" s="2" t="s">
        <v>1620</v>
      </c>
      <c r="F1620" s="2" t="s">
        <v>3</v>
      </c>
    </row>
    <row r="1621" spans="1:6" x14ac:dyDescent="0.25">
      <c r="A1621" s="1">
        <v>59142</v>
      </c>
      <c r="B1621" s="2">
        <v>83</v>
      </c>
      <c r="C1621" s="2">
        <v>59</v>
      </c>
      <c r="D1621" s="2">
        <v>68832</v>
      </c>
      <c r="E1621" s="2" t="s">
        <v>1621</v>
      </c>
      <c r="F1621" s="2">
        <v>68832</v>
      </c>
    </row>
    <row r="1622" spans="1:6" x14ac:dyDescent="0.25">
      <c r="A1622" s="1">
        <v>59143</v>
      </c>
      <c r="B1622" s="2">
        <v>84</v>
      </c>
      <c r="C1622" s="2">
        <v>59</v>
      </c>
      <c r="D1622" s="2">
        <v>1172448</v>
      </c>
      <c r="E1622" s="2" t="s">
        <v>1622</v>
      </c>
      <c r="F1622" s="2">
        <v>1172448</v>
      </c>
    </row>
    <row r="1623" spans="1:6" x14ac:dyDescent="0.25">
      <c r="A1623" s="1">
        <v>59144</v>
      </c>
      <c r="B1623" s="2">
        <v>85</v>
      </c>
      <c r="C1623" s="2">
        <v>59</v>
      </c>
      <c r="D1623" s="2">
        <v>1036.8</v>
      </c>
      <c r="E1623" s="2" t="s">
        <v>1623</v>
      </c>
      <c r="F1623" s="2">
        <v>1036.8</v>
      </c>
    </row>
    <row r="1624" spans="1:6" x14ac:dyDescent="0.25">
      <c r="A1624" s="1">
        <v>59145</v>
      </c>
      <c r="B1624" s="2">
        <v>86</v>
      </c>
      <c r="C1624" s="2">
        <v>59</v>
      </c>
      <c r="D1624" s="2">
        <v>21542.400000000001</v>
      </c>
      <c r="E1624" s="2" t="s">
        <v>1624</v>
      </c>
      <c r="F1624" s="2">
        <v>21542.400000000001</v>
      </c>
    </row>
    <row r="1625" spans="1:6" x14ac:dyDescent="0.25">
      <c r="A1625" s="1">
        <v>59146</v>
      </c>
      <c r="B1625" s="2">
        <v>87</v>
      </c>
      <c r="C1625" s="2">
        <v>59</v>
      </c>
      <c r="D1625" s="2">
        <v>1449</v>
      </c>
      <c r="E1625" s="2" t="s">
        <v>1625</v>
      </c>
      <c r="F1625" s="2">
        <v>1449</v>
      </c>
    </row>
    <row r="1626" spans="1:6" x14ac:dyDescent="0.25">
      <c r="A1626" s="1">
        <v>59147</v>
      </c>
      <c r="B1626" s="2">
        <v>88</v>
      </c>
      <c r="C1626" s="2">
        <v>59</v>
      </c>
      <c r="D1626" s="2">
        <v>804</v>
      </c>
      <c r="E1626" s="2" t="s">
        <v>1626</v>
      </c>
      <c r="F1626" s="2">
        <v>804</v>
      </c>
    </row>
    <row r="1627" spans="1:6" x14ac:dyDescent="0.25">
      <c r="A1627" s="1">
        <v>59148</v>
      </c>
      <c r="B1627" s="2">
        <v>89</v>
      </c>
      <c r="C1627" s="2">
        <v>59</v>
      </c>
      <c r="D1627" s="2">
        <v>137.4</v>
      </c>
      <c r="E1627" s="2" t="s">
        <v>1627</v>
      </c>
      <c r="F1627" s="2">
        <v>137.4</v>
      </c>
    </row>
    <row r="1628" spans="1:6" x14ac:dyDescent="0.25">
      <c r="A1628" s="1">
        <v>59149</v>
      </c>
      <c r="B1628" s="2">
        <v>90</v>
      </c>
      <c r="C1628" s="2">
        <v>59</v>
      </c>
      <c r="D1628" s="2">
        <v>135.6</v>
      </c>
      <c r="E1628" s="2" t="s">
        <v>1628</v>
      </c>
      <c r="F1628" s="2">
        <v>135.6</v>
      </c>
    </row>
    <row r="1629" spans="1:6" x14ac:dyDescent="0.25">
      <c r="A1629" s="1">
        <v>59150</v>
      </c>
      <c r="B1629" s="2">
        <v>91</v>
      </c>
      <c r="C1629" s="2">
        <v>59</v>
      </c>
      <c r="D1629" s="2">
        <v>6.19</v>
      </c>
      <c r="E1629" s="2" t="s">
        <v>1629</v>
      </c>
      <c r="F1629" s="2">
        <v>6.19</v>
      </c>
    </row>
    <row r="1630" spans="1:6" x14ac:dyDescent="0.25">
      <c r="A1630" s="1">
        <v>59151</v>
      </c>
      <c r="B1630" s="2">
        <v>92</v>
      </c>
      <c r="C1630" s="2">
        <v>59</v>
      </c>
      <c r="D1630" s="2">
        <v>18.899999999999999</v>
      </c>
      <c r="E1630" s="2" t="s">
        <v>1630</v>
      </c>
      <c r="F1630" s="2">
        <v>18.899999999999999</v>
      </c>
    </row>
    <row r="1631" spans="1:6" x14ac:dyDescent="0.25">
      <c r="A1631" s="1">
        <v>59152</v>
      </c>
      <c r="B1631" s="2">
        <v>93</v>
      </c>
      <c r="C1631" s="2">
        <v>59</v>
      </c>
      <c r="D1631" s="2">
        <v>3.57</v>
      </c>
      <c r="E1631" s="2" t="s">
        <v>1631</v>
      </c>
      <c r="F1631" s="2">
        <v>3.57</v>
      </c>
    </row>
    <row r="1632" spans="1:6" x14ac:dyDescent="0.25">
      <c r="A1632" s="1">
        <v>59153</v>
      </c>
      <c r="B1632" s="2">
        <v>94</v>
      </c>
      <c r="C1632" s="2">
        <v>59</v>
      </c>
      <c r="D1632" s="2">
        <v>4.28</v>
      </c>
      <c r="E1632" s="2" t="s">
        <v>1632</v>
      </c>
      <c r="F1632" s="2">
        <v>4.28</v>
      </c>
    </row>
    <row r="1633" spans="1:6" x14ac:dyDescent="0.25">
      <c r="A1633" s="1">
        <v>59154</v>
      </c>
      <c r="B1633" s="2">
        <v>95</v>
      </c>
      <c r="C1633" s="2">
        <v>59</v>
      </c>
      <c r="D1633" s="2">
        <v>2.2999999999999998</v>
      </c>
      <c r="E1633" s="2" t="s">
        <v>1633</v>
      </c>
      <c r="F1633" s="2">
        <v>2.2999999999999998</v>
      </c>
    </row>
    <row r="1634" spans="1:6" x14ac:dyDescent="0.25">
      <c r="A1634" s="1">
        <v>59155</v>
      </c>
      <c r="B1634" s="2">
        <v>96</v>
      </c>
      <c r="C1634" s="2">
        <v>59</v>
      </c>
      <c r="D1634" s="2">
        <v>2.9999999999999999E-7</v>
      </c>
      <c r="E1634" s="2" t="s">
        <v>1634</v>
      </c>
      <c r="F1634" s="2">
        <v>2.9999999999999999E-7</v>
      </c>
    </row>
    <row r="1635" spans="1:6" x14ac:dyDescent="0.25">
      <c r="A1635" s="1">
        <v>59156</v>
      </c>
      <c r="B1635" s="2">
        <v>97</v>
      </c>
      <c r="C1635" s="2">
        <v>59</v>
      </c>
      <c r="D1635" s="2">
        <v>2.9999999999999999E-7</v>
      </c>
      <c r="E1635" s="2" t="s">
        <v>1635</v>
      </c>
      <c r="F1635" s="2">
        <v>2.9999999999999999E-7</v>
      </c>
    </row>
    <row r="1636" spans="1:6" x14ac:dyDescent="0.25">
      <c r="A1636" s="1">
        <v>60125</v>
      </c>
      <c r="B1636" s="2">
        <v>65</v>
      </c>
      <c r="C1636" s="2">
        <v>60</v>
      </c>
      <c r="D1636" s="2">
        <v>0.65</v>
      </c>
      <c r="E1636" s="2" t="s">
        <v>1636</v>
      </c>
      <c r="F1636" s="2">
        <v>0.65</v>
      </c>
    </row>
    <row r="1637" spans="1:6" x14ac:dyDescent="0.25">
      <c r="A1637" s="1">
        <v>60126</v>
      </c>
      <c r="B1637" s="2">
        <v>66</v>
      </c>
      <c r="C1637" s="2">
        <v>60</v>
      </c>
      <c r="D1637" s="2">
        <v>1.9999999999999999E-7</v>
      </c>
      <c r="E1637" s="2" t="s">
        <v>1637</v>
      </c>
      <c r="F1637" s="2">
        <v>1.9999999999999999E-7</v>
      </c>
    </row>
    <row r="1638" spans="1:6" x14ac:dyDescent="0.25">
      <c r="A1638" s="1">
        <v>60127</v>
      </c>
      <c r="B1638" s="2">
        <v>67</v>
      </c>
      <c r="C1638" s="2">
        <v>60</v>
      </c>
      <c r="D1638" s="2">
        <v>1.8</v>
      </c>
      <c r="E1638" s="2" t="s">
        <v>1638</v>
      </c>
      <c r="F1638" s="2">
        <v>1.8</v>
      </c>
    </row>
    <row r="1639" spans="1:6" x14ac:dyDescent="0.25">
      <c r="A1639" s="1">
        <v>60128</v>
      </c>
      <c r="B1639" s="2">
        <v>68</v>
      </c>
      <c r="C1639" s="2">
        <v>60</v>
      </c>
      <c r="D1639" s="2">
        <v>5</v>
      </c>
      <c r="E1639" s="2" t="s">
        <v>1639</v>
      </c>
      <c r="F1639" s="2">
        <v>5</v>
      </c>
    </row>
    <row r="1640" spans="1:6" x14ac:dyDescent="0.25">
      <c r="A1640" s="1">
        <v>60129</v>
      </c>
      <c r="B1640" s="2">
        <v>69</v>
      </c>
      <c r="C1640" s="2">
        <v>60</v>
      </c>
      <c r="D1640" s="2">
        <v>6.7</v>
      </c>
      <c r="E1640" s="2" t="s">
        <v>1640</v>
      </c>
      <c r="F1640" s="2">
        <v>6.7</v>
      </c>
    </row>
    <row r="1641" spans="1:6" x14ac:dyDescent="0.25">
      <c r="A1641" s="1">
        <v>60130</v>
      </c>
      <c r="B1641" s="2">
        <v>70</v>
      </c>
      <c r="C1641" s="2">
        <v>60</v>
      </c>
      <c r="D1641" s="2">
        <v>21</v>
      </c>
      <c r="E1641" s="2" t="s">
        <v>1641</v>
      </c>
      <c r="F1641" s="2">
        <v>21</v>
      </c>
    </row>
    <row r="1642" spans="1:6" x14ac:dyDescent="0.25">
      <c r="A1642" s="1">
        <v>60131</v>
      </c>
      <c r="B1642" s="2">
        <v>71</v>
      </c>
      <c r="C1642" s="2">
        <v>60</v>
      </c>
      <c r="D1642" s="2">
        <v>25.4</v>
      </c>
      <c r="E1642" s="2" t="s">
        <v>1642</v>
      </c>
      <c r="F1642" s="2">
        <v>25.4</v>
      </c>
    </row>
    <row r="1643" spans="1:6" x14ac:dyDescent="0.25">
      <c r="A1643" s="1">
        <v>60132</v>
      </c>
      <c r="B1643" s="2">
        <v>72</v>
      </c>
      <c r="C1643" s="2">
        <v>60</v>
      </c>
      <c r="D1643" s="2">
        <v>94</v>
      </c>
      <c r="E1643" s="2" t="s">
        <v>1643</v>
      </c>
      <c r="F1643" s="2">
        <v>94</v>
      </c>
    </row>
    <row r="1644" spans="1:6" x14ac:dyDescent="0.25">
      <c r="A1644" s="1">
        <v>60133</v>
      </c>
      <c r="B1644" s="2">
        <v>73</v>
      </c>
      <c r="C1644" s="2">
        <v>60</v>
      </c>
      <c r="D1644" s="2">
        <v>70</v>
      </c>
      <c r="E1644" s="2" t="s">
        <v>1644</v>
      </c>
      <c r="F1644" s="2">
        <v>70</v>
      </c>
    </row>
    <row r="1645" spans="1:6" x14ac:dyDescent="0.25">
      <c r="A1645" s="1">
        <v>60134</v>
      </c>
      <c r="B1645" s="2">
        <v>74</v>
      </c>
      <c r="C1645" s="2">
        <v>60</v>
      </c>
      <c r="D1645" s="2">
        <v>510</v>
      </c>
      <c r="E1645" s="2" t="s">
        <v>1645</v>
      </c>
      <c r="F1645" s="2">
        <v>510</v>
      </c>
    </row>
    <row r="1646" spans="1:6" x14ac:dyDescent="0.25">
      <c r="A1646" s="1">
        <v>60135</v>
      </c>
      <c r="B1646" s="2">
        <v>75</v>
      </c>
      <c r="C1646" s="2">
        <v>60</v>
      </c>
      <c r="D1646" s="2">
        <v>744</v>
      </c>
      <c r="E1646" s="2" t="s">
        <v>1646</v>
      </c>
      <c r="F1646" s="2">
        <v>744</v>
      </c>
    </row>
    <row r="1647" spans="1:6" x14ac:dyDescent="0.25">
      <c r="A1647" s="1">
        <v>60136</v>
      </c>
      <c r="B1647" s="2">
        <v>76</v>
      </c>
      <c r="C1647" s="2">
        <v>60</v>
      </c>
      <c r="D1647" s="2">
        <v>3039</v>
      </c>
      <c r="E1647" s="2" t="s">
        <v>1647</v>
      </c>
      <c r="F1647" s="2">
        <v>3039</v>
      </c>
    </row>
    <row r="1648" spans="1:6" x14ac:dyDescent="0.25">
      <c r="A1648" s="1">
        <v>60137</v>
      </c>
      <c r="B1648" s="2">
        <v>77</v>
      </c>
      <c r="C1648" s="2">
        <v>60</v>
      </c>
      <c r="D1648" s="2">
        <v>2310</v>
      </c>
      <c r="E1648" s="2" t="s">
        <v>1648</v>
      </c>
      <c r="F1648" s="2">
        <v>2310</v>
      </c>
    </row>
    <row r="1649" spans="1:6" x14ac:dyDescent="0.25">
      <c r="A1649" s="1">
        <v>60138</v>
      </c>
      <c r="B1649" s="2">
        <v>78</v>
      </c>
      <c r="C1649" s="2">
        <v>60</v>
      </c>
      <c r="D1649" s="2">
        <v>18144</v>
      </c>
      <c r="E1649" s="2" t="s">
        <v>1649</v>
      </c>
      <c r="F1649" s="2">
        <v>18144</v>
      </c>
    </row>
    <row r="1650" spans="1:6" x14ac:dyDescent="0.25">
      <c r="A1650" s="1">
        <v>60139</v>
      </c>
      <c r="B1650" s="2">
        <v>79</v>
      </c>
      <c r="C1650" s="2">
        <v>60</v>
      </c>
      <c r="D1650" s="2">
        <v>1782</v>
      </c>
      <c r="E1650" s="2" t="s">
        <v>1650</v>
      </c>
      <c r="F1650" s="2">
        <v>1782</v>
      </c>
    </row>
    <row r="1651" spans="1:6" x14ac:dyDescent="0.25">
      <c r="A1651" s="1">
        <v>60140</v>
      </c>
      <c r="B1651" s="2">
        <v>80</v>
      </c>
      <c r="C1651" s="2">
        <v>60</v>
      </c>
      <c r="D1651" s="2">
        <v>291168</v>
      </c>
      <c r="E1651" s="2" t="s">
        <v>1651</v>
      </c>
      <c r="F1651" s="2">
        <v>291168</v>
      </c>
    </row>
    <row r="1652" spans="1:6" x14ac:dyDescent="0.25">
      <c r="A1652" s="1">
        <v>60141</v>
      </c>
      <c r="B1652" s="2">
        <v>81</v>
      </c>
      <c r="C1652" s="2">
        <v>60</v>
      </c>
      <c r="D1652" s="2">
        <v>8964</v>
      </c>
      <c r="E1652" s="2" t="s">
        <v>1652</v>
      </c>
      <c r="F1652" s="2">
        <v>8964</v>
      </c>
    </row>
    <row r="1653" spans="1:6" x14ac:dyDescent="0.25">
      <c r="A1653" s="1">
        <v>60142</v>
      </c>
      <c r="B1653" s="2">
        <v>82</v>
      </c>
      <c r="C1653" s="2">
        <v>60</v>
      </c>
      <c r="D1653" s="2" t="s">
        <v>3</v>
      </c>
      <c r="E1653" s="2" t="s">
        <v>1653</v>
      </c>
      <c r="F1653" s="2" t="s">
        <v>3</v>
      </c>
    </row>
    <row r="1654" spans="1:6" x14ac:dyDescent="0.25">
      <c r="A1654" s="1">
        <v>60143</v>
      </c>
      <c r="B1654" s="2">
        <v>83</v>
      </c>
      <c r="C1654" s="2">
        <v>60</v>
      </c>
      <c r="D1654" s="2" t="s">
        <v>3</v>
      </c>
      <c r="E1654" s="2" t="s">
        <v>1654</v>
      </c>
      <c r="F1654" s="2" t="s">
        <v>3</v>
      </c>
    </row>
    <row r="1655" spans="1:6" x14ac:dyDescent="0.25">
      <c r="A1655" s="1">
        <v>60144</v>
      </c>
      <c r="B1655" s="2">
        <v>84</v>
      </c>
      <c r="C1655" s="2">
        <v>60</v>
      </c>
      <c r="D1655" s="2">
        <v>7.2266904000000002E+22</v>
      </c>
      <c r="E1655" s="2" t="s">
        <v>1655</v>
      </c>
      <c r="F1655" s="2">
        <v>7.2266904000000002E+22</v>
      </c>
    </row>
    <row r="1656" spans="1:6" x14ac:dyDescent="0.25">
      <c r="A1656" s="1">
        <v>60145</v>
      </c>
      <c r="B1656" s="2">
        <v>85</v>
      </c>
      <c r="C1656" s="2">
        <v>60</v>
      </c>
      <c r="D1656" s="2" t="s">
        <v>3</v>
      </c>
      <c r="E1656" s="2" t="s">
        <v>1656</v>
      </c>
      <c r="F1656" s="2" t="s">
        <v>3</v>
      </c>
    </row>
    <row r="1657" spans="1:6" x14ac:dyDescent="0.25">
      <c r="A1657" s="1">
        <v>60146</v>
      </c>
      <c r="B1657" s="2">
        <v>86</v>
      </c>
      <c r="C1657" s="2">
        <v>60</v>
      </c>
      <c r="D1657" s="2" t="s">
        <v>3</v>
      </c>
      <c r="E1657" s="2" t="s">
        <v>1657</v>
      </c>
      <c r="F1657" s="2" t="s">
        <v>3</v>
      </c>
    </row>
    <row r="1658" spans="1:6" x14ac:dyDescent="0.25">
      <c r="A1658" s="1">
        <v>60147</v>
      </c>
      <c r="B1658" s="2">
        <v>87</v>
      </c>
      <c r="C1658" s="2">
        <v>60</v>
      </c>
      <c r="D1658" s="2">
        <v>948672</v>
      </c>
      <c r="E1658" s="2" t="s">
        <v>1658</v>
      </c>
      <c r="F1658" s="2">
        <v>948672</v>
      </c>
    </row>
    <row r="1659" spans="1:6" x14ac:dyDescent="0.25">
      <c r="A1659" s="1">
        <v>60148</v>
      </c>
      <c r="B1659" s="2">
        <v>88</v>
      </c>
      <c r="C1659" s="2">
        <v>60</v>
      </c>
      <c r="D1659" s="2" t="s">
        <v>3</v>
      </c>
      <c r="E1659" s="2" t="s">
        <v>1659</v>
      </c>
      <c r="F1659" s="2" t="s">
        <v>3</v>
      </c>
    </row>
    <row r="1660" spans="1:6" x14ac:dyDescent="0.25">
      <c r="A1660" s="1">
        <v>60149</v>
      </c>
      <c r="B1660" s="2">
        <v>89</v>
      </c>
      <c r="C1660" s="2">
        <v>60</v>
      </c>
      <c r="D1660" s="2">
        <v>6220.8</v>
      </c>
      <c r="E1660" s="2" t="s">
        <v>1660</v>
      </c>
      <c r="F1660" s="2">
        <v>6220.8</v>
      </c>
    </row>
    <row r="1661" spans="1:6" x14ac:dyDescent="0.25">
      <c r="A1661" s="1">
        <v>60150</v>
      </c>
      <c r="B1661" s="2">
        <v>90</v>
      </c>
      <c r="C1661" s="2">
        <v>60</v>
      </c>
      <c r="D1661" s="2">
        <v>2.8717416000000001E+26</v>
      </c>
      <c r="E1661" s="2" t="s">
        <v>1661</v>
      </c>
      <c r="F1661" s="2">
        <v>2.8717416000000001E+26</v>
      </c>
    </row>
    <row r="1662" spans="1:6" x14ac:dyDescent="0.25">
      <c r="A1662" s="1">
        <v>60151</v>
      </c>
      <c r="B1662" s="2">
        <v>91</v>
      </c>
      <c r="C1662" s="2">
        <v>60</v>
      </c>
      <c r="D1662" s="2">
        <v>746.4</v>
      </c>
      <c r="E1662" s="2" t="s">
        <v>1662</v>
      </c>
      <c r="F1662" s="2">
        <v>746.4</v>
      </c>
    </row>
    <row r="1663" spans="1:6" x14ac:dyDescent="0.25">
      <c r="A1663" s="1">
        <v>60152</v>
      </c>
      <c r="B1663" s="2">
        <v>92</v>
      </c>
      <c r="C1663" s="2">
        <v>60</v>
      </c>
      <c r="D1663" s="2">
        <v>684</v>
      </c>
      <c r="E1663" s="2" t="s">
        <v>1663</v>
      </c>
      <c r="F1663" s="2">
        <v>684</v>
      </c>
    </row>
    <row r="1664" spans="1:6" x14ac:dyDescent="0.25">
      <c r="A1664" s="1">
        <v>60153</v>
      </c>
      <c r="B1664" s="2">
        <v>93</v>
      </c>
      <c r="C1664" s="2">
        <v>60</v>
      </c>
      <c r="D1664" s="2">
        <v>31.6</v>
      </c>
      <c r="E1664" s="2" t="s">
        <v>1664</v>
      </c>
      <c r="F1664" s="2">
        <v>31.6</v>
      </c>
    </row>
    <row r="1665" spans="1:6" x14ac:dyDescent="0.25">
      <c r="A1665" s="1">
        <v>60154</v>
      </c>
      <c r="B1665" s="2">
        <v>94</v>
      </c>
      <c r="C1665" s="2">
        <v>60</v>
      </c>
      <c r="D1665" s="2">
        <v>25.9</v>
      </c>
      <c r="E1665" s="2" t="s">
        <v>1665</v>
      </c>
      <c r="F1665" s="2">
        <v>25.9</v>
      </c>
    </row>
    <row r="1666" spans="1:6" x14ac:dyDescent="0.25">
      <c r="A1666" s="1">
        <v>60155</v>
      </c>
      <c r="B1666" s="2">
        <v>95</v>
      </c>
      <c r="C1666" s="2">
        <v>60</v>
      </c>
      <c r="D1666" s="2">
        <v>8.9</v>
      </c>
      <c r="E1666" s="2" t="s">
        <v>1666</v>
      </c>
      <c r="F1666" s="2">
        <v>8.9</v>
      </c>
    </row>
    <row r="1667" spans="1:6" x14ac:dyDescent="0.25">
      <c r="A1667" s="1">
        <v>60156</v>
      </c>
      <c r="B1667" s="2">
        <v>96</v>
      </c>
      <c r="C1667" s="2">
        <v>60</v>
      </c>
      <c r="D1667" s="2">
        <v>5.0599999999999996</v>
      </c>
      <c r="E1667" s="2" t="s">
        <v>1667</v>
      </c>
      <c r="F1667" s="2">
        <v>5.0599999999999996</v>
      </c>
    </row>
    <row r="1668" spans="1:6" x14ac:dyDescent="0.25">
      <c r="A1668" s="1">
        <v>60157</v>
      </c>
      <c r="B1668" s="2">
        <v>97</v>
      </c>
      <c r="C1668" s="2">
        <v>60</v>
      </c>
      <c r="D1668" s="2">
        <v>0.1</v>
      </c>
      <c r="E1668" s="2" t="s">
        <v>1668</v>
      </c>
      <c r="F1668" s="2">
        <v>0.1</v>
      </c>
    </row>
    <row r="1669" spans="1:6" x14ac:dyDescent="0.25">
      <c r="A1669" s="1">
        <v>60158</v>
      </c>
      <c r="B1669" s="2">
        <v>98</v>
      </c>
      <c r="C1669" s="2">
        <v>60</v>
      </c>
      <c r="D1669" s="2">
        <v>1.6E-7</v>
      </c>
      <c r="E1669" s="2" t="s">
        <v>1669</v>
      </c>
      <c r="F1669" s="2">
        <v>1.6E-7</v>
      </c>
    </row>
    <row r="1670" spans="1:6" x14ac:dyDescent="0.25">
      <c r="A1670" s="1">
        <v>60159</v>
      </c>
      <c r="B1670" s="2">
        <v>99</v>
      </c>
      <c r="C1670" s="2">
        <v>60</v>
      </c>
      <c r="D1670" s="2">
        <v>1.6E-7</v>
      </c>
      <c r="E1670" s="2" t="s">
        <v>1670</v>
      </c>
      <c r="F1670" s="2">
        <v>1.6E-7</v>
      </c>
    </row>
    <row r="1671" spans="1:6" x14ac:dyDescent="0.25">
      <c r="A1671" s="1">
        <v>60160</v>
      </c>
      <c r="B1671" s="2">
        <v>100</v>
      </c>
      <c r="C1671" s="2">
        <v>60</v>
      </c>
      <c r="D1671" s="2">
        <v>1.6E-7</v>
      </c>
      <c r="E1671" s="2" t="s">
        <v>1671</v>
      </c>
      <c r="F1671" s="2">
        <v>1.6E-7</v>
      </c>
    </row>
    <row r="1672" spans="1:6" x14ac:dyDescent="0.25">
      <c r="A1672" s="1">
        <v>60161</v>
      </c>
      <c r="B1672" s="2">
        <v>101</v>
      </c>
      <c r="C1672" s="2">
        <v>60</v>
      </c>
      <c r="D1672" s="2">
        <v>1.6E-7</v>
      </c>
      <c r="E1672" s="2" t="s">
        <v>1672</v>
      </c>
      <c r="F1672" s="2">
        <v>1.6E-7</v>
      </c>
    </row>
    <row r="1673" spans="1:6" x14ac:dyDescent="0.25">
      <c r="A1673" s="1">
        <v>61128</v>
      </c>
      <c r="B1673" s="2">
        <v>67</v>
      </c>
      <c r="C1673" s="2">
        <v>61</v>
      </c>
      <c r="D1673" s="2">
        <v>1</v>
      </c>
      <c r="E1673" s="2" t="s">
        <v>1673</v>
      </c>
      <c r="F1673" s="2">
        <v>1</v>
      </c>
    </row>
    <row r="1674" spans="1:6" x14ac:dyDescent="0.25">
      <c r="A1674" s="1">
        <v>61129</v>
      </c>
      <c r="B1674" s="2">
        <v>68</v>
      </c>
      <c r="C1674" s="2">
        <v>61</v>
      </c>
      <c r="D1674" s="2">
        <v>2.4</v>
      </c>
      <c r="E1674" s="2" t="s">
        <v>1674</v>
      </c>
      <c r="F1674" s="2">
        <v>2.4</v>
      </c>
    </row>
    <row r="1675" spans="1:6" x14ac:dyDescent="0.25">
      <c r="A1675" s="1">
        <v>61130</v>
      </c>
      <c r="B1675" s="2">
        <v>69</v>
      </c>
      <c r="C1675" s="2">
        <v>61</v>
      </c>
      <c r="D1675" s="2">
        <v>2.6</v>
      </c>
      <c r="E1675" s="2" t="s">
        <v>1675</v>
      </c>
      <c r="F1675" s="2">
        <v>2.6</v>
      </c>
    </row>
    <row r="1676" spans="1:6" x14ac:dyDescent="0.25">
      <c r="A1676" s="1">
        <v>61131</v>
      </c>
      <c r="B1676" s="2">
        <v>70</v>
      </c>
      <c r="C1676" s="2">
        <v>61</v>
      </c>
      <c r="D1676" s="2">
        <v>6.3</v>
      </c>
      <c r="E1676" s="2" t="s">
        <v>1676</v>
      </c>
      <c r="F1676" s="2">
        <v>6.3</v>
      </c>
    </row>
    <row r="1677" spans="1:6" x14ac:dyDescent="0.25">
      <c r="A1677" s="1">
        <v>61132</v>
      </c>
      <c r="B1677" s="2">
        <v>71</v>
      </c>
      <c r="C1677" s="2">
        <v>61</v>
      </c>
      <c r="D1677" s="2">
        <v>6.2</v>
      </c>
      <c r="E1677" s="2" t="s">
        <v>1677</v>
      </c>
      <c r="F1677" s="2">
        <v>6.2</v>
      </c>
    </row>
    <row r="1678" spans="1:6" x14ac:dyDescent="0.25">
      <c r="A1678" s="1">
        <v>61133</v>
      </c>
      <c r="B1678" s="2">
        <v>72</v>
      </c>
      <c r="C1678" s="2">
        <v>61</v>
      </c>
      <c r="D1678" s="2">
        <v>13.5</v>
      </c>
      <c r="E1678" s="2" t="s">
        <v>1678</v>
      </c>
      <c r="F1678" s="2">
        <v>13.5</v>
      </c>
    </row>
    <row r="1679" spans="1:6" x14ac:dyDescent="0.25">
      <c r="A1679" s="1">
        <v>61134</v>
      </c>
      <c r="B1679" s="2">
        <v>73</v>
      </c>
      <c r="C1679" s="2">
        <v>61</v>
      </c>
      <c r="D1679" s="2">
        <v>5</v>
      </c>
      <c r="E1679" s="2" t="s">
        <v>1679</v>
      </c>
      <c r="F1679" s="2">
        <v>5</v>
      </c>
    </row>
    <row r="1680" spans="1:6" x14ac:dyDescent="0.25">
      <c r="A1680" s="1">
        <v>61135</v>
      </c>
      <c r="B1680" s="2">
        <v>74</v>
      </c>
      <c r="C1680" s="2">
        <v>61</v>
      </c>
      <c r="D1680" s="2">
        <v>49</v>
      </c>
      <c r="E1680" s="2" t="s">
        <v>1680</v>
      </c>
      <c r="F1680" s="2">
        <v>49</v>
      </c>
    </row>
    <row r="1681" spans="1:6" x14ac:dyDescent="0.25">
      <c r="A1681" s="1">
        <v>61136</v>
      </c>
      <c r="B1681" s="2">
        <v>75</v>
      </c>
      <c r="C1681" s="2">
        <v>61</v>
      </c>
      <c r="D1681" s="2">
        <v>107</v>
      </c>
      <c r="E1681" s="2" t="s">
        <v>1681</v>
      </c>
      <c r="F1681" s="2">
        <v>107</v>
      </c>
    </row>
    <row r="1682" spans="1:6" x14ac:dyDescent="0.25">
      <c r="A1682" s="1">
        <v>61137</v>
      </c>
      <c r="B1682" s="2">
        <v>76</v>
      </c>
      <c r="C1682" s="2">
        <v>61</v>
      </c>
      <c r="D1682" s="2">
        <v>144</v>
      </c>
      <c r="E1682" s="2" t="s">
        <v>1682</v>
      </c>
      <c r="F1682" s="2">
        <v>144</v>
      </c>
    </row>
    <row r="1683" spans="1:6" x14ac:dyDescent="0.25">
      <c r="A1683" s="1">
        <v>61138</v>
      </c>
      <c r="B1683" s="2">
        <v>77</v>
      </c>
      <c r="C1683" s="2">
        <v>61</v>
      </c>
      <c r="D1683" s="2">
        <v>10</v>
      </c>
      <c r="E1683" s="2" t="s">
        <v>1683</v>
      </c>
      <c r="F1683" s="2">
        <v>10</v>
      </c>
    </row>
    <row r="1684" spans="1:6" x14ac:dyDescent="0.25">
      <c r="A1684" s="1">
        <v>61139</v>
      </c>
      <c r="B1684" s="2">
        <v>78</v>
      </c>
      <c r="C1684" s="2">
        <v>61</v>
      </c>
      <c r="D1684" s="2">
        <v>249</v>
      </c>
      <c r="E1684" s="2" t="s">
        <v>1684</v>
      </c>
      <c r="F1684" s="2">
        <v>249</v>
      </c>
    </row>
    <row r="1685" spans="1:6" x14ac:dyDescent="0.25">
      <c r="A1685" s="1">
        <v>61140</v>
      </c>
      <c r="B1685" s="2">
        <v>79</v>
      </c>
      <c r="C1685" s="2">
        <v>61</v>
      </c>
      <c r="D1685" s="2">
        <v>9.1999999999999993</v>
      </c>
      <c r="E1685" s="2" t="s">
        <v>1685</v>
      </c>
      <c r="F1685" s="2">
        <v>9.1999999999999993</v>
      </c>
    </row>
    <row r="1686" spans="1:6" x14ac:dyDescent="0.25">
      <c r="A1686" s="1">
        <v>61141</v>
      </c>
      <c r="B1686" s="2">
        <v>80</v>
      </c>
      <c r="C1686" s="2">
        <v>61</v>
      </c>
      <c r="D1686" s="2">
        <v>1254</v>
      </c>
      <c r="E1686" s="2" t="s">
        <v>1686</v>
      </c>
      <c r="F1686" s="2">
        <v>1254</v>
      </c>
    </row>
    <row r="1687" spans="1:6" x14ac:dyDescent="0.25">
      <c r="A1687" s="1">
        <v>61142</v>
      </c>
      <c r="B1687" s="2">
        <v>81</v>
      </c>
      <c r="C1687" s="2">
        <v>61</v>
      </c>
      <c r="D1687" s="2">
        <v>40.5</v>
      </c>
      <c r="E1687" s="2" t="s">
        <v>1687</v>
      </c>
      <c r="F1687" s="2">
        <v>40.5</v>
      </c>
    </row>
    <row r="1688" spans="1:6" x14ac:dyDescent="0.25">
      <c r="A1688" s="1">
        <v>61143</v>
      </c>
      <c r="B1688" s="2">
        <v>82</v>
      </c>
      <c r="C1688" s="2">
        <v>61</v>
      </c>
      <c r="D1688" s="2">
        <v>22896000</v>
      </c>
      <c r="E1688" s="2" t="s">
        <v>1688</v>
      </c>
      <c r="F1688" s="2">
        <v>22896000</v>
      </c>
    </row>
    <row r="1689" spans="1:6" x14ac:dyDescent="0.25">
      <c r="A1689" s="1">
        <v>61144</v>
      </c>
      <c r="B1689" s="2">
        <v>83</v>
      </c>
      <c r="C1689" s="2">
        <v>61</v>
      </c>
      <c r="D1689" s="2">
        <v>31363200</v>
      </c>
      <c r="E1689" s="2" t="s">
        <v>1689</v>
      </c>
      <c r="F1689" s="2">
        <v>31363200</v>
      </c>
    </row>
    <row r="1690" spans="1:6" x14ac:dyDescent="0.25">
      <c r="A1690" s="1">
        <v>61145</v>
      </c>
      <c r="B1690" s="2">
        <v>84</v>
      </c>
      <c r="C1690" s="2">
        <v>61</v>
      </c>
      <c r="D1690" s="2">
        <v>558569520</v>
      </c>
      <c r="E1690" s="2" t="s">
        <v>1690</v>
      </c>
      <c r="F1690" s="2">
        <v>558569520</v>
      </c>
    </row>
    <row r="1691" spans="1:6" x14ac:dyDescent="0.25">
      <c r="A1691" s="1">
        <v>61146</v>
      </c>
      <c r="B1691" s="2">
        <v>85</v>
      </c>
      <c r="C1691" s="2">
        <v>61</v>
      </c>
      <c r="D1691" s="2">
        <v>174513528</v>
      </c>
      <c r="E1691" s="2" t="s">
        <v>1691</v>
      </c>
      <c r="F1691" s="2">
        <v>174513528</v>
      </c>
    </row>
    <row r="1692" spans="1:6" x14ac:dyDescent="0.25">
      <c r="A1692" s="1">
        <v>61147</v>
      </c>
      <c r="B1692" s="2">
        <v>86</v>
      </c>
      <c r="C1692" s="2">
        <v>61</v>
      </c>
      <c r="D1692" s="2">
        <v>82788207.840000004</v>
      </c>
      <c r="E1692" s="2" t="s">
        <v>1692</v>
      </c>
      <c r="F1692" s="2">
        <v>82788207.840000004</v>
      </c>
    </row>
    <row r="1693" spans="1:6" x14ac:dyDescent="0.25">
      <c r="A1693" s="1">
        <v>61148</v>
      </c>
      <c r="B1693" s="2">
        <v>87</v>
      </c>
      <c r="C1693" s="2">
        <v>61</v>
      </c>
      <c r="D1693" s="2">
        <v>463795.20000000001</v>
      </c>
      <c r="E1693" s="2" t="s">
        <v>1693</v>
      </c>
      <c r="F1693" s="2">
        <v>463795.20000000001</v>
      </c>
    </row>
    <row r="1694" spans="1:6" x14ac:dyDescent="0.25">
      <c r="A1694" s="1">
        <v>61149</v>
      </c>
      <c r="B1694" s="2">
        <v>88</v>
      </c>
      <c r="C1694" s="2">
        <v>61</v>
      </c>
      <c r="D1694" s="2">
        <v>191088</v>
      </c>
      <c r="E1694" s="2" t="s">
        <v>1694</v>
      </c>
      <c r="F1694" s="2">
        <v>191088</v>
      </c>
    </row>
    <row r="1695" spans="1:6" x14ac:dyDescent="0.25">
      <c r="A1695" s="1">
        <v>61150</v>
      </c>
      <c r="B1695" s="2">
        <v>89</v>
      </c>
      <c r="C1695" s="2">
        <v>61</v>
      </c>
      <c r="D1695" s="2">
        <v>9712.7999999999993</v>
      </c>
      <c r="E1695" s="2" t="s">
        <v>1695</v>
      </c>
      <c r="F1695" s="2">
        <v>9712.7999999999993</v>
      </c>
    </row>
    <row r="1696" spans="1:6" x14ac:dyDescent="0.25">
      <c r="A1696" s="1">
        <v>61151</v>
      </c>
      <c r="B1696" s="2">
        <v>90</v>
      </c>
      <c r="C1696" s="2">
        <v>61</v>
      </c>
      <c r="D1696" s="2">
        <v>102240</v>
      </c>
      <c r="E1696" s="2" t="s">
        <v>1696</v>
      </c>
      <c r="F1696" s="2">
        <v>102240</v>
      </c>
    </row>
    <row r="1697" spans="1:6" x14ac:dyDescent="0.25">
      <c r="A1697" s="1">
        <v>61152</v>
      </c>
      <c r="B1697" s="2">
        <v>91</v>
      </c>
      <c r="C1697" s="2">
        <v>61</v>
      </c>
      <c r="D1697" s="2">
        <v>247.2</v>
      </c>
      <c r="E1697" s="2" t="s">
        <v>1697</v>
      </c>
      <c r="F1697" s="2">
        <v>247.2</v>
      </c>
    </row>
    <row r="1698" spans="1:6" x14ac:dyDescent="0.25">
      <c r="A1698" s="1">
        <v>61153</v>
      </c>
      <c r="B1698" s="2">
        <v>92</v>
      </c>
      <c r="C1698" s="2">
        <v>61</v>
      </c>
      <c r="D1698" s="2">
        <v>315</v>
      </c>
      <c r="E1698" s="2" t="s">
        <v>1698</v>
      </c>
      <c r="F1698" s="2">
        <v>315</v>
      </c>
    </row>
    <row r="1699" spans="1:6" x14ac:dyDescent="0.25">
      <c r="A1699" s="1">
        <v>61154</v>
      </c>
      <c r="B1699" s="2">
        <v>93</v>
      </c>
      <c r="C1699" s="2">
        <v>61</v>
      </c>
      <c r="D1699" s="2">
        <v>160.80000000000001</v>
      </c>
      <c r="E1699" s="2" t="s">
        <v>1699</v>
      </c>
      <c r="F1699" s="2">
        <v>160.80000000000001</v>
      </c>
    </row>
    <row r="1700" spans="1:6" x14ac:dyDescent="0.25">
      <c r="A1700" s="1">
        <v>61155</v>
      </c>
      <c r="B1700" s="2">
        <v>94</v>
      </c>
      <c r="C1700" s="2">
        <v>61</v>
      </c>
      <c r="D1700" s="2">
        <v>41.5</v>
      </c>
      <c r="E1700" s="2" t="s">
        <v>1700</v>
      </c>
      <c r="F1700" s="2">
        <v>41.5</v>
      </c>
    </row>
    <row r="1701" spans="1:6" x14ac:dyDescent="0.25">
      <c r="A1701" s="1">
        <v>61156</v>
      </c>
      <c r="B1701" s="2">
        <v>95</v>
      </c>
      <c r="C1701" s="2">
        <v>61</v>
      </c>
      <c r="D1701" s="2">
        <v>26.7</v>
      </c>
      <c r="E1701" s="2" t="s">
        <v>1701</v>
      </c>
      <c r="F1701" s="2">
        <v>26.7</v>
      </c>
    </row>
    <row r="1702" spans="1:6" x14ac:dyDescent="0.25">
      <c r="A1702" s="1">
        <v>61157</v>
      </c>
      <c r="B1702" s="2">
        <v>96</v>
      </c>
      <c r="C1702" s="2">
        <v>61</v>
      </c>
      <c r="D1702" s="2">
        <v>10.56</v>
      </c>
      <c r="E1702" s="2" t="s">
        <v>1702</v>
      </c>
      <c r="F1702" s="2">
        <v>10.56</v>
      </c>
    </row>
    <row r="1703" spans="1:6" x14ac:dyDescent="0.25">
      <c r="A1703" s="1">
        <v>61158</v>
      </c>
      <c r="B1703" s="2">
        <v>97</v>
      </c>
      <c r="C1703" s="2">
        <v>61</v>
      </c>
      <c r="D1703" s="2">
        <v>4.8</v>
      </c>
      <c r="E1703" s="2" t="s">
        <v>1703</v>
      </c>
      <c r="F1703" s="2">
        <v>4.8</v>
      </c>
    </row>
    <row r="1704" spans="1:6" x14ac:dyDescent="0.25">
      <c r="A1704" s="1">
        <v>61159</v>
      </c>
      <c r="B1704" s="2">
        <v>98</v>
      </c>
      <c r="C1704" s="2">
        <v>61</v>
      </c>
      <c r="D1704" s="2">
        <v>1.5</v>
      </c>
      <c r="E1704" s="2" t="s">
        <v>1704</v>
      </c>
      <c r="F1704" s="2">
        <v>1.5</v>
      </c>
    </row>
    <row r="1705" spans="1:6" x14ac:dyDescent="0.25">
      <c r="A1705" s="1">
        <v>61160</v>
      </c>
      <c r="B1705" s="2">
        <v>99</v>
      </c>
      <c r="C1705" s="2">
        <v>61</v>
      </c>
      <c r="D1705" s="2">
        <v>1.6E-7</v>
      </c>
      <c r="E1705" s="2" t="s">
        <v>1705</v>
      </c>
      <c r="F1705" s="2">
        <v>1.6E-7</v>
      </c>
    </row>
    <row r="1706" spans="1:6" x14ac:dyDescent="0.25">
      <c r="A1706" s="1">
        <v>61161</v>
      </c>
      <c r="B1706" s="2">
        <v>100</v>
      </c>
      <c r="C1706" s="2">
        <v>61</v>
      </c>
      <c r="D1706" s="2">
        <v>1.6E-7</v>
      </c>
      <c r="E1706" s="2" t="s">
        <v>1706</v>
      </c>
      <c r="F1706" s="2">
        <v>1.6E-7</v>
      </c>
    </row>
    <row r="1707" spans="1:6" x14ac:dyDescent="0.25">
      <c r="A1707" s="1">
        <v>61162</v>
      </c>
      <c r="B1707" s="2">
        <v>101</v>
      </c>
      <c r="C1707" s="2">
        <v>61</v>
      </c>
      <c r="D1707" s="2">
        <v>1.6E-7</v>
      </c>
      <c r="E1707" s="2" t="s">
        <v>1707</v>
      </c>
      <c r="F1707" s="2">
        <v>1.6E-7</v>
      </c>
    </row>
    <row r="1708" spans="1:6" x14ac:dyDescent="0.25">
      <c r="A1708" s="1">
        <v>61163</v>
      </c>
      <c r="B1708" s="2">
        <v>102</v>
      </c>
      <c r="C1708" s="2">
        <v>61</v>
      </c>
      <c r="D1708" s="2">
        <v>1.6E-7</v>
      </c>
      <c r="E1708" s="2" t="s">
        <v>1708</v>
      </c>
      <c r="F1708" s="2">
        <v>1.6E-7</v>
      </c>
    </row>
    <row r="1709" spans="1:6" x14ac:dyDescent="0.25">
      <c r="A1709" s="1">
        <v>62129</v>
      </c>
      <c r="B1709" s="2">
        <v>67</v>
      </c>
      <c r="C1709" s="2">
        <v>62</v>
      </c>
      <c r="D1709" s="2">
        <v>0.55000000000000004</v>
      </c>
      <c r="E1709" s="2" t="s">
        <v>1709</v>
      </c>
      <c r="F1709" s="2">
        <v>0.55000000000000004</v>
      </c>
    </row>
    <row r="1710" spans="1:6" x14ac:dyDescent="0.25">
      <c r="A1710" s="1">
        <v>62131</v>
      </c>
      <c r="B1710" s="2">
        <v>69</v>
      </c>
      <c r="C1710" s="2">
        <v>62</v>
      </c>
      <c r="D1710" s="2">
        <v>1.2</v>
      </c>
      <c r="E1710" s="2" t="s">
        <v>1710</v>
      </c>
      <c r="F1710" s="2">
        <v>1.2</v>
      </c>
    </row>
    <row r="1711" spans="1:6" x14ac:dyDescent="0.25">
      <c r="A1711" s="1">
        <v>62132</v>
      </c>
      <c r="B1711" s="2">
        <v>70</v>
      </c>
      <c r="C1711" s="2">
        <v>62</v>
      </c>
      <c r="D1711" s="2">
        <v>4</v>
      </c>
      <c r="E1711" s="2" t="s">
        <v>1711</v>
      </c>
      <c r="F1711" s="2">
        <v>4</v>
      </c>
    </row>
    <row r="1712" spans="1:6" x14ac:dyDescent="0.25">
      <c r="A1712" s="1">
        <v>62133</v>
      </c>
      <c r="B1712" s="2">
        <v>71</v>
      </c>
      <c r="C1712" s="2">
        <v>62</v>
      </c>
      <c r="D1712" s="2">
        <v>2.89</v>
      </c>
      <c r="E1712" s="2" t="s">
        <v>1712</v>
      </c>
      <c r="F1712" s="2">
        <v>2.89</v>
      </c>
    </row>
    <row r="1713" spans="1:6" x14ac:dyDescent="0.25">
      <c r="A1713" s="1">
        <v>62134</v>
      </c>
      <c r="B1713" s="2">
        <v>72</v>
      </c>
      <c r="C1713" s="2">
        <v>62</v>
      </c>
      <c r="D1713" s="2">
        <v>9.5</v>
      </c>
      <c r="E1713" s="2" t="s">
        <v>1713</v>
      </c>
      <c r="F1713" s="2">
        <v>9.5</v>
      </c>
    </row>
    <row r="1714" spans="1:6" x14ac:dyDescent="0.25">
      <c r="A1714" s="1">
        <v>62135</v>
      </c>
      <c r="B1714" s="2">
        <v>73</v>
      </c>
      <c r="C1714" s="2">
        <v>62</v>
      </c>
      <c r="D1714" s="2">
        <v>10.3</v>
      </c>
      <c r="E1714" s="2" t="s">
        <v>1714</v>
      </c>
      <c r="F1714" s="2">
        <v>10.3</v>
      </c>
    </row>
    <row r="1715" spans="1:6" x14ac:dyDescent="0.25">
      <c r="A1715" s="1">
        <v>62136</v>
      </c>
      <c r="B1715" s="2">
        <v>74</v>
      </c>
      <c r="C1715" s="2">
        <v>62</v>
      </c>
      <c r="D1715" s="2">
        <v>47</v>
      </c>
      <c r="E1715" s="2" t="s">
        <v>1715</v>
      </c>
      <c r="F1715" s="2">
        <v>47</v>
      </c>
    </row>
    <row r="1716" spans="1:6" x14ac:dyDescent="0.25">
      <c r="A1716" s="1">
        <v>62137</v>
      </c>
      <c r="B1716" s="2">
        <v>75</v>
      </c>
      <c r="C1716" s="2">
        <v>62</v>
      </c>
      <c r="D1716" s="2">
        <v>45</v>
      </c>
      <c r="E1716" s="2" t="s">
        <v>1716</v>
      </c>
      <c r="F1716" s="2">
        <v>45</v>
      </c>
    </row>
    <row r="1717" spans="1:6" x14ac:dyDescent="0.25">
      <c r="A1717" s="1">
        <v>62138</v>
      </c>
      <c r="B1717" s="2">
        <v>76</v>
      </c>
      <c r="C1717" s="2">
        <v>62</v>
      </c>
      <c r="D1717" s="2">
        <v>186</v>
      </c>
      <c r="E1717" s="2" t="s">
        <v>1717</v>
      </c>
      <c r="F1717" s="2">
        <v>186</v>
      </c>
    </row>
    <row r="1718" spans="1:6" x14ac:dyDescent="0.25">
      <c r="A1718" s="1">
        <v>62139</v>
      </c>
      <c r="B1718" s="2">
        <v>77</v>
      </c>
      <c r="C1718" s="2">
        <v>62</v>
      </c>
      <c r="D1718" s="2">
        <v>154.19999999999999</v>
      </c>
      <c r="E1718" s="2" t="s">
        <v>1718</v>
      </c>
      <c r="F1718" s="2">
        <v>154.19999999999999</v>
      </c>
    </row>
    <row r="1719" spans="1:6" x14ac:dyDescent="0.25">
      <c r="A1719" s="1">
        <v>62140</v>
      </c>
      <c r="B1719" s="2">
        <v>78</v>
      </c>
      <c r="C1719" s="2">
        <v>62</v>
      </c>
      <c r="D1719" s="2">
        <v>889.2</v>
      </c>
      <c r="E1719" s="2" t="s">
        <v>1719</v>
      </c>
      <c r="F1719" s="2">
        <v>889.2</v>
      </c>
    </row>
    <row r="1720" spans="1:6" x14ac:dyDescent="0.25">
      <c r="A1720" s="1">
        <v>62141</v>
      </c>
      <c r="B1720" s="2">
        <v>79</v>
      </c>
      <c r="C1720" s="2">
        <v>62</v>
      </c>
      <c r="D1720" s="2">
        <v>612</v>
      </c>
      <c r="E1720" s="2" t="s">
        <v>1720</v>
      </c>
      <c r="F1720" s="2">
        <v>612</v>
      </c>
    </row>
    <row r="1721" spans="1:6" x14ac:dyDescent="0.25">
      <c r="A1721" s="1">
        <v>62142</v>
      </c>
      <c r="B1721" s="2">
        <v>80</v>
      </c>
      <c r="C1721" s="2">
        <v>62</v>
      </c>
      <c r="D1721" s="2">
        <v>4349.3999999999996</v>
      </c>
      <c r="E1721" s="2" t="s">
        <v>1721</v>
      </c>
      <c r="F1721" s="2">
        <v>4349.3999999999996</v>
      </c>
    </row>
    <row r="1722" spans="1:6" x14ac:dyDescent="0.25">
      <c r="A1722" s="1">
        <v>62143</v>
      </c>
      <c r="B1722" s="2">
        <v>81</v>
      </c>
      <c r="C1722" s="2">
        <v>62</v>
      </c>
      <c r="D1722" s="2">
        <v>525</v>
      </c>
      <c r="E1722" s="2" t="s">
        <v>1722</v>
      </c>
      <c r="F1722" s="2">
        <v>525</v>
      </c>
    </row>
    <row r="1723" spans="1:6" x14ac:dyDescent="0.25">
      <c r="A1723" s="1">
        <v>62144</v>
      </c>
      <c r="B1723" s="2">
        <v>82</v>
      </c>
      <c r="C1723" s="2">
        <v>62</v>
      </c>
      <c r="D1723" s="2" t="s">
        <v>3</v>
      </c>
      <c r="E1723" s="2" t="s">
        <v>1723</v>
      </c>
      <c r="F1723" s="2" t="s">
        <v>3</v>
      </c>
    </row>
    <row r="1724" spans="1:6" x14ac:dyDescent="0.25">
      <c r="A1724" s="1">
        <v>62145</v>
      </c>
      <c r="B1724" s="2">
        <v>83</v>
      </c>
      <c r="C1724" s="2">
        <v>62</v>
      </c>
      <c r="D1724" s="2">
        <v>29376000</v>
      </c>
      <c r="E1724" s="2" t="s">
        <v>1724</v>
      </c>
      <c r="F1724" s="2">
        <v>29376000</v>
      </c>
    </row>
    <row r="1725" spans="1:6" x14ac:dyDescent="0.25">
      <c r="A1725" s="1">
        <v>62146</v>
      </c>
      <c r="B1725" s="2">
        <v>84</v>
      </c>
      <c r="C1725" s="2">
        <v>62</v>
      </c>
      <c r="D1725" s="2">
        <v>3250432800000000</v>
      </c>
      <c r="E1725" s="2" t="s">
        <v>1725</v>
      </c>
      <c r="F1725" s="2">
        <v>3250432800000000</v>
      </c>
    </row>
    <row r="1726" spans="1:6" x14ac:dyDescent="0.25">
      <c r="A1726" s="1">
        <v>62147</v>
      </c>
      <c r="B1726" s="2">
        <v>85</v>
      </c>
      <c r="C1726" s="2">
        <v>62</v>
      </c>
      <c r="D1726" s="2">
        <v>3.3451056E+18</v>
      </c>
      <c r="E1726" s="2" t="s">
        <v>1726</v>
      </c>
      <c r="F1726" s="2">
        <v>3.3451056E+18</v>
      </c>
    </row>
    <row r="1727" spans="1:6" x14ac:dyDescent="0.25">
      <c r="A1727" s="1">
        <v>62148</v>
      </c>
      <c r="B1727" s="2">
        <v>86</v>
      </c>
      <c r="C1727" s="2">
        <v>62</v>
      </c>
      <c r="D1727" s="2">
        <v>2.2090319999999999E+23</v>
      </c>
      <c r="E1727" s="2" t="s">
        <v>1727</v>
      </c>
      <c r="F1727" s="2">
        <v>2.2090319999999999E+23</v>
      </c>
    </row>
    <row r="1728" spans="1:6" x14ac:dyDescent="0.25">
      <c r="A1728" s="1">
        <v>62149</v>
      </c>
      <c r="B1728" s="2">
        <v>87</v>
      </c>
      <c r="C1728" s="2">
        <v>62</v>
      </c>
      <c r="D1728" s="2" t="s">
        <v>3</v>
      </c>
      <c r="E1728" s="2" t="s">
        <v>1728</v>
      </c>
      <c r="F1728" s="2" t="s">
        <v>3</v>
      </c>
    </row>
    <row r="1729" spans="1:6" x14ac:dyDescent="0.25">
      <c r="A1729" s="1">
        <v>62150</v>
      </c>
      <c r="B1729" s="2">
        <v>88</v>
      </c>
      <c r="C1729" s="2">
        <v>62</v>
      </c>
      <c r="D1729" s="2" t="s">
        <v>3</v>
      </c>
      <c r="E1729" s="2" t="s">
        <v>1729</v>
      </c>
      <c r="F1729" s="2" t="s">
        <v>3</v>
      </c>
    </row>
    <row r="1730" spans="1:6" x14ac:dyDescent="0.25">
      <c r="A1730" s="1">
        <v>62151</v>
      </c>
      <c r="B1730" s="2">
        <v>89</v>
      </c>
      <c r="C1730" s="2">
        <v>62</v>
      </c>
      <c r="D1730" s="2">
        <v>2840184000</v>
      </c>
      <c r="E1730" s="2" t="s">
        <v>1730</v>
      </c>
      <c r="F1730" s="2">
        <v>2840184000</v>
      </c>
    </row>
    <row r="1731" spans="1:6" x14ac:dyDescent="0.25">
      <c r="A1731" s="1">
        <v>62152</v>
      </c>
      <c r="B1731" s="2">
        <v>90</v>
      </c>
      <c r="C1731" s="2">
        <v>62</v>
      </c>
      <c r="D1731" s="2" t="s">
        <v>3</v>
      </c>
      <c r="E1731" s="2" t="s">
        <v>1731</v>
      </c>
      <c r="F1731" s="2" t="s">
        <v>3</v>
      </c>
    </row>
    <row r="1732" spans="1:6" x14ac:dyDescent="0.25">
      <c r="A1732" s="1">
        <v>62153</v>
      </c>
      <c r="B1732" s="2">
        <v>91</v>
      </c>
      <c r="C1732" s="2">
        <v>62</v>
      </c>
      <c r="D1732" s="2">
        <v>166622.39999999999</v>
      </c>
      <c r="E1732" s="2" t="s">
        <v>1732</v>
      </c>
      <c r="F1732" s="2">
        <v>166622.39999999999</v>
      </c>
    </row>
    <row r="1733" spans="1:6" x14ac:dyDescent="0.25">
      <c r="A1733" s="1">
        <v>62154</v>
      </c>
      <c r="B1733" s="2">
        <v>92</v>
      </c>
      <c r="C1733" s="2">
        <v>62</v>
      </c>
      <c r="D1733" s="2" t="s">
        <v>3</v>
      </c>
      <c r="E1733" s="2" t="s">
        <v>1733</v>
      </c>
      <c r="F1733" s="2" t="s">
        <v>3</v>
      </c>
    </row>
    <row r="1734" spans="1:6" x14ac:dyDescent="0.25">
      <c r="A1734" s="1">
        <v>62155</v>
      </c>
      <c r="B1734" s="2">
        <v>93</v>
      </c>
      <c r="C1734" s="2">
        <v>62</v>
      </c>
      <c r="D1734" s="2">
        <v>1338</v>
      </c>
      <c r="E1734" s="2" t="s">
        <v>1734</v>
      </c>
      <c r="F1734" s="2">
        <v>1338</v>
      </c>
    </row>
    <row r="1735" spans="1:6" x14ac:dyDescent="0.25">
      <c r="A1735" s="1">
        <v>62156</v>
      </c>
      <c r="B1735" s="2">
        <v>94</v>
      </c>
      <c r="C1735" s="2">
        <v>62</v>
      </c>
      <c r="D1735" s="2">
        <v>33840</v>
      </c>
      <c r="E1735" s="2" t="s">
        <v>1735</v>
      </c>
      <c r="F1735" s="2">
        <v>33840</v>
      </c>
    </row>
    <row r="1736" spans="1:6" x14ac:dyDescent="0.25">
      <c r="A1736" s="1">
        <v>62157</v>
      </c>
      <c r="B1736" s="2">
        <v>95</v>
      </c>
      <c r="C1736" s="2">
        <v>62</v>
      </c>
      <c r="D1736" s="2">
        <v>481.79999999999899</v>
      </c>
      <c r="E1736" s="2" t="s">
        <v>1736</v>
      </c>
      <c r="F1736" s="2">
        <v>481.79999999999899</v>
      </c>
    </row>
    <row r="1737" spans="1:6" x14ac:dyDescent="0.25">
      <c r="A1737" s="1">
        <v>62158</v>
      </c>
      <c r="B1737" s="2">
        <v>96</v>
      </c>
      <c r="C1737" s="2">
        <v>62</v>
      </c>
      <c r="D1737" s="2">
        <v>318</v>
      </c>
      <c r="E1737" s="2" t="s">
        <v>1737</v>
      </c>
      <c r="F1737" s="2">
        <v>318</v>
      </c>
    </row>
    <row r="1738" spans="1:6" x14ac:dyDescent="0.25">
      <c r="A1738" s="1">
        <v>62159</v>
      </c>
      <c r="B1738" s="2">
        <v>97</v>
      </c>
      <c r="C1738" s="2">
        <v>62</v>
      </c>
      <c r="D1738" s="2">
        <v>11.37</v>
      </c>
      <c r="E1738" s="2" t="s">
        <v>1738</v>
      </c>
      <c r="F1738" s="2">
        <v>11.37</v>
      </c>
    </row>
    <row r="1739" spans="1:6" x14ac:dyDescent="0.25">
      <c r="A1739" s="1">
        <v>62160</v>
      </c>
      <c r="B1739" s="2">
        <v>98</v>
      </c>
      <c r="C1739" s="2">
        <v>62</v>
      </c>
      <c r="D1739" s="2">
        <v>9.6</v>
      </c>
      <c r="E1739" s="2" t="s">
        <v>1739</v>
      </c>
      <c r="F1739" s="2">
        <v>9.6</v>
      </c>
    </row>
    <row r="1740" spans="1:6" x14ac:dyDescent="0.25">
      <c r="A1740" s="1">
        <v>62161</v>
      </c>
      <c r="B1740" s="2">
        <v>99</v>
      </c>
      <c r="C1740" s="2">
        <v>62</v>
      </c>
      <c r="D1740" s="2">
        <v>4.8</v>
      </c>
      <c r="E1740" s="2" t="s">
        <v>1740</v>
      </c>
      <c r="F1740" s="2">
        <v>4.8</v>
      </c>
    </row>
    <row r="1741" spans="1:6" x14ac:dyDescent="0.25">
      <c r="A1741" s="1">
        <v>62162</v>
      </c>
      <c r="B1741" s="2">
        <v>100</v>
      </c>
      <c r="C1741" s="2">
        <v>62</v>
      </c>
      <c r="D1741" s="2">
        <v>2.4</v>
      </c>
      <c r="E1741" s="2" t="s">
        <v>1741</v>
      </c>
      <c r="F1741" s="2">
        <v>2.4</v>
      </c>
    </row>
    <row r="1742" spans="1:6" x14ac:dyDescent="0.25">
      <c r="A1742" s="1">
        <v>62163</v>
      </c>
      <c r="B1742" s="2">
        <v>101</v>
      </c>
      <c r="C1742" s="2">
        <v>62</v>
      </c>
      <c r="D1742" s="2">
        <v>1.6E-7</v>
      </c>
      <c r="E1742" s="2" t="s">
        <v>1742</v>
      </c>
      <c r="F1742" s="2">
        <v>1.6E-7</v>
      </c>
    </row>
    <row r="1743" spans="1:6" x14ac:dyDescent="0.25">
      <c r="A1743" s="1">
        <v>62164</v>
      </c>
      <c r="B1743" s="2">
        <v>102</v>
      </c>
      <c r="C1743" s="2">
        <v>62</v>
      </c>
      <c r="D1743" s="2">
        <v>1.6E-7</v>
      </c>
      <c r="E1743" s="2" t="s">
        <v>1743</v>
      </c>
      <c r="F1743" s="2">
        <v>1.6E-7</v>
      </c>
    </row>
    <row r="1744" spans="1:6" x14ac:dyDescent="0.25">
      <c r="A1744" s="1">
        <v>62165</v>
      </c>
      <c r="B1744" s="2">
        <v>103</v>
      </c>
      <c r="C1744" s="2">
        <v>62</v>
      </c>
      <c r="D1744" s="2">
        <v>1.6E-7</v>
      </c>
      <c r="E1744" s="2" t="s">
        <v>1744</v>
      </c>
      <c r="F1744" s="2">
        <v>1.6E-7</v>
      </c>
    </row>
    <row r="1745" spans="1:6" x14ac:dyDescent="0.25">
      <c r="A1745" s="1">
        <v>63130</v>
      </c>
      <c r="B1745" s="2">
        <v>67</v>
      </c>
      <c r="C1745" s="2">
        <v>63</v>
      </c>
      <c r="D1745" s="2">
        <v>8.9999999999999998E-4</v>
      </c>
      <c r="E1745" s="2" t="s">
        <v>1745</v>
      </c>
      <c r="F1745" s="2">
        <v>8.9999999999999998E-4</v>
      </c>
    </row>
    <row r="1746" spans="1:6" x14ac:dyDescent="0.25">
      <c r="A1746" s="1">
        <v>63131</v>
      </c>
      <c r="B1746" s="2">
        <v>68</v>
      </c>
      <c r="C1746" s="2">
        <v>63</v>
      </c>
      <c r="D1746" s="2">
        <v>1.78E-2</v>
      </c>
      <c r="E1746" s="2" t="s">
        <v>1746</v>
      </c>
      <c r="F1746" s="2">
        <v>1.78E-2</v>
      </c>
    </row>
    <row r="1747" spans="1:6" x14ac:dyDescent="0.25">
      <c r="A1747" s="1">
        <v>63134</v>
      </c>
      <c r="B1747" s="2">
        <v>71</v>
      </c>
      <c r="C1747" s="2">
        <v>63</v>
      </c>
      <c r="D1747" s="2">
        <v>0.5</v>
      </c>
      <c r="E1747" s="2" t="s">
        <v>1747</v>
      </c>
      <c r="F1747" s="2">
        <v>0.5</v>
      </c>
    </row>
    <row r="1748" spans="1:6" x14ac:dyDescent="0.25">
      <c r="A1748" s="1">
        <v>63135</v>
      </c>
      <c r="B1748" s="2">
        <v>72</v>
      </c>
      <c r="C1748" s="2">
        <v>63</v>
      </c>
      <c r="D1748" s="2">
        <v>1.5</v>
      </c>
      <c r="E1748" s="2" t="s">
        <v>1748</v>
      </c>
      <c r="F1748" s="2">
        <v>1.5</v>
      </c>
    </row>
    <row r="1749" spans="1:6" x14ac:dyDescent="0.25">
      <c r="A1749" s="1">
        <v>63136</v>
      </c>
      <c r="B1749" s="2">
        <v>73</v>
      </c>
      <c r="C1749" s="2">
        <v>63</v>
      </c>
      <c r="D1749" s="2">
        <v>3.3</v>
      </c>
      <c r="E1749" s="2" t="s">
        <v>1749</v>
      </c>
      <c r="F1749" s="2">
        <v>3.3</v>
      </c>
    </row>
    <row r="1750" spans="1:6" x14ac:dyDescent="0.25">
      <c r="A1750" s="1">
        <v>63137</v>
      </c>
      <c r="B1750" s="2">
        <v>74</v>
      </c>
      <c r="C1750" s="2">
        <v>63</v>
      </c>
      <c r="D1750" s="2">
        <v>11</v>
      </c>
      <c r="E1750" s="2" t="s">
        <v>1750</v>
      </c>
      <c r="F1750" s="2">
        <v>11</v>
      </c>
    </row>
    <row r="1751" spans="1:6" x14ac:dyDescent="0.25">
      <c r="A1751" s="1">
        <v>63138</v>
      </c>
      <c r="B1751" s="2">
        <v>75</v>
      </c>
      <c r="C1751" s="2">
        <v>63</v>
      </c>
      <c r="D1751" s="2">
        <v>12.1</v>
      </c>
      <c r="E1751" s="2" t="s">
        <v>1751</v>
      </c>
      <c r="F1751" s="2">
        <v>12.1</v>
      </c>
    </row>
    <row r="1752" spans="1:6" x14ac:dyDescent="0.25">
      <c r="A1752" s="1">
        <v>63139</v>
      </c>
      <c r="B1752" s="2">
        <v>76</v>
      </c>
      <c r="C1752" s="2">
        <v>63</v>
      </c>
      <c r="D1752" s="2">
        <v>17.899999999999999</v>
      </c>
      <c r="E1752" s="2" t="s">
        <v>1752</v>
      </c>
      <c r="F1752" s="2">
        <v>17.899999999999999</v>
      </c>
    </row>
    <row r="1753" spans="1:6" x14ac:dyDescent="0.25">
      <c r="A1753" s="1">
        <v>63140</v>
      </c>
      <c r="B1753" s="2">
        <v>77</v>
      </c>
      <c r="C1753" s="2">
        <v>63</v>
      </c>
      <c r="D1753" s="2">
        <v>1.51</v>
      </c>
      <c r="E1753" s="2" t="s">
        <v>1753</v>
      </c>
      <c r="F1753" s="2">
        <v>1.51</v>
      </c>
    </row>
    <row r="1754" spans="1:6" x14ac:dyDescent="0.25">
      <c r="A1754" s="1">
        <v>63141</v>
      </c>
      <c r="B1754" s="2">
        <v>78</v>
      </c>
      <c r="C1754" s="2">
        <v>63</v>
      </c>
      <c r="D1754" s="2">
        <v>40.700000000000003</v>
      </c>
      <c r="E1754" s="2" t="s">
        <v>1754</v>
      </c>
      <c r="F1754" s="2">
        <v>40.700000000000003</v>
      </c>
    </row>
    <row r="1755" spans="1:6" x14ac:dyDescent="0.25">
      <c r="A1755" s="1">
        <v>63142</v>
      </c>
      <c r="B1755" s="2">
        <v>79</v>
      </c>
      <c r="C1755" s="2">
        <v>63</v>
      </c>
      <c r="D1755" s="2">
        <v>2.34</v>
      </c>
      <c r="E1755" s="2" t="s">
        <v>1755</v>
      </c>
      <c r="F1755" s="2">
        <v>2.34</v>
      </c>
    </row>
    <row r="1756" spans="1:6" x14ac:dyDescent="0.25">
      <c r="A1756" s="1">
        <v>63143</v>
      </c>
      <c r="B1756" s="2">
        <v>80</v>
      </c>
      <c r="C1756" s="2">
        <v>63</v>
      </c>
      <c r="D1756" s="2">
        <v>155.39999999999901</v>
      </c>
      <c r="E1756" s="2" t="s">
        <v>1756</v>
      </c>
      <c r="F1756" s="2">
        <v>155.39999999999901</v>
      </c>
    </row>
    <row r="1757" spans="1:6" x14ac:dyDescent="0.25">
      <c r="A1757" s="1">
        <v>63144</v>
      </c>
      <c r="B1757" s="2">
        <v>81</v>
      </c>
      <c r="C1757" s="2">
        <v>63</v>
      </c>
      <c r="D1757" s="2">
        <v>10.199999999999999</v>
      </c>
      <c r="E1757" s="2" t="s">
        <v>1757</v>
      </c>
      <c r="F1757" s="2">
        <v>10.199999999999999</v>
      </c>
    </row>
    <row r="1758" spans="1:6" x14ac:dyDescent="0.25">
      <c r="A1758" s="1">
        <v>63145</v>
      </c>
      <c r="B1758" s="2">
        <v>82</v>
      </c>
      <c r="C1758" s="2">
        <v>63</v>
      </c>
      <c r="D1758" s="2">
        <v>512352</v>
      </c>
      <c r="E1758" s="2" t="s">
        <v>1758</v>
      </c>
      <c r="F1758" s="2">
        <v>512352</v>
      </c>
    </row>
    <row r="1759" spans="1:6" x14ac:dyDescent="0.25">
      <c r="A1759" s="1">
        <v>63146</v>
      </c>
      <c r="B1759" s="2">
        <v>83</v>
      </c>
      <c r="C1759" s="2">
        <v>63</v>
      </c>
      <c r="D1759" s="2">
        <v>398304</v>
      </c>
      <c r="E1759" s="2" t="s">
        <v>1759</v>
      </c>
      <c r="F1759" s="2">
        <v>398304</v>
      </c>
    </row>
    <row r="1760" spans="1:6" x14ac:dyDescent="0.25">
      <c r="A1760" s="1">
        <v>63147</v>
      </c>
      <c r="B1760" s="2">
        <v>84</v>
      </c>
      <c r="C1760" s="2">
        <v>63</v>
      </c>
      <c r="D1760" s="2">
        <v>2082240</v>
      </c>
      <c r="E1760" s="2" t="s">
        <v>1760</v>
      </c>
      <c r="F1760" s="2">
        <v>2082240</v>
      </c>
    </row>
    <row r="1761" spans="1:6" x14ac:dyDescent="0.25">
      <c r="A1761" s="1">
        <v>63148</v>
      </c>
      <c r="B1761" s="2">
        <v>85</v>
      </c>
      <c r="C1761" s="2">
        <v>63</v>
      </c>
      <c r="D1761" s="2">
        <v>4708800</v>
      </c>
      <c r="E1761" s="2" t="s">
        <v>1761</v>
      </c>
      <c r="F1761" s="2">
        <v>4708800</v>
      </c>
    </row>
    <row r="1762" spans="1:6" x14ac:dyDescent="0.25">
      <c r="A1762" s="1">
        <v>63149</v>
      </c>
      <c r="B1762" s="2">
        <v>86</v>
      </c>
      <c r="C1762" s="2">
        <v>63</v>
      </c>
      <c r="D1762" s="2">
        <v>8043839.9999999898</v>
      </c>
      <c r="E1762" s="2" t="s">
        <v>1762</v>
      </c>
      <c r="F1762" s="2">
        <v>8043839.9999999898</v>
      </c>
    </row>
    <row r="1763" spans="1:6" x14ac:dyDescent="0.25">
      <c r="A1763" s="1">
        <v>63150</v>
      </c>
      <c r="B1763" s="2">
        <v>87</v>
      </c>
      <c r="C1763" s="2">
        <v>63</v>
      </c>
      <c r="D1763" s="2">
        <v>1164475440</v>
      </c>
      <c r="E1763" s="2" t="s">
        <v>1763</v>
      </c>
      <c r="F1763" s="2">
        <v>1164475440</v>
      </c>
    </row>
    <row r="1764" spans="1:6" x14ac:dyDescent="0.25">
      <c r="A1764" s="1">
        <v>63151</v>
      </c>
      <c r="B1764" s="2">
        <v>88</v>
      </c>
      <c r="C1764" s="2">
        <v>63</v>
      </c>
      <c r="D1764" s="2">
        <v>5.3647920000000002E+25</v>
      </c>
      <c r="E1764" s="2" t="s">
        <v>1764</v>
      </c>
      <c r="F1764" s="2">
        <v>5.3647920000000002E+25</v>
      </c>
    </row>
    <row r="1765" spans="1:6" x14ac:dyDescent="0.25">
      <c r="A1765" s="1">
        <v>63152</v>
      </c>
      <c r="B1765" s="2">
        <v>89</v>
      </c>
      <c r="C1765" s="2">
        <v>63</v>
      </c>
      <c r="D1765" s="2">
        <v>426564079.19999999</v>
      </c>
      <c r="E1765" s="2" t="s">
        <v>1765</v>
      </c>
      <c r="F1765" s="2">
        <v>426564079.19999999</v>
      </c>
    </row>
    <row r="1766" spans="1:6" x14ac:dyDescent="0.25">
      <c r="A1766" s="1">
        <v>63153</v>
      </c>
      <c r="B1766" s="2">
        <v>90</v>
      </c>
      <c r="C1766" s="2">
        <v>63</v>
      </c>
      <c r="D1766" s="2" t="s">
        <v>3</v>
      </c>
      <c r="E1766" s="2" t="s">
        <v>1766</v>
      </c>
      <c r="F1766" s="2" t="s">
        <v>3</v>
      </c>
    </row>
    <row r="1767" spans="1:6" x14ac:dyDescent="0.25">
      <c r="A1767" s="1">
        <v>63154</v>
      </c>
      <c r="B1767" s="2">
        <v>91</v>
      </c>
      <c r="C1767" s="2">
        <v>63</v>
      </c>
      <c r="D1767" s="2">
        <v>271426917.60000002</v>
      </c>
      <c r="E1767" s="2" t="s">
        <v>1767</v>
      </c>
      <c r="F1767" s="2">
        <v>271426917.60000002</v>
      </c>
    </row>
    <row r="1768" spans="1:6" x14ac:dyDescent="0.25">
      <c r="A1768" s="1">
        <v>63155</v>
      </c>
      <c r="B1768" s="2">
        <v>92</v>
      </c>
      <c r="C1768" s="2">
        <v>63</v>
      </c>
      <c r="D1768" s="2">
        <v>149993272.80000001</v>
      </c>
      <c r="E1768" s="2" t="s">
        <v>1768</v>
      </c>
      <c r="F1768" s="2">
        <v>149993272.80000001</v>
      </c>
    </row>
    <row r="1769" spans="1:6" x14ac:dyDescent="0.25">
      <c r="A1769" s="1">
        <v>63156</v>
      </c>
      <c r="B1769" s="2">
        <v>93</v>
      </c>
      <c r="C1769" s="2">
        <v>63</v>
      </c>
      <c r="D1769" s="2">
        <v>1312416</v>
      </c>
      <c r="E1769" s="2" t="s">
        <v>1769</v>
      </c>
      <c r="F1769" s="2">
        <v>1312416</v>
      </c>
    </row>
    <row r="1770" spans="1:6" x14ac:dyDescent="0.25">
      <c r="A1770" s="1">
        <v>63157</v>
      </c>
      <c r="B1770" s="2">
        <v>94</v>
      </c>
      <c r="C1770" s="2">
        <v>63</v>
      </c>
      <c r="D1770" s="2">
        <v>54648</v>
      </c>
      <c r="E1770" s="2" t="s">
        <v>1770</v>
      </c>
      <c r="F1770" s="2">
        <v>54648</v>
      </c>
    </row>
    <row r="1771" spans="1:6" x14ac:dyDescent="0.25">
      <c r="A1771" s="1">
        <v>63158</v>
      </c>
      <c r="B1771" s="2">
        <v>95</v>
      </c>
      <c r="C1771" s="2">
        <v>63</v>
      </c>
      <c r="D1771" s="2">
        <v>2754</v>
      </c>
      <c r="E1771" s="2" t="s">
        <v>1771</v>
      </c>
      <c r="F1771" s="2">
        <v>2754</v>
      </c>
    </row>
    <row r="1772" spans="1:6" x14ac:dyDescent="0.25">
      <c r="A1772" s="1">
        <v>63159</v>
      </c>
      <c r="B1772" s="2">
        <v>96</v>
      </c>
      <c r="C1772" s="2">
        <v>63</v>
      </c>
      <c r="D1772" s="2">
        <v>1086</v>
      </c>
      <c r="E1772" s="2" t="s">
        <v>1772</v>
      </c>
      <c r="F1772" s="2">
        <v>1086</v>
      </c>
    </row>
    <row r="1773" spans="1:6" x14ac:dyDescent="0.25">
      <c r="A1773" s="1">
        <v>63160</v>
      </c>
      <c r="B1773" s="2">
        <v>97</v>
      </c>
      <c r="C1773" s="2">
        <v>63</v>
      </c>
      <c r="D1773" s="2">
        <v>38</v>
      </c>
      <c r="E1773" s="2" t="s">
        <v>1773</v>
      </c>
      <c r="F1773" s="2">
        <v>38</v>
      </c>
    </row>
    <row r="1774" spans="1:6" x14ac:dyDescent="0.25">
      <c r="A1774" s="1">
        <v>63161</v>
      </c>
      <c r="B1774" s="2">
        <v>98</v>
      </c>
      <c r="C1774" s="2">
        <v>63</v>
      </c>
      <c r="D1774" s="2">
        <v>26</v>
      </c>
      <c r="E1774" s="2" t="s">
        <v>1774</v>
      </c>
      <c r="F1774" s="2">
        <v>26</v>
      </c>
    </row>
    <row r="1775" spans="1:6" x14ac:dyDescent="0.25">
      <c r="A1775" s="1">
        <v>63162</v>
      </c>
      <c r="B1775" s="2">
        <v>99</v>
      </c>
      <c r="C1775" s="2">
        <v>63</v>
      </c>
      <c r="D1775" s="2">
        <v>10.6</v>
      </c>
      <c r="E1775" s="2" t="s">
        <v>1775</v>
      </c>
      <c r="F1775" s="2">
        <v>10.6</v>
      </c>
    </row>
    <row r="1776" spans="1:6" x14ac:dyDescent="0.25">
      <c r="A1776" s="1">
        <v>63163</v>
      </c>
      <c r="B1776" s="2">
        <v>100</v>
      </c>
      <c r="C1776" s="2">
        <v>63</v>
      </c>
      <c r="D1776" s="2">
        <v>7.7</v>
      </c>
      <c r="E1776" s="2" t="s">
        <v>1776</v>
      </c>
      <c r="F1776" s="2">
        <v>7.7</v>
      </c>
    </row>
    <row r="1777" spans="1:6" x14ac:dyDescent="0.25">
      <c r="A1777" s="1">
        <v>63164</v>
      </c>
      <c r="B1777" s="2">
        <v>101</v>
      </c>
      <c r="C1777" s="2">
        <v>63</v>
      </c>
      <c r="D1777" s="2">
        <v>4.2</v>
      </c>
      <c r="E1777" s="2" t="s">
        <v>1777</v>
      </c>
      <c r="F1777" s="2">
        <v>4.2</v>
      </c>
    </row>
    <row r="1778" spans="1:6" x14ac:dyDescent="0.25">
      <c r="A1778" s="1">
        <v>63165</v>
      </c>
      <c r="B1778" s="2">
        <v>102</v>
      </c>
      <c r="C1778" s="2">
        <v>63</v>
      </c>
      <c r="D1778" s="2">
        <v>2.2999999999999998</v>
      </c>
      <c r="E1778" s="2" t="s">
        <v>1778</v>
      </c>
      <c r="F1778" s="2">
        <v>2.2999999999999998</v>
      </c>
    </row>
    <row r="1779" spans="1:6" x14ac:dyDescent="0.25">
      <c r="A1779" s="1">
        <v>63166</v>
      </c>
      <c r="B1779" s="2">
        <v>103</v>
      </c>
      <c r="C1779" s="2">
        <v>63</v>
      </c>
      <c r="D1779" s="2">
        <v>1.7</v>
      </c>
      <c r="E1779" s="2" t="s">
        <v>1779</v>
      </c>
      <c r="F1779" s="2">
        <v>1.7</v>
      </c>
    </row>
    <row r="1780" spans="1:6" x14ac:dyDescent="0.25">
      <c r="A1780" s="1">
        <v>63167</v>
      </c>
      <c r="B1780" s="2">
        <v>104</v>
      </c>
      <c r="C1780" s="2">
        <v>63</v>
      </c>
      <c r="D1780" s="2">
        <v>1.6E-7</v>
      </c>
      <c r="E1780" s="2" t="s">
        <v>1780</v>
      </c>
      <c r="F1780" s="2">
        <v>1.6E-7</v>
      </c>
    </row>
    <row r="1781" spans="1:6" x14ac:dyDescent="0.25">
      <c r="A1781" s="1">
        <v>63168</v>
      </c>
      <c r="B1781" s="2">
        <v>105</v>
      </c>
      <c r="C1781" s="2">
        <v>63</v>
      </c>
      <c r="D1781" s="2">
        <v>1.6E-7</v>
      </c>
      <c r="E1781" s="2" t="s">
        <v>1781</v>
      </c>
      <c r="F1781" s="2">
        <v>1.6E-7</v>
      </c>
    </row>
    <row r="1782" spans="1:6" x14ac:dyDescent="0.25">
      <c r="A1782" s="1">
        <v>64135</v>
      </c>
      <c r="B1782" s="2">
        <v>71</v>
      </c>
      <c r="C1782" s="2">
        <v>64</v>
      </c>
      <c r="D1782" s="2">
        <v>1.1000000000000001</v>
      </c>
      <c r="E1782" s="2" t="s">
        <v>1782</v>
      </c>
      <c r="F1782" s="2">
        <v>1.1000000000000001</v>
      </c>
    </row>
    <row r="1783" spans="1:6" x14ac:dyDescent="0.25">
      <c r="A1783" s="1">
        <v>64136</v>
      </c>
      <c r="B1783" s="2">
        <v>72</v>
      </c>
      <c r="C1783" s="2">
        <v>64</v>
      </c>
      <c r="D1783" s="2">
        <v>1.9999999999999999E-7</v>
      </c>
      <c r="E1783" s="2" t="s">
        <v>1783</v>
      </c>
      <c r="F1783" s="2">
        <v>1.9999999999999999E-7</v>
      </c>
    </row>
    <row r="1784" spans="1:6" x14ac:dyDescent="0.25">
      <c r="A1784" s="1">
        <v>64137</v>
      </c>
      <c r="B1784" s="2">
        <v>73</v>
      </c>
      <c r="C1784" s="2">
        <v>64</v>
      </c>
      <c r="D1784" s="2">
        <v>2.2000000000000002</v>
      </c>
      <c r="E1784" s="2" t="s">
        <v>1784</v>
      </c>
      <c r="F1784" s="2">
        <v>2.2000000000000002</v>
      </c>
    </row>
    <row r="1785" spans="1:6" x14ac:dyDescent="0.25">
      <c r="A1785" s="1">
        <v>64138</v>
      </c>
      <c r="B1785" s="2">
        <v>74</v>
      </c>
      <c r="C1785" s="2">
        <v>64</v>
      </c>
      <c r="D1785" s="2">
        <v>4.7</v>
      </c>
      <c r="E1785" s="2" t="s">
        <v>1785</v>
      </c>
      <c r="F1785" s="2">
        <v>4.7</v>
      </c>
    </row>
    <row r="1786" spans="1:6" x14ac:dyDescent="0.25">
      <c r="A1786" s="1">
        <v>64139</v>
      </c>
      <c r="B1786" s="2">
        <v>75</v>
      </c>
      <c r="C1786" s="2">
        <v>64</v>
      </c>
      <c r="D1786" s="2">
        <v>5.8</v>
      </c>
      <c r="E1786" s="2" t="s">
        <v>1786</v>
      </c>
      <c r="F1786" s="2">
        <v>5.8</v>
      </c>
    </row>
    <row r="1787" spans="1:6" x14ac:dyDescent="0.25">
      <c r="A1787" s="1">
        <v>64140</v>
      </c>
      <c r="B1787" s="2">
        <v>76</v>
      </c>
      <c r="C1787" s="2">
        <v>64</v>
      </c>
      <c r="D1787" s="2">
        <v>15.8</v>
      </c>
      <c r="E1787" s="2" t="s">
        <v>1787</v>
      </c>
      <c r="F1787" s="2">
        <v>15.8</v>
      </c>
    </row>
    <row r="1788" spans="1:6" x14ac:dyDescent="0.25">
      <c r="A1788" s="1">
        <v>64141</v>
      </c>
      <c r="B1788" s="2">
        <v>77</v>
      </c>
      <c r="C1788" s="2">
        <v>64</v>
      </c>
      <c r="D1788" s="2">
        <v>14</v>
      </c>
      <c r="E1788" s="2" t="s">
        <v>1788</v>
      </c>
      <c r="F1788" s="2">
        <v>14</v>
      </c>
    </row>
    <row r="1789" spans="1:6" x14ac:dyDescent="0.25">
      <c r="A1789" s="1">
        <v>64142</v>
      </c>
      <c r="B1789" s="2">
        <v>78</v>
      </c>
      <c r="C1789" s="2">
        <v>64</v>
      </c>
      <c r="D1789" s="2">
        <v>70.2</v>
      </c>
      <c r="E1789" s="2" t="s">
        <v>1789</v>
      </c>
      <c r="F1789" s="2">
        <v>70.2</v>
      </c>
    </row>
    <row r="1790" spans="1:6" x14ac:dyDescent="0.25">
      <c r="A1790" s="1">
        <v>64143</v>
      </c>
      <c r="B1790" s="2">
        <v>79</v>
      </c>
      <c r="C1790" s="2">
        <v>64</v>
      </c>
      <c r="D1790" s="2">
        <v>39</v>
      </c>
      <c r="E1790" s="2" t="s">
        <v>1790</v>
      </c>
      <c r="F1790" s="2">
        <v>39</v>
      </c>
    </row>
    <row r="1791" spans="1:6" x14ac:dyDescent="0.25">
      <c r="A1791" s="1">
        <v>64144</v>
      </c>
      <c r="B1791" s="2">
        <v>80</v>
      </c>
      <c r="C1791" s="2">
        <v>64</v>
      </c>
      <c r="D1791" s="2">
        <v>268.2</v>
      </c>
      <c r="E1791" s="2" t="s">
        <v>1791</v>
      </c>
      <c r="F1791" s="2">
        <v>268.2</v>
      </c>
    </row>
    <row r="1792" spans="1:6" x14ac:dyDescent="0.25">
      <c r="A1792" s="1">
        <v>64145</v>
      </c>
      <c r="B1792" s="2">
        <v>81</v>
      </c>
      <c r="C1792" s="2">
        <v>64</v>
      </c>
      <c r="D1792" s="2">
        <v>1380</v>
      </c>
      <c r="E1792" s="2" t="s">
        <v>1792</v>
      </c>
      <c r="F1792" s="2">
        <v>1380</v>
      </c>
    </row>
    <row r="1793" spans="1:6" x14ac:dyDescent="0.25">
      <c r="A1793" s="1">
        <v>64146</v>
      </c>
      <c r="B1793" s="2">
        <v>82</v>
      </c>
      <c r="C1793" s="2">
        <v>64</v>
      </c>
      <c r="D1793" s="2">
        <v>4170528</v>
      </c>
      <c r="E1793" s="2" t="s">
        <v>1793</v>
      </c>
      <c r="F1793" s="2">
        <v>4170528</v>
      </c>
    </row>
    <row r="1794" spans="1:6" x14ac:dyDescent="0.25">
      <c r="A1794" s="1">
        <v>64147</v>
      </c>
      <c r="B1794" s="2">
        <v>83</v>
      </c>
      <c r="C1794" s="2">
        <v>64</v>
      </c>
      <c r="D1794" s="2">
        <v>137016</v>
      </c>
      <c r="E1794" s="2" t="s">
        <v>1794</v>
      </c>
      <c r="F1794" s="2">
        <v>137016</v>
      </c>
    </row>
    <row r="1795" spans="1:6" x14ac:dyDescent="0.25">
      <c r="A1795" s="1">
        <v>64148</v>
      </c>
      <c r="B1795" s="2">
        <v>84</v>
      </c>
      <c r="C1795" s="2">
        <v>64</v>
      </c>
      <c r="D1795" s="2">
        <v>2243745360</v>
      </c>
      <c r="E1795" s="2" t="s">
        <v>1795</v>
      </c>
      <c r="F1795" s="2">
        <v>2243745360</v>
      </c>
    </row>
    <row r="1796" spans="1:6" x14ac:dyDescent="0.25">
      <c r="A1796" s="1">
        <v>64149</v>
      </c>
      <c r="B1796" s="2">
        <v>85</v>
      </c>
      <c r="C1796" s="2">
        <v>64</v>
      </c>
      <c r="D1796" s="2">
        <v>801792</v>
      </c>
      <c r="E1796" s="2" t="s">
        <v>1796</v>
      </c>
      <c r="F1796" s="2">
        <v>801792</v>
      </c>
    </row>
    <row r="1797" spans="1:6" x14ac:dyDescent="0.25">
      <c r="A1797" s="1">
        <v>64150</v>
      </c>
      <c r="B1797" s="2">
        <v>86</v>
      </c>
      <c r="C1797" s="2">
        <v>64</v>
      </c>
      <c r="D1797" s="2">
        <v>56488104000000</v>
      </c>
      <c r="E1797" s="2" t="s">
        <v>1797</v>
      </c>
      <c r="F1797" s="2">
        <v>56488104000000</v>
      </c>
    </row>
    <row r="1798" spans="1:6" x14ac:dyDescent="0.25">
      <c r="A1798" s="1">
        <v>64151</v>
      </c>
      <c r="B1798" s="2">
        <v>87</v>
      </c>
      <c r="C1798" s="2">
        <v>64</v>
      </c>
      <c r="D1798" s="2">
        <v>10704960</v>
      </c>
      <c r="E1798" s="2" t="s">
        <v>1798</v>
      </c>
      <c r="F1798" s="2">
        <v>10704960</v>
      </c>
    </row>
    <row r="1799" spans="1:6" x14ac:dyDescent="0.25">
      <c r="A1799" s="1">
        <v>64152</v>
      </c>
      <c r="B1799" s="2">
        <v>88</v>
      </c>
      <c r="C1799" s="2">
        <v>64</v>
      </c>
      <c r="D1799" s="2">
        <v>3.4082208E+21</v>
      </c>
      <c r="E1799" s="2" t="s">
        <v>1799</v>
      </c>
      <c r="F1799" s="2">
        <v>3.4082208E+21</v>
      </c>
    </row>
    <row r="1800" spans="1:6" x14ac:dyDescent="0.25">
      <c r="A1800" s="1">
        <v>64153</v>
      </c>
      <c r="B1800" s="2">
        <v>89</v>
      </c>
      <c r="C1800" s="2">
        <v>64</v>
      </c>
      <c r="D1800" s="2">
        <v>20770560</v>
      </c>
      <c r="E1800" s="2" t="s">
        <v>1800</v>
      </c>
      <c r="F1800" s="2">
        <v>20770560</v>
      </c>
    </row>
    <row r="1801" spans="1:6" x14ac:dyDescent="0.25">
      <c r="A1801" s="1">
        <v>64154</v>
      </c>
      <c r="B1801" s="2">
        <v>90</v>
      </c>
      <c r="C1801" s="2">
        <v>64</v>
      </c>
      <c r="D1801" s="2" t="s">
        <v>3</v>
      </c>
      <c r="E1801" s="2" t="s">
        <v>1801</v>
      </c>
      <c r="F1801" s="2" t="s">
        <v>3</v>
      </c>
    </row>
    <row r="1802" spans="1:6" x14ac:dyDescent="0.25">
      <c r="A1802" s="1">
        <v>64155</v>
      </c>
      <c r="B1802" s="2">
        <v>91</v>
      </c>
      <c r="C1802" s="2">
        <v>64</v>
      </c>
      <c r="D1802" s="2" t="s">
        <v>3</v>
      </c>
      <c r="E1802" s="2" t="s">
        <v>1802</v>
      </c>
      <c r="F1802" s="2" t="s">
        <v>3</v>
      </c>
    </row>
    <row r="1803" spans="1:6" x14ac:dyDescent="0.25">
      <c r="A1803" s="1">
        <v>64156</v>
      </c>
      <c r="B1803" s="2">
        <v>92</v>
      </c>
      <c r="C1803" s="2">
        <v>64</v>
      </c>
      <c r="D1803" s="2" t="s">
        <v>3</v>
      </c>
      <c r="E1803" s="2" t="s">
        <v>1803</v>
      </c>
      <c r="F1803" s="2" t="s">
        <v>3</v>
      </c>
    </row>
    <row r="1804" spans="1:6" x14ac:dyDescent="0.25">
      <c r="A1804" s="1">
        <v>64157</v>
      </c>
      <c r="B1804" s="2">
        <v>93</v>
      </c>
      <c r="C1804" s="2">
        <v>64</v>
      </c>
      <c r="D1804" s="2" t="s">
        <v>3</v>
      </c>
      <c r="E1804" s="2" t="s">
        <v>1804</v>
      </c>
      <c r="F1804" s="2" t="s">
        <v>3</v>
      </c>
    </row>
    <row r="1805" spans="1:6" x14ac:dyDescent="0.25">
      <c r="A1805" s="1">
        <v>64158</v>
      </c>
      <c r="B1805" s="2">
        <v>94</v>
      </c>
      <c r="C1805" s="2">
        <v>64</v>
      </c>
      <c r="D1805" s="2" t="s">
        <v>3</v>
      </c>
      <c r="E1805" s="2" t="s">
        <v>1805</v>
      </c>
      <c r="F1805" s="2" t="s">
        <v>3</v>
      </c>
    </row>
    <row r="1806" spans="1:6" x14ac:dyDescent="0.25">
      <c r="A1806" s="1">
        <v>64159</v>
      </c>
      <c r="B1806" s="2">
        <v>95</v>
      </c>
      <c r="C1806" s="2">
        <v>64</v>
      </c>
      <c r="D1806" s="2">
        <v>66524.399999999994</v>
      </c>
      <c r="E1806" s="2" t="s">
        <v>1806</v>
      </c>
      <c r="F1806" s="2">
        <v>66524.399999999994</v>
      </c>
    </row>
    <row r="1807" spans="1:6" x14ac:dyDescent="0.25">
      <c r="A1807" s="1">
        <v>64160</v>
      </c>
      <c r="B1807" s="2">
        <v>96</v>
      </c>
      <c r="C1807" s="2">
        <v>64</v>
      </c>
      <c r="D1807" s="2">
        <v>9.7828559999999996E+26</v>
      </c>
      <c r="E1807" s="2" t="s">
        <v>1807</v>
      </c>
      <c r="F1807" s="2">
        <v>9.7828559999999996E+26</v>
      </c>
    </row>
    <row r="1808" spans="1:6" x14ac:dyDescent="0.25">
      <c r="A1808" s="1">
        <v>64161</v>
      </c>
      <c r="B1808" s="2">
        <v>97</v>
      </c>
      <c r="C1808" s="2">
        <v>64</v>
      </c>
      <c r="D1808" s="2">
        <v>219.6</v>
      </c>
      <c r="E1808" s="2" t="s">
        <v>1808</v>
      </c>
      <c r="F1808" s="2">
        <v>219.6</v>
      </c>
    </row>
    <row r="1809" spans="1:6" x14ac:dyDescent="0.25">
      <c r="A1809" s="1">
        <v>64162</v>
      </c>
      <c r="B1809" s="2">
        <v>98</v>
      </c>
      <c r="C1809" s="2">
        <v>64</v>
      </c>
      <c r="D1809" s="2">
        <v>504</v>
      </c>
      <c r="E1809" s="2" t="s">
        <v>1809</v>
      </c>
      <c r="F1809" s="2">
        <v>504</v>
      </c>
    </row>
    <row r="1810" spans="1:6" x14ac:dyDescent="0.25">
      <c r="A1810" s="1">
        <v>64163</v>
      </c>
      <c r="B1810" s="2">
        <v>99</v>
      </c>
      <c r="C1810" s="2">
        <v>64</v>
      </c>
      <c r="D1810" s="2">
        <v>68</v>
      </c>
      <c r="E1810" s="2" t="s">
        <v>1810</v>
      </c>
      <c r="F1810" s="2">
        <v>68</v>
      </c>
    </row>
    <row r="1811" spans="1:6" x14ac:dyDescent="0.25">
      <c r="A1811" s="1">
        <v>64164</v>
      </c>
      <c r="B1811" s="2">
        <v>100</v>
      </c>
      <c r="C1811" s="2">
        <v>64</v>
      </c>
      <c r="D1811" s="2">
        <v>45</v>
      </c>
      <c r="E1811" s="2" t="s">
        <v>1811</v>
      </c>
      <c r="F1811" s="2">
        <v>45</v>
      </c>
    </row>
    <row r="1812" spans="1:6" x14ac:dyDescent="0.25">
      <c r="A1812" s="1">
        <v>64165</v>
      </c>
      <c r="B1812" s="2">
        <v>101</v>
      </c>
      <c r="C1812" s="2">
        <v>64</v>
      </c>
      <c r="D1812" s="2">
        <v>10.3</v>
      </c>
      <c r="E1812" s="2" t="s">
        <v>1812</v>
      </c>
      <c r="F1812" s="2">
        <v>10.3</v>
      </c>
    </row>
    <row r="1813" spans="1:6" x14ac:dyDescent="0.25">
      <c r="A1813" s="1">
        <v>64166</v>
      </c>
      <c r="B1813" s="2">
        <v>102</v>
      </c>
      <c r="C1813" s="2">
        <v>64</v>
      </c>
      <c r="D1813" s="2">
        <v>4.8</v>
      </c>
      <c r="E1813" s="2" t="s">
        <v>1813</v>
      </c>
      <c r="F1813" s="2">
        <v>4.8</v>
      </c>
    </row>
    <row r="1814" spans="1:6" x14ac:dyDescent="0.25">
      <c r="A1814" s="1">
        <v>64167</v>
      </c>
      <c r="B1814" s="2">
        <v>103</v>
      </c>
      <c r="C1814" s="2">
        <v>64</v>
      </c>
      <c r="D1814" s="2">
        <v>1.6E-7</v>
      </c>
      <c r="E1814" s="2" t="s">
        <v>1814</v>
      </c>
      <c r="F1814" s="2">
        <v>1.6E-7</v>
      </c>
    </row>
    <row r="1815" spans="1:6" x14ac:dyDescent="0.25">
      <c r="A1815" s="1">
        <v>64168</v>
      </c>
      <c r="B1815" s="2">
        <v>104</v>
      </c>
      <c r="C1815" s="2">
        <v>64</v>
      </c>
      <c r="D1815" s="2">
        <v>1.6E-7</v>
      </c>
      <c r="E1815" s="2" t="s">
        <v>1815</v>
      </c>
      <c r="F1815" s="2">
        <v>1.6E-7</v>
      </c>
    </row>
    <row r="1816" spans="1:6" x14ac:dyDescent="0.25">
      <c r="A1816" s="1">
        <v>64169</v>
      </c>
      <c r="B1816" s="2">
        <v>105</v>
      </c>
      <c r="C1816" s="2">
        <v>64</v>
      </c>
      <c r="D1816" s="2">
        <v>1.6E-7</v>
      </c>
      <c r="E1816" s="2" t="s">
        <v>1816</v>
      </c>
      <c r="F1816" s="2">
        <v>1.6E-7</v>
      </c>
    </row>
    <row r="1817" spans="1:6" x14ac:dyDescent="0.25">
      <c r="A1817" s="1">
        <v>64170</v>
      </c>
      <c r="B1817" s="2">
        <v>106</v>
      </c>
      <c r="C1817" s="2">
        <v>64</v>
      </c>
      <c r="D1817" s="2">
        <v>1.6E-7</v>
      </c>
      <c r="E1817" s="2" t="s">
        <v>1817</v>
      </c>
      <c r="F1817" s="2">
        <v>1.6E-7</v>
      </c>
    </row>
    <row r="1818" spans="1:6" x14ac:dyDescent="0.25">
      <c r="A1818" s="1">
        <v>65135</v>
      </c>
      <c r="B1818" s="2">
        <v>70</v>
      </c>
      <c r="C1818" s="2">
        <v>65</v>
      </c>
      <c r="D1818" s="2">
        <v>9.3999999999999997E-4</v>
      </c>
      <c r="E1818" s="2" t="s">
        <v>1818</v>
      </c>
      <c r="F1818" s="2">
        <v>9.3999999999999997E-4</v>
      </c>
    </row>
    <row r="1819" spans="1:6" x14ac:dyDescent="0.25">
      <c r="A1819" s="1">
        <v>65138</v>
      </c>
      <c r="B1819" s="2">
        <v>73</v>
      </c>
      <c r="C1819" s="2">
        <v>65</v>
      </c>
      <c r="D1819" s="2">
        <v>1.9999999999999999E-7</v>
      </c>
      <c r="E1819" s="2" t="s">
        <v>1819</v>
      </c>
      <c r="F1819" s="2">
        <v>1.9999999999999999E-7</v>
      </c>
    </row>
    <row r="1820" spans="1:6" x14ac:dyDescent="0.25">
      <c r="A1820" s="1">
        <v>65139</v>
      </c>
      <c r="B1820" s="2">
        <v>74</v>
      </c>
      <c r="C1820" s="2">
        <v>65</v>
      </c>
      <c r="D1820" s="2">
        <v>1.6</v>
      </c>
      <c r="E1820" s="2" t="s">
        <v>1820</v>
      </c>
      <c r="F1820" s="2">
        <v>1.6</v>
      </c>
    </row>
    <row r="1821" spans="1:6" x14ac:dyDescent="0.25">
      <c r="A1821" s="1">
        <v>65140</v>
      </c>
      <c r="B1821" s="2">
        <v>75</v>
      </c>
      <c r="C1821" s="2">
        <v>65</v>
      </c>
      <c r="D1821" s="2">
        <v>2</v>
      </c>
      <c r="E1821" s="2" t="s">
        <v>1821</v>
      </c>
      <c r="F1821" s="2">
        <v>2</v>
      </c>
    </row>
    <row r="1822" spans="1:6" x14ac:dyDescent="0.25">
      <c r="A1822" s="1">
        <v>65141</v>
      </c>
      <c r="B1822" s="2">
        <v>76</v>
      </c>
      <c r="C1822" s="2">
        <v>65</v>
      </c>
      <c r="D1822" s="2">
        <v>3.5</v>
      </c>
      <c r="E1822" s="2" t="s">
        <v>1822</v>
      </c>
      <c r="F1822" s="2">
        <v>3.5</v>
      </c>
    </row>
    <row r="1823" spans="1:6" x14ac:dyDescent="0.25">
      <c r="A1823" s="1">
        <v>65142</v>
      </c>
      <c r="B1823" s="2">
        <v>77</v>
      </c>
      <c r="C1823" s="2">
        <v>65</v>
      </c>
      <c r="D1823" s="2">
        <v>0.59699999999999998</v>
      </c>
      <c r="E1823" s="2" t="s">
        <v>1823</v>
      </c>
      <c r="F1823" s="2">
        <v>0.59699999999999998</v>
      </c>
    </row>
    <row r="1824" spans="1:6" x14ac:dyDescent="0.25">
      <c r="A1824" s="1">
        <v>65143</v>
      </c>
      <c r="B1824" s="2">
        <v>78</v>
      </c>
      <c r="C1824" s="2">
        <v>65</v>
      </c>
      <c r="D1824" s="2">
        <v>12</v>
      </c>
      <c r="E1824" s="2" t="s">
        <v>1824</v>
      </c>
      <c r="F1824" s="2">
        <v>12</v>
      </c>
    </row>
    <row r="1825" spans="1:6" x14ac:dyDescent="0.25">
      <c r="A1825" s="1">
        <v>65144</v>
      </c>
      <c r="B1825" s="2">
        <v>79</v>
      </c>
      <c r="C1825" s="2">
        <v>65</v>
      </c>
      <c r="D1825" s="2">
        <v>1</v>
      </c>
      <c r="E1825" s="2" t="s">
        <v>1825</v>
      </c>
      <c r="F1825" s="2">
        <v>1</v>
      </c>
    </row>
    <row r="1826" spans="1:6" x14ac:dyDescent="0.25">
      <c r="A1826" s="1">
        <v>65145</v>
      </c>
      <c r="B1826" s="2">
        <v>80</v>
      </c>
      <c r="C1826" s="2">
        <v>65</v>
      </c>
      <c r="D1826" s="2">
        <v>30.9</v>
      </c>
      <c r="E1826" s="2" t="s">
        <v>1826</v>
      </c>
      <c r="F1826" s="2">
        <v>30.9</v>
      </c>
    </row>
    <row r="1827" spans="1:6" x14ac:dyDescent="0.25">
      <c r="A1827" s="1">
        <v>65146</v>
      </c>
      <c r="B1827" s="2">
        <v>81</v>
      </c>
      <c r="C1827" s="2">
        <v>65</v>
      </c>
      <c r="D1827" s="2">
        <v>8</v>
      </c>
      <c r="E1827" s="2" t="s">
        <v>1827</v>
      </c>
      <c r="F1827" s="2">
        <v>8</v>
      </c>
    </row>
    <row r="1828" spans="1:6" x14ac:dyDescent="0.25">
      <c r="A1828" s="1">
        <v>65147</v>
      </c>
      <c r="B1828" s="2">
        <v>82</v>
      </c>
      <c r="C1828" s="2">
        <v>65</v>
      </c>
      <c r="D1828" s="2">
        <v>5904</v>
      </c>
      <c r="E1828" s="2" t="s">
        <v>1828</v>
      </c>
      <c r="F1828" s="2">
        <v>5904</v>
      </c>
    </row>
    <row r="1829" spans="1:6" x14ac:dyDescent="0.25">
      <c r="A1829" s="1">
        <v>65148</v>
      </c>
      <c r="B1829" s="2">
        <v>83</v>
      </c>
      <c r="C1829" s="2">
        <v>65</v>
      </c>
      <c r="D1829" s="2">
        <v>3600</v>
      </c>
      <c r="E1829" s="2" t="s">
        <v>1829</v>
      </c>
      <c r="F1829" s="2">
        <v>3600</v>
      </c>
    </row>
    <row r="1830" spans="1:6" x14ac:dyDescent="0.25">
      <c r="A1830" s="1">
        <v>65149</v>
      </c>
      <c r="B1830" s="2">
        <v>84</v>
      </c>
      <c r="C1830" s="2">
        <v>65</v>
      </c>
      <c r="D1830" s="2">
        <v>14824.8</v>
      </c>
      <c r="E1830" s="2" t="s">
        <v>1830</v>
      </c>
      <c r="F1830" s="2">
        <v>14824.8</v>
      </c>
    </row>
    <row r="1831" spans="1:6" x14ac:dyDescent="0.25">
      <c r="A1831" s="1">
        <v>65150</v>
      </c>
      <c r="B1831" s="2">
        <v>85</v>
      </c>
      <c r="C1831" s="2">
        <v>65</v>
      </c>
      <c r="D1831" s="2">
        <v>12528</v>
      </c>
      <c r="E1831" s="2" t="s">
        <v>1831</v>
      </c>
      <c r="F1831" s="2">
        <v>12528</v>
      </c>
    </row>
    <row r="1832" spans="1:6" x14ac:dyDescent="0.25">
      <c r="A1832" s="1">
        <v>65151</v>
      </c>
      <c r="B1832" s="2">
        <v>86</v>
      </c>
      <c r="C1832" s="2">
        <v>65</v>
      </c>
      <c r="D1832" s="2">
        <v>63392.4</v>
      </c>
      <c r="E1832" s="2" t="s">
        <v>1832</v>
      </c>
      <c r="F1832" s="2">
        <v>63392.4</v>
      </c>
    </row>
    <row r="1833" spans="1:6" x14ac:dyDescent="0.25">
      <c r="A1833" s="1">
        <v>65152</v>
      </c>
      <c r="B1833" s="2">
        <v>87</v>
      </c>
      <c r="C1833" s="2">
        <v>65</v>
      </c>
      <c r="D1833" s="2">
        <v>63000</v>
      </c>
      <c r="E1833" s="2" t="s">
        <v>1833</v>
      </c>
      <c r="F1833" s="2">
        <v>63000</v>
      </c>
    </row>
    <row r="1834" spans="1:6" x14ac:dyDescent="0.25">
      <c r="A1834" s="1">
        <v>65153</v>
      </c>
      <c r="B1834" s="2">
        <v>88</v>
      </c>
      <c r="C1834" s="2">
        <v>65</v>
      </c>
      <c r="D1834" s="2">
        <v>202176</v>
      </c>
      <c r="E1834" s="2" t="s">
        <v>1834</v>
      </c>
      <c r="F1834" s="2">
        <v>202176</v>
      </c>
    </row>
    <row r="1835" spans="1:6" x14ac:dyDescent="0.25">
      <c r="A1835" s="1">
        <v>65154</v>
      </c>
      <c r="B1835" s="2">
        <v>89</v>
      </c>
      <c r="C1835" s="2">
        <v>65</v>
      </c>
      <c r="D1835" s="2">
        <v>77400</v>
      </c>
      <c r="E1835" s="2" t="s">
        <v>1835</v>
      </c>
      <c r="F1835" s="2">
        <v>77400</v>
      </c>
    </row>
    <row r="1836" spans="1:6" x14ac:dyDescent="0.25">
      <c r="A1836" s="1">
        <v>65155</v>
      </c>
      <c r="B1836" s="2">
        <v>90</v>
      </c>
      <c r="C1836" s="2">
        <v>65</v>
      </c>
      <c r="D1836" s="2">
        <v>459648</v>
      </c>
      <c r="E1836" s="2" t="s">
        <v>1836</v>
      </c>
      <c r="F1836" s="2">
        <v>459648</v>
      </c>
    </row>
    <row r="1837" spans="1:6" x14ac:dyDescent="0.25">
      <c r="A1837" s="1">
        <v>65156</v>
      </c>
      <c r="B1837" s="2">
        <v>91</v>
      </c>
      <c r="C1837" s="2">
        <v>65</v>
      </c>
      <c r="D1837" s="2">
        <v>462239.99999999901</v>
      </c>
      <c r="E1837" s="2" t="s">
        <v>1837</v>
      </c>
      <c r="F1837" s="2">
        <v>462239.99999999901</v>
      </c>
    </row>
    <row r="1838" spans="1:6" x14ac:dyDescent="0.25">
      <c r="A1838" s="1">
        <v>65157</v>
      </c>
      <c r="B1838" s="2">
        <v>92</v>
      </c>
      <c r="C1838" s="2">
        <v>65</v>
      </c>
      <c r="D1838" s="2">
        <v>2240589600</v>
      </c>
      <c r="E1838" s="2" t="s">
        <v>1838</v>
      </c>
      <c r="F1838" s="2">
        <v>2240589600</v>
      </c>
    </row>
    <row r="1839" spans="1:6" x14ac:dyDescent="0.25">
      <c r="A1839" s="1">
        <v>65158</v>
      </c>
      <c r="B1839" s="2">
        <v>93</v>
      </c>
      <c r="C1839" s="2">
        <v>65</v>
      </c>
      <c r="D1839" s="2">
        <v>5680368000</v>
      </c>
      <c r="E1839" s="2" t="s">
        <v>1839</v>
      </c>
      <c r="F1839" s="2">
        <v>5680368000</v>
      </c>
    </row>
    <row r="1840" spans="1:6" x14ac:dyDescent="0.25">
      <c r="A1840" s="1">
        <v>65159</v>
      </c>
      <c r="B1840" s="2">
        <v>94</v>
      </c>
      <c r="C1840" s="2">
        <v>65</v>
      </c>
      <c r="D1840" s="2" t="s">
        <v>3</v>
      </c>
      <c r="E1840" s="2" t="s">
        <v>1840</v>
      </c>
      <c r="F1840" s="2" t="s">
        <v>3</v>
      </c>
    </row>
    <row r="1841" spans="1:6" x14ac:dyDescent="0.25">
      <c r="A1841" s="1">
        <v>65160</v>
      </c>
      <c r="B1841" s="2">
        <v>95</v>
      </c>
      <c r="C1841" s="2">
        <v>65</v>
      </c>
      <c r="D1841" s="2">
        <v>6246720</v>
      </c>
      <c r="E1841" s="2" t="s">
        <v>1841</v>
      </c>
      <c r="F1841" s="2">
        <v>6246720</v>
      </c>
    </row>
    <row r="1842" spans="1:6" x14ac:dyDescent="0.25">
      <c r="A1842" s="1">
        <v>65161</v>
      </c>
      <c r="B1842" s="2">
        <v>96</v>
      </c>
      <c r="C1842" s="2">
        <v>65</v>
      </c>
      <c r="D1842" s="2">
        <v>595296</v>
      </c>
      <c r="E1842" s="2" t="s">
        <v>1842</v>
      </c>
      <c r="F1842" s="2">
        <v>595296</v>
      </c>
    </row>
    <row r="1843" spans="1:6" x14ac:dyDescent="0.25">
      <c r="A1843" s="1">
        <v>65162</v>
      </c>
      <c r="B1843" s="2">
        <v>97</v>
      </c>
      <c r="C1843" s="2">
        <v>65</v>
      </c>
      <c r="D1843" s="2">
        <v>456</v>
      </c>
      <c r="E1843" s="2" t="s">
        <v>1843</v>
      </c>
      <c r="F1843" s="2">
        <v>456</v>
      </c>
    </row>
    <row r="1844" spans="1:6" x14ac:dyDescent="0.25">
      <c r="A1844" s="1">
        <v>65163</v>
      </c>
      <c r="B1844" s="2">
        <v>98</v>
      </c>
      <c r="C1844" s="2">
        <v>65</v>
      </c>
      <c r="D1844" s="2">
        <v>1170</v>
      </c>
      <c r="E1844" s="2" t="s">
        <v>1844</v>
      </c>
      <c r="F1844" s="2">
        <v>1170</v>
      </c>
    </row>
    <row r="1845" spans="1:6" x14ac:dyDescent="0.25">
      <c r="A1845" s="1">
        <v>65164</v>
      </c>
      <c r="B1845" s="2">
        <v>99</v>
      </c>
      <c r="C1845" s="2">
        <v>65</v>
      </c>
      <c r="D1845" s="2">
        <v>180</v>
      </c>
      <c r="E1845" s="2" t="s">
        <v>1845</v>
      </c>
      <c r="F1845" s="2">
        <v>180</v>
      </c>
    </row>
    <row r="1846" spans="1:6" x14ac:dyDescent="0.25">
      <c r="A1846" s="1">
        <v>65165</v>
      </c>
      <c r="B1846" s="2">
        <v>100</v>
      </c>
      <c r="C1846" s="2">
        <v>65</v>
      </c>
      <c r="D1846" s="2">
        <v>126.6</v>
      </c>
      <c r="E1846" s="2" t="s">
        <v>1846</v>
      </c>
      <c r="F1846" s="2">
        <v>126.6</v>
      </c>
    </row>
    <row r="1847" spans="1:6" x14ac:dyDescent="0.25">
      <c r="A1847" s="1">
        <v>65166</v>
      </c>
      <c r="B1847" s="2">
        <v>101</v>
      </c>
      <c r="C1847" s="2">
        <v>65</v>
      </c>
      <c r="D1847" s="2">
        <v>25.1</v>
      </c>
      <c r="E1847" s="2" t="s">
        <v>1847</v>
      </c>
      <c r="F1847" s="2">
        <v>25.1</v>
      </c>
    </row>
    <row r="1848" spans="1:6" x14ac:dyDescent="0.25">
      <c r="A1848" s="1">
        <v>65167</v>
      </c>
      <c r="B1848" s="2">
        <v>102</v>
      </c>
      <c r="C1848" s="2">
        <v>65</v>
      </c>
      <c r="D1848" s="2">
        <v>19.399999999999999</v>
      </c>
      <c r="E1848" s="2" t="s">
        <v>1848</v>
      </c>
      <c r="F1848" s="2">
        <v>19.399999999999999</v>
      </c>
    </row>
    <row r="1849" spans="1:6" x14ac:dyDescent="0.25">
      <c r="A1849" s="1">
        <v>65168</v>
      </c>
      <c r="B1849" s="2">
        <v>103</v>
      </c>
      <c r="C1849" s="2">
        <v>65</v>
      </c>
      <c r="D1849" s="2">
        <v>8.1999999999999993</v>
      </c>
      <c r="E1849" s="2" t="s">
        <v>1849</v>
      </c>
      <c r="F1849" s="2">
        <v>8.1999999999999993</v>
      </c>
    </row>
    <row r="1850" spans="1:6" x14ac:dyDescent="0.25">
      <c r="A1850" s="1">
        <v>65169</v>
      </c>
      <c r="B1850" s="2">
        <v>104</v>
      </c>
      <c r="C1850" s="2">
        <v>65</v>
      </c>
      <c r="D1850" s="2">
        <v>1.6E-7</v>
      </c>
      <c r="E1850" s="2" t="s">
        <v>1850</v>
      </c>
      <c r="F1850" s="2">
        <v>1.6E-7</v>
      </c>
    </row>
    <row r="1851" spans="1:6" x14ac:dyDescent="0.25">
      <c r="A1851" s="1">
        <v>65170</v>
      </c>
      <c r="B1851" s="2">
        <v>105</v>
      </c>
      <c r="C1851" s="2">
        <v>65</v>
      </c>
      <c r="D1851" s="2">
        <v>1.6E-7</v>
      </c>
      <c r="E1851" s="2" t="s">
        <v>1851</v>
      </c>
      <c r="F1851" s="2">
        <v>1.6E-7</v>
      </c>
    </row>
    <row r="1852" spans="1:6" x14ac:dyDescent="0.25">
      <c r="A1852" s="1">
        <v>65171</v>
      </c>
      <c r="B1852" s="2">
        <v>106</v>
      </c>
      <c r="C1852" s="2">
        <v>65</v>
      </c>
      <c r="D1852" s="2">
        <v>1.6E-7</v>
      </c>
      <c r="E1852" s="2" t="s">
        <v>1852</v>
      </c>
      <c r="F1852" s="2">
        <v>1.6E-7</v>
      </c>
    </row>
    <row r="1853" spans="1:6" x14ac:dyDescent="0.25">
      <c r="A1853" s="1">
        <v>65172</v>
      </c>
      <c r="B1853" s="2">
        <v>107</v>
      </c>
      <c r="C1853" s="2">
        <v>65</v>
      </c>
      <c r="D1853" s="2">
        <v>1.6E-7</v>
      </c>
      <c r="E1853" s="2" t="s">
        <v>1853</v>
      </c>
      <c r="F1853" s="2">
        <v>1.6E-7</v>
      </c>
    </row>
    <row r="1854" spans="1:6" x14ac:dyDescent="0.25">
      <c r="A1854" s="1">
        <v>66139</v>
      </c>
      <c r="B1854" s="2">
        <v>73</v>
      </c>
      <c r="C1854" s="2">
        <v>66</v>
      </c>
      <c r="D1854" s="2">
        <v>0.6</v>
      </c>
      <c r="E1854" s="2" t="s">
        <v>1854</v>
      </c>
      <c r="F1854" s="2">
        <v>0.6</v>
      </c>
    </row>
    <row r="1855" spans="1:6" x14ac:dyDescent="0.25">
      <c r="A1855" s="1">
        <v>66141</v>
      </c>
      <c r="B1855" s="2">
        <v>75</v>
      </c>
      <c r="C1855" s="2">
        <v>66</v>
      </c>
      <c r="D1855" s="2">
        <v>0.9</v>
      </c>
      <c r="E1855" s="2" t="s">
        <v>1855</v>
      </c>
      <c r="F1855" s="2">
        <v>0.9</v>
      </c>
    </row>
    <row r="1856" spans="1:6" x14ac:dyDescent="0.25">
      <c r="A1856" s="1">
        <v>66142</v>
      </c>
      <c r="B1856" s="2">
        <v>76</v>
      </c>
      <c r="C1856" s="2">
        <v>66</v>
      </c>
      <c r="D1856" s="2">
        <v>2.2999999999999998</v>
      </c>
      <c r="E1856" s="2" t="s">
        <v>1856</v>
      </c>
      <c r="F1856" s="2">
        <v>2.2999999999999998</v>
      </c>
    </row>
    <row r="1857" spans="1:6" x14ac:dyDescent="0.25">
      <c r="A1857" s="1">
        <v>66143</v>
      </c>
      <c r="B1857" s="2">
        <v>77</v>
      </c>
      <c r="C1857" s="2">
        <v>66</v>
      </c>
      <c r="D1857" s="2">
        <v>5.6</v>
      </c>
      <c r="E1857" s="2" t="s">
        <v>1857</v>
      </c>
      <c r="F1857" s="2">
        <v>5.6</v>
      </c>
    </row>
    <row r="1858" spans="1:6" x14ac:dyDescent="0.25">
      <c r="A1858" s="1">
        <v>66144</v>
      </c>
      <c r="B1858" s="2">
        <v>78</v>
      </c>
      <c r="C1858" s="2">
        <v>66</v>
      </c>
      <c r="D1858" s="2">
        <v>9.1</v>
      </c>
      <c r="E1858" s="2" t="s">
        <v>1858</v>
      </c>
      <c r="F1858" s="2">
        <v>9.1</v>
      </c>
    </row>
    <row r="1859" spans="1:6" x14ac:dyDescent="0.25">
      <c r="A1859" s="1">
        <v>66145</v>
      </c>
      <c r="B1859" s="2">
        <v>79</v>
      </c>
      <c r="C1859" s="2">
        <v>66</v>
      </c>
      <c r="D1859" s="2">
        <v>6</v>
      </c>
      <c r="E1859" s="2" t="s">
        <v>1859</v>
      </c>
      <c r="F1859" s="2">
        <v>6</v>
      </c>
    </row>
    <row r="1860" spans="1:6" x14ac:dyDescent="0.25">
      <c r="A1860" s="1">
        <v>66146</v>
      </c>
      <c r="B1860" s="2">
        <v>80</v>
      </c>
      <c r="C1860" s="2">
        <v>66</v>
      </c>
      <c r="D1860" s="2">
        <v>33.200000000000003</v>
      </c>
      <c r="E1860" s="2" t="s">
        <v>1860</v>
      </c>
      <c r="F1860" s="2">
        <v>33.200000000000003</v>
      </c>
    </row>
    <row r="1861" spans="1:6" x14ac:dyDescent="0.25">
      <c r="A1861" s="1">
        <v>66147</v>
      </c>
      <c r="B1861" s="2">
        <v>81</v>
      </c>
      <c r="C1861" s="2">
        <v>66</v>
      </c>
      <c r="D1861" s="2">
        <v>67</v>
      </c>
      <c r="E1861" s="2" t="s">
        <v>1861</v>
      </c>
      <c r="F1861" s="2">
        <v>67</v>
      </c>
    </row>
    <row r="1862" spans="1:6" x14ac:dyDescent="0.25">
      <c r="A1862" s="1">
        <v>66148</v>
      </c>
      <c r="B1862" s="2">
        <v>82</v>
      </c>
      <c r="C1862" s="2">
        <v>66</v>
      </c>
      <c r="D1862" s="2">
        <v>198</v>
      </c>
      <c r="E1862" s="2" t="s">
        <v>1862</v>
      </c>
      <c r="F1862" s="2">
        <v>198</v>
      </c>
    </row>
    <row r="1863" spans="1:6" x14ac:dyDescent="0.25">
      <c r="A1863" s="1">
        <v>66149</v>
      </c>
      <c r="B1863" s="2">
        <v>83</v>
      </c>
      <c r="C1863" s="2">
        <v>66</v>
      </c>
      <c r="D1863" s="2">
        <v>252</v>
      </c>
      <c r="E1863" s="2" t="s">
        <v>1863</v>
      </c>
      <c r="F1863" s="2">
        <v>252</v>
      </c>
    </row>
    <row r="1864" spans="1:6" x14ac:dyDescent="0.25">
      <c r="A1864" s="1">
        <v>66150</v>
      </c>
      <c r="B1864" s="2">
        <v>84</v>
      </c>
      <c r="C1864" s="2">
        <v>66</v>
      </c>
      <c r="D1864" s="2">
        <v>430.2</v>
      </c>
      <c r="E1864" s="2" t="s">
        <v>1864</v>
      </c>
      <c r="F1864" s="2">
        <v>430.2</v>
      </c>
    </row>
    <row r="1865" spans="1:6" x14ac:dyDescent="0.25">
      <c r="A1865" s="1">
        <v>66151</v>
      </c>
      <c r="B1865" s="2">
        <v>85</v>
      </c>
      <c r="C1865" s="2">
        <v>66</v>
      </c>
      <c r="D1865" s="2">
        <v>1074</v>
      </c>
      <c r="E1865" s="2" t="s">
        <v>1865</v>
      </c>
      <c r="F1865" s="2">
        <v>1074</v>
      </c>
    </row>
    <row r="1866" spans="1:6" x14ac:dyDescent="0.25">
      <c r="A1866" s="1">
        <v>66152</v>
      </c>
      <c r="B1866" s="2">
        <v>86</v>
      </c>
      <c r="C1866" s="2">
        <v>66</v>
      </c>
      <c r="D1866" s="2">
        <v>8568</v>
      </c>
      <c r="E1866" s="2" t="s">
        <v>1866</v>
      </c>
      <c r="F1866" s="2">
        <v>8568</v>
      </c>
    </row>
    <row r="1867" spans="1:6" x14ac:dyDescent="0.25">
      <c r="A1867" s="1">
        <v>66153</v>
      </c>
      <c r="B1867" s="2">
        <v>87</v>
      </c>
      <c r="C1867" s="2">
        <v>66</v>
      </c>
      <c r="D1867" s="2">
        <v>23040</v>
      </c>
      <c r="E1867" s="2" t="s">
        <v>1867</v>
      </c>
      <c r="F1867" s="2">
        <v>23040</v>
      </c>
    </row>
    <row r="1868" spans="1:6" x14ac:dyDescent="0.25">
      <c r="A1868" s="1">
        <v>66154</v>
      </c>
      <c r="B1868" s="2">
        <v>88</v>
      </c>
      <c r="C1868" s="2">
        <v>66</v>
      </c>
      <c r="D1868" s="2">
        <v>94672800000000</v>
      </c>
      <c r="E1868" s="2" t="s">
        <v>1868</v>
      </c>
      <c r="F1868" s="2">
        <v>94672800000000</v>
      </c>
    </row>
    <row r="1869" spans="1:6" x14ac:dyDescent="0.25">
      <c r="A1869" s="1">
        <v>66155</v>
      </c>
      <c r="B1869" s="2">
        <v>89</v>
      </c>
      <c r="C1869" s="2">
        <v>66</v>
      </c>
      <c r="D1869" s="2">
        <v>35640</v>
      </c>
      <c r="E1869" s="2" t="s">
        <v>1869</v>
      </c>
      <c r="F1869" s="2">
        <v>35640</v>
      </c>
    </row>
    <row r="1870" spans="1:6" x14ac:dyDescent="0.25">
      <c r="A1870" s="1">
        <v>66156</v>
      </c>
      <c r="B1870" s="2">
        <v>90</v>
      </c>
      <c r="C1870" s="2">
        <v>66</v>
      </c>
      <c r="D1870" s="2" t="s">
        <v>3</v>
      </c>
      <c r="E1870" s="2" t="s">
        <v>1870</v>
      </c>
      <c r="F1870" s="2" t="s">
        <v>3</v>
      </c>
    </row>
    <row r="1871" spans="1:6" x14ac:dyDescent="0.25">
      <c r="A1871" s="1">
        <v>66157</v>
      </c>
      <c r="B1871" s="2">
        <v>91</v>
      </c>
      <c r="C1871" s="2">
        <v>66</v>
      </c>
      <c r="D1871" s="2">
        <v>29304</v>
      </c>
      <c r="E1871" s="2" t="s">
        <v>1871</v>
      </c>
      <c r="F1871" s="2">
        <v>29304</v>
      </c>
    </row>
    <row r="1872" spans="1:6" x14ac:dyDescent="0.25">
      <c r="A1872" s="1">
        <v>66158</v>
      </c>
      <c r="B1872" s="2">
        <v>92</v>
      </c>
      <c r="C1872" s="2">
        <v>66</v>
      </c>
      <c r="D1872" s="2" t="s">
        <v>3</v>
      </c>
      <c r="E1872" s="2" t="s">
        <v>1872</v>
      </c>
      <c r="F1872" s="2" t="s">
        <v>3</v>
      </c>
    </row>
    <row r="1873" spans="1:6" x14ac:dyDescent="0.25">
      <c r="A1873" s="1">
        <v>66159</v>
      </c>
      <c r="B1873" s="2">
        <v>93</v>
      </c>
      <c r="C1873" s="2">
        <v>66</v>
      </c>
      <c r="D1873" s="2">
        <v>12476160</v>
      </c>
      <c r="E1873" s="2" t="s">
        <v>1873</v>
      </c>
      <c r="F1873" s="2">
        <v>12476160</v>
      </c>
    </row>
    <row r="1874" spans="1:6" x14ac:dyDescent="0.25">
      <c r="A1874" s="1">
        <v>66160</v>
      </c>
      <c r="B1874" s="2">
        <v>94</v>
      </c>
      <c r="C1874" s="2">
        <v>66</v>
      </c>
      <c r="D1874" s="2" t="s">
        <v>3</v>
      </c>
      <c r="E1874" s="2" t="s">
        <v>1874</v>
      </c>
      <c r="F1874" s="2" t="s">
        <v>3</v>
      </c>
    </row>
    <row r="1875" spans="1:6" x14ac:dyDescent="0.25">
      <c r="A1875" s="1">
        <v>66161</v>
      </c>
      <c r="B1875" s="2">
        <v>95</v>
      </c>
      <c r="C1875" s="2">
        <v>66</v>
      </c>
      <c r="D1875" s="2" t="s">
        <v>3</v>
      </c>
      <c r="E1875" s="2" t="s">
        <v>1875</v>
      </c>
      <c r="F1875" s="2" t="s">
        <v>3</v>
      </c>
    </row>
    <row r="1876" spans="1:6" x14ac:dyDescent="0.25">
      <c r="A1876" s="1">
        <v>66162</v>
      </c>
      <c r="B1876" s="2">
        <v>96</v>
      </c>
      <c r="C1876" s="2">
        <v>66</v>
      </c>
      <c r="D1876" s="2" t="s">
        <v>3</v>
      </c>
      <c r="E1876" s="2" t="s">
        <v>1876</v>
      </c>
      <c r="F1876" s="2" t="s">
        <v>3</v>
      </c>
    </row>
    <row r="1877" spans="1:6" x14ac:dyDescent="0.25">
      <c r="A1877" s="1">
        <v>66163</v>
      </c>
      <c r="B1877" s="2">
        <v>97</v>
      </c>
      <c r="C1877" s="2">
        <v>66</v>
      </c>
      <c r="D1877" s="2" t="s">
        <v>3</v>
      </c>
      <c r="E1877" s="2" t="s">
        <v>1877</v>
      </c>
      <c r="F1877" s="2" t="s">
        <v>3</v>
      </c>
    </row>
    <row r="1878" spans="1:6" x14ac:dyDescent="0.25">
      <c r="A1878" s="1">
        <v>66164</v>
      </c>
      <c r="B1878" s="2">
        <v>98</v>
      </c>
      <c r="C1878" s="2">
        <v>66</v>
      </c>
      <c r="D1878" s="2" t="s">
        <v>3</v>
      </c>
      <c r="E1878" s="2" t="s">
        <v>1878</v>
      </c>
      <c r="F1878" s="2" t="s">
        <v>3</v>
      </c>
    </row>
    <row r="1879" spans="1:6" x14ac:dyDescent="0.25">
      <c r="A1879" s="1">
        <v>66165</v>
      </c>
      <c r="B1879" s="2">
        <v>99</v>
      </c>
      <c r="C1879" s="2">
        <v>66</v>
      </c>
      <c r="D1879" s="2">
        <v>8402.4</v>
      </c>
      <c r="E1879" s="2" t="s">
        <v>1879</v>
      </c>
      <c r="F1879" s="2">
        <v>8402.4</v>
      </c>
    </row>
    <row r="1880" spans="1:6" x14ac:dyDescent="0.25">
      <c r="A1880" s="1">
        <v>66166</v>
      </c>
      <c r="B1880" s="2">
        <v>100</v>
      </c>
      <c r="C1880" s="2">
        <v>66</v>
      </c>
      <c r="D1880" s="2">
        <v>293760</v>
      </c>
      <c r="E1880" s="2" t="s">
        <v>1880</v>
      </c>
      <c r="F1880" s="2">
        <v>293760</v>
      </c>
    </row>
    <row r="1881" spans="1:6" x14ac:dyDescent="0.25">
      <c r="A1881" s="1">
        <v>66167</v>
      </c>
      <c r="B1881" s="2">
        <v>101</v>
      </c>
      <c r="C1881" s="2">
        <v>66</v>
      </c>
      <c r="D1881" s="2">
        <v>372</v>
      </c>
      <c r="E1881" s="2" t="s">
        <v>1881</v>
      </c>
      <c r="F1881" s="2">
        <v>372</v>
      </c>
    </row>
    <row r="1882" spans="1:6" x14ac:dyDescent="0.25">
      <c r="A1882" s="1">
        <v>66168</v>
      </c>
      <c r="B1882" s="2">
        <v>102</v>
      </c>
      <c r="C1882" s="2">
        <v>66</v>
      </c>
      <c r="D1882" s="2">
        <v>522</v>
      </c>
      <c r="E1882" s="2" t="s">
        <v>1882</v>
      </c>
      <c r="F1882" s="2">
        <v>522</v>
      </c>
    </row>
    <row r="1883" spans="1:6" x14ac:dyDescent="0.25">
      <c r="A1883" s="1">
        <v>66169</v>
      </c>
      <c r="B1883" s="2">
        <v>103</v>
      </c>
      <c r="C1883" s="2">
        <v>66</v>
      </c>
      <c r="D1883" s="2">
        <v>39</v>
      </c>
      <c r="E1883" s="2" t="s">
        <v>1883</v>
      </c>
      <c r="F1883" s="2">
        <v>39</v>
      </c>
    </row>
    <row r="1884" spans="1:6" x14ac:dyDescent="0.25">
      <c r="A1884" s="1">
        <v>66171</v>
      </c>
      <c r="B1884" s="2">
        <v>105</v>
      </c>
      <c r="C1884" s="2">
        <v>66</v>
      </c>
      <c r="D1884" s="2">
        <v>1.6E-7</v>
      </c>
      <c r="E1884" s="2" t="s">
        <v>1884</v>
      </c>
      <c r="F1884" s="2">
        <v>1.6E-7</v>
      </c>
    </row>
    <row r="1885" spans="1:6" x14ac:dyDescent="0.25">
      <c r="A1885" s="1">
        <v>66172</v>
      </c>
      <c r="B1885" s="2">
        <v>106</v>
      </c>
      <c r="C1885" s="2">
        <v>66</v>
      </c>
      <c r="D1885" s="2">
        <v>1.6E-7</v>
      </c>
      <c r="E1885" s="2" t="s">
        <v>1885</v>
      </c>
      <c r="F1885" s="2">
        <v>1.6E-7</v>
      </c>
    </row>
    <row r="1886" spans="1:6" x14ac:dyDescent="0.25">
      <c r="A1886" s="1">
        <v>66173</v>
      </c>
      <c r="B1886" s="2">
        <v>107</v>
      </c>
      <c r="C1886" s="2">
        <v>66</v>
      </c>
      <c r="D1886" s="2">
        <v>1.6E-7</v>
      </c>
      <c r="E1886" s="2" t="s">
        <v>1886</v>
      </c>
      <c r="F1886" s="2">
        <v>1.6E-7</v>
      </c>
    </row>
    <row r="1887" spans="1:6" x14ac:dyDescent="0.25">
      <c r="A1887" s="1">
        <v>67140</v>
      </c>
      <c r="B1887" s="2">
        <v>73</v>
      </c>
      <c r="C1887" s="2">
        <v>67</v>
      </c>
      <c r="D1887" s="2">
        <v>6.0000000000000001E-3</v>
      </c>
      <c r="E1887" s="2" t="s">
        <v>1887</v>
      </c>
      <c r="F1887" s="2">
        <v>6.0000000000000001E-3</v>
      </c>
    </row>
    <row r="1888" spans="1:6" x14ac:dyDescent="0.25">
      <c r="A1888" s="1">
        <v>67141</v>
      </c>
      <c r="B1888" s="2">
        <v>74</v>
      </c>
      <c r="C1888" s="2">
        <v>67</v>
      </c>
      <c r="D1888" s="2">
        <v>4.0999999999999899E-3</v>
      </c>
      <c r="E1888" s="2" t="s">
        <v>1888</v>
      </c>
      <c r="F1888" s="2">
        <v>4.0999999999999899E-3</v>
      </c>
    </row>
    <row r="1889" spans="1:6" x14ac:dyDescent="0.25">
      <c r="A1889" s="1">
        <v>67142</v>
      </c>
      <c r="B1889" s="2">
        <v>75</v>
      </c>
      <c r="C1889" s="2">
        <v>67</v>
      </c>
      <c r="D1889" s="2">
        <v>0.4</v>
      </c>
      <c r="E1889" s="2" t="s">
        <v>1889</v>
      </c>
      <c r="F1889" s="2">
        <v>0.4</v>
      </c>
    </row>
    <row r="1890" spans="1:6" x14ac:dyDescent="0.25">
      <c r="A1890" s="1">
        <v>67144</v>
      </c>
      <c r="B1890" s="2">
        <v>77</v>
      </c>
      <c r="C1890" s="2">
        <v>67</v>
      </c>
      <c r="D1890" s="2">
        <v>0.7</v>
      </c>
      <c r="E1890" s="2" t="s">
        <v>1890</v>
      </c>
      <c r="F1890" s="2">
        <v>0.7</v>
      </c>
    </row>
    <row r="1891" spans="1:6" x14ac:dyDescent="0.25">
      <c r="A1891" s="1">
        <v>67145</v>
      </c>
      <c r="B1891" s="2">
        <v>78</v>
      </c>
      <c r="C1891" s="2">
        <v>67</v>
      </c>
      <c r="D1891" s="2">
        <v>2.4</v>
      </c>
      <c r="E1891" s="2" t="s">
        <v>1891</v>
      </c>
      <c r="F1891" s="2">
        <v>2.4</v>
      </c>
    </row>
    <row r="1892" spans="1:6" x14ac:dyDescent="0.25">
      <c r="A1892" s="1">
        <v>67146</v>
      </c>
      <c r="B1892" s="2">
        <v>79</v>
      </c>
      <c r="C1892" s="2">
        <v>67</v>
      </c>
      <c r="D1892" s="2">
        <v>3.32</v>
      </c>
      <c r="E1892" s="2" t="s">
        <v>1892</v>
      </c>
      <c r="F1892" s="2">
        <v>3.32</v>
      </c>
    </row>
    <row r="1893" spans="1:6" x14ac:dyDescent="0.25">
      <c r="A1893" s="1">
        <v>67147</v>
      </c>
      <c r="B1893" s="2">
        <v>80</v>
      </c>
      <c r="C1893" s="2">
        <v>67</v>
      </c>
      <c r="D1893" s="2">
        <v>5.8</v>
      </c>
      <c r="E1893" s="2" t="s">
        <v>1893</v>
      </c>
      <c r="F1893" s="2">
        <v>5.8</v>
      </c>
    </row>
    <row r="1894" spans="1:6" x14ac:dyDescent="0.25">
      <c r="A1894" s="1">
        <v>67148</v>
      </c>
      <c r="B1894" s="2">
        <v>81</v>
      </c>
      <c r="C1894" s="2">
        <v>67</v>
      </c>
      <c r="D1894" s="2">
        <v>2.2000000000000002</v>
      </c>
      <c r="E1894" s="2" t="s">
        <v>1894</v>
      </c>
      <c r="F1894" s="2">
        <v>2.2000000000000002</v>
      </c>
    </row>
    <row r="1895" spans="1:6" x14ac:dyDescent="0.25">
      <c r="A1895" s="1">
        <v>67149</v>
      </c>
      <c r="B1895" s="2">
        <v>82</v>
      </c>
      <c r="C1895" s="2">
        <v>67</v>
      </c>
      <c r="D1895" s="2">
        <v>21.1</v>
      </c>
      <c r="E1895" s="2" t="s">
        <v>1895</v>
      </c>
      <c r="F1895" s="2">
        <v>21.1</v>
      </c>
    </row>
    <row r="1896" spans="1:6" x14ac:dyDescent="0.25">
      <c r="A1896" s="1">
        <v>67150</v>
      </c>
      <c r="B1896" s="2">
        <v>83</v>
      </c>
      <c r="C1896" s="2">
        <v>67</v>
      </c>
      <c r="D1896" s="2">
        <v>72</v>
      </c>
      <c r="E1896" s="2" t="s">
        <v>1896</v>
      </c>
      <c r="F1896" s="2">
        <v>72</v>
      </c>
    </row>
    <row r="1897" spans="1:6" x14ac:dyDescent="0.25">
      <c r="A1897" s="1">
        <v>67151</v>
      </c>
      <c r="B1897" s="2">
        <v>84</v>
      </c>
      <c r="C1897" s="2">
        <v>67</v>
      </c>
      <c r="D1897" s="2">
        <v>35.200000000000003</v>
      </c>
      <c r="E1897" s="2" t="s">
        <v>1897</v>
      </c>
      <c r="F1897" s="2">
        <v>35.200000000000003</v>
      </c>
    </row>
    <row r="1898" spans="1:6" x14ac:dyDescent="0.25">
      <c r="A1898" s="1">
        <v>67152</v>
      </c>
      <c r="B1898" s="2">
        <v>85</v>
      </c>
      <c r="C1898" s="2">
        <v>67</v>
      </c>
      <c r="D1898" s="2">
        <v>161.80000000000001</v>
      </c>
      <c r="E1898" s="2" t="s">
        <v>1898</v>
      </c>
      <c r="F1898" s="2">
        <v>161.80000000000001</v>
      </c>
    </row>
    <row r="1899" spans="1:6" x14ac:dyDescent="0.25">
      <c r="A1899" s="1">
        <v>67153</v>
      </c>
      <c r="B1899" s="2">
        <v>86</v>
      </c>
      <c r="C1899" s="2">
        <v>67</v>
      </c>
      <c r="D1899" s="2">
        <v>120.6</v>
      </c>
      <c r="E1899" s="2" t="s">
        <v>1899</v>
      </c>
      <c r="F1899" s="2">
        <v>120.6</v>
      </c>
    </row>
    <row r="1900" spans="1:6" x14ac:dyDescent="0.25">
      <c r="A1900" s="1">
        <v>67154</v>
      </c>
      <c r="B1900" s="2">
        <v>87</v>
      </c>
      <c r="C1900" s="2">
        <v>67</v>
      </c>
      <c r="D1900" s="2">
        <v>705.6</v>
      </c>
      <c r="E1900" s="2" t="s">
        <v>1900</v>
      </c>
      <c r="F1900" s="2">
        <v>705.6</v>
      </c>
    </row>
    <row r="1901" spans="1:6" x14ac:dyDescent="0.25">
      <c r="A1901" s="1">
        <v>67155</v>
      </c>
      <c r="B1901" s="2">
        <v>88</v>
      </c>
      <c r="C1901" s="2">
        <v>67</v>
      </c>
      <c r="D1901" s="2">
        <v>2880</v>
      </c>
      <c r="E1901" s="2" t="s">
        <v>1901</v>
      </c>
      <c r="F1901" s="2">
        <v>2880</v>
      </c>
    </row>
    <row r="1902" spans="1:6" x14ac:dyDescent="0.25">
      <c r="A1902" s="1">
        <v>67156</v>
      </c>
      <c r="B1902" s="2">
        <v>89</v>
      </c>
      <c r="C1902" s="2">
        <v>67</v>
      </c>
      <c r="D1902" s="2">
        <v>3360</v>
      </c>
      <c r="E1902" s="2" t="s">
        <v>1902</v>
      </c>
      <c r="F1902" s="2">
        <v>3360</v>
      </c>
    </row>
    <row r="1903" spans="1:6" x14ac:dyDescent="0.25">
      <c r="A1903" s="1">
        <v>67157</v>
      </c>
      <c r="B1903" s="2">
        <v>90</v>
      </c>
      <c r="C1903" s="2">
        <v>67</v>
      </c>
      <c r="D1903" s="2">
        <v>756</v>
      </c>
      <c r="E1903" s="2" t="s">
        <v>1903</v>
      </c>
      <c r="F1903" s="2">
        <v>756</v>
      </c>
    </row>
    <row r="1904" spans="1:6" x14ac:dyDescent="0.25">
      <c r="A1904" s="1">
        <v>67158</v>
      </c>
      <c r="B1904" s="2">
        <v>91</v>
      </c>
      <c r="C1904" s="2">
        <v>67</v>
      </c>
      <c r="D1904" s="2">
        <v>678</v>
      </c>
      <c r="E1904" s="2" t="s">
        <v>1904</v>
      </c>
      <c r="F1904" s="2">
        <v>678</v>
      </c>
    </row>
    <row r="1905" spans="1:6" x14ac:dyDescent="0.25">
      <c r="A1905" s="1">
        <v>67159</v>
      </c>
      <c r="B1905" s="2">
        <v>92</v>
      </c>
      <c r="C1905" s="2">
        <v>67</v>
      </c>
      <c r="D1905" s="2">
        <v>1982.99999999999</v>
      </c>
      <c r="E1905" s="2" t="s">
        <v>1905</v>
      </c>
      <c r="F1905" s="2">
        <v>1982.99999999999</v>
      </c>
    </row>
    <row r="1906" spans="1:6" x14ac:dyDescent="0.25">
      <c r="A1906" s="1">
        <v>67160</v>
      </c>
      <c r="B1906" s="2">
        <v>93</v>
      </c>
      <c r="C1906" s="2">
        <v>67</v>
      </c>
      <c r="D1906" s="2">
        <v>1536</v>
      </c>
      <c r="E1906" s="2" t="s">
        <v>1906</v>
      </c>
      <c r="F1906" s="2">
        <v>1536</v>
      </c>
    </row>
    <row r="1907" spans="1:6" x14ac:dyDescent="0.25">
      <c r="A1907" s="1">
        <v>67161</v>
      </c>
      <c r="B1907" s="2">
        <v>94</v>
      </c>
      <c r="C1907" s="2">
        <v>67</v>
      </c>
      <c r="D1907" s="2">
        <v>8928</v>
      </c>
      <c r="E1907" s="2" t="s">
        <v>1907</v>
      </c>
      <c r="F1907" s="2">
        <v>8928</v>
      </c>
    </row>
    <row r="1908" spans="1:6" x14ac:dyDescent="0.25">
      <c r="A1908" s="1">
        <v>67162</v>
      </c>
      <c r="B1908" s="2">
        <v>95</v>
      </c>
      <c r="C1908" s="2">
        <v>67</v>
      </c>
      <c r="D1908" s="2">
        <v>900</v>
      </c>
      <c r="E1908" s="2" t="s">
        <v>1908</v>
      </c>
      <c r="F1908" s="2">
        <v>900</v>
      </c>
    </row>
    <row r="1909" spans="1:6" x14ac:dyDescent="0.25">
      <c r="A1909" s="1">
        <v>67163</v>
      </c>
      <c r="B1909" s="2">
        <v>96</v>
      </c>
      <c r="C1909" s="2">
        <v>67</v>
      </c>
      <c r="D1909" s="2">
        <v>144218232000</v>
      </c>
      <c r="E1909" s="2" t="s">
        <v>1909</v>
      </c>
      <c r="F1909" s="2">
        <v>144218232000</v>
      </c>
    </row>
    <row r="1910" spans="1:6" x14ac:dyDescent="0.25">
      <c r="A1910" s="1">
        <v>67164</v>
      </c>
      <c r="B1910" s="2">
        <v>97</v>
      </c>
      <c r="C1910" s="2">
        <v>67</v>
      </c>
      <c r="D1910" s="2">
        <v>1740</v>
      </c>
      <c r="E1910" s="2" t="s">
        <v>1910</v>
      </c>
      <c r="F1910" s="2">
        <v>1740</v>
      </c>
    </row>
    <row r="1911" spans="1:6" x14ac:dyDescent="0.25">
      <c r="A1911" s="1">
        <v>67165</v>
      </c>
      <c r="B1911" s="2">
        <v>98</v>
      </c>
      <c r="C1911" s="2">
        <v>67</v>
      </c>
      <c r="D1911" s="2" t="s">
        <v>3</v>
      </c>
      <c r="E1911" s="2" t="s">
        <v>1911</v>
      </c>
      <c r="F1911" s="2" t="s">
        <v>3</v>
      </c>
    </row>
    <row r="1912" spans="1:6" x14ac:dyDescent="0.25">
      <c r="A1912" s="1">
        <v>67166</v>
      </c>
      <c r="B1912" s="2">
        <v>99</v>
      </c>
      <c r="C1912" s="2">
        <v>67</v>
      </c>
      <c r="D1912" s="2">
        <v>96566.399999999994</v>
      </c>
      <c r="E1912" s="2" t="s">
        <v>1912</v>
      </c>
      <c r="F1912" s="2">
        <v>96566.399999999994</v>
      </c>
    </row>
    <row r="1913" spans="1:6" x14ac:dyDescent="0.25">
      <c r="A1913" s="1">
        <v>67167</v>
      </c>
      <c r="B1913" s="2">
        <v>100</v>
      </c>
      <c r="C1913" s="2">
        <v>67</v>
      </c>
      <c r="D1913" s="2">
        <v>10810.8</v>
      </c>
      <c r="E1913" s="2" t="s">
        <v>1913</v>
      </c>
      <c r="F1913" s="2">
        <v>10810.8</v>
      </c>
    </row>
    <row r="1914" spans="1:6" x14ac:dyDescent="0.25">
      <c r="A1914" s="1">
        <v>67168</v>
      </c>
      <c r="B1914" s="2">
        <v>101</v>
      </c>
      <c r="C1914" s="2">
        <v>67</v>
      </c>
      <c r="D1914" s="2">
        <v>179.4</v>
      </c>
      <c r="E1914" s="2" t="s">
        <v>1914</v>
      </c>
      <c r="F1914" s="2">
        <v>179.4</v>
      </c>
    </row>
    <row r="1915" spans="1:6" x14ac:dyDescent="0.25">
      <c r="A1915" s="1">
        <v>67169</v>
      </c>
      <c r="B1915" s="2">
        <v>102</v>
      </c>
      <c r="C1915" s="2">
        <v>67</v>
      </c>
      <c r="D1915" s="2">
        <v>283.2</v>
      </c>
      <c r="E1915" s="2" t="s">
        <v>1915</v>
      </c>
      <c r="F1915" s="2">
        <v>283.2</v>
      </c>
    </row>
    <row r="1916" spans="1:6" x14ac:dyDescent="0.25">
      <c r="A1916" s="1">
        <v>67170</v>
      </c>
      <c r="B1916" s="2">
        <v>103</v>
      </c>
      <c r="C1916" s="2">
        <v>67</v>
      </c>
      <c r="D1916" s="2">
        <v>165.6</v>
      </c>
      <c r="E1916" s="2" t="s">
        <v>1916</v>
      </c>
      <c r="F1916" s="2">
        <v>165.6</v>
      </c>
    </row>
    <row r="1917" spans="1:6" x14ac:dyDescent="0.25">
      <c r="A1917" s="1">
        <v>67171</v>
      </c>
      <c r="B1917" s="2">
        <v>104</v>
      </c>
      <c r="C1917" s="2">
        <v>67</v>
      </c>
      <c r="D1917" s="2">
        <v>53</v>
      </c>
      <c r="E1917" s="2" t="s">
        <v>1917</v>
      </c>
      <c r="F1917" s="2">
        <v>53</v>
      </c>
    </row>
    <row r="1918" spans="1:6" x14ac:dyDescent="0.25">
      <c r="A1918" s="1">
        <v>67172</v>
      </c>
      <c r="B1918" s="2">
        <v>105</v>
      </c>
      <c r="C1918" s="2">
        <v>67</v>
      </c>
      <c r="D1918" s="2">
        <v>25</v>
      </c>
      <c r="E1918" s="2" t="s">
        <v>1918</v>
      </c>
      <c r="F1918" s="2">
        <v>25</v>
      </c>
    </row>
    <row r="1919" spans="1:6" x14ac:dyDescent="0.25">
      <c r="A1919" s="1">
        <v>67173</v>
      </c>
      <c r="B1919" s="2">
        <v>106</v>
      </c>
      <c r="C1919" s="2">
        <v>67</v>
      </c>
      <c r="D1919" s="2">
        <v>1.6E-7</v>
      </c>
      <c r="E1919" s="2" t="s">
        <v>1919</v>
      </c>
      <c r="F1919" s="2">
        <v>1.6E-7</v>
      </c>
    </row>
    <row r="1920" spans="1:6" x14ac:dyDescent="0.25">
      <c r="A1920" s="1">
        <v>67174</v>
      </c>
      <c r="B1920" s="2">
        <v>107</v>
      </c>
      <c r="C1920" s="2">
        <v>67</v>
      </c>
      <c r="D1920" s="2">
        <v>1.6E-7</v>
      </c>
      <c r="E1920" s="2" t="s">
        <v>1920</v>
      </c>
      <c r="F1920" s="2">
        <v>1.6E-7</v>
      </c>
    </row>
    <row r="1921" spans="1:6" x14ac:dyDescent="0.25">
      <c r="A1921" s="1">
        <v>67175</v>
      </c>
      <c r="B1921" s="2">
        <v>108</v>
      </c>
      <c r="C1921" s="2">
        <v>67</v>
      </c>
      <c r="D1921" s="2">
        <v>1.6E-7</v>
      </c>
      <c r="E1921" s="2" t="s">
        <v>1921</v>
      </c>
      <c r="F1921" s="2">
        <v>1.6E-7</v>
      </c>
    </row>
    <row r="1922" spans="1:6" x14ac:dyDescent="0.25">
      <c r="A1922" s="1">
        <v>67176</v>
      </c>
      <c r="B1922" s="2">
        <v>109</v>
      </c>
      <c r="C1922" s="2">
        <v>67</v>
      </c>
      <c r="D1922" s="2">
        <v>1.6E-7</v>
      </c>
      <c r="E1922" s="2" t="s">
        <v>1922</v>
      </c>
      <c r="F1922" s="2">
        <v>1.6E-7</v>
      </c>
    </row>
    <row r="1923" spans="1:6" x14ac:dyDescent="0.25">
      <c r="A1923" s="1">
        <v>68144</v>
      </c>
      <c r="B1923" s="2">
        <v>76</v>
      </c>
      <c r="C1923" s="2">
        <v>68</v>
      </c>
      <c r="D1923" s="2">
        <v>1.9999999999999999E-7</v>
      </c>
      <c r="E1923" s="2" t="s">
        <v>1923</v>
      </c>
      <c r="F1923" s="2">
        <v>1.9999999999999999E-7</v>
      </c>
    </row>
    <row r="1924" spans="1:6" x14ac:dyDescent="0.25">
      <c r="A1924" s="1">
        <v>68145</v>
      </c>
      <c r="B1924" s="2">
        <v>77</v>
      </c>
      <c r="C1924" s="2">
        <v>68</v>
      </c>
      <c r="D1924" s="2">
        <v>1</v>
      </c>
      <c r="E1924" s="2" t="s">
        <v>1924</v>
      </c>
      <c r="F1924" s="2">
        <v>1</v>
      </c>
    </row>
    <row r="1925" spans="1:6" x14ac:dyDescent="0.25">
      <c r="A1925" s="1">
        <v>68146</v>
      </c>
      <c r="B1925" s="2">
        <v>78</v>
      </c>
      <c r="C1925" s="2">
        <v>68</v>
      </c>
      <c r="D1925" s="2">
        <v>1.7</v>
      </c>
      <c r="E1925" s="2" t="s">
        <v>1925</v>
      </c>
      <c r="F1925" s="2">
        <v>1.7</v>
      </c>
    </row>
    <row r="1926" spans="1:6" x14ac:dyDescent="0.25">
      <c r="A1926" s="1">
        <v>68147</v>
      </c>
      <c r="B1926" s="2">
        <v>79</v>
      </c>
      <c r="C1926" s="2">
        <v>68</v>
      </c>
      <c r="D1926" s="2">
        <v>2.5</v>
      </c>
      <c r="E1926" s="2" t="s">
        <v>1926</v>
      </c>
      <c r="F1926" s="2">
        <v>2.5</v>
      </c>
    </row>
    <row r="1927" spans="1:6" x14ac:dyDescent="0.25">
      <c r="A1927" s="1">
        <v>68148</v>
      </c>
      <c r="B1927" s="2">
        <v>80</v>
      </c>
      <c r="C1927" s="2">
        <v>68</v>
      </c>
      <c r="D1927" s="2">
        <v>4.5999999999999996</v>
      </c>
      <c r="E1927" s="2" t="s">
        <v>1927</v>
      </c>
      <c r="F1927" s="2">
        <v>4.5999999999999996</v>
      </c>
    </row>
    <row r="1928" spans="1:6" x14ac:dyDescent="0.25">
      <c r="A1928" s="1">
        <v>68149</v>
      </c>
      <c r="B1928" s="2">
        <v>81</v>
      </c>
      <c r="C1928" s="2">
        <v>68</v>
      </c>
      <c r="D1928" s="2">
        <v>4</v>
      </c>
      <c r="E1928" s="2" t="s">
        <v>1928</v>
      </c>
      <c r="F1928" s="2">
        <v>4</v>
      </c>
    </row>
    <row r="1929" spans="1:6" x14ac:dyDescent="0.25">
      <c r="A1929" s="1">
        <v>68150</v>
      </c>
      <c r="B1929" s="2">
        <v>82</v>
      </c>
      <c r="C1929" s="2">
        <v>68</v>
      </c>
      <c r="D1929" s="2">
        <v>18.5</v>
      </c>
      <c r="E1929" s="2" t="s">
        <v>1929</v>
      </c>
      <c r="F1929" s="2">
        <v>18.5</v>
      </c>
    </row>
    <row r="1930" spans="1:6" x14ac:dyDescent="0.25">
      <c r="A1930" s="1">
        <v>68151</v>
      </c>
      <c r="B1930" s="2">
        <v>83</v>
      </c>
      <c r="C1930" s="2">
        <v>68</v>
      </c>
      <c r="D1930" s="2">
        <v>23.5</v>
      </c>
      <c r="E1930" s="2" t="s">
        <v>1930</v>
      </c>
      <c r="F1930" s="2">
        <v>23.5</v>
      </c>
    </row>
    <row r="1931" spans="1:6" x14ac:dyDescent="0.25">
      <c r="A1931" s="1">
        <v>68152</v>
      </c>
      <c r="B1931" s="2">
        <v>84</v>
      </c>
      <c r="C1931" s="2">
        <v>68</v>
      </c>
      <c r="D1931" s="2">
        <v>10.3</v>
      </c>
      <c r="E1931" s="2" t="s">
        <v>1931</v>
      </c>
      <c r="F1931" s="2">
        <v>10.3</v>
      </c>
    </row>
    <row r="1932" spans="1:6" x14ac:dyDescent="0.25">
      <c r="A1932" s="1">
        <v>68153</v>
      </c>
      <c r="B1932" s="2">
        <v>85</v>
      </c>
      <c r="C1932" s="2">
        <v>68</v>
      </c>
      <c r="D1932" s="2">
        <v>37.1</v>
      </c>
      <c r="E1932" s="2" t="s">
        <v>1932</v>
      </c>
      <c r="F1932" s="2">
        <v>37.1</v>
      </c>
    </row>
    <row r="1933" spans="1:6" x14ac:dyDescent="0.25">
      <c r="A1933" s="1">
        <v>68154</v>
      </c>
      <c r="B1933" s="2">
        <v>86</v>
      </c>
      <c r="C1933" s="2">
        <v>68</v>
      </c>
      <c r="D1933" s="2">
        <v>223.8</v>
      </c>
      <c r="E1933" s="2" t="s">
        <v>1933</v>
      </c>
      <c r="F1933" s="2">
        <v>223.8</v>
      </c>
    </row>
    <row r="1934" spans="1:6" x14ac:dyDescent="0.25">
      <c r="A1934" s="1">
        <v>68155</v>
      </c>
      <c r="B1934" s="2">
        <v>87</v>
      </c>
      <c r="C1934" s="2">
        <v>68</v>
      </c>
      <c r="D1934" s="2">
        <v>318</v>
      </c>
      <c r="E1934" s="2" t="s">
        <v>1934</v>
      </c>
      <c r="F1934" s="2">
        <v>318</v>
      </c>
    </row>
    <row r="1935" spans="1:6" x14ac:dyDescent="0.25">
      <c r="A1935" s="1">
        <v>68156</v>
      </c>
      <c r="B1935" s="2">
        <v>88</v>
      </c>
      <c r="C1935" s="2">
        <v>68</v>
      </c>
      <c r="D1935" s="2">
        <v>1170</v>
      </c>
      <c r="E1935" s="2" t="s">
        <v>1935</v>
      </c>
      <c r="F1935" s="2">
        <v>1170</v>
      </c>
    </row>
    <row r="1936" spans="1:6" x14ac:dyDescent="0.25">
      <c r="A1936" s="1">
        <v>68157</v>
      </c>
      <c r="B1936" s="2">
        <v>89</v>
      </c>
      <c r="C1936" s="2">
        <v>68</v>
      </c>
      <c r="D1936" s="2">
        <v>1119</v>
      </c>
      <c r="E1936" s="2" t="s">
        <v>1936</v>
      </c>
      <c r="F1936" s="2">
        <v>1119</v>
      </c>
    </row>
    <row r="1937" spans="1:6" x14ac:dyDescent="0.25">
      <c r="A1937" s="1">
        <v>68158</v>
      </c>
      <c r="B1937" s="2">
        <v>90</v>
      </c>
      <c r="C1937" s="2">
        <v>68</v>
      </c>
      <c r="D1937" s="2">
        <v>8244</v>
      </c>
      <c r="E1937" s="2" t="s">
        <v>1937</v>
      </c>
      <c r="F1937" s="2">
        <v>8244</v>
      </c>
    </row>
    <row r="1938" spans="1:6" x14ac:dyDescent="0.25">
      <c r="A1938" s="1">
        <v>68159</v>
      </c>
      <c r="B1938" s="2">
        <v>91</v>
      </c>
      <c r="C1938" s="2">
        <v>68</v>
      </c>
      <c r="D1938" s="2">
        <v>2160</v>
      </c>
      <c r="E1938" s="2" t="s">
        <v>1938</v>
      </c>
      <c r="F1938" s="2">
        <v>2160</v>
      </c>
    </row>
    <row r="1939" spans="1:6" x14ac:dyDescent="0.25">
      <c r="A1939" s="1">
        <v>68160</v>
      </c>
      <c r="B1939" s="2">
        <v>92</v>
      </c>
      <c r="C1939" s="2">
        <v>68</v>
      </c>
      <c r="D1939" s="2">
        <v>102888</v>
      </c>
      <c r="E1939" s="2" t="s">
        <v>1939</v>
      </c>
      <c r="F1939" s="2">
        <v>102888</v>
      </c>
    </row>
    <row r="1940" spans="1:6" x14ac:dyDescent="0.25">
      <c r="A1940" s="1">
        <v>68161</v>
      </c>
      <c r="B1940" s="2">
        <v>93</v>
      </c>
      <c r="C1940" s="2">
        <v>68</v>
      </c>
      <c r="D1940" s="2">
        <v>11556</v>
      </c>
      <c r="E1940" s="2" t="s">
        <v>1940</v>
      </c>
      <c r="F1940" s="2">
        <v>11556</v>
      </c>
    </row>
    <row r="1941" spans="1:6" x14ac:dyDescent="0.25">
      <c r="A1941" s="1">
        <v>68162</v>
      </c>
      <c r="B1941" s="2">
        <v>94</v>
      </c>
      <c r="C1941" s="2">
        <v>68</v>
      </c>
      <c r="D1941" s="2" t="s">
        <v>3</v>
      </c>
      <c r="E1941" s="2" t="s">
        <v>1941</v>
      </c>
      <c r="F1941" s="2" t="s">
        <v>3</v>
      </c>
    </row>
    <row r="1942" spans="1:6" x14ac:dyDescent="0.25">
      <c r="A1942" s="1">
        <v>68163</v>
      </c>
      <c r="B1942" s="2">
        <v>95</v>
      </c>
      <c r="C1942" s="2">
        <v>68</v>
      </c>
      <c r="D1942" s="2">
        <v>4500</v>
      </c>
      <c r="E1942" s="2" t="s">
        <v>1942</v>
      </c>
      <c r="F1942" s="2">
        <v>4500</v>
      </c>
    </row>
    <row r="1943" spans="1:6" x14ac:dyDescent="0.25">
      <c r="A1943" s="1">
        <v>68164</v>
      </c>
      <c r="B1943" s="2">
        <v>96</v>
      </c>
      <c r="C1943" s="2">
        <v>68</v>
      </c>
      <c r="D1943" s="2" t="s">
        <v>3</v>
      </c>
      <c r="E1943" s="2" t="s">
        <v>1943</v>
      </c>
      <c r="F1943" s="2" t="s">
        <v>3</v>
      </c>
    </row>
    <row r="1944" spans="1:6" x14ac:dyDescent="0.25">
      <c r="A1944" s="1">
        <v>68165</v>
      </c>
      <c r="B1944" s="2">
        <v>97</v>
      </c>
      <c r="C1944" s="2">
        <v>68</v>
      </c>
      <c r="D1944" s="2">
        <v>37296</v>
      </c>
      <c r="E1944" s="2" t="s">
        <v>1944</v>
      </c>
      <c r="F1944" s="2">
        <v>37296</v>
      </c>
    </row>
    <row r="1945" spans="1:6" x14ac:dyDescent="0.25">
      <c r="A1945" s="1">
        <v>68166</v>
      </c>
      <c r="B1945" s="2">
        <v>98</v>
      </c>
      <c r="C1945" s="2">
        <v>68</v>
      </c>
      <c r="D1945" s="2" t="s">
        <v>3</v>
      </c>
      <c r="E1945" s="2" t="s">
        <v>1945</v>
      </c>
      <c r="F1945" s="2" t="s">
        <v>3</v>
      </c>
    </row>
    <row r="1946" spans="1:6" x14ac:dyDescent="0.25">
      <c r="A1946" s="1">
        <v>68167</v>
      </c>
      <c r="B1946" s="2">
        <v>99</v>
      </c>
      <c r="C1946" s="2">
        <v>68</v>
      </c>
      <c r="D1946" s="2" t="s">
        <v>3</v>
      </c>
      <c r="E1946" s="2" t="s">
        <v>1946</v>
      </c>
      <c r="F1946" s="2" t="s">
        <v>3</v>
      </c>
    </row>
    <row r="1947" spans="1:6" x14ac:dyDescent="0.25">
      <c r="A1947" s="1">
        <v>68168</v>
      </c>
      <c r="B1947" s="2">
        <v>100</v>
      </c>
      <c r="C1947" s="2">
        <v>68</v>
      </c>
      <c r="D1947" s="2" t="s">
        <v>3</v>
      </c>
      <c r="E1947" s="2" t="s">
        <v>1947</v>
      </c>
      <c r="F1947" s="2" t="s">
        <v>3</v>
      </c>
    </row>
    <row r="1948" spans="1:6" x14ac:dyDescent="0.25">
      <c r="A1948" s="1">
        <v>68169</v>
      </c>
      <c r="B1948" s="2">
        <v>101</v>
      </c>
      <c r="C1948" s="2">
        <v>68</v>
      </c>
      <c r="D1948" s="2">
        <v>811468.799999999</v>
      </c>
      <c r="E1948" s="2" t="s">
        <v>1948</v>
      </c>
      <c r="F1948" s="2">
        <v>811468.799999999</v>
      </c>
    </row>
    <row r="1949" spans="1:6" x14ac:dyDescent="0.25">
      <c r="A1949" s="1">
        <v>68170</v>
      </c>
      <c r="B1949" s="2">
        <v>102</v>
      </c>
      <c r="C1949" s="2">
        <v>68</v>
      </c>
      <c r="D1949" s="2" t="s">
        <v>3</v>
      </c>
      <c r="E1949" s="2" t="s">
        <v>1949</v>
      </c>
      <c r="F1949" s="2" t="s">
        <v>3</v>
      </c>
    </row>
    <row r="1950" spans="1:6" x14ac:dyDescent="0.25">
      <c r="A1950" s="1">
        <v>68171</v>
      </c>
      <c r="B1950" s="2">
        <v>103</v>
      </c>
      <c r="C1950" s="2">
        <v>68</v>
      </c>
      <c r="D1950" s="2">
        <v>27057.599999999999</v>
      </c>
      <c r="E1950" s="2" t="s">
        <v>1950</v>
      </c>
      <c r="F1950" s="2">
        <v>27057.599999999999</v>
      </c>
    </row>
    <row r="1951" spans="1:6" x14ac:dyDescent="0.25">
      <c r="A1951" s="1">
        <v>68172</v>
      </c>
      <c r="B1951" s="2">
        <v>104</v>
      </c>
      <c r="C1951" s="2">
        <v>68</v>
      </c>
      <c r="D1951" s="2">
        <v>177480</v>
      </c>
      <c r="E1951" s="2" t="s">
        <v>1951</v>
      </c>
      <c r="F1951" s="2">
        <v>177480</v>
      </c>
    </row>
    <row r="1952" spans="1:6" x14ac:dyDescent="0.25">
      <c r="A1952" s="1">
        <v>68173</v>
      </c>
      <c r="B1952" s="2">
        <v>105</v>
      </c>
      <c r="C1952" s="2">
        <v>68</v>
      </c>
      <c r="D1952" s="2">
        <v>84</v>
      </c>
      <c r="E1952" s="2" t="s">
        <v>1952</v>
      </c>
      <c r="F1952" s="2">
        <v>84</v>
      </c>
    </row>
    <row r="1953" spans="1:6" x14ac:dyDescent="0.25">
      <c r="A1953" s="1">
        <v>68174</v>
      </c>
      <c r="B1953" s="2">
        <v>106</v>
      </c>
      <c r="C1953" s="2">
        <v>68</v>
      </c>
      <c r="D1953" s="2">
        <v>192</v>
      </c>
      <c r="E1953" s="2" t="s">
        <v>1953</v>
      </c>
      <c r="F1953" s="2">
        <v>192</v>
      </c>
    </row>
    <row r="1954" spans="1:6" x14ac:dyDescent="0.25">
      <c r="A1954" s="1">
        <v>68175</v>
      </c>
      <c r="B1954" s="2">
        <v>107</v>
      </c>
      <c r="C1954" s="2">
        <v>68</v>
      </c>
      <c r="D1954" s="2">
        <v>72</v>
      </c>
      <c r="E1954" s="2" t="s">
        <v>1954</v>
      </c>
      <c r="F1954" s="2">
        <v>72</v>
      </c>
    </row>
    <row r="1955" spans="1:6" x14ac:dyDescent="0.25">
      <c r="A1955" s="1">
        <v>68176</v>
      </c>
      <c r="B1955" s="2">
        <v>108</v>
      </c>
      <c r="C1955" s="2">
        <v>68</v>
      </c>
      <c r="D1955" s="2">
        <v>1.6E-7</v>
      </c>
      <c r="E1955" s="2" t="s">
        <v>1955</v>
      </c>
      <c r="F1955" s="2">
        <v>1.6E-7</v>
      </c>
    </row>
    <row r="1956" spans="1:6" x14ac:dyDescent="0.25">
      <c r="A1956" s="1">
        <v>68177</v>
      </c>
      <c r="B1956" s="2">
        <v>109</v>
      </c>
      <c r="C1956" s="2">
        <v>68</v>
      </c>
      <c r="D1956" s="2">
        <v>1.6E-7</v>
      </c>
      <c r="E1956" s="2" t="s">
        <v>1956</v>
      </c>
      <c r="F1956" s="2">
        <v>1.6E-7</v>
      </c>
    </row>
    <row r="1957" spans="1:6" x14ac:dyDescent="0.25">
      <c r="A1957" s="1">
        <v>68178</v>
      </c>
      <c r="B1957" s="2">
        <v>110</v>
      </c>
      <c r="C1957" s="2">
        <v>68</v>
      </c>
      <c r="D1957" s="2">
        <v>1.6E-7</v>
      </c>
      <c r="E1957" s="2" t="s">
        <v>1957</v>
      </c>
      <c r="F1957" s="2">
        <v>1.6E-7</v>
      </c>
    </row>
    <row r="1958" spans="1:6" x14ac:dyDescent="0.25">
      <c r="A1958" s="1">
        <v>69144</v>
      </c>
      <c r="B1958" s="2">
        <v>75</v>
      </c>
      <c r="C1958" s="2">
        <v>69</v>
      </c>
      <c r="D1958" s="2">
        <v>1.8999999999999901E-6</v>
      </c>
      <c r="E1958" s="2" t="s">
        <v>1958</v>
      </c>
      <c r="F1958" s="2">
        <v>1.8999999999999901E-6</v>
      </c>
    </row>
    <row r="1959" spans="1:6" x14ac:dyDescent="0.25">
      <c r="A1959" s="1">
        <v>69145</v>
      </c>
      <c r="B1959" s="2">
        <v>76</v>
      </c>
      <c r="C1959" s="2">
        <v>69</v>
      </c>
      <c r="D1959" s="2">
        <v>3.16999999999999E-6</v>
      </c>
      <c r="E1959" s="2" t="s">
        <v>1959</v>
      </c>
      <c r="F1959" s="2">
        <v>3.16999999999999E-6</v>
      </c>
    </row>
    <row r="1960" spans="1:6" x14ac:dyDescent="0.25">
      <c r="A1960" s="1">
        <v>69146</v>
      </c>
      <c r="B1960" s="2">
        <v>77</v>
      </c>
      <c r="C1960" s="2">
        <v>69</v>
      </c>
      <c r="D1960" s="2">
        <v>6.8000000000000005E-2</v>
      </c>
      <c r="E1960" s="2" t="s">
        <v>1960</v>
      </c>
      <c r="F1960" s="2">
        <v>6.8000000000000005E-2</v>
      </c>
    </row>
    <row r="1961" spans="1:6" x14ac:dyDescent="0.25">
      <c r="A1961" s="1">
        <v>69147</v>
      </c>
      <c r="B1961" s="2">
        <v>78</v>
      </c>
      <c r="C1961" s="2">
        <v>69</v>
      </c>
      <c r="D1961" s="2">
        <v>0.57999999999999996</v>
      </c>
      <c r="E1961" s="2" t="s">
        <v>1961</v>
      </c>
      <c r="F1961" s="2">
        <v>0.57999999999999996</v>
      </c>
    </row>
    <row r="1962" spans="1:6" x14ac:dyDescent="0.25">
      <c r="A1962" s="1">
        <v>69148</v>
      </c>
      <c r="B1962" s="2">
        <v>79</v>
      </c>
      <c r="C1962" s="2">
        <v>69</v>
      </c>
      <c r="D1962" s="2">
        <v>0.7</v>
      </c>
      <c r="E1962" s="2" t="s">
        <v>1962</v>
      </c>
      <c r="F1962" s="2">
        <v>0.7</v>
      </c>
    </row>
    <row r="1963" spans="1:6" x14ac:dyDescent="0.25">
      <c r="A1963" s="1">
        <v>69149</v>
      </c>
      <c r="B1963" s="2">
        <v>80</v>
      </c>
      <c r="C1963" s="2">
        <v>69</v>
      </c>
      <c r="D1963" s="2">
        <v>0.9</v>
      </c>
      <c r="E1963" s="2" t="s">
        <v>1963</v>
      </c>
      <c r="F1963" s="2">
        <v>0.9</v>
      </c>
    </row>
    <row r="1964" spans="1:6" x14ac:dyDescent="0.25">
      <c r="A1964" s="1">
        <v>69150</v>
      </c>
      <c r="B1964" s="2">
        <v>81</v>
      </c>
      <c r="C1964" s="2">
        <v>69</v>
      </c>
      <c r="D1964" s="2">
        <v>2.2000000000000002</v>
      </c>
      <c r="E1964" s="2" t="s">
        <v>1964</v>
      </c>
      <c r="F1964" s="2">
        <v>2.2000000000000002</v>
      </c>
    </row>
    <row r="1965" spans="1:6" x14ac:dyDescent="0.25">
      <c r="A1965" s="1">
        <v>69151</v>
      </c>
      <c r="B1965" s="2">
        <v>82</v>
      </c>
      <c r="C1965" s="2">
        <v>69</v>
      </c>
      <c r="D1965" s="2">
        <v>4.17</v>
      </c>
      <c r="E1965" s="2" t="s">
        <v>1965</v>
      </c>
      <c r="F1965" s="2">
        <v>4.17</v>
      </c>
    </row>
    <row r="1966" spans="1:6" x14ac:dyDescent="0.25">
      <c r="A1966" s="1">
        <v>69152</v>
      </c>
      <c r="B1966" s="2">
        <v>83</v>
      </c>
      <c r="C1966" s="2">
        <v>69</v>
      </c>
      <c r="D1966" s="2">
        <v>8</v>
      </c>
      <c r="E1966" s="2" t="s">
        <v>1966</v>
      </c>
      <c r="F1966" s="2">
        <v>8</v>
      </c>
    </row>
    <row r="1967" spans="1:6" x14ac:dyDescent="0.25">
      <c r="A1967" s="1">
        <v>69153</v>
      </c>
      <c r="B1967" s="2">
        <v>84</v>
      </c>
      <c r="C1967" s="2">
        <v>69</v>
      </c>
      <c r="D1967" s="2">
        <v>1.48</v>
      </c>
      <c r="E1967" s="2" t="s">
        <v>1967</v>
      </c>
      <c r="F1967" s="2">
        <v>1.48</v>
      </c>
    </row>
    <row r="1968" spans="1:6" x14ac:dyDescent="0.25">
      <c r="A1968" s="1">
        <v>69154</v>
      </c>
      <c r="B1968" s="2">
        <v>85</v>
      </c>
      <c r="C1968" s="2">
        <v>69</v>
      </c>
      <c r="D1968" s="2">
        <v>8.1</v>
      </c>
      <c r="E1968" s="2" t="s">
        <v>1968</v>
      </c>
      <c r="F1968" s="2">
        <v>8.1</v>
      </c>
    </row>
    <row r="1969" spans="1:6" x14ac:dyDescent="0.25">
      <c r="A1969" s="1">
        <v>69155</v>
      </c>
      <c r="B1969" s="2">
        <v>86</v>
      </c>
      <c r="C1969" s="2">
        <v>69</v>
      </c>
      <c r="D1969" s="2">
        <v>21.6</v>
      </c>
      <c r="E1969" s="2" t="s">
        <v>1969</v>
      </c>
      <c r="F1969" s="2">
        <v>21.6</v>
      </c>
    </row>
    <row r="1970" spans="1:6" x14ac:dyDescent="0.25">
      <c r="A1970" s="1">
        <v>69156</v>
      </c>
      <c r="B1970" s="2">
        <v>87</v>
      </c>
      <c r="C1970" s="2">
        <v>69</v>
      </c>
      <c r="D1970" s="2">
        <v>83.8</v>
      </c>
      <c r="E1970" s="2" t="s">
        <v>1970</v>
      </c>
      <c r="F1970" s="2">
        <v>83.8</v>
      </c>
    </row>
    <row r="1971" spans="1:6" x14ac:dyDescent="0.25">
      <c r="A1971" s="1">
        <v>69157</v>
      </c>
      <c r="B1971" s="2">
        <v>88</v>
      </c>
      <c r="C1971" s="2">
        <v>69</v>
      </c>
      <c r="D1971" s="2">
        <v>217.79999999999899</v>
      </c>
      <c r="E1971" s="2" t="s">
        <v>1971</v>
      </c>
      <c r="F1971" s="2">
        <v>217.79999999999899</v>
      </c>
    </row>
    <row r="1972" spans="1:6" x14ac:dyDescent="0.25">
      <c r="A1972" s="1">
        <v>69158</v>
      </c>
      <c r="B1972" s="2">
        <v>89</v>
      </c>
      <c r="C1972" s="2">
        <v>69</v>
      </c>
      <c r="D1972" s="2">
        <v>238.8</v>
      </c>
      <c r="E1972" s="2" t="s">
        <v>1972</v>
      </c>
      <c r="F1972" s="2">
        <v>238.8</v>
      </c>
    </row>
    <row r="1973" spans="1:6" x14ac:dyDescent="0.25">
      <c r="A1973" s="1">
        <v>69159</v>
      </c>
      <c r="B1973" s="2">
        <v>90</v>
      </c>
      <c r="C1973" s="2">
        <v>69</v>
      </c>
      <c r="D1973" s="2">
        <v>547.79999999999995</v>
      </c>
      <c r="E1973" s="2" t="s">
        <v>1973</v>
      </c>
      <c r="F1973" s="2">
        <v>547.79999999999995</v>
      </c>
    </row>
    <row r="1974" spans="1:6" x14ac:dyDescent="0.25">
      <c r="A1974" s="1">
        <v>69160</v>
      </c>
      <c r="B1974" s="2">
        <v>91</v>
      </c>
      <c r="C1974" s="2">
        <v>69</v>
      </c>
      <c r="D1974" s="2">
        <v>564</v>
      </c>
      <c r="E1974" s="2" t="s">
        <v>1974</v>
      </c>
      <c r="F1974" s="2">
        <v>564</v>
      </c>
    </row>
    <row r="1975" spans="1:6" x14ac:dyDescent="0.25">
      <c r="A1975" s="1">
        <v>69161</v>
      </c>
      <c r="B1975" s="2">
        <v>92</v>
      </c>
      <c r="C1975" s="2">
        <v>69</v>
      </c>
      <c r="D1975" s="2">
        <v>1812</v>
      </c>
      <c r="E1975" s="2" t="s">
        <v>1975</v>
      </c>
      <c r="F1975" s="2">
        <v>1812</v>
      </c>
    </row>
    <row r="1976" spans="1:6" x14ac:dyDescent="0.25">
      <c r="A1976" s="1">
        <v>69162</v>
      </c>
      <c r="B1976" s="2">
        <v>93</v>
      </c>
      <c r="C1976" s="2">
        <v>69</v>
      </c>
      <c r="D1976" s="2">
        <v>1302</v>
      </c>
      <c r="E1976" s="2" t="s">
        <v>1976</v>
      </c>
      <c r="F1976" s="2">
        <v>1302</v>
      </c>
    </row>
    <row r="1977" spans="1:6" x14ac:dyDescent="0.25">
      <c r="A1977" s="1">
        <v>69163</v>
      </c>
      <c r="B1977" s="2">
        <v>94</v>
      </c>
      <c r="C1977" s="2">
        <v>69</v>
      </c>
      <c r="D1977" s="2">
        <v>6516</v>
      </c>
      <c r="E1977" s="2" t="s">
        <v>1977</v>
      </c>
      <c r="F1977" s="2">
        <v>6516</v>
      </c>
    </row>
    <row r="1978" spans="1:6" x14ac:dyDescent="0.25">
      <c r="A1978" s="1">
        <v>69164</v>
      </c>
      <c r="B1978" s="2">
        <v>95</v>
      </c>
      <c r="C1978" s="2">
        <v>69</v>
      </c>
      <c r="D1978" s="2">
        <v>120</v>
      </c>
      <c r="E1978" s="2" t="s">
        <v>1978</v>
      </c>
      <c r="F1978" s="2">
        <v>120</v>
      </c>
    </row>
    <row r="1979" spans="1:6" x14ac:dyDescent="0.25">
      <c r="A1979" s="1">
        <v>69165</v>
      </c>
      <c r="B1979" s="2">
        <v>96</v>
      </c>
      <c r="C1979" s="2">
        <v>69</v>
      </c>
      <c r="D1979" s="2">
        <v>108216</v>
      </c>
      <c r="E1979" s="2" t="s">
        <v>1979</v>
      </c>
      <c r="F1979" s="2">
        <v>108216</v>
      </c>
    </row>
    <row r="1980" spans="1:6" x14ac:dyDescent="0.25">
      <c r="A1980" s="1">
        <v>69166</v>
      </c>
      <c r="B1980" s="2">
        <v>97</v>
      </c>
      <c r="C1980" s="2">
        <v>69</v>
      </c>
      <c r="D1980" s="2">
        <v>27720</v>
      </c>
      <c r="E1980" s="2" t="s">
        <v>1980</v>
      </c>
      <c r="F1980" s="2">
        <v>27720</v>
      </c>
    </row>
    <row r="1981" spans="1:6" x14ac:dyDescent="0.25">
      <c r="A1981" s="1">
        <v>69167</v>
      </c>
      <c r="B1981" s="2">
        <v>98</v>
      </c>
      <c r="C1981" s="2">
        <v>69</v>
      </c>
      <c r="D1981" s="2">
        <v>799200</v>
      </c>
      <c r="E1981" s="2" t="s">
        <v>1981</v>
      </c>
      <c r="F1981" s="2">
        <v>799200</v>
      </c>
    </row>
    <row r="1982" spans="1:6" x14ac:dyDescent="0.25">
      <c r="A1982" s="1">
        <v>69168</v>
      </c>
      <c r="B1982" s="2">
        <v>99</v>
      </c>
      <c r="C1982" s="2">
        <v>69</v>
      </c>
      <c r="D1982" s="2">
        <v>8043839.9999999898</v>
      </c>
      <c r="E1982" s="2" t="s">
        <v>1982</v>
      </c>
      <c r="F1982" s="2">
        <v>8043839.9999999898</v>
      </c>
    </row>
    <row r="1983" spans="1:6" x14ac:dyDescent="0.25">
      <c r="A1983" s="1">
        <v>69169</v>
      </c>
      <c r="B1983" s="2">
        <v>100</v>
      </c>
      <c r="C1983" s="2">
        <v>69</v>
      </c>
      <c r="D1983" s="2" t="s">
        <v>3</v>
      </c>
      <c r="E1983" s="2" t="s">
        <v>1983</v>
      </c>
      <c r="F1983" s="2" t="s">
        <v>3</v>
      </c>
    </row>
    <row r="1984" spans="1:6" x14ac:dyDescent="0.25">
      <c r="A1984" s="1">
        <v>69170</v>
      </c>
      <c r="B1984" s="2">
        <v>101</v>
      </c>
      <c r="C1984" s="2">
        <v>69</v>
      </c>
      <c r="D1984" s="2">
        <v>11111040</v>
      </c>
      <c r="E1984" s="2" t="s">
        <v>1984</v>
      </c>
      <c r="F1984" s="2">
        <v>11111040</v>
      </c>
    </row>
    <row r="1985" spans="1:6" x14ac:dyDescent="0.25">
      <c r="A1985" s="1">
        <v>69171</v>
      </c>
      <c r="B1985" s="2">
        <v>102</v>
      </c>
      <c r="C1985" s="2">
        <v>69</v>
      </c>
      <c r="D1985" s="2">
        <v>60590592</v>
      </c>
      <c r="E1985" s="2" t="s">
        <v>1985</v>
      </c>
      <c r="F1985" s="2">
        <v>60590592</v>
      </c>
    </row>
    <row r="1986" spans="1:6" x14ac:dyDescent="0.25">
      <c r="A1986" s="1">
        <v>69172</v>
      </c>
      <c r="B1986" s="2">
        <v>103</v>
      </c>
      <c r="C1986" s="2">
        <v>69</v>
      </c>
      <c r="D1986" s="2">
        <v>228960</v>
      </c>
      <c r="E1986" s="2" t="s">
        <v>1986</v>
      </c>
      <c r="F1986" s="2">
        <v>228960</v>
      </c>
    </row>
    <row r="1987" spans="1:6" x14ac:dyDescent="0.25">
      <c r="A1987" s="1">
        <v>69173</v>
      </c>
      <c r="B1987" s="2">
        <v>104</v>
      </c>
      <c r="C1987" s="2">
        <v>69</v>
      </c>
      <c r="D1987" s="2">
        <v>29664</v>
      </c>
      <c r="E1987" s="2" t="s">
        <v>1987</v>
      </c>
      <c r="F1987" s="2">
        <v>29664</v>
      </c>
    </row>
    <row r="1988" spans="1:6" x14ac:dyDescent="0.25">
      <c r="A1988" s="1">
        <v>69174</v>
      </c>
      <c r="B1988" s="2">
        <v>105</v>
      </c>
      <c r="C1988" s="2">
        <v>69</v>
      </c>
      <c r="D1988" s="2">
        <v>324</v>
      </c>
      <c r="E1988" s="2" t="s">
        <v>1988</v>
      </c>
      <c r="F1988" s="2">
        <v>324</v>
      </c>
    </row>
    <row r="1989" spans="1:6" x14ac:dyDescent="0.25">
      <c r="A1989" s="1">
        <v>69175</v>
      </c>
      <c r="B1989" s="2">
        <v>106</v>
      </c>
      <c r="C1989" s="2">
        <v>69</v>
      </c>
      <c r="D1989" s="2">
        <v>912</v>
      </c>
      <c r="E1989" s="2" t="s">
        <v>1989</v>
      </c>
      <c r="F1989" s="2">
        <v>912</v>
      </c>
    </row>
    <row r="1990" spans="1:6" x14ac:dyDescent="0.25">
      <c r="A1990" s="1">
        <v>69176</v>
      </c>
      <c r="B1990" s="2">
        <v>107</v>
      </c>
      <c r="C1990" s="2">
        <v>69</v>
      </c>
      <c r="D1990" s="2">
        <v>114</v>
      </c>
      <c r="E1990" s="2" t="s">
        <v>1990</v>
      </c>
      <c r="F1990" s="2">
        <v>114</v>
      </c>
    </row>
    <row r="1991" spans="1:6" x14ac:dyDescent="0.25">
      <c r="A1991" s="1">
        <v>69177</v>
      </c>
      <c r="B1991" s="2">
        <v>108</v>
      </c>
      <c r="C1991" s="2">
        <v>69</v>
      </c>
      <c r="D1991" s="2">
        <v>90</v>
      </c>
      <c r="E1991" s="2" t="s">
        <v>1991</v>
      </c>
      <c r="F1991" s="2">
        <v>90</v>
      </c>
    </row>
    <row r="1992" spans="1:6" x14ac:dyDescent="0.25">
      <c r="A1992" s="1">
        <v>69178</v>
      </c>
      <c r="B1992" s="2">
        <v>109</v>
      </c>
      <c r="C1992" s="2">
        <v>69</v>
      </c>
      <c r="D1992" s="2">
        <v>2.9999999999999999E-7</v>
      </c>
      <c r="E1992" s="2" t="s">
        <v>1992</v>
      </c>
      <c r="F1992" s="2">
        <v>2.9999999999999999E-7</v>
      </c>
    </row>
    <row r="1993" spans="1:6" x14ac:dyDescent="0.25">
      <c r="A1993" s="1">
        <v>69179</v>
      </c>
      <c r="B1993" s="2">
        <v>110</v>
      </c>
      <c r="C1993" s="2">
        <v>69</v>
      </c>
      <c r="D1993" s="2">
        <v>1.6E-7</v>
      </c>
      <c r="E1993" s="2" t="s">
        <v>1993</v>
      </c>
      <c r="F1993" s="2">
        <v>1.6E-7</v>
      </c>
    </row>
    <row r="1994" spans="1:6" x14ac:dyDescent="0.25">
      <c r="A1994" s="1">
        <v>69180</v>
      </c>
      <c r="B1994" s="2">
        <v>111</v>
      </c>
      <c r="C1994" s="2">
        <v>69</v>
      </c>
      <c r="D1994" s="2">
        <v>1.6E-7</v>
      </c>
      <c r="E1994" s="2" t="s">
        <v>1994</v>
      </c>
      <c r="F1994" s="2">
        <v>1.6E-7</v>
      </c>
    </row>
    <row r="1995" spans="1:6" x14ac:dyDescent="0.25">
      <c r="A1995" s="1">
        <v>69181</v>
      </c>
      <c r="B1995" s="2">
        <v>112</v>
      </c>
      <c r="C1995" s="2">
        <v>69</v>
      </c>
      <c r="D1995" s="2">
        <v>1.6E-7</v>
      </c>
      <c r="E1995" s="2" t="s">
        <v>1995</v>
      </c>
      <c r="F1995" s="2">
        <v>1.6E-7</v>
      </c>
    </row>
    <row r="1996" spans="1:6" x14ac:dyDescent="0.25">
      <c r="A1996" s="1">
        <v>70149</v>
      </c>
      <c r="B1996" s="2">
        <v>79</v>
      </c>
      <c r="C1996" s="2">
        <v>70</v>
      </c>
      <c r="D1996" s="2">
        <v>0.7</v>
      </c>
      <c r="E1996" s="2" t="s">
        <v>1996</v>
      </c>
      <c r="F1996" s="2">
        <v>0.7</v>
      </c>
    </row>
    <row r="1997" spans="1:6" x14ac:dyDescent="0.25">
      <c r="A1997" s="1">
        <v>70150</v>
      </c>
      <c r="B1997" s="2">
        <v>80</v>
      </c>
      <c r="C1997" s="2">
        <v>70</v>
      </c>
      <c r="D1997" s="2">
        <v>1.9999999999999999E-7</v>
      </c>
      <c r="E1997" s="2" t="s">
        <v>1997</v>
      </c>
      <c r="F1997" s="2">
        <v>1.9999999999999999E-7</v>
      </c>
    </row>
    <row r="1998" spans="1:6" x14ac:dyDescent="0.25">
      <c r="A1998" s="1">
        <v>70151</v>
      </c>
      <c r="B1998" s="2">
        <v>81</v>
      </c>
      <c r="C1998" s="2">
        <v>70</v>
      </c>
      <c r="D1998" s="2">
        <v>1.6</v>
      </c>
      <c r="E1998" s="2" t="s">
        <v>1998</v>
      </c>
      <c r="F1998" s="2">
        <v>1.6</v>
      </c>
    </row>
    <row r="1999" spans="1:6" x14ac:dyDescent="0.25">
      <c r="A1999" s="1">
        <v>70152</v>
      </c>
      <c r="B1999" s="2">
        <v>82</v>
      </c>
      <c r="C1999" s="2">
        <v>70</v>
      </c>
      <c r="D1999" s="2">
        <v>3.03</v>
      </c>
      <c r="E1999" s="2" t="s">
        <v>1999</v>
      </c>
      <c r="F1999" s="2">
        <v>3.03</v>
      </c>
    </row>
    <row r="2000" spans="1:6" x14ac:dyDescent="0.25">
      <c r="A2000" s="1">
        <v>70153</v>
      </c>
      <c r="B2000" s="2">
        <v>83</v>
      </c>
      <c r="C2000" s="2">
        <v>70</v>
      </c>
      <c r="D2000" s="2">
        <v>4.2</v>
      </c>
      <c r="E2000" s="2" t="s">
        <v>2000</v>
      </c>
      <c r="F2000" s="2">
        <v>4.2</v>
      </c>
    </row>
    <row r="2001" spans="1:6" x14ac:dyDescent="0.25">
      <c r="A2001" s="1">
        <v>70154</v>
      </c>
      <c r="B2001" s="2">
        <v>84</v>
      </c>
      <c r="C2001" s="2">
        <v>70</v>
      </c>
      <c r="D2001" s="2">
        <v>0.40899999999999997</v>
      </c>
      <c r="E2001" s="2" t="s">
        <v>2001</v>
      </c>
      <c r="F2001" s="2">
        <v>0.40899999999999997</v>
      </c>
    </row>
    <row r="2002" spans="1:6" x14ac:dyDescent="0.25">
      <c r="A2002" s="1">
        <v>70155</v>
      </c>
      <c r="B2002" s="2">
        <v>85</v>
      </c>
      <c r="C2002" s="2">
        <v>70</v>
      </c>
      <c r="D2002" s="2">
        <v>1.7929999999999999</v>
      </c>
      <c r="E2002" s="2" t="s">
        <v>2002</v>
      </c>
      <c r="F2002" s="2">
        <v>1.7929999999999999</v>
      </c>
    </row>
    <row r="2003" spans="1:6" x14ac:dyDescent="0.25">
      <c r="A2003" s="1">
        <v>70156</v>
      </c>
      <c r="B2003" s="2">
        <v>86</v>
      </c>
      <c r="C2003" s="2">
        <v>70</v>
      </c>
      <c r="D2003" s="2">
        <v>26.1</v>
      </c>
      <c r="E2003" s="2" t="s">
        <v>2003</v>
      </c>
      <c r="F2003" s="2">
        <v>26.1</v>
      </c>
    </row>
    <row r="2004" spans="1:6" x14ac:dyDescent="0.25">
      <c r="A2004" s="1">
        <v>70157</v>
      </c>
      <c r="B2004" s="2">
        <v>87</v>
      </c>
      <c r="C2004" s="2">
        <v>70</v>
      </c>
      <c r="D2004" s="2">
        <v>38.6</v>
      </c>
      <c r="E2004" s="2" t="s">
        <v>2004</v>
      </c>
      <c r="F2004" s="2">
        <v>38.6</v>
      </c>
    </row>
    <row r="2005" spans="1:6" x14ac:dyDescent="0.25">
      <c r="A2005" s="1">
        <v>70158</v>
      </c>
      <c r="B2005" s="2">
        <v>88</v>
      </c>
      <c r="C2005" s="2">
        <v>70</v>
      </c>
      <c r="D2005" s="2">
        <v>89.4</v>
      </c>
      <c r="E2005" s="2" t="s">
        <v>2005</v>
      </c>
      <c r="F2005" s="2">
        <v>89.4</v>
      </c>
    </row>
    <row r="2006" spans="1:6" x14ac:dyDescent="0.25">
      <c r="A2006" s="1">
        <v>70159</v>
      </c>
      <c r="B2006" s="2">
        <v>89</v>
      </c>
      <c r="C2006" s="2">
        <v>70</v>
      </c>
      <c r="D2006" s="2">
        <v>100.19999999999899</v>
      </c>
      <c r="E2006" s="2" t="s">
        <v>2006</v>
      </c>
      <c r="F2006" s="2">
        <v>100.19999999999899</v>
      </c>
    </row>
    <row r="2007" spans="1:6" x14ac:dyDescent="0.25">
      <c r="A2007" s="1">
        <v>70160</v>
      </c>
      <c r="B2007" s="2">
        <v>90</v>
      </c>
      <c r="C2007" s="2">
        <v>70</v>
      </c>
      <c r="D2007" s="2">
        <v>288</v>
      </c>
      <c r="E2007" s="2" t="s">
        <v>2007</v>
      </c>
      <c r="F2007" s="2">
        <v>288</v>
      </c>
    </row>
    <row r="2008" spans="1:6" x14ac:dyDescent="0.25">
      <c r="A2008" s="1">
        <v>70161</v>
      </c>
      <c r="B2008" s="2">
        <v>91</v>
      </c>
      <c r="C2008" s="2">
        <v>70</v>
      </c>
      <c r="D2008" s="2">
        <v>252</v>
      </c>
      <c r="E2008" s="2" t="s">
        <v>2008</v>
      </c>
      <c r="F2008" s="2">
        <v>252</v>
      </c>
    </row>
    <row r="2009" spans="1:6" x14ac:dyDescent="0.25">
      <c r="A2009" s="1">
        <v>70162</v>
      </c>
      <c r="B2009" s="2">
        <v>92</v>
      </c>
      <c r="C2009" s="2">
        <v>70</v>
      </c>
      <c r="D2009" s="2">
        <v>1132.2</v>
      </c>
      <c r="E2009" s="2" t="s">
        <v>2009</v>
      </c>
      <c r="F2009" s="2">
        <v>1132.2</v>
      </c>
    </row>
    <row r="2010" spans="1:6" x14ac:dyDescent="0.25">
      <c r="A2010" s="1">
        <v>70163</v>
      </c>
      <c r="B2010" s="2">
        <v>93</v>
      </c>
      <c r="C2010" s="2">
        <v>70</v>
      </c>
      <c r="D2010" s="2">
        <v>663</v>
      </c>
      <c r="E2010" s="2" t="s">
        <v>2010</v>
      </c>
      <c r="F2010" s="2">
        <v>663</v>
      </c>
    </row>
    <row r="2011" spans="1:6" x14ac:dyDescent="0.25">
      <c r="A2011" s="1">
        <v>70164</v>
      </c>
      <c r="B2011" s="2">
        <v>94</v>
      </c>
      <c r="C2011" s="2">
        <v>70</v>
      </c>
      <c r="D2011" s="2">
        <v>4548</v>
      </c>
      <c r="E2011" s="2" t="s">
        <v>2011</v>
      </c>
      <c r="F2011" s="2">
        <v>4548</v>
      </c>
    </row>
    <row r="2012" spans="1:6" x14ac:dyDescent="0.25">
      <c r="A2012" s="1">
        <v>70165</v>
      </c>
      <c r="B2012" s="2">
        <v>95</v>
      </c>
      <c r="C2012" s="2">
        <v>70</v>
      </c>
      <c r="D2012" s="2">
        <v>594</v>
      </c>
      <c r="E2012" s="2" t="s">
        <v>2012</v>
      </c>
      <c r="F2012" s="2">
        <v>594</v>
      </c>
    </row>
    <row r="2013" spans="1:6" x14ac:dyDescent="0.25">
      <c r="A2013" s="1">
        <v>70166</v>
      </c>
      <c r="B2013" s="2">
        <v>96</v>
      </c>
      <c r="C2013" s="2">
        <v>70</v>
      </c>
      <c r="D2013" s="2">
        <v>204120</v>
      </c>
      <c r="E2013" s="2" t="s">
        <v>2013</v>
      </c>
      <c r="F2013" s="2">
        <v>204120</v>
      </c>
    </row>
    <row r="2014" spans="1:6" x14ac:dyDescent="0.25">
      <c r="A2014" s="1">
        <v>70167</v>
      </c>
      <c r="B2014" s="2">
        <v>97</v>
      </c>
      <c r="C2014" s="2">
        <v>70</v>
      </c>
      <c r="D2014" s="2">
        <v>1050</v>
      </c>
      <c r="E2014" s="2" t="s">
        <v>2014</v>
      </c>
      <c r="F2014" s="2">
        <v>1050</v>
      </c>
    </row>
    <row r="2015" spans="1:6" x14ac:dyDescent="0.25">
      <c r="A2015" s="1">
        <v>70168</v>
      </c>
      <c r="B2015" s="2">
        <v>98</v>
      </c>
      <c r="C2015" s="2">
        <v>70</v>
      </c>
      <c r="D2015" s="2" t="s">
        <v>3</v>
      </c>
      <c r="E2015" s="2" t="s">
        <v>2015</v>
      </c>
      <c r="F2015" s="2" t="s">
        <v>3</v>
      </c>
    </row>
    <row r="2016" spans="1:6" x14ac:dyDescent="0.25">
      <c r="A2016" s="1">
        <v>70169</v>
      </c>
      <c r="B2016" s="2">
        <v>99</v>
      </c>
      <c r="C2016" s="2">
        <v>70</v>
      </c>
      <c r="D2016" s="2">
        <v>2766355.2</v>
      </c>
      <c r="E2016" s="2" t="s">
        <v>2016</v>
      </c>
      <c r="F2016" s="2">
        <v>2766355.2</v>
      </c>
    </row>
    <row r="2017" spans="1:6" x14ac:dyDescent="0.25">
      <c r="A2017" s="1">
        <v>70170</v>
      </c>
      <c r="B2017" s="2">
        <v>100</v>
      </c>
      <c r="C2017" s="2">
        <v>70</v>
      </c>
      <c r="D2017" s="2" t="s">
        <v>3</v>
      </c>
      <c r="E2017" s="2" t="s">
        <v>2017</v>
      </c>
      <c r="F2017" s="2" t="s">
        <v>3</v>
      </c>
    </row>
    <row r="2018" spans="1:6" x14ac:dyDescent="0.25">
      <c r="A2018" s="1">
        <v>70171</v>
      </c>
      <c r="B2018" s="2">
        <v>101</v>
      </c>
      <c r="C2018" s="2">
        <v>70</v>
      </c>
      <c r="D2018" s="2" t="s">
        <v>3</v>
      </c>
      <c r="E2018" s="2" t="s">
        <v>2018</v>
      </c>
      <c r="F2018" s="2" t="s">
        <v>3</v>
      </c>
    </row>
    <row r="2019" spans="1:6" x14ac:dyDescent="0.25">
      <c r="A2019" s="1">
        <v>70172</v>
      </c>
      <c r="B2019" s="2">
        <v>102</v>
      </c>
      <c r="C2019" s="2">
        <v>70</v>
      </c>
      <c r="D2019" s="2" t="s">
        <v>3</v>
      </c>
      <c r="E2019" s="2" t="s">
        <v>2019</v>
      </c>
      <c r="F2019" s="2" t="s">
        <v>3</v>
      </c>
    </row>
    <row r="2020" spans="1:6" x14ac:dyDescent="0.25">
      <c r="A2020" s="1">
        <v>70173</v>
      </c>
      <c r="B2020" s="2">
        <v>103</v>
      </c>
      <c r="C2020" s="2">
        <v>70</v>
      </c>
      <c r="D2020" s="2" t="s">
        <v>3</v>
      </c>
      <c r="E2020" s="2" t="s">
        <v>2020</v>
      </c>
      <c r="F2020" s="2" t="s">
        <v>3</v>
      </c>
    </row>
    <row r="2021" spans="1:6" x14ac:dyDescent="0.25">
      <c r="A2021" s="1">
        <v>70174</v>
      </c>
      <c r="B2021" s="2">
        <v>104</v>
      </c>
      <c r="C2021" s="2">
        <v>70</v>
      </c>
      <c r="D2021" s="2" t="s">
        <v>3</v>
      </c>
      <c r="E2021" s="2" t="s">
        <v>2021</v>
      </c>
      <c r="F2021" s="2" t="s">
        <v>3</v>
      </c>
    </row>
    <row r="2022" spans="1:6" x14ac:dyDescent="0.25">
      <c r="A2022" s="1">
        <v>70175</v>
      </c>
      <c r="B2022" s="2">
        <v>105</v>
      </c>
      <c r="C2022" s="2">
        <v>70</v>
      </c>
      <c r="D2022" s="2">
        <v>361583.99999999901</v>
      </c>
      <c r="E2022" s="2" t="s">
        <v>2022</v>
      </c>
      <c r="F2022" s="2">
        <v>361583.99999999901</v>
      </c>
    </row>
    <row r="2023" spans="1:6" x14ac:dyDescent="0.25">
      <c r="A2023" s="1">
        <v>70176</v>
      </c>
      <c r="B2023" s="2">
        <v>106</v>
      </c>
      <c r="C2023" s="2">
        <v>70</v>
      </c>
      <c r="D2023" s="2" t="s">
        <v>3</v>
      </c>
      <c r="E2023" s="2" t="s">
        <v>2023</v>
      </c>
      <c r="F2023" s="2" t="s">
        <v>3</v>
      </c>
    </row>
    <row r="2024" spans="1:6" x14ac:dyDescent="0.25">
      <c r="A2024" s="1">
        <v>70177</v>
      </c>
      <c r="B2024" s="2">
        <v>107</v>
      </c>
      <c r="C2024" s="2">
        <v>70</v>
      </c>
      <c r="D2024" s="2">
        <v>6879.6</v>
      </c>
      <c r="E2024" s="2" t="s">
        <v>2024</v>
      </c>
      <c r="F2024" s="2">
        <v>6879.6</v>
      </c>
    </row>
    <row r="2025" spans="1:6" x14ac:dyDescent="0.25">
      <c r="A2025" s="1">
        <v>70178</v>
      </c>
      <c r="B2025" s="2">
        <v>108</v>
      </c>
      <c r="C2025" s="2">
        <v>70</v>
      </c>
      <c r="D2025" s="2">
        <v>4440</v>
      </c>
      <c r="E2025" s="2" t="s">
        <v>2025</v>
      </c>
      <c r="F2025" s="2">
        <v>4440</v>
      </c>
    </row>
    <row r="2026" spans="1:6" x14ac:dyDescent="0.25">
      <c r="A2026" s="1">
        <v>70179</v>
      </c>
      <c r="B2026" s="2">
        <v>109</v>
      </c>
      <c r="C2026" s="2">
        <v>70</v>
      </c>
      <c r="D2026" s="2">
        <v>480</v>
      </c>
      <c r="E2026" s="2" t="s">
        <v>2026</v>
      </c>
      <c r="F2026" s="2">
        <v>480</v>
      </c>
    </row>
    <row r="2027" spans="1:6" x14ac:dyDescent="0.25">
      <c r="A2027" s="1">
        <v>70180</v>
      </c>
      <c r="B2027" s="2">
        <v>110</v>
      </c>
      <c r="C2027" s="2">
        <v>70</v>
      </c>
      <c r="D2027" s="2">
        <v>144</v>
      </c>
      <c r="E2027" s="2" t="s">
        <v>2027</v>
      </c>
      <c r="F2027" s="2">
        <v>144</v>
      </c>
    </row>
    <row r="2028" spans="1:6" x14ac:dyDescent="0.25">
      <c r="A2028" s="1">
        <v>70181</v>
      </c>
      <c r="B2028" s="2">
        <v>111</v>
      </c>
      <c r="C2028" s="2">
        <v>70</v>
      </c>
      <c r="D2028" s="2">
        <v>1.6E-7</v>
      </c>
      <c r="E2028" s="2" t="s">
        <v>2028</v>
      </c>
      <c r="F2028" s="2">
        <v>1.6E-7</v>
      </c>
    </row>
    <row r="2029" spans="1:6" x14ac:dyDescent="0.25">
      <c r="A2029" s="1">
        <v>70182</v>
      </c>
      <c r="B2029" s="2">
        <v>112</v>
      </c>
      <c r="C2029" s="2">
        <v>70</v>
      </c>
      <c r="D2029" s="2">
        <v>1.6E-7</v>
      </c>
      <c r="E2029" s="2" t="s">
        <v>2029</v>
      </c>
      <c r="F2029" s="2">
        <v>1.6E-7</v>
      </c>
    </row>
    <row r="2030" spans="1:6" x14ac:dyDescent="0.25">
      <c r="A2030" s="1">
        <v>70183</v>
      </c>
      <c r="B2030" s="2">
        <v>113</v>
      </c>
      <c r="C2030" s="2">
        <v>70</v>
      </c>
      <c r="D2030" s="2">
        <v>2.22E-7</v>
      </c>
      <c r="E2030" s="2" t="s">
        <v>2030</v>
      </c>
      <c r="F2030" s="2">
        <v>2.22E-7</v>
      </c>
    </row>
    <row r="2031" spans="1:6" x14ac:dyDescent="0.25">
      <c r="A2031" s="1">
        <v>70184</v>
      </c>
      <c r="B2031" s="2">
        <v>114</v>
      </c>
      <c r="C2031" s="2">
        <v>70</v>
      </c>
      <c r="D2031" s="2">
        <v>1.6E-7</v>
      </c>
      <c r="E2031" s="2" t="s">
        <v>2031</v>
      </c>
      <c r="F2031" s="2">
        <v>1.6E-7</v>
      </c>
    </row>
    <row r="2032" spans="1:6" x14ac:dyDescent="0.25">
      <c r="A2032" s="1">
        <v>70185</v>
      </c>
      <c r="B2032" s="2">
        <v>115</v>
      </c>
      <c r="C2032" s="2">
        <v>70</v>
      </c>
      <c r="D2032" s="2">
        <v>1.6E-7</v>
      </c>
      <c r="E2032" s="2" t="s">
        <v>2032</v>
      </c>
      <c r="F2032" s="2">
        <v>1.6E-7</v>
      </c>
    </row>
    <row r="2033" spans="1:6" x14ac:dyDescent="0.25">
      <c r="A2033" s="1">
        <v>71150</v>
      </c>
      <c r="B2033" s="2">
        <v>79</v>
      </c>
      <c r="C2033" s="2">
        <v>71</v>
      </c>
      <c r="D2033" s="2">
        <v>4.4999999999999998E-2</v>
      </c>
      <c r="E2033" s="2" t="s">
        <v>2033</v>
      </c>
      <c r="F2033" s="2">
        <v>4.4999999999999998E-2</v>
      </c>
    </row>
    <row r="2034" spans="1:6" x14ac:dyDescent="0.25">
      <c r="A2034" s="1">
        <v>71151</v>
      </c>
      <c r="B2034" s="2">
        <v>80</v>
      </c>
      <c r="C2034" s="2">
        <v>71</v>
      </c>
      <c r="D2034" s="2">
        <v>8.0599999999999894E-2</v>
      </c>
      <c r="E2034" s="2" t="s">
        <v>2034</v>
      </c>
      <c r="F2034" s="2">
        <v>8.0599999999999894E-2</v>
      </c>
    </row>
    <row r="2035" spans="1:6" x14ac:dyDescent="0.25">
      <c r="A2035" s="1">
        <v>71152</v>
      </c>
      <c r="B2035" s="2">
        <v>81</v>
      </c>
      <c r="C2035" s="2">
        <v>71</v>
      </c>
      <c r="D2035" s="2">
        <v>0.7</v>
      </c>
      <c r="E2035" s="2" t="s">
        <v>2035</v>
      </c>
      <c r="F2035" s="2">
        <v>0.7</v>
      </c>
    </row>
    <row r="2036" spans="1:6" x14ac:dyDescent="0.25">
      <c r="A2036" s="1">
        <v>71153</v>
      </c>
      <c r="B2036" s="2">
        <v>82</v>
      </c>
      <c r="C2036" s="2">
        <v>71</v>
      </c>
      <c r="D2036" s="2">
        <v>0.9</v>
      </c>
      <c r="E2036" s="2" t="s">
        <v>2036</v>
      </c>
      <c r="F2036" s="2">
        <v>0.9</v>
      </c>
    </row>
    <row r="2037" spans="1:6" x14ac:dyDescent="0.25">
      <c r="A2037" s="1">
        <v>71154</v>
      </c>
      <c r="B2037" s="2">
        <v>83</v>
      </c>
      <c r="C2037" s="2">
        <v>71</v>
      </c>
      <c r="D2037" s="2">
        <v>1.1200000000000001</v>
      </c>
      <c r="E2037" s="2" t="s">
        <v>2037</v>
      </c>
      <c r="F2037" s="2">
        <v>1.1200000000000001</v>
      </c>
    </row>
    <row r="2038" spans="1:6" x14ac:dyDescent="0.25">
      <c r="A2038" s="1">
        <v>71155</v>
      </c>
      <c r="B2038" s="2">
        <v>84</v>
      </c>
      <c r="C2038" s="2">
        <v>71</v>
      </c>
      <c r="D2038" s="2">
        <v>6.8000000000000005E-2</v>
      </c>
      <c r="E2038" s="2" t="s">
        <v>2038</v>
      </c>
      <c r="F2038" s="2">
        <v>6.8000000000000005E-2</v>
      </c>
    </row>
    <row r="2039" spans="1:6" x14ac:dyDescent="0.25">
      <c r="A2039" s="1">
        <v>71156</v>
      </c>
      <c r="B2039" s="2">
        <v>85</v>
      </c>
      <c r="C2039" s="2">
        <v>71</v>
      </c>
      <c r="D2039" s="2">
        <v>0.49399999999999999</v>
      </c>
      <c r="E2039" s="2" t="s">
        <v>2039</v>
      </c>
      <c r="F2039" s="2">
        <v>0.49399999999999999</v>
      </c>
    </row>
    <row r="2040" spans="1:6" x14ac:dyDescent="0.25">
      <c r="A2040" s="1">
        <v>71157</v>
      </c>
      <c r="B2040" s="2">
        <v>86</v>
      </c>
      <c r="C2040" s="2">
        <v>71</v>
      </c>
      <c r="D2040" s="2">
        <v>6.8</v>
      </c>
      <c r="E2040" s="2" t="s">
        <v>2040</v>
      </c>
      <c r="F2040" s="2">
        <v>6.8</v>
      </c>
    </row>
    <row r="2041" spans="1:6" x14ac:dyDescent="0.25">
      <c r="A2041" s="1">
        <v>71158</v>
      </c>
      <c r="B2041" s="2">
        <v>87</v>
      </c>
      <c r="C2041" s="2">
        <v>71</v>
      </c>
      <c r="D2041" s="2">
        <v>10.6</v>
      </c>
      <c r="E2041" s="2" t="s">
        <v>2041</v>
      </c>
      <c r="F2041" s="2">
        <v>10.6</v>
      </c>
    </row>
    <row r="2042" spans="1:6" x14ac:dyDescent="0.25">
      <c r="A2042" s="1">
        <v>71159</v>
      </c>
      <c r="B2042" s="2">
        <v>88</v>
      </c>
      <c r="C2042" s="2">
        <v>71</v>
      </c>
      <c r="D2042" s="2">
        <v>12.1</v>
      </c>
      <c r="E2042" s="2" t="s">
        <v>2042</v>
      </c>
      <c r="F2042" s="2">
        <v>12.1</v>
      </c>
    </row>
    <row r="2043" spans="1:6" x14ac:dyDescent="0.25">
      <c r="A2043" s="1">
        <v>71160</v>
      </c>
      <c r="B2043" s="2">
        <v>89</v>
      </c>
      <c r="C2043" s="2">
        <v>71</v>
      </c>
      <c r="D2043" s="2">
        <v>36.1</v>
      </c>
      <c r="E2043" s="2" t="s">
        <v>2043</v>
      </c>
      <c r="F2043" s="2">
        <v>36.1</v>
      </c>
    </row>
    <row r="2044" spans="1:6" x14ac:dyDescent="0.25">
      <c r="A2044" s="1">
        <v>71161</v>
      </c>
      <c r="B2044" s="2">
        <v>90</v>
      </c>
      <c r="C2044" s="2">
        <v>71</v>
      </c>
      <c r="D2044" s="2">
        <v>77</v>
      </c>
      <c r="E2044" s="2" t="s">
        <v>2044</v>
      </c>
      <c r="F2044" s="2">
        <v>77</v>
      </c>
    </row>
    <row r="2045" spans="1:6" x14ac:dyDescent="0.25">
      <c r="A2045" s="1">
        <v>71162</v>
      </c>
      <c r="B2045" s="2">
        <v>91</v>
      </c>
      <c r="C2045" s="2">
        <v>71</v>
      </c>
      <c r="D2045" s="2">
        <v>82.2</v>
      </c>
      <c r="E2045" s="2" t="s">
        <v>2045</v>
      </c>
      <c r="F2045" s="2">
        <v>82.2</v>
      </c>
    </row>
    <row r="2046" spans="1:6" x14ac:dyDescent="0.25">
      <c r="A2046" s="1">
        <v>71163</v>
      </c>
      <c r="B2046" s="2">
        <v>92</v>
      </c>
      <c r="C2046" s="2">
        <v>71</v>
      </c>
      <c r="D2046" s="2">
        <v>238.2</v>
      </c>
      <c r="E2046" s="2" t="s">
        <v>2046</v>
      </c>
      <c r="F2046" s="2">
        <v>238.2</v>
      </c>
    </row>
    <row r="2047" spans="1:6" x14ac:dyDescent="0.25">
      <c r="A2047" s="1">
        <v>71164</v>
      </c>
      <c r="B2047" s="2">
        <v>93</v>
      </c>
      <c r="C2047" s="2">
        <v>71</v>
      </c>
      <c r="D2047" s="2">
        <v>188.4</v>
      </c>
      <c r="E2047" s="2" t="s">
        <v>2047</v>
      </c>
      <c r="F2047" s="2">
        <v>188.4</v>
      </c>
    </row>
    <row r="2048" spans="1:6" x14ac:dyDescent="0.25">
      <c r="A2048" s="1">
        <v>71165</v>
      </c>
      <c r="B2048" s="2">
        <v>94</v>
      </c>
      <c r="C2048" s="2">
        <v>71</v>
      </c>
      <c r="D2048" s="2">
        <v>644.4</v>
      </c>
      <c r="E2048" s="2" t="s">
        <v>2048</v>
      </c>
      <c r="F2048" s="2">
        <v>644.4</v>
      </c>
    </row>
    <row r="2049" spans="1:6" x14ac:dyDescent="0.25">
      <c r="A2049" s="1">
        <v>71166</v>
      </c>
      <c r="B2049" s="2">
        <v>95</v>
      </c>
      <c r="C2049" s="2">
        <v>71</v>
      </c>
      <c r="D2049" s="2">
        <v>159</v>
      </c>
      <c r="E2049" s="2" t="s">
        <v>2049</v>
      </c>
      <c r="F2049" s="2">
        <v>159</v>
      </c>
    </row>
    <row r="2050" spans="1:6" x14ac:dyDescent="0.25">
      <c r="A2050" s="1">
        <v>71167</v>
      </c>
      <c r="B2050" s="2">
        <v>96</v>
      </c>
      <c r="C2050" s="2">
        <v>71</v>
      </c>
      <c r="D2050" s="2">
        <v>3090</v>
      </c>
      <c r="E2050" s="2" t="s">
        <v>2050</v>
      </c>
      <c r="F2050" s="2">
        <v>3090</v>
      </c>
    </row>
    <row r="2051" spans="1:6" x14ac:dyDescent="0.25">
      <c r="A2051" s="1">
        <v>71168</v>
      </c>
      <c r="B2051" s="2">
        <v>97</v>
      </c>
      <c r="C2051" s="2">
        <v>71</v>
      </c>
      <c r="D2051" s="2">
        <v>330</v>
      </c>
      <c r="E2051" s="2" t="s">
        <v>2051</v>
      </c>
      <c r="F2051" s="2">
        <v>330</v>
      </c>
    </row>
    <row r="2052" spans="1:6" x14ac:dyDescent="0.25">
      <c r="A2052" s="1">
        <v>71169</v>
      </c>
      <c r="B2052" s="2">
        <v>98</v>
      </c>
      <c r="C2052" s="2">
        <v>71</v>
      </c>
      <c r="D2052" s="2">
        <v>122616</v>
      </c>
      <c r="E2052" s="2" t="s">
        <v>2052</v>
      </c>
      <c r="F2052" s="2">
        <v>122616</v>
      </c>
    </row>
    <row r="2053" spans="1:6" x14ac:dyDescent="0.25">
      <c r="A2053" s="1">
        <v>71170</v>
      </c>
      <c r="B2053" s="2">
        <v>99</v>
      </c>
      <c r="C2053" s="2">
        <v>71</v>
      </c>
      <c r="D2053" s="2">
        <v>173836.79999999999</v>
      </c>
      <c r="E2053" s="2" t="s">
        <v>2053</v>
      </c>
      <c r="F2053" s="2">
        <v>173836.79999999999</v>
      </c>
    </row>
    <row r="2054" spans="1:6" x14ac:dyDescent="0.25">
      <c r="A2054" s="1">
        <v>71171</v>
      </c>
      <c r="B2054" s="2">
        <v>100</v>
      </c>
      <c r="C2054" s="2">
        <v>71</v>
      </c>
      <c r="D2054" s="2">
        <v>711936</v>
      </c>
      <c r="E2054" s="2" t="s">
        <v>2054</v>
      </c>
      <c r="F2054" s="2">
        <v>711936</v>
      </c>
    </row>
    <row r="2055" spans="1:6" x14ac:dyDescent="0.25">
      <c r="A2055" s="1">
        <v>71172</v>
      </c>
      <c r="B2055" s="2">
        <v>101</v>
      </c>
      <c r="C2055" s="2">
        <v>71</v>
      </c>
      <c r="D2055" s="2">
        <v>578880</v>
      </c>
      <c r="E2055" s="2" t="s">
        <v>2055</v>
      </c>
      <c r="F2055" s="2">
        <v>578880</v>
      </c>
    </row>
    <row r="2056" spans="1:6" x14ac:dyDescent="0.25">
      <c r="A2056" s="1">
        <v>71173</v>
      </c>
      <c r="B2056" s="2">
        <v>102</v>
      </c>
      <c r="C2056" s="2">
        <v>71</v>
      </c>
      <c r="D2056" s="2">
        <v>43233912</v>
      </c>
      <c r="E2056" s="2" t="s">
        <v>2056</v>
      </c>
      <c r="F2056" s="2">
        <v>43233912</v>
      </c>
    </row>
    <row r="2057" spans="1:6" x14ac:dyDescent="0.25">
      <c r="A2057" s="1">
        <v>71174</v>
      </c>
      <c r="B2057" s="2">
        <v>103</v>
      </c>
      <c r="C2057" s="2">
        <v>71</v>
      </c>
      <c r="D2057" s="2">
        <v>104455656</v>
      </c>
      <c r="E2057" s="2" t="s">
        <v>2057</v>
      </c>
      <c r="F2057" s="2">
        <v>104455656</v>
      </c>
    </row>
    <row r="2058" spans="1:6" x14ac:dyDescent="0.25">
      <c r="A2058" s="1">
        <v>71175</v>
      </c>
      <c r="B2058" s="2">
        <v>104</v>
      </c>
      <c r="C2058" s="2">
        <v>71</v>
      </c>
      <c r="D2058" s="2" t="s">
        <v>3</v>
      </c>
      <c r="E2058" s="2" t="s">
        <v>2058</v>
      </c>
      <c r="F2058" s="2" t="s">
        <v>3</v>
      </c>
    </row>
    <row r="2059" spans="1:6" x14ac:dyDescent="0.25">
      <c r="A2059" s="1">
        <v>71176</v>
      </c>
      <c r="B2059" s="2">
        <v>105</v>
      </c>
      <c r="C2059" s="2">
        <v>71</v>
      </c>
      <c r="D2059" s="2">
        <v>1.18656576E+18</v>
      </c>
      <c r="E2059" s="2" t="s">
        <v>2059</v>
      </c>
      <c r="F2059" s="2">
        <v>1.18656576E+18</v>
      </c>
    </row>
    <row r="2060" spans="1:6" x14ac:dyDescent="0.25">
      <c r="A2060" s="1">
        <v>71177</v>
      </c>
      <c r="B2060" s="2">
        <v>106</v>
      </c>
      <c r="C2060" s="2">
        <v>71</v>
      </c>
      <c r="D2060" s="2">
        <v>574300.80000000005</v>
      </c>
      <c r="E2060" s="2" t="s">
        <v>2060</v>
      </c>
      <c r="F2060" s="2">
        <v>574300.80000000005</v>
      </c>
    </row>
    <row r="2061" spans="1:6" x14ac:dyDescent="0.25">
      <c r="A2061" s="1">
        <v>71178</v>
      </c>
      <c r="B2061" s="2">
        <v>107</v>
      </c>
      <c r="C2061" s="2">
        <v>71</v>
      </c>
      <c r="D2061" s="2">
        <v>1704</v>
      </c>
      <c r="E2061" s="2" t="s">
        <v>2061</v>
      </c>
      <c r="F2061" s="2">
        <v>1704</v>
      </c>
    </row>
    <row r="2062" spans="1:6" x14ac:dyDescent="0.25">
      <c r="A2062" s="1">
        <v>71179</v>
      </c>
      <c r="B2062" s="2">
        <v>108</v>
      </c>
      <c r="C2062" s="2">
        <v>71</v>
      </c>
      <c r="D2062" s="2">
        <v>16524</v>
      </c>
      <c r="E2062" s="2" t="s">
        <v>2062</v>
      </c>
      <c r="F2062" s="2">
        <v>16524</v>
      </c>
    </row>
    <row r="2063" spans="1:6" x14ac:dyDescent="0.25">
      <c r="A2063" s="1">
        <v>71180</v>
      </c>
      <c r="B2063" s="2">
        <v>109</v>
      </c>
      <c r="C2063" s="2">
        <v>71</v>
      </c>
      <c r="D2063" s="2">
        <v>342</v>
      </c>
      <c r="E2063" s="2" t="s">
        <v>2063</v>
      </c>
      <c r="F2063" s="2">
        <v>342</v>
      </c>
    </row>
    <row r="2064" spans="1:6" x14ac:dyDescent="0.25">
      <c r="A2064" s="1">
        <v>71181</v>
      </c>
      <c r="B2064" s="2">
        <v>110</v>
      </c>
      <c r="C2064" s="2">
        <v>71</v>
      </c>
      <c r="D2064" s="2">
        <v>210</v>
      </c>
      <c r="E2064" s="2" t="s">
        <v>2064</v>
      </c>
      <c r="F2064" s="2">
        <v>210</v>
      </c>
    </row>
    <row r="2065" spans="1:6" x14ac:dyDescent="0.25">
      <c r="A2065" s="1">
        <v>71182</v>
      </c>
      <c r="B2065" s="2">
        <v>111</v>
      </c>
      <c r="C2065" s="2">
        <v>71</v>
      </c>
      <c r="D2065" s="2">
        <v>120</v>
      </c>
      <c r="E2065" s="2" t="s">
        <v>2065</v>
      </c>
      <c r="F2065" s="2">
        <v>120</v>
      </c>
    </row>
    <row r="2066" spans="1:6" x14ac:dyDescent="0.25">
      <c r="A2066" s="1">
        <v>71183</v>
      </c>
      <c r="B2066" s="2">
        <v>112</v>
      </c>
      <c r="C2066" s="2">
        <v>71</v>
      </c>
      <c r="D2066" s="2">
        <v>58</v>
      </c>
      <c r="E2066" s="2" t="s">
        <v>2066</v>
      </c>
      <c r="F2066" s="2">
        <v>58</v>
      </c>
    </row>
    <row r="2067" spans="1:6" x14ac:dyDescent="0.25">
      <c r="A2067" s="1">
        <v>71184</v>
      </c>
      <c r="B2067" s="2">
        <v>113</v>
      </c>
      <c r="C2067" s="2">
        <v>71</v>
      </c>
      <c r="D2067" s="2">
        <v>19</v>
      </c>
      <c r="E2067" s="2" t="s">
        <v>2067</v>
      </c>
      <c r="F2067" s="2">
        <v>19</v>
      </c>
    </row>
    <row r="2068" spans="1:6" x14ac:dyDescent="0.25">
      <c r="A2068" s="1">
        <v>71185</v>
      </c>
      <c r="B2068" s="2">
        <v>114</v>
      </c>
      <c r="C2068" s="2">
        <v>71</v>
      </c>
      <c r="D2068" s="2">
        <v>1.6E-7</v>
      </c>
      <c r="E2068" s="2" t="s">
        <v>2068</v>
      </c>
      <c r="F2068" s="2">
        <v>1.6E-7</v>
      </c>
    </row>
    <row r="2069" spans="1:6" x14ac:dyDescent="0.25">
      <c r="A2069" s="1">
        <v>71186</v>
      </c>
      <c r="B2069" s="2">
        <v>115</v>
      </c>
      <c r="C2069" s="2">
        <v>71</v>
      </c>
      <c r="D2069" s="2">
        <v>1.6E-7</v>
      </c>
      <c r="E2069" s="2" t="s">
        <v>2069</v>
      </c>
      <c r="F2069" s="2">
        <v>1.6E-7</v>
      </c>
    </row>
    <row r="2070" spans="1:6" x14ac:dyDescent="0.25">
      <c r="A2070" s="1">
        <v>71187</v>
      </c>
      <c r="B2070" s="2">
        <v>116</v>
      </c>
      <c r="C2070" s="2">
        <v>71</v>
      </c>
      <c r="D2070" s="2">
        <v>1.6E-7</v>
      </c>
      <c r="E2070" s="2" t="s">
        <v>2070</v>
      </c>
      <c r="F2070" s="2">
        <v>1.6E-7</v>
      </c>
    </row>
    <row r="2071" spans="1:6" x14ac:dyDescent="0.25">
      <c r="A2071" s="1">
        <v>71188</v>
      </c>
      <c r="B2071" s="2">
        <v>117</v>
      </c>
      <c r="C2071" s="2">
        <v>71</v>
      </c>
      <c r="D2071" s="2">
        <v>1.6E-7</v>
      </c>
      <c r="E2071" s="2" t="s">
        <v>2071</v>
      </c>
      <c r="F2071" s="2">
        <v>1.6E-7</v>
      </c>
    </row>
    <row r="2072" spans="1:6" x14ac:dyDescent="0.25">
      <c r="A2072" s="1">
        <v>72153</v>
      </c>
      <c r="B2072" s="2">
        <v>81</v>
      </c>
      <c r="C2072" s="2">
        <v>72</v>
      </c>
      <c r="D2072" s="2">
        <v>5.9999999999999995E-8</v>
      </c>
      <c r="E2072" s="2" t="s">
        <v>2072</v>
      </c>
      <c r="F2072" s="2">
        <v>5.9999999999999995E-8</v>
      </c>
    </row>
    <row r="2073" spans="1:6" x14ac:dyDescent="0.25">
      <c r="A2073" s="1">
        <v>72154</v>
      </c>
      <c r="B2073" s="2">
        <v>82</v>
      </c>
      <c r="C2073" s="2">
        <v>72</v>
      </c>
      <c r="D2073" s="2">
        <v>2</v>
      </c>
      <c r="E2073" s="2" t="s">
        <v>2073</v>
      </c>
      <c r="F2073" s="2">
        <v>2</v>
      </c>
    </row>
    <row r="2074" spans="1:6" x14ac:dyDescent="0.25">
      <c r="A2074" s="1">
        <v>72155</v>
      </c>
      <c r="B2074" s="2">
        <v>83</v>
      </c>
      <c r="C2074" s="2">
        <v>72</v>
      </c>
      <c r="D2074" s="2">
        <v>0.84</v>
      </c>
      <c r="E2074" s="2" t="s">
        <v>2074</v>
      </c>
      <c r="F2074" s="2">
        <v>0.84</v>
      </c>
    </row>
    <row r="2075" spans="1:6" x14ac:dyDescent="0.25">
      <c r="A2075" s="1">
        <v>72156</v>
      </c>
      <c r="B2075" s="2">
        <v>84</v>
      </c>
      <c r="C2075" s="2">
        <v>72</v>
      </c>
      <c r="D2075" s="2">
        <v>2.3E-2</v>
      </c>
      <c r="E2075" s="2" t="s">
        <v>2075</v>
      </c>
      <c r="F2075" s="2">
        <v>2.3E-2</v>
      </c>
    </row>
    <row r="2076" spans="1:6" x14ac:dyDescent="0.25">
      <c r="A2076" s="1">
        <v>72157</v>
      </c>
      <c r="B2076" s="2">
        <v>85</v>
      </c>
      <c r="C2076" s="2">
        <v>72</v>
      </c>
      <c r="D2076" s="2">
        <v>0.115</v>
      </c>
      <c r="E2076" s="2" t="s">
        <v>2076</v>
      </c>
      <c r="F2076" s="2">
        <v>0.115</v>
      </c>
    </row>
    <row r="2077" spans="1:6" x14ac:dyDescent="0.25">
      <c r="A2077" s="1">
        <v>72158</v>
      </c>
      <c r="B2077" s="2">
        <v>86</v>
      </c>
      <c r="C2077" s="2">
        <v>72</v>
      </c>
      <c r="D2077" s="2">
        <v>2.85</v>
      </c>
      <c r="E2077" s="2" t="s">
        <v>2077</v>
      </c>
      <c r="F2077" s="2">
        <v>2.85</v>
      </c>
    </row>
    <row r="2078" spans="1:6" x14ac:dyDescent="0.25">
      <c r="A2078" s="1">
        <v>72159</v>
      </c>
      <c r="B2078" s="2">
        <v>87</v>
      </c>
      <c r="C2078" s="2">
        <v>72</v>
      </c>
      <c r="D2078" s="2">
        <v>5.6</v>
      </c>
      <c r="E2078" s="2" t="s">
        <v>2078</v>
      </c>
      <c r="F2078" s="2">
        <v>5.6</v>
      </c>
    </row>
    <row r="2079" spans="1:6" x14ac:dyDescent="0.25">
      <c r="A2079" s="1">
        <v>72160</v>
      </c>
      <c r="B2079" s="2">
        <v>88</v>
      </c>
      <c r="C2079" s="2">
        <v>72</v>
      </c>
      <c r="D2079" s="2">
        <v>13.6</v>
      </c>
      <c r="E2079" s="2" t="s">
        <v>2079</v>
      </c>
      <c r="F2079" s="2">
        <v>13.6</v>
      </c>
    </row>
    <row r="2080" spans="1:6" x14ac:dyDescent="0.25">
      <c r="A2080" s="1">
        <v>72161</v>
      </c>
      <c r="B2080" s="2">
        <v>89</v>
      </c>
      <c r="C2080" s="2">
        <v>72</v>
      </c>
      <c r="D2080" s="2">
        <v>18.399999999999999</v>
      </c>
      <c r="E2080" s="2" t="s">
        <v>2080</v>
      </c>
      <c r="F2080" s="2">
        <v>18.399999999999999</v>
      </c>
    </row>
    <row r="2081" spans="1:6" x14ac:dyDescent="0.25">
      <c r="A2081" s="1">
        <v>72162</v>
      </c>
      <c r="B2081" s="2">
        <v>90</v>
      </c>
      <c r="C2081" s="2">
        <v>72</v>
      </c>
      <c r="D2081" s="2">
        <v>39.4</v>
      </c>
      <c r="E2081" s="2" t="s">
        <v>2081</v>
      </c>
      <c r="F2081" s="2">
        <v>39.4</v>
      </c>
    </row>
    <row r="2082" spans="1:6" x14ac:dyDescent="0.25">
      <c r="A2082" s="1">
        <v>72163</v>
      </c>
      <c r="B2082" s="2">
        <v>91</v>
      </c>
      <c r="C2082" s="2">
        <v>72</v>
      </c>
      <c r="D2082" s="2">
        <v>40</v>
      </c>
      <c r="E2082" s="2" t="s">
        <v>2082</v>
      </c>
      <c r="F2082" s="2">
        <v>40</v>
      </c>
    </row>
    <row r="2083" spans="1:6" x14ac:dyDescent="0.25">
      <c r="A2083" s="1">
        <v>72164</v>
      </c>
      <c r="B2083" s="2">
        <v>92</v>
      </c>
      <c r="C2083" s="2">
        <v>72</v>
      </c>
      <c r="D2083" s="2">
        <v>111</v>
      </c>
      <c r="E2083" s="2" t="s">
        <v>2083</v>
      </c>
      <c r="F2083" s="2">
        <v>111</v>
      </c>
    </row>
    <row r="2084" spans="1:6" x14ac:dyDescent="0.25">
      <c r="A2084" s="1">
        <v>72165</v>
      </c>
      <c r="B2084" s="2">
        <v>93</v>
      </c>
      <c r="C2084" s="2">
        <v>72</v>
      </c>
      <c r="D2084" s="2">
        <v>76</v>
      </c>
      <c r="E2084" s="2" t="s">
        <v>2084</v>
      </c>
      <c r="F2084" s="2">
        <v>76</v>
      </c>
    </row>
    <row r="2085" spans="1:6" x14ac:dyDescent="0.25">
      <c r="A2085" s="1">
        <v>72166</v>
      </c>
      <c r="B2085" s="2">
        <v>94</v>
      </c>
      <c r="C2085" s="2">
        <v>72</v>
      </c>
      <c r="D2085" s="2">
        <v>406.2</v>
      </c>
      <c r="E2085" s="2" t="s">
        <v>2085</v>
      </c>
      <c r="F2085" s="2">
        <v>406.2</v>
      </c>
    </row>
    <row r="2086" spans="1:6" x14ac:dyDescent="0.25">
      <c r="A2086" s="1">
        <v>72167</v>
      </c>
      <c r="B2086" s="2">
        <v>95</v>
      </c>
      <c r="C2086" s="2">
        <v>72</v>
      </c>
      <c r="D2086" s="2">
        <v>122.99999999999901</v>
      </c>
      <c r="E2086" s="2" t="s">
        <v>2086</v>
      </c>
      <c r="F2086" s="2">
        <v>122.99999999999901</v>
      </c>
    </row>
    <row r="2087" spans="1:6" x14ac:dyDescent="0.25">
      <c r="A2087" s="1">
        <v>72168</v>
      </c>
      <c r="B2087" s="2">
        <v>96</v>
      </c>
      <c r="C2087" s="2">
        <v>72</v>
      </c>
      <c r="D2087" s="2">
        <v>1557</v>
      </c>
      <c r="E2087" s="2" t="s">
        <v>2087</v>
      </c>
      <c r="F2087" s="2">
        <v>1557</v>
      </c>
    </row>
    <row r="2088" spans="1:6" x14ac:dyDescent="0.25">
      <c r="A2088" s="1">
        <v>72169</v>
      </c>
      <c r="B2088" s="2">
        <v>97</v>
      </c>
      <c r="C2088" s="2">
        <v>72</v>
      </c>
      <c r="D2088" s="2">
        <v>194.4</v>
      </c>
      <c r="E2088" s="2" t="s">
        <v>2088</v>
      </c>
      <c r="F2088" s="2">
        <v>194.4</v>
      </c>
    </row>
    <row r="2089" spans="1:6" x14ac:dyDescent="0.25">
      <c r="A2089" s="1">
        <v>72170</v>
      </c>
      <c r="B2089" s="2">
        <v>98</v>
      </c>
      <c r="C2089" s="2">
        <v>72</v>
      </c>
      <c r="D2089" s="2">
        <v>57636</v>
      </c>
      <c r="E2089" s="2" t="s">
        <v>2089</v>
      </c>
      <c r="F2089" s="2">
        <v>57636</v>
      </c>
    </row>
    <row r="2090" spans="1:6" x14ac:dyDescent="0.25">
      <c r="A2090" s="1">
        <v>72171</v>
      </c>
      <c r="B2090" s="2">
        <v>99</v>
      </c>
      <c r="C2090" s="2">
        <v>72</v>
      </c>
      <c r="D2090" s="2">
        <v>43560</v>
      </c>
      <c r="E2090" s="2" t="s">
        <v>2090</v>
      </c>
      <c r="F2090" s="2">
        <v>43560</v>
      </c>
    </row>
    <row r="2091" spans="1:6" x14ac:dyDescent="0.25">
      <c r="A2091" s="1">
        <v>72172</v>
      </c>
      <c r="B2091" s="2">
        <v>100</v>
      </c>
      <c r="C2091" s="2">
        <v>72</v>
      </c>
      <c r="D2091" s="2">
        <v>59012712</v>
      </c>
      <c r="E2091" s="2" t="s">
        <v>2091</v>
      </c>
      <c r="F2091" s="2">
        <v>59012712</v>
      </c>
    </row>
    <row r="2092" spans="1:6" x14ac:dyDescent="0.25">
      <c r="A2092" s="1">
        <v>72173</v>
      </c>
      <c r="B2092" s="2">
        <v>101</v>
      </c>
      <c r="C2092" s="2">
        <v>72</v>
      </c>
      <c r="D2092" s="2">
        <v>84960</v>
      </c>
      <c r="E2092" s="2" t="s">
        <v>2092</v>
      </c>
      <c r="F2092" s="2">
        <v>84960</v>
      </c>
    </row>
    <row r="2093" spans="1:6" x14ac:dyDescent="0.25">
      <c r="A2093" s="1">
        <v>72174</v>
      </c>
      <c r="B2093" s="2">
        <v>102</v>
      </c>
      <c r="C2093" s="2">
        <v>72</v>
      </c>
      <c r="D2093" s="2">
        <v>6.3115200000000002E+22</v>
      </c>
      <c r="E2093" s="2" t="s">
        <v>2093</v>
      </c>
      <c r="F2093" s="2">
        <v>6.3115200000000002E+22</v>
      </c>
    </row>
    <row r="2094" spans="1:6" x14ac:dyDescent="0.25">
      <c r="A2094" s="1">
        <v>72175</v>
      </c>
      <c r="B2094" s="2">
        <v>103</v>
      </c>
      <c r="C2094" s="2">
        <v>72</v>
      </c>
      <c r="D2094" s="2">
        <v>6048000</v>
      </c>
      <c r="E2094" s="2" t="s">
        <v>2094</v>
      </c>
      <c r="F2094" s="2">
        <v>6048000</v>
      </c>
    </row>
    <row r="2095" spans="1:6" x14ac:dyDescent="0.25">
      <c r="A2095" s="1">
        <v>72176</v>
      </c>
      <c r="B2095" s="2">
        <v>104</v>
      </c>
      <c r="C2095" s="2">
        <v>72</v>
      </c>
      <c r="D2095" s="2" t="s">
        <v>3</v>
      </c>
      <c r="E2095" s="2" t="s">
        <v>2095</v>
      </c>
      <c r="F2095" s="2" t="s">
        <v>3</v>
      </c>
    </row>
    <row r="2096" spans="1:6" x14ac:dyDescent="0.25">
      <c r="A2096" s="1">
        <v>72177</v>
      </c>
      <c r="B2096" s="2">
        <v>105</v>
      </c>
      <c r="C2096" s="2">
        <v>72</v>
      </c>
      <c r="D2096" s="2" t="s">
        <v>3</v>
      </c>
      <c r="E2096" s="2" t="s">
        <v>2096</v>
      </c>
      <c r="F2096" s="2" t="s">
        <v>3</v>
      </c>
    </row>
    <row r="2097" spans="1:6" x14ac:dyDescent="0.25">
      <c r="A2097" s="1">
        <v>72178</v>
      </c>
      <c r="B2097" s="2">
        <v>106</v>
      </c>
      <c r="C2097" s="2">
        <v>72</v>
      </c>
      <c r="D2097" s="2" t="s">
        <v>3</v>
      </c>
      <c r="E2097" s="2" t="s">
        <v>2097</v>
      </c>
      <c r="F2097" s="2" t="s">
        <v>3</v>
      </c>
    </row>
    <row r="2098" spans="1:6" x14ac:dyDescent="0.25">
      <c r="A2098" s="1">
        <v>72179</v>
      </c>
      <c r="B2098" s="2">
        <v>107</v>
      </c>
      <c r="C2098" s="2">
        <v>72</v>
      </c>
      <c r="D2098" s="2" t="s">
        <v>3</v>
      </c>
      <c r="E2098" s="2" t="s">
        <v>2098</v>
      </c>
      <c r="F2098" s="2" t="s">
        <v>3</v>
      </c>
    </row>
    <row r="2099" spans="1:6" x14ac:dyDescent="0.25">
      <c r="A2099" s="1">
        <v>72180</v>
      </c>
      <c r="B2099" s="2">
        <v>108</v>
      </c>
      <c r="C2099" s="2">
        <v>72</v>
      </c>
      <c r="D2099" s="2" t="s">
        <v>3</v>
      </c>
      <c r="E2099" s="2" t="s">
        <v>2099</v>
      </c>
      <c r="F2099" s="2" t="s">
        <v>3</v>
      </c>
    </row>
    <row r="2100" spans="1:6" x14ac:dyDescent="0.25">
      <c r="A2100" s="1">
        <v>72181</v>
      </c>
      <c r="B2100" s="2">
        <v>109</v>
      </c>
      <c r="C2100" s="2">
        <v>72</v>
      </c>
      <c r="D2100" s="2">
        <v>3662496</v>
      </c>
      <c r="E2100" s="2" t="s">
        <v>2100</v>
      </c>
      <c r="F2100" s="2">
        <v>3662496</v>
      </c>
    </row>
    <row r="2101" spans="1:6" x14ac:dyDescent="0.25">
      <c r="A2101" s="1">
        <v>72182</v>
      </c>
      <c r="B2101" s="2">
        <v>110</v>
      </c>
      <c r="C2101" s="2">
        <v>72</v>
      </c>
      <c r="D2101" s="2">
        <v>280862640000000</v>
      </c>
      <c r="E2101" s="2" t="s">
        <v>2101</v>
      </c>
      <c r="F2101" s="2">
        <v>280862640000000</v>
      </c>
    </row>
    <row r="2102" spans="1:6" x14ac:dyDescent="0.25">
      <c r="A2102" s="1">
        <v>72183</v>
      </c>
      <c r="B2102" s="2">
        <v>111</v>
      </c>
      <c r="C2102" s="2">
        <v>72</v>
      </c>
      <c r="D2102" s="2">
        <v>3664.8</v>
      </c>
      <c r="E2102" s="2" t="s">
        <v>2102</v>
      </c>
      <c r="F2102" s="2">
        <v>3664.8</v>
      </c>
    </row>
    <row r="2103" spans="1:6" x14ac:dyDescent="0.25">
      <c r="A2103" s="1">
        <v>72184</v>
      </c>
      <c r="B2103" s="2">
        <v>112</v>
      </c>
      <c r="C2103" s="2">
        <v>72</v>
      </c>
      <c r="D2103" s="2">
        <v>14832</v>
      </c>
      <c r="E2103" s="2" t="s">
        <v>2103</v>
      </c>
      <c r="F2103" s="2">
        <v>14832</v>
      </c>
    </row>
    <row r="2104" spans="1:6" x14ac:dyDescent="0.25">
      <c r="A2104" s="1">
        <v>72185</v>
      </c>
      <c r="B2104" s="2">
        <v>113</v>
      </c>
      <c r="C2104" s="2">
        <v>72</v>
      </c>
      <c r="D2104" s="2">
        <v>210</v>
      </c>
      <c r="E2104" s="2" t="s">
        <v>2104</v>
      </c>
      <c r="F2104" s="2">
        <v>210</v>
      </c>
    </row>
    <row r="2105" spans="1:6" x14ac:dyDescent="0.25">
      <c r="A2105" s="1">
        <v>72186</v>
      </c>
      <c r="B2105" s="2">
        <v>114</v>
      </c>
      <c r="C2105" s="2">
        <v>72</v>
      </c>
      <c r="D2105" s="2">
        <v>156</v>
      </c>
      <c r="E2105" s="2" t="s">
        <v>2105</v>
      </c>
      <c r="F2105" s="2">
        <v>156</v>
      </c>
    </row>
    <row r="2106" spans="1:6" x14ac:dyDescent="0.25">
      <c r="A2106" s="1">
        <v>72187</v>
      </c>
      <c r="B2106" s="2">
        <v>115</v>
      </c>
      <c r="C2106" s="2">
        <v>72</v>
      </c>
      <c r="D2106" s="2">
        <v>2.7000000000000001E-7</v>
      </c>
      <c r="E2106" s="2" t="s">
        <v>2106</v>
      </c>
      <c r="F2106" s="2">
        <v>2.7000000000000001E-7</v>
      </c>
    </row>
    <row r="2107" spans="1:6" x14ac:dyDescent="0.25">
      <c r="A2107" s="1">
        <v>72190</v>
      </c>
      <c r="B2107" s="2">
        <v>118</v>
      </c>
      <c r="C2107" s="2">
        <v>72</v>
      </c>
      <c r="D2107" s="2">
        <v>1.6E-7</v>
      </c>
      <c r="E2107" s="2" t="s">
        <v>2107</v>
      </c>
      <c r="F2107" s="2">
        <v>1.6E-7</v>
      </c>
    </row>
    <row r="2108" spans="1:6" x14ac:dyDescent="0.25">
      <c r="A2108" s="1">
        <v>73155</v>
      </c>
      <c r="B2108" s="2">
        <v>82</v>
      </c>
      <c r="C2108" s="2">
        <v>73</v>
      </c>
      <c r="D2108" s="2">
        <v>2.8999999999999998E-3</v>
      </c>
      <c r="E2108" s="2" t="s">
        <v>2108</v>
      </c>
      <c r="F2108" s="2">
        <v>2.8999999999999998E-3</v>
      </c>
    </row>
    <row r="2109" spans="1:6" x14ac:dyDescent="0.25">
      <c r="A2109" s="1">
        <v>73156</v>
      </c>
      <c r="B2109" s="2">
        <v>83</v>
      </c>
      <c r="C2109" s="2">
        <v>73</v>
      </c>
      <c r="D2109" s="2">
        <v>0.14399999999999999</v>
      </c>
      <c r="E2109" s="2" t="s">
        <v>2109</v>
      </c>
      <c r="F2109" s="2">
        <v>0.14399999999999999</v>
      </c>
    </row>
    <row r="2110" spans="1:6" x14ac:dyDescent="0.25">
      <c r="A2110" s="1">
        <v>73157</v>
      </c>
      <c r="B2110" s="2">
        <v>84</v>
      </c>
      <c r="C2110" s="2">
        <v>73</v>
      </c>
      <c r="D2110" s="2">
        <v>1.01E-2</v>
      </c>
      <c r="E2110" s="2" t="s">
        <v>2110</v>
      </c>
      <c r="F2110" s="2">
        <v>1.01E-2</v>
      </c>
    </row>
    <row r="2111" spans="1:6" x14ac:dyDescent="0.25">
      <c r="A2111" s="1">
        <v>73158</v>
      </c>
      <c r="B2111" s="2">
        <v>85</v>
      </c>
      <c r="C2111" s="2">
        <v>73</v>
      </c>
      <c r="D2111" s="2">
        <v>5.5E-2</v>
      </c>
      <c r="E2111" s="2" t="s">
        <v>2111</v>
      </c>
      <c r="F2111" s="2">
        <v>5.5E-2</v>
      </c>
    </row>
    <row r="2112" spans="1:6" x14ac:dyDescent="0.25">
      <c r="A2112" s="1">
        <v>73159</v>
      </c>
      <c r="B2112" s="2">
        <v>86</v>
      </c>
      <c r="C2112" s="2">
        <v>73</v>
      </c>
      <c r="D2112" s="2">
        <v>0.83</v>
      </c>
      <c r="E2112" s="2" t="s">
        <v>2112</v>
      </c>
      <c r="F2112" s="2">
        <v>0.83</v>
      </c>
    </row>
    <row r="2113" spans="1:6" x14ac:dyDescent="0.25">
      <c r="A2113" s="1">
        <v>73160</v>
      </c>
      <c r="B2113" s="2">
        <v>87</v>
      </c>
      <c r="C2113" s="2">
        <v>73</v>
      </c>
      <c r="D2113" s="2">
        <v>1.55</v>
      </c>
      <c r="E2113" s="2" t="s">
        <v>2113</v>
      </c>
      <c r="F2113" s="2">
        <v>1.55</v>
      </c>
    </row>
    <row r="2114" spans="1:6" x14ac:dyDescent="0.25">
      <c r="A2114" s="1">
        <v>73162</v>
      </c>
      <c r="B2114" s="2">
        <v>89</v>
      </c>
      <c r="C2114" s="2">
        <v>73</v>
      </c>
      <c r="D2114" s="2">
        <v>3.57</v>
      </c>
      <c r="E2114" s="2" t="s">
        <v>2114</v>
      </c>
      <c r="F2114" s="2">
        <v>3.57</v>
      </c>
    </row>
    <row r="2115" spans="1:6" x14ac:dyDescent="0.25">
      <c r="A2115" s="1">
        <v>73163</v>
      </c>
      <c r="B2115" s="2">
        <v>90</v>
      </c>
      <c r="C2115" s="2">
        <v>73</v>
      </c>
      <c r="D2115" s="2">
        <v>10.6</v>
      </c>
      <c r="E2115" s="2" t="s">
        <v>2115</v>
      </c>
      <c r="F2115" s="2">
        <v>10.6</v>
      </c>
    </row>
    <row r="2116" spans="1:6" x14ac:dyDescent="0.25">
      <c r="A2116" s="1">
        <v>73164</v>
      </c>
      <c r="B2116" s="2">
        <v>91</v>
      </c>
      <c r="C2116" s="2">
        <v>73</v>
      </c>
      <c r="D2116" s="2">
        <v>14.2</v>
      </c>
      <c r="E2116" s="2" t="s">
        <v>2116</v>
      </c>
      <c r="F2116" s="2">
        <v>14.2</v>
      </c>
    </row>
    <row r="2117" spans="1:6" x14ac:dyDescent="0.25">
      <c r="A2117" s="1">
        <v>73165</v>
      </c>
      <c r="B2117" s="2">
        <v>92</v>
      </c>
      <c r="C2117" s="2">
        <v>73</v>
      </c>
      <c r="D2117" s="2">
        <v>31</v>
      </c>
      <c r="E2117" s="2" t="s">
        <v>2117</v>
      </c>
      <c r="F2117" s="2">
        <v>31</v>
      </c>
    </row>
    <row r="2118" spans="1:6" x14ac:dyDescent="0.25">
      <c r="A2118" s="1">
        <v>73166</v>
      </c>
      <c r="B2118" s="2">
        <v>93</v>
      </c>
      <c r="C2118" s="2">
        <v>73</v>
      </c>
      <c r="D2118" s="2">
        <v>34.4</v>
      </c>
      <c r="E2118" s="2" t="s">
        <v>2118</v>
      </c>
      <c r="F2118" s="2">
        <v>34.4</v>
      </c>
    </row>
    <row r="2119" spans="1:6" x14ac:dyDescent="0.25">
      <c r="A2119" s="1">
        <v>73167</v>
      </c>
      <c r="B2119" s="2">
        <v>94</v>
      </c>
      <c r="C2119" s="2">
        <v>73</v>
      </c>
      <c r="D2119" s="2">
        <v>80</v>
      </c>
      <c r="E2119" s="2" t="s">
        <v>2119</v>
      </c>
      <c r="F2119" s="2">
        <v>80</v>
      </c>
    </row>
    <row r="2120" spans="1:6" x14ac:dyDescent="0.25">
      <c r="A2120" s="1">
        <v>73168</v>
      </c>
      <c r="B2120" s="2">
        <v>95</v>
      </c>
      <c r="C2120" s="2">
        <v>73</v>
      </c>
      <c r="D2120" s="2">
        <v>120</v>
      </c>
      <c r="E2120" s="2" t="s">
        <v>2120</v>
      </c>
      <c r="F2120" s="2">
        <v>120</v>
      </c>
    </row>
    <row r="2121" spans="1:6" x14ac:dyDescent="0.25">
      <c r="A2121" s="1">
        <v>73169</v>
      </c>
      <c r="B2121" s="2">
        <v>96</v>
      </c>
      <c r="C2121" s="2">
        <v>73</v>
      </c>
      <c r="D2121" s="2">
        <v>294</v>
      </c>
      <c r="E2121" s="2" t="s">
        <v>2121</v>
      </c>
      <c r="F2121" s="2">
        <v>294</v>
      </c>
    </row>
    <row r="2122" spans="1:6" x14ac:dyDescent="0.25">
      <c r="A2122" s="1">
        <v>73170</v>
      </c>
      <c r="B2122" s="2">
        <v>97</v>
      </c>
      <c r="C2122" s="2">
        <v>73</v>
      </c>
      <c r="D2122" s="2">
        <v>405.599999999999</v>
      </c>
      <c r="E2122" s="2" t="s">
        <v>2122</v>
      </c>
      <c r="F2122" s="2">
        <v>405.599999999999</v>
      </c>
    </row>
    <row r="2123" spans="1:6" x14ac:dyDescent="0.25">
      <c r="A2123" s="1">
        <v>73171</v>
      </c>
      <c r="B2123" s="2">
        <v>98</v>
      </c>
      <c r="C2123" s="2">
        <v>73</v>
      </c>
      <c r="D2123" s="2">
        <v>1398</v>
      </c>
      <c r="E2123" s="2" t="s">
        <v>2123</v>
      </c>
      <c r="F2123" s="2">
        <v>1398</v>
      </c>
    </row>
    <row r="2124" spans="1:6" x14ac:dyDescent="0.25">
      <c r="A2124" s="1">
        <v>73172</v>
      </c>
      <c r="B2124" s="2">
        <v>99</v>
      </c>
      <c r="C2124" s="2">
        <v>73</v>
      </c>
      <c r="D2124" s="2">
        <v>2208</v>
      </c>
      <c r="E2124" s="2" t="s">
        <v>2124</v>
      </c>
      <c r="F2124" s="2">
        <v>2208</v>
      </c>
    </row>
    <row r="2125" spans="1:6" x14ac:dyDescent="0.25">
      <c r="A2125" s="1">
        <v>73173</v>
      </c>
      <c r="B2125" s="2">
        <v>100</v>
      </c>
      <c r="C2125" s="2">
        <v>73</v>
      </c>
      <c r="D2125" s="2">
        <v>11304</v>
      </c>
      <c r="E2125" s="2" t="s">
        <v>2125</v>
      </c>
      <c r="F2125" s="2">
        <v>11304</v>
      </c>
    </row>
    <row r="2126" spans="1:6" x14ac:dyDescent="0.25">
      <c r="A2126" s="1">
        <v>73174</v>
      </c>
      <c r="B2126" s="2">
        <v>101</v>
      </c>
      <c r="C2126" s="2">
        <v>73</v>
      </c>
      <c r="D2126" s="2">
        <v>4104</v>
      </c>
      <c r="E2126" s="2" t="s">
        <v>2126</v>
      </c>
      <c r="F2126" s="2">
        <v>4104</v>
      </c>
    </row>
    <row r="2127" spans="1:6" x14ac:dyDescent="0.25">
      <c r="A2127" s="1">
        <v>73175</v>
      </c>
      <c r="B2127" s="2">
        <v>102</v>
      </c>
      <c r="C2127" s="2">
        <v>73</v>
      </c>
      <c r="D2127" s="2">
        <v>37800</v>
      </c>
      <c r="E2127" s="2" t="s">
        <v>2127</v>
      </c>
      <c r="F2127" s="2">
        <v>37800</v>
      </c>
    </row>
    <row r="2128" spans="1:6" x14ac:dyDescent="0.25">
      <c r="A2128" s="1">
        <v>73176</v>
      </c>
      <c r="B2128" s="2">
        <v>103</v>
      </c>
      <c r="C2128" s="2">
        <v>73</v>
      </c>
      <c r="D2128" s="2">
        <v>29124</v>
      </c>
      <c r="E2128" s="2" t="s">
        <v>2128</v>
      </c>
      <c r="F2128" s="2">
        <v>29124</v>
      </c>
    </row>
    <row r="2129" spans="1:6" x14ac:dyDescent="0.25">
      <c r="A2129" s="1">
        <v>73177</v>
      </c>
      <c r="B2129" s="2">
        <v>104</v>
      </c>
      <c r="C2129" s="2">
        <v>73</v>
      </c>
      <c r="D2129" s="2">
        <v>203616</v>
      </c>
      <c r="E2129" s="2" t="s">
        <v>2129</v>
      </c>
      <c r="F2129" s="2">
        <v>203616</v>
      </c>
    </row>
    <row r="2130" spans="1:6" x14ac:dyDescent="0.25">
      <c r="A2130" s="1">
        <v>73178</v>
      </c>
      <c r="B2130" s="2">
        <v>105</v>
      </c>
      <c r="C2130" s="2">
        <v>73</v>
      </c>
      <c r="D2130" s="2">
        <v>558.6</v>
      </c>
      <c r="E2130" s="2" t="s">
        <v>2130</v>
      </c>
      <c r="F2130" s="2">
        <v>558.6</v>
      </c>
    </row>
    <row r="2131" spans="1:6" x14ac:dyDescent="0.25">
      <c r="A2131" s="1">
        <v>73179</v>
      </c>
      <c r="B2131" s="2">
        <v>106</v>
      </c>
      <c r="C2131" s="2">
        <v>73</v>
      </c>
      <c r="D2131" s="2">
        <v>57434832</v>
      </c>
      <c r="E2131" s="2" t="s">
        <v>2131</v>
      </c>
      <c r="F2131" s="2">
        <v>57434832</v>
      </c>
    </row>
    <row r="2132" spans="1:6" x14ac:dyDescent="0.25">
      <c r="A2132" s="1">
        <v>73180</v>
      </c>
      <c r="B2132" s="2">
        <v>107</v>
      </c>
      <c r="C2132" s="2">
        <v>73</v>
      </c>
      <c r="D2132" s="2">
        <v>29354.400000000001</v>
      </c>
      <c r="E2132" s="2" t="s">
        <v>2132</v>
      </c>
      <c r="F2132" s="2">
        <v>29354.400000000001</v>
      </c>
    </row>
    <row r="2133" spans="1:6" x14ac:dyDescent="0.25">
      <c r="A2133" s="1">
        <v>73181</v>
      </c>
      <c r="B2133" s="2">
        <v>108</v>
      </c>
      <c r="C2133" s="2">
        <v>73</v>
      </c>
      <c r="D2133" s="2" t="s">
        <v>3</v>
      </c>
      <c r="E2133" s="2" t="s">
        <v>2133</v>
      </c>
      <c r="F2133" s="2" t="s">
        <v>3</v>
      </c>
    </row>
    <row r="2134" spans="1:6" x14ac:dyDescent="0.25">
      <c r="A2134" s="1">
        <v>73182</v>
      </c>
      <c r="B2134" s="2">
        <v>109</v>
      </c>
      <c r="C2134" s="2">
        <v>73</v>
      </c>
      <c r="D2134" s="2">
        <v>9913536</v>
      </c>
      <c r="E2134" s="2" t="s">
        <v>2134</v>
      </c>
      <c r="F2134" s="2">
        <v>9913536</v>
      </c>
    </row>
    <row r="2135" spans="1:6" x14ac:dyDescent="0.25">
      <c r="A2135" s="1">
        <v>73183</v>
      </c>
      <c r="B2135" s="2">
        <v>110</v>
      </c>
      <c r="C2135" s="2">
        <v>73</v>
      </c>
      <c r="D2135" s="2">
        <v>440639.99999999901</v>
      </c>
      <c r="E2135" s="2" t="s">
        <v>2135</v>
      </c>
      <c r="F2135" s="2">
        <v>440639.99999999901</v>
      </c>
    </row>
    <row r="2136" spans="1:6" x14ac:dyDescent="0.25">
      <c r="A2136" s="1">
        <v>73184</v>
      </c>
      <c r="B2136" s="2">
        <v>111</v>
      </c>
      <c r="C2136" s="2">
        <v>73</v>
      </c>
      <c r="D2136" s="2">
        <v>31319.999999999902</v>
      </c>
      <c r="E2136" s="2" t="s">
        <v>2136</v>
      </c>
      <c r="F2136" s="2">
        <v>31319.999999999902</v>
      </c>
    </row>
    <row r="2137" spans="1:6" x14ac:dyDescent="0.25">
      <c r="A2137" s="1">
        <v>73185</v>
      </c>
      <c r="B2137" s="2">
        <v>112</v>
      </c>
      <c r="C2137" s="2">
        <v>73</v>
      </c>
      <c r="D2137" s="2">
        <v>2964</v>
      </c>
      <c r="E2137" s="2" t="s">
        <v>2137</v>
      </c>
      <c r="F2137" s="2">
        <v>2964</v>
      </c>
    </row>
    <row r="2138" spans="1:6" x14ac:dyDescent="0.25">
      <c r="A2138" s="1">
        <v>73186</v>
      </c>
      <c r="B2138" s="2">
        <v>113</v>
      </c>
      <c r="C2138" s="2">
        <v>73</v>
      </c>
      <c r="D2138" s="2">
        <v>630</v>
      </c>
      <c r="E2138" s="2" t="s">
        <v>2138</v>
      </c>
      <c r="F2138" s="2">
        <v>630</v>
      </c>
    </row>
    <row r="2139" spans="1:6" x14ac:dyDescent="0.25">
      <c r="A2139" s="1">
        <v>73187</v>
      </c>
      <c r="B2139" s="2">
        <v>114</v>
      </c>
      <c r="C2139" s="2">
        <v>73</v>
      </c>
      <c r="D2139" s="2">
        <v>138</v>
      </c>
      <c r="E2139" s="2" t="s">
        <v>2139</v>
      </c>
      <c r="F2139" s="2">
        <v>138</v>
      </c>
    </row>
    <row r="2140" spans="1:6" x14ac:dyDescent="0.25">
      <c r="A2140" s="1">
        <v>73188</v>
      </c>
      <c r="B2140" s="2">
        <v>115</v>
      </c>
      <c r="C2140" s="2">
        <v>73</v>
      </c>
      <c r="D2140" s="2">
        <v>19.600000000000001</v>
      </c>
      <c r="E2140" s="2" t="s">
        <v>2140</v>
      </c>
      <c r="F2140" s="2">
        <v>19.600000000000001</v>
      </c>
    </row>
    <row r="2141" spans="1:6" x14ac:dyDescent="0.25">
      <c r="A2141" s="1">
        <v>73189</v>
      </c>
      <c r="B2141" s="2">
        <v>116</v>
      </c>
      <c r="C2141" s="2">
        <v>73</v>
      </c>
      <c r="D2141" s="2">
        <v>2.9999999999999999E-7</v>
      </c>
      <c r="E2141" s="2" t="s">
        <v>2141</v>
      </c>
      <c r="F2141" s="2">
        <v>2.9999999999999999E-7</v>
      </c>
    </row>
    <row r="2142" spans="1:6" x14ac:dyDescent="0.25">
      <c r="A2142" s="1">
        <v>73190</v>
      </c>
      <c r="B2142" s="2">
        <v>117</v>
      </c>
      <c r="C2142" s="2">
        <v>73</v>
      </c>
      <c r="D2142" s="2">
        <v>5.3</v>
      </c>
      <c r="E2142" s="2" t="s">
        <v>2142</v>
      </c>
      <c r="F2142" s="2">
        <v>5.3</v>
      </c>
    </row>
    <row r="2143" spans="1:6" x14ac:dyDescent="0.25">
      <c r="A2143" s="1">
        <v>73191</v>
      </c>
      <c r="B2143" s="2">
        <v>118</v>
      </c>
      <c r="C2143" s="2">
        <v>73</v>
      </c>
      <c r="D2143" s="2">
        <v>2.9999999999999999E-7</v>
      </c>
      <c r="E2143" s="2" t="s">
        <v>2143</v>
      </c>
      <c r="F2143" s="2">
        <v>2.9999999999999999E-7</v>
      </c>
    </row>
    <row r="2144" spans="1:6" x14ac:dyDescent="0.25">
      <c r="A2144" s="1">
        <v>73192</v>
      </c>
      <c r="B2144" s="2">
        <v>119</v>
      </c>
      <c r="C2144" s="2">
        <v>73</v>
      </c>
      <c r="D2144" s="2">
        <v>2.2000000000000002</v>
      </c>
      <c r="E2144" s="2" t="s">
        <v>2144</v>
      </c>
      <c r="F2144" s="2">
        <v>2.2000000000000002</v>
      </c>
    </row>
    <row r="2145" spans="1:6" x14ac:dyDescent="0.25">
      <c r="A2145" s="1">
        <v>73193</v>
      </c>
      <c r="B2145" s="2">
        <v>120</v>
      </c>
      <c r="C2145" s="2">
        <v>73</v>
      </c>
      <c r="D2145" s="2">
        <v>1.6E-7</v>
      </c>
      <c r="E2145" s="2" t="s">
        <v>2145</v>
      </c>
      <c r="F2145" s="2">
        <v>1.6E-7</v>
      </c>
    </row>
    <row r="2146" spans="1:6" x14ac:dyDescent="0.25">
      <c r="A2146" s="1">
        <v>73194</v>
      </c>
      <c r="B2146" s="2">
        <v>121</v>
      </c>
      <c r="C2146" s="2">
        <v>73</v>
      </c>
      <c r="D2146" s="2">
        <v>1.6E-7</v>
      </c>
      <c r="E2146" s="2" t="s">
        <v>2146</v>
      </c>
      <c r="F2146" s="2">
        <v>1.6E-7</v>
      </c>
    </row>
    <row r="2147" spans="1:6" x14ac:dyDescent="0.25">
      <c r="A2147" s="1">
        <v>74157</v>
      </c>
      <c r="B2147" s="2">
        <v>83</v>
      </c>
      <c r="C2147" s="2">
        <v>74</v>
      </c>
      <c r="D2147" s="2">
        <v>0.27500000000000002</v>
      </c>
      <c r="E2147" s="2" t="s">
        <v>2147</v>
      </c>
      <c r="F2147" s="2">
        <v>0.27500000000000002</v>
      </c>
    </row>
    <row r="2148" spans="1:6" x14ac:dyDescent="0.25">
      <c r="A2148" s="1">
        <v>74158</v>
      </c>
      <c r="B2148" s="2">
        <v>84</v>
      </c>
      <c r="C2148" s="2">
        <v>74</v>
      </c>
      <c r="D2148" s="2">
        <v>1.25E-3</v>
      </c>
      <c r="E2148" s="2" t="s">
        <v>2148</v>
      </c>
      <c r="F2148" s="2">
        <v>1.25E-3</v>
      </c>
    </row>
    <row r="2149" spans="1:6" x14ac:dyDescent="0.25">
      <c r="A2149" s="1">
        <v>74159</v>
      </c>
      <c r="B2149" s="2">
        <v>85</v>
      </c>
      <c r="C2149" s="2">
        <v>74</v>
      </c>
      <c r="D2149" s="2">
        <v>7.3000000000000001E-3</v>
      </c>
      <c r="E2149" s="2" t="s">
        <v>2149</v>
      </c>
      <c r="F2149" s="2">
        <v>7.3000000000000001E-3</v>
      </c>
    </row>
    <row r="2150" spans="1:6" x14ac:dyDescent="0.25">
      <c r="A2150" s="1">
        <v>74160</v>
      </c>
      <c r="B2150" s="2">
        <v>86</v>
      </c>
      <c r="C2150" s="2">
        <v>74</v>
      </c>
      <c r="D2150" s="2">
        <v>9.0999999999999998E-2</v>
      </c>
      <c r="E2150" s="2" t="s">
        <v>2150</v>
      </c>
      <c r="F2150" s="2">
        <v>9.0999999999999998E-2</v>
      </c>
    </row>
    <row r="2151" spans="1:6" x14ac:dyDescent="0.25">
      <c r="A2151" s="1">
        <v>74161</v>
      </c>
      <c r="B2151" s="2">
        <v>87</v>
      </c>
      <c r="C2151" s="2">
        <v>74</v>
      </c>
      <c r="D2151" s="2">
        <v>0.40899999999999997</v>
      </c>
      <c r="E2151" s="2" t="s">
        <v>2151</v>
      </c>
      <c r="F2151" s="2">
        <v>0.40899999999999997</v>
      </c>
    </row>
    <row r="2152" spans="1:6" x14ac:dyDescent="0.25">
      <c r="A2152" s="1">
        <v>74162</v>
      </c>
      <c r="B2152" s="2">
        <v>88</v>
      </c>
      <c r="C2152" s="2">
        <v>74</v>
      </c>
      <c r="D2152" s="2">
        <v>1.36</v>
      </c>
      <c r="E2152" s="2" t="s">
        <v>2152</v>
      </c>
      <c r="F2152" s="2">
        <v>1.36</v>
      </c>
    </row>
    <row r="2153" spans="1:6" x14ac:dyDescent="0.25">
      <c r="A2153" s="1">
        <v>74163</v>
      </c>
      <c r="B2153" s="2">
        <v>89</v>
      </c>
      <c r="C2153" s="2">
        <v>74</v>
      </c>
      <c r="D2153" s="2">
        <v>2.67</v>
      </c>
      <c r="E2153" s="2" t="s">
        <v>2153</v>
      </c>
      <c r="F2153" s="2">
        <v>2.67</v>
      </c>
    </row>
    <row r="2154" spans="1:6" x14ac:dyDescent="0.25">
      <c r="A2154" s="1">
        <v>74164</v>
      </c>
      <c r="B2154" s="2">
        <v>90</v>
      </c>
      <c r="C2154" s="2">
        <v>74</v>
      </c>
      <c r="D2154" s="2">
        <v>6.3</v>
      </c>
      <c r="E2154" s="2" t="s">
        <v>2154</v>
      </c>
      <c r="F2154" s="2">
        <v>6.3</v>
      </c>
    </row>
    <row r="2155" spans="1:6" x14ac:dyDescent="0.25">
      <c r="A2155" s="1">
        <v>74165</v>
      </c>
      <c r="B2155" s="2">
        <v>91</v>
      </c>
      <c r="C2155" s="2">
        <v>74</v>
      </c>
      <c r="D2155" s="2">
        <v>5.0999999999999996</v>
      </c>
      <c r="E2155" s="2" t="s">
        <v>2155</v>
      </c>
      <c r="F2155" s="2">
        <v>5.0999999999999996</v>
      </c>
    </row>
    <row r="2156" spans="1:6" x14ac:dyDescent="0.25">
      <c r="A2156" s="1">
        <v>74166</v>
      </c>
      <c r="B2156" s="2">
        <v>92</v>
      </c>
      <c r="C2156" s="2">
        <v>74</v>
      </c>
      <c r="D2156" s="2">
        <v>19.2</v>
      </c>
      <c r="E2156" s="2" t="s">
        <v>2156</v>
      </c>
      <c r="F2156" s="2">
        <v>19.2</v>
      </c>
    </row>
    <row r="2157" spans="1:6" x14ac:dyDescent="0.25">
      <c r="A2157" s="1">
        <v>74167</v>
      </c>
      <c r="B2157" s="2">
        <v>93</v>
      </c>
      <c r="C2157" s="2">
        <v>74</v>
      </c>
      <c r="D2157" s="2">
        <v>19.899999999999999</v>
      </c>
      <c r="E2157" s="2" t="s">
        <v>2157</v>
      </c>
      <c r="F2157" s="2">
        <v>19.899999999999999</v>
      </c>
    </row>
    <row r="2158" spans="1:6" x14ac:dyDescent="0.25">
      <c r="A2158" s="1">
        <v>74168</v>
      </c>
      <c r="B2158" s="2">
        <v>94</v>
      </c>
      <c r="C2158" s="2">
        <v>74</v>
      </c>
      <c r="D2158" s="2">
        <v>50.9</v>
      </c>
      <c r="E2158" s="2" t="s">
        <v>2158</v>
      </c>
      <c r="F2158" s="2">
        <v>50.9</v>
      </c>
    </row>
    <row r="2159" spans="1:6" x14ac:dyDescent="0.25">
      <c r="A2159" s="1">
        <v>74169</v>
      </c>
      <c r="B2159" s="2">
        <v>95</v>
      </c>
      <c r="C2159" s="2">
        <v>74</v>
      </c>
      <c r="D2159" s="2">
        <v>74</v>
      </c>
      <c r="E2159" s="2" t="s">
        <v>2159</v>
      </c>
      <c r="F2159" s="2">
        <v>74</v>
      </c>
    </row>
    <row r="2160" spans="1:6" x14ac:dyDescent="0.25">
      <c r="A2160" s="1">
        <v>74170</v>
      </c>
      <c r="B2160" s="2">
        <v>96</v>
      </c>
      <c r="C2160" s="2">
        <v>74</v>
      </c>
      <c r="D2160" s="2">
        <v>145.19999999999999</v>
      </c>
      <c r="E2160" s="2" t="s">
        <v>2160</v>
      </c>
      <c r="F2160" s="2">
        <v>145.19999999999999</v>
      </c>
    </row>
    <row r="2161" spans="1:6" x14ac:dyDescent="0.25">
      <c r="A2161" s="1">
        <v>74171</v>
      </c>
      <c r="B2161" s="2">
        <v>97</v>
      </c>
      <c r="C2161" s="2">
        <v>74</v>
      </c>
      <c r="D2161" s="2">
        <v>142.79999999999899</v>
      </c>
      <c r="E2161" s="2" t="s">
        <v>2161</v>
      </c>
      <c r="F2161" s="2">
        <v>142.79999999999899</v>
      </c>
    </row>
    <row r="2162" spans="1:6" x14ac:dyDescent="0.25">
      <c r="A2162" s="1">
        <v>74172</v>
      </c>
      <c r="B2162" s="2">
        <v>98</v>
      </c>
      <c r="C2162" s="2">
        <v>74</v>
      </c>
      <c r="D2162" s="2">
        <v>396</v>
      </c>
      <c r="E2162" s="2" t="s">
        <v>2162</v>
      </c>
      <c r="F2162" s="2">
        <v>396</v>
      </c>
    </row>
    <row r="2163" spans="1:6" x14ac:dyDescent="0.25">
      <c r="A2163" s="1">
        <v>74173</v>
      </c>
      <c r="B2163" s="2">
        <v>99</v>
      </c>
      <c r="C2163" s="2">
        <v>74</v>
      </c>
      <c r="D2163" s="2">
        <v>456</v>
      </c>
      <c r="E2163" s="2" t="s">
        <v>2163</v>
      </c>
      <c r="F2163" s="2">
        <v>456</v>
      </c>
    </row>
    <row r="2164" spans="1:6" x14ac:dyDescent="0.25">
      <c r="A2164" s="1">
        <v>74174</v>
      </c>
      <c r="B2164" s="2">
        <v>100</v>
      </c>
      <c r="C2164" s="2">
        <v>74</v>
      </c>
      <c r="D2164" s="2">
        <v>1992</v>
      </c>
      <c r="E2164" s="2" t="s">
        <v>2164</v>
      </c>
      <c r="F2164" s="2">
        <v>1992</v>
      </c>
    </row>
    <row r="2165" spans="1:6" x14ac:dyDescent="0.25">
      <c r="A2165" s="1">
        <v>74175</v>
      </c>
      <c r="B2165" s="2">
        <v>101</v>
      </c>
      <c r="C2165" s="2">
        <v>74</v>
      </c>
      <c r="D2165" s="2">
        <v>2112</v>
      </c>
      <c r="E2165" s="2" t="s">
        <v>2165</v>
      </c>
      <c r="F2165" s="2">
        <v>2112</v>
      </c>
    </row>
    <row r="2166" spans="1:6" x14ac:dyDescent="0.25">
      <c r="A2166" s="1">
        <v>74176</v>
      </c>
      <c r="B2166" s="2">
        <v>102</v>
      </c>
      <c r="C2166" s="2">
        <v>74</v>
      </c>
      <c r="D2166" s="2">
        <v>9000</v>
      </c>
      <c r="E2166" s="2" t="s">
        <v>2166</v>
      </c>
      <c r="F2166" s="2">
        <v>9000</v>
      </c>
    </row>
    <row r="2167" spans="1:6" x14ac:dyDescent="0.25">
      <c r="A2167" s="1">
        <v>74177</v>
      </c>
      <c r="B2167" s="2">
        <v>103</v>
      </c>
      <c r="C2167" s="2">
        <v>74</v>
      </c>
      <c r="D2167" s="2">
        <v>7920</v>
      </c>
      <c r="E2167" s="2" t="s">
        <v>2167</v>
      </c>
      <c r="F2167" s="2">
        <v>7920</v>
      </c>
    </row>
    <row r="2168" spans="1:6" x14ac:dyDescent="0.25">
      <c r="A2168" s="1">
        <v>74178</v>
      </c>
      <c r="B2168" s="2">
        <v>104</v>
      </c>
      <c r="C2168" s="2">
        <v>74</v>
      </c>
      <c r="D2168" s="2">
        <v>1866240</v>
      </c>
      <c r="E2168" s="2" t="s">
        <v>2168</v>
      </c>
      <c r="F2168" s="2">
        <v>1866240</v>
      </c>
    </row>
    <row r="2169" spans="1:6" x14ac:dyDescent="0.25">
      <c r="A2169" s="1">
        <v>74179</v>
      </c>
      <c r="B2169" s="2">
        <v>105</v>
      </c>
      <c r="C2169" s="2">
        <v>74</v>
      </c>
      <c r="D2169" s="2">
        <v>2223</v>
      </c>
      <c r="E2169" s="2" t="s">
        <v>2169</v>
      </c>
      <c r="F2169" s="2">
        <v>2223</v>
      </c>
    </row>
    <row r="2170" spans="1:6" x14ac:dyDescent="0.25">
      <c r="A2170" s="1">
        <v>74180</v>
      </c>
      <c r="B2170" s="2">
        <v>106</v>
      </c>
      <c r="C2170" s="2">
        <v>74</v>
      </c>
      <c r="D2170" s="2">
        <v>2.0828016E+25</v>
      </c>
      <c r="E2170" s="2" t="s">
        <v>2170</v>
      </c>
      <c r="F2170" s="2">
        <v>2.0828016E+25</v>
      </c>
    </row>
    <row r="2171" spans="1:6" x14ac:dyDescent="0.25">
      <c r="A2171" s="1">
        <v>74181</v>
      </c>
      <c r="B2171" s="2">
        <v>107</v>
      </c>
      <c r="C2171" s="2">
        <v>74</v>
      </c>
      <c r="D2171" s="2">
        <v>10471680</v>
      </c>
      <c r="E2171" s="2" t="s">
        <v>2171</v>
      </c>
      <c r="F2171" s="2">
        <v>10471680</v>
      </c>
    </row>
    <row r="2172" spans="1:6" x14ac:dyDescent="0.25">
      <c r="A2172" s="1">
        <v>74182</v>
      </c>
      <c r="B2172" s="2">
        <v>108</v>
      </c>
      <c r="C2172" s="2">
        <v>74</v>
      </c>
      <c r="D2172" s="2" t="s">
        <v>3</v>
      </c>
      <c r="E2172" s="2" t="s">
        <v>2172</v>
      </c>
      <c r="F2172" s="2" t="s">
        <v>3</v>
      </c>
    </row>
    <row r="2173" spans="1:6" x14ac:dyDescent="0.25">
      <c r="A2173" s="1">
        <v>74183</v>
      </c>
      <c r="B2173" s="2">
        <v>109</v>
      </c>
      <c r="C2173" s="2">
        <v>74</v>
      </c>
      <c r="D2173" s="2">
        <v>2.1143592000000001E+28</v>
      </c>
      <c r="E2173" s="2" t="s">
        <v>2173</v>
      </c>
      <c r="F2173" s="2">
        <v>2.1143592000000001E+28</v>
      </c>
    </row>
    <row r="2174" spans="1:6" x14ac:dyDescent="0.25">
      <c r="A2174" s="1">
        <v>74184</v>
      </c>
      <c r="B2174" s="2">
        <v>110</v>
      </c>
      <c r="C2174" s="2">
        <v>74</v>
      </c>
      <c r="D2174" s="2" t="s">
        <v>3</v>
      </c>
      <c r="E2174" s="2" t="s">
        <v>2174</v>
      </c>
      <c r="F2174" s="2" t="s">
        <v>3</v>
      </c>
    </row>
    <row r="2175" spans="1:6" x14ac:dyDescent="0.25">
      <c r="A2175" s="1">
        <v>74185</v>
      </c>
      <c r="B2175" s="2">
        <v>111</v>
      </c>
      <c r="C2175" s="2">
        <v>74</v>
      </c>
      <c r="D2175" s="2">
        <v>6488639.9999999898</v>
      </c>
      <c r="E2175" s="2" t="s">
        <v>2175</v>
      </c>
      <c r="F2175" s="2">
        <v>6488639.9999999898</v>
      </c>
    </row>
    <row r="2176" spans="1:6" x14ac:dyDescent="0.25">
      <c r="A2176" s="1">
        <v>74186</v>
      </c>
      <c r="B2176" s="2">
        <v>112</v>
      </c>
      <c r="C2176" s="2">
        <v>74</v>
      </c>
      <c r="D2176" s="2">
        <v>7.2582479999999996E+26</v>
      </c>
      <c r="E2176" s="2" t="s">
        <v>2176</v>
      </c>
      <c r="F2176" s="2">
        <v>7.2582479999999996E+26</v>
      </c>
    </row>
    <row r="2177" spans="1:6" x14ac:dyDescent="0.25">
      <c r="A2177" s="1">
        <v>74187</v>
      </c>
      <c r="B2177" s="2">
        <v>113</v>
      </c>
      <c r="C2177" s="2">
        <v>74</v>
      </c>
      <c r="D2177" s="2">
        <v>86400</v>
      </c>
      <c r="E2177" s="2" t="s">
        <v>2177</v>
      </c>
      <c r="F2177" s="2">
        <v>86400</v>
      </c>
    </row>
    <row r="2178" spans="1:6" x14ac:dyDescent="0.25">
      <c r="A2178" s="1">
        <v>74188</v>
      </c>
      <c r="B2178" s="2">
        <v>114</v>
      </c>
      <c r="C2178" s="2">
        <v>74</v>
      </c>
      <c r="D2178" s="2">
        <v>6028992</v>
      </c>
      <c r="E2178" s="2" t="s">
        <v>2178</v>
      </c>
      <c r="F2178" s="2">
        <v>6028992</v>
      </c>
    </row>
    <row r="2179" spans="1:6" x14ac:dyDescent="0.25">
      <c r="A2179" s="1">
        <v>74189</v>
      </c>
      <c r="B2179" s="2">
        <v>115</v>
      </c>
      <c r="C2179" s="2">
        <v>74</v>
      </c>
      <c r="D2179" s="2">
        <v>642</v>
      </c>
      <c r="E2179" s="2" t="s">
        <v>2179</v>
      </c>
      <c r="F2179" s="2">
        <v>642</v>
      </c>
    </row>
    <row r="2180" spans="1:6" x14ac:dyDescent="0.25">
      <c r="A2180" s="1">
        <v>74190</v>
      </c>
      <c r="B2180" s="2">
        <v>116</v>
      </c>
      <c r="C2180" s="2">
        <v>74</v>
      </c>
      <c r="D2180" s="2">
        <v>1800</v>
      </c>
      <c r="E2180" s="2" t="s">
        <v>2180</v>
      </c>
      <c r="F2180" s="2">
        <v>1800</v>
      </c>
    </row>
    <row r="2181" spans="1:6" x14ac:dyDescent="0.25">
      <c r="A2181" s="1">
        <v>74191</v>
      </c>
      <c r="B2181" s="2">
        <v>117</v>
      </c>
      <c r="C2181" s="2">
        <v>74</v>
      </c>
      <c r="D2181" s="2">
        <v>2.9999999999999999E-7</v>
      </c>
      <c r="E2181" s="2" t="s">
        <v>2181</v>
      </c>
      <c r="F2181" s="2">
        <v>2.9999999999999999E-7</v>
      </c>
    </row>
    <row r="2182" spans="1:6" x14ac:dyDescent="0.25">
      <c r="A2182" s="1">
        <v>74193</v>
      </c>
      <c r="B2182" s="2">
        <v>119</v>
      </c>
      <c r="C2182" s="2">
        <v>74</v>
      </c>
      <c r="D2182" s="2">
        <v>2.9999999999999999E-7</v>
      </c>
      <c r="E2182" s="2" t="s">
        <v>2182</v>
      </c>
      <c r="F2182" s="2">
        <v>2.9999999999999999E-7</v>
      </c>
    </row>
    <row r="2183" spans="1:6" x14ac:dyDescent="0.25">
      <c r="A2183" s="1">
        <v>74194</v>
      </c>
      <c r="B2183" s="2">
        <v>120</v>
      </c>
      <c r="C2183" s="2">
        <v>74</v>
      </c>
      <c r="D2183" s="2">
        <v>2.9999999999999999E-7</v>
      </c>
      <c r="E2183" s="2" t="s">
        <v>2183</v>
      </c>
      <c r="F2183" s="2">
        <v>2.9999999999999999E-7</v>
      </c>
    </row>
    <row r="2184" spans="1:6" x14ac:dyDescent="0.25">
      <c r="A2184" s="1">
        <v>74195</v>
      </c>
      <c r="B2184" s="2">
        <v>121</v>
      </c>
      <c r="C2184" s="2">
        <v>74</v>
      </c>
      <c r="D2184" s="2">
        <v>1.6E-7</v>
      </c>
      <c r="E2184" s="2" t="s">
        <v>2184</v>
      </c>
      <c r="F2184" s="2">
        <v>1.6E-7</v>
      </c>
    </row>
    <row r="2185" spans="1:6" x14ac:dyDescent="0.25">
      <c r="A2185" s="1">
        <v>74196</v>
      </c>
      <c r="B2185" s="2">
        <v>122</v>
      </c>
      <c r="C2185" s="2">
        <v>74</v>
      </c>
      <c r="D2185" s="2">
        <v>1.6E-7</v>
      </c>
      <c r="E2185" s="2" t="s">
        <v>2185</v>
      </c>
      <c r="F2185" s="2">
        <v>1.6E-7</v>
      </c>
    </row>
    <row r="2186" spans="1:6" x14ac:dyDescent="0.25">
      <c r="A2186" s="1">
        <v>74197</v>
      </c>
      <c r="B2186" s="2">
        <v>123</v>
      </c>
      <c r="C2186" s="2">
        <v>74</v>
      </c>
      <c r="D2186" s="2">
        <v>1.6E-7</v>
      </c>
      <c r="E2186" s="2" t="s">
        <v>2186</v>
      </c>
      <c r="F2186" s="2">
        <v>1.6E-7</v>
      </c>
    </row>
    <row r="2187" spans="1:6" x14ac:dyDescent="0.25">
      <c r="A2187" s="1">
        <v>75160</v>
      </c>
      <c r="B2187" s="2">
        <v>85</v>
      </c>
      <c r="C2187" s="2">
        <v>75</v>
      </c>
      <c r="D2187" s="2">
        <v>8.1999999999999998E-4</v>
      </c>
      <c r="E2187" s="2" t="s">
        <v>2187</v>
      </c>
      <c r="F2187" s="2">
        <v>8.1999999999999998E-4</v>
      </c>
    </row>
    <row r="2188" spans="1:6" x14ac:dyDescent="0.25">
      <c r="A2188" s="1">
        <v>75161</v>
      </c>
      <c r="B2188" s="2">
        <v>86</v>
      </c>
      <c r="C2188" s="2">
        <v>75</v>
      </c>
      <c r="D2188" s="2">
        <v>4.4000000000000002E-4</v>
      </c>
      <c r="E2188" s="2" t="s">
        <v>2188</v>
      </c>
      <c r="F2188" s="2">
        <v>4.4000000000000002E-4</v>
      </c>
    </row>
    <row r="2189" spans="1:6" x14ac:dyDescent="0.25">
      <c r="A2189" s="1">
        <v>75162</v>
      </c>
      <c r="B2189" s="2">
        <v>87</v>
      </c>
      <c r="C2189" s="2">
        <v>75</v>
      </c>
      <c r="D2189" s="2">
        <v>0.107</v>
      </c>
      <c r="E2189" s="2" t="s">
        <v>2189</v>
      </c>
      <c r="F2189" s="2">
        <v>0.107</v>
      </c>
    </row>
    <row r="2190" spans="1:6" x14ac:dyDescent="0.25">
      <c r="A2190" s="1">
        <v>75163</v>
      </c>
      <c r="B2190" s="2">
        <v>88</v>
      </c>
      <c r="C2190" s="2">
        <v>75</v>
      </c>
      <c r="D2190" s="2">
        <v>0.39</v>
      </c>
      <c r="E2190" s="2" t="s">
        <v>2190</v>
      </c>
      <c r="F2190" s="2">
        <v>0.39</v>
      </c>
    </row>
    <row r="2191" spans="1:6" x14ac:dyDescent="0.25">
      <c r="A2191" s="1">
        <v>75164</v>
      </c>
      <c r="B2191" s="2">
        <v>89</v>
      </c>
      <c r="C2191" s="2">
        <v>75</v>
      </c>
      <c r="D2191" s="2">
        <v>0.85</v>
      </c>
      <c r="E2191" s="2" t="s">
        <v>2191</v>
      </c>
      <c r="F2191" s="2">
        <v>0.85</v>
      </c>
    </row>
    <row r="2192" spans="1:6" x14ac:dyDescent="0.25">
      <c r="A2192" s="1">
        <v>75165</v>
      </c>
      <c r="B2192" s="2">
        <v>90</v>
      </c>
      <c r="C2192" s="2">
        <v>75</v>
      </c>
      <c r="D2192" s="2">
        <v>1.6</v>
      </c>
      <c r="E2192" s="2" t="s">
        <v>2192</v>
      </c>
      <c r="F2192" s="2">
        <v>1.6</v>
      </c>
    </row>
    <row r="2193" spans="1:6" x14ac:dyDescent="0.25">
      <c r="A2193" s="1">
        <v>75166</v>
      </c>
      <c r="B2193" s="2">
        <v>91</v>
      </c>
      <c r="C2193" s="2">
        <v>75</v>
      </c>
      <c r="D2193" s="2">
        <v>2.25</v>
      </c>
      <c r="E2193" s="2" t="s">
        <v>2193</v>
      </c>
      <c r="F2193" s="2">
        <v>2.25</v>
      </c>
    </row>
    <row r="2194" spans="1:6" x14ac:dyDescent="0.25">
      <c r="A2194" s="1">
        <v>75167</v>
      </c>
      <c r="B2194" s="2">
        <v>92</v>
      </c>
      <c r="C2194" s="2">
        <v>75</v>
      </c>
      <c r="D2194" s="2">
        <v>5.9</v>
      </c>
      <c r="E2194" s="2" t="s">
        <v>2194</v>
      </c>
      <c r="F2194" s="2">
        <v>5.9</v>
      </c>
    </row>
    <row r="2195" spans="1:6" x14ac:dyDescent="0.25">
      <c r="A2195" s="1">
        <v>75168</v>
      </c>
      <c r="B2195" s="2">
        <v>93</v>
      </c>
      <c r="C2195" s="2">
        <v>75</v>
      </c>
      <c r="D2195" s="2">
        <v>4.4000000000000004</v>
      </c>
      <c r="E2195" s="2" t="s">
        <v>2195</v>
      </c>
      <c r="F2195" s="2">
        <v>4.4000000000000004</v>
      </c>
    </row>
    <row r="2196" spans="1:6" x14ac:dyDescent="0.25">
      <c r="A2196" s="1">
        <v>75169</v>
      </c>
      <c r="B2196" s="2">
        <v>94</v>
      </c>
      <c r="C2196" s="2">
        <v>75</v>
      </c>
      <c r="D2196" s="2">
        <v>8.1</v>
      </c>
      <c r="E2196" s="2" t="s">
        <v>2196</v>
      </c>
      <c r="F2196" s="2">
        <v>8.1</v>
      </c>
    </row>
    <row r="2197" spans="1:6" x14ac:dyDescent="0.25">
      <c r="A2197" s="1">
        <v>75170</v>
      </c>
      <c r="B2197" s="2">
        <v>95</v>
      </c>
      <c r="C2197" s="2">
        <v>75</v>
      </c>
      <c r="D2197" s="2">
        <v>9.1999999999999993</v>
      </c>
      <c r="E2197" s="2" t="s">
        <v>2197</v>
      </c>
      <c r="F2197" s="2">
        <v>9.1999999999999993</v>
      </c>
    </row>
    <row r="2198" spans="1:6" x14ac:dyDescent="0.25">
      <c r="A2198" s="1">
        <v>75171</v>
      </c>
      <c r="B2198" s="2">
        <v>96</v>
      </c>
      <c r="C2198" s="2">
        <v>75</v>
      </c>
      <c r="D2198" s="2">
        <v>15.2</v>
      </c>
      <c r="E2198" s="2" t="s">
        <v>2198</v>
      </c>
      <c r="F2198" s="2">
        <v>15.2</v>
      </c>
    </row>
    <row r="2199" spans="1:6" x14ac:dyDescent="0.25">
      <c r="A2199" s="1">
        <v>75172</v>
      </c>
      <c r="B2199" s="2">
        <v>97</v>
      </c>
      <c r="C2199" s="2">
        <v>75</v>
      </c>
      <c r="D2199" s="2">
        <v>55</v>
      </c>
      <c r="E2199" s="2" t="s">
        <v>2199</v>
      </c>
      <c r="F2199" s="2">
        <v>55</v>
      </c>
    </row>
    <row r="2200" spans="1:6" x14ac:dyDescent="0.25">
      <c r="A2200" s="1">
        <v>75173</v>
      </c>
      <c r="B2200" s="2">
        <v>98</v>
      </c>
      <c r="C2200" s="2">
        <v>75</v>
      </c>
      <c r="D2200" s="2">
        <v>118.8</v>
      </c>
      <c r="E2200" s="2" t="s">
        <v>2200</v>
      </c>
      <c r="F2200" s="2">
        <v>118.8</v>
      </c>
    </row>
    <row r="2201" spans="1:6" x14ac:dyDescent="0.25">
      <c r="A2201" s="1">
        <v>75174</v>
      </c>
      <c r="B2201" s="2">
        <v>99</v>
      </c>
      <c r="C2201" s="2">
        <v>75</v>
      </c>
      <c r="D2201" s="2">
        <v>144</v>
      </c>
      <c r="E2201" s="2" t="s">
        <v>2201</v>
      </c>
      <c r="F2201" s="2">
        <v>144</v>
      </c>
    </row>
    <row r="2202" spans="1:6" x14ac:dyDescent="0.25">
      <c r="A2202" s="1">
        <v>75175</v>
      </c>
      <c r="B2202" s="2">
        <v>100</v>
      </c>
      <c r="C2202" s="2">
        <v>75</v>
      </c>
      <c r="D2202" s="2">
        <v>353.4</v>
      </c>
      <c r="E2202" s="2" t="s">
        <v>2202</v>
      </c>
      <c r="F2202" s="2">
        <v>353.4</v>
      </c>
    </row>
    <row r="2203" spans="1:6" x14ac:dyDescent="0.25">
      <c r="A2203" s="1">
        <v>75176</v>
      </c>
      <c r="B2203" s="2">
        <v>101</v>
      </c>
      <c r="C2203" s="2">
        <v>75</v>
      </c>
      <c r="D2203" s="2">
        <v>318</v>
      </c>
      <c r="E2203" s="2" t="s">
        <v>2203</v>
      </c>
      <c r="F2203" s="2">
        <v>318</v>
      </c>
    </row>
    <row r="2204" spans="1:6" x14ac:dyDescent="0.25">
      <c r="A2204" s="1">
        <v>75177</v>
      </c>
      <c r="B2204" s="2">
        <v>102</v>
      </c>
      <c r="C2204" s="2">
        <v>75</v>
      </c>
      <c r="D2204" s="2">
        <v>840</v>
      </c>
      <c r="E2204" s="2" t="s">
        <v>2204</v>
      </c>
      <c r="F2204" s="2">
        <v>840</v>
      </c>
    </row>
    <row r="2205" spans="1:6" x14ac:dyDescent="0.25">
      <c r="A2205" s="1">
        <v>75178</v>
      </c>
      <c r="B2205" s="2">
        <v>103</v>
      </c>
      <c r="C2205" s="2">
        <v>75</v>
      </c>
      <c r="D2205" s="2">
        <v>792</v>
      </c>
      <c r="E2205" s="2" t="s">
        <v>2205</v>
      </c>
      <c r="F2205" s="2">
        <v>792</v>
      </c>
    </row>
    <row r="2206" spans="1:6" x14ac:dyDescent="0.25">
      <c r="A2206" s="1">
        <v>75179</v>
      </c>
      <c r="B2206" s="2">
        <v>104</v>
      </c>
      <c r="C2206" s="2">
        <v>75</v>
      </c>
      <c r="D2206" s="2">
        <v>1170</v>
      </c>
      <c r="E2206" s="2" t="s">
        <v>2206</v>
      </c>
      <c r="F2206" s="2">
        <v>1170</v>
      </c>
    </row>
    <row r="2207" spans="1:6" x14ac:dyDescent="0.25">
      <c r="A2207" s="1">
        <v>75180</v>
      </c>
      <c r="B2207" s="2">
        <v>105</v>
      </c>
      <c r="C2207" s="2">
        <v>75</v>
      </c>
      <c r="D2207" s="2">
        <v>147.6</v>
      </c>
      <c r="E2207" s="2" t="s">
        <v>2207</v>
      </c>
      <c r="F2207" s="2">
        <v>147.6</v>
      </c>
    </row>
    <row r="2208" spans="1:6" x14ac:dyDescent="0.25">
      <c r="A2208" s="1">
        <v>75181</v>
      </c>
      <c r="B2208" s="2">
        <v>106</v>
      </c>
      <c r="C2208" s="2">
        <v>75</v>
      </c>
      <c r="D2208" s="2">
        <v>71640</v>
      </c>
      <c r="E2208" s="2" t="s">
        <v>2208</v>
      </c>
      <c r="F2208" s="2">
        <v>71640</v>
      </c>
    </row>
    <row r="2209" spans="1:6" x14ac:dyDescent="0.25">
      <c r="A2209" s="1">
        <v>75182</v>
      </c>
      <c r="B2209" s="2">
        <v>107</v>
      </c>
      <c r="C2209" s="2">
        <v>75</v>
      </c>
      <c r="D2209" s="2">
        <v>231120</v>
      </c>
      <c r="E2209" s="2" t="s">
        <v>2209</v>
      </c>
      <c r="F2209" s="2">
        <v>231120</v>
      </c>
    </row>
    <row r="2210" spans="1:6" x14ac:dyDescent="0.25">
      <c r="A2210" s="1">
        <v>75183</v>
      </c>
      <c r="B2210" s="2">
        <v>108</v>
      </c>
      <c r="C2210" s="2">
        <v>75</v>
      </c>
      <c r="D2210" s="2">
        <v>6048000</v>
      </c>
      <c r="E2210" s="2" t="s">
        <v>2210</v>
      </c>
      <c r="F2210" s="2">
        <v>6048000</v>
      </c>
    </row>
    <row r="2211" spans="1:6" x14ac:dyDescent="0.25">
      <c r="A2211" s="1">
        <v>75184</v>
      </c>
      <c r="B2211" s="2">
        <v>109</v>
      </c>
      <c r="C2211" s="2">
        <v>75</v>
      </c>
      <c r="D2211" s="2">
        <v>3058560</v>
      </c>
      <c r="E2211" s="2" t="s">
        <v>2211</v>
      </c>
      <c r="F2211" s="2">
        <v>3058560</v>
      </c>
    </row>
    <row r="2212" spans="1:6" x14ac:dyDescent="0.25">
      <c r="A2212" s="1">
        <v>75185</v>
      </c>
      <c r="B2212" s="2">
        <v>110</v>
      </c>
      <c r="C2212" s="2">
        <v>75</v>
      </c>
      <c r="D2212" s="2" t="s">
        <v>3</v>
      </c>
      <c r="E2212" s="2" t="s">
        <v>2212</v>
      </c>
      <c r="F2212" s="2" t="s">
        <v>3</v>
      </c>
    </row>
    <row r="2213" spans="1:6" x14ac:dyDescent="0.25">
      <c r="A2213" s="1">
        <v>75186</v>
      </c>
      <c r="B2213" s="2">
        <v>111</v>
      </c>
      <c r="C2213" s="2">
        <v>75</v>
      </c>
      <c r="D2213" s="2">
        <v>321287.03999999998</v>
      </c>
      <c r="E2213" s="2" t="s">
        <v>2213</v>
      </c>
      <c r="F2213" s="2">
        <v>321287.03999999998</v>
      </c>
    </row>
    <row r="2214" spans="1:6" x14ac:dyDescent="0.25">
      <c r="A2214" s="1">
        <v>75187</v>
      </c>
      <c r="B2214" s="2">
        <v>112</v>
      </c>
      <c r="C2214" s="2">
        <v>75</v>
      </c>
      <c r="D2214" s="2">
        <v>1.36644408E+18</v>
      </c>
      <c r="E2214" s="2" t="s">
        <v>2214</v>
      </c>
      <c r="F2214" s="2">
        <v>1.36644408E+18</v>
      </c>
    </row>
    <row r="2215" spans="1:6" x14ac:dyDescent="0.25">
      <c r="A2215" s="1">
        <v>75188</v>
      </c>
      <c r="B2215" s="2">
        <v>113</v>
      </c>
      <c r="C2215" s="2">
        <v>75</v>
      </c>
      <c r="D2215" s="2">
        <v>61210.8</v>
      </c>
      <c r="E2215" s="2" t="s">
        <v>2215</v>
      </c>
      <c r="F2215" s="2">
        <v>61210.8</v>
      </c>
    </row>
    <row r="2216" spans="1:6" x14ac:dyDescent="0.25">
      <c r="A2216" s="1">
        <v>75189</v>
      </c>
      <c r="B2216" s="2">
        <v>114</v>
      </c>
      <c r="C2216" s="2">
        <v>75</v>
      </c>
      <c r="D2216" s="2">
        <v>87480</v>
      </c>
      <c r="E2216" s="2" t="s">
        <v>2216</v>
      </c>
      <c r="F2216" s="2">
        <v>87480</v>
      </c>
    </row>
    <row r="2217" spans="1:6" x14ac:dyDescent="0.25">
      <c r="A2217" s="1">
        <v>75190</v>
      </c>
      <c r="B2217" s="2">
        <v>115</v>
      </c>
      <c r="C2217" s="2">
        <v>75</v>
      </c>
      <c r="D2217" s="2">
        <v>186</v>
      </c>
      <c r="E2217" s="2" t="s">
        <v>2217</v>
      </c>
      <c r="F2217" s="2">
        <v>186</v>
      </c>
    </row>
    <row r="2218" spans="1:6" x14ac:dyDescent="0.25">
      <c r="A2218" s="1">
        <v>75191</v>
      </c>
      <c r="B2218" s="2">
        <v>116</v>
      </c>
      <c r="C2218" s="2">
        <v>75</v>
      </c>
      <c r="D2218" s="2">
        <v>588</v>
      </c>
      <c r="E2218" s="2" t="s">
        <v>2218</v>
      </c>
      <c r="F2218" s="2">
        <v>588</v>
      </c>
    </row>
    <row r="2219" spans="1:6" x14ac:dyDescent="0.25">
      <c r="A2219" s="1">
        <v>75192</v>
      </c>
      <c r="B2219" s="2">
        <v>117</v>
      </c>
      <c r="C2219" s="2">
        <v>75</v>
      </c>
      <c r="D2219" s="2">
        <v>16</v>
      </c>
      <c r="E2219" s="2" t="s">
        <v>2219</v>
      </c>
      <c r="F2219" s="2">
        <v>16</v>
      </c>
    </row>
    <row r="2220" spans="1:6" x14ac:dyDescent="0.25">
      <c r="A2220" s="1">
        <v>75194</v>
      </c>
      <c r="B2220" s="2">
        <v>119</v>
      </c>
      <c r="C2220" s="2">
        <v>75</v>
      </c>
      <c r="D2220" s="2">
        <v>5</v>
      </c>
      <c r="E2220" s="2" t="s">
        <v>2220</v>
      </c>
      <c r="F2220" s="2">
        <v>5</v>
      </c>
    </row>
    <row r="2221" spans="1:6" x14ac:dyDescent="0.25">
      <c r="A2221" s="1">
        <v>75195</v>
      </c>
      <c r="B2221" s="2">
        <v>120</v>
      </c>
      <c r="C2221" s="2">
        <v>75</v>
      </c>
      <c r="D2221" s="2">
        <v>6</v>
      </c>
      <c r="E2221" s="2" t="s">
        <v>2221</v>
      </c>
      <c r="F2221" s="2">
        <v>6</v>
      </c>
    </row>
    <row r="2222" spans="1:6" x14ac:dyDescent="0.25">
      <c r="A2222" s="1">
        <v>75196</v>
      </c>
      <c r="B2222" s="2">
        <v>121</v>
      </c>
      <c r="C2222" s="2">
        <v>75</v>
      </c>
      <c r="D2222" s="2">
        <v>3</v>
      </c>
      <c r="E2222" s="2" t="s">
        <v>2222</v>
      </c>
      <c r="F2222" s="2">
        <v>3</v>
      </c>
    </row>
    <row r="2223" spans="1:6" x14ac:dyDescent="0.25">
      <c r="A2223" s="1">
        <v>75197</v>
      </c>
      <c r="B2223" s="2">
        <v>122</v>
      </c>
      <c r="C2223" s="2">
        <v>75</v>
      </c>
      <c r="D2223" s="2">
        <v>1.6E-7</v>
      </c>
      <c r="E2223" s="2" t="s">
        <v>2223</v>
      </c>
      <c r="F2223" s="2">
        <v>1.6E-7</v>
      </c>
    </row>
    <row r="2224" spans="1:6" x14ac:dyDescent="0.25">
      <c r="A2224" s="1">
        <v>75198</v>
      </c>
      <c r="B2224" s="2">
        <v>123</v>
      </c>
      <c r="C2224" s="2">
        <v>75</v>
      </c>
      <c r="D2224" s="2">
        <v>1.6E-7</v>
      </c>
      <c r="E2224" s="2" t="s">
        <v>2224</v>
      </c>
      <c r="F2224" s="2">
        <v>1.6E-7</v>
      </c>
    </row>
    <row r="2225" spans="1:6" x14ac:dyDescent="0.25">
      <c r="A2225" s="1">
        <v>75199</v>
      </c>
      <c r="B2225" s="2">
        <v>124</v>
      </c>
      <c r="C2225" s="2">
        <v>75</v>
      </c>
      <c r="D2225" s="2">
        <v>1.6E-7</v>
      </c>
      <c r="E2225" s="2" t="s">
        <v>2225</v>
      </c>
      <c r="F2225" s="2">
        <v>1.6E-7</v>
      </c>
    </row>
    <row r="2226" spans="1:6" x14ac:dyDescent="0.25">
      <c r="A2226" s="1">
        <v>76161</v>
      </c>
      <c r="B2226" s="2">
        <v>85</v>
      </c>
      <c r="C2226" s="2">
        <v>76</v>
      </c>
      <c r="D2226" s="2">
        <v>6.3999999999999897E-4</v>
      </c>
      <c r="E2226" s="2" t="s">
        <v>2226</v>
      </c>
      <c r="F2226" s="2">
        <v>6.3999999999999897E-4</v>
      </c>
    </row>
    <row r="2227" spans="1:6" x14ac:dyDescent="0.25">
      <c r="A2227" s="1">
        <v>76162</v>
      </c>
      <c r="B2227" s="2">
        <v>86</v>
      </c>
      <c r="C2227" s="2">
        <v>76</v>
      </c>
      <c r="D2227" s="2">
        <v>2.0999999999999999E-3</v>
      </c>
      <c r="E2227" s="2" t="s">
        <v>2227</v>
      </c>
      <c r="F2227" s="2">
        <v>2.0999999999999999E-3</v>
      </c>
    </row>
    <row r="2228" spans="1:6" x14ac:dyDescent="0.25">
      <c r="A2228" s="1">
        <v>76163</v>
      </c>
      <c r="B2228" s="2">
        <v>87</v>
      </c>
      <c r="C2228" s="2">
        <v>76</v>
      </c>
      <c r="D2228" s="2">
        <v>5.4999999999999997E-3</v>
      </c>
      <c r="E2228" s="2" t="s">
        <v>2228</v>
      </c>
      <c r="F2228" s="2">
        <v>5.4999999999999997E-3</v>
      </c>
    </row>
    <row r="2229" spans="1:6" x14ac:dyDescent="0.25">
      <c r="A2229" s="1">
        <v>76164</v>
      </c>
      <c r="B2229" s="2">
        <v>88</v>
      </c>
      <c r="C2229" s="2">
        <v>76</v>
      </c>
      <c r="D2229" s="2">
        <v>2.1000000000000001E-2</v>
      </c>
      <c r="E2229" s="2" t="s">
        <v>2229</v>
      </c>
      <c r="F2229" s="2">
        <v>2.1000000000000001E-2</v>
      </c>
    </row>
    <row r="2230" spans="1:6" x14ac:dyDescent="0.25">
      <c r="A2230" s="1">
        <v>76165</v>
      </c>
      <c r="B2230" s="2">
        <v>89</v>
      </c>
      <c r="C2230" s="2">
        <v>76</v>
      </c>
      <c r="D2230" s="2">
        <v>7.0999999999999994E-2</v>
      </c>
      <c r="E2230" s="2" t="s">
        <v>2230</v>
      </c>
      <c r="F2230" s="2">
        <v>7.0999999999999994E-2</v>
      </c>
    </row>
    <row r="2231" spans="1:6" x14ac:dyDescent="0.25">
      <c r="A2231" s="1">
        <v>76166</v>
      </c>
      <c r="B2231" s="2">
        <v>90</v>
      </c>
      <c r="C2231" s="2">
        <v>76</v>
      </c>
      <c r="D2231" s="2">
        <v>0.20799999999999999</v>
      </c>
      <c r="E2231" s="2" t="s">
        <v>2231</v>
      </c>
      <c r="F2231" s="2">
        <v>0.20799999999999999</v>
      </c>
    </row>
    <row r="2232" spans="1:6" x14ac:dyDescent="0.25">
      <c r="A2232" s="1">
        <v>76167</v>
      </c>
      <c r="B2232" s="2">
        <v>91</v>
      </c>
      <c r="C2232" s="2">
        <v>76</v>
      </c>
      <c r="D2232" s="2">
        <v>0.81</v>
      </c>
      <c r="E2232" s="2" t="s">
        <v>2232</v>
      </c>
      <c r="F2232" s="2">
        <v>0.81</v>
      </c>
    </row>
    <row r="2233" spans="1:6" x14ac:dyDescent="0.25">
      <c r="A2233" s="1">
        <v>76168</v>
      </c>
      <c r="B2233" s="2">
        <v>92</v>
      </c>
      <c r="C2233" s="2">
        <v>76</v>
      </c>
      <c r="D2233" s="2">
        <v>2.1</v>
      </c>
      <c r="E2233" s="2" t="s">
        <v>2233</v>
      </c>
      <c r="F2233" s="2">
        <v>2.1</v>
      </c>
    </row>
    <row r="2234" spans="1:6" x14ac:dyDescent="0.25">
      <c r="A2234" s="1">
        <v>76169</v>
      </c>
      <c r="B2234" s="2">
        <v>93</v>
      </c>
      <c r="C2234" s="2">
        <v>76</v>
      </c>
      <c r="D2234" s="2">
        <v>3.43</v>
      </c>
      <c r="E2234" s="2" t="s">
        <v>2234</v>
      </c>
      <c r="F2234" s="2">
        <v>3.43</v>
      </c>
    </row>
    <row r="2235" spans="1:6" x14ac:dyDescent="0.25">
      <c r="A2235" s="1">
        <v>76170</v>
      </c>
      <c r="B2235" s="2">
        <v>94</v>
      </c>
      <c r="C2235" s="2">
        <v>76</v>
      </c>
      <c r="D2235" s="2">
        <v>7.37</v>
      </c>
      <c r="E2235" s="2" t="s">
        <v>2235</v>
      </c>
      <c r="F2235" s="2">
        <v>7.37</v>
      </c>
    </row>
    <row r="2236" spans="1:6" x14ac:dyDescent="0.25">
      <c r="A2236" s="1">
        <v>76171</v>
      </c>
      <c r="B2236" s="2">
        <v>95</v>
      </c>
      <c r="C2236" s="2">
        <v>76</v>
      </c>
      <c r="D2236" s="2">
        <v>8.3000000000000007</v>
      </c>
      <c r="E2236" s="2" t="s">
        <v>2236</v>
      </c>
      <c r="F2236" s="2">
        <v>8.3000000000000007</v>
      </c>
    </row>
    <row r="2237" spans="1:6" x14ac:dyDescent="0.25">
      <c r="A2237" s="1">
        <v>76172</v>
      </c>
      <c r="B2237" s="2">
        <v>96</v>
      </c>
      <c r="C2237" s="2">
        <v>76</v>
      </c>
      <c r="D2237" s="2">
        <v>19.2</v>
      </c>
      <c r="E2237" s="2" t="s">
        <v>2237</v>
      </c>
      <c r="F2237" s="2">
        <v>19.2</v>
      </c>
    </row>
    <row r="2238" spans="1:6" x14ac:dyDescent="0.25">
      <c r="A2238" s="1">
        <v>76173</v>
      </c>
      <c r="B2238" s="2">
        <v>97</v>
      </c>
      <c r="C2238" s="2">
        <v>76</v>
      </c>
      <c r="D2238" s="2">
        <v>22.4</v>
      </c>
      <c r="E2238" s="2" t="s">
        <v>2238</v>
      </c>
      <c r="F2238" s="2">
        <v>22.4</v>
      </c>
    </row>
    <row r="2239" spans="1:6" x14ac:dyDescent="0.25">
      <c r="A2239" s="1">
        <v>76174</v>
      </c>
      <c r="B2239" s="2">
        <v>98</v>
      </c>
      <c r="C2239" s="2">
        <v>76</v>
      </c>
      <c r="D2239" s="2">
        <v>44</v>
      </c>
      <c r="E2239" s="2" t="s">
        <v>2239</v>
      </c>
      <c r="F2239" s="2">
        <v>44</v>
      </c>
    </row>
    <row r="2240" spans="1:6" x14ac:dyDescent="0.25">
      <c r="A2240" s="1">
        <v>76175</v>
      </c>
      <c r="B2240" s="2">
        <v>99</v>
      </c>
      <c r="C2240" s="2">
        <v>76</v>
      </c>
      <c r="D2240" s="2">
        <v>84</v>
      </c>
      <c r="E2240" s="2" t="s">
        <v>2240</v>
      </c>
      <c r="F2240" s="2">
        <v>84</v>
      </c>
    </row>
    <row r="2241" spans="1:6" x14ac:dyDescent="0.25">
      <c r="A2241" s="1">
        <v>76176</v>
      </c>
      <c r="B2241" s="2">
        <v>100</v>
      </c>
      <c r="C2241" s="2">
        <v>76</v>
      </c>
      <c r="D2241" s="2">
        <v>216</v>
      </c>
      <c r="E2241" s="2" t="s">
        <v>2241</v>
      </c>
      <c r="F2241" s="2">
        <v>216</v>
      </c>
    </row>
    <row r="2242" spans="1:6" x14ac:dyDescent="0.25">
      <c r="A2242" s="1">
        <v>76177</v>
      </c>
      <c r="B2242" s="2">
        <v>101</v>
      </c>
      <c r="C2242" s="2">
        <v>76</v>
      </c>
      <c r="D2242" s="2">
        <v>180</v>
      </c>
      <c r="E2242" s="2" t="s">
        <v>2242</v>
      </c>
      <c r="F2242" s="2">
        <v>180</v>
      </c>
    </row>
    <row r="2243" spans="1:6" x14ac:dyDescent="0.25">
      <c r="A2243" s="1">
        <v>76178</v>
      </c>
      <c r="B2243" s="2">
        <v>102</v>
      </c>
      <c r="C2243" s="2">
        <v>76</v>
      </c>
      <c r="D2243" s="2">
        <v>300</v>
      </c>
      <c r="E2243" s="2" t="s">
        <v>2243</v>
      </c>
      <c r="F2243" s="2">
        <v>300</v>
      </c>
    </row>
    <row r="2244" spans="1:6" x14ac:dyDescent="0.25">
      <c r="A2244" s="1">
        <v>76179</v>
      </c>
      <c r="B2244" s="2">
        <v>103</v>
      </c>
      <c r="C2244" s="2">
        <v>76</v>
      </c>
      <c r="D2244" s="2">
        <v>390</v>
      </c>
      <c r="E2244" s="2" t="s">
        <v>2244</v>
      </c>
      <c r="F2244" s="2">
        <v>390</v>
      </c>
    </row>
    <row r="2245" spans="1:6" x14ac:dyDescent="0.25">
      <c r="A2245" s="1">
        <v>76180</v>
      </c>
      <c r="B2245" s="2">
        <v>104</v>
      </c>
      <c r="C2245" s="2">
        <v>76</v>
      </c>
      <c r="D2245" s="2">
        <v>1290</v>
      </c>
      <c r="E2245" s="2" t="s">
        <v>2245</v>
      </c>
      <c r="F2245" s="2">
        <v>1290</v>
      </c>
    </row>
    <row r="2246" spans="1:6" x14ac:dyDescent="0.25">
      <c r="A2246" s="1">
        <v>76181</v>
      </c>
      <c r="B2246" s="2">
        <v>105</v>
      </c>
      <c r="C2246" s="2">
        <v>76</v>
      </c>
      <c r="D2246" s="2">
        <v>6300</v>
      </c>
      <c r="E2246" s="2" t="s">
        <v>2246</v>
      </c>
      <c r="F2246" s="2">
        <v>6300</v>
      </c>
    </row>
    <row r="2247" spans="1:6" x14ac:dyDescent="0.25">
      <c r="A2247" s="1">
        <v>76182</v>
      </c>
      <c r="B2247" s="2">
        <v>106</v>
      </c>
      <c r="C2247" s="2">
        <v>76</v>
      </c>
      <c r="D2247" s="2">
        <v>78624</v>
      </c>
      <c r="E2247" s="2" t="s">
        <v>2247</v>
      </c>
      <c r="F2247" s="2">
        <v>78624</v>
      </c>
    </row>
    <row r="2248" spans="1:6" x14ac:dyDescent="0.25">
      <c r="A2248" s="1">
        <v>76183</v>
      </c>
      <c r="B2248" s="2">
        <v>107</v>
      </c>
      <c r="C2248" s="2">
        <v>76</v>
      </c>
      <c r="D2248" s="2">
        <v>46800</v>
      </c>
      <c r="E2248" s="2" t="s">
        <v>2248</v>
      </c>
      <c r="F2248" s="2">
        <v>46800</v>
      </c>
    </row>
    <row r="2249" spans="1:6" x14ac:dyDescent="0.25">
      <c r="A2249" s="1">
        <v>76184</v>
      </c>
      <c r="B2249" s="2">
        <v>108</v>
      </c>
      <c r="C2249" s="2">
        <v>76</v>
      </c>
      <c r="D2249" s="2">
        <v>1.7672256E+21</v>
      </c>
      <c r="E2249" s="2" t="s">
        <v>2249</v>
      </c>
      <c r="F2249" s="2">
        <v>1.7672256E+21</v>
      </c>
    </row>
    <row r="2250" spans="1:6" x14ac:dyDescent="0.25">
      <c r="A2250" s="1">
        <v>76185</v>
      </c>
      <c r="B2250" s="2">
        <v>109</v>
      </c>
      <c r="C2250" s="2">
        <v>76</v>
      </c>
      <c r="D2250" s="2">
        <v>8087039.9999999898</v>
      </c>
      <c r="E2250" s="2" t="s">
        <v>2250</v>
      </c>
      <c r="F2250" s="2">
        <v>8087039.9999999898</v>
      </c>
    </row>
    <row r="2251" spans="1:6" x14ac:dyDescent="0.25">
      <c r="A2251" s="1">
        <v>76186</v>
      </c>
      <c r="B2251" s="2">
        <v>110</v>
      </c>
      <c r="C2251" s="2">
        <v>76</v>
      </c>
      <c r="D2251" s="2">
        <v>6.3115200000000002E+22</v>
      </c>
      <c r="E2251" s="2" t="s">
        <v>2251</v>
      </c>
      <c r="F2251" s="2">
        <v>6.3115200000000002E+22</v>
      </c>
    </row>
    <row r="2252" spans="1:6" x14ac:dyDescent="0.25">
      <c r="A2252" s="1">
        <v>76187</v>
      </c>
      <c r="B2252" s="2">
        <v>111</v>
      </c>
      <c r="C2252" s="2">
        <v>76</v>
      </c>
      <c r="D2252" s="2" t="s">
        <v>3</v>
      </c>
      <c r="E2252" s="2" t="s">
        <v>2252</v>
      </c>
      <c r="F2252" s="2" t="s">
        <v>3</v>
      </c>
    </row>
    <row r="2253" spans="1:6" x14ac:dyDescent="0.25">
      <c r="A2253" s="1">
        <v>76188</v>
      </c>
      <c r="B2253" s="2">
        <v>112</v>
      </c>
      <c r="C2253" s="2">
        <v>76</v>
      </c>
      <c r="D2253" s="2" t="s">
        <v>3</v>
      </c>
      <c r="E2253" s="2" t="s">
        <v>2253</v>
      </c>
      <c r="F2253" s="2" t="s">
        <v>3</v>
      </c>
    </row>
    <row r="2254" spans="1:6" x14ac:dyDescent="0.25">
      <c r="A2254" s="1">
        <v>76189</v>
      </c>
      <c r="B2254" s="2">
        <v>113</v>
      </c>
      <c r="C2254" s="2">
        <v>76</v>
      </c>
      <c r="D2254" s="2" t="s">
        <v>3</v>
      </c>
      <c r="E2254" s="2" t="s">
        <v>2254</v>
      </c>
      <c r="F2254" s="2" t="s">
        <v>3</v>
      </c>
    </row>
    <row r="2255" spans="1:6" x14ac:dyDescent="0.25">
      <c r="A2255" s="1">
        <v>76190</v>
      </c>
      <c r="B2255" s="2">
        <v>114</v>
      </c>
      <c r="C2255" s="2">
        <v>76</v>
      </c>
      <c r="D2255" s="2" t="s">
        <v>3</v>
      </c>
      <c r="E2255" s="2" t="s">
        <v>2255</v>
      </c>
      <c r="F2255" s="2" t="s">
        <v>3</v>
      </c>
    </row>
    <row r="2256" spans="1:6" x14ac:dyDescent="0.25">
      <c r="A2256" s="1">
        <v>76191</v>
      </c>
      <c r="B2256" s="2">
        <v>115</v>
      </c>
      <c r="C2256" s="2">
        <v>76</v>
      </c>
      <c r="D2256" s="2">
        <v>1330560</v>
      </c>
      <c r="E2256" s="2" t="s">
        <v>2256</v>
      </c>
      <c r="F2256" s="2">
        <v>1330560</v>
      </c>
    </row>
    <row r="2257" spans="1:6" x14ac:dyDescent="0.25">
      <c r="A2257" s="1">
        <v>76192</v>
      </c>
      <c r="B2257" s="2">
        <v>116</v>
      </c>
      <c r="C2257" s="2">
        <v>76</v>
      </c>
      <c r="D2257" s="2" t="s">
        <v>3</v>
      </c>
      <c r="E2257" s="2" t="s">
        <v>2257</v>
      </c>
      <c r="F2257" s="2" t="s">
        <v>3</v>
      </c>
    </row>
    <row r="2258" spans="1:6" x14ac:dyDescent="0.25">
      <c r="A2258" s="1">
        <v>76193</v>
      </c>
      <c r="B2258" s="2">
        <v>117</v>
      </c>
      <c r="C2258" s="2">
        <v>76</v>
      </c>
      <c r="D2258" s="2">
        <v>108396</v>
      </c>
      <c r="E2258" s="2" t="s">
        <v>2258</v>
      </c>
      <c r="F2258" s="2">
        <v>108396</v>
      </c>
    </row>
    <row r="2259" spans="1:6" x14ac:dyDescent="0.25">
      <c r="A2259" s="1">
        <v>76194</v>
      </c>
      <c r="B2259" s="2">
        <v>118</v>
      </c>
      <c r="C2259" s="2">
        <v>76</v>
      </c>
      <c r="D2259" s="2">
        <v>189345600</v>
      </c>
      <c r="E2259" s="2" t="s">
        <v>2259</v>
      </c>
      <c r="F2259" s="2">
        <v>189345600</v>
      </c>
    </row>
    <row r="2260" spans="1:6" x14ac:dyDescent="0.25">
      <c r="A2260" s="1">
        <v>76195</v>
      </c>
      <c r="B2260" s="2">
        <v>119</v>
      </c>
      <c r="C2260" s="2">
        <v>76</v>
      </c>
      <c r="D2260" s="2">
        <v>540</v>
      </c>
      <c r="E2260" s="2" t="s">
        <v>2260</v>
      </c>
      <c r="F2260" s="2">
        <v>540</v>
      </c>
    </row>
    <row r="2261" spans="1:6" x14ac:dyDescent="0.25">
      <c r="A2261" s="1">
        <v>76196</v>
      </c>
      <c r="B2261" s="2">
        <v>120</v>
      </c>
      <c r="C2261" s="2">
        <v>76</v>
      </c>
      <c r="D2261" s="2">
        <v>2094</v>
      </c>
      <c r="E2261" s="2" t="s">
        <v>2261</v>
      </c>
      <c r="F2261" s="2">
        <v>2094</v>
      </c>
    </row>
    <row r="2262" spans="1:6" x14ac:dyDescent="0.25">
      <c r="A2262" s="1">
        <v>76197</v>
      </c>
      <c r="B2262" s="2">
        <v>121</v>
      </c>
      <c r="C2262" s="2">
        <v>76</v>
      </c>
      <c r="D2262" s="2">
        <v>168</v>
      </c>
      <c r="E2262" s="2" t="s">
        <v>2262</v>
      </c>
      <c r="F2262" s="2">
        <v>168</v>
      </c>
    </row>
    <row r="2263" spans="1:6" x14ac:dyDescent="0.25">
      <c r="A2263" s="1">
        <v>76199</v>
      </c>
      <c r="B2263" s="2">
        <v>123</v>
      </c>
      <c r="C2263" s="2">
        <v>76</v>
      </c>
      <c r="D2263" s="2">
        <v>5</v>
      </c>
      <c r="E2263" s="2" t="s">
        <v>2263</v>
      </c>
      <c r="F2263" s="2">
        <v>5</v>
      </c>
    </row>
    <row r="2264" spans="1:6" x14ac:dyDescent="0.25">
      <c r="A2264" s="1">
        <v>76200</v>
      </c>
      <c r="B2264" s="2">
        <v>124</v>
      </c>
      <c r="C2264" s="2">
        <v>76</v>
      </c>
      <c r="D2264" s="2">
        <v>6</v>
      </c>
      <c r="E2264" s="2" t="s">
        <v>2264</v>
      </c>
      <c r="F2264" s="2">
        <v>6</v>
      </c>
    </row>
    <row r="2265" spans="1:6" x14ac:dyDescent="0.25">
      <c r="A2265" s="1">
        <v>76201</v>
      </c>
      <c r="B2265" s="2">
        <v>125</v>
      </c>
      <c r="C2265" s="2">
        <v>76</v>
      </c>
      <c r="D2265" s="2">
        <v>1.6E-7</v>
      </c>
      <c r="E2265" s="2" t="s">
        <v>2265</v>
      </c>
      <c r="F2265" s="2">
        <v>1.6E-7</v>
      </c>
    </row>
    <row r="2266" spans="1:6" x14ac:dyDescent="0.25">
      <c r="A2266" s="1">
        <v>76202</v>
      </c>
      <c r="B2266" s="2">
        <v>126</v>
      </c>
      <c r="C2266" s="2">
        <v>76</v>
      </c>
      <c r="D2266" s="2">
        <v>1.6E-7</v>
      </c>
      <c r="E2266" s="2" t="s">
        <v>2266</v>
      </c>
      <c r="F2266" s="2">
        <v>1.6E-7</v>
      </c>
    </row>
    <row r="2267" spans="1:6" x14ac:dyDescent="0.25">
      <c r="A2267" s="1">
        <v>76203</v>
      </c>
      <c r="B2267" s="2">
        <v>127</v>
      </c>
      <c r="C2267" s="2">
        <v>76</v>
      </c>
      <c r="D2267" s="2">
        <v>1.6E-7</v>
      </c>
      <c r="E2267" s="2" t="s">
        <v>2267</v>
      </c>
      <c r="F2267" s="2">
        <v>1.6E-7</v>
      </c>
    </row>
    <row r="2268" spans="1:6" x14ac:dyDescent="0.25">
      <c r="A2268" s="1">
        <v>77164</v>
      </c>
      <c r="B2268" s="2">
        <v>87</v>
      </c>
      <c r="C2268" s="2">
        <v>77</v>
      </c>
      <c r="D2268" s="2">
        <v>6.9999999999999994E-5</v>
      </c>
      <c r="E2268" s="2" t="s">
        <v>2268</v>
      </c>
      <c r="F2268" s="2">
        <v>6.9999999999999994E-5</v>
      </c>
    </row>
    <row r="2269" spans="1:6" x14ac:dyDescent="0.25">
      <c r="A2269" s="1">
        <v>77166</v>
      </c>
      <c r="B2269" s="2">
        <v>89</v>
      </c>
      <c r="C2269" s="2">
        <v>77</v>
      </c>
      <c r="D2269" s="2">
        <v>1.0500000000000001E-2</v>
      </c>
      <c r="E2269" s="2" t="s">
        <v>2269</v>
      </c>
      <c r="F2269" s="2">
        <v>1.0500000000000001E-2</v>
      </c>
    </row>
    <row r="2270" spans="1:6" x14ac:dyDescent="0.25">
      <c r="A2270" s="1">
        <v>77167</v>
      </c>
      <c r="B2270" s="2">
        <v>90</v>
      </c>
      <c r="C2270" s="2">
        <v>77</v>
      </c>
      <c r="D2270" s="2">
        <v>0.03</v>
      </c>
      <c r="E2270" s="2" t="s">
        <v>2270</v>
      </c>
      <c r="F2270" s="2">
        <v>0.03</v>
      </c>
    </row>
    <row r="2271" spans="1:6" x14ac:dyDescent="0.25">
      <c r="A2271" s="1">
        <v>77168</v>
      </c>
      <c r="B2271" s="2">
        <v>91</v>
      </c>
      <c r="C2271" s="2">
        <v>77</v>
      </c>
      <c r="D2271" s="2">
        <v>0.222</v>
      </c>
      <c r="E2271" s="2" t="s">
        <v>2271</v>
      </c>
      <c r="F2271" s="2">
        <v>0.222</v>
      </c>
    </row>
    <row r="2272" spans="1:6" x14ac:dyDescent="0.25">
      <c r="A2272" s="1">
        <v>77169</v>
      </c>
      <c r="B2272" s="2">
        <v>92</v>
      </c>
      <c r="C2272" s="2">
        <v>77</v>
      </c>
      <c r="D2272" s="2">
        <v>0.56999999999999995</v>
      </c>
      <c r="E2272" s="2" t="s">
        <v>2272</v>
      </c>
      <c r="F2272" s="2">
        <v>0.56999999999999995</v>
      </c>
    </row>
    <row r="2273" spans="1:6" x14ac:dyDescent="0.25">
      <c r="A2273" s="1">
        <v>77170</v>
      </c>
      <c r="B2273" s="2">
        <v>93</v>
      </c>
      <c r="C2273" s="2">
        <v>77</v>
      </c>
      <c r="D2273" s="2">
        <v>0.87</v>
      </c>
      <c r="E2273" s="2" t="s">
        <v>2273</v>
      </c>
      <c r="F2273" s="2">
        <v>0.87</v>
      </c>
    </row>
    <row r="2274" spans="1:6" x14ac:dyDescent="0.25">
      <c r="A2274" s="1">
        <v>77171</v>
      </c>
      <c r="B2274" s="2">
        <v>94</v>
      </c>
      <c r="C2274" s="2">
        <v>77</v>
      </c>
      <c r="D2274" s="2">
        <v>3.2</v>
      </c>
      <c r="E2274" s="2" t="s">
        <v>2274</v>
      </c>
      <c r="F2274" s="2">
        <v>3.2</v>
      </c>
    </row>
    <row r="2275" spans="1:6" x14ac:dyDescent="0.25">
      <c r="A2275" s="1">
        <v>77172</v>
      </c>
      <c r="B2275" s="2">
        <v>95</v>
      </c>
      <c r="C2275" s="2">
        <v>77</v>
      </c>
      <c r="D2275" s="2">
        <v>4.4000000000000004</v>
      </c>
      <c r="E2275" s="2" t="s">
        <v>2275</v>
      </c>
      <c r="F2275" s="2">
        <v>4.4000000000000004</v>
      </c>
    </row>
    <row r="2276" spans="1:6" x14ac:dyDescent="0.25">
      <c r="A2276" s="1">
        <v>77173</v>
      </c>
      <c r="B2276" s="2">
        <v>96</v>
      </c>
      <c r="C2276" s="2">
        <v>77</v>
      </c>
      <c r="D2276" s="2">
        <v>9</v>
      </c>
      <c r="E2276" s="2" t="s">
        <v>2276</v>
      </c>
      <c r="F2276" s="2">
        <v>9</v>
      </c>
    </row>
    <row r="2277" spans="1:6" x14ac:dyDescent="0.25">
      <c r="A2277" s="1">
        <v>77174</v>
      </c>
      <c r="B2277" s="2">
        <v>97</v>
      </c>
      <c r="C2277" s="2">
        <v>77</v>
      </c>
      <c r="D2277" s="2">
        <v>7.9</v>
      </c>
      <c r="E2277" s="2" t="s">
        <v>2277</v>
      </c>
      <c r="F2277" s="2">
        <v>7.9</v>
      </c>
    </row>
    <row r="2278" spans="1:6" x14ac:dyDescent="0.25">
      <c r="A2278" s="1">
        <v>77175</v>
      </c>
      <c r="B2278" s="2">
        <v>98</v>
      </c>
      <c r="C2278" s="2">
        <v>77</v>
      </c>
      <c r="D2278" s="2">
        <v>9</v>
      </c>
      <c r="E2278" s="2" t="s">
        <v>2278</v>
      </c>
      <c r="F2278" s="2">
        <v>9</v>
      </c>
    </row>
    <row r="2279" spans="1:6" x14ac:dyDescent="0.25">
      <c r="A2279" s="1">
        <v>77176</v>
      </c>
      <c r="B2279" s="2">
        <v>99</v>
      </c>
      <c r="C2279" s="2">
        <v>77</v>
      </c>
      <c r="D2279" s="2">
        <v>8.6</v>
      </c>
      <c r="E2279" s="2" t="s">
        <v>2279</v>
      </c>
      <c r="F2279" s="2">
        <v>8.6</v>
      </c>
    </row>
    <row r="2280" spans="1:6" x14ac:dyDescent="0.25">
      <c r="A2280" s="1">
        <v>77177</v>
      </c>
      <c r="B2280" s="2">
        <v>100</v>
      </c>
      <c r="C2280" s="2">
        <v>77</v>
      </c>
      <c r="D2280" s="2">
        <v>30</v>
      </c>
      <c r="E2280" s="2" t="s">
        <v>2280</v>
      </c>
      <c r="F2280" s="2">
        <v>30</v>
      </c>
    </row>
    <row r="2281" spans="1:6" x14ac:dyDescent="0.25">
      <c r="A2281" s="1">
        <v>77178</v>
      </c>
      <c r="B2281" s="2">
        <v>101</v>
      </c>
      <c r="C2281" s="2">
        <v>77</v>
      </c>
      <c r="D2281" s="2">
        <v>12</v>
      </c>
      <c r="E2281" s="2" t="s">
        <v>2281</v>
      </c>
      <c r="F2281" s="2">
        <v>12</v>
      </c>
    </row>
    <row r="2282" spans="1:6" x14ac:dyDescent="0.25">
      <c r="A2282" s="1">
        <v>77179</v>
      </c>
      <c r="B2282" s="2">
        <v>102</v>
      </c>
      <c r="C2282" s="2">
        <v>77</v>
      </c>
      <c r="D2282" s="2">
        <v>79</v>
      </c>
      <c r="E2282" s="2" t="s">
        <v>2282</v>
      </c>
      <c r="F2282" s="2">
        <v>79</v>
      </c>
    </row>
    <row r="2283" spans="1:6" x14ac:dyDescent="0.25">
      <c r="A2283" s="1">
        <v>77180</v>
      </c>
      <c r="B2283" s="2">
        <v>103</v>
      </c>
      <c r="C2283" s="2">
        <v>77</v>
      </c>
      <c r="D2283" s="2">
        <v>90</v>
      </c>
      <c r="E2283" s="2" t="s">
        <v>2283</v>
      </c>
      <c r="F2283" s="2">
        <v>90</v>
      </c>
    </row>
    <row r="2284" spans="1:6" x14ac:dyDescent="0.25">
      <c r="A2284" s="1">
        <v>77181</v>
      </c>
      <c r="B2284" s="2">
        <v>104</v>
      </c>
      <c r="C2284" s="2">
        <v>77</v>
      </c>
      <c r="D2284" s="2">
        <v>294</v>
      </c>
      <c r="E2284" s="2" t="s">
        <v>2284</v>
      </c>
      <c r="F2284" s="2">
        <v>294</v>
      </c>
    </row>
    <row r="2285" spans="1:6" x14ac:dyDescent="0.25">
      <c r="A2285" s="1">
        <v>77182</v>
      </c>
      <c r="B2285" s="2">
        <v>105</v>
      </c>
      <c r="C2285" s="2">
        <v>77</v>
      </c>
      <c r="D2285" s="2">
        <v>900</v>
      </c>
      <c r="E2285" s="2" t="s">
        <v>2285</v>
      </c>
      <c r="F2285" s="2">
        <v>900</v>
      </c>
    </row>
    <row r="2286" spans="1:6" x14ac:dyDescent="0.25">
      <c r="A2286" s="1">
        <v>77183</v>
      </c>
      <c r="B2286" s="2">
        <v>106</v>
      </c>
      <c r="C2286" s="2">
        <v>77</v>
      </c>
      <c r="D2286" s="2">
        <v>3480</v>
      </c>
      <c r="E2286" s="2" t="s">
        <v>2286</v>
      </c>
      <c r="F2286" s="2">
        <v>3480</v>
      </c>
    </row>
    <row r="2287" spans="1:6" x14ac:dyDescent="0.25">
      <c r="A2287" s="1">
        <v>77184</v>
      </c>
      <c r="B2287" s="2">
        <v>107</v>
      </c>
      <c r="C2287" s="2">
        <v>77</v>
      </c>
      <c r="D2287" s="2">
        <v>11124</v>
      </c>
      <c r="E2287" s="2" t="s">
        <v>2287</v>
      </c>
      <c r="F2287" s="2">
        <v>11124</v>
      </c>
    </row>
    <row r="2288" spans="1:6" x14ac:dyDescent="0.25">
      <c r="A2288" s="1">
        <v>77185</v>
      </c>
      <c r="B2288" s="2">
        <v>108</v>
      </c>
      <c r="C2288" s="2">
        <v>77</v>
      </c>
      <c r="D2288" s="2">
        <v>51840</v>
      </c>
      <c r="E2288" s="2" t="s">
        <v>2288</v>
      </c>
      <c r="F2288" s="2">
        <v>51840</v>
      </c>
    </row>
    <row r="2289" spans="1:6" x14ac:dyDescent="0.25">
      <c r="A2289" s="1">
        <v>77186</v>
      </c>
      <c r="B2289" s="2">
        <v>109</v>
      </c>
      <c r="C2289" s="2">
        <v>77</v>
      </c>
      <c r="D2289" s="2">
        <v>59904</v>
      </c>
      <c r="E2289" s="2" t="s">
        <v>2289</v>
      </c>
      <c r="F2289" s="2">
        <v>59904</v>
      </c>
    </row>
    <row r="2290" spans="1:6" x14ac:dyDescent="0.25">
      <c r="A2290" s="1">
        <v>77187</v>
      </c>
      <c r="B2290" s="2">
        <v>110</v>
      </c>
      <c r="C2290" s="2">
        <v>77</v>
      </c>
      <c r="D2290" s="2">
        <v>37800</v>
      </c>
      <c r="E2290" s="2" t="s">
        <v>2290</v>
      </c>
      <c r="F2290" s="2">
        <v>37800</v>
      </c>
    </row>
    <row r="2291" spans="1:6" x14ac:dyDescent="0.25">
      <c r="A2291" s="1">
        <v>77188</v>
      </c>
      <c r="B2291" s="2">
        <v>111</v>
      </c>
      <c r="C2291" s="2">
        <v>77</v>
      </c>
      <c r="D2291" s="2">
        <v>149400</v>
      </c>
      <c r="E2291" s="2" t="s">
        <v>2291</v>
      </c>
      <c r="F2291" s="2">
        <v>149400</v>
      </c>
    </row>
    <row r="2292" spans="1:6" x14ac:dyDescent="0.25">
      <c r="A2292" s="1">
        <v>77189</v>
      </c>
      <c r="B2292" s="2">
        <v>112</v>
      </c>
      <c r="C2292" s="2">
        <v>77</v>
      </c>
      <c r="D2292" s="2">
        <v>1140480</v>
      </c>
      <c r="E2292" s="2" t="s">
        <v>2292</v>
      </c>
      <c r="F2292" s="2">
        <v>1140480</v>
      </c>
    </row>
    <row r="2293" spans="1:6" x14ac:dyDescent="0.25">
      <c r="A2293" s="1">
        <v>77190</v>
      </c>
      <c r="B2293" s="2">
        <v>113</v>
      </c>
      <c r="C2293" s="2">
        <v>77</v>
      </c>
      <c r="D2293" s="2">
        <v>1017792</v>
      </c>
      <c r="E2293" s="2" t="s">
        <v>2293</v>
      </c>
      <c r="F2293" s="2">
        <v>1017792</v>
      </c>
    </row>
    <row r="2294" spans="1:6" x14ac:dyDescent="0.25">
      <c r="A2294" s="1">
        <v>77191</v>
      </c>
      <c r="B2294" s="2">
        <v>114</v>
      </c>
      <c r="C2294" s="2">
        <v>77</v>
      </c>
      <c r="D2294" s="2" t="s">
        <v>3</v>
      </c>
      <c r="E2294" s="2" t="s">
        <v>2294</v>
      </c>
      <c r="F2294" s="2" t="s">
        <v>3</v>
      </c>
    </row>
    <row r="2295" spans="1:6" x14ac:dyDescent="0.25">
      <c r="A2295" s="1">
        <v>77192</v>
      </c>
      <c r="B2295" s="2">
        <v>115</v>
      </c>
      <c r="C2295" s="2">
        <v>77</v>
      </c>
      <c r="D2295" s="2">
        <v>6378825.5999999996</v>
      </c>
      <c r="E2295" s="2" t="s">
        <v>2295</v>
      </c>
      <c r="F2295" s="2">
        <v>6378825.5999999996</v>
      </c>
    </row>
    <row r="2296" spans="1:6" x14ac:dyDescent="0.25">
      <c r="A2296" s="1">
        <v>77193</v>
      </c>
      <c r="B2296" s="2">
        <v>116</v>
      </c>
      <c r="C2296" s="2">
        <v>77</v>
      </c>
      <c r="D2296" s="2" t="s">
        <v>3</v>
      </c>
      <c r="E2296" s="2" t="s">
        <v>2296</v>
      </c>
      <c r="F2296" s="2" t="s">
        <v>3</v>
      </c>
    </row>
    <row r="2297" spans="1:6" x14ac:dyDescent="0.25">
      <c r="A2297" s="1">
        <v>77194</v>
      </c>
      <c r="B2297" s="2">
        <v>117</v>
      </c>
      <c r="C2297" s="2">
        <v>77</v>
      </c>
      <c r="D2297" s="2">
        <v>69408</v>
      </c>
      <c r="E2297" s="2" t="s">
        <v>2297</v>
      </c>
      <c r="F2297" s="2">
        <v>69408</v>
      </c>
    </row>
    <row r="2298" spans="1:6" x14ac:dyDescent="0.25">
      <c r="A2298" s="1">
        <v>77195</v>
      </c>
      <c r="B2298" s="2">
        <v>118</v>
      </c>
      <c r="C2298" s="2">
        <v>77</v>
      </c>
      <c r="D2298" s="2">
        <v>8244</v>
      </c>
      <c r="E2298" s="2" t="s">
        <v>2298</v>
      </c>
      <c r="F2298" s="2">
        <v>8244</v>
      </c>
    </row>
    <row r="2299" spans="1:6" x14ac:dyDescent="0.25">
      <c r="A2299" s="1">
        <v>77196</v>
      </c>
      <c r="B2299" s="2">
        <v>119</v>
      </c>
      <c r="C2299" s="2">
        <v>77</v>
      </c>
      <c r="D2299" s="2">
        <v>52</v>
      </c>
      <c r="E2299" s="2" t="s">
        <v>2299</v>
      </c>
      <c r="F2299" s="2">
        <v>52</v>
      </c>
    </row>
    <row r="2300" spans="1:6" x14ac:dyDescent="0.25">
      <c r="A2300" s="1">
        <v>77197</v>
      </c>
      <c r="B2300" s="2">
        <v>120</v>
      </c>
      <c r="C2300" s="2">
        <v>77</v>
      </c>
      <c r="D2300" s="2">
        <v>348</v>
      </c>
      <c r="E2300" s="2" t="s">
        <v>2300</v>
      </c>
      <c r="F2300" s="2">
        <v>348</v>
      </c>
    </row>
    <row r="2301" spans="1:6" x14ac:dyDescent="0.25">
      <c r="A2301" s="1">
        <v>77198</v>
      </c>
      <c r="B2301" s="2">
        <v>121</v>
      </c>
      <c r="C2301" s="2">
        <v>77</v>
      </c>
      <c r="D2301" s="2">
        <v>8</v>
      </c>
      <c r="E2301" s="2" t="s">
        <v>2301</v>
      </c>
      <c r="F2301" s="2">
        <v>8</v>
      </c>
    </row>
    <row r="2302" spans="1:6" x14ac:dyDescent="0.25">
      <c r="A2302" s="1">
        <v>77199</v>
      </c>
      <c r="B2302" s="2">
        <v>122</v>
      </c>
      <c r="C2302" s="2">
        <v>77</v>
      </c>
      <c r="D2302" s="2">
        <v>6</v>
      </c>
      <c r="E2302" s="2" t="s">
        <v>2302</v>
      </c>
      <c r="F2302" s="2">
        <v>6</v>
      </c>
    </row>
    <row r="2303" spans="1:6" x14ac:dyDescent="0.25">
      <c r="A2303" s="1">
        <v>77200</v>
      </c>
      <c r="B2303" s="2">
        <v>123</v>
      </c>
      <c r="C2303" s="2">
        <v>77</v>
      </c>
      <c r="D2303" s="2">
        <v>2.9999999999999999E-7</v>
      </c>
      <c r="E2303" s="2" t="s">
        <v>2303</v>
      </c>
      <c r="F2303" s="2">
        <v>2.9999999999999999E-7</v>
      </c>
    </row>
    <row r="2304" spans="1:6" x14ac:dyDescent="0.25">
      <c r="A2304" s="1">
        <v>77201</v>
      </c>
      <c r="B2304" s="2">
        <v>124</v>
      </c>
      <c r="C2304" s="2">
        <v>77</v>
      </c>
      <c r="D2304" s="2">
        <v>2.9999999999999999E-7</v>
      </c>
      <c r="E2304" s="2" t="s">
        <v>2304</v>
      </c>
      <c r="F2304" s="2">
        <v>2.9999999999999999E-7</v>
      </c>
    </row>
    <row r="2305" spans="1:6" x14ac:dyDescent="0.25">
      <c r="A2305" s="1">
        <v>77202</v>
      </c>
      <c r="B2305" s="2">
        <v>125</v>
      </c>
      <c r="C2305" s="2">
        <v>77</v>
      </c>
      <c r="D2305" s="2">
        <v>11</v>
      </c>
      <c r="E2305" s="2" t="s">
        <v>2305</v>
      </c>
      <c r="F2305" s="2">
        <v>11</v>
      </c>
    </row>
    <row r="2306" spans="1:6" x14ac:dyDescent="0.25">
      <c r="A2306" s="1">
        <v>77203</v>
      </c>
      <c r="B2306" s="2">
        <v>126</v>
      </c>
      <c r="C2306" s="2">
        <v>77</v>
      </c>
      <c r="D2306" s="2">
        <v>1.6E-7</v>
      </c>
      <c r="E2306" s="2" t="s">
        <v>2306</v>
      </c>
      <c r="F2306" s="2">
        <v>1.6E-7</v>
      </c>
    </row>
    <row r="2307" spans="1:6" x14ac:dyDescent="0.25">
      <c r="A2307" s="1">
        <v>77204</v>
      </c>
      <c r="B2307" s="2">
        <v>127</v>
      </c>
      <c r="C2307" s="2">
        <v>77</v>
      </c>
      <c r="D2307" s="2">
        <v>1.6E-7</v>
      </c>
      <c r="E2307" s="2" t="s">
        <v>2307</v>
      </c>
      <c r="F2307" s="2">
        <v>1.6E-7</v>
      </c>
    </row>
    <row r="2308" spans="1:6" x14ac:dyDescent="0.25">
      <c r="A2308" s="1">
        <v>77205</v>
      </c>
      <c r="B2308" s="2">
        <v>128</v>
      </c>
      <c r="C2308" s="2">
        <v>77</v>
      </c>
      <c r="D2308" s="2">
        <v>1.6E-7</v>
      </c>
      <c r="E2308" s="2" t="s">
        <v>2308</v>
      </c>
      <c r="F2308" s="2">
        <v>1.6E-7</v>
      </c>
    </row>
    <row r="2309" spans="1:6" x14ac:dyDescent="0.25">
      <c r="A2309" s="1">
        <v>78166</v>
      </c>
      <c r="B2309" s="2">
        <v>88</v>
      </c>
      <c r="C2309" s="2">
        <v>78</v>
      </c>
      <c r="D2309" s="2">
        <v>2.9999999999999997E-4</v>
      </c>
      <c r="E2309" s="2" t="s">
        <v>2309</v>
      </c>
      <c r="F2309" s="2">
        <v>2.9999999999999997E-4</v>
      </c>
    </row>
    <row r="2310" spans="1:6" x14ac:dyDescent="0.25">
      <c r="A2310" s="1">
        <v>78167</v>
      </c>
      <c r="B2310" s="2">
        <v>89</v>
      </c>
      <c r="C2310" s="2">
        <v>78</v>
      </c>
      <c r="D2310" s="2">
        <v>7.7999999999999999E-4</v>
      </c>
      <c r="E2310" s="2" t="s">
        <v>2310</v>
      </c>
      <c r="F2310" s="2">
        <v>7.7999999999999999E-4</v>
      </c>
    </row>
    <row r="2311" spans="1:6" x14ac:dyDescent="0.25">
      <c r="A2311" s="1">
        <v>78168</v>
      </c>
      <c r="B2311" s="2">
        <v>90</v>
      </c>
      <c r="C2311" s="2">
        <v>78</v>
      </c>
      <c r="D2311" s="2">
        <v>2.0200000000000001E-3</v>
      </c>
      <c r="E2311" s="2" t="s">
        <v>2311</v>
      </c>
      <c r="F2311" s="2">
        <v>2.0200000000000001E-3</v>
      </c>
    </row>
    <row r="2312" spans="1:6" x14ac:dyDescent="0.25">
      <c r="A2312" s="1">
        <v>78169</v>
      </c>
      <c r="B2312" s="2">
        <v>91</v>
      </c>
      <c r="C2312" s="2">
        <v>78</v>
      </c>
      <c r="D2312" s="2">
        <v>6.9899999999999997E-3</v>
      </c>
      <c r="E2312" s="2" t="s">
        <v>2312</v>
      </c>
      <c r="F2312" s="2">
        <v>6.9899999999999997E-3</v>
      </c>
    </row>
    <row r="2313" spans="1:6" x14ac:dyDescent="0.25">
      <c r="A2313" s="1">
        <v>78170</v>
      </c>
      <c r="B2313" s="2">
        <v>92</v>
      </c>
      <c r="C2313" s="2">
        <v>78</v>
      </c>
      <c r="D2313" s="2">
        <v>1.38E-2</v>
      </c>
      <c r="E2313" s="2" t="s">
        <v>2313</v>
      </c>
      <c r="F2313" s="2">
        <v>1.38E-2</v>
      </c>
    </row>
    <row r="2314" spans="1:6" x14ac:dyDescent="0.25">
      <c r="A2314" s="1">
        <v>78171</v>
      </c>
      <c r="B2314" s="2">
        <v>93</v>
      </c>
      <c r="C2314" s="2">
        <v>78</v>
      </c>
      <c r="D2314" s="2">
        <v>4.5499999999999999E-2</v>
      </c>
      <c r="E2314" s="2" t="s">
        <v>2314</v>
      </c>
      <c r="F2314" s="2">
        <v>4.5499999999999999E-2</v>
      </c>
    </row>
    <row r="2315" spans="1:6" x14ac:dyDescent="0.25">
      <c r="A2315" s="1">
        <v>78172</v>
      </c>
      <c r="B2315" s="2">
        <v>94</v>
      </c>
      <c r="C2315" s="2">
        <v>78</v>
      </c>
      <c r="D2315" s="2">
        <v>9.7599999999999895E-2</v>
      </c>
      <c r="E2315" s="2" t="s">
        <v>2315</v>
      </c>
      <c r="F2315" s="2">
        <v>9.7599999999999895E-2</v>
      </c>
    </row>
    <row r="2316" spans="1:6" x14ac:dyDescent="0.25">
      <c r="A2316" s="1">
        <v>78173</v>
      </c>
      <c r="B2316" s="2">
        <v>95</v>
      </c>
      <c r="C2316" s="2">
        <v>78</v>
      </c>
      <c r="D2316" s="2">
        <v>0.38200000000000001</v>
      </c>
      <c r="E2316" s="2" t="s">
        <v>2316</v>
      </c>
      <c r="F2316" s="2">
        <v>0.38200000000000001</v>
      </c>
    </row>
    <row r="2317" spans="1:6" x14ac:dyDescent="0.25">
      <c r="A2317" s="1">
        <v>78174</v>
      </c>
      <c r="B2317" s="2">
        <v>96</v>
      </c>
      <c r="C2317" s="2">
        <v>78</v>
      </c>
      <c r="D2317" s="2">
        <v>0.88900000000000001</v>
      </c>
      <c r="E2317" s="2" t="s">
        <v>2317</v>
      </c>
      <c r="F2317" s="2">
        <v>0.88900000000000001</v>
      </c>
    </row>
    <row r="2318" spans="1:6" x14ac:dyDescent="0.25">
      <c r="A2318" s="1">
        <v>78175</v>
      </c>
      <c r="B2318" s="2">
        <v>97</v>
      </c>
      <c r="C2318" s="2">
        <v>78</v>
      </c>
      <c r="D2318" s="2">
        <v>2.5299999999999998</v>
      </c>
      <c r="E2318" s="2" t="s">
        <v>2318</v>
      </c>
      <c r="F2318" s="2">
        <v>2.5299999999999998</v>
      </c>
    </row>
    <row r="2319" spans="1:6" x14ac:dyDescent="0.25">
      <c r="A2319" s="1">
        <v>78176</v>
      </c>
      <c r="B2319" s="2">
        <v>98</v>
      </c>
      <c r="C2319" s="2">
        <v>78</v>
      </c>
      <c r="D2319" s="2">
        <v>6.33</v>
      </c>
      <c r="E2319" s="2" t="s">
        <v>2319</v>
      </c>
      <c r="F2319" s="2">
        <v>6.33</v>
      </c>
    </row>
    <row r="2320" spans="1:6" x14ac:dyDescent="0.25">
      <c r="A2320" s="1">
        <v>78177</v>
      </c>
      <c r="B2320" s="2">
        <v>99</v>
      </c>
      <c r="C2320" s="2">
        <v>78</v>
      </c>
      <c r="D2320" s="2">
        <v>10.6</v>
      </c>
      <c r="E2320" s="2" t="s">
        <v>2320</v>
      </c>
      <c r="F2320" s="2">
        <v>10.6</v>
      </c>
    </row>
    <row r="2321" spans="1:6" x14ac:dyDescent="0.25">
      <c r="A2321" s="1">
        <v>78178</v>
      </c>
      <c r="B2321" s="2">
        <v>100</v>
      </c>
      <c r="C2321" s="2">
        <v>78</v>
      </c>
      <c r="D2321" s="2">
        <v>20.7</v>
      </c>
      <c r="E2321" s="2" t="s">
        <v>2321</v>
      </c>
      <c r="F2321" s="2">
        <v>20.7</v>
      </c>
    </row>
    <row r="2322" spans="1:6" x14ac:dyDescent="0.25">
      <c r="A2322" s="1">
        <v>78179</v>
      </c>
      <c r="B2322" s="2">
        <v>101</v>
      </c>
      <c r="C2322" s="2">
        <v>78</v>
      </c>
      <c r="D2322" s="2">
        <v>21.2</v>
      </c>
      <c r="E2322" s="2" t="s">
        <v>2322</v>
      </c>
      <c r="F2322" s="2">
        <v>21.2</v>
      </c>
    </row>
    <row r="2323" spans="1:6" x14ac:dyDescent="0.25">
      <c r="A2323" s="1">
        <v>78180</v>
      </c>
      <c r="B2323" s="2">
        <v>102</v>
      </c>
      <c r="C2323" s="2">
        <v>78</v>
      </c>
      <c r="D2323" s="2">
        <v>56</v>
      </c>
      <c r="E2323" s="2" t="s">
        <v>2323</v>
      </c>
      <c r="F2323" s="2">
        <v>56</v>
      </c>
    </row>
    <row r="2324" spans="1:6" x14ac:dyDescent="0.25">
      <c r="A2324" s="1">
        <v>78181</v>
      </c>
      <c r="B2324" s="2">
        <v>103</v>
      </c>
      <c r="C2324" s="2">
        <v>78</v>
      </c>
      <c r="D2324" s="2">
        <v>52</v>
      </c>
      <c r="E2324" s="2" t="s">
        <v>2324</v>
      </c>
      <c r="F2324" s="2">
        <v>52</v>
      </c>
    </row>
    <row r="2325" spans="1:6" x14ac:dyDescent="0.25">
      <c r="A2325" s="1">
        <v>78182</v>
      </c>
      <c r="B2325" s="2">
        <v>104</v>
      </c>
      <c r="C2325" s="2">
        <v>78</v>
      </c>
      <c r="D2325" s="2">
        <v>160.19999999999999</v>
      </c>
      <c r="E2325" s="2" t="s">
        <v>2325</v>
      </c>
      <c r="F2325" s="2">
        <v>160.19999999999999</v>
      </c>
    </row>
    <row r="2326" spans="1:6" x14ac:dyDescent="0.25">
      <c r="A2326" s="1">
        <v>78183</v>
      </c>
      <c r="B2326" s="2">
        <v>105</v>
      </c>
      <c r="C2326" s="2">
        <v>78</v>
      </c>
      <c r="D2326" s="2">
        <v>43</v>
      </c>
      <c r="E2326" s="2" t="s">
        <v>2326</v>
      </c>
      <c r="F2326" s="2">
        <v>43</v>
      </c>
    </row>
    <row r="2327" spans="1:6" x14ac:dyDescent="0.25">
      <c r="A2327" s="1">
        <v>78184</v>
      </c>
      <c r="B2327" s="2">
        <v>106</v>
      </c>
      <c r="C2327" s="2">
        <v>78</v>
      </c>
      <c r="D2327" s="2">
        <v>1038</v>
      </c>
      <c r="E2327" s="2" t="s">
        <v>2327</v>
      </c>
      <c r="F2327" s="2">
        <v>1038</v>
      </c>
    </row>
    <row r="2328" spans="1:6" x14ac:dyDescent="0.25">
      <c r="A2328" s="1">
        <v>78185</v>
      </c>
      <c r="B2328" s="2">
        <v>107</v>
      </c>
      <c r="C2328" s="2">
        <v>78</v>
      </c>
      <c r="D2328" s="2">
        <v>4254</v>
      </c>
      <c r="E2328" s="2" t="s">
        <v>2328</v>
      </c>
      <c r="F2328" s="2">
        <v>4254</v>
      </c>
    </row>
    <row r="2329" spans="1:6" x14ac:dyDescent="0.25">
      <c r="A2329" s="1">
        <v>78186</v>
      </c>
      <c r="B2329" s="2">
        <v>108</v>
      </c>
      <c r="C2329" s="2">
        <v>78</v>
      </c>
      <c r="D2329" s="2">
        <v>7488</v>
      </c>
      <c r="E2329" s="2" t="s">
        <v>2329</v>
      </c>
      <c r="F2329" s="2">
        <v>7488</v>
      </c>
    </row>
    <row r="2330" spans="1:6" x14ac:dyDescent="0.25">
      <c r="A2330" s="1">
        <v>78187</v>
      </c>
      <c r="B2330" s="2">
        <v>109</v>
      </c>
      <c r="C2330" s="2">
        <v>78</v>
      </c>
      <c r="D2330" s="2">
        <v>8460</v>
      </c>
      <c r="E2330" s="2" t="s">
        <v>2330</v>
      </c>
      <c r="F2330" s="2">
        <v>8460</v>
      </c>
    </row>
    <row r="2331" spans="1:6" x14ac:dyDescent="0.25">
      <c r="A2331" s="1">
        <v>78188</v>
      </c>
      <c r="B2331" s="2">
        <v>110</v>
      </c>
      <c r="C2331" s="2">
        <v>78</v>
      </c>
      <c r="D2331" s="2">
        <v>881279.99999999895</v>
      </c>
      <c r="E2331" s="2" t="s">
        <v>2331</v>
      </c>
      <c r="F2331" s="2">
        <v>881279.99999999895</v>
      </c>
    </row>
    <row r="2332" spans="1:6" x14ac:dyDescent="0.25">
      <c r="A2332" s="1">
        <v>78189</v>
      </c>
      <c r="B2332" s="2">
        <v>111</v>
      </c>
      <c r="C2332" s="2">
        <v>78</v>
      </c>
      <c r="D2332" s="2">
        <v>39132</v>
      </c>
      <c r="E2332" s="2" t="s">
        <v>2332</v>
      </c>
      <c r="F2332" s="2">
        <v>39132</v>
      </c>
    </row>
    <row r="2333" spans="1:6" x14ac:dyDescent="0.25">
      <c r="A2333" s="1">
        <v>78190</v>
      </c>
      <c r="B2333" s="2">
        <v>112</v>
      </c>
      <c r="C2333" s="2">
        <v>78</v>
      </c>
      <c r="D2333" s="2">
        <v>2.051244E+19</v>
      </c>
      <c r="E2333" s="2" t="s">
        <v>2333</v>
      </c>
      <c r="F2333" s="2">
        <v>2.051244E+19</v>
      </c>
    </row>
    <row r="2334" spans="1:6" x14ac:dyDescent="0.25">
      <c r="A2334" s="1">
        <v>78191</v>
      </c>
      <c r="B2334" s="2">
        <v>113</v>
      </c>
      <c r="C2334" s="2">
        <v>78</v>
      </c>
      <c r="D2334" s="2">
        <v>244512</v>
      </c>
      <c r="E2334" s="2" t="s">
        <v>2334</v>
      </c>
      <c r="F2334" s="2">
        <v>244512</v>
      </c>
    </row>
    <row r="2335" spans="1:6" x14ac:dyDescent="0.25">
      <c r="A2335" s="1">
        <v>78192</v>
      </c>
      <c r="B2335" s="2">
        <v>114</v>
      </c>
      <c r="C2335" s="2">
        <v>78</v>
      </c>
      <c r="D2335" s="2" t="s">
        <v>3</v>
      </c>
      <c r="E2335" s="2" t="s">
        <v>2335</v>
      </c>
      <c r="F2335" s="2" t="s">
        <v>3</v>
      </c>
    </row>
    <row r="2336" spans="1:6" x14ac:dyDescent="0.25">
      <c r="A2336" s="1">
        <v>78193</v>
      </c>
      <c r="B2336" s="2">
        <v>115</v>
      </c>
      <c r="C2336" s="2">
        <v>78</v>
      </c>
      <c r="D2336" s="2">
        <v>1577880000</v>
      </c>
      <c r="E2336" s="2" t="s">
        <v>2336</v>
      </c>
      <c r="F2336" s="2">
        <v>1577880000</v>
      </c>
    </row>
    <row r="2337" spans="1:6" x14ac:dyDescent="0.25">
      <c r="A2337" s="1">
        <v>78194</v>
      </c>
      <c r="B2337" s="2">
        <v>116</v>
      </c>
      <c r="C2337" s="2">
        <v>78</v>
      </c>
      <c r="D2337" s="2" t="s">
        <v>3</v>
      </c>
      <c r="E2337" s="2" t="s">
        <v>2337</v>
      </c>
      <c r="F2337" s="2" t="s">
        <v>3</v>
      </c>
    </row>
    <row r="2338" spans="1:6" x14ac:dyDescent="0.25">
      <c r="A2338" s="1">
        <v>78195</v>
      </c>
      <c r="B2338" s="2">
        <v>117</v>
      </c>
      <c r="C2338" s="2">
        <v>78</v>
      </c>
      <c r="D2338" s="2" t="s">
        <v>3</v>
      </c>
      <c r="E2338" s="2" t="s">
        <v>2338</v>
      </c>
      <c r="F2338" s="2" t="s">
        <v>3</v>
      </c>
    </row>
    <row r="2339" spans="1:6" x14ac:dyDescent="0.25">
      <c r="A2339" s="1">
        <v>78196</v>
      </c>
      <c r="B2339" s="2">
        <v>118</v>
      </c>
      <c r="C2339" s="2">
        <v>78</v>
      </c>
      <c r="D2339" s="2" t="s">
        <v>3</v>
      </c>
      <c r="E2339" s="2" t="s">
        <v>2339</v>
      </c>
      <c r="F2339" s="2" t="s">
        <v>3</v>
      </c>
    </row>
    <row r="2340" spans="1:6" x14ac:dyDescent="0.25">
      <c r="A2340" s="1">
        <v>78197</v>
      </c>
      <c r="B2340" s="2">
        <v>119</v>
      </c>
      <c r="C2340" s="2">
        <v>78</v>
      </c>
      <c r="D2340" s="2">
        <v>71609.399999999994</v>
      </c>
      <c r="E2340" s="2" t="s">
        <v>2340</v>
      </c>
      <c r="F2340" s="2">
        <v>71609.399999999994</v>
      </c>
    </row>
    <row r="2341" spans="1:6" x14ac:dyDescent="0.25">
      <c r="A2341" s="1">
        <v>78198</v>
      </c>
      <c r="B2341" s="2">
        <v>120</v>
      </c>
      <c r="C2341" s="2">
        <v>78</v>
      </c>
      <c r="D2341" s="2" t="s">
        <v>3</v>
      </c>
      <c r="E2341" s="2" t="s">
        <v>2341</v>
      </c>
      <c r="F2341" s="2" t="s">
        <v>3</v>
      </c>
    </row>
    <row r="2342" spans="1:6" x14ac:dyDescent="0.25">
      <c r="A2342" s="1">
        <v>78199</v>
      </c>
      <c r="B2342" s="2">
        <v>121</v>
      </c>
      <c r="C2342" s="2">
        <v>78</v>
      </c>
      <c r="D2342" s="2">
        <v>1848</v>
      </c>
      <c r="E2342" s="2" t="s">
        <v>2342</v>
      </c>
      <c r="F2342" s="2">
        <v>1848</v>
      </c>
    </row>
    <row r="2343" spans="1:6" x14ac:dyDescent="0.25">
      <c r="A2343" s="1">
        <v>78200</v>
      </c>
      <c r="B2343" s="2">
        <v>122</v>
      </c>
      <c r="C2343" s="2">
        <v>78</v>
      </c>
      <c r="D2343" s="2">
        <v>45360</v>
      </c>
      <c r="E2343" s="2" t="s">
        <v>2343</v>
      </c>
      <c r="F2343" s="2">
        <v>45360</v>
      </c>
    </row>
    <row r="2344" spans="1:6" x14ac:dyDescent="0.25">
      <c r="A2344" s="1">
        <v>78201</v>
      </c>
      <c r="B2344" s="2">
        <v>123</v>
      </c>
      <c r="C2344" s="2">
        <v>78</v>
      </c>
      <c r="D2344" s="2">
        <v>150</v>
      </c>
      <c r="E2344" s="2" t="s">
        <v>2344</v>
      </c>
      <c r="F2344" s="2">
        <v>150</v>
      </c>
    </row>
    <row r="2345" spans="1:6" x14ac:dyDescent="0.25">
      <c r="A2345" s="1">
        <v>78202</v>
      </c>
      <c r="B2345" s="2">
        <v>124</v>
      </c>
      <c r="C2345" s="2">
        <v>78</v>
      </c>
      <c r="D2345" s="2">
        <v>158400</v>
      </c>
      <c r="E2345" s="2" t="s">
        <v>2345</v>
      </c>
      <c r="F2345" s="2">
        <v>158400</v>
      </c>
    </row>
    <row r="2346" spans="1:6" x14ac:dyDescent="0.25">
      <c r="A2346" s="1">
        <v>78203</v>
      </c>
      <c r="B2346" s="2">
        <v>125</v>
      </c>
      <c r="C2346" s="2">
        <v>78</v>
      </c>
      <c r="D2346" s="2">
        <v>10</v>
      </c>
      <c r="E2346" s="2" t="s">
        <v>2346</v>
      </c>
      <c r="F2346" s="2">
        <v>10</v>
      </c>
    </row>
    <row r="2347" spans="1:6" x14ac:dyDescent="0.25">
      <c r="A2347" s="1">
        <v>78204</v>
      </c>
      <c r="B2347" s="2">
        <v>126</v>
      </c>
      <c r="C2347" s="2">
        <v>78</v>
      </c>
      <c r="D2347" s="2">
        <v>10.3</v>
      </c>
      <c r="E2347" s="2" t="s">
        <v>2347</v>
      </c>
      <c r="F2347" s="2">
        <v>10.3</v>
      </c>
    </row>
    <row r="2348" spans="1:6" x14ac:dyDescent="0.25">
      <c r="A2348" s="1">
        <v>78205</v>
      </c>
      <c r="B2348" s="2">
        <v>127</v>
      </c>
      <c r="C2348" s="2">
        <v>78</v>
      </c>
      <c r="D2348" s="2">
        <v>2.9999999999999999E-7</v>
      </c>
      <c r="E2348" s="2" t="s">
        <v>2348</v>
      </c>
      <c r="F2348" s="2">
        <v>2.9999999999999999E-7</v>
      </c>
    </row>
    <row r="2349" spans="1:6" x14ac:dyDescent="0.25">
      <c r="A2349" s="1">
        <v>78206</v>
      </c>
      <c r="B2349" s="2">
        <v>128</v>
      </c>
      <c r="C2349" s="2">
        <v>78</v>
      </c>
      <c r="D2349" s="2">
        <v>1.6E-7</v>
      </c>
      <c r="E2349" s="2" t="s">
        <v>2349</v>
      </c>
      <c r="F2349" s="2">
        <v>1.6E-7</v>
      </c>
    </row>
    <row r="2350" spans="1:6" x14ac:dyDescent="0.25">
      <c r="A2350" s="1">
        <v>78207</v>
      </c>
      <c r="B2350" s="2">
        <v>129</v>
      </c>
      <c r="C2350" s="2">
        <v>78</v>
      </c>
      <c r="D2350" s="2">
        <v>1.6E-7</v>
      </c>
      <c r="E2350" s="2" t="s">
        <v>2350</v>
      </c>
      <c r="F2350" s="2">
        <v>1.6E-7</v>
      </c>
    </row>
    <row r="2351" spans="1:6" x14ac:dyDescent="0.25">
      <c r="A2351" s="1">
        <v>78208</v>
      </c>
      <c r="B2351" s="2">
        <v>130</v>
      </c>
      <c r="C2351" s="2">
        <v>78</v>
      </c>
      <c r="D2351" s="2">
        <v>1.6E-7</v>
      </c>
      <c r="E2351" s="2" t="s">
        <v>2351</v>
      </c>
      <c r="F2351" s="2">
        <v>1.6E-7</v>
      </c>
    </row>
    <row r="2352" spans="1:6" x14ac:dyDescent="0.25">
      <c r="A2352" s="1">
        <v>79170</v>
      </c>
      <c r="B2352" s="2">
        <v>91</v>
      </c>
      <c r="C2352" s="2">
        <v>79</v>
      </c>
      <c r="D2352" s="2">
        <v>2.8600000000000001E-4</v>
      </c>
      <c r="E2352" s="2" t="s">
        <v>2352</v>
      </c>
      <c r="F2352" s="2">
        <v>2.8600000000000001E-4</v>
      </c>
    </row>
    <row r="2353" spans="1:6" x14ac:dyDescent="0.25">
      <c r="A2353" s="1">
        <v>79171</v>
      </c>
      <c r="B2353" s="2">
        <v>92</v>
      </c>
      <c r="C2353" s="2">
        <v>79</v>
      </c>
      <c r="D2353" s="2">
        <v>1.7E-5</v>
      </c>
      <c r="E2353" s="2" t="s">
        <v>2353</v>
      </c>
      <c r="F2353" s="2">
        <v>1.7E-5</v>
      </c>
    </row>
    <row r="2354" spans="1:6" x14ac:dyDescent="0.25">
      <c r="A2354" s="1">
        <v>79172</v>
      </c>
      <c r="B2354" s="2">
        <v>93</v>
      </c>
      <c r="C2354" s="2">
        <v>79</v>
      </c>
      <c r="D2354" s="2">
        <v>2.1999999999999999E-2</v>
      </c>
      <c r="E2354" s="2" t="s">
        <v>2354</v>
      </c>
      <c r="F2354" s="2">
        <v>2.1999999999999999E-2</v>
      </c>
    </row>
    <row r="2355" spans="1:6" x14ac:dyDescent="0.25">
      <c r="A2355" s="1">
        <v>79173</v>
      </c>
      <c r="B2355" s="2">
        <v>94</v>
      </c>
      <c r="C2355" s="2">
        <v>79</v>
      </c>
      <c r="D2355" s="2">
        <v>2.63E-2</v>
      </c>
      <c r="E2355" s="2" t="s">
        <v>2355</v>
      </c>
      <c r="F2355" s="2">
        <v>2.63E-2</v>
      </c>
    </row>
    <row r="2356" spans="1:6" x14ac:dyDescent="0.25">
      <c r="A2356" s="1">
        <v>79174</v>
      </c>
      <c r="B2356" s="2">
        <v>95</v>
      </c>
      <c r="C2356" s="2">
        <v>79</v>
      </c>
      <c r="D2356" s="2">
        <v>0.13900000000000001</v>
      </c>
      <c r="E2356" s="2" t="s">
        <v>2356</v>
      </c>
      <c r="F2356" s="2">
        <v>0.13900000000000001</v>
      </c>
    </row>
    <row r="2357" spans="1:6" x14ac:dyDescent="0.25">
      <c r="A2357" s="1">
        <v>79176</v>
      </c>
      <c r="B2357" s="2">
        <v>97</v>
      </c>
      <c r="C2357" s="2">
        <v>79</v>
      </c>
      <c r="D2357" s="2">
        <v>1.05</v>
      </c>
      <c r="E2357" s="2" t="s">
        <v>2357</v>
      </c>
      <c r="F2357" s="2">
        <v>1.05</v>
      </c>
    </row>
    <row r="2358" spans="1:6" x14ac:dyDescent="0.25">
      <c r="A2358" s="1">
        <v>79177</v>
      </c>
      <c r="B2358" s="2">
        <v>98</v>
      </c>
      <c r="C2358" s="2">
        <v>79</v>
      </c>
      <c r="D2358" s="2">
        <v>1.53</v>
      </c>
      <c r="E2358" s="2" t="s">
        <v>2358</v>
      </c>
      <c r="F2358" s="2">
        <v>1.53</v>
      </c>
    </row>
    <row r="2359" spans="1:6" x14ac:dyDescent="0.25">
      <c r="A2359" s="1">
        <v>79178</v>
      </c>
      <c r="B2359" s="2">
        <v>99</v>
      </c>
      <c r="C2359" s="2">
        <v>79</v>
      </c>
      <c r="D2359" s="2">
        <v>2.6</v>
      </c>
      <c r="E2359" s="2" t="s">
        <v>2359</v>
      </c>
      <c r="F2359" s="2">
        <v>2.6</v>
      </c>
    </row>
    <row r="2360" spans="1:6" x14ac:dyDescent="0.25">
      <c r="A2360" s="1">
        <v>79179</v>
      </c>
      <c r="B2360" s="2">
        <v>100</v>
      </c>
      <c r="C2360" s="2">
        <v>79</v>
      </c>
      <c r="D2360" s="2">
        <v>7.1</v>
      </c>
      <c r="E2360" s="2" t="s">
        <v>2360</v>
      </c>
      <c r="F2360" s="2">
        <v>7.1</v>
      </c>
    </row>
    <row r="2361" spans="1:6" x14ac:dyDescent="0.25">
      <c r="A2361" s="1">
        <v>79180</v>
      </c>
      <c r="B2361" s="2">
        <v>101</v>
      </c>
      <c r="C2361" s="2">
        <v>79</v>
      </c>
      <c r="D2361" s="2">
        <v>8.4</v>
      </c>
      <c r="E2361" s="2" t="s">
        <v>2361</v>
      </c>
      <c r="F2361" s="2">
        <v>8.4</v>
      </c>
    </row>
    <row r="2362" spans="1:6" x14ac:dyDescent="0.25">
      <c r="A2362" s="1">
        <v>79181</v>
      </c>
      <c r="B2362" s="2">
        <v>102</v>
      </c>
      <c r="C2362" s="2">
        <v>79</v>
      </c>
      <c r="D2362" s="2">
        <v>13.7</v>
      </c>
      <c r="E2362" s="2" t="s">
        <v>2362</v>
      </c>
      <c r="F2362" s="2">
        <v>13.7</v>
      </c>
    </row>
    <row r="2363" spans="1:6" x14ac:dyDescent="0.25">
      <c r="A2363" s="1">
        <v>79182</v>
      </c>
      <c r="B2363" s="2">
        <v>103</v>
      </c>
      <c r="C2363" s="2">
        <v>79</v>
      </c>
      <c r="D2363" s="2">
        <v>15.5</v>
      </c>
      <c r="E2363" s="2" t="s">
        <v>2363</v>
      </c>
      <c r="F2363" s="2">
        <v>15.5</v>
      </c>
    </row>
    <row r="2364" spans="1:6" x14ac:dyDescent="0.25">
      <c r="A2364" s="1">
        <v>79183</v>
      </c>
      <c r="B2364" s="2">
        <v>104</v>
      </c>
      <c r="C2364" s="2">
        <v>79</v>
      </c>
      <c r="D2364" s="2">
        <v>42.8</v>
      </c>
      <c r="E2364" s="2" t="s">
        <v>2364</v>
      </c>
      <c r="F2364" s="2">
        <v>42.8</v>
      </c>
    </row>
    <row r="2365" spans="1:6" x14ac:dyDescent="0.25">
      <c r="A2365" s="1">
        <v>79184</v>
      </c>
      <c r="B2365" s="2">
        <v>105</v>
      </c>
      <c r="C2365" s="2">
        <v>79</v>
      </c>
      <c r="D2365" s="2">
        <v>20.6</v>
      </c>
      <c r="E2365" s="2" t="s">
        <v>2365</v>
      </c>
      <c r="F2365" s="2">
        <v>20.6</v>
      </c>
    </row>
    <row r="2366" spans="1:6" x14ac:dyDescent="0.25">
      <c r="A2366" s="1">
        <v>79185</v>
      </c>
      <c r="B2366" s="2">
        <v>106</v>
      </c>
      <c r="C2366" s="2">
        <v>79</v>
      </c>
      <c r="D2366" s="2">
        <v>255</v>
      </c>
      <c r="E2366" s="2" t="s">
        <v>2366</v>
      </c>
      <c r="F2366" s="2">
        <v>255</v>
      </c>
    </row>
    <row r="2367" spans="1:6" x14ac:dyDescent="0.25">
      <c r="A2367" s="1">
        <v>79186</v>
      </c>
      <c r="B2367" s="2">
        <v>107</v>
      </c>
      <c r="C2367" s="2">
        <v>79</v>
      </c>
      <c r="D2367" s="2">
        <v>642</v>
      </c>
      <c r="E2367" s="2" t="s">
        <v>2367</v>
      </c>
      <c r="F2367" s="2">
        <v>642</v>
      </c>
    </row>
    <row r="2368" spans="1:6" x14ac:dyDescent="0.25">
      <c r="A2368" s="1">
        <v>79187</v>
      </c>
      <c r="B2368" s="2">
        <v>108</v>
      </c>
      <c r="C2368" s="2">
        <v>79</v>
      </c>
      <c r="D2368" s="2">
        <v>504</v>
      </c>
      <c r="E2368" s="2" t="s">
        <v>2368</v>
      </c>
      <c r="F2368" s="2">
        <v>504</v>
      </c>
    </row>
    <row r="2369" spans="1:6" x14ac:dyDescent="0.25">
      <c r="A2369" s="1">
        <v>79188</v>
      </c>
      <c r="B2369" s="2">
        <v>109</v>
      </c>
      <c r="C2369" s="2">
        <v>79</v>
      </c>
      <c r="D2369" s="2">
        <v>530.4</v>
      </c>
      <c r="E2369" s="2" t="s">
        <v>2369</v>
      </c>
      <c r="F2369" s="2">
        <v>530.4</v>
      </c>
    </row>
    <row r="2370" spans="1:6" x14ac:dyDescent="0.25">
      <c r="A2370" s="1">
        <v>79189</v>
      </c>
      <c r="B2370" s="2">
        <v>110</v>
      </c>
      <c r="C2370" s="2">
        <v>79</v>
      </c>
      <c r="D2370" s="2">
        <v>1722</v>
      </c>
      <c r="E2370" s="2" t="s">
        <v>2370</v>
      </c>
      <c r="F2370" s="2">
        <v>1722</v>
      </c>
    </row>
    <row r="2371" spans="1:6" x14ac:dyDescent="0.25">
      <c r="A2371" s="1">
        <v>79190</v>
      </c>
      <c r="B2371" s="2">
        <v>111</v>
      </c>
      <c r="C2371" s="2">
        <v>79</v>
      </c>
      <c r="D2371" s="2">
        <v>2568</v>
      </c>
      <c r="E2371" s="2" t="s">
        <v>2371</v>
      </c>
      <c r="F2371" s="2">
        <v>2568</v>
      </c>
    </row>
    <row r="2372" spans="1:6" x14ac:dyDescent="0.25">
      <c r="A2372" s="1">
        <v>79191</v>
      </c>
      <c r="B2372" s="2">
        <v>112</v>
      </c>
      <c r="C2372" s="2">
        <v>79</v>
      </c>
      <c r="D2372" s="2">
        <v>11448</v>
      </c>
      <c r="E2372" s="2" t="s">
        <v>2372</v>
      </c>
      <c r="F2372" s="2">
        <v>11448</v>
      </c>
    </row>
    <row r="2373" spans="1:6" x14ac:dyDescent="0.25">
      <c r="A2373" s="1">
        <v>79192</v>
      </c>
      <c r="B2373" s="2">
        <v>113</v>
      </c>
      <c r="C2373" s="2">
        <v>79</v>
      </c>
      <c r="D2373" s="2">
        <v>17784</v>
      </c>
      <c r="E2373" s="2" t="s">
        <v>2373</v>
      </c>
      <c r="F2373" s="2">
        <v>17784</v>
      </c>
    </row>
    <row r="2374" spans="1:6" x14ac:dyDescent="0.25">
      <c r="A2374" s="1">
        <v>79193</v>
      </c>
      <c r="B2374" s="2">
        <v>114</v>
      </c>
      <c r="C2374" s="2">
        <v>79</v>
      </c>
      <c r="D2374" s="2">
        <v>63539.999999999898</v>
      </c>
      <c r="E2374" s="2" t="s">
        <v>2374</v>
      </c>
      <c r="F2374" s="2">
        <v>63539.999999999898</v>
      </c>
    </row>
    <row r="2375" spans="1:6" x14ac:dyDescent="0.25">
      <c r="A2375" s="1">
        <v>79194</v>
      </c>
      <c r="B2375" s="2">
        <v>115</v>
      </c>
      <c r="C2375" s="2">
        <v>79</v>
      </c>
      <c r="D2375" s="2">
        <v>136872</v>
      </c>
      <c r="E2375" s="2" t="s">
        <v>2375</v>
      </c>
      <c r="F2375" s="2">
        <v>136872</v>
      </c>
    </row>
    <row r="2376" spans="1:6" x14ac:dyDescent="0.25">
      <c r="A2376" s="1">
        <v>79195</v>
      </c>
      <c r="B2376" s="2">
        <v>116</v>
      </c>
      <c r="C2376" s="2">
        <v>79</v>
      </c>
      <c r="D2376" s="2">
        <v>16071264</v>
      </c>
      <c r="E2376" s="2" t="s">
        <v>2376</v>
      </c>
      <c r="F2376" s="2">
        <v>16071264</v>
      </c>
    </row>
    <row r="2377" spans="1:6" x14ac:dyDescent="0.25">
      <c r="A2377" s="1">
        <v>79196</v>
      </c>
      <c r="B2377" s="2">
        <v>117</v>
      </c>
      <c r="C2377" s="2">
        <v>79</v>
      </c>
      <c r="D2377" s="2">
        <v>532820.16</v>
      </c>
      <c r="E2377" s="2" t="s">
        <v>2377</v>
      </c>
      <c r="F2377" s="2">
        <v>532820.16</v>
      </c>
    </row>
    <row r="2378" spans="1:6" x14ac:dyDescent="0.25">
      <c r="A2378" s="1">
        <v>79197</v>
      </c>
      <c r="B2378" s="2">
        <v>118</v>
      </c>
      <c r="C2378" s="2">
        <v>79</v>
      </c>
      <c r="D2378" s="2" t="s">
        <v>3</v>
      </c>
      <c r="E2378" s="2" t="s">
        <v>2378</v>
      </c>
      <c r="F2378" s="2" t="s">
        <v>3</v>
      </c>
    </row>
    <row r="2379" spans="1:6" x14ac:dyDescent="0.25">
      <c r="A2379" s="1">
        <v>79198</v>
      </c>
      <c r="B2379" s="2">
        <v>119</v>
      </c>
      <c r="C2379" s="2">
        <v>79</v>
      </c>
      <c r="D2379" s="2">
        <v>232770.24</v>
      </c>
      <c r="E2379" s="2" t="s">
        <v>2379</v>
      </c>
      <c r="F2379" s="2">
        <v>232770.24</v>
      </c>
    </row>
    <row r="2380" spans="1:6" x14ac:dyDescent="0.25">
      <c r="A2380" s="1">
        <v>79199</v>
      </c>
      <c r="B2380" s="2">
        <v>120</v>
      </c>
      <c r="C2380" s="2">
        <v>79</v>
      </c>
      <c r="D2380" s="2">
        <v>271209.59999999998</v>
      </c>
      <c r="E2380" s="2" t="s">
        <v>2380</v>
      </c>
      <c r="F2380" s="2">
        <v>271209.59999999998</v>
      </c>
    </row>
    <row r="2381" spans="1:6" x14ac:dyDescent="0.25">
      <c r="A2381" s="1">
        <v>79200</v>
      </c>
      <c r="B2381" s="2">
        <v>121</v>
      </c>
      <c r="C2381" s="2">
        <v>79</v>
      </c>
      <c r="D2381" s="2">
        <v>2904</v>
      </c>
      <c r="E2381" s="2" t="s">
        <v>2381</v>
      </c>
      <c r="F2381" s="2">
        <v>2904</v>
      </c>
    </row>
    <row r="2382" spans="1:6" x14ac:dyDescent="0.25">
      <c r="A2382" s="1">
        <v>79201</v>
      </c>
      <c r="B2382" s="2">
        <v>122</v>
      </c>
      <c r="C2382" s="2">
        <v>79</v>
      </c>
      <c r="D2382" s="2">
        <v>1560</v>
      </c>
      <c r="E2382" s="2" t="s">
        <v>2382</v>
      </c>
      <c r="F2382" s="2">
        <v>1560</v>
      </c>
    </row>
    <row r="2383" spans="1:6" x14ac:dyDescent="0.25">
      <c r="A2383" s="1">
        <v>79202</v>
      </c>
      <c r="B2383" s="2">
        <v>123</v>
      </c>
      <c r="C2383" s="2">
        <v>79</v>
      </c>
      <c r="D2383" s="2">
        <v>28.4</v>
      </c>
      <c r="E2383" s="2" t="s">
        <v>2383</v>
      </c>
      <c r="F2383" s="2">
        <v>28.4</v>
      </c>
    </row>
    <row r="2384" spans="1:6" x14ac:dyDescent="0.25">
      <c r="A2384" s="1">
        <v>79203</v>
      </c>
      <c r="B2384" s="2">
        <v>124</v>
      </c>
      <c r="C2384" s="2">
        <v>79</v>
      </c>
      <c r="D2384" s="2">
        <v>60</v>
      </c>
      <c r="E2384" s="2" t="s">
        <v>2384</v>
      </c>
      <c r="F2384" s="2">
        <v>60</v>
      </c>
    </row>
    <row r="2385" spans="1:6" x14ac:dyDescent="0.25">
      <c r="A2385" s="1">
        <v>79204</v>
      </c>
      <c r="B2385" s="2">
        <v>125</v>
      </c>
      <c r="C2385" s="2">
        <v>79</v>
      </c>
      <c r="D2385" s="2">
        <v>39.799999999999997</v>
      </c>
      <c r="E2385" s="2" t="s">
        <v>2385</v>
      </c>
      <c r="F2385" s="2">
        <v>39.799999999999997</v>
      </c>
    </row>
    <row r="2386" spans="1:6" x14ac:dyDescent="0.25">
      <c r="A2386" s="1">
        <v>79205</v>
      </c>
      <c r="B2386" s="2">
        <v>126</v>
      </c>
      <c r="C2386" s="2">
        <v>79</v>
      </c>
      <c r="D2386" s="2">
        <v>32.5</v>
      </c>
      <c r="E2386" s="2" t="s">
        <v>2386</v>
      </c>
      <c r="F2386" s="2">
        <v>32.5</v>
      </c>
    </row>
    <row r="2387" spans="1:6" x14ac:dyDescent="0.25">
      <c r="A2387" s="1">
        <v>79206</v>
      </c>
      <c r="B2387" s="2">
        <v>127</v>
      </c>
      <c r="C2387" s="2">
        <v>79</v>
      </c>
      <c r="D2387" s="2">
        <v>40</v>
      </c>
      <c r="E2387" s="2" t="s">
        <v>2387</v>
      </c>
      <c r="F2387" s="2">
        <v>40</v>
      </c>
    </row>
    <row r="2388" spans="1:6" x14ac:dyDescent="0.25">
      <c r="A2388" s="1">
        <v>79207</v>
      </c>
      <c r="B2388" s="2">
        <v>128</v>
      </c>
      <c r="C2388" s="2">
        <v>79</v>
      </c>
      <c r="D2388" s="2">
        <v>2.9999999999999999E-7</v>
      </c>
      <c r="E2388" s="2" t="s">
        <v>2388</v>
      </c>
      <c r="F2388" s="2">
        <v>2.9999999999999999E-7</v>
      </c>
    </row>
    <row r="2389" spans="1:6" x14ac:dyDescent="0.25">
      <c r="A2389" s="1">
        <v>79208</v>
      </c>
      <c r="B2389" s="2">
        <v>129</v>
      </c>
      <c r="C2389" s="2">
        <v>79</v>
      </c>
      <c r="D2389" s="2">
        <v>2.9999999999999999E-7</v>
      </c>
      <c r="E2389" s="2" t="s">
        <v>2389</v>
      </c>
      <c r="F2389" s="2">
        <v>2.9999999999999999E-7</v>
      </c>
    </row>
    <row r="2390" spans="1:6" x14ac:dyDescent="0.25">
      <c r="A2390" s="1">
        <v>79209</v>
      </c>
      <c r="B2390" s="2">
        <v>130</v>
      </c>
      <c r="C2390" s="2">
        <v>79</v>
      </c>
      <c r="D2390" s="2">
        <v>2.9999999999999999E-7</v>
      </c>
      <c r="E2390" s="2" t="s">
        <v>2390</v>
      </c>
      <c r="F2390" s="2">
        <v>2.9999999999999999E-7</v>
      </c>
    </row>
    <row r="2391" spans="1:6" x14ac:dyDescent="0.25">
      <c r="A2391" s="1">
        <v>79210</v>
      </c>
      <c r="B2391" s="2">
        <v>131</v>
      </c>
      <c r="C2391" s="2">
        <v>79</v>
      </c>
      <c r="D2391" s="2">
        <v>2.9999999999999999E-7</v>
      </c>
      <c r="E2391" s="2" t="s">
        <v>2391</v>
      </c>
      <c r="F2391" s="2">
        <v>2.9999999999999999E-7</v>
      </c>
    </row>
    <row r="2392" spans="1:6" x14ac:dyDescent="0.25">
      <c r="A2392" s="1">
        <v>80171</v>
      </c>
      <c r="B2392" s="2">
        <v>91</v>
      </c>
      <c r="C2392" s="2">
        <v>80</v>
      </c>
      <c r="D2392" s="2">
        <v>5.8999999999999998E-5</v>
      </c>
      <c r="E2392" s="2" t="s">
        <v>2392</v>
      </c>
      <c r="F2392" s="2">
        <v>5.8999999999999998E-5</v>
      </c>
    </row>
    <row r="2393" spans="1:6" x14ac:dyDescent="0.25">
      <c r="A2393" s="1">
        <v>80172</v>
      </c>
      <c r="B2393" s="2">
        <v>92</v>
      </c>
      <c r="C2393" s="2">
        <v>80</v>
      </c>
      <c r="D2393" s="2">
        <v>2.30999999999999E-4</v>
      </c>
      <c r="E2393" s="2" t="s">
        <v>2393</v>
      </c>
      <c r="F2393" s="2">
        <v>2.30999999999999E-4</v>
      </c>
    </row>
    <row r="2394" spans="1:6" x14ac:dyDescent="0.25">
      <c r="A2394" s="1">
        <v>80173</v>
      </c>
      <c r="B2394" s="2">
        <v>93</v>
      </c>
      <c r="C2394" s="2">
        <v>80</v>
      </c>
      <c r="D2394" s="2">
        <v>8.0000000000000004E-4</v>
      </c>
      <c r="E2394" s="2" t="s">
        <v>2394</v>
      </c>
      <c r="F2394" s="2">
        <v>8.0000000000000004E-4</v>
      </c>
    </row>
    <row r="2395" spans="1:6" x14ac:dyDescent="0.25">
      <c r="A2395" s="1">
        <v>80174</v>
      </c>
      <c r="B2395" s="2">
        <v>94</v>
      </c>
      <c r="C2395" s="2">
        <v>80</v>
      </c>
      <c r="D2395" s="2">
        <v>2.0999999999999999E-3</v>
      </c>
      <c r="E2395" s="2" t="s">
        <v>2395</v>
      </c>
      <c r="F2395" s="2">
        <v>2.0999999999999999E-3</v>
      </c>
    </row>
    <row r="2396" spans="1:6" x14ac:dyDescent="0.25">
      <c r="A2396" s="1">
        <v>80175</v>
      </c>
      <c r="B2396" s="2">
        <v>95</v>
      </c>
      <c r="C2396" s="2">
        <v>80</v>
      </c>
      <c r="D2396" s="2">
        <v>1.06E-2</v>
      </c>
      <c r="E2396" s="2" t="s">
        <v>2396</v>
      </c>
      <c r="F2396" s="2">
        <v>1.06E-2</v>
      </c>
    </row>
    <row r="2397" spans="1:6" x14ac:dyDescent="0.25">
      <c r="A2397" s="1">
        <v>80176</v>
      </c>
      <c r="B2397" s="2">
        <v>96</v>
      </c>
      <c r="C2397" s="2">
        <v>80</v>
      </c>
      <c r="D2397" s="2">
        <v>2.0299999999999999E-2</v>
      </c>
      <c r="E2397" s="2" t="s">
        <v>2397</v>
      </c>
      <c r="F2397" s="2">
        <v>2.0299999999999999E-2</v>
      </c>
    </row>
    <row r="2398" spans="1:6" x14ac:dyDescent="0.25">
      <c r="A2398" s="1">
        <v>80177</v>
      </c>
      <c r="B2398" s="2">
        <v>97</v>
      </c>
      <c r="C2398" s="2">
        <v>80</v>
      </c>
      <c r="D2398" s="2">
        <v>0.11799999999999999</v>
      </c>
      <c r="E2398" s="2" t="s">
        <v>2398</v>
      </c>
      <c r="F2398" s="2">
        <v>0.11799999999999999</v>
      </c>
    </row>
    <row r="2399" spans="1:6" x14ac:dyDescent="0.25">
      <c r="A2399" s="1">
        <v>80178</v>
      </c>
      <c r="B2399" s="2">
        <v>98</v>
      </c>
      <c r="C2399" s="2">
        <v>80</v>
      </c>
      <c r="D2399" s="2">
        <v>0.26650000000000001</v>
      </c>
      <c r="E2399" s="2" t="s">
        <v>2399</v>
      </c>
      <c r="F2399" s="2">
        <v>0.26650000000000001</v>
      </c>
    </row>
    <row r="2400" spans="1:6" x14ac:dyDescent="0.25">
      <c r="A2400" s="1">
        <v>80179</v>
      </c>
      <c r="B2400" s="2">
        <v>99</v>
      </c>
      <c r="C2400" s="2">
        <v>80</v>
      </c>
      <c r="D2400" s="2">
        <v>1.05</v>
      </c>
      <c r="E2400" s="2" t="s">
        <v>2400</v>
      </c>
      <c r="F2400" s="2">
        <v>1.05</v>
      </c>
    </row>
    <row r="2401" spans="1:6" x14ac:dyDescent="0.25">
      <c r="A2401" s="1">
        <v>80180</v>
      </c>
      <c r="B2401" s="2">
        <v>100</v>
      </c>
      <c r="C2401" s="2">
        <v>80</v>
      </c>
      <c r="D2401" s="2">
        <v>2.59</v>
      </c>
      <c r="E2401" s="2" t="s">
        <v>2401</v>
      </c>
      <c r="F2401" s="2">
        <v>2.59</v>
      </c>
    </row>
    <row r="2402" spans="1:6" x14ac:dyDescent="0.25">
      <c r="A2402" s="1">
        <v>80181</v>
      </c>
      <c r="B2402" s="2">
        <v>101</v>
      </c>
      <c r="C2402" s="2">
        <v>80</v>
      </c>
      <c r="D2402" s="2">
        <v>3.6</v>
      </c>
      <c r="E2402" s="2" t="s">
        <v>2402</v>
      </c>
      <c r="F2402" s="2">
        <v>3.6</v>
      </c>
    </row>
    <row r="2403" spans="1:6" x14ac:dyDescent="0.25">
      <c r="A2403" s="1">
        <v>80182</v>
      </c>
      <c r="B2403" s="2">
        <v>102</v>
      </c>
      <c r="C2403" s="2">
        <v>80</v>
      </c>
      <c r="D2403" s="2">
        <v>10.83</v>
      </c>
      <c r="E2403" s="2" t="s">
        <v>2403</v>
      </c>
      <c r="F2403" s="2">
        <v>10.83</v>
      </c>
    </row>
    <row r="2404" spans="1:6" x14ac:dyDescent="0.25">
      <c r="A2404" s="1">
        <v>80183</v>
      </c>
      <c r="B2404" s="2">
        <v>103</v>
      </c>
      <c r="C2404" s="2">
        <v>80</v>
      </c>
      <c r="D2404" s="2">
        <v>9.4</v>
      </c>
      <c r="E2404" s="2" t="s">
        <v>2404</v>
      </c>
      <c r="F2404" s="2">
        <v>9.4</v>
      </c>
    </row>
    <row r="2405" spans="1:6" x14ac:dyDescent="0.25">
      <c r="A2405" s="1">
        <v>80184</v>
      </c>
      <c r="B2405" s="2">
        <v>104</v>
      </c>
      <c r="C2405" s="2">
        <v>80</v>
      </c>
      <c r="D2405" s="2">
        <v>30.87</v>
      </c>
      <c r="E2405" s="2" t="s">
        <v>2405</v>
      </c>
      <c r="F2405" s="2">
        <v>30.87</v>
      </c>
    </row>
    <row r="2406" spans="1:6" x14ac:dyDescent="0.25">
      <c r="A2406" s="1">
        <v>80185</v>
      </c>
      <c r="B2406" s="2">
        <v>105</v>
      </c>
      <c r="C2406" s="2">
        <v>80</v>
      </c>
      <c r="D2406" s="2">
        <v>49.1</v>
      </c>
      <c r="E2406" s="2" t="s">
        <v>2406</v>
      </c>
      <c r="F2406" s="2">
        <v>49.1</v>
      </c>
    </row>
    <row r="2407" spans="1:6" x14ac:dyDescent="0.25">
      <c r="A2407" s="1">
        <v>80186</v>
      </c>
      <c r="B2407" s="2">
        <v>106</v>
      </c>
      <c r="C2407" s="2">
        <v>80</v>
      </c>
      <c r="D2407" s="2">
        <v>82.8</v>
      </c>
      <c r="E2407" s="2" t="s">
        <v>2407</v>
      </c>
      <c r="F2407" s="2">
        <v>82.8</v>
      </c>
    </row>
    <row r="2408" spans="1:6" x14ac:dyDescent="0.25">
      <c r="A2408" s="1">
        <v>80187</v>
      </c>
      <c r="B2408" s="2">
        <v>107</v>
      </c>
      <c r="C2408" s="2">
        <v>80</v>
      </c>
      <c r="D2408" s="2">
        <v>114</v>
      </c>
      <c r="E2408" s="2" t="s">
        <v>2408</v>
      </c>
      <c r="F2408" s="2">
        <v>114</v>
      </c>
    </row>
    <row r="2409" spans="1:6" x14ac:dyDescent="0.25">
      <c r="A2409" s="1">
        <v>80188</v>
      </c>
      <c r="B2409" s="2">
        <v>108</v>
      </c>
      <c r="C2409" s="2">
        <v>80</v>
      </c>
      <c r="D2409" s="2">
        <v>195</v>
      </c>
      <c r="E2409" s="2" t="s">
        <v>2409</v>
      </c>
      <c r="F2409" s="2">
        <v>195</v>
      </c>
    </row>
    <row r="2410" spans="1:6" x14ac:dyDescent="0.25">
      <c r="A2410" s="1">
        <v>80189</v>
      </c>
      <c r="B2410" s="2">
        <v>109</v>
      </c>
      <c r="C2410" s="2">
        <v>80</v>
      </c>
      <c r="D2410" s="2">
        <v>456</v>
      </c>
      <c r="E2410" s="2" t="s">
        <v>2410</v>
      </c>
      <c r="F2410" s="2">
        <v>456</v>
      </c>
    </row>
    <row r="2411" spans="1:6" x14ac:dyDescent="0.25">
      <c r="A2411" s="1">
        <v>80190</v>
      </c>
      <c r="B2411" s="2">
        <v>110</v>
      </c>
      <c r="C2411" s="2">
        <v>80</v>
      </c>
      <c r="D2411" s="2">
        <v>1200</v>
      </c>
      <c r="E2411" s="2" t="s">
        <v>2411</v>
      </c>
      <c r="F2411" s="2">
        <v>1200</v>
      </c>
    </row>
    <row r="2412" spans="1:6" x14ac:dyDescent="0.25">
      <c r="A2412" s="1">
        <v>80191</v>
      </c>
      <c r="B2412" s="2">
        <v>111</v>
      </c>
      <c r="C2412" s="2">
        <v>80</v>
      </c>
      <c r="D2412" s="2">
        <v>2940</v>
      </c>
      <c r="E2412" s="2" t="s">
        <v>2412</v>
      </c>
      <c r="F2412" s="2">
        <v>2940</v>
      </c>
    </row>
    <row r="2413" spans="1:6" x14ac:dyDescent="0.25">
      <c r="A2413" s="1">
        <v>80192</v>
      </c>
      <c r="B2413" s="2">
        <v>112</v>
      </c>
      <c r="C2413" s="2">
        <v>80</v>
      </c>
      <c r="D2413" s="2">
        <v>17460</v>
      </c>
      <c r="E2413" s="2" t="s">
        <v>2413</v>
      </c>
      <c r="F2413" s="2">
        <v>17460</v>
      </c>
    </row>
    <row r="2414" spans="1:6" x14ac:dyDescent="0.25">
      <c r="A2414" s="1">
        <v>80193</v>
      </c>
      <c r="B2414" s="2">
        <v>113</v>
      </c>
      <c r="C2414" s="2">
        <v>80</v>
      </c>
      <c r="D2414" s="2">
        <v>13680</v>
      </c>
      <c r="E2414" s="2" t="s">
        <v>2414</v>
      </c>
      <c r="F2414" s="2">
        <v>13680</v>
      </c>
    </row>
    <row r="2415" spans="1:6" x14ac:dyDescent="0.25">
      <c r="A2415" s="1">
        <v>80194</v>
      </c>
      <c r="B2415" s="2">
        <v>114</v>
      </c>
      <c r="C2415" s="2">
        <v>80</v>
      </c>
      <c r="D2415" s="2">
        <v>14011574400</v>
      </c>
      <c r="E2415" s="2" t="s">
        <v>2415</v>
      </c>
      <c r="F2415" s="2">
        <v>14011574400</v>
      </c>
    </row>
    <row r="2416" spans="1:6" x14ac:dyDescent="0.25">
      <c r="A2416" s="1">
        <v>80195</v>
      </c>
      <c r="B2416" s="2">
        <v>115</v>
      </c>
      <c r="C2416" s="2">
        <v>80</v>
      </c>
      <c r="D2416" s="2">
        <v>37908</v>
      </c>
      <c r="E2416" s="2" t="s">
        <v>2416</v>
      </c>
      <c r="F2416" s="2">
        <v>37908</v>
      </c>
    </row>
    <row r="2417" spans="1:6" x14ac:dyDescent="0.25">
      <c r="A2417" s="1">
        <v>80196</v>
      </c>
      <c r="B2417" s="2">
        <v>116</v>
      </c>
      <c r="C2417" s="2">
        <v>80</v>
      </c>
      <c r="D2417" s="2" t="s">
        <v>3</v>
      </c>
      <c r="E2417" s="2" t="s">
        <v>2417</v>
      </c>
      <c r="F2417" s="2" t="s">
        <v>3</v>
      </c>
    </row>
    <row r="2418" spans="1:6" x14ac:dyDescent="0.25">
      <c r="A2418" s="1">
        <v>80197</v>
      </c>
      <c r="B2418" s="2">
        <v>117</v>
      </c>
      <c r="C2418" s="2">
        <v>80</v>
      </c>
      <c r="D2418" s="2">
        <v>230904</v>
      </c>
      <c r="E2418" s="2" t="s">
        <v>2418</v>
      </c>
      <c r="F2418" s="2">
        <v>230904</v>
      </c>
    </row>
    <row r="2419" spans="1:6" x14ac:dyDescent="0.25">
      <c r="A2419" s="1">
        <v>80198</v>
      </c>
      <c r="B2419" s="2">
        <v>118</v>
      </c>
      <c r="C2419" s="2">
        <v>80</v>
      </c>
      <c r="D2419" s="2" t="s">
        <v>3</v>
      </c>
      <c r="E2419" s="2" t="s">
        <v>2419</v>
      </c>
      <c r="F2419" s="2" t="s">
        <v>3</v>
      </c>
    </row>
    <row r="2420" spans="1:6" x14ac:dyDescent="0.25">
      <c r="A2420" s="1">
        <v>80199</v>
      </c>
      <c r="B2420" s="2">
        <v>119</v>
      </c>
      <c r="C2420" s="2">
        <v>80</v>
      </c>
      <c r="D2420" s="2" t="s">
        <v>3</v>
      </c>
      <c r="E2420" s="2" t="s">
        <v>2420</v>
      </c>
      <c r="F2420" s="2" t="s">
        <v>3</v>
      </c>
    </row>
    <row r="2421" spans="1:6" x14ac:dyDescent="0.25">
      <c r="A2421" s="1">
        <v>80200</v>
      </c>
      <c r="B2421" s="2">
        <v>120</v>
      </c>
      <c r="C2421" s="2">
        <v>80</v>
      </c>
      <c r="D2421" s="2" t="s">
        <v>3</v>
      </c>
      <c r="E2421" s="2" t="s">
        <v>2421</v>
      </c>
      <c r="F2421" s="2" t="s">
        <v>3</v>
      </c>
    </row>
    <row r="2422" spans="1:6" x14ac:dyDescent="0.25">
      <c r="A2422" s="1">
        <v>80201</v>
      </c>
      <c r="B2422" s="2">
        <v>121</v>
      </c>
      <c r="C2422" s="2">
        <v>80</v>
      </c>
      <c r="D2422" s="2" t="s">
        <v>3</v>
      </c>
      <c r="E2422" s="2" t="s">
        <v>2422</v>
      </c>
      <c r="F2422" s="2" t="s">
        <v>3</v>
      </c>
    </row>
    <row r="2423" spans="1:6" x14ac:dyDescent="0.25">
      <c r="A2423" s="1">
        <v>80202</v>
      </c>
      <c r="B2423" s="2">
        <v>122</v>
      </c>
      <c r="C2423" s="2">
        <v>80</v>
      </c>
      <c r="D2423" s="2" t="s">
        <v>3</v>
      </c>
      <c r="E2423" s="2" t="s">
        <v>2423</v>
      </c>
      <c r="F2423" s="2" t="s">
        <v>3</v>
      </c>
    </row>
    <row r="2424" spans="1:6" x14ac:dyDescent="0.25">
      <c r="A2424" s="1">
        <v>80203</v>
      </c>
      <c r="B2424" s="2">
        <v>123</v>
      </c>
      <c r="C2424" s="2">
        <v>80</v>
      </c>
      <c r="D2424" s="2">
        <v>4025721.6</v>
      </c>
      <c r="E2424" s="2" t="s">
        <v>2424</v>
      </c>
      <c r="F2424" s="2">
        <v>4025721.6</v>
      </c>
    </row>
    <row r="2425" spans="1:6" x14ac:dyDescent="0.25">
      <c r="A2425" s="1">
        <v>80204</v>
      </c>
      <c r="B2425" s="2">
        <v>124</v>
      </c>
      <c r="C2425" s="2">
        <v>80</v>
      </c>
      <c r="D2425" s="2" t="s">
        <v>3</v>
      </c>
      <c r="E2425" s="2" t="s">
        <v>2425</v>
      </c>
      <c r="F2425" s="2" t="s">
        <v>3</v>
      </c>
    </row>
    <row r="2426" spans="1:6" x14ac:dyDescent="0.25">
      <c r="A2426" s="1">
        <v>80205</v>
      </c>
      <c r="B2426" s="2">
        <v>125</v>
      </c>
      <c r="C2426" s="2">
        <v>80</v>
      </c>
      <c r="D2426" s="2">
        <v>308.39999999999998</v>
      </c>
      <c r="E2426" s="2" t="s">
        <v>2426</v>
      </c>
      <c r="F2426" s="2">
        <v>308.39999999999998</v>
      </c>
    </row>
    <row r="2427" spans="1:6" x14ac:dyDescent="0.25">
      <c r="A2427" s="1">
        <v>80206</v>
      </c>
      <c r="B2427" s="2">
        <v>126</v>
      </c>
      <c r="C2427" s="2">
        <v>80</v>
      </c>
      <c r="D2427" s="2">
        <v>499.2</v>
      </c>
      <c r="E2427" s="2" t="s">
        <v>2427</v>
      </c>
      <c r="F2427" s="2">
        <v>499.2</v>
      </c>
    </row>
    <row r="2428" spans="1:6" x14ac:dyDescent="0.25">
      <c r="A2428" s="1">
        <v>80207</v>
      </c>
      <c r="B2428" s="2">
        <v>127</v>
      </c>
      <c r="C2428" s="2">
        <v>80</v>
      </c>
      <c r="D2428" s="2">
        <v>174</v>
      </c>
      <c r="E2428" s="2" t="s">
        <v>2428</v>
      </c>
      <c r="F2428" s="2">
        <v>174</v>
      </c>
    </row>
    <row r="2429" spans="1:6" x14ac:dyDescent="0.25">
      <c r="A2429" s="1">
        <v>80208</v>
      </c>
      <c r="B2429" s="2">
        <v>128</v>
      </c>
      <c r="C2429" s="2">
        <v>80</v>
      </c>
      <c r="D2429" s="2">
        <v>2460</v>
      </c>
      <c r="E2429" s="2" t="s">
        <v>2429</v>
      </c>
      <c r="F2429" s="2">
        <v>2460</v>
      </c>
    </row>
    <row r="2430" spans="1:6" x14ac:dyDescent="0.25">
      <c r="A2430" s="1">
        <v>80209</v>
      </c>
      <c r="B2430" s="2">
        <v>129</v>
      </c>
      <c r="C2430" s="2">
        <v>80</v>
      </c>
      <c r="D2430" s="2">
        <v>36</v>
      </c>
      <c r="E2430" s="2" t="s">
        <v>2430</v>
      </c>
      <c r="F2430" s="2">
        <v>36</v>
      </c>
    </row>
    <row r="2431" spans="1:6" x14ac:dyDescent="0.25">
      <c r="A2431" s="1">
        <v>80210</v>
      </c>
      <c r="B2431" s="2">
        <v>130</v>
      </c>
      <c r="C2431" s="2">
        <v>80</v>
      </c>
      <c r="D2431" s="2">
        <v>2.9999999999999999E-7</v>
      </c>
      <c r="E2431" s="2" t="s">
        <v>2431</v>
      </c>
      <c r="F2431" s="2">
        <v>2.9999999999999999E-7</v>
      </c>
    </row>
    <row r="2432" spans="1:6" x14ac:dyDescent="0.25">
      <c r="A2432" s="1">
        <v>80211</v>
      </c>
      <c r="B2432" s="2">
        <v>131</v>
      </c>
      <c r="C2432" s="2">
        <v>80</v>
      </c>
      <c r="D2432" s="2">
        <v>2.9999999999999999E-7</v>
      </c>
      <c r="E2432" s="2" t="s">
        <v>2432</v>
      </c>
      <c r="F2432" s="2">
        <v>2.9999999999999999E-7</v>
      </c>
    </row>
    <row r="2433" spans="1:6" x14ac:dyDescent="0.25">
      <c r="A2433" s="1">
        <v>80212</v>
      </c>
      <c r="B2433" s="2">
        <v>132</v>
      </c>
      <c r="C2433" s="2">
        <v>80</v>
      </c>
      <c r="D2433" s="2">
        <v>2.9999999999999999E-7</v>
      </c>
      <c r="E2433" s="2" t="s">
        <v>2433</v>
      </c>
      <c r="F2433" s="2">
        <v>2.9999999999999999E-7</v>
      </c>
    </row>
    <row r="2434" spans="1:6" x14ac:dyDescent="0.25">
      <c r="A2434" s="1">
        <v>80213</v>
      </c>
      <c r="B2434" s="2">
        <v>133</v>
      </c>
      <c r="C2434" s="2">
        <v>80</v>
      </c>
      <c r="D2434" s="2">
        <v>2.9999999999999999E-7</v>
      </c>
      <c r="E2434" s="2" t="s">
        <v>2434</v>
      </c>
      <c r="F2434" s="2">
        <v>2.9999999999999999E-7</v>
      </c>
    </row>
    <row r="2435" spans="1:6" x14ac:dyDescent="0.25">
      <c r="A2435" s="1">
        <v>80214</v>
      </c>
      <c r="B2435" s="2">
        <v>134</v>
      </c>
      <c r="C2435" s="2">
        <v>80</v>
      </c>
      <c r="D2435" s="2">
        <v>2.9999999999999999E-7</v>
      </c>
      <c r="E2435" s="2" t="s">
        <v>2435</v>
      </c>
      <c r="F2435" s="2">
        <v>2.9999999999999999E-7</v>
      </c>
    </row>
    <row r="2436" spans="1:6" x14ac:dyDescent="0.25">
      <c r="A2436" s="1">
        <v>80215</v>
      </c>
      <c r="B2436" s="2">
        <v>135</v>
      </c>
      <c r="C2436" s="2">
        <v>80</v>
      </c>
      <c r="D2436" s="2">
        <v>2.9999999999999999E-7</v>
      </c>
      <c r="E2436" s="2" t="s">
        <v>2436</v>
      </c>
      <c r="F2436" s="2">
        <v>2.9999999999999999E-7</v>
      </c>
    </row>
    <row r="2437" spans="1:6" x14ac:dyDescent="0.25">
      <c r="A2437" s="1">
        <v>80216</v>
      </c>
      <c r="B2437" s="2">
        <v>136</v>
      </c>
      <c r="C2437" s="2">
        <v>80</v>
      </c>
      <c r="D2437" s="2">
        <v>2.9999999999999999E-7</v>
      </c>
      <c r="E2437" s="2" t="s">
        <v>2437</v>
      </c>
      <c r="F2437" s="2">
        <v>2.9999999999999999E-7</v>
      </c>
    </row>
    <row r="2438" spans="1:6" x14ac:dyDescent="0.25">
      <c r="A2438" s="1">
        <v>81176</v>
      </c>
      <c r="B2438" s="2">
        <v>95</v>
      </c>
      <c r="C2438" s="2">
        <v>81</v>
      </c>
      <c r="D2438" s="2">
        <v>5.1999999999999998E-3</v>
      </c>
      <c r="E2438" s="2" t="s">
        <v>2438</v>
      </c>
      <c r="F2438" s="2">
        <v>5.1999999999999998E-3</v>
      </c>
    </row>
    <row r="2439" spans="1:6" x14ac:dyDescent="0.25">
      <c r="A2439" s="1">
        <v>81177</v>
      </c>
      <c r="B2439" s="2">
        <v>96</v>
      </c>
      <c r="C2439" s="2">
        <v>81</v>
      </c>
      <c r="D2439" s="2">
        <v>1.7999999999999999E-2</v>
      </c>
      <c r="E2439" s="2" t="s">
        <v>2439</v>
      </c>
      <c r="F2439" s="2">
        <v>1.7999999999999999E-2</v>
      </c>
    </row>
    <row r="2440" spans="1:6" x14ac:dyDescent="0.25">
      <c r="A2440" s="1">
        <v>81178</v>
      </c>
      <c r="B2440" s="2">
        <v>97</v>
      </c>
      <c r="C2440" s="2">
        <v>81</v>
      </c>
      <c r="D2440" s="2">
        <v>0.254</v>
      </c>
      <c r="E2440" s="2" t="s">
        <v>2440</v>
      </c>
      <c r="F2440" s="2">
        <v>0.254</v>
      </c>
    </row>
    <row r="2441" spans="1:6" x14ac:dyDescent="0.25">
      <c r="A2441" s="1">
        <v>81179</v>
      </c>
      <c r="B2441" s="2">
        <v>98</v>
      </c>
      <c r="C2441" s="2">
        <v>81</v>
      </c>
      <c r="D2441" s="2">
        <v>0.23</v>
      </c>
      <c r="E2441" s="2" t="s">
        <v>2441</v>
      </c>
      <c r="F2441" s="2">
        <v>0.23</v>
      </c>
    </row>
    <row r="2442" spans="1:6" x14ac:dyDescent="0.25">
      <c r="A2442" s="1">
        <v>81180</v>
      </c>
      <c r="B2442" s="2">
        <v>99</v>
      </c>
      <c r="C2442" s="2">
        <v>81</v>
      </c>
      <c r="D2442" s="2">
        <v>1.0900000000000001</v>
      </c>
      <c r="E2442" s="2" t="s">
        <v>2442</v>
      </c>
      <c r="F2442" s="2">
        <v>1.0900000000000001</v>
      </c>
    </row>
    <row r="2443" spans="1:6" x14ac:dyDescent="0.25">
      <c r="A2443" s="1">
        <v>81181</v>
      </c>
      <c r="B2443" s="2">
        <v>100</v>
      </c>
      <c r="C2443" s="2">
        <v>81</v>
      </c>
      <c r="D2443" s="2">
        <v>3.2</v>
      </c>
      <c r="E2443" s="2" t="s">
        <v>2443</v>
      </c>
      <c r="F2443" s="2">
        <v>3.2</v>
      </c>
    </row>
    <row r="2444" spans="1:6" x14ac:dyDescent="0.25">
      <c r="A2444" s="1">
        <v>81182</v>
      </c>
      <c r="B2444" s="2">
        <v>101</v>
      </c>
      <c r="C2444" s="2">
        <v>81</v>
      </c>
      <c r="D2444" s="2">
        <v>3.1</v>
      </c>
      <c r="E2444" s="2" t="s">
        <v>2444</v>
      </c>
      <c r="F2444" s="2">
        <v>3.1</v>
      </c>
    </row>
    <row r="2445" spans="1:6" x14ac:dyDescent="0.25">
      <c r="A2445" s="1">
        <v>81183</v>
      </c>
      <c r="B2445" s="2">
        <v>102</v>
      </c>
      <c r="C2445" s="2">
        <v>81</v>
      </c>
      <c r="D2445" s="2">
        <v>6.9</v>
      </c>
      <c r="E2445" s="2" t="s">
        <v>2445</v>
      </c>
      <c r="F2445" s="2">
        <v>6.9</v>
      </c>
    </row>
    <row r="2446" spans="1:6" x14ac:dyDescent="0.25">
      <c r="A2446" s="1">
        <v>81184</v>
      </c>
      <c r="B2446" s="2">
        <v>103</v>
      </c>
      <c r="C2446" s="2">
        <v>81</v>
      </c>
      <c r="D2446" s="2">
        <v>10.1</v>
      </c>
      <c r="E2446" s="2" t="s">
        <v>2446</v>
      </c>
      <c r="F2446" s="2">
        <v>10.1</v>
      </c>
    </row>
    <row r="2447" spans="1:6" x14ac:dyDescent="0.25">
      <c r="A2447" s="1">
        <v>81185</v>
      </c>
      <c r="B2447" s="2">
        <v>104</v>
      </c>
      <c r="C2447" s="2">
        <v>81</v>
      </c>
      <c r="D2447" s="2">
        <v>19.5</v>
      </c>
      <c r="E2447" s="2" t="s">
        <v>2447</v>
      </c>
      <c r="F2447" s="2">
        <v>19.5</v>
      </c>
    </row>
    <row r="2448" spans="1:6" x14ac:dyDescent="0.25">
      <c r="A2448" s="1">
        <v>81186</v>
      </c>
      <c r="B2448" s="2">
        <v>105</v>
      </c>
      <c r="C2448" s="2">
        <v>81</v>
      </c>
      <c r="D2448" s="2">
        <v>27.5</v>
      </c>
      <c r="E2448" s="2" t="s">
        <v>2448</v>
      </c>
      <c r="F2448" s="2">
        <v>27.5</v>
      </c>
    </row>
    <row r="2449" spans="1:6" x14ac:dyDescent="0.25">
      <c r="A2449" s="1">
        <v>81187</v>
      </c>
      <c r="B2449" s="2">
        <v>106</v>
      </c>
      <c r="C2449" s="2">
        <v>81</v>
      </c>
      <c r="D2449" s="2">
        <v>51</v>
      </c>
      <c r="E2449" s="2" t="s">
        <v>2449</v>
      </c>
      <c r="F2449" s="2">
        <v>51</v>
      </c>
    </row>
    <row r="2450" spans="1:6" x14ac:dyDescent="0.25">
      <c r="A2450" s="1">
        <v>81188</v>
      </c>
      <c r="B2450" s="2">
        <v>107</v>
      </c>
      <c r="C2450" s="2">
        <v>81</v>
      </c>
      <c r="D2450" s="2">
        <v>71</v>
      </c>
      <c r="E2450" s="2" t="s">
        <v>2450</v>
      </c>
      <c r="F2450" s="2">
        <v>71</v>
      </c>
    </row>
    <row r="2451" spans="1:6" x14ac:dyDescent="0.25">
      <c r="A2451" s="1">
        <v>81189</v>
      </c>
      <c r="B2451" s="2">
        <v>108</v>
      </c>
      <c r="C2451" s="2">
        <v>81</v>
      </c>
      <c r="D2451" s="2">
        <v>138</v>
      </c>
      <c r="E2451" s="2" t="s">
        <v>2451</v>
      </c>
      <c r="F2451" s="2">
        <v>138</v>
      </c>
    </row>
    <row r="2452" spans="1:6" x14ac:dyDescent="0.25">
      <c r="A2452" s="1">
        <v>81190</v>
      </c>
      <c r="B2452" s="2">
        <v>109</v>
      </c>
      <c r="C2452" s="2">
        <v>81</v>
      </c>
      <c r="D2452" s="2">
        <v>156</v>
      </c>
      <c r="E2452" s="2" t="s">
        <v>2452</v>
      </c>
      <c r="F2452" s="2">
        <v>156</v>
      </c>
    </row>
    <row r="2453" spans="1:6" x14ac:dyDescent="0.25">
      <c r="A2453" s="1">
        <v>81191</v>
      </c>
      <c r="B2453" s="2">
        <v>110</v>
      </c>
      <c r="C2453" s="2">
        <v>81</v>
      </c>
      <c r="D2453" s="2">
        <v>313.2</v>
      </c>
      <c r="E2453" s="2" t="s">
        <v>2453</v>
      </c>
      <c r="F2453" s="2">
        <v>313.2</v>
      </c>
    </row>
    <row r="2454" spans="1:6" x14ac:dyDescent="0.25">
      <c r="A2454" s="1">
        <v>81192</v>
      </c>
      <c r="B2454" s="2">
        <v>111</v>
      </c>
      <c r="C2454" s="2">
        <v>81</v>
      </c>
      <c r="D2454" s="2">
        <v>576</v>
      </c>
      <c r="E2454" s="2" t="s">
        <v>2454</v>
      </c>
      <c r="F2454" s="2">
        <v>576</v>
      </c>
    </row>
    <row r="2455" spans="1:6" x14ac:dyDescent="0.25">
      <c r="A2455" s="1">
        <v>81193</v>
      </c>
      <c r="B2455" s="2">
        <v>112</v>
      </c>
      <c r="C2455" s="2">
        <v>81</v>
      </c>
      <c r="D2455" s="2">
        <v>1296</v>
      </c>
      <c r="E2455" s="2" t="s">
        <v>2455</v>
      </c>
      <c r="F2455" s="2">
        <v>1296</v>
      </c>
    </row>
    <row r="2456" spans="1:6" x14ac:dyDescent="0.25">
      <c r="A2456" s="1">
        <v>81194</v>
      </c>
      <c r="B2456" s="2">
        <v>113</v>
      </c>
      <c r="C2456" s="2">
        <v>81</v>
      </c>
      <c r="D2456" s="2">
        <v>1980</v>
      </c>
      <c r="E2456" s="2" t="s">
        <v>2456</v>
      </c>
      <c r="F2456" s="2">
        <v>1980</v>
      </c>
    </row>
    <row r="2457" spans="1:6" x14ac:dyDescent="0.25">
      <c r="A2457" s="1">
        <v>81195</v>
      </c>
      <c r="B2457" s="2">
        <v>114</v>
      </c>
      <c r="C2457" s="2">
        <v>81</v>
      </c>
      <c r="D2457" s="2">
        <v>4176</v>
      </c>
      <c r="E2457" s="2" t="s">
        <v>2457</v>
      </c>
      <c r="F2457" s="2">
        <v>4176</v>
      </c>
    </row>
    <row r="2458" spans="1:6" x14ac:dyDescent="0.25">
      <c r="A2458" s="1">
        <v>81196</v>
      </c>
      <c r="B2458" s="2">
        <v>115</v>
      </c>
      <c r="C2458" s="2">
        <v>81</v>
      </c>
      <c r="D2458" s="2">
        <v>6624</v>
      </c>
      <c r="E2458" s="2" t="s">
        <v>2458</v>
      </c>
      <c r="F2458" s="2">
        <v>6624</v>
      </c>
    </row>
    <row r="2459" spans="1:6" x14ac:dyDescent="0.25">
      <c r="A2459" s="1">
        <v>81197</v>
      </c>
      <c r="B2459" s="2">
        <v>116</v>
      </c>
      <c r="C2459" s="2">
        <v>81</v>
      </c>
      <c r="D2459" s="2">
        <v>10224</v>
      </c>
      <c r="E2459" s="2" t="s">
        <v>2459</v>
      </c>
      <c r="F2459" s="2">
        <v>10224</v>
      </c>
    </row>
    <row r="2460" spans="1:6" x14ac:dyDescent="0.25">
      <c r="A2460" s="1">
        <v>81198</v>
      </c>
      <c r="B2460" s="2">
        <v>117</v>
      </c>
      <c r="C2460" s="2">
        <v>81</v>
      </c>
      <c r="D2460" s="2">
        <v>19080</v>
      </c>
      <c r="E2460" s="2" t="s">
        <v>2460</v>
      </c>
      <c r="F2460" s="2">
        <v>19080</v>
      </c>
    </row>
    <row r="2461" spans="1:6" x14ac:dyDescent="0.25">
      <c r="A2461" s="1">
        <v>81199</v>
      </c>
      <c r="B2461" s="2">
        <v>118</v>
      </c>
      <c r="C2461" s="2">
        <v>81</v>
      </c>
      <c r="D2461" s="2">
        <v>26712</v>
      </c>
      <c r="E2461" s="2" t="s">
        <v>2461</v>
      </c>
      <c r="F2461" s="2">
        <v>26712</v>
      </c>
    </row>
    <row r="2462" spans="1:6" x14ac:dyDescent="0.25">
      <c r="A2462" s="1">
        <v>81200</v>
      </c>
      <c r="B2462" s="2">
        <v>119</v>
      </c>
      <c r="C2462" s="2">
        <v>81</v>
      </c>
      <c r="D2462" s="2">
        <v>93960</v>
      </c>
      <c r="E2462" s="2" t="s">
        <v>2462</v>
      </c>
      <c r="F2462" s="2">
        <v>93960</v>
      </c>
    </row>
    <row r="2463" spans="1:6" x14ac:dyDescent="0.25">
      <c r="A2463" s="1">
        <v>81201</v>
      </c>
      <c r="B2463" s="2">
        <v>120</v>
      </c>
      <c r="C2463" s="2">
        <v>81</v>
      </c>
      <c r="D2463" s="2">
        <v>262837.44</v>
      </c>
      <c r="E2463" s="2" t="s">
        <v>2463</v>
      </c>
      <c r="F2463" s="2">
        <v>262837.44</v>
      </c>
    </row>
    <row r="2464" spans="1:6" x14ac:dyDescent="0.25">
      <c r="A2464" s="1">
        <v>81202</v>
      </c>
      <c r="B2464" s="2">
        <v>121</v>
      </c>
      <c r="C2464" s="2">
        <v>81</v>
      </c>
      <c r="D2464" s="2">
        <v>1063584</v>
      </c>
      <c r="E2464" s="2" t="s">
        <v>2464</v>
      </c>
      <c r="F2464" s="2">
        <v>1063584</v>
      </c>
    </row>
    <row r="2465" spans="1:6" x14ac:dyDescent="0.25">
      <c r="A2465" s="1">
        <v>81203</v>
      </c>
      <c r="B2465" s="2">
        <v>122</v>
      </c>
      <c r="C2465" s="2">
        <v>81</v>
      </c>
      <c r="D2465" s="2" t="s">
        <v>3</v>
      </c>
      <c r="E2465" s="2" t="s">
        <v>2465</v>
      </c>
      <c r="F2465" s="2" t="s">
        <v>3</v>
      </c>
    </row>
    <row r="2466" spans="1:6" x14ac:dyDescent="0.25">
      <c r="A2466" s="1">
        <v>81204</v>
      </c>
      <c r="B2466" s="2">
        <v>123</v>
      </c>
      <c r="C2466" s="2">
        <v>81</v>
      </c>
      <c r="D2466" s="2">
        <v>119382400.8</v>
      </c>
      <c r="E2466" s="2" t="s">
        <v>2466</v>
      </c>
      <c r="F2466" s="2">
        <v>119382400.8</v>
      </c>
    </row>
    <row r="2467" spans="1:6" x14ac:dyDescent="0.25">
      <c r="A2467" s="1">
        <v>81205</v>
      </c>
      <c r="B2467" s="2">
        <v>124</v>
      </c>
      <c r="C2467" s="2">
        <v>81</v>
      </c>
      <c r="D2467" s="2" t="s">
        <v>3</v>
      </c>
      <c r="E2467" s="2" t="s">
        <v>2467</v>
      </c>
      <c r="F2467" s="2" t="s">
        <v>3</v>
      </c>
    </row>
    <row r="2468" spans="1:6" x14ac:dyDescent="0.25">
      <c r="A2468" s="1">
        <v>81206</v>
      </c>
      <c r="B2468" s="2">
        <v>125</v>
      </c>
      <c r="C2468" s="2">
        <v>81</v>
      </c>
      <c r="D2468" s="2">
        <v>252.12</v>
      </c>
      <c r="E2468" s="2" t="s">
        <v>2468</v>
      </c>
      <c r="F2468" s="2">
        <v>252.12</v>
      </c>
    </row>
    <row r="2469" spans="1:6" x14ac:dyDescent="0.25">
      <c r="A2469" s="1">
        <v>81207</v>
      </c>
      <c r="B2469" s="2">
        <v>126</v>
      </c>
      <c r="C2469" s="2">
        <v>81</v>
      </c>
      <c r="D2469" s="2">
        <v>286.2</v>
      </c>
      <c r="E2469" s="2" t="s">
        <v>2469</v>
      </c>
      <c r="F2469" s="2">
        <v>286.2</v>
      </c>
    </row>
    <row r="2470" spans="1:6" x14ac:dyDescent="0.25">
      <c r="A2470" s="1">
        <v>81208</v>
      </c>
      <c r="B2470" s="2">
        <v>127</v>
      </c>
      <c r="C2470" s="2">
        <v>81</v>
      </c>
      <c r="D2470" s="2">
        <v>183.18</v>
      </c>
      <c r="E2470" s="2" t="s">
        <v>2470</v>
      </c>
      <c r="F2470" s="2">
        <v>183.18</v>
      </c>
    </row>
    <row r="2471" spans="1:6" x14ac:dyDescent="0.25">
      <c r="A2471" s="1">
        <v>81209</v>
      </c>
      <c r="B2471" s="2">
        <v>128</v>
      </c>
      <c r="C2471" s="2">
        <v>81</v>
      </c>
      <c r="D2471" s="2">
        <v>129.72</v>
      </c>
      <c r="E2471" s="2" t="s">
        <v>2471</v>
      </c>
      <c r="F2471" s="2">
        <v>129.72</v>
      </c>
    </row>
    <row r="2472" spans="1:6" x14ac:dyDescent="0.25">
      <c r="A2472" s="1">
        <v>81210</v>
      </c>
      <c r="B2472" s="2">
        <v>129</v>
      </c>
      <c r="C2472" s="2">
        <v>81</v>
      </c>
      <c r="D2472" s="2">
        <v>78</v>
      </c>
      <c r="E2472" s="2" t="s">
        <v>2472</v>
      </c>
      <c r="F2472" s="2">
        <v>78</v>
      </c>
    </row>
    <row r="2473" spans="1:6" x14ac:dyDescent="0.25">
      <c r="A2473" s="1">
        <v>81211</v>
      </c>
      <c r="B2473" s="2">
        <v>130</v>
      </c>
      <c r="C2473" s="2">
        <v>81</v>
      </c>
      <c r="D2473" s="2">
        <v>88</v>
      </c>
      <c r="E2473" s="2" t="s">
        <v>2473</v>
      </c>
      <c r="F2473" s="2">
        <v>88</v>
      </c>
    </row>
    <row r="2474" spans="1:6" x14ac:dyDescent="0.25">
      <c r="A2474" s="1">
        <v>81212</v>
      </c>
      <c r="B2474" s="2">
        <v>131</v>
      </c>
      <c r="C2474" s="2">
        <v>81</v>
      </c>
      <c r="D2474" s="2">
        <v>2.9999999999999999E-7</v>
      </c>
      <c r="E2474" s="2" t="s">
        <v>2474</v>
      </c>
      <c r="F2474" s="2">
        <v>2.9999999999999999E-7</v>
      </c>
    </row>
    <row r="2475" spans="1:6" x14ac:dyDescent="0.25">
      <c r="A2475" s="1">
        <v>81213</v>
      </c>
      <c r="B2475" s="2">
        <v>132</v>
      </c>
      <c r="C2475" s="2">
        <v>81</v>
      </c>
      <c r="D2475" s="2">
        <v>101</v>
      </c>
      <c r="E2475" s="2" t="s">
        <v>2475</v>
      </c>
      <c r="F2475" s="2">
        <v>101</v>
      </c>
    </row>
    <row r="2476" spans="1:6" x14ac:dyDescent="0.25">
      <c r="A2476" s="1">
        <v>81214</v>
      </c>
      <c r="B2476" s="2">
        <v>133</v>
      </c>
      <c r="C2476" s="2">
        <v>81</v>
      </c>
      <c r="D2476" s="2">
        <v>2.9999999999999999E-7</v>
      </c>
      <c r="E2476" s="2" t="s">
        <v>2476</v>
      </c>
      <c r="F2476" s="2">
        <v>2.9999999999999999E-7</v>
      </c>
    </row>
    <row r="2477" spans="1:6" x14ac:dyDescent="0.25">
      <c r="A2477" s="1">
        <v>81215</v>
      </c>
      <c r="B2477" s="2">
        <v>134</v>
      </c>
      <c r="C2477" s="2">
        <v>81</v>
      </c>
      <c r="D2477" s="2">
        <v>2.9999999999999999E-7</v>
      </c>
      <c r="E2477" s="2" t="s">
        <v>2477</v>
      </c>
      <c r="F2477" s="2">
        <v>2.9999999999999999E-7</v>
      </c>
    </row>
    <row r="2478" spans="1:6" x14ac:dyDescent="0.25">
      <c r="A2478" s="1">
        <v>81216</v>
      </c>
      <c r="B2478" s="2">
        <v>135</v>
      </c>
      <c r="C2478" s="2">
        <v>81</v>
      </c>
      <c r="D2478" s="2">
        <v>2.9999999999999999E-7</v>
      </c>
      <c r="E2478" s="2" t="s">
        <v>2478</v>
      </c>
      <c r="F2478" s="2">
        <v>2.9999999999999999E-7</v>
      </c>
    </row>
    <row r="2479" spans="1:6" x14ac:dyDescent="0.25">
      <c r="A2479" s="1">
        <v>81217</v>
      </c>
      <c r="B2479" s="2">
        <v>136</v>
      </c>
      <c r="C2479" s="2">
        <v>81</v>
      </c>
      <c r="D2479" s="2">
        <v>2.9999999999999999E-7</v>
      </c>
      <c r="E2479" s="2" t="s">
        <v>2479</v>
      </c>
      <c r="F2479" s="2">
        <v>2.9999999999999999E-7</v>
      </c>
    </row>
    <row r="2480" spans="1:6" x14ac:dyDescent="0.25">
      <c r="A2480" s="1">
        <v>82178</v>
      </c>
      <c r="B2480" s="2">
        <v>96</v>
      </c>
      <c r="C2480" s="2">
        <v>82</v>
      </c>
      <c r="D2480" s="2">
        <v>1.2E-4</v>
      </c>
      <c r="E2480" s="2" t="s">
        <v>2480</v>
      </c>
      <c r="F2480" s="2">
        <v>1.2E-4</v>
      </c>
    </row>
    <row r="2481" spans="1:6" x14ac:dyDescent="0.25">
      <c r="A2481" s="1">
        <v>82179</v>
      </c>
      <c r="B2481" s="2">
        <v>97</v>
      </c>
      <c r="C2481" s="2">
        <v>82</v>
      </c>
      <c r="D2481" s="2">
        <v>3.5000000000000001E-3</v>
      </c>
      <c r="E2481" s="2" t="s">
        <v>2481</v>
      </c>
      <c r="F2481" s="2">
        <v>3.5000000000000001E-3</v>
      </c>
    </row>
    <row r="2482" spans="1:6" x14ac:dyDescent="0.25">
      <c r="A2482" s="1">
        <v>82180</v>
      </c>
      <c r="B2482" s="2">
        <v>98</v>
      </c>
      <c r="C2482" s="2">
        <v>82</v>
      </c>
      <c r="D2482" s="2">
        <v>4.0999999999999899E-3</v>
      </c>
      <c r="E2482" s="2" t="s">
        <v>2482</v>
      </c>
      <c r="F2482" s="2">
        <v>4.0999999999999899E-3</v>
      </c>
    </row>
    <row r="2483" spans="1:6" x14ac:dyDescent="0.25">
      <c r="A2483" s="1">
        <v>82181</v>
      </c>
      <c r="B2483" s="2">
        <v>99</v>
      </c>
      <c r="C2483" s="2">
        <v>82</v>
      </c>
      <c r="D2483" s="2">
        <v>3.5999999999999997E-2</v>
      </c>
      <c r="E2483" s="2" t="s">
        <v>2483</v>
      </c>
      <c r="F2483" s="2">
        <v>3.5999999999999997E-2</v>
      </c>
    </row>
    <row r="2484" spans="1:6" x14ac:dyDescent="0.25">
      <c r="A2484" s="1">
        <v>82182</v>
      </c>
      <c r="B2484" s="2">
        <v>100</v>
      </c>
      <c r="C2484" s="2">
        <v>82</v>
      </c>
      <c r="D2484" s="2">
        <v>5.5E-2</v>
      </c>
      <c r="E2484" s="2" t="s">
        <v>2484</v>
      </c>
      <c r="F2484" s="2">
        <v>5.5E-2</v>
      </c>
    </row>
    <row r="2485" spans="1:6" x14ac:dyDescent="0.25">
      <c r="A2485" s="1">
        <v>82183</v>
      </c>
      <c r="B2485" s="2">
        <v>101</v>
      </c>
      <c r="C2485" s="2">
        <v>82</v>
      </c>
      <c r="D2485" s="2">
        <v>0.53500000000000003</v>
      </c>
      <c r="E2485" s="2" t="s">
        <v>2485</v>
      </c>
      <c r="F2485" s="2">
        <v>0.53500000000000003</v>
      </c>
    </row>
    <row r="2486" spans="1:6" x14ac:dyDescent="0.25">
      <c r="A2486" s="1">
        <v>82184</v>
      </c>
      <c r="B2486" s="2">
        <v>102</v>
      </c>
      <c r="C2486" s="2">
        <v>82</v>
      </c>
      <c r="D2486" s="2">
        <v>0.49</v>
      </c>
      <c r="E2486" s="2" t="s">
        <v>2486</v>
      </c>
      <c r="F2486" s="2">
        <v>0.49</v>
      </c>
    </row>
    <row r="2487" spans="1:6" x14ac:dyDescent="0.25">
      <c r="A2487" s="1">
        <v>82185</v>
      </c>
      <c r="B2487" s="2">
        <v>103</v>
      </c>
      <c r="C2487" s="2">
        <v>82</v>
      </c>
      <c r="D2487" s="2">
        <v>6.3</v>
      </c>
      <c r="E2487" s="2" t="s">
        <v>2487</v>
      </c>
      <c r="F2487" s="2">
        <v>6.3</v>
      </c>
    </row>
    <row r="2488" spans="1:6" x14ac:dyDescent="0.25">
      <c r="A2488" s="1">
        <v>82186</v>
      </c>
      <c r="B2488" s="2">
        <v>104</v>
      </c>
      <c r="C2488" s="2">
        <v>82</v>
      </c>
      <c r="D2488" s="2">
        <v>4.82</v>
      </c>
      <c r="E2488" s="2" t="s">
        <v>2488</v>
      </c>
      <c r="F2488" s="2">
        <v>4.82</v>
      </c>
    </row>
    <row r="2489" spans="1:6" x14ac:dyDescent="0.25">
      <c r="A2489" s="1">
        <v>82187</v>
      </c>
      <c r="B2489" s="2">
        <v>105</v>
      </c>
      <c r="C2489" s="2">
        <v>82</v>
      </c>
      <c r="D2489" s="2">
        <v>15.2</v>
      </c>
      <c r="E2489" s="2" t="s">
        <v>2489</v>
      </c>
      <c r="F2489" s="2">
        <v>15.2</v>
      </c>
    </row>
    <row r="2490" spans="1:6" x14ac:dyDescent="0.25">
      <c r="A2490" s="1">
        <v>82188</v>
      </c>
      <c r="B2490" s="2">
        <v>106</v>
      </c>
      <c r="C2490" s="2">
        <v>82</v>
      </c>
      <c r="D2490" s="2">
        <v>25.1</v>
      </c>
      <c r="E2490" s="2" t="s">
        <v>2490</v>
      </c>
      <c r="F2490" s="2">
        <v>25.1</v>
      </c>
    </row>
    <row r="2491" spans="1:6" x14ac:dyDescent="0.25">
      <c r="A2491" s="1">
        <v>82189</v>
      </c>
      <c r="B2491" s="2">
        <v>107</v>
      </c>
      <c r="C2491" s="2">
        <v>82</v>
      </c>
      <c r="D2491" s="2">
        <v>39</v>
      </c>
      <c r="E2491" s="2" t="s">
        <v>2491</v>
      </c>
      <c r="F2491" s="2">
        <v>39</v>
      </c>
    </row>
    <row r="2492" spans="1:6" x14ac:dyDescent="0.25">
      <c r="A2492" s="1">
        <v>82190</v>
      </c>
      <c r="B2492" s="2">
        <v>108</v>
      </c>
      <c r="C2492" s="2">
        <v>82</v>
      </c>
      <c r="D2492" s="2">
        <v>71</v>
      </c>
      <c r="E2492" s="2" t="s">
        <v>2492</v>
      </c>
      <c r="F2492" s="2">
        <v>71</v>
      </c>
    </row>
    <row r="2493" spans="1:6" x14ac:dyDescent="0.25">
      <c r="A2493" s="1">
        <v>82191</v>
      </c>
      <c r="B2493" s="2">
        <v>109</v>
      </c>
      <c r="C2493" s="2">
        <v>82</v>
      </c>
      <c r="D2493" s="2">
        <v>79.8</v>
      </c>
      <c r="E2493" s="2" t="s">
        <v>2493</v>
      </c>
      <c r="F2493" s="2">
        <v>79.8</v>
      </c>
    </row>
    <row r="2494" spans="1:6" x14ac:dyDescent="0.25">
      <c r="A2494" s="1">
        <v>82192</v>
      </c>
      <c r="B2494" s="2">
        <v>110</v>
      </c>
      <c r="C2494" s="2">
        <v>82</v>
      </c>
      <c r="D2494" s="2">
        <v>210</v>
      </c>
      <c r="E2494" s="2" t="s">
        <v>2494</v>
      </c>
      <c r="F2494" s="2">
        <v>210</v>
      </c>
    </row>
    <row r="2495" spans="1:6" x14ac:dyDescent="0.25">
      <c r="A2495" s="1">
        <v>82193</v>
      </c>
      <c r="B2495" s="2">
        <v>111</v>
      </c>
      <c r="C2495" s="2">
        <v>82</v>
      </c>
      <c r="D2495" s="2">
        <v>348</v>
      </c>
      <c r="E2495" s="2" t="s">
        <v>2495</v>
      </c>
      <c r="F2495" s="2">
        <v>348</v>
      </c>
    </row>
    <row r="2496" spans="1:6" x14ac:dyDescent="0.25">
      <c r="A2496" s="1">
        <v>82194</v>
      </c>
      <c r="B2496" s="2">
        <v>112</v>
      </c>
      <c r="C2496" s="2">
        <v>82</v>
      </c>
      <c r="D2496" s="2">
        <v>642</v>
      </c>
      <c r="E2496" s="2" t="s">
        <v>2496</v>
      </c>
      <c r="F2496" s="2">
        <v>642</v>
      </c>
    </row>
    <row r="2497" spans="1:6" x14ac:dyDescent="0.25">
      <c r="A2497" s="1">
        <v>82195</v>
      </c>
      <c r="B2497" s="2">
        <v>113</v>
      </c>
      <c r="C2497" s="2">
        <v>82</v>
      </c>
      <c r="D2497" s="2">
        <v>900</v>
      </c>
      <c r="E2497" s="2" t="s">
        <v>2497</v>
      </c>
      <c r="F2497" s="2">
        <v>900</v>
      </c>
    </row>
    <row r="2498" spans="1:6" x14ac:dyDescent="0.25">
      <c r="A2498" s="1">
        <v>82196</v>
      </c>
      <c r="B2498" s="2">
        <v>114</v>
      </c>
      <c r="C2498" s="2">
        <v>82</v>
      </c>
      <c r="D2498" s="2">
        <v>2220</v>
      </c>
      <c r="E2498" s="2" t="s">
        <v>2498</v>
      </c>
      <c r="F2498" s="2">
        <v>2220</v>
      </c>
    </row>
    <row r="2499" spans="1:6" x14ac:dyDescent="0.25">
      <c r="A2499" s="1">
        <v>82197</v>
      </c>
      <c r="B2499" s="2">
        <v>115</v>
      </c>
      <c r="C2499" s="2">
        <v>82</v>
      </c>
      <c r="D2499" s="2">
        <v>486</v>
      </c>
      <c r="E2499" s="2" t="s">
        <v>2499</v>
      </c>
      <c r="F2499" s="2">
        <v>486</v>
      </c>
    </row>
    <row r="2500" spans="1:6" x14ac:dyDescent="0.25">
      <c r="A2500" s="1">
        <v>82198</v>
      </c>
      <c r="B2500" s="2">
        <v>116</v>
      </c>
      <c r="C2500" s="2">
        <v>82</v>
      </c>
      <c r="D2500" s="2">
        <v>8640</v>
      </c>
      <c r="E2500" s="2" t="s">
        <v>2500</v>
      </c>
      <c r="F2500" s="2">
        <v>8640</v>
      </c>
    </row>
    <row r="2501" spans="1:6" x14ac:dyDescent="0.25">
      <c r="A2501" s="1">
        <v>82199</v>
      </c>
      <c r="B2501" s="2">
        <v>117</v>
      </c>
      <c r="C2501" s="2">
        <v>82</v>
      </c>
      <c r="D2501" s="2">
        <v>5400</v>
      </c>
      <c r="E2501" s="2" t="s">
        <v>2501</v>
      </c>
      <c r="F2501" s="2">
        <v>5400</v>
      </c>
    </row>
    <row r="2502" spans="1:6" x14ac:dyDescent="0.25">
      <c r="A2502" s="1">
        <v>82200</v>
      </c>
      <c r="B2502" s="2">
        <v>118</v>
      </c>
      <c r="C2502" s="2">
        <v>82</v>
      </c>
      <c r="D2502" s="2">
        <v>77400</v>
      </c>
      <c r="E2502" s="2" t="s">
        <v>2502</v>
      </c>
      <c r="F2502" s="2">
        <v>77400</v>
      </c>
    </row>
    <row r="2503" spans="1:6" x14ac:dyDescent="0.25">
      <c r="A2503" s="1">
        <v>82201</v>
      </c>
      <c r="B2503" s="2">
        <v>119</v>
      </c>
      <c r="C2503" s="2">
        <v>82</v>
      </c>
      <c r="D2503" s="2">
        <v>33588</v>
      </c>
      <c r="E2503" s="2" t="s">
        <v>2503</v>
      </c>
      <c r="F2503" s="2">
        <v>33588</v>
      </c>
    </row>
    <row r="2504" spans="1:6" x14ac:dyDescent="0.25">
      <c r="A2504" s="1">
        <v>82202</v>
      </c>
      <c r="B2504" s="2">
        <v>120</v>
      </c>
      <c r="C2504" s="2">
        <v>82</v>
      </c>
      <c r="D2504" s="2">
        <v>1656774000000</v>
      </c>
      <c r="E2504" s="2" t="s">
        <v>2504</v>
      </c>
      <c r="F2504" s="2">
        <v>1656774000000</v>
      </c>
    </row>
    <row r="2505" spans="1:6" x14ac:dyDescent="0.25">
      <c r="A2505" s="1">
        <v>82203</v>
      </c>
      <c r="B2505" s="2">
        <v>121</v>
      </c>
      <c r="C2505" s="2">
        <v>82</v>
      </c>
      <c r="D2505" s="2">
        <v>186912</v>
      </c>
      <c r="E2505" s="2" t="s">
        <v>2505</v>
      </c>
      <c r="F2505" s="2">
        <v>186912</v>
      </c>
    </row>
    <row r="2506" spans="1:6" x14ac:dyDescent="0.25">
      <c r="A2506" s="1">
        <v>82204</v>
      </c>
      <c r="B2506" s="2">
        <v>122</v>
      </c>
      <c r="C2506" s="2">
        <v>82</v>
      </c>
      <c r="D2506" s="2">
        <v>4.418064E+24</v>
      </c>
      <c r="E2506" s="2" t="s">
        <v>2506</v>
      </c>
      <c r="F2506" s="2">
        <v>4.418064E+24</v>
      </c>
    </row>
    <row r="2507" spans="1:6" x14ac:dyDescent="0.25">
      <c r="A2507" s="1">
        <v>82205</v>
      </c>
      <c r="B2507" s="2">
        <v>123</v>
      </c>
      <c r="C2507" s="2">
        <v>82</v>
      </c>
      <c r="D2507" s="2">
        <v>545946480000000</v>
      </c>
      <c r="E2507" s="2" t="s">
        <v>2507</v>
      </c>
      <c r="F2507" s="2">
        <v>545946480000000</v>
      </c>
    </row>
    <row r="2508" spans="1:6" x14ac:dyDescent="0.25">
      <c r="A2508" s="1">
        <v>82206</v>
      </c>
      <c r="B2508" s="2">
        <v>124</v>
      </c>
      <c r="C2508" s="2">
        <v>82</v>
      </c>
      <c r="D2508" s="2" t="s">
        <v>3</v>
      </c>
      <c r="E2508" s="2" t="s">
        <v>2508</v>
      </c>
      <c r="F2508" s="2" t="s">
        <v>3</v>
      </c>
    </row>
    <row r="2509" spans="1:6" x14ac:dyDescent="0.25">
      <c r="A2509" s="1">
        <v>82207</v>
      </c>
      <c r="B2509" s="2">
        <v>125</v>
      </c>
      <c r="C2509" s="2">
        <v>82</v>
      </c>
      <c r="D2509" s="2" t="s">
        <v>3</v>
      </c>
      <c r="E2509" s="2" t="s">
        <v>2509</v>
      </c>
      <c r="F2509" s="2" t="s">
        <v>3</v>
      </c>
    </row>
    <row r="2510" spans="1:6" x14ac:dyDescent="0.25">
      <c r="A2510" s="1">
        <v>82208</v>
      </c>
      <c r="B2510" s="2">
        <v>126</v>
      </c>
      <c r="C2510" s="2">
        <v>82</v>
      </c>
      <c r="D2510" s="2" t="s">
        <v>3</v>
      </c>
      <c r="E2510" s="2" t="s">
        <v>2510</v>
      </c>
      <c r="F2510" s="2" t="s">
        <v>3</v>
      </c>
    </row>
    <row r="2511" spans="1:6" x14ac:dyDescent="0.25">
      <c r="A2511" s="1">
        <v>82209</v>
      </c>
      <c r="B2511" s="2">
        <v>127</v>
      </c>
      <c r="C2511" s="2">
        <v>82</v>
      </c>
      <c r="D2511" s="2">
        <v>11642.4</v>
      </c>
      <c r="E2511" s="2" t="s">
        <v>2511</v>
      </c>
      <c r="F2511" s="2">
        <v>11642.4</v>
      </c>
    </row>
    <row r="2512" spans="1:6" x14ac:dyDescent="0.25">
      <c r="A2512" s="1">
        <v>82210</v>
      </c>
      <c r="B2512" s="2">
        <v>128</v>
      </c>
      <c r="C2512" s="2">
        <v>82</v>
      </c>
      <c r="D2512" s="2">
        <v>700578720</v>
      </c>
      <c r="E2512" s="2" t="s">
        <v>2512</v>
      </c>
      <c r="F2512" s="2">
        <v>700578720</v>
      </c>
    </row>
    <row r="2513" spans="1:6" x14ac:dyDescent="0.25">
      <c r="A2513" s="1">
        <v>82211</v>
      </c>
      <c r="B2513" s="2">
        <v>129</v>
      </c>
      <c r="C2513" s="2">
        <v>82</v>
      </c>
      <c r="D2513" s="2">
        <v>2166</v>
      </c>
      <c r="E2513" s="2" t="s">
        <v>2513</v>
      </c>
      <c r="F2513" s="2">
        <v>2166</v>
      </c>
    </row>
    <row r="2514" spans="1:6" x14ac:dyDescent="0.25">
      <c r="A2514" s="1">
        <v>82212</v>
      </c>
      <c r="B2514" s="2">
        <v>130</v>
      </c>
      <c r="C2514" s="2">
        <v>82</v>
      </c>
      <c r="D2514" s="2">
        <v>38304</v>
      </c>
      <c r="E2514" s="2" t="s">
        <v>2514</v>
      </c>
      <c r="F2514" s="2">
        <v>38304</v>
      </c>
    </row>
    <row r="2515" spans="1:6" x14ac:dyDescent="0.25">
      <c r="A2515" s="1">
        <v>82213</v>
      </c>
      <c r="B2515" s="2">
        <v>131</v>
      </c>
      <c r="C2515" s="2">
        <v>82</v>
      </c>
      <c r="D2515" s="2">
        <v>612</v>
      </c>
      <c r="E2515" s="2" t="s">
        <v>2515</v>
      </c>
      <c r="F2515" s="2">
        <v>612</v>
      </c>
    </row>
    <row r="2516" spans="1:6" x14ac:dyDescent="0.25">
      <c r="A2516" s="1">
        <v>82214</v>
      </c>
      <c r="B2516" s="2">
        <v>132</v>
      </c>
      <c r="C2516" s="2">
        <v>82</v>
      </c>
      <c r="D2516" s="2">
        <v>1623.6</v>
      </c>
      <c r="E2516" s="2" t="s">
        <v>2516</v>
      </c>
      <c r="F2516" s="2">
        <v>1623.6</v>
      </c>
    </row>
    <row r="2517" spans="1:6" x14ac:dyDescent="0.25">
      <c r="A2517" s="1">
        <v>82215</v>
      </c>
      <c r="B2517" s="2">
        <v>133</v>
      </c>
      <c r="C2517" s="2">
        <v>82</v>
      </c>
      <c r="D2517" s="2">
        <v>147</v>
      </c>
      <c r="E2517" s="2" t="s">
        <v>2517</v>
      </c>
      <c r="F2517" s="2">
        <v>147</v>
      </c>
    </row>
    <row r="2518" spans="1:6" x14ac:dyDescent="0.25">
      <c r="A2518" s="1">
        <v>82216</v>
      </c>
      <c r="B2518" s="2">
        <v>134</v>
      </c>
      <c r="C2518" s="2">
        <v>82</v>
      </c>
      <c r="D2518" s="2">
        <v>2.9999999999999999E-7</v>
      </c>
      <c r="E2518" s="2" t="s">
        <v>2518</v>
      </c>
      <c r="F2518" s="2">
        <v>2.9999999999999999E-7</v>
      </c>
    </row>
    <row r="2519" spans="1:6" x14ac:dyDescent="0.25">
      <c r="A2519" s="1">
        <v>82217</v>
      </c>
      <c r="B2519" s="2">
        <v>135</v>
      </c>
      <c r="C2519" s="2">
        <v>82</v>
      </c>
      <c r="D2519" s="2">
        <v>2.9999999999999999E-7</v>
      </c>
      <c r="E2519" s="2" t="s">
        <v>2519</v>
      </c>
      <c r="F2519" s="2">
        <v>2.9999999999999999E-7</v>
      </c>
    </row>
    <row r="2520" spans="1:6" x14ac:dyDescent="0.25">
      <c r="A2520" s="1">
        <v>82218</v>
      </c>
      <c r="B2520" s="2">
        <v>136</v>
      </c>
      <c r="C2520" s="2">
        <v>82</v>
      </c>
      <c r="D2520" s="2">
        <v>2.9999999999999999E-7</v>
      </c>
      <c r="E2520" s="2" t="s">
        <v>2520</v>
      </c>
      <c r="F2520" s="2">
        <v>2.9999999999999999E-7</v>
      </c>
    </row>
    <row r="2521" spans="1:6" x14ac:dyDescent="0.25">
      <c r="A2521" s="1">
        <v>82219</v>
      </c>
      <c r="B2521" s="2">
        <v>137</v>
      </c>
      <c r="C2521" s="2">
        <v>82</v>
      </c>
      <c r="D2521" s="2">
        <v>2.9999999999999999E-7</v>
      </c>
      <c r="E2521" s="2" t="s">
        <v>2521</v>
      </c>
      <c r="F2521" s="2">
        <v>2.9999999999999999E-7</v>
      </c>
    </row>
    <row r="2522" spans="1:6" x14ac:dyDescent="0.25">
      <c r="A2522" s="1">
        <v>82220</v>
      </c>
      <c r="B2522" s="2">
        <v>138</v>
      </c>
      <c r="C2522" s="2">
        <v>82</v>
      </c>
      <c r="D2522" s="2">
        <v>2.9999999999999999E-7</v>
      </c>
      <c r="E2522" s="2" t="s">
        <v>2522</v>
      </c>
      <c r="F2522" s="2">
        <v>2.9999999999999999E-7</v>
      </c>
    </row>
    <row r="2523" spans="1:6" x14ac:dyDescent="0.25">
      <c r="A2523" s="1">
        <v>83184</v>
      </c>
      <c r="B2523" s="2">
        <v>101</v>
      </c>
      <c r="C2523" s="2">
        <v>83</v>
      </c>
      <c r="D2523" s="2">
        <v>1.2999999999999999E-2</v>
      </c>
      <c r="E2523" s="2" t="s">
        <v>2523</v>
      </c>
      <c r="F2523" s="2">
        <v>1.2999999999999999E-2</v>
      </c>
    </row>
    <row r="2524" spans="1:6" x14ac:dyDescent="0.25">
      <c r="A2524" s="1">
        <v>83185</v>
      </c>
      <c r="B2524" s="2">
        <v>102</v>
      </c>
      <c r="C2524" s="2">
        <v>83</v>
      </c>
      <c r="D2524" s="2">
        <v>5.8E-5</v>
      </c>
      <c r="E2524" s="2" t="s">
        <v>2524</v>
      </c>
      <c r="F2524" s="2">
        <v>5.8E-5</v>
      </c>
    </row>
    <row r="2525" spans="1:6" x14ac:dyDescent="0.25">
      <c r="A2525" s="1">
        <v>83186</v>
      </c>
      <c r="B2525" s="2">
        <v>103</v>
      </c>
      <c r="C2525" s="2">
        <v>83</v>
      </c>
      <c r="D2525" s="2">
        <v>1.4800000000000001E-2</v>
      </c>
      <c r="E2525" s="2" t="s">
        <v>2525</v>
      </c>
      <c r="F2525" s="2">
        <v>1.4800000000000001E-2</v>
      </c>
    </row>
    <row r="2526" spans="1:6" x14ac:dyDescent="0.25">
      <c r="A2526" s="1">
        <v>83187</v>
      </c>
      <c r="B2526" s="2">
        <v>104</v>
      </c>
      <c r="C2526" s="2">
        <v>83</v>
      </c>
      <c r="D2526" s="2">
        <v>3.6999999999999998E-2</v>
      </c>
      <c r="E2526" s="2" t="s">
        <v>2526</v>
      </c>
      <c r="F2526" s="2">
        <v>3.6999999999999998E-2</v>
      </c>
    </row>
    <row r="2527" spans="1:6" x14ac:dyDescent="0.25">
      <c r="A2527" s="1">
        <v>83188</v>
      </c>
      <c r="B2527" s="2">
        <v>105</v>
      </c>
      <c r="C2527" s="2">
        <v>83</v>
      </c>
      <c r="D2527" s="2">
        <v>0.26500000000000001</v>
      </c>
      <c r="E2527" s="2" t="s">
        <v>2527</v>
      </c>
      <c r="F2527" s="2">
        <v>0.26500000000000001</v>
      </c>
    </row>
    <row r="2528" spans="1:6" x14ac:dyDescent="0.25">
      <c r="A2528" s="1">
        <v>83189</v>
      </c>
      <c r="B2528" s="2">
        <v>106</v>
      </c>
      <c r="C2528" s="2">
        <v>83</v>
      </c>
      <c r="D2528" s="2">
        <v>0.67400000000000004</v>
      </c>
      <c r="E2528" s="2" t="s">
        <v>2528</v>
      </c>
      <c r="F2528" s="2">
        <v>0.67400000000000004</v>
      </c>
    </row>
    <row r="2529" spans="1:6" x14ac:dyDescent="0.25">
      <c r="A2529" s="1">
        <v>83190</v>
      </c>
      <c r="B2529" s="2">
        <v>107</v>
      </c>
      <c r="C2529" s="2">
        <v>83</v>
      </c>
      <c r="D2529" s="2">
        <v>6.3</v>
      </c>
      <c r="E2529" s="2" t="s">
        <v>2529</v>
      </c>
      <c r="F2529" s="2">
        <v>6.3</v>
      </c>
    </row>
    <row r="2530" spans="1:6" x14ac:dyDescent="0.25">
      <c r="A2530" s="1">
        <v>83191</v>
      </c>
      <c r="B2530" s="2">
        <v>108</v>
      </c>
      <c r="C2530" s="2">
        <v>83</v>
      </c>
      <c r="D2530" s="2">
        <v>12.4</v>
      </c>
      <c r="E2530" s="2" t="s">
        <v>2530</v>
      </c>
      <c r="F2530" s="2">
        <v>12.4</v>
      </c>
    </row>
    <row r="2531" spans="1:6" x14ac:dyDescent="0.25">
      <c r="A2531" s="1">
        <v>83192</v>
      </c>
      <c r="B2531" s="2">
        <v>109</v>
      </c>
      <c r="C2531" s="2">
        <v>83</v>
      </c>
      <c r="D2531" s="2">
        <v>34.6</v>
      </c>
      <c r="E2531" s="2" t="s">
        <v>2531</v>
      </c>
      <c r="F2531" s="2">
        <v>34.6</v>
      </c>
    </row>
    <row r="2532" spans="1:6" x14ac:dyDescent="0.25">
      <c r="A2532" s="1">
        <v>83193</v>
      </c>
      <c r="B2532" s="2">
        <v>110</v>
      </c>
      <c r="C2532" s="2">
        <v>83</v>
      </c>
      <c r="D2532" s="2">
        <v>63.6</v>
      </c>
      <c r="E2532" s="2" t="s">
        <v>2532</v>
      </c>
      <c r="F2532" s="2">
        <v>63.6</v>
      </c>
    </row>
    <row r="2533" spans="1:6" x14ac:dyDescent="0.25">
      <c r="A2533" s="1">
        <v>83194</v>
      </c>
      <c r="B2533" s="2">
        <v>111</v>
      </c>
      <c r="C2533" s="2">
        <v>83</v>
      </c>
      <c r="D2533" s="2">
        <v>95</v>
      </c>
      <c r="E2533" s="2" t="s">
        <v>2533</v>
      </c>
      <c r="F2533" s="2">
        <v>95</v>
      </c>
    </row>
    <row r="2534" spans="1:6" x14ac:dyDescent="0.25">
      <c r="A2534" s="1">
        <v>83195</v>
      </c>
      <c r="B2534" s="2">
        <v>112</v>
      </c>
      <c r="C2534" s="2">
        <v>83</v>
      </c>
      <c r="D2534" s="2">
        <v>183</v>
      </c>
      <c r="E2534" s="2" t="s">
        <v>2534</v>
      </c>
      <c r="F2534" s="2">
        <v>183</v>
      </c>
    </row>
    <row r="2535" spans="1:6" x14ac:dyDescent="0.25">
      <c r="A2535" s="1">
        <v>83196</v>
      </c>
      <c r="B2535" s="2">
        <v>113</v>
      </c>
      <c r="C2535" s="2">
        <v>83</v>
      </c>
      <c r="D2535" s="2">
        <v>308</v>
      </c>
      <c r="E2535" s="2" t="s">
        <v>2535</v>
      </c>
      <c r="F2535" s="2">
        <v>308</v>
      </c>
    </row>
    <row r="2536" spans="1:6" x14ac:dyDescent="0.25">
      <c r="A2536" s="1">
        <v>83197</v>
      </c>
      <c r="B2536" s="2">
        <v>114</v>
      </c>
      <c r="C2536" s="2">
        <v>83</v>
      </c>
      <c r="D2536" s="2">
        <v>559.79999999999995</v>
      </c>
      <c r="E2536" s="2" t="s">
        <v>2536</v>
      </c>
      <c r="F2536" s="2">
        <v>559.79999999999995</v>
      </c>
    </row>
    <row r="2537" spans="1:6" x14ac:dyDescent="0.25">
      <c r="A2537" s="1">
        <v>83198</v>
      </c>
      <c r="B2537" s="2">
        <v>115</v>
      </c>
      <c r="C2537" s="2">
        <v>83</v>
      </c>
      <c r="D2537" s="2">
        <v>618</v>
      </c>
      <c r="E2537" s="2" t="s">
        <v>2537</v>
      </c>
      <c r="F2537" s="2">
        <v>618</v>
      </c>
    </row>
    <row r="2538" spans="1:6" x14ac:dyDescent="0.25">
      <c r="A2538" s="1">
        <v>83199</v>
      </c>
      <c r="B2538" s="2">
        <v>116</v>
      </c>
      <c r="C2538" s="2">
        <v>83</v>
      </c>
      <c r="D2538" s="2">
        <v>1620</v>
      </c>
      <c r="E2538" s="2" t="s">
        <v>2538</v>
      </c>
      <c r="F2538" s="2">
        <v>1620</v>
      </c>
    </row>
    <row r="2539" spans="1:6" x14ac:dyDescent="0.25">
      <c r="A2539" s="1">
        <v>83200</v>
      </c>
      <c r="B2539" s="2">
        <v>117</v>
      </c>
      <c r="C2539" s="2">
        <v>83</v>
      </c>
      <c r="D2539" s="2">
        <v>2184</v>
      </c>
      <c r="E2539" s="2" t="s">
        <v>2539</v>
      </c>
      <c r="F2539" s="2">
        <v>2184</v>
      </c>
    </row>
    <row r="2540" spans="1:6" x14ac:dyDescent="0.25">
      <c r="A2540" s="1">
        <v>83201</v>
      </c>
      <c r="B2540" s="2">
        <v>118</v>
      </c>
      <c r="C2540" s="2">
        <v>83</v>
      </c>
      <c r="D2540" s="2">
        <v>6180</v>
      </c>
      <c r="E2540" s="2" t="s">
        <v>2540</v>
      </c>
      <c r="F2540" s="2">
        <v>6180</v>
      </c>
    </row>
    <row r="2541" spans="1:6" x14ac:dyDescent="0.25">
      <c r="A2541" s="1">
        <v>83202</v>
      </c>
      <c r="B2541" s="2">
        <v>119</v>
      </c>
      <c r="C2541" s="2">
        <v>83</v>
      </c>
      <c r="D2541" s="2">
        <v>6156</v>
      </c>
      <c r="E2541" s="2" t="s">
        <v>2541</v>
      </c>
      <c r="F2541" s="2">
        <v>6156</v>
      </c>
    </row>
    <row r="2542" spans="1:6" x14ac:dyDescent="0.25">
      <c r="A2542" s="1">
        <v>83203</v>
      </c>
      <c r="B2542" s="2">
        <v>120</v>
      </c>
      <c r="C2542" s="2">
        <v>83</v>
      </c>
      <c r="D2542" s="2">
        <v>42336</v>
      </c>
      <c r="E2542" s="2" t="s">
        <v>2542</v>
      </c>
      <c r="F2542" s="2">
        <v>42336</v>
      </c>
    </row>
    <row r="2543" spans="1:6" x14ac:dyDescent="0.25">
      <c r="A2543" s="1">
        <v>83204</v>
      </c>
      <c r="B2543" s="2">
        <v>121</v>
      </c>
      <c r="C2543" s="2">
        <v>83</v>
      </c>
      <c r="D2543" s="2">
        <v>40392</v>
      </c>
      <c r="E2543" s="2" t="s">
        <v>2543</v>
      </c>
      <c r="F2543" s="2">
        <v>40392</v>
      </c>
    </row>
    <row r="2544" spans="1:6" x14ac:dyDescent="0.25">
      <c r="A2544" s="1">
        <v>83205</v>
      </c>
      <c r="B2544" s="2">
        <v>122</v>
      </c>
      <c r="C2544" s="2">
        <v>83</v>
      </c>
      <c r="D2544" s="2">
        <v>1322784</v>
      </c>
      <c r="E2544" s="2" t="s">
        <v>2544</v>
      </c>
      <c r="F2544" s="2">
        <v>1322784</v>
      </c>
    </row>
    <row r="2545" spans="1:6" x14ac:dyDescent="0.25">
      <c r="A2545" s="1">
        <v>83206</v>
      </c>
      <c r="B2545" s="2">
        <v>123</v>
      </c>
      <c r="C2545" s="2">
        <v>83</v>
      </c>
      <c r="D2545" s="2">
        <v>539395.19999999995</v>
      </c>
      <c r="E2545" s="2" t="s">
        <v>2545</v>
      </c>
      <c r="F2545" s="2">
        <v>539395.19999999995</v>
      </c>
    </row>
    <row r="2546" spans="1:6" x14ac:dyDescent="0.25">
      <c r="A2546" s="1">
        <v>83207</v>
      </c>
      <c r="B2546" s="2">
        <v>124</v>
      </c>
      <c r="C2546" s="2">
        <v>83</v>
      </c>
      <c r="D2546" s="2">
        <v>995642280</v>
      </c>
      <c r="E2546" s="2" t="s">
        <v>2546</v>
      </c>
      <c r="F2546" s="2">
        <v>995642280</v>
      </c>
    </row>
    <row r="2547" spans="1:6" x14ac:dyDescent="0.25">
      <c r="A2547" s="1">
        <v>83208</v>
      </c>
      <c r="B2547" s="2">
        <v>125</v>
      </c>
      <c r="C2547" s="2">
        <v>83</v>
      </c>
      <c r="D2547" s="2">
        <v>11613196800000</v>
      </c>
      <c r="E2547" s="2" t="s">
        <v>2547</v>
      </c>
      <c r="F2547" s="2">
        <v>11613196800000</v>
      </c>
    </row>
    <row r="2548" spans="1:6" x14ac:dyDescent="0.25">
      <c r="A2548" s="1">
        <v>83209</v>
      </c>
      <c r="B2548" s="2">
        <v>126</v>
      </c>
      <c r="C2548" s="2">
        <v>83</v>
      </c>
      <c r="D2548" s="2">
        <v>6.3430775999999998E+26</v>
      </c>
      <c r="E2548" s="2" t="s">
        <v>2548</v>
      </c>
      <c r="F2548" s="2">
        <v>6.3430775999999998E+26</v>
      </c>
    </row>
    <row r="2549" spans="1:6" x14ac:dyDescent="0.25">
      <c r="A2549" s="1">
        <v>83210</v>
      </c>
      <c r="B2549" s="2">
        <v>127</v>
      </c>
      <c r="C2549" s="2">
        <v>83</v>
      </c>
      <c r="D2549" s="2">
        <v>433036.79999999999</v>
      </c>
      <c r="E2549" s="2" t="s">
        <v>2549</v>
      </c>
      <c r="F2549" s="2">
        <v>433036.79999999999</v>
      </c>
    </row>
    <row r="2550" spans="1:6" x14ac:dyDescent="0.25">
      <c r="A2550" s="1">
        <v>83211</v>
      </c>
      <c r="B2550" s="2">
        <v>128</v>
      </c>
      <c r="C2550" s="2">
        <v>83</v>
      </c>
      <c r="D2550" s="2">
        <v>128.4</v>
      </c>
      <c r="E2550" s="2" t="s">
        <v>2550</v>
      </c>
      <c r="F2550" s="2">
        <v>128.4</v>
      </c>
    </row>
    <row r="2551" spans="1:6" x14ac:dyDescent="0.25">
      <c r="A2551" s="1">
        <v>83212</v>
      </c>
      <c r="B2551" s="2">
        <v>129</v>
      </c>
      <c r="C2551" s="2">
        <v>83</v>
      </c>
      <c r="D2551" s="2">
        <v>3633</v>
      </c>
      <c r="E2551" s="2" t="s">
        <v>2551</v>
      </c>
      <c r="F2551" s="2">
        <v>3633</v>
      </c>
    </row>
    <row r="2552" spans="1:6" x14ac:dyDescent="0.25">
      <c r="A2552" s="1">
        <v>83213</v>
      </c>
      <c r="B2552" s="2">
        <v>130</v>
      </c>
      <c r="C2552" s="2">
        <v>83</v>
      </c>
      <c r="D2552" s="2">
        <v>2736.6</v>
      </c>
      <c r="E2552" s="2" t="s">
        <v>2552</v>
      </c>
      <c r="F2552" s="2">
        <v>2736.6</v>
      </c>
    </row>
    <row r="2553" spans="1:6" x14ac:dyDescent="0.25">
      <c r="A2553" s="1">
        <v>83214</v>
      </c>
      <c r="B2553" s="2">
        <v>131</v>
      </c>
      <c r="C2553" s="2">
        <v>83</v>
      </c>
      <c r="D2553" s="2">
        <v>1194</v>
      </c>
      <c r="E2553" s="2" t="s">
        <v>2553</v>
      </c>
      <c r="F2553" s="2">
        <v>1194</v>
      </c>
    </row>
    <row r="2554" spans="1:6" x14ac:dyDescent="0.25">
      <c r="A2554" s="1">
        <v>83215</v>
      </c>
      <c r="B2554" s="2">
        <v>132</v>
      </c>
      <c r="C2554" s="2">
        <v>83</v>
      </c>
      <c r="D2554" s="2">
        <v>456</v>
      </c>
      <c r="E2554" s="2" t="s">
        <v>2554</v>
      </c>
      <c r="F2554" s="2">
        <v>456</v>
      </c>
    </row>
    <row r="2555" spans="1:6" x14ac:dyDescent="0.25">
      <c r="A2555" s="1">
        <v>83216</v>
      </c>
      <c r="B2555" s="2">
        <v>133</v>
      </c>
      <c r="C2555" s="2">
        <v>83</v>
      </c>
      <c r="D2555" s="2">
        <v>135</v>
      </c>
      <c r="E2555" s="2" t="s">
        <v>2555</v>
      </c>
      <c r="F2555" s="2">
        <v>135</v>
      </c>
    </row>
    <row r="2556" spans="1:6" x14ac:dyDescent="0.25">
      <c r="A2556" s="1">
        <v>83217</v>
      </c>
      <c r="B2556" s="2">
        <v>134</v>
      </c>
      <c r="C2556" s="2">
        <v>83</v>
      </c>
      <c r="D2556" s="2">
        <v>98.5</v>
      </c>
      <c r="E2556" s="2" t="s">
        <v>2556</v>
      </c>
      <c r="F2556" s="2">
        <v>98.5</v>
      </c>
    </row>
    <row r="2557" spans="1:6" x14ac:dyDescent="0.25">
      <c r="A2557" s="1">
        <v>83218</v>
      </c>
      <c r="B2557" s="2">
        <v>135</v>
      </c>
      <c r="C2557" s="2">
        <v>83</v>
      </c>
      <c r="D2557" s="2">
        <v>33</v>
      </c>
      <c r="E2557" s="2" t="s">
        <v>2557</v>
      </c>
      <c r="F2557" s="2">
        <v>33</v>
      </c>
    </row>
    <row r="2558" spans="1:6" x14ac:dyDescent="0.25">
      <c r="A2558" s="1">
        <v>83219</v>
      </c>
      <c r="B2558" s="2">
        <v>136</v>
      </c>
      <c r="C2558" s="2">
        <v>83</v>
      </c>
      <c r="D2558" s="2">
        <v>22</v>
      </c>
      <c r="E2558" s="2" t="s">
        <v>2558</v>
      </c>
      <c r="F2558" s="2">
        <v>22</v>
      </c>
    </row>
    <row r="2559" spans="1:6" x14ac:dyDescent="0.25">
      <c r="A2559" s="1">
        <v>83220</v>
      </c>
      <c r="B2559" s="2">
        <v>137</v>
      </c>
      <c r="C2559" s="2">
        <v>83</v>
      </c>
      <c r="D2559" s="2">
        <v>2.9999999999999999E-7</v>
      </c>
      <c r="E2559" s="2" t="s">
        <v>2559</v>
      </c>
      <c r="F2559" s="2">
        <v>2.9999999999999999E-7</v>
      </c>
    </row>
    <row r="2560" spans="1:6" x14ac:dyDescent="0.25">
      <c r="A2560" s="1">
        <v>83221</v>
      </c>
      <c r="B2560" s="2">
        <v>138</v>
      </c>
      <c r="C2560" s="2">
        <v>83</v>
      </c>
      <c r="D2560" s="2">
        <v>2.9999999999999999E-7</v>
      </c>
      <c r="E2560" s="2" t="s">
        <v>2560</v>
      </c>
      <c r="F2560" s="2">
        <v>2.9999999999999999E-7</v>
      </c>
    </row>
    <row r="2561" spans="1:6" x14ac:dyDescent="0.25">
      <c r="A2561" s="1">
        <v>83222</v>
      </c>
      <c r="B2561" s="2">
        <v>139</v>
      </c>
      <c r="C2561" s="2">
        <v>83</v>
      </c>
      <c r="D2561" s="2">
        <v>2.9999999999999999E-7</v>
      </c>
      <c r="E2561" s="2" t="s">
        <v>2561</v>
      </c>
      <c r="F2561" s="2">
        <v>2.9999999999999999E-7</v>
      </c>
    </row>
    <row r="2562" spans="1:6" x14ac:dyDescent="0.25">
      <c r="A2562" s="1">
        <v>83223</v>
      </c>
      <c r="B2562" s="2">
        <v>140</v>
      </c>
      <c r="C2562" s="2">
        <v>83</v>
      </c>
      <c r="D2562" s="2">
        <v>2.9999999999999999E-7</v>
      </c>
      <c r="E2562" s="2" t="s">
        <v>2562</v>
      </c>
      <c r="F2562" s="2">
        <v>2.9999999999999999E-7</v>
      </c>
    </row>
    <row r="2563" spans="1:6" x14ac:dyDescent="0.25">
      <c r="A2563" s="1">
        <v>83224</v>
      </c>
      <c r="B2563" s="2">
        <v>141</v>
      </c>
      <c r="C2563" s="2">
        <v>83</v>
      </c>
      <c r="D2563" s="2">
        <v>2.9999999999999999E-7</v>
      </c>
      <c r="E2563" s="2" t="s">
        <v>2563</v>
      </c>
      <c r="F2563" s="2">
        <v>2.9999999999999999E-7</v>
      </c>
    </row>
    <row r="2564" spans="1:6" x14ac:dyDescent="0.25">
      <c r="A2564" s="1">
        <v>84186</v>
      </c>
      <c r="B2564" s="2">
        <v>102</v>
      </c>
      <c r="C2564" s="2">
        <v>84</v>
      </c>
      <c r="D2564" s="2">
        <v>2.8E-5</v>
      </c>
      <c r="E2564" s="2" t="s">
        <v>2564</v>
      </c>
      <c r="F2564" s="2">
        <v>2.8E-5</v>
      </c>
    </row>
    <row r="2565" spans="1:6" x14ac:dyDescent="0.25">
      <c r="A2565" s="1">
        <v>84187</v>
      </c>
      <c r="B2565" s="2">
        <v>103</v>
      </c>
      <c r="C2565" s="2">
        <v>84</v>
      </c>
      <c r="D2565" s="2">
        <v>1.4E-3</v>
      </c>
      <c r="E2565" s="2" t="s">
        <v>2565</v>
      </c>
      <c r="F2565" s="2">
        <v>1.4E-3</v>
      </c>
    </row>
    <row r="2566" spans="1:6" x14ac:dyDescent="0.25">
      <c r="A2566" s="1">
        <v>84188</v>
      </c>
      <c r="B2566" s="2">
        <v>104</v>
      </c>
      <c r="C2566" s="2">
        <v>84</v>
      </c>
      <c r="D2566" s="2">
        <v>2.7500000000000002E-4</v>
      </c>
      <c r="E2566" s="2" t="s">
        <v>2566</v>
      </c>
      <c r="F2566" s="2">
        <v>2.7500000000000002E-4</v>
      </c>
    </row>
    <row r="2567" spans="1:6" x14ac:dyDescent="0.25">
      <c r="A2567" s="1">
        <v>84189</v>
      </c>
      <c r="B2567" s="2">
        <v>105</v>
      </c>
      <c r="C2567" s="2">
        <v>84</v>
      </c>
      <c r="D2567" s="2">
        <v>3.5000000000000001E-3</v>
      </c>
      <c r="E2567" s="2" t="s">
        <v>2567</v>
      </c>
      <c r="F2567" s="2">
        <v>3.5000000000000001E-3</v>
      </c>
    </row>
    <row r="2568" spans="1:6" x14ac:dyDescent="0.25">
      <c r="A2568" s="1">
        <v>84190</v>
      </c>
      <c r="B2568" s="2">
        <v>106</v>
      </c>
      <c r="C2568" s="2">
        <v>84</v>
      </c>
      <c r="D2568" s="2">
        <v>2.4599999999999999E-3</v>
      </c>
      <c r="E2568" s="2" t="s">
        <v>2568</v>
      </c>
      <c r="F2568" s="2">
        <v>2.4599999999999999E-3</v>
      </c>
    </row>
    <row r="2569" spans="1:6" x14ac:dyDescent="0.25">
      <c r="A2569" s="1">
        <v>84191</v>
      </c>
      <c r="B2569" s="2">
        <v>107</v>
      </c>
      <c r="C2569" s="2">
        <v>84</v>
      </c>
      <c r="D2569" s="2">
        <v>2.1999999999999999E-2</v>
      </c>
      <c r="E2569" s="2" t="s">
        <v>2569</v>
      </c>
      <c r="F2569" s="2">
        <v>2.1999999999999999E-2</v>
      </c>
    </row>
    <row r="2570" spans="1:6" x14ac:dyDescent="0.25">
      <c r="A2570" s="1">
        <v>84192</v>
      </c>
      <c r="B2570" s="2">
        <v>108</v>
      </c>
      <c r="C2570" s="2">
        <v>84</v>
      </c>
      <c r="D2570" s="2">
        <v>3.2199999999999999E-2</v>
      </c>
      <c r="E2570" s="2" t="s">
        <v>2570</v>
      </c>
      <c r="F2570" s="2">
        <v>3.2199999999999999E-2</v>
      </c>
    </row>
    <row r="2571" spans="1:6" x14ac:dyDescent="0.25">
      <c r="A2571" s="1">
        <v>84193</v>
      </c>
      <c r="B2571" s="2">
        <v>109</v>
      </c>
      <c r="C2571" s="2">
        <v>84</v>
      </c>
      <c r="D2571" s="2">
        <v>0.245</v>
      </c>
      <c r="E2571" s="2" t="s">
        <v>2571</v>
      </c>
      <c r="F2571" s="2">
        <v>0.245</v>
      </c>
    </row>
    <row r="2572" spans="1:6" x14ac:dyDescent="0.25">
      <c r="A2572" s="1">
        <v>84194</v>
      </c>
      <c r="B2572" s="2">
        <v>110</v>
      </c>
      <c r="C2572" s="2">
        <v>84</v>
      </c>
      <c r="D2572" s="2">
        <v>0.39200000000000002</v>
      </c>
      <c r="E2572" s="2" t="s">
        <v>2572</v>
      </c>
      <c r="F2572" s="2">
        <v>0.39200000000000002</v>
      </c>
    </row>
    <row r="2573" spans="1:6" x14ac:dyDescent="0.25">
      <c r="A2573" s="1">
        <v>84195</v>
      </c>
      <c r="B2573" s="2">
        <v>111</v>
      </c>
      <c r="C2573" s="2">
        <v>84</v>
      </c>
      <c r="D2573" s="2">
        <v>4.6399999999999997</v>
      </c>
      <c r="E2573" s="2" t="s">
        <v>2573</v>
      </c>
      <c r="F2573" s="2">
        <v>4.6399999999999997</v>
      </c>
    </row>
    <row r="2574" spans="1:6" x14ac:dyDescent="0.25">
      <c r="A2574" s="1">
        <v>84196</v>
      </c>
      <c r="B2574" s="2">
        <v>112</v>
      </c>
      <c r="C2574" s="2">
        <v>84</v>
      </c>
      <c r="D2574" s="2">
        <v>5.8</v>
      </c>
      <c r="E2574" s="2" t="s">
        <v>2574</v>
      </c>
      <c r="F2574" s="2">
        <v>5.8</v>
      </c>
    </row>
    <row r="2575" spans="1:6" x14ac:dyDescent="0.25">
      <c r="A2575" s="1">
        <v>84197</v>
      </c>
      <c r="B2575" s="2">
        <v>113</v>
      </c>
      <c r="C2575" s="2">
        <v>84</v>
      </c>
      <c r="D2575" s="2">
        <v>84</v>
      </c>
      <c r="E2575" s="2" t="s">
        <v>2575</v>
      </c>
      <c r="F2575" s="2">
        <v>84</v>
      </c>
    </row>
    <row r="2576" spans="1:6" x14ac:dyDescent="0.25">
      <c r="A2576" s="1">
        <v>84198</v>
      </c>
      <c r="B2576" s="2">
        <v>114</v>
      </c>
      <c r="C2576" s="2">
        <v>84</v>
      </c>
      <c r="D2576" s="2">
        <v>105.6</v>
      </c>
      <c r="E2576" s="2" t="s">
        <v>2576</v>
      </c>
      <c r="F2576" s="2">
        <v>105.6</v>
      </c>
    </row>
    <row r="2577" spans="1:6" x14ac:dyDescent="0.25">
      <c r="A2577" s="1">
        <v>84199</v>
      </c>
      <c r="B2577" s="2">
        <v>115</v>
      </c>
      <c r="C2577" s="2">
        <v>84</v>
      </c>
      <c r="D2577" s="2">
        <v>328.2</v>
      </c>
      <c r="E2577" s="2" t="s">
        <v>2577</v>
      </c>
      <c r="F2577" s="2">
        <v>328.2</v>
      </c>
    </row>
    <row r="2578" spans="1:6" x14ac:dyDescent="0.25">
      <c r="A2578" s="1">
        <v>84200</v>
      </c>
      <c r="B2578" s="2">
        <v>116</v>
      </c>
      <c r="C2578" s="2">
        <v>84</v>
      </c>
      <c r="D2578" s="2">
        <v>690.6</v>
      </c>
      <c r="E2578" s="2" t="s">
        <v>2578</v>
      </c>
      <c r="F2578" s="2">
        <v>690.6</v>
      </c>
    </row>
    <row r="2579" spans="1:6" x14ac:dyDescent="0.25">
      <c r="A2579" s="1">
        <v>84201</v>
      </c>
      <c r="B2579" s="2">
        <v>117</v>
      </c>
      <c r="C2579" s="2">
        <v>84</v>
      </c>
      <c r="D2579" s="2">
        <v>936</v>
      </c>
      <c r="E2579" s="2" t="s">
        <v>2579</v>
      </c>
      <c r="F2579" s="2">
        <v>936</v>
      </c>
    </row>
    <row r="2580" spans="1:6" x14ac:dyDescent="0.25">
      <c r="A2580" s="1">
        <v>84202</v>
      </c>
      <c r="B2580" s="2">
        <v>118</v>
      </c>
      <c r="C2580" s="2">
        <v>84</v>
      </c>
      <c r="D2580" s="2">
        <v>2676</v>
      </c>
      <c r="E2580" s="2" t="s">
        <v>2580</v>
      </c>
      <c r="F2580" s="2">
        <v>2676</v>
      </c>
    </row>
    <row r="2581" spans="1:6" x14ac:dyDescent="0.25">
      <c r="A2581" s="1">
        <v>84203</v>
      </c>
      <c r="B2581" s="2">
        <v>119</v>
      </c>
      <c r="C2581" s="2">
        <v>84</v>
      </c>
      <c r="D2581" s="2">
        <v>2202</v>
      </c>
      <c r="E2581" s="2" t="s">
        <v>2581</v>
      </c>
      <c r="F2581" s="2">
        <v>2202</v>
      </c>
    </row>
    <row r="2582" spans="1:6" x14ac:dyDescent="0.25">
      <c r="A2582" s="1">
        <v>84204</v>
      </c>
      <c r="B2582" s="2">
        <v>120</v>
      </c>
      <c r="C2582" s="2">
        <v>84</v>
      </c>
      <c r="D2582" s="2">
        <v>12668.4</v>
      </c>
      <c r="E2582" s="2" t="s">
        <v>2582</v>
      </c>
      <c r="F2582" s="2">
        <v>12668.4</v>
      </c>
    </row>
    <row r="2583" spans="1:6" x14ac:dyDescent="0.25">
      <c r="A2583" s="1">
        <v>84205</v>
      </c>
      <c r="B2583" s="2">
        <v>121</v>
      </c>
      <c r="C2583" s="2">
        <v>84</v>
      </c>
      <c r="D2583" s="2">
        <v>6264</v>
      </c>
      <c r="E2583" s="2" t="s">
        <v>2583</v>
      </c>
      <c r="F2583" s="2">
        <v>6264</v>
      </c>
    </row>
    <row r="2584" spans="1:6" x14ac:dyDescent="0.25">
      <c r="A2584" s="1">
        <v>84206</v>
      </c>
      <c r="B2584" s="2">
        <v>122</v>
      </c>
      <c r="C2584" s="2">
        <v>84</v>
      </c>
      <c r="D2584" s="2">
        <v>760320</v>
      </c>
      <c r="E2584" s="2" t="s">
        <v>2584</v>
      </c>
      <c r="F2584" s="2">
        <v>760320</v>
      </c>
    </row>
    <row r="2585" spans="1:6" x14ac:dyDescent="0.25">
      <c r="A2585" s="1">
        <v>84207</v>
      </c>
      <c r="B2585" s="2">
        <v>123</v>
      </c>
      <c r="C2585" s="2">
        <v>84</v>
      </c>
      <c r="D2585" s="2">
        <v>20880</v>
      </c>
      <c r="E2585" s="2" t="s">
        <v>2585</v>
      </c>
      <c r="F2585" s="2">
        <v>20880</v>
      </c>
    </row>
    <row r="2586" spans="1:6" x14ac:dyDescent="0.25">
      <c r="A2586" s="1">
        <v>84208</v>
      </c>
      <c r="B2586" s="2">
        <v>124</v>
      </c>
      <c r="C2586" s="2">
        <v>84</v>
      </c>
      <c r="D2586" s="2">
        <v>91453924.799999997</v>
      </c>
      <c r="E2586" s="2" t="s">
        <v>2586</v>
      </c>
      <c r="F2586" s="2">
        <v>91453924.799999997</v>
      </c>
    </row>
    <row r="2587" spans="1:6" x14ac:dyDescent="0.25">
      <c r="A2587" s="1">
        <v>84209</v>
      </c>
      <c r="B2587" s="2">
        <v>125</v>
      </c>
      <c r="C2587" s="2">
        <v>84</v>
      </c>
      <c r="D2587" s="2">
        <v>3913142400</v>
      </c>
      <c r="E2587" s="2" t="s">
        <v>2587</v>
      </c>
      <c r="F2587" s="2">
        <v>3913142400</v>
      </c>
    </row>
    <row r="2588" spans="1:6" x14ac:dyDescent="0.25">
      <c r="A2588" s="1">
        <v>84210</v>
      </c>
      <c r="B2588" s="2">
        <v>126</v>
      </c>
      <c r="C2588" s="2">
        <v>84</v>
      </c>
      <c r="D2588" s="2">
        <v>11955686.4</v>
      </c>
      <c r="E2588" s="2" t="s">
        <v>2588</v>
      </c>
      <c r="F2588" s="2">
        <v>11955686.4</v>
      </c>
    </row>
    <row r="2589" spans="1:6" x14ac:dyDescent="0.25">
      <c r="A2589" s="1">
        <v>84211</v>
      </c>
      <c r="B2589" s="2">
        <v>127</v>
      </c>
      <c r="C2589" s="2">
        <v>84</v>
      </c>
      <c r="D2589" s="2">
        <v>0.51600000000000001</v>
      </c>
      <c r="E2589" s="2" t="s">
        <v>2589</v>
      </c>
      <c r="F2589" s="2">
        <v>0.51600000000000001</v>
      </c>
    </row>
    <row r="2590" spans="1:6" x14ac:dyDescent="0.25">
      <c r="A2590" s="1">
        <v>84212</v>
      </c>
      <c r="B2590" s="2">
        <v>128</v>
      </c>
      <c r="C2590" s="2">
        <v>84</v>
      </c>
      <c r="D2590" s="2">
        <v>2.9899999999999901E-7</v>
      </c>
      <c r="E2590" s="2" t="s">
        <v>2590</v>
      </c>
      <c r="F2590" s="2">
        <v>2.9899999999999901E-7</v>
      </c>
    </row>
    <row r="2591" spans="1:6" x14ac:dyDescent="0.25">
      <c r="A2591" s="1">
        <v>84213</v>
      </c>
      <c r="B2591" s="2">
        <v>129</v>
      </c>
      <c r="C2591" s="2">
        <v>84</v>
      </c>
      <c r="D2591" s="2">
        <v>3.72E-6</v>
      </c>
      <c r="E2591" s="2" t="s">
        <v>2591</v>
      </c>
      <c r="F2591" s="2">
        <v>3.72E-6</v>
      </c>
    </row>
    <row r="2592" spans="1:6" x14ac:dyDescent="0.25">
      <c r="A2592" s="1">
        <v>84214</v>
      </c>
      <c r="B2592" s="2">
        <v>130</v>
      </c>
      <c r="C2592" s="2">
        <v>84</v>
      </c>
      <c r="D2592" s="2">
        <v>1.6359999999999999E-4</v>
      </c>
      <c r="E2592" s="2" t="s">
        <v>2592</v>
      </c>
      <c r="F2592" s="2">
        <v>1.6359999999999999E-4</v>
      </c>
    </row>
    <row r="2593" spans="1:6" x14ac:dyDescent="0.25">
      <c r="A2593" s="1">
        <v>84215</v>
      </c>
      <c r="B2593" s="2">
        <v>131</v>
      </c>
      <c r="C2593" s="2">
        <v>84</v>
      </c>
      <c r="D2593" s="2">
        <v>1.781E-3</v>
      </c>
      <c r="E2593" s="2" t="s">
        <v>2593</v>
      </c>
      <c r="F2593" s="2">
        <v>1.781E-3</v>
      </c>
    </row>
    <row r="2594" spans="1:6" x14ac:dyDescent="0.25">
      <c r="A2594" s="1">
        <v>84216</v>
      </c>
      <c r="B2594" s="2">
        <v>132</v>
      </c>
      <c r="C2594" s="2">
        <v>84</v>
      </c>
      <c r="D2594" s="2">
        <v>0.14499999999999999</v>
      </c>
      <c r="E2594" s="2" t="s">
        <v>2594</v>
      </c>
      <c r="F2594" s="2">
        <v>0.14499999999999999</v>
      </c>
    </row>
    <row r="2595" spans="1:6" x14ac:dyDescent="0.25">
      <c r="A2595" s="1">
        <v>84217</v>
      </c>
      <c r="B2595" s="2">
        <v>133</v>
      </c>
      <c r="C2595" s="2">
        <v>84</v>
      </c>
      <c r="D2595" s="2">
        <v>1.53</v>
      </c>
      <c r="E2595" s="2" t="s">
        <v>2595</v>
      </c>
      <c r="F2595" s="2">
        <v>1.53</v>
      </c>
    </row>
    <row r="2596" spans="1:6" x14ac:dyDescent="0.25">
      <c r="A2596" s="1">
        <v>84218</v>
      </c>
      <c r="B2596" s="2">
        <v>134</v>
      </c>
      <c r="C2596" s="2">
        <v>84</v>
      </c>
      <c r="D2596" s="2">
        <v>185.88</v>
      </c>
      <c r="E2596" s="2" t="s">
        <v>2596</v>
      </c>
      <c r="F2596" s="2">
        <v>185.88</v>
      </c>
    </row>
    <row r="2597" spans="1:6" x14ac:dyDescent="0.25">
      <c r="A2597" s="1">
        <v>84219</v>
      </c>
      <c r="B2597" s="2">
        <v>135</v>
      </c>
      <c r="C2597" s="2">
        <v>84</v>
      </c>
      <c r="D2597" s="2">
        <v>620</v>
      </c>
      <c r="E2597" s="2" t="s">
        <v>2597</v>
      </c>
      <c r="F2597" s="2">
        <v>620</v>
      </c>
    </row>
    <row r="2598" spans="1:6" x14ac:dyDescent="0.25">
      <c r="A2598" s="1">
        <v>84220</v>
      </c>
      <c r="B2598" s="2">
        <v>136</v>
      </c>
      <c r="C2598" s="2">
        <v>84</v>
      </c>
      <c r="D2598" s="2">
        <v>2.9999999999999999E-7</v>
      </c>
      <c r="E2598" s="2" t="s">
        <v>2598</v>
      </c>
      <c r="F2598" s="2">
        <v>2.9999999999999999E-7</v>
      </c>
    </row>
    <row r="2599" spans="1:6" x14ac:dyDescent="0.25">
      <c r="A2599" s="1">
        <v>84221</v>
      </c>
      <c r="B2599" s="2">
        <v>137</v>
      </c>
      <c r="C2599" s="2">
        <v>84</v>
      </c>
      <c r="D2599" s="2">
        <v>112</v>
      </c>
      <c r="E2599" s="2" t="s">
        <v>2599</v>
      </c>
      <c r="F2599" s="2">
        <v>112</v>
      </c>
    </row>
    <row r="2600" spans="1:6" x14ac:dyDescent="0.25">
      <c r="A2600" s="1">
        <v>84222</v>
      </c>
      <c r="B2600" s="2">
        <v>138</v>
      </c>
      <c r="C2600" s="2">
        <v>84</v>
      </c>
      <c r="D2600" s="2">
        <v>550</v>
      </c>
      <c r="E2600" s="2" t="s">
        <v>2600</v>
      </c>
      <c r="F2600" s="2">
        <v>550</v>
      </c>
    </row>
    <row r="2601" spans="1:6" x14ac:dyDescent="0.25">
      <c r="A2601" s="1">
        <v>84223</v>
      </c>
      <c r="B2601" s="2">
        <v>139</v>
      </c>
      <c r="C2601" s="2">
        <v>84</v>
      </c>
      <c r="D2601" s="2">
        <v>2.9999999999999999E-7</v>
      </c>
      <c r="E2601" s="2" t="s">
        <v>2601</v>
      </c>
      <c r="F2601" s="2">
        <v>2.9999999999999999E-7</v>
      </c>
    </row>
    <row r="2602" spans="1:6" x14ac:dyDescent="0.25">
      <c r="A2602" s="1">
        <v>84224</v>
      </c>
      <c r="B2602" s="2">
        <v>140</v>
      </c>
      <c r="C2602" s="2">
        <v>84</v>
      </c>
      <c r="D2602" s="2">
        <v>2.9999999999999999E-7</v>
      </c>
      <c r="E2602" s="2" t="s">
        <v>2602</v>
      </c>
      <c r="F2602" s="2">
        <v>2.9999999999999999E-7</v>
      </c>
    </row>
    <row r="2603" spans="1:6" x14ac:dyDescent="0.25">
      <c r="A2603" s="1">
        <v>84225</v>
      </c>
      <c r="B2603" s="2">
        <v>141</v>
      </c>
      <c r="C2603" s="2">
        <v>84</v>
      </c>
      <c r="D2603" s="2">
        <v>2.9999999999999999E-7</v>
      </c>
      <c r="E2603" s="2" t="s">
        <v>2603</v>
      </c>
      <c r="F2603" s="2">
        <v>2.9999999999999999E-7</v>
      </c>
    </row>
    <row r="2604" spans="1:6" x14ac:dyDescent="0.25">
      <c r="A2604" s="1">
        <v>84226</v>
      </c>
      <c r="B2604" s="2">
        <v>142</v>
      </c>
      <c r="C2604" s="2">
        <v>84</v>
      </c>
      <c r="D2604" s="2">
        <v>2.9999999999999999E-7</v>
      </c>
      <c r="E2604" s="2" t="s">
        <v>2604</v>
      </c>
      <c r="F2604" s="2">
        <v>2.9999999999999999E-7</v>
      </c>
    </row>
    <row r="2605" spans="1:6" x14ac:dyDescent="0.25">
      <c r="A2605" s="1">
        <v>84227</v>
      </c>
      <c r="B2605" s="2">
        <v>143</v>
      </c>
      <c r="C2605" s="2">
        <v>84</v>
      </c>
      <c r="D2605" s="2">
        <v>2.9999999999999999E-7</v>
      </c>
      <c r="E2605" s="2" t="s">
        <v>2605</v>
      </c>
      <c r="F2605" s="2">
        <v>2.9999999999999999E-7</v>
      </c>
    </row>
    <row r="2606" spans="1:6" x14ac:dyDescent="0.25">
      <c r="A2606" s="1">
        <v>85191</v>
      </c>
      <c r="B2606" s="2">
        <v>106</v>
      </c>
      <c r="C2606" s="2">
        <v>85</v>
      </c>
      <c r="D2606" s="2">
        <v>1.6999999999999999E-3</v>
      </c>
      <c r="E2606" s="2" t="s">
        <v>2606</v>
      </c>
      <c r="F2606" s="2">
        <v>1.6999999999999999E-3</v>
      </c>
    </row>
    <row r="2607" spans="1:6" x14ac:dyDescent="0.25">
      <c r="A2607" s="1">
        <v>85192</v>
      </c>
      <c r="B2607" s="2">
        <v>107</v>
      </c>
      <c r="C2607" s="2">
        <v>85</v>
      </c>
      <c r="D2607" s="2">
        <v>1.15E-2</v>
      </c>
      <c r="E2607" s="2" t="s">
        <v>2607</v>
      </c>
      <c r="F2607" s="2">
        <v>1.15E-2</v>
      </c>
    </row>
    <row r="2608" spans="1:6" x14ac:dyDescent="0.25">
      <c r="A2608" s="1">
        <v>85193</v>
      </c>
      <c r="B2608" s="2">
        <v>108</v>
      </c>
      <c r="C2608" s="2">
        <v>85</v>
      </c>
      <c r="D2608" s="2">
        <v>2.8000000000000001E-2</v>
      </c>
      <c r="E2608" s="2" t="s">
        <v>2608</v>
      </c>
      <c r="F2608" s="2">
        <v>2.8000000000000001E-2</v>
      </c>
    </row>
    <row r="2609" spans="1:6" x14ac:dyDescent="0.25">
      <c r="A2609" s="1">
        <v>85194</v>
      </c>
      <c r="B2609" s="2">
        <v>109</v>
      </c>
      <c r="C2609" s="2">
        <v>85</v>
      </c>
      <c r="D2609" s="2">
        <v>0.31</v>
      </c>
      <c r="E2609" s="2" t="s">
        <v>2609</v>
      </c>
      <c r="F2609" s="2">
        <v>0.31</v>
      </c>
    </row>
    <row r="2610" spans="1:6" x14ac:dyDescent="0.25">
      <c r="A2610" s="1">
        <v>85195</v>
      </c>
      <c r="B2610" s="2">
        <v>110</v>
      </c>
      <c r="C2610" s="2">
        <v>85</v>
      </c>
      <c r="D2610" s="2">
        <v>0.28999999999999998</v>
      </c>
      <c r="E2610" s="2" t="s">
        <v>2610</v>
      </c>
      <c r="F2610" s="2">
        <v>0.28999999999999998</v>
      </c>
    </row>
    <row r="2611" spans="1:6" x14ac:dyDescent="0.25">
      <c r="A2611" s="1">
        <v>85196</v>
      </c>
      <c r="B2611" s="2">
        <v>111</v>
      </c>
      <c r="C2611" s="2">
        <v>85</v>
      </c>
      <c r="D2611" s="2">
        <v>0.38800000000000001</v>
      </c>
      <c r="E2611" s="2" t="s">
        <v>2611</v>
      </c>
      <c r="F2611" s="2">
        <v>0.38800000000000001</v>
      </c>
    </row>
    <row r="2612" spans="1:6" x14ac:dyDescent="0.25">
      <c r="A2612" s="1">
        <v>85197</v>
      </c>
      <c r="B2612" s="2">
        <v>112</v>
      </c>
      <c r="C2612" s="2">
        <v>85</v>
      </c>
      <c r="D2612" s="2">
        <v>0.38800000000000001</v>
      </c>
      <c r="E2612" s="2" t="s">
        <v>2612</v>
      </c>
      <c r="F2612" s="2">
        <v>0.38800000000000001</v>
      </c>
    </row>
    <row r="2613" spans="1:6" x14ac:dyDescent="0.25">
      <c r="A2613" s="1">
        <v>85198</v>
      </c>
      <c r="B2613" s="2">
        <v>113</v>
      </c>
      <c r="C2613" s="2">
        <v>85</v>
      </c>
      <c r="D2613" s="2">
        <v>4.2</v>
      </c>
      <c r="E2613" s="2" t="s">
        <v>2613</v>
      </c>
      <c r="F2613" s="2">
        <v>4.2</v>
      </c>
    </row>
    <row r="2614" spans="1:6" x14ac:dyDescent="0.25">
      <c r="A2614" s="1">
        <v>85199</v>
      </c>
      <c r="B2614" s="2">
        <v>114</v>
      </c>
      <c r="C2614" s="2">
        <v>85</v>
      </c>
      <c r="D2614" s="2">
        <v>6.92</v>
      </c>
      <c r="E2614" s="2" t="s">
        <v>2614</v>
      </c>
      <c r="F2614" s="2">
        <v>6.92</v>
      </c>
    </row>
    <row r="2615" spans="1:6" x14ac:dyDescent="0.25">
      <c r="A2615" s="1">
        <v>85200</v>
      </c>
      <c r="B2615" s="2">
        <v>115</v>
      </c>
      <c r="C2615" s="2">
        <v>85</v>
      </c>
      <c r="D2615" s="2">
        <v>43</v>
      </c>
      <c r="E2615" s="2" t="s">
        <v>2615</v>
      </c>
      <c r="F2615" s="2">
        <v>43</v>
      </c>
    </row>
    <row r="2616" spans="1:6" x14ac:dyDescent="0.25">
      <c r="A2616" s="1">
        <v>85201</v>
      </c>
      <c r="B2616" s="2">
        <v>116</v>
      </c>
      <c r="C2616" s="2">
        <v>85</v>
      </c>
      <c r="D2616" s="2">
        <v>85.2</v>
      </c>
      <c r="E2616" s="2" t="s">
        <v>2616</v>
      </c>
      <c r="F2616" s="2">
        <v>85.2</v>
      </c>
    </row>
    <row r="2617" spans="1:6" x14ac:dyDescent="0.25">
      <c r="A2617" s="1">
        <v>85202</v>
      </c>
      <c r="B2617" s="2">
        <v>117</v>
      </c>
      <c r="C2617" s="2">
        <v>85</v>
      </c>
      <c r="D2617" s="2">
        <v>184</v>
      </c>
      <c r="E2617" s="2" t="s">
        <v>2617</v>
      </c>
      <c r="F2617" s="2">
        <v>184</v>
      </c>
    </row>
    <row r="2618" spans="1:6" x14ac:dyDescent="0.25">
      <c r="A2618" s="1">
        <v>85203</v>
      </c>
      <c r="B2618" s="2">
        <v>118</v>
      </c>
      <c r="C2618" s="2">
        <v>85</v>
      </c>
      <c r="D2618" s="2">
        <v>444</v>
      </c>
      <c r="E2618" s="2" t="s">
        <v>2618</v>
      </c>
      <c r="F2618" s="2">
        <v>444</v>
      </c>
    </row>
    <row r="2619" spans="1:6" x14ac:dyDescent="0.25">
      <c r="A2619" s="1">
        <v>85204</v>
      </c>
      <c r="B2619" s="2">
        <v>119</v>
      </c>
      <c r="C2619" s="2">
        <v>85</v>
      </c>
      <c r="D2619" s="2">
        <v>547.19999999999902</v>
      </c>
      <c r="E2619" s="2" t="s">
        <v>2619</v>
      </c>
      <c r="F2619" s="2">
        <v>547.19999999999902</v>
      </c>
    </row>
    <row r="2620" spans="1:6" x14ac:dyDescent="0.25">
      <c r="A2620" s="1">
        <v>85205</v>
      </c>
      <c r="B2620" s="2">
        <v>120</v>
      </c>
      <c r="C2620" s="2">
        <v>85</v>
      </c>
      <c r="D2620" s="2">
        <v>1614</v>
      </c>
      <c r="E2620" s="2" t="s">
        <v>2620</v>
      </c>
      <c r="F2620" s="2">
        <v>1614</v>
      </c>
    </row>
    <row r="2621" spans="1:6" x14ac:dyDescent="0.25">
      <c r="A2621" s="1">
        <v>85206</v>
      </c>
      <c r="B2621" s="2">
        <v>121</v>
      </c>
      <c r="C2621" s="2">
        <v>85</v>
      </c>
      <c r="D2621" s="2">
        <v>1836</v>
      </c>
      <c r="E2621" s="2" t="s">
        <v>2621</v>
      </c>
      <c r="F2621" s="2">
        <v>1836</v>
      </c>
    </row>
    <row r="2622" spans="1:6" x14ac:dyDescent="0.25">
      <c r="A2622" s="1">
        <v>85207</v>
      </c>
      <c r="B2622" s="2">
        <v>122</v>
      </c>
      <c r="C2622" s="2">
        <v>85</v>
      </c>
      <c r="D2622" s="2">
        <v>6516</v>
      </c>
      <c r="E2622" s="2" t="s">
        <v>2622</v>
      </c>
      <c r="F2622" s="2">
        <v>6516</v>
      </c>
    </row>
    <row r="2623" spans="1:6" x14ac:dyDescent="0.25">
      <c r="A2623" s="1">
        <v>85208</v>
      </c>
      <c r="B2623" s="2">
        <v>123</v>
      </c>
      <c r="C2623" s="2">
        <v>85</v>
      </c>
      <c r="D2623" s="2">
        <v>5868</v>
      </c>
      <c r="E2623" s="2" t="s">
        <v>2623</v>
      </c>
      <c r="F2623" s="2">
        <v>5868</v>
      </c>
    </row>
    <row r="2624" spans="1:6" x14ac:dyDescent="0.25">
      <c r="A2624" s="1">
        <v>85209</v>
      </c>
      <c r="B2624" s="2">
        <v>124</v>
      </c>
      <c r="C2624" s="2">
        <v>85</v>
      </c>
      <c r="D2624" s="2">
        <v>19512</v>
      </c>
      <c r="E2624" s="2" t="s">
        <v>2624</v>
      </c>
      <c r="F2624" s="2">
        <v>19512</v>
      </c>
    </row>
    <row r="2625" spans="1:6" x14ac:dyDescent="0.25">
      <c r="A2625" s="1">
        <v>85210</v>
      </c>
      <c r="B2625" s="2">
        <v>125</v>
      </c>
      <c r="C2625" s="2">
        <v>85</v>
      </c>
      <c r="D2625" s="2">
        <v>29160</v>
      </c>
      <c r="E2625" s="2" t="s">
        <v>2625</v>
      </c>
      <c r="F2625" s="2">
        <v>29160</v>
      </c>
    </row>
    <row r="2626" spans="1:6" x14ac:dyDescent="0.25">
      <c r="A2626" s="1">
        <v>85211</v>
      </c>
      <c r="B2626" s="2">
        <v>126</v>
      </c>
      <c r="C2626" s="2">
        <v>85</v>
      </c>
      <c r="D2626" s="2">
        <v>25970.400000000001</v>
      </c>
      <c r="E2626" s="2" t="s">
        <v>2626</v>
      </c>
      <c r="F2626" s="2">
        <v>25970.400000000001</v>
      </c>
    </row>
    <row r="2627" spans="1:6" x14ac:dyDescent="0.25">
      <c r="A2627" s="1">
        <v>85212</v>
      </c>
      <c r="B2627" s="2">
        <v>127</v>
      </c>
      <c r="C2627" s="2">
        <v>85</v>
      </c>
      <c r="D2627" s="2">
        <v>0.314</v>
      </c>
      <c r="E2627" s="2" t="s">
        <v>2627</v>
      </c>
      <c r="F2627" s="2">
        <v>0.314</v>
      </c>
    </row>
    <row r="2628" spans="1:6" x14ac:dyDescent="0.25">
      <c r="A2628" s="1">
        <v>85213</v>
      </c>
      <c r="B2628" s="2">
        <v>128</v>
      </c>
      <c r="C2628" s="2">
        <v>85</v>
      </c>
      <c r="D2628" s="2">
        <v>1.2499999999999999E-7</v>
      </c>
      <c r="E2628" s="2" t="s">
        <v>2628</v>
      </c>
      <c r="F2628" s="2">
        <v>1.2499999999999999E-7</v>
      </c>
    </row>
    <row r="2629" spans="1:6" x14ac:dyDescent="0.25">
      <c r="A2629" s="1">
        <v>85214</v>
      </c>
      <c r="B2629" s="2">
        <v>129</v>
      </c>
      <c r="C2629" s="2">
        <v>85</v>
      </c>
      <c r="D2629" s="2">
        <v>5.5799999999999999E-7</v>
      </c>
      <c r="E2629" s="2" t="s">
        <v>2629</v>
      </c>
      <c r="F2629" s="2">
        <v>5.5799999999999999E-7</v>
      </c>
    </row>
    <row r="2630" spans="1:6" x14ac:dyDescent="0.25">
      <c r="A2630" s="1">
        <v>85215</v>
      </c>
      <c r="B2630" s="2">
        <v>130</v>
      </c>
      <c r="C2630" s="2">
        <v>85</v>
      </c>
      <c r="D2630" s="2">
        <v>1E-4</v>
      </c>
      <c r="E2630" s="2" t="s">
        <v>2630</v>
      </c>
      <c r="F2630" s="2">
        <v>1E-4</v>
      </c>
    </row>
    <row r="2631" spans="1:6" x14ac:dyDescent="0.25">
      <c r="A2631" s="1">
        <v>85216</v>
      </c>
      <c r="B2631" s="2">
        <v>131</v>
      </c>
      <c r="C2631" s="2">
        <v>85</v>
      </c>
      <c r="D2631" s="2">
        <v>2.9999999999999997E-4</v>
      </c>
      <c r="E2631" s="2" t="s">
        <v>2631</v>
      </c>
      <c r="F2631" s="2">
        <v>2.9999999999999997E-4</v>
      </c>
    </row>
    <row r="2632" spans="1:6" x14ac:dyDescent="0.25">
      <c r="A2632" s="1">
        <v>85217</v>
      </c>
      <c r="B2632" s="2">
        <v>132</v>
      </c>
      <c r="C2632" s="2">
        <v>85</v>
      </c>
      <c r="D2632" s="2">
        <v>3.2299999999999898E-2</v>
      </c>
      <c r="E2632" s="2" t="s">
        <v>2632</v>
      </c>
      <c r="F2632" s="2">
        <v>3.2299999999999898E-2</v>
      </c>
    </row>
    <row r="2633" spans="1:6" x14ac:dyDescent="0.25">
      <c r="A2633" s="1">
        <v>85218</v>
      </c>
      <c r="B2633" s="2">
        <v>133</v>
      </c>
      <c r="C2633" s="2">
        <v>85</v>
      </c>
      <c r="D2633" s="2">
        <v>1.5</v>
      </c>
      <c r="E2633" s="2" t="s">
        <v>2633</v>
      </c>
      <c r="F2633" s="2">
        <v>1.5</v>
      </c>
    </row>
    <row r="2634" spans="1:6" x14ac:dyDescent="0.25">
      <c r="A2634" s="1">
        <v>85219</v>
      </c>
      <c r="B2634" s="2">
        <v>134</v>
      </c>
      <c r="C2634" s="2">
        <v>85</v>
      </c>
      <c r="D2634" s="2">
        <v>56</v>
      </c>
      <c r="E2634" s="2" t="s">
        <v>2634</v>
      </c>
      <c r="F2634" s="2">
        <v>56</v>
      </c>
    </row>
    <row r="2635" spans="1:6" x14ac:dyDescent="0.25">
      <c r="A2635" s="1">
        <v>85220</v>
      </c>
      <c r="B2635" s="2">
        <v>135</v>
      </c>
      <c r="C2635" s="2">
        <v>85</v>
      </c>
      <c r="D2635" s="2">
        <v>222.6</v>
      </c>
      <c r="E2635" s="2" t="s">
        <v>2635</v>
      </c>
      <c r="F2635" s="2">
        <v>222.6</v>
      </c>
    </row>
    <row r="2636" spans="1:6" x14ac:dyDescent="0.25">
      <c r="A2636" s="1">
        <v>85221</v>
      </c>
      <c r="B2636" s="2">
        <v>136</v>
      </c>
      <c r="C2636" s="2">
        <v>85</v>
      </c>
      <c r="D2636" s="2">
        <v>138</v>
      </c>
      <c r="E2636" s="2" t="s">
        <v>2636</v>
      </c>
      <c r="F2636" s="2">
        <v>138</v>
      </c>
    </row>
    <row r="2637" spans="1:6" x14ac:dyDescent="0.25">
      <c r="A2637" s="1">
        <v>85222</v>
      </c>
      <c r="B2637" s="2">
        <v>137</v>
      </c>
      <c r="C2637" s="2">
        <v>85</v>
      </c>
      <c r="D2637" s="2">
        <v>54</v>
      </c>
      <c r="E2637" s="2" t="s">
        <v>2637</v>
      </c>
      <c r="F2637" s="2">
        <v>54</v>
      </c>
    </row>
    <row r="2638" spans="1:6" x14ac:dyDescent="0.25">
      <c r="A2638" s="1">
        <v>85223</v>
      </c>
      <c r="B2638" s="2">
        <v>138</v>
      </c>
      <c r="C2638" s="2">
        <v>85</v>
      </c>
      <c r="D2638" s="2">
        <v>50</v>
      </c>
      <c r="E2638" s="2" t="s">
        <v>2638</v>
      </c>
      <c r="F2638" s="2">
        <v>50</v>
      </c>
    </row>
    <row r="2639" spans="1:6" x14ac:dyDescent="0.25">
      <c r="A2639" s="1">
        <v>85224</v>
      </c>
      <c r="B2639" s="2">
        <v>139</v>
      </c>
      <c r="C2639" s="2">
        <v>85</v>
      </c>
      <c r="D2639" s="2">
        <v>78</v>
      </c>
      <c r="E2639" s="2" t="s">
        <v>2639</v>
      </c>
      <c r="F2639" s="2">
        <v>78</v>
      </c>
    </row>
    <row r="2640" spans="1:6" x14ac:dyDescent="0.25">
      <c r="A2640" s="1">
        <v>85225</v>
      </c>
      <c r="B2640" s="2">
        <v>140</v>
      </c>
      <c r="C2640" s="2">
        <v>85</v>
      </c>
      <c r="D2640" s="2">
        <v>2.9999999999999999E-7</v>
      </c>
      <c r="E2640" s="2" t="s">
        <v>2640</v>
      </c>
      <c r="F2640" s="2">
        <v>2.9999999999999999E-7</v>
      </c>
    </row>
    <row r="2641" spans="1:6" x14ac:dyDescent="0.25">
      <c r="A2641" s="1">
        <v>85226</v>
      </c>
      <c r="B2641" s="2">
        <v>141</v>
      </c>
      <c r="C2641" s="2">
        <v>85</v>
      </c>
      <c r="D2641" s="2">
        <v>2.9999999999999999E-7</v>
      </c>
      <c r="E2641" s="2" t="s">
        <v>2641</v>
      </c>
      <c r="F2641" s="2">
        <v>2.9999999999999999E-7</v>
      </c>
    </row>
    <row r="2642" spans="1:6" x14ac:dyDescent="0.25">
      <c r="A2642" s="1">
        <v>85227</v>
      </c>
      <c r="B2642" s="2">
        <v>142</v>
      </c>
      <c r="C2642" s="2">
        <v>85</v>
      </c>
      <c r="D2642" s="2">
        <v>2.9999999999999999E-7</v>
      </c>
      <c r="E2642" s="2" t="s">
        <v>2642</v>
      </c>
      <c r="F2642" s="2">
        <v>2.9999999999999999E-7</v>
      </c>
    </row>
    <row r="2643" spans="1:6" x14ac:dyDescent="0.25">
      <c r="A2643" s="1">
        <v>85228</v>
      </c>
      <c r="B2643" s="2">
        <v>143</v>
      </c>
      <c r="C2643" s="2">
        <v>85</v>
      </c>
      <c r="D2643" s="2">
        <v>2.9999999999999999E-7</v>
      </c>
      <c r="E2643" s="2" t="s">
        <v>2643</v>
      </c>
      <c r="F2643" s="2">
        <v>2.9999999999999999E-7</v>
      </c>
    </row>
    <row r="2644" spans="1:6" x14ac:dyDescent="0.25">
      <c r="A2644" s="1">
        <v>85229</v>
      </c>
      <c r="B2644" s="2">
        <v>144</v>
      </c>
      <c r="C2644" s="2">
        <v>85</v>
      </c>
      <c r="D2644" s="2">
        <v>2.9999999999999999E-7</v>
      </c>
      <c r="E2644" s="2" t="s">
        <v>2644</v>
      </c>
      <c r="F2644" s="2">
        <v>2.9999999999999999E-7</v>
      </c>
    </row>
    <row r="2645" spans="1:6" x14ac:dyDescent="0.25">
      <c r="A2645" s="1">
        <v>86193</v>
      </c>
      <c r="B2645" s="2">
        <v>107</v>
      </c>
      <c r="C2645" s="2">
        <v>86</v>
      </c>
      <c r="D2645" s="2">
        <v>1.15E-3</v>
      </c>
      <c r="E2645" s="2" t="s">
        <v>2645</v>
      </c>
      <c r="F2645" s="2">
        <v>1.15E-3</v>
      </c>
    </row>
    <row r="2646" spans="1:6" x14ac:dyDescent="0.25">
      <c r="A2646" s="1">
        <v>86194</v>
      </c>
      <c r="B2646" s="2">
        <v>108</v>
      </c>
      <c r="C2646" s="2">
        <v>86</v>
      </c>
      <c r="D2646" s="2">
        <v>7.7999999999999999E-4</v>
      </c>
      <c r="E2646" s="2" t="s">
        <v>2646</v>
      </c>
      <c r="F2646" s="2">
        <v>7.7999999999999999E-4</v>
      </c>
    </row>
    <row r="2647" spans="1:6" x14ac:dyDescent="0.25">
      <c r="A2647" s="1">
        <v>86195</v>
      </c>
      <c r="B2647" s="2">
        <v>109</v>
      </c>
      <c r="C2647" s="2">
        <v>86</v>
      </c>
      <c r="D2647" s="2">
        <v>6.0000000000000001E-3</v>
      </c>
      <c r="E2647" s="2" t="s">
        <v>2647</v>
      </c>
      <c r="F2647" s="2">
        <v>6.0000000000000001E-3</v>
      </c>
    </row>
    <row r="2648" spans="1:6" x14ac:dyDescent="0.25">
      <c r="A2648" s="1">
        <v>86196</v>
      </c>
      <c r="B2648" s="2">
        <v>110</v>
      </c>
      <c r="C2648" s="2">
        <v>86</v>
      </c>
      <c r="D2648" s="2">
        <v>4.4000000000000003E-3</v>
      </c>
      <c r="E2648" s="2" t="s">
        <v>2648</v>
      </c>
      <c r="F2648" s="2">
        <v>4.4000000000000003E-3</v>
      </c>
    </row>
    <row r="2649" spans="1:6" x14ac:dyDescent="0.25">
      <c r="A2649" s="1">
        <v>86197</v>
      </c>
      <c r="B2649" s="2">
        <v>111</v>
      </c>
      <c r="C2649" s="2">
        <v>86</v>
      </c>
      <c r="D2649" s="2">
        <v>5.3999999999999999E-2</v>
      </c>
      <c r="E2649" s="2" t="s">
        <v>2649</v>
      </c>
      <c r="F2649" s="2">
        <v>5.3999999999999999E-2</v>
      </c>
    </row>
    <row r="2650" spans="1:6" x14ac:dyDescent="0.25">
      <c r="A2650" s="1">
        <v>86198</v>
      </c>
      <c r="B2650" s="2">
        <v>112</v>
      </c>
      <c r="C2650" s="2">
        <v>86</v>
      </c>
      <c r="D2650" s="2">
        <v>6.5000000000000002E-2</v>
      </c>
      <c r="E2650" s="2" t="s">
        <v>2650</v>
      </c>
      <c r="F2650" s="2">
        <v>6.5000000000000002E-2</v>
      </c>
    </row>
    <row r="2651" spans="1:6" x14ac:dyDescent="0.25">
      <c r="A2651" s="1">
        <v>86199</v>
      </c>
      <c r="B2651" s="2">
        <v>113</v>
      </c>
      <c r="C2651" s="2">
        <v>86</v>
      </c>
      <c r="D2651" s="2">
        <v>0.59</v>
      </c>
      <c r="E2651" s="2" t="s">
        <v>2651</v>
      </c>
      <c r="F2651" s="2">
        <v>0.59</v>
      </c>
    </row>
    <row r="2652" spans="1:6" x14ac:dyDescent="0.25">
      <c r="A2652" s="1">
        <v>86200</v>
      </c>
      <c r="B2652" s="2">
        <v>114</v>
      </c>
      <c r="C2652" s="2">
        <v>86</v>
      </c>
      <c r="D2652" s="2">
        <v>1.03</v>
      </c>
      <c r="E2652" s="2" t="s">
        <v>2652</v>
      </c>
      <c r="F2652" s="2">
        <v>1.03</v>
      </c>
    </row>
    <row r="2653" spans="1:6" x14ac:dyDescent="0.25">
      <c r="A2653" s="1">
        <v>86201</v>
      </c>
      <c r="B2653" s="2">
        <v>115</v>
      </c>
      <c r="C2653" s="2">
        <v>86</v>
      </c>
      <c r="D2653" s="2">
        <v>7</v>
      </c>
      <c r="E2653" s="2" t="s">
        <v>2653</v>
      </c>
      <c r="F2653" s="2">
        <v>7</v>
      </c>
    </row>
    <row r="2654" spans="1:6" x14ac:dyDescent="0.25">
      <c r="A2654" s="1">
        <v>86202</v>
      </c>
      <c r="B2654" s="2">
        <v>116</v>
      </c>
      <c r="C2654" s="2">
        <v>86</v>
      </c>
      <c r="D2654" s="2">
        <v>9.6999999999999993</v>
      </c>
      <c r="E2654" s="2" t="s">
        <v>2654</v>
      </c>
      <c r="F2654" s="2">
        <v>9.6999999999999993</v>
      </c>
    </row>
    <row r="2655" spans="1:6" x14ac:dyDescent="0.25">
      <c r="A2655" s="1">
        <v>86203</v>
      </c>
      <c r="B2655" s="2">
        <v>117</v>
      </c>
      <c r="C2655" s="2">
        <v>86</v>
      </c>
      <c r="D2655" s="2">
        <v>44</v>
      </c>
      <c r="E2655" s="2" t="s">
        <v>2655</v>
      </c>
      <c r="F2655" s="2">
        <v>44</v>
      </c>
    </row>
    <row r="2656" spans="1:6" x14ac:dyDescent="0.25">
      <c r="A2656" s="1">
        <v>86204</v>
      </c>
      <c r="B2656" s="2">
        <v>118</v>
      </c>
      <c r="C2656" s="2">
        <v>86</v>
      </c>
      <c r="D2656" s="2">
        <v>74.5</v>
      </c>
      <c r="E2656" s="2" t="s">
        <v>2656</v>
      </c>
      <c r="F2656" s="2">
        <v>74.5</v>
      </c>
    </row>
    <row r="2657" spans="1:6" x14ac:dyDescent="0.25">
      <c r="A2657" s="1">
        <v>86205</v>
      </c>
      <c r="B2657" s="2">
        <v>119</v>
      </c>
      <c r="C2657" s="2">
        <v>86</v>
      </c>
      <c r="D2657" s="2">
        <v>170</v>
      </c>
      <c r="E2657" s="2" t="s">
        <v>2657</v>
      </c>
      <c r="F2657" s="2">
        <v>170</v>
      </c>
    </row>
    <row r="2658" spans="1:6" x14ac:dyDescent="0.25">
      <c r="A2658" s="1">
        <v>86206</v>
      </c>
      <c r="B2658" s="2">
        <v>120</v>
      </c>
      <c r="C2658" s="2">
        <v>86</v>
      </c>
      <c r="D2658" s="2">
        <v>340.2</v>
      </c>
      <c r="E2658" s="2" t="s">
        <v>2658</v>
      </c>
      <c r="F2658" s="2">
        <v>340.2</v>
      </c>
    </row>
    <row r="2659" spans="1:6" x14ac:dyDescent="0.25">
      <c r="A2659" s="1">
        <v>86207</v>
      </c>
      <c r="B2659" s="2">
        <v>121</v>
      </c>
      <c r="C2659" s="2">
        <v>86</v>
      </c>
      <c r="D2659" s="2">
        <v>555</v>
      </c>
      <c r="E2659" s="2" t="s">
        <v>2659</v>
      </c>
      <c r="F2659" s="2">
        <v>555</v>
      </c>
    </row>
    <row r="2660" spans="1:6" x14ac:dyDescent="0.25">
      <c r="A2660" s="1">
        <v>86208</v>
      </c>
      <c r="B2660" s="2">
        <v>122</v>
      </c>
      <c r="C2660" s="2">
        <v>86</v>
      </c>
      <c r="D2660" s="2">
        <v>1461</v>
      </c>
      <c r="E2660" s="2" t="s">
        <v>2660</v>
      </c>
      <c r="F2660" s="2">
        <v>1461</v>
      </c>
    </row>
    <row r="2661" spans="1:6" x14ac:dyDescent="0.25">
      <c r="A2661" s="1">
        <v>86209</v>
      </c>
      <c r="B2661" s="2">
        <v>123</v>
      </c>
      <c r="C2661" s="2">
        <v>86</v>
      </c>
      <c r="D2661" s="2">
        <v>1728</v>
      </c>
      <c r="E2661" s="2" t="s">
        <v>2661</v>
      </c>
      <c r="F2661" s="2">
        <v>1728</v>
      </c>
    </row>
    <row r="2662" spans="1:6" x14ac:dyDescent="0.25">
      <c r="A2662" s="1">
        <v>86210</v>
      </c>
      <c r="B2662" s="2">
        <v>124</v>
      </c>
      <c r="C2662" s="2">
        <v>86</v>
      </c>
      <c r="D2662" s="2">
        <v>8640</v>
      </c>
      <c r="E2662" s="2" t="s">
        <v>2662</v>
      </c>
      <c r="F2662" s="2">
        <v>8640</v>
      </c>
    </row>
    <row r="2663" spans="1:6" x14ac:dyDescent="0.25">
      <c r="A2663" s="1">
        <v>86211</v>
      </c>
      <c r="B2663" s="2">
        <v>125</v>
      </c>
      <c r="C2663" s="2">
        <v>86</v>
      </c>
      <c r="D2663" s="2">
        <v>52560</v>
      </c>
      <c r="E2663" s="2" t="s">
        <v>2663</v>
      </c>
      <c r="F2663" s="2">
        <v>52560</v>
      </c>
    </row>
    <row r="2664" spans="1:6" x14ac:dyDescent="0.25">
      <c r="A2664" s="1">
        <v>86212</v>
      </c>
      <c r="B2664" s="2">
        <v>126</v>
      </c>
      <c r="C2664" s="2">
        <v>86</v>
      </c>
      <c r="D2664" s="2">
        <v>1434</v>
      </c>
      <c r="E2664" s="2" t="s">
        <v>2664</v>
      </c>
      <c r="F2664" s="2">
        <v>1434</v>
      </c>
    </row>
    <row r="2665" spans="1:6" x14ac:dyDescent="0.25">
      <c r="A2665" s="1">
        <v>86213</v>
      </c>
      <c r="B2665" s="2">
        <v>127</v>
      </c>
      <c r="C2665" s="2">
        <v>86</v>
      </c>
      <c r="D2665" s="2">
        <v>1.95E-2</v>
      </c>
      <c r="E2665" s="2" t="s">
        <v>2665</v>
      </c>
      <c r="F2665" s="2">
        <v>1.95E-2</v>
      </c>
    </row>
    <row r="2666" spans="1:6" x14ac:dyDescent="0.25">
      <c r="A2666" s="1">
        <v>86214</v>
      </c>
      <c r="B2666" s="2">
        <v>128</v>
      </c>
      <c r="C2666" s="2">
        <v>86</v>
      </c>
      <c r="D2666" s="2">
        <v>2.7000000000000001E-7</v>
      </c>
      <c r="E2666" s="2" t="s">
        <v>2666</v>
      </c>
      <c r="F2666" s="2">
        <v>2.7000000000000001E-7</v>
      </c>
    </row>
    <row r="2667" spans="1:6" x14ac:dyDescent="0.25">
      <c r="A2667" s="1">
        <v>86215</v>
      </c>
      <c r="B2667" s="2">
        <v>129</v>
      </c>
      <c r="C2667" s="2">
        <v>86</v>
      </c>
      <c r="D2667" s="2">
        <v>2.2999999999999898E-6</v>
      </c>
      <c r="E2667" s="2" t="s">
        <v>2667</v>
      </c>
      <c r="F2667" s="2">
        <v>2.2999999999999898E-6</v>
      </c>
    </row>
    <row r="2668" spans="1:6" x14ac:dyDescent="0.25">
      <c r="A2668" s="1">
        <v>86216</v>
      </c>
      <c r="B2668" s="2">
        <v>130</v>
      </c>
      <c r="C2668" s="2">
        <v>86</v>
      </c>
      <c r="D2668" s="2">
        <v>4.4999999999999901E-5</v>
      </c>
      <c r="E2668" s="2" t="s">
        <v>2668</v>
      </c>
      <c r="F2668" s="2">
        <v>4.4999999999999901E-5</v>
      </c>
    </row>
    <row r="2669" spans="1:6" x14ac:dyDescent="0.25">
      <c r="A2669" s="1">
        <v>86217</v>
      </c>
      <c r="B2669" s="2">
        <v>131</v>
      </c>
      <c r="C2669" s="2">
        <v>86</v>
      </c>
      <c r="D2669" s="2">
        <v>5.4000000000000001E-4</v>
      </c>
      <c r="E2669" s="2" t="s">
        <v>2669</v>
      </c>
      <c r="F2669" s="2">
        <v>5.4000000000000001E-4</v>
      </c>
    </row>
    <row r="2670" spans="1:6" x14ac:dyDescent="0.25">
      <c r="A2670" s="1">
        <v>86218</v>
      </c>
      <c r="B2670" s="2">
        <v>132</v>
      </c>
      <c r="C2670" s="2">
        <v>86</v>
      </c>
      <c r="D2670" s="2">
        <v>3.5000000000000003E-2</v>
      </c>
      <c r="E2670" s="2" t="s">
        <v>2670</v>
      </c>
      <c r="F2670" s="2">
        <v>3.5000000000000003E-2</v>
      </c>
    </row>
    <row r="2671" spans="1:6" x14ac:dyDescent="0.25">
      <c r="A2671" s="1">
        <v>86219</v>
      </c>
      <c r="B2671" s="2">
        <v>133</v>
      </c>
      <c r="C2671" s="2">
        <v>86</v>
      </c>
      <c r="D2671" s="2">
        <v>3.96</v>
      </c>
      <c r="E2671" s="2" t="s">
        <v>2671</v>
      </c>
      <c r="F2671" s="2">
        <v>3.96</v>
      </c>
    </row>
    <row r="2672" spans="1:6" x14ac:dyDescent="0.25">
      <c r="A2672" s="1">
        <v>86220</v>
      </c>
      <c r="B2672" s="2">
        <v>134</v>
      </c>
      <c r="C2672" s="2">
        <v>86</v>
      </c>
      <c r="D2672" s="2">
        <v>55.6</v>
      </c>
      <c r="E2672" s="2" t="s">
        <v>2672</v>
      </c>
      <c r="F2672" s="2">
        <v>55.6</v>
      </c>
    </row>
    <row r="2673" spans="1:6" x14ac:dyDescent="0.25">
      <c r="A2673" s="1">
        <v>86221</v>
      </c>
      <c r="B2673" s="2">
        <v>135</v>
      </c>
      <c r="C2673" s="2">
        <v>86</v>
      </c>
      <c r="D2673" s="2">
        <v>1500</v>
      </c>
      <c r="E2673" s="2" t="s">
        <v>2673</v>
      </c>
      <c r="F2673" s="2">
        <v>1500</v>
      </c>
    </row>
    <row r="2674" spans="1:6" x14ac:dyDescent="0.25">
      <c r="A2674" s="1">
        <v>86222</v>
      </c>
      <c r="B2674" s="2">
        <v>136</v>
      </c>
      <c r="C2674" s="2">
        <v>86</v>
      </c>
      <c r="D2674" s="2">
        <v>330350.40000000002</v>
      </c>
      <c r="E2674" s="2" t="s">
        <v>2674</v>
      </c>
      <c r="F2674" s="2">
        <v>330350.40000000002</v>
      </c>
    </row>
    <row r="2675" spans="1:6" x14ac:dyDescent="0.25">
      <c r="A2675" s="1">
        <v>86223</v>
      </c>
      <c r="B2675" s="2">
        <v>137</v>
      </c>
      <c r="C2675" s="2">
        <v>86</v>
      </c>
      <c r="D2675" s="2">
        <v>1458</v>
      </c>
      <c r="E2675" s="2" t="s">
        <v>2675</v>
      </c>
      <c r="F2675" s="2">
        <v>1458</v>
      </c>
    </row>
    <row r="2676" spans="1:6" x14ac:dyDescent="0.25">
      <c r="A2676" s="1">
        <v>86224</v>
      </c>
      <c r="B2676" s="2">
        <v>138</v>
      </c>
      <c r="C2676" s="2">
        <v>86</v>
      </c>
      <c r="D2676" s="2">
        <v>6420</v>
      </c>
      <c r="E2676" s="2" t="s">
        <v>2676</v>
      </c>
      <c r="F2676" s="2">
        <v>6420</v>
      </c>
    </row>
    <row r="2677" spans="1:6" x14ac:dyDescent="0.25">
      <c r="A2677" s="1">
        <v>86225</v>
      </c>
      <c r="B2677" s="2">
        <v>139</v>
      </c>
      <c r="C2677" s="2">
        <v>86</v>
      </c>
      <c r="D2677" s="2">
        <v>279.60000000000002</v>
      </c>
      <c r="E2677" s="2" t="s">
        <v>2677</v>
      </c>
      <c r="F2677" s="2">
        <v>279.60000000000002</v>
      </c>
    </row>
    <row r="2678" spans="1:6" x14ac:dyDescent="0.25">
      <c r="A2678" s="1">
        <v>86226</v>
      </c>
      <c r="B2678" s="2">
        <v>140</v>
      </c>
      <c r="C2678" s="2">
        <v>86</v>
      </c>
      <c r="D2678" s="2">
        <v>444</v>
      </c>
      <c r="E2678" s="2" t="s">
        <v>2678</v>
      </c>
      <c r="F2678" s="2">
        <v>444</v>
      </c>
    </row>
    <row r="2679" spans="1:6" x14ac:dyDescent="0.25">
      <c r="A2679" s="1">
        <v>86227</v>
      </c>
      <c r="B2679" s="2">
        <v>141</v>
      </c>
      <c r="C2679" s="2">
        <v>86</v>
      </c>
      <c r="D2679" s="2">
        <v>20.2</v>
      </c>
      <c r="E2679" s="2" t="s">
        <v>2679</v>
      </c>
      <c r="F2679" s="2">
        <v>20.2</v>
      </c>
    </row>
    <row r="2680" spans="1:6" x14ac:dyDescent="0.25">
      <c r="A2680" s="1">
        <v>86228</v>
      </c>
      <c r="B2680" s="2">
        <v>142</v>
      </c>
      <c r="C2680" s="2">
        <v>86</v>
      </c>
      <c r="D2680" s="2">
        <v>65</v>
      </c>
      <c r="E2680" s="2" t="s">
        <v>2680</v>
      </c>
      <c r="F2680" s="2">
        <v>65</v>
      </c>
    </row>
    <row r="2681" spans="1:6" x14ac:dyDescent="0.25">
      <c r="A2681" s="1">
        <v>86229</v>
      </c>
      <c r="B2681" s="2">
        <v>143</v>
      </c>
      <c r="C2681" s="2">
        <v>86</v>
      </c>
      <c r="D2681" s="2">
        <v>12</v>
      </c>
      <c r="E2681" s="2" t="s">
        <v>2681</v>
      </c>
      <c r="F2681" s="2">
        <v>12</v>
      </c>
    </row>
    <row r="2682" spans="1:6" x14ac:dyDescent="0.25">
      <c r="A2682" s="1">
        <v>86230</v>
      </c>
      <c r="B2682" s="2">
        <v>144</v>
      </c>
      <c r="C2682" s="2">
        <v>86</v>
      </c>
      <c r="D2682" s="2">
        <v>2.9999999999999999E-7</v>
      </c>
      <c r="E2682" s="2" t="s">
        <v>2682</v>
      </c>
      <c r="F2682" s="2">
        <v>2.9999999999999999E-7</v>
      </c>
    </row>
    <row r="2683" spans="1:6" x14ac:dyDescent="0.25">
      <c r="A2683" s="1">
        <v>86231</v>
      </c>
      <c r="B2683" s="2">
        <v>145</v>
      </c>
      <c r="C2683" s="2">
        <v>86</v>
      </c>
      <c r="D2683" s="2">
        <v>2.9999999999999999E-7</v>
      </c>
      <c r="E2683" s="2" t="s">
        <v>2683</v>
      </c>
      <c r="F2683" s="2">
        <v>2.9999999999999999E-7</v>
      </c>
    </row>
    <row r="2684" spans="1:6" x14ac:dyDescent="0.25">
      <c r="A2684" s="1">
        <v>87197</v>
      </c>
      <c r="B2684" s="2">
        <v>110</v>
      </c>
      <c r="C2684" s="2">
        <v>87</v>
      </c>
      <c r="D2684" s="2">
        <v>5.9999999999999995E-4</v>
      </c>
      <c r="E2684" s="2" t="s">
        <v>2684</v>
      </c>
      <c r="F2684" s="2">
        <v>5.9999999999999995E-4</v>
      </c>
    </row>
    <row r="2685" spans="1:6" x14ac:dyDescent="0.25">
      <c r="A2685" s="1">
        <v>87198</v>
      </c>
      <c r="B2685" s="2">
        <v>111</v>
      </c>
      <c r="C2685" s="2">
        <v>87</v>
      </c>
      <c r="D2685" s="2">
        <v>1.4999999999999999E-2</v>
      </c>
      <c r="E2685" s="2" t="s">
        <v>2685</v>
      </c>
      <c r="F2685" s="2">
        <v>1.4999999999999999E-2</v>
      </c>
    </row>
    <row r="2686" spans="1:6" x14ac:dyDescent="0.25">
      <c r="A2686" s="1">
        <v>87199</v>
      </c>
      <c r="B2686" s="2">
        <v>112</v>
      </c>
      <c r="C2686" s="2">
        <v>87</v>
      </c>
      <c r="D2686" s="2">
        <v>4.4999999999999997E-3</v>
      </c>
      <c r="E2686" s="2" t="s">
        <v>2686</v>
      </c>
      <c r="F2686" s="2">
        <v>4.4999999999999997E-3</v>
      </c>
    </row>
    <row r="2687" spans="1:6" x14ac:dyDescent="0.25">
      <c r="A2687" s="1">
        <v>87200</v>
      </c>
      <c r="B2687" s="2">
        <v>113</v>
      </c>
      <c r="C2687" s="2">
        <v>87</v>
      </c>
      <c r="D2687" s="2">
        <v>4.9000000000000002E-2</v>
      </c>
      <c r="E2687" s="2" t="s">
        <v>2687</v>
      </c>
      <c r="F2687" s="2">
        <v>4.9000000000000002E-2</v>
      </c>
    </row>
    <row r="2688" spans="1:6" x14ac:dyDescent="0.25">
      <c r="A2688" s="1">
        <v>87201</v>
      </c>
      <c r="B2688" s="2">
        <v>114</v>
      </c>
      <c r="C2688" s="2">
        <v>87</v>
      </c>
      <c r="D2688" s="2">
        <v>6.2E-2</v>
      </c>
      <c r="E2688" s="2" t="s">
        <v>2688</v>
      </c>
      <c r="F2688" s="2">
        <v>6.2E-2</v>
      </c>
    </row>
    <row r="2689" spans="1:6" x14ac:dyDescent="0.25">
      <c r="A2689" s="1">
        <v>87202</v>
      </c>
      <c r="B2689" s="2">
        <v>115</v>
      </c>
      <c r="C2689" s="2">
        <v>87</v>
      </c>
      <c r="D2689" s="2">
        <v>0.372</v>
      </c>
      <c r="E2689" s="2" t="s">
        <v>2689</v>
      </c>
      <c r="F2689" s="2">
        <v>0.372</v>
      </c>
    </row>
    <row r="2690" spans="1:6" x14ac:dyDescent="0.25">
      <c r="A2690" s="1">
        <v>87203</v>
      </c>
      <c r="B2690" s="2">
        <v>116</v>
      </c>
      <c r="C2690" s="2">
        <v>87</v>
      </c>
      <c r="D2690" s="2">
        <v>0.55000000000000004</v>
      </c>
      <c r="E2690" s="2" t="s">
        <v>2690</v>
      </c>
      <c r="F2690" s="2">
        <v>0.55000000000000004</v>
      </c>
    </row>
    <row r="2691" spans="1:6" x14ac:dyDescent="0.25">
      <c r="A2691" s="1">
        <v>87204</v>
      </c>
      <c r="B2691" s="2">
        <v>117</v>
      </c>
      <c r="C2691" s="2">
        <v>87</v>
      </c>
      <c r="D2691" s="2">
        <v>1.8</v>
      </c>
      <c r="E2691" s="2" t="s">
        <v>2691</v>
      </c>
      <c r="F2691" s="2">
        <v>1.8</v>
      </c>
    </row>
    <row r="2692" spans="1:6" x14ac:dyDescent="0.25">
      <c r="A2692" s="1">
        <v>87205</v>
      </c>
      <c r="B2692" s="2">
        <v>118</v>
      </c>
      <c r="C2692" s="2">
        <v>87</v>
      </c>
      <c r="D2692" s="2">
        <v>3.97</v>
      </c>
      <c r="E2692" s="2" t="s">
        <v>2692</v>
      </c>
      <c r="F2692" s="2">
        <v>3.97</v>
      </c>
    </row>
    <row r="2693" spans="1:6" x14ac:dyDescent="0.25">
      <c r="A2693" s="1">
        <v>87206</v>
      </c>
      <c r="B2693" s="2">
        <v>119</v>
      </c>
      <c r="C2693" s="2">
        <v>87</v>
      </c>
      <c r="D2693" s="2">
        <v>16</v>
      </c>
      <c r="E2693" s="2" t="s">
        <v>2693</v>
      </c>
      <c r="F2693" s="2">
        <v>16</v>
      </c>
    </row>
    <row r="2694" spans="1:6" x14ac:dyDescent="0.25">
      <c r="A2694" s="1">
        <v>87207</v>
      </c>
      <c r="B2694" s="2">
        <v>120</v>
      </c>
      <c r="C2694" s="2">
        <v>87</v>
      </c>
      <c r="D2694" s="2">
        <v>14.8</v>
      </c>
      <c r="E2694" s="2" t="s">
        <v>2694</v>
      </c>
      <c r="F2694" s="2">
        <v>14.8</v>
      </c>
    </row>
    <row r="2695" spans="1:6" x14ac:dyDescent="0.25">
      <c r="A2695" s="1">
        <v>87208</v>
      </c>
      <c r="B2695" s="2">
        <v>121</v>
      </c>
      <c r="C2695" s="2">
        <v>87</v>
      </c>
      <c r="D2695" s="2">
        <v>59.1</v>
      </c>
      <c r="E2695" s="2" t="s">
        <v>2695</v>
      </c>
      <c r="F2695" s="2">
        <v>59.1</v>
      </c>
    </row>
    <row r="2696" spans="1:6" x14ac:dyDescent="0.25">
      <c r="A2696" s="1">
        <v>87209</v>
      </c>
      <c r="B2696" s="2">
        <v>122</v>
      </c>
      <c r="C2696" s="2">
        <v>87</v>
      </c>
      <c r="D2696" s="2">
        <v>50.5</v>
      </c>
      <c r="E2696" s="2" t="s">
        <v>2696</v>
      </c>
      <c r="F2696" s="2">
        <v>50.5</v>
      </c>
    </row>
    <row r="2697" spans="1:6" x14ac:dyDescent="0.25">
      <c r="A2697" s="1">
        <v>87210</v>
      </c>
      <c r="B2697" s="2">
        <v>123</v>
      </c>
      <c r="C2697" s="2">
        <v>87</v>
      </c>
      <c r="D2697" s="2">
        <v>190.8</v>
      </c>
      <c r="E2697" s="2" t="s">
        <v>2697</v>
      </c>
      <c r="F2697" s="2">
        <v>190.8</v>
      </c>
    </row>
    <row r="2698" spans="1:6" x14ac:dyDescent="0.25">
      <c r="A2698" s="1">
        <v>87211</v>
      </c>
      <c r="B2698" s="2">
        <v>124</v>
      </c>
      <c r="C2698" s="2">
        <v>87</v>
      </c>
      <c r="D2698" s="2">
        <v>186</v>
      </c>
      <c r="E2698" s="2" t="s">
        <v>2698</v>
      </c>
      <c r="F2698" s="2">
        <v>186</v>
      </c>
    </row>
    <row r="2699" spans="1:6" x14ac:dyDescent="0.25">
      <c r="A2699" s="1">
        <v>87212</v>
      </c>
      <c r="B2699" s="2">
        <v>125</v>
      </c>
      <c r="C2699" s="2">
        <v>87</v>
      </c>
      <c r="D2699" s="2">
        <v>1200</v>
      </c>
      <c r="E2699" s="2" t="s">
        <v>2699</v>
      </c>
      <c r="F2699" s="2">
        <v>1200</v>
      </c>
    </row>
    <row r="2700" spans="1:6" x14ac:dyDescent="0.25">
      <c r="A2700" s="1">
        <v>87213</v>
      </c>
      <c r="B2700" s="2">
        <v>126</v>
      </c>
      <c r="C2700" s="2">
        <v>87</v>
      </c>
      <c r="D2700" s="2">
        <v>34.82</v>
      </c>
      <c r="E2700" s="2" t="s">
        <v>2700</v>
      </c>
      <c r="F2700" s="2">
        <v>34.82</v>
      </c>
    </row>
    <row r="2701" spans="1:6" x14ac:dyDescent="0.25">
      <c r="A2701" s="1">
        <v>87214</v>
      </c>
      <c r="B2701" s="2">
        <v>127</v>
      </c>
      <c r="C2701" s="2">
        <v>87</v>
      </c>
      <c r="D2701" s="2">
        <v>5.0000000000000001E-3</v>
      </c>
      <c r="E2701" s="2" t="s">
        <v>2701</v>
      </c>
      <c r="F2701" s="2">
        <v>5.0000000000000001E-3</v>
      </c>
    </row>
    <row r="2702" spans="1:6" x14ac:dyDescent="0.25">
      <c r="A2702" s="1">
        <v>87215</v>
      </c>
      <c r="B2702" s="2">
        <v>128</v>
      </c>
      <c r="C2702" s="2">
        <v>87</v>
      </c>
      <c r="D2702" s="2">
        <v>8.6000000000000002E-8</v>
      </c>
      <c r="E2702" s="2" t="s">
        <v>2702</v>
      </c>
      <c r="F2702" s="2">
        <v>8.6000000000000002E-8</v>
      </c>
    </row>
    <row r="2703" spans="1:6" x14ac:dyDescent="0.25">
      <c r="A2703" s="1">
        <v>87216</v>
      </c>
      <c r="B2703" s="2">
        <v>129</v>
      </c>
      <c r="C2703" s="2">
        <v>87</v>
      </c>
      <c r="D2703" s="2">
        <v>6.9999999999999997E-7</v>
      </c>
      <c r="E2703" s="2" t="s">
        <v>2703</v>
      </c>
      <c r="F2703" s="2">
        <v>6.9999999999999997E-7</v>
      </c>
    </row>
    <row r="2704" spans="1:6" x14ac:dyDescent="0.25">
      <c r="A2704" s="1">
        <v>87217</v>
      </c>
      <c r="B2704" s="2">
        <v>130</v>
      </c>
      <c r="C2704" s="2">
        <v>87</v>
      </c>
      <c r="D2704" s="2">
        <v>1.8999999999999899E-5</v>
      </c>
      <c r="E2704" s="2" t="s">
        <v>2704</v>
      </c>
      <c r="F2704" s="2">
        <v>1.8999999999999899E-5</v>
      </c>
    </row>
    <row r="2705" spans="1:6" x14ac:dyDescent="0.25">
      <c r="A2705" s="1">
        <v>87218</v>
      </c>
      <c r="B2705" s="2">
        <v>131</v>
      </c>
      <c r="C2705" s="2">
        <v>87</v>
      </c>
      <c r="D2705" s="2">
        <v>1E-3</v>
      </c>
      <c r="E2705" s="2" t="s">
        <v>2705</v>
      </c>
      <c r="F2705" s="2">
        <v>1E-3</v>
      </c>
    </row>
    <row r="2706" spans="1:6" x14ac:dyDescent="0.25">
      <c r="A2706" s="1">
        <v>87219</v>
      </c>
      <c r="B2706" s="2">
        <v>132</v>
      </c>
      <c r="C2706" s="2">
        <v>87</v>
      </c>
      <c r="D2706" s="2">
        <v>0.02</v>
      </c>
      <c r="E2706" s="2" t="s">
        <v>2706</v>
      </c>
      <c r="F2706" s="2">
        <v>0.02</v>
      </c>
    </row>
    <row r="2707" spans="1:6" x14ac:dyDescent="0.25">
      <c r="A2707" s="1">
        <v>87220</v>
      </c>
      <c r="B2707" s="2">
        <v>133</v>
      </c>
      <c r="C2707" s="2">
        <v>87</v>
      </c>
      <c r="D2707" s="2">
        <v>27.4</v>
      </c>
      <c r="E2707" s="2" t="s">
        <v>2707</v>
      </c>
      <c r="F2707" s="2">
        <v>27.4</v>
      </c>
    </row>
    <row r="2708" spans="1:6" x14ac:dyDescent="0.25">
      <c r="A2708" s="1">
        <v>87221</v>
      </c>
      <c r="B2708" s="2">
        <v>134</v>
      </c>
      <c r="C2708" s="2">
        <v>87</v>
      </c>
      <c r="D2708" s="2">
        <v>286.10000000000002</v>
      </c>
      <c r="E2708" s="2" t="s">
        <v>2708</v>
      </c>
      <c r="F2708" s="2">
        <v>286.10000000000002</v>
      </c>
    </row>
    <row r="2709" spans="1:6" x14ac:dyDescent="0.25">
      <c r="A2709" s="1">
        <v>87222</v>
      </c>
      <c r="B2709" s="2">
        <v>135</v>
      </c>
      <c r="C2709" s="2">
        <v>87</v>
      </c>
      <c r="D2709" s="2">
        <v>852</v>
      </c>
      <c r="E2709" s="2" t="s">
        <v>2709</v>
      </c>
      <c r="F2709" s="2">
        <v>852</v>
      </c>
    </row>
    <row r="2710" spans="1:6" x14ac:dyDescent="0.25">
      <c r="A2710" s="1">
        <v>87223</v>
      </c>
      <c r="B2710" s="2">
        <v>136</v>
      </c>
      <c r="C2710" s="2">
        <v>87</v>
      </c>
      <c r="D2710" s="2">
        <v>1320</v>
      </c>
      <c r="E2710" s="2" t="s">
        <v>2710</v>
      </c>
      <c r="F2710" s="2">
        <v>1320</v>
      </c>
    </row>
    <row r="2711" spans="1:6" x14ac:dyDescent="0.25">
      <c r="A2711" s="1">
        <v>87224</v>
      </c>
      <c r="B2711" s="2">
        <v>137</v>
      </c>
      <c r="C2711" s="2">
        <v>87</v>
      </c>
      <c r="D2711" s="2">
        <v>199.8</v>
      </c>
      <c r="E2711" s="2" t="s">
        <v>2711</v>
      </c>
      <c r="F2711" s="2">
        <v>199.8</v>
      </c>
    </row>
    <row r="2712" spans="1:6" x14ac:dyDescent="0.25">
      <c r="A2712" s="1">
        <v>87225</v>
      </c>
      <c r="B2712" s="2">
        <v>138</v>
      </c>
      <c r="C2712" s="2">
        <v>87</v>
      </c>
      <c r="D2712" s="2">
        <v>237</v>
      </c>
      <c r="E2712" s="2" t="s">
        <v>2712</v>
      </c>
      <c r="F2712" s="2">
        <v>237</v>
      </c>
    </row>
    <row r="2713" spans="1:6" x14ac:dyDescent="0.25">
      <c r="A2713" s="1">
        <v>87226</v>
      </c>
      <c r="B2713" s="2">
        <v>139</v>
      </c>
      <c r="C2713" s="2">
        <v>87</v>
      </c>
      <c r="D2713" s="2">
        <v>49</v>
      </c>
      <c r="E2713" s="2" t="s">
        <v>2713</v>
      </c>
      <c r="F2713" s="2">
        <v>49</v>
      </c>
    </row>
    <row r="2714" spans="1:6" x14ac:dyDescent="0.25">
      <c r="A2714" s="1">
        <v>87227</v>
      </c>
      <c r="B2714" s="2">
        <v>140</v>
      </c>
      <c r="C2714" s="2">
        <v>87</v>
      </c>
      <c r="D2714" s="2">
        <v>148.19999999999999</v>
      </c>
      <c r="E2714" s="2" t="s">
        <v>2714</v>
      </c>
      <c r="F2714" s="2">
        <v>148.19999999999999</v>
      </c>
    </row>
    <row r="2715" spans="1:6" x14ac:dyDescent="0.25">
      <c r="A2715" s="1">
        <v>87228</v>
      </c>
      <c r="B2715" s="2">
        <v>141</v>
      </c>
      <c r="C2715" s="2">
        <v>87</v>
      </c>
      <c r="D2715" s="2">
        <v>38</v>
      </c>
      <c r="E2715" s="2" t="s">
        <v>2715</v>
      </c>
      <c r="F2715" s="2">
        <v>38</v>
      </c>
    </row>
    <row r="2716" spans="1:6" x14ac:dyDescent="0.25">
      <c r="A2716" s="1">
        <v>87229</v>
      </c>
      <c r="B2716" s="2">
        <v>142</v>
      </c>
      <c r="C2716" s="2">
        <v>87</v>
      </c>
      <c r="D2716" s="2">
        <v>50.2</v>
      </c>
      <c r="E2716" s="2" t="s">
        <v>2716</v>
      </c>
      <c r="F2716" s="2">
        <v>50.2</v>
      </c>
    </row>
    <row r="2717" spans="1:6" x14ac:dyDescent="0.25">
      <c r="A2717" s="1">
        <v>87230</v>
      </c>
      <c r="B2717" s="2">
        <v>143</v>
      </c>
      <c r="C2717" s="2">
        <v>87</v>
      </c>
      <c r="D2717" s="2">
        <v>19.100000000000001</v>
      </c>
      <c r="E2717" s="2" t="s">
        <v>2717</v>
      </c>
      <c r="F2717" s="2">
        <v>19.100000000000001</v>
      </c>
    </row>
    <row r="2718" spans="1:6" x14ac:dyDescent="0.25">
      <c r="A2718" s="1">
        <v>87231</v>
      </c>
      <c r="B2718" s="2">
        <v>144</v>
      </c>
      <c r="C2718" s="2">
        <v>87</v>
      </c>
      <c r="D2718" s="2">
        <v>17.600000000000001</v>
      </c>
      <c r="E2718" s="2" t="s">
        <v>2718</v>
      </c>
      <c r="F2718" s="2">
        <v>17.600000000000001</v>
      </c>
    </row>
    <row r="2719" spans="1:6" x14ac:dyDescent="0.25">
      <c r="A2719" s="1">
        <v>87232</v>
      </c>
      <c r="B2719" s="2">
        <v>145</v>
      </c>
      <c r="C2719" s="2">
        <v>87</v>
      </c>
      <c r="D2719" s="2">
        <v>5.5</v>
      </c>
      <c r="E2719" s="2" t="s">
        <v>2719</v>
      </c>
      <c r="F2719" s="2">
        <v>5.5</v>
      </c>
    </row>
    <row r="2720" spans="1:6" x14ac:dyDescent="0.25">
      <c r="A2720" s="1">
        <v>87233</v>
      </c>
      <c r="B2720" s="2">
        <v>146</v>
      </c>
      <c r="C2720" s="2">
        <v>87</v>
      </c>
      <c r="D2720" s="2">
        <v>0.9</v>
      </c>
      <c r="E2720" s="2" t="s">
        <v>2720</v>
      </c>
      <c r="F2720" s="2">
        <v>0.9</v>
      </c>
    </row>
    <row r="2721" spans="1:6" x14ac:dyDescent="0.25">
      <c r="A2721" s="1">
        <v>88201</v>
      </c>
      <c r="B2721" s="2">
        <v>113</v>
      </c>
      <c r="C2721" s="2">
        <v>88</v>
      </c>
      <c r="D2721" s="2">
        <v>1.6000000000000001E-3</v>
      </c>
      <c r="E2721" s="2" t="s">
        <v>2721</v>
      </c>
      <c r="F2721" s="2">
        <v>1.6000000000000001E-3</v>
      </c>
    </row>
    <row r="2722" spans="1:6" x14ac:dyDescent="0.25">
      <c r="A2722" s="1">
        <v>88202</v>
      </c>
      <c r="B2722" s="2">
        <v>114</v>
      </c>
      <c r="C2722" s="2">
        <v>88</v>
      </c>
      <c r="D2722" s="2">
        <v>3.8E-3</v>
      </c>
      <c r="E2722" s="2" t="s">
        <v>2722</v>
      </c>
      <c r="F2722" s="2">
        <v>3.8E-3</v>
      </c>
    </row>
    <row r="2723" spans="1:6" x14ac:dyDescent="0.25">
      <c r="A2723" s="1">
        <v>88203</v>
      </c>
      <c r="B2723" s="2">
        <v>115</v>
      </c>
      <c r="C2723" s="2">
        <v>88</v>
      </c>
      <c r="D2723" s="2">
        <v>3.1E-2</v>
      </c>
      <c r="E2723" s="2" t="s">
        <v>2723</v>
      </c>
      <c r="F2723" s="2">
        <v>3.1E-2</v>
      </c>
    </row>
    <row r="2724" spans="1:6" x14ac:dyDescent="0.25">
      <c r="A2724" s="1">
        <v>88204</v>
      </c>
      <c r="B2724" s="2">
        <v>116</v>
      </c>
      <c r="C2724" s="2">
        <v>88</v>
      </c>
      <c r="D2724" s="2">
        <v>5.7000000000000002E-2</v>
      </c>
      <c r="E2724" s="2" t="s">
        <v>2724</v>
      </c>
      <c r="F2724" s="2">
        <v>5.7000000000000002E-2</v>
      </c>
    </row>
    <row r="2725" spans="1:6" x14ac:dyDescent="0.25">
      <c r="A2725" s="1">
        <v>88205</v>
      </c>
      <c r="B2725" s="2">
        <v>117</v>
      </c>
      <c r="C2725" s="2">
        <v>88</v>
      </c>
      <c r="D2725" s="2">
        <v>0.21</v>
      </c>
      <c r="E2725" s="2" t="s">
        <v>2725</v>
      </c>
      <c r="F2725" s="2">
        <v>0.21</v>
      </c>
    </row>
    <row r="2726" spans="1:6" x14ac:dyDescent="0.25">
      <c r="A2726" s="1">
        <v>88206</v>
      </c>
      <c r="B2726" s="2">
        <v>118</v>
      </c>
      <c r="C2726" s="2">
        <v>88</v>
      </c>
      <c r="D2726" s="2">
        <v>0.24</v>
      </c>
      <c r="E2726" s="2" t="s">
        <v>2726</v>
      </c>
      <c r="F2726" s="2">
        <v>0.24</v>
      </c>
    </row>
    <row r="2727" spans="1:6" x14ac:dyDescent="0.25">
      <c r="A2727" s="1">
        <v>88207</v>
      </c>
      <c r="B2727" s="2">
        <v>119</v>
      </c>
      <c r="C2727" s="2">
        <v>88</v>
      </c>
      <c r="D2727" s="2">
        <v>1.35</v>
      </c>
      <c r="E2727" s="2" t="s">
        <v>2727</v>
      </c>
      <c r="F2727" s="2">
        <v>1.35</v>
      </c>
    </row>
    <row r="2728" spans="1:6" x14ac:dyDescent="0.25">
      <c r="A2728" s="1">
        <v>88208</v>
      </c>
      <c r="B2728" s="2">
        <v>120</v>
      </c>
      <c r="C2728" s="2">
        <v>88</v>
      </c>
      <c r="D2728" s="2">
        <v>1.3</v>
      </c>
      <c r="E2728" s="2" t="s">
        <v>2728</v>
      </c>
      <c r="F2728" s="2">
        <v>1.3</v>
      </c>
    </row>
    <row r="2729" spans="1:6" x14ac:dyDescent="0.25">
      <c r="A2729" s="1">
        <v>88209</v>
      </c>
      <c r="B2729" s="2">
        <v>121</v>
      </c>
      <c r="C2729" s="2">
        <v>88</v>
      </c>
      <c r="D2729" s="2">
        <v>4.5999999999999996</v>
      </c>
      <c r="E2729" s="2" t="s">
        <v>2729</v>
      </c>
      <c r="F2729" s="2">
        <v>4.5999999999999996</v>
      </c>
    </row>
    <row r="2730" spans="1:6" x14ac:dyDescent="0.25">
      <c r="A2730" s="1">
        <v>88210</v>
      </c>
      <c r="B2730" s="2">
        <v>122</v>
      </c>
      <c r="C2730" s="2">
        <v>88</v>
      </c>
      <c r="D2730" s="2">
        <v>3.7</v>
      </c>
      <c r="E2730" s="2" t="s">
        <v>2730</v>
      </c>
      <c r="F2730" s="2">
        <v>3.7</v>
      </c>
    </row>
    <row r="2731" spans="1:6" x14ac:dyDescent="0.25">
      <c r="A2731" s="1">
        <v>88211</v>
      </c>
      <c r="B2731" s="2">
        <v>123</v>
      </c>
      <c r="C2731" s="2">
        <v>88</v>
      </c>
      <c r="D2731" s="2">
        <v>13</v>
      </c>
      <c r="E2731" s="2" t="s">
        <v>2731</v>
      </c>
      <c r="F2731" s="2">
        <v>13</v>
      </c>
    </row>
    <row r="2732" spans="1:6" x14ac:dyDescent="0.25">
      <c r="A2732" s="1">
        <v>88212</v>
      </c>
      <c r="B2732" s="2">
        <v>124</v>
      </c>
      <c r="C2732" s="2">
        <v>88</v>
      </c>
      <c r="D2732" s="2">
        <v>13</v>
      </c>
      <c r="E2732" s="2" t="s">
        <v>2732</v>
      </c>
      <c r="F2732" s="2">
        <v>13</v>
      </c>
    </row>
    <row r="2733" spans="1:6" x14ac:dyDescent="0.25">
      <c r="A2733" s="1">
        <v>88213</v>
      </c>
      <c r="B2733" s="2">
        <v>125</v>
      </c>
      <c r="C2733" s="2">
        <v>88</v>
      </c>
      <c r="D2733" s="2">
        <v>163.80000000000001</v>
      </c>
      <c r="E2733" s="2" t="s">
        <v>2733</v>
      </c>
      <c r="F2733" s="2">
        <v>163.80000000000001</v>
      </c>
    </row>
    <row r="2734" spans="1:6" x14ac:dyDescent="0.25">
      <c r="A2734" s="1">
        <v>88214</v>
      </c>
      <c r="B2734" s="2">
        <v>126</v>
      </c>
      <c r="C2734" s="2">
        <v>88</v>
      </c>
      <c r="D2734" s="2">
        <v>2.46</v>
      </c>
      <c r="E2734" s="2" t="s">
        <v>2734</v>
      </c>
      <c r="F2734" s="2">
        <v>2.46</v>
      </c>
    </row>
    <row r="2735" spans="1:6" x14ac:dyDescent="0.25">
      <c r="A2735" s="1">
        <v>88215</v>
      </c>
      <c r="B2735" s="2">
        <v>127</v>
      </c>
      <c r="C2735" s="2">
        <v>88</v>
      </c>
      <c r="D2735" s="2">
        <v>1.66E-3</v>
      </c>
      <c r="E2735" s="2" t="s">
        <v>2735</v>
      </c>
      <c r="F2735" s="2">
        <v>1.66E-3</v>
      </c>
    </row>
    <row r="2736" spans="1:6" x14ac:dyDescent="0.25">
      <c r="A2736" s="1">
        <v>88216</v>
      </c>
      <c r="B2736" s="2">
        <v>128</v>
      </c>
      <c r="C2736" s="2">
        <v>88</v>
      </c>
      <c r="D2736" s="2">
        <v>1.8199999999999999E-7</v>
      </c>
      <c r="E2736" s="2" t="s">
        <v>2736</v>
      </c>
      <c r="F2736" s="2">
        <v>1.8199999999999999E-7</v>
      </c>
    </row>
    <row r="2737" spans="1:6" x14ac:dyDescent="0.25">
      <c r="A2737" s="1">
        <v>88217</v>
      </c>
      <c r="B2737" s="2">
        <v>129</v>
      </c>
      <c r="C2737" s="2">
        <v>88</v>
      </c>
      <c r="D2737" s="2">
        <v>1.5999999999999999E-6</v>
      </c>
      <c r="E2737" s="2" t="s">
        <v>2737</v>
      </c>
      <c r="F2737" s="2">
        <v>1.5999999999999999E-6</v>
      </c>
    </row>
    <row r="2738" spans="1:6" x14ac:dyDescent="0.25">
      <c r="A2738" s="1">
        <v>88218</v>
      </c>
      <c r="B2738" s="2">
        <v>130</v>
      </c>
      <c r="C2738" s="2">
        <v>88</v>
      </c>
      <c r="D2738" s="2">
        <v>2.5199999999999999E-5</v>
      </c>
      <c r="E2738" s="2" t="s">
        <v>2738</v>
      </c>
      <c r="F2738" s="2">
        <v>2.5199999999999999E-5</v>
      </c>
    </row>
    <row r="2739" spans="1:6" x14ac:dyDescent="0.25">
      <c r="A2739" s="1">
        <v>88219</v>
      </c>
      <c r="B2739" s="2">
        <v>131</v>
      </c>
      <c r="C2739" s="2">
        <v>88</v>
      </c>
      <c r="D2739" s="2">
        <v>0.01</v>
      </c>
      <c r="E2739" s="2" t="s">
        <v>2739</v>
      </c>
      <c r="F2739" s="2">
        <v>0.01</v>
      </c>
    </row>
    <row r="2740" spans="1:6" x14ac:dyDescent="0.25">
      <c r="A2740" s="1">
        <v>88220</v>
      </c>
      <c r="B2740" s="2">
        <v>132</v>
      </c>
      <c r="C2740" s="2">
        <v>88</v>
      </c>
      <c r="D2740" s="2">
        <v>1.7999999999999999E-2</v>
      </c>
      <c r="E2740" s="2" t="s">
        <v>2740</v>
      </c>
      <c r="F2740" s="2">
        <v>1.7999999999999999E-2</v>
      </c>
    </row>
    <row r="2741" spans="1:6" x14ac:dyDescent="0.25">
      <c r="A2741" s="1">
        <v>88221</v>
      </c>
      <c r="B2741" s="2">
        <v>133</v>
      </c>
      <c r="C2741" s="2">
        <v>88</v>
      </c>
      <c r="D2741" s="2">
        <v>28</v>
      </c>
      <c r="E2741" s="2" t="s">
        <v>2741</v>
      </c>
      <c r="F2741" s="2">
        <v>28</v>
      </c>
    </row>
    <row r="2742" spans="1:6" x14ac:dyDescent="0.25">
      <c r="A2742" s="1">
        <v>88222</v>
      </c>
      <c r="B2742" s="2">
        <v>134</v>
      </c>
      <c r="C2742" s="2">
        <v>88</v>
      </c>
      <c r="D2742" s="2">
        <v>38</v>
      </c>
      <c r="E2742" s="2" t="s">
        <v>2742</v>
      </c>
      <c r="F2742" s="2">
        <v>38</v>
      </c>
    </row>
    <row r="2743" spans="1:6" x14ac:dyDescent="0.25">
      <c r="A2743" s="1">
        <v>88223</v>
      </c>
      <c r="B2743" s="2">
        <v>135</v>
      </c>
      <c r="C2743" s="2">
        <v>88</v>
      </c>
      <c r="D2743" s="2">
        <v>987552</v>
      </c>
      <c r="E2743" s="2" t="s">
        <v>2743</v>
      </c>
      <c r="F2743" s="2">
        <v>987552</v>
      </c>
    </row>
    <row r="2744" spans="1:6" x14ac:dyDescent="0.25">
      <c r="A2744" s="1">
        <v>88224</v>
      </c>
      <c r="B2744" s="2">
        <v>136</v>
      </c>
      <c r="C2744" s="2">
        <v>88</v>
      </c>
      <c r="D2744" s="2">
        <v>313796.15999999997</v>
      </c>
      <c r="E2744" s="2" t="s">
        <v>2744</v>
      </c>
      <c r="F2744" s="2">
        <v>313796.15999999997</v>
      </c>
    </row>
    <row r="2745" spans="1:6" x14ac:dyDescent="0.25">
      <c r="A2745" s="1">
        <v>88225</v>
      </c>
      <c r="B2745" s="2">
        <v>137</v>
      </c>
      <c r="C2745" s="2">
        <v>88</v>
      </c>
      <c r="D2745" s="2">
        <v>1287360</v>
      </c>
      <c r="E2745" s="2" t="s">
        <v>2745</v>
      </c>
      <c r="F2745" s="2">
        <v>1287360</v>
      </c>
    </row>
    <row r="2746" spans="1:6" x14ac:dyDescent="0.25">
      <c r="A2746" s="1">
        <v>88226</v>
      </c>
      <c r="B2746" s="2">
        <v>138</v>
      </c>
      <c r="C2746" s="2">
        <v>88</v>
      </c>
      <c r="D2746" s="2">
        <v>50492160000</v>
      </c>
      <c r="E2746" s="2" t="s">
        <v>2746</v>
      </c>
      <c r="F2746" s="2">
        <v>50492160000</v>
      </c>
    </row>
    <row r="2747" spans="1:6" x14ac:dyDescent="0.25">
      <c r="A2747" s="1">
        <v>88227</v>
      </c>
      <c r="B2747" s="2">
        <v>139</v>
      </c>
      <c r="C2747" s="2">
        <v>88</v>
      </c>
      <c r="D2747" s="2">
        <v>2532</v>
      </c>
      <c r="E2747" s="2" t="s">
        <v>2747</v>
      </c>
      <c r="F2747" s="2">
        <v>2532</v>
      </c>
    </row>
    <row r="2748" spans="1:6" x14ac:dyDescent="0.25">
      <c r="A2748" s="1">
        <v>88228</v>
      </c>
      <c r="B2748" s="2">
        <v>140</v>
      </c>
      <c r="C2748" s="2">
        <v>88</v>
      </c>
      <c r="D2748" s="2">
        <v>181456200</v>
      </c>
      <c r="E2748" s="2" t="s">
        <v>2748</v>
      </c>
      <c r="F2748" s="2">
        <v>181456200</v>
      </c>
    </row>
    <row r="2749" spans="1:6" x14ac:dyDescent="0.25">
      <c r="A2749" s="1">
        <v>88229</v>
      </c>
      <c r="B2749" s="2">
        <v>141</v>
      </c>
      <c r="C2749" s="2">
        <v>88</v>
      </c>
      <c r="D2749" s="2">
        <v>240</v>
      </c>
      <c r="E2749" s="2" t="s">
        <v>2749</v>
      </c>
      <c r="F2749" s="2">
        <v>240</v>
      </c>
    </row>
    <row r="2750" spans="1:6" x14ac:dyDescent="0.25">
      <c r="A2750" s="1">
        <v>88230</v>
      </c>
      <c r="B2750" s="2">
        <v>142</v>
      </c>
      <c r="C2750" s="2">
        <v>88</v>
      </c>
      <c r="D2750" s="2">
        <v>5580</v>
      </c>
      <c r="E2750" s="2" t="s">
        <v>2750</v>
      </c>
      <c r="F2750" s="2">
        <v>5580</v>
      </c>
    </row>
    <row r="2751" spans="1:6" x14ac:dyDescent="0.25">
      <c r="A2751" s="1">
        <v>88231</v>
      </c>
      <c r="B2751" s="2">
        <v>143</v>
      </c>
      <c r="C2751" s="2">
        <v>88</v>
      </c>
      <c r="D2751" s="2">
        <v>104</v>
      </c>
      <c r="E2751" s="2" t="s">
        <v>2751</v>
      </c>
      <c r="F2751" s="2">
        <v>104</v>
      </c>
    </row>
    <row r="2752" spans="1:6" x14ac:dyDescent="0.25">
      <c r="A2752" s="1">
        <v>88232</v>
      </c>
      <c r="B2752" s="2">
        <v>144</v>
      </c>
      <c r="C2752" s="2">
        <v>88</v>
      </c>
      <c r="D2752" s="2">
        <v>252</v>
      </c>
      <c r="E2752" s="2" t="s">
        <v>2752</v>
      </c>
      <c r="F2752" s="2">
        <v>252</v>
      </c>
    </row>
    <row r="2753" spans="1:6" x14ac:dyDescent="0.25">
      <c r="A2753" s="1">
        <v>88233</v>
      </c>
      <c r="B2753" s="2">
        <v>145</v>
      </c>
      <c r="C2753" s="2">
        <v>88</v>
      </c>
      <c r="D2753" s="2">
        <v>30</v>
      </c>
      <c r="E2753" s="2" t="s">
        <v>2753</v>
      </c>
      <c r="F2753" s="2">
        <v>30</v>
      </c>
    </row>
    <row r="2754" spans="1:6" x14ac:dyDescent="0.25">
      <c r="A2754" s="1">
        <v>88234</v>
      </c>
      <c r="B2754" s="2">
        <v>146</v>
      </c>
      <c r="C2754" s="2">
        <v>88</v>
      </c>
      <c r="D2754" s="2">
        <v>30</v>
      </c>
      <c r="E2754" s="2" t="s">
        <v>2754</v>
      </c>
      <c r="F2754" s="2">
        <v>30</v>
      </c>
    </row>
    <row r="2755" spans="1:6" x14ac:dyDescent="0.25">
      <c r="A2755" s="1">
        <v>89205</v>
      </c>
      <c r="B2755" s="2">
        <v>116</v>
      </c>
      <c r="C2755" s="2">
        <v>89</v>
      </c>
      <c r="D2755" s="2">
        <v>0.02</v>
      </c>
      <c r="E2755" s="2" t="s">
        <v>2755</v>
      </c>
      <c r="F2755" s="2">
        <v>0.02</v>
      </c>
    </row>
    <row r="2756" spans="1:6" x14ac:dyDescent="0.25">
      <c r="A2756" s="1">
        <v>89206</v>
      </c>
      <c r="B2756" s="2">
        <v>117</v>
      </c>
      <c r="C2756" s="2">
        <v>89</v>
      </c>
      <c r="D2756" s="2">
        <v>2.1999999999999999E-2</v>
      </c>
      <c r="E2756" s="2" t="s">
        <v>2756</v>
      </c>
      <c r="F2756" s="2">
        <v>2.1999999999999999E-2</v>
      </c>
    </row>
    <row r="2757" spans="1:6" x14ac:dyDescent="0.25">
      <c r="A2757" s="1">
        <v>89207</v>
      </c>
      <c r="B2757" s="2">
        <v>118</v>
      </c>
      <c r="C2757" s="2">
        <v>89</v>
      </c>
      <c r="D2757" s="2">
        <v>2.7E-2</v>
      </c>
      <c r="E2757" s="2" t="s">
        <v>2757</v>
      </c>
      <c r="F2757" s="2">
        <v>2.7E-2</v>
      </c>
    </row>
    <row r="2758" spans="1:6" x14ac:dyDescent="0.25">
      <c r="A2758" s="1">
        <v>89208</v>
      </c>
      <c r="B2758" s="2">
        <v>119</v>
      </c>
      <c r="C2758" s="2">
        <v>89</v>
      </c>
      <c r="D2758" s="2">
        <v>9.5000000000000001E-2</v>
      </c>
      <c r="E2758" s="2" t="s">
        <v>2758</v>
      </c>
      <c r="F2758" s="2">
        <v>9.5000000000000001E-2</v>
      </c>
    </row>
    <row r="2759" spans="1:6" x14ac:dyDescent="0.25">
      <c r="A2759" s="1">
        <v>89209</v>
      </c>
      <c r="B2759" s="2">
        <v>120</v>
      </c>
      <c r="C2759" s="2">
        <v>89</v>
      </c>
      <c r="D2759" s="2">
        <v>8.6999999999999994E-2</v>
      </c>
      <c r="E2759" s="2" t="s">
        <v>2759</v>
      </c>
      <c r="F2759" s="2">
        <v>8.6999999999999994E-2</v>
      </c>
    </row>
    <row r="2760" spans="1:6" x14ac:dyDescent="0.25">
      <c r="A2760" s="1">
        <v>89210</v>
      </c>
      <c r="B2760" s="2">
        <v>121</v>
      </c>
      <c r="C2760" s="2">
        <v>89</v>
      </c>
      <c r="D2760" s="2">
        <v>0.35</v>
      </c>
      <c r="E2760" s="2" t="s">
        <v>2760</v>
      </c>
      <c r="F2760" s="2">
        <v>0.35</v>
      </c>
    </row>
    <row r="2761" spans="1:6" x14ac:dyDescent="0.25">
      <c r="A2761" s="1">
        <v>89211</v>
      </c>
      <c r="B2761" s="2">
        <v>122</v>
      </c>
      <c r="C2761" s="2">
        <v>89</v>
      </c>
      <c r="D2761" s="2">
        <v>0.21</v>
      </c>
      <c r="E2761" s="2" t="s">
        <v>2761</v>
      </c>
      <c r="F2761" s="2">
        <v>0.21</v>
      </c>
    </row>
    <row r="2762" spans="1:6" x14ac:dyDescent="0.25">
      <c r="A2762" s="1">
        <v>89212</v>
      </c>
      <c r="B2762" s="2">
        <v>123</v>
      </c>
      <c r="C2762" s="2">
        <v>89</v>
      </c>
      <c r="D2762" s="2">
        <v>0.93</v>
      </c>
      <c r="E2762" s="2" t="s">
        <v>2762</v>
      </c>
      <c r="F2762" s="2">
        <v>0.93</v>
      </c>
    </row>
    <row r="2763" spans="1:6" x14ac:dyDescent="0.25">
      <c r="A2763" s="1">
        <v>89213</v>
      </c>
      <c r="B2763" s="2">
        <v>124</v>
      </c>
      <c r="C2763" s="2">
        <v>89</v>
      </c>
      <c r="D2763" s="2">
        <v>0.73799999999999999</v>
      </c>
      <c r="E2763" s="2" t="s">
        <v>2763</v>
      </c>
      <c r="F2763" s="2">
        <v>0.73799999999999999</v>
      </c>
    </row>
    <row r="2764" spans="1:6" x14ac:dyDescent="0.25">
      <c r="A2764" s="1">
        <v>89214</v>
      </c>
      <c r="B2764" s="2">
        <v>125</v>
      </c>
      <c r="C2764" s="2">
        <v>89</v>
      </c>
      <c r="D2764" s="2">
        <v>8.1999999999999993</v>
      </c>
      <c r="E2764" s="2" t="s">
        <v>2764</v>
      </c>
      <c r="F2764" s="2">
        <v>8.1999999999999993</v>
      </c>
    </row>
    <row r="2765" spans="1:6" x14ac:dyDescent="0.25">
      <c r="A2765" s="1">
        <v>89215</v>
      </c>
      <c r="B2765" s="2">
        <v>126</v>
      </c>
      <c r="C2765" s="2">
        <v>89</v>
      </c>
      <c r="D2765" s="2">
        <v>0.17</v>
      </c>
      <c r="E2765" s="2" t="s">
        <v>2765</v>
      </c>
      <c r="F2765" s="2">
        <v>0.17</v>
      </c>
    </row>
    <row r="2766" spans="1:6" x14ac:dyDescent="0.25">
      <c r="A2766" s="1">
        <v>89216</v>
      </c>
      <c r="B2766" s="2">
        <v>127</v>
      </c>
      <c r="C2766" s="2">
        <v>89</v>
      </c>
      <c r="D2766" s="2">
        <v>4.3999999999999899E-4</v>
      </c>
      <c r="E2766" s="2" t="s">
        <v>2766</v>
      </c>
      <c r="F2766" s="2">
        <v>4.3999999999999899E-4</v>
      </c>
    </row>
    <row r="2767" spans="1:6" x14ac:dyDescent="0.25">
      <c r="A2767" s="1">
        <v>89217</v>
      </c>
      <c r="B2767" s="2">
        <v>128</v>
      </c>
      <c r="C2767" s="2">
        <v>89</v>
      </c>
      <c r="D2767" s="2">
        <v>6.8999999999999996E-8</v>
      </c>
      <c r="E2767" s="2" t="s">
        <v>2767</v>
      </c>
      <c r="F2767" s="2">
        <v>6.8999999999999996E-8</v>
      </c>
    </row>
    <row r="2768" spans="1:6" x14ac:dyDescent="0.25">
      <c r="A2768" s="1">
        <v>89218</v>
      </c>
      <c r="B2768" s="2">
        <v>129</v>
      </c>
      <c r="C2768" s="2">
        <v>89</v>
      </c>
      <c r="D2768" s="2">
        <v>1.08E-6</v>
      </c>
      <c r="E2768" s="2" t="s">
        <v>2768</v>
      </c>
      <c r="F2768" s="2">
        <v>1.08E-6</v>
      </c>
    </row>
    <row r="2769" spans="1:6" x14ac:dyDescent="0.25">
      <c r="A2769" s="1">
        <v>89219</v>
      </c>
      <c r="B2769" s="2">
        <v>130</v>
      </c>
      <c r="C2769" s="2">
        <v>89</v>
      </c>
      <c r="D2769" s="2">
        <v>1.1800000000000001E-5</v>
      </c>
      <c r="E2769" s="2" t="s">
        <v>2769</v>
      </c>
      <c r="F2769" s="2">
        <v>1.1800000000000001E-5</v>
      </c>
    </row>
    <row r="2770" spans="1:6" x14ac:dyDescent="0.25">
      <c r="A2770" s="1">
        <v>89220</v>
      </c>
      <c r="B2770" s="2">
        <v>131</v>
      </c>
      <c r="C2770" s="2">
        <v>89</v>
      </c>
      <c r="D2770" s="2">
        <v>2.64E-2</v>
      </c>
      <c r="E2770" s="2" t="s">
        <v>2770</v>
      </c>
      <c r="F2770" s="2">
        <v>2.64E-2</v>
      </c>
    </row>
    <row r="2771" spans="1:6" x14ac:dyDescent="0.25">
      <c r="A2771" s="1">
        <v>89221</v>
      </c>
      <c r="B2771" s="2">
        <v>132</v>
      </c>
      <c r="C2771" s="2">
        <v>89</v>
      </c>
      <c r="D2771" s="2">
        <v>5.1999999999999998E-2</v>
      </c>
      <c r="E2771" s="2" t="s">
        <v>2771</v>
      </c>
      <c r="F2771" s="2">
        <v>5.1999999999999998E-2</v>
      </c>
    </row>
    <row r="2772" spans="1:6" x14ac:dyDescent="0.25">
      <c r="A2772" s="1">
        <v>89222</v>
      </c>
      <c r="B2772" s="2">
        <v>133</v>
      </c>
      <c r="C2772" s="2">
        <v>89</v>
      </c>
      <c r="D2772" s="2">
        <v>5</v>
      </c>
      <c r="E2772" s="2" t="s">
        <v>2772</v>
      </c>
      <c r="F2772" s="2">
        <v>5</v>
      </c>
    </row>
    <row r="2773" spans="1:6" x14ac:dyDescent="0.25">
      <c r="A2773" s="1">
        <v>89223</v>
      </c>
      <c r="B2773" s="2">
        <v>134</v>
      </c>
      <c r="C2773" s="2">
        <v>89</v>
      </c>
      <c r="D2773" s="2">
        <v>126</v>
      </c>
      <c r="E2773" s="2" t="s">
        <v>2773</v>
      </c>
      <c r="F2773" s="2">
        <v>126</v>
      </c>
    </row>
    <row r="2774" spans="1:6" x14ac:dyDescent="0.25">
      <c r="A2774" s="1">
        <v>89224</v>
      </c>
      <c r="B2774" s="2">
        <v>135</v>
      </c>
      <c r="C2774" s="2">
        <v>89</v>
      </c>
      <c r="D2774" s="2">
        <v>10008</v>
      </c>
      <c r="E2774" s="2" t="s">
        <v>2774</v>
      </c>
      <c r="F2774" s="2">
        <v>10008</v>
      </c>
    </row>
    <row r="2775" spans="1:6" x14ac:dyDescent="0.25">
      <c r="A2775" s="1">
        <v>89225</v>
      </c>
      <c r="B2775" s="2">
        <v>136</v>
      </c>
      <c r="C2775" s="2">
        <v>89</v>
      </c>
      <c r="D2775" s="2">
        <v>857088</v>
      </c>
      <c r="E2775" s="2" t="s">
        <v>2775</v>
      </c>
      <c r="F2775" s="2">
        <v>857088</v>
      </c>
    </row>
    <row r="2776" spans="1:6" x14ac:dyDescent="0.25">
      <c r="A2776" s="1">
        <v>89226</v>
      </c>
      <c r="B2776" s="2">
        <v>137</v>
      </c>
      <c r="C2776" s="2">
        <v>89</v>
      </c>
      <c r="D2776" s="2">
        <v>105732</v>
      </c>
      <c r="E2776" s="2" t="s">
        <v>2776</v>
      </c>
      <c r="F2776" s="2">
        <v>105732</v>
      </c>
    </row>
    <row r="2777" spans="1:6" x14ac:dyDescent="0.25">
      <c r="A2777" s="1">
        <v>89227</v>
      </c>
      <c r="B2777" s="2">
        <v>138</v>
      </c>
      <c r="C2777" s="2">
        <v>89</v>
      </c>
      <c r="D2777" s="2">
        <v>687072067.19999897</v>
      </c>
      <c r="E2777" s="2" t="s">
        <v>2777</v>
      </c>
      <c r="F2777" s="2">
        <v>687072067.19999897</v>
      </c>
    </row>
    <row r="2778" spans="1:6" x14ac:dyDescent="0.25">
      <c r="A2778" s="1">
        <v>89228</v>
      </c>
      <c r="B2778" s="2">
        <v>139</v>
      </c>
      <c r="C2778" s="2">
        <v>89</v>
      </c>
      <c r="D2778" s="2">
        <v>22140</v>
      </c>
      <c r="E2778" s="2" t="s">
        <v>2778</v>
      </c>
      <c r="F2778" s="2">
        <v>22140</v>
      </c>
    </row>
    <row r="2779" spans="1:6" x14ac:dyDescent="0.25">
      <c r="A2779" s="1">
        <v>89229</v>
      </c>
      <c r="B2779" s="2">
        <v>140</v>
      </c>
      <c r="C2779" s="2">
        <v>89</v>
      </c>
      <c r="D2779" s="2">
        <v>3762</v>
      </c>
      <c r="E2779" s="2" t="s">
        <v>2779</v>
      </c>
      <c r="F2779" s="2">
        <v>3762</v>
      </c>
    </row>
    <row r="2780" spans="1:6" x14ac:dyDescent="0.25">
      <c r="A2780" s="1">
        <v>89230</v>
      </c>
      <c r="B2780" s="2">
        <v>141</v>
      </c>
      <c r="C2780" s="2">
        <v>89</v>
      </c>
      <c r="D2780" s="2">
        <v>122</v>
      </c>
      <c r="E2780" s="2" t="s">
        <v>2780</v>
      </c>
      <c r="F2780" s="2">
        <v>122</v>
      </c>
    </row>
    <row r="2781" spans="1:6" x14ac:dyDescent="0.25">
      <c r="A2781" s="1">
        <v>89231</v>
      </c>
      <c r="B2781" s="2">
        <v>142</v>
      </c>
      <c r="C2781" s="2">
        <v>89</v>
      </c>
      <c r="D2781" s="2">
        <v>450</v>
      </c>
      <c r="E2781" s="2" t="s">
        <v>2781</v>
      </c>
      <c r="F2781" s="2">
        <v>450</v>
      </c>
    </row>
    <row r="2782" spans="1:6" x14ac:dyDescent="0.25">
      <c r="A2782" s="1">
        <v>89232</v>
      </c>
      <c r="B2782" s="2">
        <v>143</v>
      </c>
      <c r="C2782" s="2">
        <v>89</v>
      </c>
      <c r="D2782" s="2">
        <v>119</v>
      </c>
      <c r="E2782" s="2" t="s">
        <v>2782</v>
      </c>
      <c r="F2782" s="2">
        <v>119</v>
      </c>
    </row>
    <row r="2783" spans="1:6" x14ac:dyDescent="0.25">
      <c r="A2783" s="1">
        <v>89233</v>
      </c>
      <c r="B2783" s="2">
        <v>144</v>
      </c>
      <c r="C2783" s="2">
        <v>89</v>
      </c>
      <c r="D2783" s="2">
        <v>145</v>
      </c>
      <c r="E2783" s="2" t="s">
        <v>2783</v>
      </c>
      <c r="F2783" s="2">
        <v>145</v>
      </c>
    </row>
    <row r="2784" spans="1:6" x14ac:dyDescent="0.25">
      <c r="A2784" s="1">
        <v>89234</v>
      </c>
      <c r="B2784" s="2">
        <v>145</v>
      </c>
      <c r="C2784" s="2">
        <v>89</v>
      </c>
      <c r="D2784" s="2">
        <v>44</v>
      </c>
      <c r="E2784" s="2" t="s">
        <v>2784</v>
      </c>
      <c r="F2784" s="2">
        <v>44</v>
      </c>
    </row>
    <row r="2785" spans="1:6" x14ac:dyDescent="0.25">
      <c r="A2785" s="1">
        <v>89235</v>
      </c>
      <c r="B2785" s="2">
        <v>146</v>
      </c>
      <c r="C2785" s="2">
        <v>89</v>
      </c>
      <c r="D2785" s="2">
        <v>62</v>
      </c>
      <c r="E2785" s="2" t="s">
        <v>2785</v>
      </c>
      <c r="F2785" s="2">
        <v>62</v>
      </c>
    </row>
    <row r="2786" spans="1:6" x14ac:dyDescent="0.25">
      <c r="A2786" s="1">
        <v>89236</v>
      </c>
      <c r="B2786" s="2">
        <v>147</v>
      </c>
      <c r="C2786" s="2">
        <v>89</v>
      </c>
      <c r="D2786" s="2">
        <v>72</v>
      </c>
      <c r="E2786" s="2" t="s">
        <v>2786</v>
      </c>
      <c r="F2786" s="2">
        <v>72</v>
      </c>
    </row>
    <row r="2787" spans="1:6" x14ac:dyDescent="0.25">
      <c r="A2787" s="1">
        <v>90208</v>
      </c>
      <c r="B2787" s="2">
        <v>118</v>
      </c>
      <c r="C2787" s="2">
        <v>90</v>
      </c>
      <c r="D2787" s="2">
        <v>1.6999999999999999E-3</v>
      </c>
      <c r="E2787" s="2" t="s">
        <v>2787</v>
      </c>
      <c r="F2787" s="2">
        <v>1.6999999999999999E-3</v>
      </c>
    </row>
    <row r="2788" spans="1:6" x14ac:dyDescent="0.25">
      <c r="A2788" s="1">
        <v>90209</v>
      </c>
      <c r="B2788" s="2">
        <v>119</v>
      </c>
      <c r="C2788" s="2">
        <v>90</v>
      </c>
      <c r="D2788" s="2">
        <v>2.5000000000000001E-3</v>
      </c>
      <c r="E2788" s="2" t="s">
        <v>2788</v>
      </c>
      <c r="F2788" s="2">
        <v>2.5000000000000001E-3</v>
      </c>
    </row>
    <row r="2789" spans="1:6" x14ac:dyDescent="0.25">
      <c r="A2789" s="1">
        <v>90210</v>
      </c>
      <c r="B2789" s="2">
        <v>120</v>
      </c>
      <c r="C2789" s="2">
        <v>90</v>
      </c>
      <c r="D2789" s="2">
        <v>1.6E-2</v>
      </c>
      <c r="E2789" s="2" t="s">
        <v>2789</v>
      </c>
      <c r="F2789" s="2">
        <v>1.6E-2</v>
      </c>
    </row>
    <row r="2790" spans="1:6" x14ac:dyDescent="0.25">
      <c r="A2790" s="1">
        <v>90211</v>
      </c>
      <c r="B2790" s="2">
        <v>121</v>
      </c>
      <c r="C2790" s="2">
        <v>90</v>
      </c>
      <c r="D2790" s="2">
        <v>3.6999999999999998E-2</v>
      </c>
      <c r="E2790" s="2" t="s">
        <v>2790</v>
      </c>
      <c r="F2790" s="2">
        <v>3.6999999999999998E-2</v>
      </c>
    </row>
    <row r="2791" spans="1:6" x14ac:dyDescent="0.25">
      <c r="A2791" s="1">
        <v>90212</v>
      </c>
      <c r="B2791" s="2">
        <v>122</v>
      </c>
      <c r="C2791" s="2">
        <v>90</v>
      </c>
      <c r="D2791" s="2">
        <v>3.1699999999999999E-2</v>
      </c>
      <c r="E2791" s="2" t="s">
        <v>2791</v>
      </c>
      <c r="F2791" s="2">
        <v>3.1699999999999999E-2</v>
      </c>
    </row>
    <row r="2792" spans="1:6" x14ac:dyDescent="0.25">
      <c r="A2792" s="1">
        <v>90213</v>
      </c>
      <c r="B2792" s="2">
        <v>123</v>
      </c>
      <c r="C2792" s="2">
        <v>90</v>
      </c>
      <c r="D2792" s="2">
        <v>0.14399999999999999</v>
      </c>
      <c r="E2792" s="2" t="s">
        <v>2792</v>
      </c>
      <c r="F2792" s="2">
        <v>0.14399999999999999</v>
      </c>
    </row>
    <row r="2793" spans="1:6" x14ac:dyDescent="0.25">
      <c r="A2793" s="1">
        <v>90214</v>
      </c>
      <c r="B2793" s="2">
        <v>124</v>
      </c>
      <c r="C2793" s="2">
        <v>90</v>
      </c>
      <c r="D2793" s="2">
        <v>8.6999999999999994E-2</v>
      </c>
      <c r="E2793" s="2" t="s">
        <v>2793</v>
      </c>
      <c r="F2793" s="2">
        <v>8.6999999999999994E-2</v>
      </c>
    </row>
    <row r="2794" spans="1:6" x14ac:dyDescent="0.25">
      <c r="A2794" s="1">
        <v>90215</v>
      </c>
      <c r="B2794" s="2">
        <v>125</v>
      </c>
      <c r="C2794" s="2">
        <v>90</v>
      </c>
      <c r="D2794" s="2">
        <v>1.2</v>
      </c>
      <c r="E2794" s="2" t="s">
        <v>2794</v>
      </c>
      <c r="F2794" s="2">
        <v>1.2</v>
      </c>
    </row>
    <row r="2795" spans="1:6" x14ac:dyDescent="0.25">
      <c r="A2795" s="1">
        <v>90216</v>
      </c>
      <c r="B2795" s="2">
        <v>126</v>
      </c>
      <c r="C2795" s="2">
        <v>90</v>
      </c>
      <c r="D2795" s="2">
        <v>2.5999999999999999E-2</v>
      </c>
      <c r="E2795" s="2" t="s">
        <v>2795</v>
      </c>
      <c r="F2795" s="2">
        <v>2.5999999999999999E-2</v>
      </c>
    </row>
    <row r="2796" spans="1:6" x14ac:dyDescent="0.25">
      <c r="A2796" s="1">
        <v>90217</v>
      </c>
      <c r="B2796" s="2">
        <v>127</v>
      </c>
      <c r="C2796" s="2">
        <v>90</v>
      </c>
      <c r="D2796" s="2">
        <v>2.41E-4</v>
      </c>
      <c r="E2796" s="2" t="s">
        <v>2796</v>
      </c>
      <c r="F2796" s="2">
        <v>2.41E-4</v>
      </c>
    </row>
    <row r="2797" spans="1:6" x14ac:dyDescent="0.25">
      <c r="A2797" s="1">
        <v>90218</v>
      </c>
      <c r="B2797" s="2">
        <v>128</v>
      </c>
      <c r="C2797" s="2">
        <v>90</v>
      </c>
      <c r="D2797" s="2">
        <v>1.17E-7</v>
      </c>
      <c r="E2797" s="2" t="s">
        <v>2797</v>
      </c>
      <c r="F2797" s="2">
        <v>1.17E-7</v>
      </c>
    </row>
    <row r="2798" spans="1:6" x14ac:dyDescent="0.25">
      <c r="A2798" s="1">
        <v>90219</v>
      </c>
      <c r="B2798" s="2">
        <v>129</v>
      </c>
      <c r="C2798" s="2">
        <v>90</v>
      </c>
      <c r="D2798" s="2">
        <v>1.0499999999999999E-6</v>
      </c>
      <c r="E2798" s="2" t="s">
        <v>2798</v>
      </c>
      <c r="F2798" s="2">
        <v>1.0499999999999999E-6</v>
      </c>
    </row>
    <row r="2799" spans="1:6" x14ac:dyDescent="0.25">
      <c r="A2799" s="1">
        <v>90220</v>
      </c>
      <c r="B2799" s="2">
        <v>130</v>
      </c>
      <c r="C2799" s="2">
        <v>90</v>
      </c>
      <c r="D2799" s="2">
        <v>9.6999999999999901E-6</v>
      </c>
      <c r="E2799" s="2" t="s">
        <v>2799</v>
      </c>
      <c r="F2799" s="2">
        <v>9.6999999999999901E-6</v>
      </c>
    </row>
    <row r="2800" spans="1:6" x14ac:dyDescent="0.25">
      <c r="A2800" s="1">
        <v>90221</v>
      </c>
      <c r="B2800" s="2">
        <v>131</v>
      </c>
      <c r="C2800" s="2">
        <v>90</v>
      </c>
      <c r="D2800" s="2">
        <v>1.6800000000000001E-3</v>
      </c>
      <c r="E2800" s="2" t="s">
        <v>2800</v>
      </c>
      <c r="F2800" s="2">
        <v>1.6800000000000001E-3</v>
      </c>
    </row>
    <row r="2801" spans="1:6" x14ac:dyDescent="0.25">
      <c r="A2801" s="1">
        <v>90222</v>
      </c>
      <c r="B2801" s="2">
        <v>132</v>
      </c>
      <c r="C2801" s="2">
        <v>90</v>
      </c>
      <c r="D2801" s="2">
        <v>2.8E-3</v>
      </c>
      <c r="E2801" s="2" t="s">
        <v>2801</v>
      </c>
      <c r="F2801" s="2">
        <v>2.8E-3</v>
      </c>
    </row>
    <row r="2802" spans="1:6" x14ac:dyDescent="0.25">
      <c r="A2802" s="1">
        <v>90223</v>
      </c>
      <c r="B2802" s="2">
        <v>133</v>
      </c>
      <c r="C2802" s="2">
        <v>90</v>
      </c>
      <c r="D2802" s="2">
        <v>0.6</v>
      </c>
      <c r="E2802" s="2" t="s">
        <v>2802</v>
      </c>
      <c r="F2802" s="2">
        <v>0.6</v>
      </c>
    </row>
    <row r="2803" spans="1:6" x14ac:dyDescent="0.25">
      <c r="A2803" s="1">
        <v>90224</v>
      </c>
      <c r="B2803" s="2">
        <v>134</v>
      </c>
      <c r="C2803" s="2">
        <v>90</v>
      </c>
      <c r="D2803" s="2">
        <v>1.04</v>
      </c>
      <c r="E2803" s="2" t="s">
        <v>2803</v>
      </c>
      <c r="F2803" s="2">
        <v>1.04</v>
      </c>
    </row>
    <row r="2804" spans="1:6" x14ac:dyDescent="0.25">
      <c r="A2804" s="1">
        <v>90225</v>
      </c>
      <c r="B2804" s="2">
        <v>135</v>
      </c>
      <c r="C2804" s="2">
        <v>90</v>
      </c>
      <c r="D2804" s="2">
        <v>525</v>
      </c>
      <c r="E2804" s="2" t="s">
        <v>2804</v>
      </c>
      <c r="F2804" s="2">
        <v>525</v>
      </c>
    </row>
    <row r="2805" spans="1:6" x14ac:dyDescent="0.25">
      <c r="A2805" s="1">
        <v>90226</v>
      </c>
      <c r="B2805" s="2">
        <v>136</v>
      </c>
      <c r="C2805" s="2">
        <v>90</v>
      </c>
      <c r="D2805" s="2">
        <v>1834.2</v>
      </c>
      <c r="E2805" s="2" t="s">
        <v>2805</v>
      </c>
      <c r="F2805" s="2">
        <v>1834.2</v>
      </c>
    </row>
    <row r="2806" spans="1:6" x14ac:dyDescent="0.25">
      <c r="A2806" s="1">
        <v>90227</v>
      </c>
      <c r="B2806" s="2">
        <v>137</v>
      </c>
      <c r="C2806" s="2">
        <v>90</v>
      </c>
      <c r="D2806" s="2">
        <v>1615420.79999999</v>
      </c>
      <c r="E2806" s="2" t="s">
        <v>2806</v>
      </c>
      <c r="F2806" s="2">
        <v>1615420.79999999</v>
      </c>
    </row>
    <row r="2807" spans="1:6" x14ac:dyDescent="0.25">
      <c r="A2807" s="1">
        <v>90228</v>
      </c>
      <c r="B2807" s="2">
        <v>138</v>
      </c>
      <c r="C2807" s="2">
        <v>90</v>
      </c>
      <c r="D2807" s="2">
        <v>60353910</v>
      </c>
      <c r="E2807" s="2" t="s">
        <v>2807</v>
      </c>
      <c r="F2807" s="2">
        <v>60353910</v>
      </c>
    </row>
    <row r="2808" spans="1:6" x14ac:dyDescent="0.25">
      <c r="A2808" s="1">
        <v>90229</v>
      </c>
      <c r="B2808" s="2">
        <v>139</v>
      </c>
      <c r="C2808" s="2">
        <v>90</v>
      </c>
      <c r="D2808" s="2">
        <v>250314883200</v>
      </c>
      <c r="E2808" s="2" t="s">
        <v>2808</v>
      </c>
      <c r="F2808" s="2">
        <v>250314883200</v>
      </c>
    </row>
    <row r="2809" spans="1:6" x14ac:dyDescent="0.25">
      <c r="A2809" s="1">
        <v>90230</v>
      </c>
      <c r="B2809" s="2">
        <v>140</v>
      </c>
      <c r="C2809" s="2">
        <v>90</v>
      </c>
      <c r="D2809" s="2">
        <v>2379443040000</v>
      </c>
      <c r="E2809" s="2" t="s">
        <v>2809</v>
      </c>
      <c r="F2809" s="2">
        <v>2379443040000</v>
      </c>
    </row>
    <row r="2810" spans="1:6" x14ac:dyDescent="0.25">
      <c r="A2810" s="1">
        <v>90231</v>
      </c>
      <c r="B2810" s="2">
        <v>141</v>
      </c>
      <c r="C2810" s="2">
        <v>90</v>
      </c>
      <c r="D2810" s="2">
        <v>91872</v>
      </c>
      <c r="E2810" s="2" t="s">
        <v>2810</v>
      </c>
      <c r="F2810" s="2">
        <v>91872</v>
      </c>
    </row>
    <row r="2811" spans="1:6" x14ac:dyDescent="0.25">
      <c r="A2811" s="1">
        <v>90232</v>
      </c>
      <c r="B2811" s="2">
        <v>142</v>
      </c>
      <c r="C2811" s="2">
        <v>90</v>
      </c>
      <c r="D2811" s="2">
        <v>4.418064E+17</v>
      </c>
      <c r="E2811" s="2" t="s">
        <v>2811</v>
      </c>
      <c r="F2811" s="2">
        <v>4.418064E+17</v>
      </c>
    </row>
    <row r="2812" spans="1:6" x14ac:dyDescent="0.25">
      <c r="A2812" s="1">
        <v>90233</v>
      </c>
      <c r="B2812" s="2">
        <v>143</v>
      </c>
      <c r="C2812" s="2">
        <v>90</v>
      </c>
      <c r="D2812" s="2">
        <v>1309.8</v>
      </c>
      <c r="E2812" s="2" t="s">
        <v>2812</v>
      </c>
      <c r="F2812" s="2">
        <v>1309.8</v>
      </c>
    </row>
    <row r="2813" spans="1:6" x14ac:dyDescent="0.25">
      <c r="A2813" s="1">
        <v>90234</v>
      </c>
      <c r="B2813" s="2">
        <v>144</v>
      </c>
      <c r="C2813" s="2">
        <v>90</v>
      </c>
      <c r="D2813" s="2">
        <v>2082240</v>
      </c>
      <c r="E2813" s="2" t="s">
        <v>2813</v>
      </c>
      <c r="F2813" s="2">
        <v>2082240</v>
      </c>
    </row>
    <row r="2814" spans="1:6" x14ac:dyDescent="0.25">
      <c r="A2814" s="1">
        <v>90235</v>
      </c>
      <c r="B2814" s="2">
        <v>145</v>
      </c>
      <c r="C2814" s="2">
        <v>90</v>
      </c>
      <c r="D2814" s="2">
        <v>426</v>
      </c>
      <c r="E2814" s="2" t="s">
        <v>2814</v>
      </c>
      <c r="F2814" s="2">
        <v>426</v>
      </c>
    </row>
    <row r="2815" spans="1:6" x14ac:dyDescent="0.25">
      <c r="A2815" s="1">
        <v>90236</v>
      </c>
      <c r="B2815" s="2">
        <v>146</v>
      </c>
      <c r="C2815" s="2">
        <v>90</v>
      </c>
      <c r="D2815" s="2">
        <v>2238</v>
      </c>
      <c r="E2815" s="2" t="s">
        <v>2815</v>
      </c>
      <c r="F2815" s="2">
        <v>2238</v>
      </c>
    </row>
    <row r="2816" spans="1:6" x14ac:dyDescent="0.25">
      <c r="A2816" s="1">
        <v>90237</v>
      </c>
      <c r="B2816" s="2">
        <v>147</v>
      </c>
      <c r="C2816" s="2">
        <v>90</v>
      </c>
      <c r="D2816" s="2">
        <v>282</v>
      </c>
      <c r="E2816" s="2" t="s">
        <v>2816</v>
      </c>
      <c r="F2816" s="2">
        <v>282</v>
      </c>
    </row>
    <row r="2817" spans="1:6" x14ac:dyDescent="0.25">
      <c r="A2817" s="1">
        <v>90238</v>
      </c>
      <c r="B2817" s="2">
        <v>148</v>
      </c>
      <c r="C2817" s="2">
        <v>90</v>
      </c>
      <c r="D2817" s="2">
        <v>564</v>
      </c>
      <c r="E2817" s="2" t="s">
        <v>2817</v>
      </c>
      <c r="F2817" s="2">
        <v>564</v>
      </c>
    </row>
    <row r="2818" spans="1:6" x14ac:dyDescent="0.25">
      <c r="A2818" s="1">
        <v>91211</v>
      </c>
      <c r="B2818" s="2">
        <v>120</v>
      </c>
      <c r="C2818" s="2">
        <v>91</v>
      </c>
      <c r="D2818" s="2">
        <v>2.9999999999999999E-7</v>
      </c>
      <c r="E2818" s="2" t="s">
        <v>2818</v>
      </c>
      <c r="F2818" s="2">
        <v>2.9999999999999999E-7</v>
      </c>
    </row>
    <row r="2819" spans="1:6" x14ac:dyDescent="0.25">
      <c r="A2819" s="1">
        <v>91212</v>
      </c>
      <c r="B2819" s="2">
        <v>121</v>
      </c>
      <c r="C2819" s="2">
        <v>91</v>
      </c>
      <c r="D2819" s="2">
        <v>5.09999999999999E-3</v>
      </c>
      <c r="E2819" s="2" t="s">
        <v>2819</v>
      </c>
      <c r="F2819" s="2">
        <v>5.09999999999999E-3</v>
      </c>
    </row>
    <row r="2820" spans="1:6" x14ac:dyDescent="0.25">
      <c r="A2820" s="1">
        <v>91213</v>
      </c>
      <c r="B2820" s="2">
        <v>122</v>
      </c>
      <c r="C2820" s="2">
        <v>91</v>
      </c>
      <c r="D2820" s="2">
        <v>5.3E-3</v>
      </c>
      <c r="E2820" s="2" t="s">
        <v>2820</v>
      </c>
      <c r="F2820" s="2">
        <v>5.3E-3</v>
      </c>
    </row>
    <row r="2821" spans="1:6" x14ac:dyDescent="0.25">
      <c r="A2821" s="1">
        <v>91214</v>
      </c>
      <c r="B2821" s="2">
        <v>123</v>
      </c>
      <c r="C2821" s="2">
        <v>91</v>
      </c>
      <c r="D2821" s="2">
        <v>1.7000000000000001E-2</v>
      </c>
      <c r="E2821" s="2" t="s">
        <v>2821</v>
      </c>
      <c r="F2821" s="2">
        <v>1.7000000000000001E-2</v>
      </c>
    </row>
    <row r="2822" spans="1:6" x14ac:dyDescent="0.25">
      <c r="A2822" s="1">
        <v>91215</v>
      </c>
      <c r="B2822" s="2">
        <v>124</v>
      </c>
      <c r="C2822" s="2">
        <v>91</v>
      </c>
      <c r="D2822" s="2">
        <v>1.4E-2</v>
      </c>
      <c r="E2822" s="2" t="s">
        <v>2822</v>
      </c>
      <c r="F2822" s="2">
        <v>1.4E-2</v>
      </c>
    </row>
    <row r="2823" spans="1:6" x14ac:dyDescent="0.25">
      <c r="A2823" s="1">
        <v>91216</v>
      </c>
      <c r="B2823" s="2">
        <v>125</v>
      </c>
      <c r="C2823" s="2">
        <v>91</v>
      </c>
      <c r="D2823" s="2">
        <v>0.15</v>
      </c>
      <c r="E2823" s="2" t="s">
        <v>2823</v>
      </c>
      <c r="F2823" s="2">
        <v>0.15</v>
      </c>
    </row>
    <row r="2824" spans="1:6" x14ac:dyDescent="0.25">
      <c r="A2824" s="1">
        <v>91217</v>
      </c>
      <c r="B2824" s="2">
        <v>126</v>
      </c>
      <c r="C2824" s="2">
        <v>91</v>
      </c>
      <c r="D2824" s="2">
        <v>3.5999999999999999E-3</v>
      </c>
      <c r="E2824" s="2" t="s">
        <v>2824</v>
      </c>
      <c r="F2824" s="2">
        <v>3.5999999999999999E-3</v>
      </c>
    </row>
    <row r="2825" spans="1:6" x14ac:dyDescent="0.25">
      <c r="A2825" s="1">
        <v>91218</v>
      </c>
      <c r="B2825" s="2">
        <v>127</v>
      </c>
      <c r="C2825" s="2">
        <v>91</v>
      </c>
      <c r="D2825" s="2">
        <v>1.13E-4</v>
      </c>
      <c r="E2825" s="2" t="s">
        <v>2825</v>
      </c>
      <c r="F2825" s="2">
        <v>1.13E-4</v>
      </c>
    </row>
    <row r="2826" spans="1:6" x14ac:dyDescent="0.25">
      <c r="A2826" s="1">
        <v>91219</v>
      </c>
      <c r="B2826" s="2">
        <v>128</v>
      </c>
      <c r="C2826" s="2">
        <v>91</v>
      </c>
      <c r="D2826" s="2">
        <v>5.2999999999999998E-8</v>
      </c>
      <c r="E2826" s="2" t="s">
        <v>2826</v>
      </c>
      <c r="F2826" s="2">
        <v>5.2999999999999998E-8</v>
      </c>
    </row>
    <row r="2827" spans="1:6" x14ac:dyDescent="0.25">
      <c r="A2827" s="1">
        <v>91220</v>
      </c>
      <c r="B2827" s="2">
        <v>129</v>
      </c>
      <c r="C2827" s="2">
        <v>91</v>
      </c>
      <c r="D2827" s="2">
        <v>7.7999999999999899E-7</v>
      </c>
      <c r="E2827" s="2" t="s">
        <v>2827</v>
      </c>
      <c r="F2827" s="2">
        <v>7.7999999999999899E-7</v>
      </c>
    </row>
    <row r="2828" spans="1:6" x14ac:dyDescent="0.25">
      <c r="A2828" s="1">
        <v>91221</v>
      </c>
      <c r="B2828" s="2">
        <v>130</v>
      </c>
      <c r="C2828" s="2">
        <v>91</v>
      </c>
      <c r="D2828" s="2">
        <v>5.9000000000000003E-6</v>
      </c>
      <c r="E2828" s="2" t="s">
        <v>2828</v>
      </c>
      <c r="F2828" s="2">
        <v>5.9000000000000003E-6</v>
      </c>
    </row>
    <row r="2829" spans="1:6" x14ac:dyDescent="0.25">
      <c r="A2829" s="1">
        <v>91222</v>
      </c>
      <c r="B2829" s="2">
        <v>131</v>
      </c>
      <c r="C2829" s="2">
        <v>91</v>
      </c>
      <c r="D2829" s="2">
        <v>2.8999999999999998E-3</v>
      </c>
      <c r="E2829" s="2" t="s">
        <v>2829</v>
      </c>
      <c r="F2829" s="2">
        <v>2.8999999999999998E-3</v>
      </c>
    </row>
    <row r="2830" spans="1:6" x14ac:dyDescent="0.25">
      <c r="A2830" s="1">
        <v>91223</v>
      </c>
      <c r="B2830" s="2">
        <v>132</v>
      </c>
      <c r="C2830" s="2">
        <v>91</v>
      </c>
      <c r="D2830" s="2">
        <v>5.09999999999999E-3</v>
      </c>
      <c r="E2830" s="2" t="s">
        <v>2830</v>
      </c>
      <c r="F2830" s="2">
        <v>5.09999999999999E-3</v>
      </c>
    </row>
    <row r="2831" spans="1:6" x14ac:dyDescent="0.25">
      <c r="A2831" s="1">
        <v>91224</v>
      </c>
      <c r="B2831" s="2">
        <v>133</v>
      </c>
      <c r="C2831" s="2">
        <v>91</v>
      </c>
      <c r="D2831" s="2">
        <v>0.84599999999999997</v>
      </c>
      <c r="E2831" s="2" t="s">
        <v>2831</v>
      </c>
      <c r="F2831" s="2">
        <v>0.84599999999999997</v>
      </c>
    </row>
    <row r="2832" spans="1:6" x14ac:dyDescent="0.25">
      <c r="A2832" s="1">
        <v>91225</v>
      </c>
      <c r="B2832" s="2">
        <v>134</v>
      </c>
      <c r="C2832" s="2">
        <v>91</v>
      </c>
      <c r="D2832" s="2">
        <v>1.7</v>
      </c>
      <c r="E2832" s="2" t="s">
        <v>2832</v>
      </c>
      <c r="F2832" s="2">
        <v>1.7</v>
      </c>
    </row>
    <row r="2833" spans="1:6" x14ac:dyDescent="0.25">
      <c r="A2833" s="1">
        <v>91226</v>
      </c>
      <c r="B2833" s="2">
        <v>135</v>
      </c>
      <c r="C2833" s="2">
        <v>91</v>
      </c>
      <c r="D2833" s="2">
        <v>108</v>
      </c>
      <c r="E2833" s="2" t="s">
        <v>2833</v>
      </c>
      <c r="F2833" s="2">
        <v>108</v>
      </c>
    </row>
    <row r="2834" spans="1:6" x14ac:dyDescent="0.25">
      <c r="A2834" s="1">
        <v>91227</v>
      </c>
      <c r="B2834" s="2">
        <v>136</v>
      </c>
      <c r="C2834" s="2">
        <v>91</v>
      </c>
      <c r="D2834" s="2">
        <v>2298</v>
      </c>
      <c r="E2834" s="2" t="s">
        <v>2834</v>
      </c>
      <c r="F2834" s="2">
        <v>2298</v>
      </c>
    </row>
    <row r="2835" spans="1:6" x14ac:dyDescent="0.25">
      <c r="A2835" s="1">
        <v>91228</v>
      </c>
      <c r="B2835" s="2">
        <v>137</v>
      </c>
      <c r="C2835" s="2">
        <v>91</v>
      </c>
      <c r="D2835" s="2">
        <v>79200</v>
      </c>
      <c r="E2835" s="2" t="s">
        <v>2835</v>
      </c>
      <c r="F2835" s="2">
        <v>79200</v>
      </c>
    </row>
    <row r="2836" spans="1:6" x14ac:dyDescent="0.25">
      <c r="A2836" s="1">
        <v>91229</v>
      </c>
      <c r="B2836" s="2">
        <v>138</v>
      </c>
      <c r="C2836" s="2">
        <v>91</v>
      </c>
      <c r="D2836" s="2">
        <v>129600</v>
      </c>
      <c r="E2836" s="2" t="s">
        <v>2836</v>
      </c>
      <c r="F2836" s="2">
        <v>129600</v>
      </c>
    </row>
    <row r="2837" spans="1:6" x14ac:dyDescent="0.25">
      <c r="A2837" s="1">
        <v>91230</v>
      </c>
      <c r="B2837" s="2">
        <v>139</v>
      </c>
      <c r="C2837" s="2">
        <v>91</v>
      </c>
      <c r="D2837" s="2">
        <v>1503359.99999999</v>
      </c>
      <c r="E2837" s="2" t="s">
        <v>2837</v>
      </c>
      <c r="F2837" s="2">
        <v>1503359.99999999</v>
      </c>
    </row>
    <row r="2838" spans="1:6" x14ac:dyDescent="0.25">
      <c r="A2838" s="1">
        <v>91231</v>
      </c>
      <c r="B2838" s="2">
        <v>140</v>
      </c>
      <c r="C2838" s="2">
        <v>91</v>
      </c>
      <c r="D2838" s="2">
        <v>1033826976000</v>
      </c>
      <c r="E2838" s="2" t="s">
        <v>2838</v>
      </c>
      <c r="F2838" s="2">
        <v>1033826976000</v>
      </c>
    </row>
    <row r="2839" spans="1:6" x14ac:dyDescent="0.25">
      <c r="A2839" s="1">
        <v>91232</v>
      </c>
      <c r="B2839" s="2">
        <v>141</v>
      </c>
      <c r="C2839" s="2">
        <v>91</v>
      </c>
      <c r="D2839" s="2">
        <v>114048</v>
      </c>
      <c r="E2839" s="2" t="s">
        <v>2839</v>
      </c>
      <c r="F2839" s="2">
        <v>114048</v>
      </c>
    </row>
    <row r="2840" spans="1:6" x14ac:dyDescent="0.25">
      <c r="A2840" s="1">
        <v>91233</v>
      </c>
      <c r="B2840" s="2">
        <v>142</v>
      </c>
      <c r="C2840" s="2">
        <v>91</v>
      </c>
      <c r="D2840" s="2">
        <v>2330640</v>
      </c>
      <c r="E2840" s="2" t="s">
        <v>2840</v>
      </c>
      <c r="F2840" s="2">
        <v>2330640</v>
      </c>
    </row>
    <row r="2841" spans="1:6" x14ac:dyDescent="0.25">
      <c r="A2841" s="1">
        <v>91234</v>
      </c>
      <c r="B2841" s="2">
        <v>143</v>
      </c>
      <c r="C2841" s="2">
        <v>91</v>
      </c>
      <c r="D2841" s="2">
        <v>24120</v>
      </c>
      <c r="E2841" s="2" t="s">
        <v>2841</v>
      </c>
      <c r="F2841" s="2">
        <v>24120</v>
      </c>
    </row>
    <row r="2842" spans="1:6" x14ac:dyDescent="0.25">
      <c r="A2842" s="1">
        <v>91235</v>
      </c>
      <c r="B2842" s="2">
        <v>144</v>
      </c>
      <c r="C2842" s="2">
        <v>91</v>
      </c>
      <c r="D2842" s="2">
        <v>1464</v>
      </c>
      <c r="E2842" s="2" t="s">
        <v>2842</v>
      </c>
      <c r="F2842" s="2">
        <v>1464</v>
      </c>
    </row>
    <row r="2843" spans="1:6" x14ac:dyDescent="0.25">
      <c r="A2843" s="1">
        <v>91236</v>
      </c>
      <c r="B2843" s="2">
        <v>145</v>
      </c>
      <c r="C2843" s="2">
        <v>91</v>
      </c>
      <c r="D2843" s="2">
        <v>546</v>
      </c>
      <c r="E2843" s="2" t="s">
        <v>2843</v>
      </c>
      <c r="F2843" s="2">
        <v>546</v>
      </c>
    </row>
    <row r="2844" spans="1:6" x14ac:dyDescent="0.25">
      <c r="A2844" s="1">
        <v>91237</v>
      </c>
      <c r="B2844" s="2">
        <v>146</v>
      </c>
      <c r="C2844" s="2">
        <v>91</v>
      </c>
      <c r="D2844" s="2">
        <v>522</v>
      </c>
      <c r="E2844" s="2" t="s">
        <v>2844</v>
      </c>
      <c r="F2844" s="2">
        <v>522</v>
      </c>
    </row>
    <row r="2845" spans="1:6" x14ac:dyDescent="0.25">
      <c r="A2845" s="1">
        <v>91238</v>
      </c>
      <c r="B2845" s="2">
        <v>147</v>
      </c>
      <c r="C2845" s="2">
        <v>91</v>
      </c>
      <c r="D2845" s="2">
        <v>136.79999999999899</v>
      </c>
      <c r="E2845" s="2" t="s">
        <v>2845</v>
      </c>
      <c r="F2845" s="2">
        <v>136.79999999999899</v>
      </c>
    </row>
    <row r="2846" spans="1:6" x14ac:dyDescent="0.25">
      <c r="A2846" s="1">
        <v>91239</v>
      </c>
      <c r="B2846" s="2">
        <v>148</v>
      </c>
      <c r="C2846" s="2">
        <v>91</v>
      </c>
      <c r="D2846" s="2">
        <v>6480</v>
      </c>
      <c r="E2846" s="2" t="s">
        <v>2846</v>
      </c>
      <c r="F2846" s="2">
        <v>6480</v>
      </c>
    </row>
    <row r="2847" spans="1:6" x14ac:dyDescent="0.25">
      <c r="A2847" s="1">
        <v>92216</v>
      </c>
      <c r="B2847" s="2">
        <v>124</v>
      </c>
      <c r="C2847" s="2">
        <v>92</v>
      </c>
      <c r="D2847" s="2">
        <v>4.4999999999999997E-3</v>
      </c>
      <c r="E2847" s="2" t="s">
        <v>2847</v>
      </c>
      <c r="F2847" s="2">
        <v>4.4999999999999997E-3</v>
      </c>
    </row>
    <row r="2848" spans="1:6" x14ac:dyDescent="0.25">
      <c r="A2848" s="1">
        <v>92217</v>
      </c>
      <c r="B2848" s="2">
        <v>125</v>
      </c>
      <c r="C2848" s="2">
        <v>92</v>
      </c>
      <c r="D2848" s="2">
        <v>1.6E-2</v>
      </c>
      <c r="E2848" s="2" t="s">
        <v>2848</v>
      </c>
      <c r="F2848" s="2">
        <v>1.6E-2</v>
      </c>
    </row>
    <row r="2849" spans="1:6" x14ac:dyDescent="0.25">
      <c r="A2849" s="1">
        <v>92218</v>
      </c>
      <c r="B2849" s="2">
        <v>126</v>
      </c>
      <c r="C2849" s="2">
        <v>92</v>
      </c>
      <c r="D2849" s="2">
        <v>5.1000000000000004E-4</v>
      </c>
      <c r="E2849" s="2" t="s">
        <v>2849</v>
      </c>
      <c r="F2849" s="2">
        <v>5.1000000000000004E-4</v>
      </c>
    </row>
    <row r="2850" spans="1:6" x14ac:dyDescent="0.25">
      <c r="A2850" s="1">
        <v>92219</v>
      </c>
      <c r="B2850" s="2">
        <v>127</v>
      </c>
      <c r="C2850" s="2">
        <v>92</v>
      </c>
      <c r="D2850" s="2">
        <v>4.1999999999999998E-5</v>
      </c>
      <c r="E2850" s="2" t="s">
        <v>2850</v>
      </c>
      <c r="F2850" s="2">
        <v>4.1999999999999998E-5</v>
      </c>
    </row>
    <row r="2851" spans="1:6" x14ac:dyDescent="0.25">
      <c r="A2851" s="1">
        <v>92221</v>
      </c>
      <c r="B2851" s="2">
        <v>129</v>
      </c>
      <c r="C2851" s="2">
        <v>92</v>
      </c>
      <c r="D2851" s="2">
        <v>6.6000000000000003E-7</v>
      </c>
      <c r="E2851" s="2" t="s">
        <v>2851</v>
      </c>
      <c r="F2851" s="2">
        <v>6.6000000000000003E-7</v>
      </c>
    </row>
    <row r="2852" spans="1:6" x14ac:dyDescent="0.25">
      <c r="A2852" s="1">
        <v>92222</v>
      </c>
      <c r="B2852" s="2">
        <v>130</v>
      </c>
      <c r="C2852" s="2">
        <v>92</v>
      </c>
      <c r="D2852" s="2">
        <v>4.6999999999999999E-6</v>
      </c>
      <c r="E2852" s="2" t="s">
        <v>2852</v>
      </c>
      <c r="F2852" s="2">
        <v>4.6999999999999999E-6</v>
      </c>
    </row>
    <row r="2853" spans="1:6" x14ac:dyDescent="0.25">
      <c r="A2853" s="1">
        <v>92223</v>
      </c>
      <c r="B2853" s="2">
        <v>131</v>
      </c>
      <c r="C2853" s="2">
        <v>92</v>
      </c>
      <c r="D2853" s="2">
        <v>1.8E-5</v>
      </c>
      <c r="E2853" s="2" t="s">
        <v>2853</v>
      </c>
      <c r="F2853" s="2">
        <v>1.8E-5</v>
      </c>
    </row>
    <row r="2854" spans="1:6" x14ac:dyDescent="0.25">
      <c r="A2854" s="1">
        <v>92224</v>
      </c>
      <c r="B2854" s="2">
        <v>132</v>
      </c>
      <c r="C2854" s="2">
        <v>92</v>
      </c>
      <c r="D2854" s="2">
        <v>8.4000000000000003E-4</v>
      </c>
      <c r="E2854" s="2" t="s">
        <v>2854</v>
      </c>
      <c r="F2854" s="2">
        <v>8.4000000000000003E-4</v>
      </c>
    </row>
    <row r="2855" spans="1:6" x14ac:dyDescent="0.25">
      <c r="A2855" s="1">
        <v>92225</v>
      </c>
      <c r="B2855" s="2">
        <v>133</v>
      </c>
      <c r="C2855" s="2">
        <v>92</v>
      </c>
      <c r="D2855" s="2">
        <v>9.5000000000000001E-2</v>
      </c>
      <c r="E2855" s="2" t="s">
        <v>2855</v>
      </c>
      <c r="F2855" s="2">
        <v>9.5000000000000001E-2</v>
      </c>
    </row>
    <row r="2856" spans="1:6" x14ac:dyDescent="0.25">
      <c r="A2856" s="1">
        <v>92226</v>
      </c>
      <c r="B2856" s="2">
        <v>134</v>
      </c>
      <c r="C2856" s="2">
        <v>92</v>
      </c>
      <c r="D2856" s="2">
        <v>0.26800000000000002</v>
      </c>
      <c r="E2856" s="2" t="s">
        <v>2856</v>
      </c>
      <c r="F2856" s="2">
        <v>0.26800000000000002</v>
      </c>
    </row>
    <row r="2857" spans="1:6" x14ac:dyDescent="0.25">
      <c r="A2857" s="1">
        <v>92227</v>
      </c>
      <c r="B2857" s="2">
        <v>135</v>
      </c>
      <c r="C2857" s="2">
        <v>92</v>
      </c>
      <c r="D2857" s="2">
        <v>66</v>
      </c>
      <c r="E2857" s="2" t="s">
        <v>2857</v>
      </c>
      <c r="F2857" s="2">
        <v>66</v>
      </c>
    </row>
    <row r="2858" spans="1:6" x14ac:dyDescent="0.25">
      <c r="A2858" s="1">
        <v>92228</v>
      </c>
      <c r="B2858" s="2">
        <v>136</v>
      </c>
      <c r="C2858" s="2">
        <v>92</v>
      </c>
      <c r="D2858" s="2">
        <v>546</v>
      </c>
      <c r="E2858" s="2" t="s">
        <v>2858</v>
      </c>
      <c r="F2858" s="2">
        <v>546</v>
      </c>
    </row>
    <row r="2859" spans="1:6" x14ac:dyDescent="0.25">
      <c r="A2859" s="1">
        <v>92229</v>
      </c>
      <c r="B2859" s="2">
        <v>137</v>
      </c>
      <c r="C2859" s="2">
        <v>92</v>
      </c>
      <c r="D2859" s="2">
        <v>3480</v>
      </c>
      <c r="E2859" s="2" t="s">
        <v>2859</v>
      </c>
      <c r="F2859" s="2">
        <v>3480</v>
      </c>
    </row>
    <row r="2860" spans="1:6" x14ac:dyDescent="0.25">
      <c r="A2860" s="1">
        <v>92230</v>
      </c>
      <c r="B2860" s="2">
        <v>138</v>
      </c>
      <c r="C2860" s="2">
        <v>92</v>
      </c>
      <c r="D2860" s="2">
        <v>1797120</v>
      </c>
      <c r="E2860" s="2" t="s">
        <v>2860</v>
      </c>
      <c r="F2860" s="2">
        <v>1797120</v>
      </c>
    </row>
    <row r="2861" spans="1:6" x14ac:dyDescent="0.25">
      <c r="A2861" s="1">
        <v>92231</v>
      </c>
      <c r="B2861" s="2">
        <v>139</v>
      </c>
      <c r="C2861" s="2">
        <v>92</v>
      </c>
      <c r="D2861" s="2">
        <v>362880</v>
      </c>
      <c r="E2861" s="2" t="s">
        <v>2861</v>
      </c>
      <c r="F2861" s="2">
        <v>362880</v>
      </c>
    </row>
    <row r="2862" spans="1:6" x14ac:dyDescent="0.25">
      <c r="A2862" s="1">
        <v>92232</v>
      </c>
      <c r="B2862" s="2">
        <v>140</v>
      </c>
      <c r="C2862" s="2">
        <v>92</v>
      </c>
      <c r="D2862" s="2">
        <v>2174318640</v>
      </c>
      <c r="E2862" s="2" t="s">
        <v>2862</v>
      </c>
      <c r="F2862" s="2">
        <v>2174318640</v>
      </c>
    </row>
    <row r="2863" spans="1:6" x14ac:dyDescent="0.25">
      <c r="A2863" s="1">
        <v>92233</v>
      </c>
      <c r="B2863" s="2">
        <v>141</v>
      </c>
      <c r="C2863" s="2">
        <v>92</v>
      </c>
      <c r="D2863" s="2">
        <v>5023969920000</v>
      </c>
      <c r="E2863" s="2" t="s">
        <v>2863</v>
      </c>
      <c r="F2863" s="2">
        <v>5023969920000</v>
      </c>
    </row>
    <row r="2864" spans="1:6" x14ac:dyDescent="0.25">
      <c r="A2864" s="1">
        <v>92234</v>
      </c>
      <c r="B2864" s="2">
        <v>142</v>
      </c>
      <c r="C2864" s="2">
        <v>92</v>
      </c>
      <c r="D2864" s="2">
        <v>7747390800000</v>
      </c>
      <c r="E2864" s="2" t="s">
        <v>2864</v>
      </c>
      <c r="F2864" s="2">
        <v>7747390800000</v>
      </c>
    </row>
    <row r="2865" spans="1:6" x14ac:dyDescent="0.25">
      <c r="A2865" s="1">
        <v>92235</v>
      </c>
      <c r="B2865" s="2">
        <v>143</v>
      </c>
      <c r="C2865" s="2">
        <v>92</v>
      </c>
      <c r="D2865" s="2">
        <v>2.22165504E+16</v>
      </c>
      <c r="E2865" s="2" t="s">
        <v>2865</v>
      </c>
      <c r="F2865" s="2">
        <v>2.22165504E+16</v>
      </c>
    </row>
    <row r="2866" spans="1:6" x14ac:dyDescent="0.25">
      <c r="A2866" s="1">
        <v>92236</v>
      </c>
      <c r="B2866" s="2">
        <v>144</v>
      </c>
      <c r="C2866" s="2">
        <v>92</v>
      </c>
      <c r="D2866" s="2">
        <v>739078992000000</v>
      </c>
      <c r="E2866" s="2" t="s">
        <v>2866</v>
      </c>
      <c r="F2866" s="2">
        <v>739078992000000</v>
      </c>
    </row>
    <row r="2867" spans="1:6" x14ac:dyDescent="0.25">
      <c r="A2867" s="1">
        <v>92237</v>
      </c>
      <c r="B2867" s="2">
        <v>145</v>
      </c>
      <c r="C2867" s="2">
        <v>92</v>
      </c>
      <c r="D2867" s="2">
        <v>583200</v>
      </c>
      <c r="E2867" s="2" t="s">
        <v>2867</v>
      </c>
      <c r="F2867" s="2">
        <v>583200</v>
      </c>
    </row>
    <row r="2868" spans="1:6" x14ac:dyDescent="0.25">
      <c r="A2868" s="1">
        <v>92238</v>
      </c>
      <c r="B2868" s="2">
        <v>146</v>
      </c>
      <c r="C2868" s="2">
        <v>92</v>
      </c>
      <c r="D2868" s="2">
        <v>1.409993568E+17</v>
      </c>
      <c r="E2868" s="2" t="s">
        <v>2868</v>
      </c>
      <c r="F2868" s="2">
        <v>1.409993568E+17</v>
      </c>
    </row>
    <row r="2869" spans="1:6" x14ac:dyDescent="0.25">
      <c r="A2869" s="1">
        <v>92239</v>
      </c>
      <c r="B2869" s="2">
        <v>147</v>
      </c>
      <c r="C2869" s="2">
        <v>92</v>
      </c>
      <c r="D2869" s="2">
        <v>1407</v>
      </c>
      <c r="E2869" s="2" t="s">
        <v>2869</v>
      </c>
      <c r="F2869" s="2">
        <v>1407</v>
      </c>
    </row>
    <row r="2870" spans="1:6" x14ac:dyDescent="0.25">
      <c r="A2870" s="1">
        <v>92240</v>
      </c>
      <c r="B2870" s="2">
        <v>148</v>
      </c>
      <c r="C2870" s="2">
        <v>92</v>
      </c>
      <c r="D2870" s="2">
        <v>50760</v>
      </c>
      <c r="E2870" s="2" t="s">
        <v>2870</v>
      </c>
      <c r="F2870" s="2">
        <v>50760</v>
      </c>
    </row>
    <row r="2871" spans="1:6" x14ac:dyDescent="0.25">
      <c r="A2871" s="1">
        <v>92242</v>
      </c>
      <c r="B2871" s="2">
        <v>150</v>
      </c>
      <c r="C2871" s="2">
        <v>92</v>
      </c>
      <c r="D2871" s="2">
        <v>1008</v>
      </c>
      <c r="E2871" s="2" t="s">
        <v>2871</v>
      </c>
      <c r="F2871" s="2">
        <v>1008</v>
      </c>
    </row>
    <row r="2872" spans="1:6" x14ac:dyDescent="0.25">
      <c r="A2872" s="1">
        <v>93225</v>
      </c>
      <c r="B2872" s="2">
        <v>132</v>
      </c>
      <c r="C2872" s="2">
        <v>93</v>
      </c>
      <c r="D2872" s="2">
        <v>3.5999999999999999E-3</v>
      </c>
      <c r="E2872" s="2" t="s">
        <v>2872</v>
      </c>
      <c r="F2872" s="2">
        <v>3.5999999999999999E-3</v>
      </c>
    </row>
    <row r="2873" spans="1:6" x14ac:dyDescent="0.25">
      <c r="A2873" s="1">
        <v>93226</v>
      </c>
      <c r="B2873" s="2">
        <v>133</v>
      </c>
      <c r="C2873" s="2">
        <v>93</v>
      </c>
      <c r="D2873" s="2">
        <v>3.5000000000000003E-2</v>
      </c>
      <c r="E2873" s="2" t="s">
        <v>2873</v>
      </c>
      <c r="F2873" s="2">
        <v>3.5000000000000003E-2</v>
      </c>
    </row>
    <row r="2874" spans="1:6" x14ac:dyDescent="0.25">
      <c r="A2874" s="1">
        <v>93227</v>
      </c>
      <c r="B2874" s="2">
        <v>134</v>
      </c>
      <c r="C2874" s="2">
        <v>93</v>
      </c>
      <c r="D2874" s="2">
        <v>0.51</v>
      </c>
      <c r="E2874" s="2" t="s">
        <v>2874</v>
      </c>
      <c r="F2874" s="2">
        <v>0.51</v>
      </c>
    </row>
    <row r="2875" spans="1:6" x14ac:dyDescent="0.25">
      <c r="A2875" s="1">
        <v>93228</v>
      </c>
      <c r="B2875" s="2">
        <v>135</v>
      </c>
      <c r="C2875" s="2">
        <v>93</v>
      </c>
      <c r="D2875" s="2">
        <v>61.4</v>
      </c>
      <c r="E2875" s="2" t="s">
        <v>2875</v>
      </c>
      <c r="F2875" s="2">
        <v>61.4</v>
      </c>
    </row>
    <row r="2876" spans="1:6" x14ac:dyDescent="0.25">
      <c r="A2876" s="1">
        <v>93229</v>
      </c>
      <c r="B2876" s="2">
        <v>136</v>
      </c>
      <c r="C2876" s="2">
        <v>93</v>
      </c>
      <c r="D2876" s="2">
        <v>240</v>
      </c>
      <c r="E2876" s="2" t="s">
        <v>2876</v>
      </c>
      <c r="F2876" s="2">
        <v>240</v>
      </c>
    </row>
    <row r="2877" spans="1:6" x14ac:dyDescent="0.25">
      <c r="A2877" s="1">
        <v>93230</v>
      </c>
      <c r="B2877" s="2">
        <v>137</v>
      </c>
      <c r="C2877" s="2">
        <v>93</v>
      </c>
      <c r="D2877" s="2">
        <v>276</v>
      </c>
      <c r="E2877" s="2" t="s">
        <v>2877</v>
      </c>
      <c r="F2877" s="2">
        <v>276</v>
      </c>
    </row>
    <row r="2878" spans="1:6" x14ac:dyDescent="0.25">
      <c r="A2878" s="1">
        <v>93231</v>
      </c>
      <c r="B2878" s="2">
        <v>138</v>
      </c>
      <c r="C2878" s="2">
        <v>93</v>
      </c>
      <c r="D2878" s="2">
        <v>2928</v>
      </c>
      <c r="E2878" s="2" t="s">
        <v>2878</v>
      </c>
      <c r="F2878" s="2">
        <v>2928</v>
      </c>
    </row>
    <row r="2879" spans="1:6" x14ac:dyDescent="0.25">
      <c r="A2879" s="1">
        <v>93232</v>
      </c>
      <c r="B2879" s="2">
        <v>139</v>
      </c>
      <c r="C2879" s="2">
        <v>93</v>
      </c>
      <c r="D2879" s="2">
        <v>882</v>
      </c>
      <c r="E2879" s="2" t="s">
        <v>2879</v>
      </c>
      <c r="F2879" s="2">
        <v>882</v>
      </c>
    </row>
    <row r="2880" spans="1:6" x14ac:dyDescent="0.25">
      <c r="A2880" s="1">
        <v>93233</v>
      </c>
      <c r="B2880" s="2">
        <v>140</v>
      </c>
      <c r="C2880" s="2">
        <v>93</v>
      </c>
      <c r="D2880" s="2">
        <v>2172</v>
      </c>
      <c r="E2880" s="2" t="s">
        <v>2880</v>
      </c>
      <c r="F2880" s="2">
        <v>2172</v>
      </c>
    </row>
    <row r="2881" spans="1:6" x14ac:dyDescent="0.25">
      <c r="A2881" s="1">
        <v>93234</v>
      </c>
      <c r="B2881" s="2">
        <v>141</v>
      </c>
      <c r="C2881" s="2">
        <v>93</v>
      </c>
      <c r="D2881" s="2">
        <v>380160</v>
      </c>
      <c r="E2881" s="2" t="s">
        <v>2881</v>
      </c>
      <c r="F2881" s="2">
        <v>380160</v>
      </c>
    </row>
    <row r="2882" spans="1:6" x14ac:dyDescent="0.25">
      <c r="A2882" s="1">
        <v>93235</v>
      </c>
      <c r="B2882" s="2">
        <v>142</v>
      </c>
      <c r="C2882" s="2">
        <v>93</v>
      </c>
      <c r="D2882" s="2">
        <v>34223040</v>
      </c>
      <c r="E2882" s="2" t="s">
        <v>2882</v>
      </c>
      <c r="F2882" s="2">
        <v>34223040</v>
      </c>
    </row>
    <row r="2883" spans="1:6" x14ac:dyDescent="0.25">
      <c r="A2883" s="1">
        <v>93236</v>
      </c>
      <c r="B2883" s="2">
        <v>143</v>
      </c>
      <c r="C2883" s="2">
        <v>93</v>
      </c>
      <c r="D2883" s="2">
        <v>4828312800000</v>
      </c>
      <c r="E2883" s="2" t="s">
        <v>2883</v>
      </c>
      <c r="F2883" s="2">
        <v>4828312800000</v>
      </c>
    </row>
    <row r="2884" spans="1:6" x14ac:dyDescent="0.25">
      <c r="A2884" s="1">
        <v>93237</v>
      </c>
      <c r="B2884" s="2">
        <v>144</v>
      </c>
      <c r="C2884" s="2">
        <v>93</v>
      </c>
      <c r="D2884" s="2">
        <v>67659494400000</v>
      </c>
      <c r="E2884" s="2" t="s">
        <v>2884</v>
      </c>
      <c r="F2884" s="2">
        <v>67659494400000</v>
      </c>
    </row>
    <row r="2885" spans="1:6" x14ac:dyDescent="0.25">
      <c r="A2885" s="1">
        <v>93238</v>
      </c>
      <c r="B2885" s="2">
        <v>145</v>
      </c>
      <c r="C2885" s="2">
        <v>93</v>
      </c>
      <c r="D2885" s="2">
        <v>182908.79999999999</v>
      </c>
      <c r="E2885" s="2" t="s">
        <v>2885</v>
      </c>
      <c r="F2885" s="2">
        <v>182908.79999999999</v>
      </c>
    </row>
    <row r="2886" spans="1:6" x14ac:dyDescent="0.25">
      <c r="A2886" s="1">
        <v>93239</v>
      </c>
      <c r="B2886" s="2">
        <v>146</v>
      </c>
      <c r="C2886" s="2">
        <v>93</v>
      </c>
      <c r="D2886" s="2">
        <v>203558.39999999999</v>
      </c>
      <c r="E2886" s="2" t="s">
        <v>2886</v>
      </c>
      <c r="F2886" s="2">
        <v>203558.39999999999</v>
      </c>
    </row>
    <row r="2887" spans="1:6" x14ac:dyDescent="0.25">
      <c r="A2887" s="1">
        <v>93240</v>
      </c>
      <c r="B2887" s="2">
        <v>147</v>
      </c>
      <c r="C2887" s="2">
        <v>93</v>
      </c>
      <c r="D2887" s="2">
        <v>3714</v>
      </c>
      <c r="E2887" s="2" t="s">
        <v>2887</v>
      </c>
      <c r="F2887" s="2">
        <v>3714</v>
      </c>
    </row>
    <row r="2888" spans="1:6" x14ac:dyDescent="0.25">
      <c r="A2888" s="1">
        <v>93241</v>
      </c>
      <c r="B2888" s="2">
        <v>148</v>
      </c>
      <c r="C2888" s="2">
        <v>93</v>
      </c>
      <c r="D2888" s="2">
        <v>834</v>
      </c>
      <c r="E2888" s="2" t="s">
        <v>2888</v>
      </c>
      <c r="F2888" s="2">
        <v>834</v>
      </c>
    </row>
    <row r="2889" spans="1:6" x14ac:dyDescent="0.25">
      <c r="A2889" s="1">
        <v>93242</v>
      </c>
      <c r="B2889" s="2">
        <v>149</v>
      </c>
      <c r="C2889" s="2">
        <v>93</v>
      </c>
      <c r="D2889" s="2">
        <v>132</v>
      </c>
      <c r="E2889" s="2" t="s">
        <v>2889</v>
      </c>
      <c r="F2889" s="2">
        <v>132</v>
      </c>
    </row>
    <row r="2890" spans="1:6" x14ac:dyDescent="0.25">
      <c r="A2890" s="1">
        <v>93243</v>
      </c>
      <c r="B2890" s="2">
        <v>150</v>
      </c>
      <c r="C2890" s="2">
        <v>93</v>
      </c>
      <c r="D2890" s="2">
        <v>111</v>
      </c>
      <c r="E2890" s="2" t="s">
        <v>2890</v>
      </c>
      <c r="F2890" s="2">
        <v>111</v>
      </c>
    </row>
    <row r="2891" spans="1:6" x14ac:dyDescent="0.25">
      <c r="A2891" s="1">
        <v>93244</v>
      </c>
      <c r="B2891" s="2">
        <v>151</v>
      </c>
      <c r="C2891" s="2">
        <v>93</v>
      </c>
      <c r="D2891" s="2">
        <v>137.4</v>
      </c>
      <c r="E2891" s="2" t="s">
        <v>2891</v>
      </c>
      <c r="F2891" s="2">
        <v>137.4</v>
      </c>
    </row>
    <row r="2892" spans="1:6" x14ac:dyDescent="0.25">
      <c r="A2892" s="1">
        <v>94228</v>
      </c>
      <c r="B2892" s="2">
        <v>134</v>
      </c>
      <c r="C2892" s="2">
        <v>94</v>
      </c>
      <c r="D2892" s="2">
        <v>1.1000000000000001</v>
      </c>
      <c r="E2892" s="2" t="s">
        <v>2892</v>
      </c>
      <c r="F2892" s="2">
        <v>1.1000000000000001</v>
      </c>
    </row>
    <row r="2893" spans="1:6" x14ac:dyDescent="0.25">
      <c r="A2893" s="1">
        <v>94229</v>
      </c>
      <c r="B2893" s="2">
        <v>135</v>
      </c>
      <c r="C2893" s="2">
        <v>94</v>
      </c>
      <c r="D2893" s="2">
        <v>67</v>
      </c>
      <c r="E2893" s="2" t="s">
        <v>2893</v>
      </c>
      <c r="F2893" s="2">
        <v>67</v>
      </c>
    </row>
    <row r="2894" spans="1:6" x14ac:dyDescent="0.25">
      <c r="A2894" s="1">
        <v>94230</v>
      </c>
      <c r="B2894" s="2">
        <v>136</v>
      </c>
      <c r="C2894" s="2">
        <v>94</v>
      </c>
      <c r="D2894" s="2">
        <v>102</v>
      </c>
      <c r="E2894" s="2" t="s">
        <v>2894</v>
      </c>
      <c r="F2894" s="2">
        <v>102</v>
      </c>
    </row>
    <row r="2895" spans="1:6" x14ac:dyDescent="0.25">
      <c r="A2895" s="1">
        <v>94231</v>
      </c>
      <c r="B2895" s="2">
        <v>137</v>
      </c>
      <c r="C2895" s="2">
        <v>94</v>
      </c>
      <c r="D2895" s="2">
        <v>516</v>
      </c>
      <c r="E2895" s="2" t="s">
        <v>2895</v>
      </c>
      <c r="F2895" s="2">
        <v>516</v>
      </c>
    </row>
    <row r="2896" spans="1:6" x14ac:dyDescent="0.25">
      <c r="A2896" s="1">
        <v>94232</v>
      </c>
      <c r="B2896" s="2">
        <v>138</v>
      </c>
      <c r="C2896" s="2">
        <v>94</v>
      </c>
      <c r="D2896" s="2">
        <v>2027.99999999999</v>
      </c>
      <c r="E2896" s="2" t="s">
        <v>2896</v>
      </c>
      <c r="F2896" s="2">
        <v>2027.99999999999</v>
      </c>
    </row>
    <row r="2897" spans="1:6" x14ac:dyDescent="0.25">
      <c r="A2897" s="1">
        <v>94233</v>
      </c>
      <c r="B2897" s="2">
        <v>139</v>
      </c>
      <c r="C2897" s="2">
        <v>94</v>
      </c>
      <c r="D2897" s="2">
        <v>1254</v>
      </c>
      <c r="E2897" s="2" t="s">
        <v>2897</v>
      </c>
      <c r="F2897" s="2">
        <v>1254</v>
      </c>
    </row>
    <row r="2898" spans="1:6" x14ac:dyDescent="0.25">
      <c r="A2898" s="1">
        <v>94234</v>
      </c>
      <c r="B2898" s="2">
        <v>140</v>
      </c>
      <c r="C2898" s="2">
        <v>94</v>
      </c>
      <c r="D2898" s="2">
        <v>31680</v>
      </c>
      <c r="E2898" s="2" t="s">
        <v>2898</v>
      </c>
      <c r="F2898" s="2">
        <v>31680</v>
      </c>
    </row>
    <row r="2899" spans="1:6" x14ac:dyDescent="0.25">
      <c r="A2899" s="1">
        <v>94235</v>
      </c>
      <c r="B2899" s="2">
        <v>141</v>
      </c>
      <c r="C2899" s="2">
        <v>94</v>
      </c>
      <c r="D2899" s="2">
        <v>1518</v>
      </c>
      <c r="E2899" s="2" t="s">
        <v>2899</v>
      </c>
      <c r="F2899" s="2">
        <v>1518</v>
      </c>
    </row>
    <row r="2900" spans="1:6" x14ac:dyDescent="0.25">
      <c r="A2900" s="1">
        <v>94236</v>
      </c>
      <c r="B2900" s="2">
        <v>142</v>
      </c>
      <c r="C2900" s="2">
        <v>94</v>
      </c>
      <c r="D2900" s="2">
        <v>90191620.799999997</v>
      </c>
      <c r="E2900" s="2" t="s">
        <v>2900</v>
      </c>
      <c r="F2900" s="2">
        <v>90191620.799999997</v>
      </c>
    </row>
    <row r="2901" spans="1:6" x14ac:dyDescent="0.25">
      <c r="A2901" s="1">
        <v>94237</v>
      </c>
      <c r="B2901" s="2">
        <v>143</v>
      </c>
      <c r="C2901" s="2">
        <v>94</v>
      </c>
      <c r="D2901" s="2">
        <v>3943296</v>
      </c>
      <c r="E2901" s="2" t="s">
        <v>2901</v>
      </c>
      <c r="F2901" s="2">
        <v>3943296</v>
      </c>
    </row>
    <row r="2902" spans="1:6" x14ac:dyDescent="0.25">
      <c r="A2902" s="1">
        <v>94238</v>
      </c>
      <c r="B2902" s="2">
        <v>144</v>
      </c>
      <c r="C2902" s="2">
        <v>94</v>
      </c>
      <c r="D2902" s="2">
        <v>2767601520</v>
      </c>
      <c r="E2902" s="2" t="s">
        <v>2902</v>
      </c>
      <c r="F2902" s="2">
        <v>2767601520</v>
      </c>
    </row>
    <row r="2903" spans="1:6" x14ac:dyDescent="0.25">
      <c r="A2903" s="1">
        <v>94239</v>
      </c>
      <c r="B2903" s="2">
        <v>145</v>
      </c>
      <c r="C2903" s="2">
        <v>94</v>
      </c>
      <c r="D2903" s="2">
        <v>760853736000</v>
      </c>
      <c r="E2903" s="2" t="s">
        <v>2903</v>
      </c>
      <c r="F2903" s="2">
        <v>760853736000</v>
      </c>
    </row>
    <row r="2904" spans="1:6" x14ac:dyDescent="0.25">
      <c r="A2904" s="1">
        <v>94240</v>
      </c>
      <c r="B2904" s="2">
        <v>146</v>
      </c>
      <c r="C2904" s="2">
        <v>94</v>
      </c>
      <c r="D2904" s="2">
        <v>207049413600</v>
      </c>
      <c r="E2904" s="2" t="s">
        <v>2904</v>
      </c>
      <c r="F2904" s="2">
        <v>207049413600</v>
      </c>
    </row>
    <row r="2905" spans="1:6" x14ac:dyDescent="0.25">
      <c r="A2905" s="1">
        <v>94241</v>
      </c>
      <c r="B2905" s="2">
        <v>147</v>
      </c>
      <c r="C2905" s="2">
        <v>94</v>
      </c>
      <c r="D2905" s="2">
        <v>452188850.39999998</v>
      </c>
      <c r="E2905" s="2" t="s">
        <v>2905</v>
      </c>
      <c r="F2905" s="2">
        <v>452188850.39999998</v>
      </c>
    </row>
    <row r="2906" spans="1:6" x14ac:dyDescent="0.25">
      <c r="A2906" s="1">
        <v>94242</v>
      </c>
      <c r="B2906" s="2">
        <v>148</v>
      </c>
      <c r="C2906" s="2">
        <v>94</v>
      </c>
      <c r="D2906" s="2">
        <v>11834100000000</v>
      </c>
      <c r="E2906" s="2" t="s">
        <v>2906</v>
      </c>
      <c r="F2906" s="2">
        <v>11834100000000</v>
      </c>
    </row>
    <row r="2907" spans="1:6" x14ac:dyDescent="0.25">
      <c r="A2907" s="1">
        <v>94243</v>
      </c>
      <c r="B2907" s="2">
        <v>149</v>
      </c>
      <c r="C2907" s="2">
        <v>94</v>
      </c>
      <c r="D2907" s="2">
        <v>17841.599999999999</v>
      </c>
      <c r="E2907" s="2" t="s">
        <v>2907</v>
      </c>
      <c r="F2907" s="2">
        <v>17841.599999999999</v>
      </c>
    </row>
    <row r="2908" spans="1:6" x14ac:dyDescent="0.25">
      <c r="A2908" s="1">
        <v>94244</v>
      </c>
      <c r="B2908" s="2">
        <v>150</v>
      </c>
      <c r="C2908" s="2">
        <v>94</v>
      </c>
      <c r="D2908" s="2">
        <v>2524608000000000</v>
      </c>
      <c r="E2908" s="2" t="s">
        <v>2908</v>
      </c>
      <c r="F2908" s="2">
        <v>2524608000000000</v>
      </c>
    </row>
    <row r="2909" spans="1:6" x14ac:dyDescent="0.25">
      <c r="A2909" s="1">
        <v>94245</v>
      </c>
      <c r="B2909" s="2">
        <v>151</v>
      </c>
      <c r="C2909" s="2">
        <v>94</v>
      </c>
      <c r="D2909" s="2">
        <v>37800</v>
      </c>
      <c r="E2909" s="2" t="s">
        <v>2909</v>
      </c>
      <c r="F2909" s="2">
        <v>37800</v>
      </c>
    </row>
    <row r="2910" spans="1:6" x14ac:dyDescent="0.25">
      <c r="A2910" s="1">
        <v>94246</v>
      </c>
      <c r="B2910" s="2">
        <v>152</v>
      </c>
      <c r="C2910" s="2">
        <v>94</v>
      </c>
      <c r="D2910" s="2">
        <v>936576</v>
      </c>
      <c r="E2910" s="2" t="s">
        <v>2910</v>
      </c>
      <c r="F2910" s="2">
        <v>936576</v>
      </c>
    </row>
    <row r="2911" spans="1:6" x14ac:dyDescent="0.25">
      <c r="A2911" s="1">
        <v>94247</v>
      </c>
      <c r="B2911" s="2">
        <v>153</v>
      </c>
      <c r="C2911" s="2">
        <v>94</v>
      </c>
      <c r="D2911" s="2">
        <v>196128</v>
      </c>
      <c r="E2911" s="2" t="s">
        <v>2911</v>
      </c>
      <c r="F2911" s="2">
        <v>196128</v>
      </c>
    </row>
    <row r="2912" spans="1:6" x14ac:dyDescent="0.25">
      <c r="A2912" s="1">
        <v>95230</v>
      </c>
      <c r="B2912" s="2">
        <v>135</v>
      </c>
      <c r="C2912" s="2">
        <v>95</v>
      </c>
      <c r="D2912" s="2">
        <v>17</v>
      </c>
      <c r="E2912" s="2" t="s">
        <v>2912</v>
      </c>
      <c r="F2912" s="2">
        <v>17</v>
      </c>
    </row>
    <row r="2913" spans="1:6" x14ac:dyDescent="0.25">
      <c r="A2913" s="1">
        <v>95232</v>
      </c>
      <c r="B2913" s="2">
        <v>137</v>
      </c>
      <c r="C2913" s="2">
        <v>95</v>
      </c>
      <c r="D2913" s="2">
        <v>79</v>
      </c>
      <c r="E2913" s="2" t="s">
        <v>2913</v>
      </c>
      <c r="F2913" s="2">
        <v>79</v>
      </c>
    </row>
    <row r="2914" spans="1:6" x14ac:dyDescent="0.25">
      <c r="A2914" s="1">
        <v>95233</v>
      </c>
      <c r="B2914" s="2">
        <v>138</v>
      </c>
      <c r="C2914" s="2">
        <v>95</v>
      </c>
      <c r="D2914" s="2">
        <v>192</v>
      </c>
      <c r="E2914" s="2" t="s">
        <v>2914</v>
      </c>
      <c r="F2914" s="2">
        <v>192</v>
      </c>
    </row>
    <row r="2915" spans="1:6" x14ac:dyDescent="0.25">
      <c r="A2915" s="1">
        <v>95234</v>
      </c>
      <c r="B2915" s="2">
        <v>139</v>
      </c>
      <c r="C2915" s="2">
        <v>95</v>
      </c>
      <c r="D2915" s="2">
        <v>139.19999999999999</v>
      </c>
      <c r="E2915" s="2" t="s">
        <v>2915</v>
      </c>
      <c r="F2915" s="2">
        <v>139.19999999999999</v>
      </c>
    </row>
    <row r="2916" spans="1:6" x14ac:dyDescent="0.25">
      <c r="A2916" s="1">
        <v>95235</v>
      </c>
      <c r="B2916" s="2">
        <v>140</v>
      </c>
      <c r="C2916" s="2">
        <v>95</v>
      </c>
      <c r="D2916" s="2">
        <v>618</v>
      </c>
      <c r="E2916" s="2" t="s">
        <v>2916</v>
      </c>
      <c r="F2916" s="2">
        <v>618</v>
      </c>
    </row>
    <row r="2917" spans="1:6" x14ac:dyDescent="0.25">
      <c r="A2917" s="1">
        <v>95236</v>
      </c>
      <c r="B2917" s="2">
        <v>141</v>
      </c>
      <c r="C2917" s="2">
        <v>95</v>
      </c>
      <c r="D2917" s="2">
        <v>216</v>
      </c>
      <c r="E2917" s="2" t="s">
        <v>2917</v>
      </c>
      <c r="F2917" s="2">
        <v>216</v>
      </c>
    </row>
    <row r="2918" spans="1:6" x14ac:dyDescent="0.25">
      <c r="A2918" s="1">
        <v>95237</v>
      </c>
      <c r="B2918" s="2">
        <v>142</v>
      </c>
      <c r="C2918" s="2">
        <v>95</v>
      </c>
      <c r="D2918" s="2">
        <v>4416</v>
      </c>
      <c r="E2918" s="2" t="s">
        <v>2918</v>
      </c>
      <c r="F2918" s="2">
        <v>4416</v>
      </c>
    </row>
    <row r="2919" spans="1:6" x14ac:dyDescent="0.25">
      <c r="A2919" s="1">
        <v>95238</v>
      </c>
      <c r="B2919" s="2">
        <v>143</v>
      </c>
      <c r="C2919" s="2">
        <v>95</v>
      </c>
      <c r="D2919" s="2">
        <v>5880</v>
      </c>
      <c r="E2919" s="2" t="s">
        <v>2919</v>
      </c>
      <c r="F2919" s="2">
        <v>5880</v>
      </c>
    </row>
    <row r="2920" spans="1:6" x14ac:dyDescent="0.25">
      <c r="A2920" s="1">
        <v>95239</v>
      </c>
      <c r="B2920" s="2">
        <v>144</v>
      </c>
      <c r="C2920" s="2">
        <v>95</v>
      </c>
      <c r="D2920" s="2">
        <v>42840</v>
      </c>
      <c r="E2920" s="2" t="s">
        <v>2920</v>
      </c>
      <c r="F2920" s="2">
        <v>42840</v>
      </c>
    </row>
    <row r="2921" spans="1:6" x14ac:dyDescent="0.25">
      <c r="A2921" s="1">
        <v>95240</v>
      </c>
      <c r="B2921" s="2">
        <v>145</v>
      </c>
      <c r="C2921" s="2">
        <v>95</v>
      </c>
      <c r="D2921" s="2">
        <v>182880</v>
      </c>
      <c r="E2921" s="2" t="s">
        <v>2921</v>
      </c>
      <c r="F2921" s="2">
        <v>182880</v>
      </c>
    </row>
    <row r="2922" spans="1:6" x14ac:dyDescent="0.25">
      <c r="A2922" s="1">
        <v>95241</v>
      </c>
      <c r="B2922" s="2">
        <v>146</v>
      </c>
      <c r="C2922" s="2">
        <v>95</v>
      </c>
      <c r="D2922" s="2">
        <v>13651817760</v>
      </c>
      <c r="E2922" s="2" t="s">
        <v>2922</v>
      </c>
      <c r="F2922" s="2">
        <v>13651817760</v>
      </c>
    </row>
    <row r="2923" spans="1:6" x14ac:dyDescent="0.25">
      <c r="A2923" s="1">
        <v>95242</v>
      </c>
      <c r="B2923" s="2">
        <v>147</v>
      </c>
      <c r="C2923" s="2">
        <v>95</v>
      </c>
      <c r="D2923" s="2">
        <v>57672</v>
      </c>
      <c r="E2923" s="2" t="s">
        <v>2923</v>
      </c>
      <c r="F2923" s="2">
        <v>57672</v>
      </c>
    </row>
    <row r="2924" spans="1:6" x14ac:dyDescent="0.25">
      <c r="A2924" s="1">
        <v>95243</v>
      </c>
      <c r="B2924" s="2">
        <v>148</v>
      </c>
      <c r="C2924" s="2">
        <v>95</v>
      </c>
      <c r="D2924" s="2">
        <v>232390166400</v>
      </c>
      <c r="E2924" s="2" t="s">
        <v>2924</v>
      </c>
      <c r="F2924" s="2">
        <v>232390166400</v>
      </c>
    </row>
    <row r="2925" spans="1:6" x14ac:dyDescent="0.25">
      <c r="A2925" s="1">
        <v>95244</v>
      </c>
      <c r="B2925" s="2">
        <v>149</v>
      </c>
      <c r="C2925" s="2">
        <v>95</v>
      </c>
      <c r="D2925" s="2">
        <v>36360</v>
      </c>
      <c r="E2925" s="2" t="s">
        <v>2925</v>
      </c>
      <c r="F2925" s="2">
        <v>36360</v>
      </c>
    </row>
    <row r="2926" spans="1:6" x14ac:dyDescent="0.25">
      <c r="A2926" s="1">
        <v>95245</v>
      </c>
      <c r="B2926" s="2">
        <v>150</v>
      </c>
      <c r="C2926" s="2">
        <v>95</v>
      </c>
      <c r="D2926" s="2">
        <v>7379.99999999999</v>
      </c>
      <c r="E2926" s="2" t="s">
        <v>2926</v>
      </c>
      <c r="F2926" s="2">
        <v>7379.99999999999</v>
      </c>
    </row>
    <row r="2927" spans="1:6" x14ac:dyDescent="0.25">
      <c r="A2927" s="1">
        <v>95246</v>
      </c>
      <c r="B2927" s="2">
        <v>151</v>
      </c>
      <c r="C2927" s="2">
        <v>95</v>
      </c>
      <c r="D2927" s="2">
        <v>2340</v>
      </c>
      <c r="E2927" s="2" t="s">
        <v>2927</v>
      </c>
      <c r="F2927" s="2">
        <v>2340</v>
      </c>
    </row>
    <row r="2928" spans="1:6" x14ac:dyDescent="0.25">
      <c r="A2928" s="1">
        <v>95247</v>
      </c>
      <c r="B2928" s="2">
        <v>152</v>
      </c>
      <c r="C2928" s="2">
        <v>95</v>
      </c>
      <c r="D2928" s="2">
        <v>1380</v>
      </c>
      <c r="E2928" s="2" t="s">
        <v>2928</v>
      </c>
      <c r="F2928" s="2">
        <v>1380</v>
      </c>
    </row>
    <row r="2929" spans="1:6" x14ac:dyDescent="0.25">
      <c r="A2929" s="1">
        <v>95248</v>
      </c>
      <c r="B2929" s="2">
        <v>153</v>
      </c>
      <c r="C2929" s="2">
        <v>95</v>
      </c>
      <c r="D2929" s="2">
        <v>600</v>
      </c>
      <c r="E2929" s="2" t="s">
        <v>2929</v>
      </c>
      <c r="F2929" s="2">
        <v>600</v>
      </c>
    </row>
    <row r="2930" spans="1:6" x14ac:dyDescent="0.25">
      <c r="A2930" s="1">
        <v>96233</v>
      </c>
      <c r="B2930" s="2">
        <v>137</v>
      </c>
      <c r="C2930" s="2">
        <v>96</v>
      </c>
      <c r="D2930" s="2">
        <v>23</v>
      </c>
      <c r="E2930" s="2" t="s">
        <v>2930</v>
      </c>
      <c r="F2930" s="2">
        <v>23</v>
      </c>
    </row>
    <row r="2931" spans="1:6" x14ac:dyDescent="0.25">
      <c r="A2931" s="1">
        <v>96234</v>
      </c>
      <c r="B2931" s="2">
        <v>138</v>
      </c>
      <c r="C2931" s="2">
        <v>96</v>
      </c>
      <c r="D2931" s="2">
        <v>51</v>
      </c>
      <c r="E2931" s="2" t="s">
        <v>2931</v>
      </c>
      <c r="F2931" s="2">
        <v>51</v>
      </c>
    </row>
    <row r="2932" spans="1:6" x14ac:dyDescent="0.25">
      <c r="A2932" s="1">
        <v>96238</v>
      </c>
      <c r="B2932" s="2">
        <v>142</v>
      </c>
      <c r="C2932" s="2">
        <v>96</v>
      </c>
      <c r="D2932" s="2">
        <v>7920</v>
      </c>
      <c r="E2932" s="2" t="s">
        <v>2932</v>
      </c>
      <c r="F2932" s="2">
        <v>7920</v>
      </c>
    </row>
    <row r="2933" spans="1:6" x14ac:dyDescent="0.25">
      <c r="A2933" s="1">
        <v>96239</v>
      </c>
      <c r="B2933" s="2">
        <v>143</v>
      </c>
      <c r="C2933" s="2">
        <v>96</v>
      </c>
      <c r="D2933" s="2">
        <v>9720</v>
      </c>
      <c r="E2933" s="2" t="s">
        <v>2933</v>
      </c>
      <c r="F2933" s="2">
        <v>9720</v>
      </c>
    </row>
    <row r="2934" spans="1:6" x14ac:dyDescent="0.25">
      <c r="A2934" s="1">
        <v>96240</v>
      </c>
      <c r="B2934" s="2">
        <v>144</v>
      </c>
      <c r="C2934" s="2">
        <v>96</v>
      </c>
      <c r="D2934" s="2">
        <v>2332800</v>
      </c>
      <c r="E2934" s="2" t="s">
        <v>2934</v>
      </c>
      <c r="F2934" s="2">
        <v>2332800</v>
      </c>
    </row>
    <row r="2935" spans="1:6" x14ac:dyDescent="0.25">
      <c r="A2935" s="1">
        <v>96241</v>
      </c>
      <c r="B2935" s="2">
        <v>145</v>
      </c>
      <c r="C2935" s="2">
        <v>96</v>
      </c>
      <c r="D2935" s="2">
        <v>2833919.9999999902</v>
      </c>
      <c r="E2935" s="2" t="s">
        <v>2935</v>
      </c>
      <c r="F2935" s="2">
        <v>2833919.9999999902</v>
      </c>
    </row>
    <row r="2936" spans="1:6" x14ac:dyDescent="0.25">
      <c r="A2936" s="1">
        <v>96242</v>
      </c>
      <c r="B2936" s="2">
        <v>146</v>
      </c>
      <c r="C2936" s="2">
        <v>96</v>
      </c>
      <c r="D2936" s="2">
        <v>14065920</v>
      </c>
      <c r="E2936" s="2" t="s">
        <v>2936</v>
      </c>
      <c r="F2936" s="2">
        <v>14065920</v>
      </c>
    </row>
    <row r="2937" spans="1:6" x14ac:dyDescent="0.25">
      <c r="A2937" s="1">
        <v>96243</v>
      </c>
      <c r="B2937" s="2">
        <v>147</v>
      </c>
      <c r="C2937" s="2">
        <v>96</v>
      </c>
      <c r="D2937" s="2">
        <v>918326160</v>
      </c>
      <c r="E2937" s="2" t="s">
        <v>2937</v>
      </c>
      <c r="F2937" s="2">
        <v>918326160</v>
      </c>
    </row>
    <row r="2938" spans="1:6" x14ac:dyDescent="0.25">
      <c r="A2938" s="1">
        <v>96244</v>
      </c>
      <c r="B2938" s="2">
        <v>148</v>
      </c>
      <c r="C2938" s="2">
        <v>96</v>
      </c>
      <c r="D2938" s="2">
        <v>571192560</v>
      </c>
      <c r="E2938" s="2" t="s">
        <v>2938</v>
      </c>
      <c r="F2938" s="2">
        <v>571192560</v>
      </c>
    </row>
    <row r="2939" spans="1:6" x14ac:dyDescent="0.25">
      <c r="A2939" s="1">
        <v>96245</v>
      </c>
      <c r="B2939" s="2">
        <v>149</v>
      </c>
      <c r="C2939" s="2">
        <v>96</v>
      </c>
      <c r="D2939" s="2">
        <v>265809664800</v>
      </c>
      <c r="E2939" s="2" t="s">
        <v>2939</v>
      </c>
      <c r="F2939" s="2">
        <v>265809664800</v>
      </c>
    </row>
    <row r="2940" spans="1:6" x14ac:dyDescent="0.25">
      <c r="A2940" s="1">
        <v>96246</v>
      </c>
      <c r="B2940" s="2">
        <v>150</v>
      </c>
      <c r="C2940" s="2">
        <v>96</v>
      </c>
      <c r="D2940" s="2">
        <v>148510065600</v>
      </c>
      <c r="E2940" s="2" t="s">
        <v>2940</v>
      </c>
      <c r="F2940" s="2">
        <v>148510065600</v>
      </c>
    </row>
    <row r="2941" spans="1:6" x14ac:dyDescent="0.25">
      <c r="A2941" s="1">
        <v>96247</v>
      </c>
      <c r="B2941" s="2">
        <v>151</v>
      </c>
      <c r="C2941" s="2">
        <v>96</v>
      </c>
      <c r="D2941" s="2">
        <v>492298560000000</v>
      </c>
      <c r="E2941" s="2" t="s">
        <v>2941</v>
      </c>
      <c r="F2941" s="2">
        <v>492298560000000</v>
      </c>
    </row>
    <row r="2942" spans="1:6" x14ac:dyDescent="0.25">
      <c r="A2942" s="1">
        <v>96248</v>
      </c>
      <c r="B2942" s="2">
        <v>152</v>
      </c>
      <c r="C2942" s="2">
        <v>96</v>
      </c>
      <c r="D2942" s="2">
        <v>10982044800000</v>
      </c>
      <c r="E2942" s="2" t="s">
        <v>2942</v>
      </c>
      <c r="F2942" s="2">
        <v>10982044800000</v>
      </c>
    </row>
    <row r="2943" spans="1:6" x14ac:dyDescent="0.25">
      <c r="A2943" s="1">
        <v>96249</v>
      </c>
      <c r="B2943" s="2">
        <v>153</v>
      </c>
      <c r="C2943" s="2">
        <v>96</v>
      </c>
      <c r="D2943" s="2">
        <v>3849</v>
      </c>
      <c r="E2943" s="2" t="s">
        <v>2943</v>
      </c>
      <c r="F2943" s="2">
        <v>3849</v>
      </c>
    </row>
    <row r="2944" spans="1:6" x14ac:dyDescent="0.25">
      <c r="A2944" s="1">
        <v>96250</v>
      </c>
      <c r="B2944" s="2">
        <v>154</v>
      </c>
      <c r="C2944" s="2">
        <v>96</v>
      </c>
      <c r="D2944" s="2">
        <v>261928080000</v>
      </c>
      <c r="E2944" s="2" t="s">
        <v>2944</v>
      </c>
      <c r="F2944" s="2">
        <v>261928080000</v>
      </c>
    </row>
    <row r="2945" spans="1:6" x14ac:dyDescent="0.25">
      <c r="A2945" s="1">
        <v>96251</v>
      </c>
      <c r="B2945" s="2">
        <v>155</v>
      </c>
      <c r="C2945" s="2">
        <v>96</v>
      </c>
      <c r="D2945" s="2">
        <v>1008</v>
      </c>
      <c r="E2945" s="2" t="s">
        <v>2945</v>
      </c>
      <c r="F2945" s="2">
        <v>1008</v>
      </c>
    </row>
    <row r="2946" spans="1:6" x14ac:dyDescent="0.25">
      <c r="A2946" s="1">
        <v>97234</v>
      </c>
      <c r="B2946" s="2">
        <v>137</v>
      </c>
      <c r="C2946" s="2">
        <v>97</v>
      </c>
      <c r="D2946" s="2">
        <v>140</v>
      </c>
      <c r="E2946" s="2" t="s">
        <v>2946</v>
      </c>
      <c r="F2946" s="2">
        <v>140</v>
      </c>
    </row>
    <row r="2947" spans="1:6" x14ac:dyDescent="0.25">
      <c r="A2947" s="1">
        <v>97237</v>
      </c>
      <c r="B2947" s="2">
        <v>140</v>
      </c>
      <c r="C2947" s="2">
        <v>97</v>
      </c>
      <c r="D2947" s="2">
        <v>60</v>
      </c>
      <c r="E2947" s="2" t="s">
        <v>2947</v>
      </c>
      <c r="F2947" s="2">
        <v>60</v>
      </c>
    </row>
    <row r="2948" spans="1:6" x14ac:dyDescent="0.25">
      <c r="A2948" s="1">
        <v>97238</v>
      </c>
      <c r="B2948" s="2">
        <v>141</v>
      </c>
      <c r="C2948" s="2">
        <v>97</v>
      </c>
      <c r="D2948" s="2">
        <v>144</v>
      </c>
      <c r="E2948" s="2" t="s">
        <v>2948</v>
      </c>
      <c r="F2948" s="2">
        <v>144</v>
      </c>
    </row>
    <row r="2949" spans="1:6" x14ac:dyDescent="0.25">
      <c r="A2949" s="1">
        <v>97240</v>
      </c>
      <c r="B2949" s="2">
        <v>143</v>
      </c>
      <c r="C2949" s="2">
        <v>97</v>
      </c>
      <c r="D2949" s="2">
        <v>288</v>
      </c>
      <c r="E2949" s="2" t="s">
        <v>2949</v>
      </c>
      <c r="F2949" s="2">
        <v>288</v>
      </c>
    </row>
    <row r="2950" spans="1:6" x14ac:dyDescent="0.25">
      <c r="A2950" s="1">
        <v>97241</v>
      </c>
      <c r="B2950" s="2">
        <v>144</v>
      </c>
      <c r="C2950" s="2">
        <v>97</v>
      </c>
      <c r="D2950" s="2">
        <v>276</v>
      </c>
      <c r="E2950" s="2" t="s">
        <v>2950</v>
      </c>
      <c r="F2950" s="2">
        <v>276</v>
      </c>
    </row>
    <row r="2951" spans="1:6" x14ac:dyDescent="0.25">
      <c r="A2951" s="1">
        <v>97242</v>
      </c>
      <c r="B2951" s="2">
        <v>145</v>
      </c>
      <c r="C2951" s="2">
        <v>97</v>
      </c>
      <c r="D2951" s="2">
        <v>420</v>
      </c>
      <c r="E2951" s="2" t="s">
        <v>2951</v>
      </c>
      <c r="F2951" s="2">
        <v>420</v>
      </c>
    </row>
    <row r="2952" spans="1:6" x14ac:dyDescent="0.25">
      <c r="A2952" s="1">
        <v>97243</v>
      </c>
      <c r="B2952" s="2">
        <v>146</v>
      </c>
      <c r="C2952" s="2">
        <v>97</v>
      </c>
      <c r="D2952" s="2">
        <v>16200</v>
      </c>
      <c r="E2952" s="2" t="s">
        <v>2952</v>
      </c>
      <c r="F2952" s="2">
        <v>16200</v>
      </c>
    </row>
    <row r="2953" spans="1:6" x14ac:dyDescent="0.25">
      <c r="A2953" s="1">
        <v>97244</v>
      </c>
      <c r="B2953" s="2">
        <v>147</v>
      </c>
      <c r="C2953" s="2">
        <v>97</v>
      </c>
      <c r="D2953" s="2">
        <v>15659.9999999999</v>
      </c>
      <c r="E2953" s="2" t="s">
        <v>2953</v>
      </c>
      <c r="F2953" s="2">
        <v>15659.9999999999</v>
      </c>
    </row>
    <row r="2954" spans="1:6" x14ac:dyDescent="0.25">
      <c r="A2954" s="1">
        <v>97245</v>
      </c>
      <c r="B2954" s="2">
        <v>148</v>
      </c>
      <c r="C2954" s="2">
        <v>97</v>
      </c>
      <c r="D2954" s="2">
        <v>427680</v>
      </c>
      <c r="E2954" s="2" t="s">
        <v>2954</v>
      </c>
      <c r="F2954" s="2">
        <v>427680</v>
      </c>
    </row>
    <row r="2955" spans="1:6" x14ac:dyDescent="0.25">
      <c r="A2955" s="1">
        <v>97246</v>
      </c>
      <c r="B2955" s="2">
        <v>149</v>
      </c>
      <c r="C2955" s="2">
        <v>97</v>
      </c>
      <c r="D2955" s="2">
        <v>155520</v>
      </c>
      <c r="E2955" s="2" t="s">
        <v>2955</v>
      </c>
      <c r="F2955" s="2">
        <v>155520</v>
      </c>
    </row>
    <row r="2956" spans="1:6" x14ac:dyDescent="0.25">
      <c r="A2956" s="1">
        <v>97247</v>
      </c>
      <c r="B2956" s="2">
        <v>150</v>
      </c>
      <c r="C2956" s="2">
        <v>97</v>
      </c>
      <c r="D2956" s="2">
        <v>43549488000</v>
      </c>
      <c r="E2956" s="2" t="s">
        <v>2956</v>
      </c>
      <c r="F2956" s="2">
        <v>43549488000</v>
      </c>
    </row>
    <row r="2957" spans="1:6" x14ac:dyDescent="0.25">
      <c r="A2957" s="1">
        <v>97248</v>
      </c>
      <c r="B2957" s="2">
        <v>151</v>
      </c>
      <c r="C2957" s="2">
        <v>97</v>
      </c>
      <c r="D2957" s="2">
        <v>284018400</v>
      </c>
      <c r="E2957" s="2" t="s">
        <v>2957</v>
      </c>
      <c r="F2957" s="2">
        <v>284018400</v>
      </c>
    </row>
    <row r="2958" spans="1:6" x14ac:dyDescent="0.25">
      <c r="A2958" s="1">
        <v>97249</v>
      </c>
      <c r="B2958" s="2">
        <v>152</v>
      </c>
      <c r="C2958" s="2">
        <v>97</v>
      </c>
      <c r="D2958" s="2">
        <v>28512000</v>
      </c>
      <c r="E2958" s="2" t="s">
        <v>2958</v>
      </c>
      <c r="F2958" s="2">
        <v>28512000</v>
      </c>
    </row>
    <row r="2959" spans="1:6" x14ac:dyDescent="0.25">
      <c r="A2959" s="1">
        <v>97250</v>
      </c>
      <c r="B2959" s="2">
        <v>153</v>
      </c>
      <c r="C2959" s="2">
        <v>97</v>
      </c>
      <c r="D2959" s="2">
        <v>11563.2</v>
      </c>
      <c r="E2959" s="2" t="s">
        <v>2959</v>
      </c>
      <c r="F2959" s="2">
        <v>11563.2</v>
      </c>
    </row>
    <row r="2960" spans="1:6" x14ac:dyDescent="0.25">
      <c r="A2960" s="1">
        <v>97251</v>
      </c>
      <c r="B2960" s="2">
        <v>154</v>
      </c>
      <c r="C2960" s="2">
        <v>97</v>
      </c>
      <c r="D2960" s="2">
        <v>3336</v>
      </c>
      <c r="E2960" s="2" t="s">
        <v>2960</v>
      </c>
      <c r="F2960" s="2">
        <v>3336</v>
      </c>
    </row>
    <row r="2961" spans="1:6" x14ac:dyDescent="0.25">
      <c r="A2961" s="1">
        <v>97253</v>
      </c>
      <c r="B2961" s="2">
        <v>156</v>
      </c>
      <c r="C2961" s="2">
        <v>97</v>
      </c>
      <c r="D2961" s="2">
        <v>600</v>
      </c>
      <c r="E2961" s="2" t="s">
        <v>2961</v>
      </c>
      <c r="F2961" s="2">
        <v>600</v>
      </c>
    </row>
    <row r="2962" spans="1:6" x14ac:dyDescent="0.25">
      <c r="A2962" s="1">
        <v>98237</v>
      </c>
      <c r="B2962" s="2">
        <v>139</v>
      </c>
      <c r="C2962" s="2">
        <v>98</v>
      </c>
      <c r="D2962" s="2">
        <v>0.8</v>
      </c>
      <c r="E2962" s="2" t="s">
        <v>2962</v>
      </c>
      <c r="F2962" s="2">
        <v>0.8</v>
      </c>
    </row>
    <row r="2963" spans="1:6" x14ac:dyDescent="0.25">
      <c r="A2963" s="1">
        <v>98238</v>
      </c>
      <c r="B2963" s="2">
        <v>140</v>
      </c>
      <c r="C2963" s="2">
        <v>98</v>
      </c>
      <c r="D2963" s="2">
        <v>2.1100000000000001E-2</v>
      </c>
      <c r="E2963" s="2" t="s">
        <v>2963</v>
      </c>
      <c r="F2963" s="2">
        <v>2.1100000000000001E-2</v>
      </c>
    </row>
    <row r="2964" spans="1:6" x14ac:dyDescent="0.25">
      <c r="A2964" s="1">
        <v>98239</v>
      </c>
      <c r="B2964" s="2">
        <v>141</v>
      </c>
      <c r="C2964" s="2">
        <v>98</v>
      </c>
      <c r="D2964" s="2">
        <v>39</v>
      </c>
      <c r="E2964" s="2" t="s">
        <v>2964</v>
      </c>
      <c r="F2964" s="2">
        <v>39</v>
      </c>
    </row>
    <row r="2965" spans="1:6" x14ac:dyDescent="0.25">
      <c r="A2965" s="1">
        <v>98240</v>
      </c>
      <c r="B2965" s="2">
        <v>142</v>
      </c>
      <c r="C2965" s="2">
        <v>98</v>
      </c>
      <c r="D2965" s="2">
        <v>64</v>
      </c>
      <c r="E2965" s="2" t="s">
        <v>2965</v>
      </c>
      <c r="F2965" s="2">
        <v>64</v>
      </c>
    </row>
    <row r="2966" spans="1:6" x14ac:dyDescent="0.25">
      <c r="A2966" s="1">
        <v>98241</v>
      </c>
      <c r="B2966" s="2">
        <v>143</v>
      </c>
      <c r="C2966" s="2">
        <v>98</v>
      </c>
      <c r="D2966" s="2">
        <v>226.79999999999899</v>
      </c>
      <c r="E2966" s="2" t="s">
        <v>2966</v>
      </c>
      <c r="F2966" s="2">
        <v>226.79999999999899</v>
      </c>
    </row>
    <row r="2967" spans="1:6" x14ac:dyDescent="0.25">
      <c r="A2967" s="1">
        <v>98242</v>
      </c>
      <c r="B2967" s="2">
        <v>144</v>
      </c>
      <c r="C2967" s="2">
        <v>98</v>
      </c>
      <c r="D2967" s="2">
        <v>209.4</v>
      </c>
      <c r="E2967" s="2" t="s">
        <v>2967</v>
      </c>
      <c r="F2967" s="2">
        <v>209.4</v>
      </c>
    </row>
    <row r="2968" spans="1:6" x14ac:dyDescent="0.25">
      <c r="A2968" s="1">
        <v>98243</v>
      </c>
      <c r="B2968" s="2">
        <v>145</v>
      </c>
      <c r="C2968" s="2">
        <v>98</v>
      </c>
      <c r="D2968" s="2">
        <v>642</v>
      </c>
      <c r="E2968" s="2" t="s">
        <v>2968</v>
      </c>
      <c r="F2968" s="2">
        <v>642</v>
      </c>
    </row>
    <row r="2969" spans="1:6" x14ac:dyDescent="0.25">
      <c r="A2969" s="1">
        <v>98244</v>
      </c>
      <c r="B2969" s="2">
        <v>146</v>
      </c>
      <c r="C2969" s="2">
        <v>98</v>
      </c>
      <c r="D2969" s="2">
        <v>1164</v>
      </c>
      <c r="E2969" s="2" t="s">
        <v>2969</v>
      </c>
      <c r="F2969" s="2">
        <v>1164</v>
      </c>
    </row>
    <row r="2970" spans="1:6" x14ac:dyDescent="0.25">
      <c r="A2970" s="1">
        <v>98245</v>
      </c>
      <c r="B2970" s="2">
        <v>147</v>
      </c>
      <c r="C2970" s="2">
        <v>98</v>
      </c>
      <c r="D2970" s="2">
        <v>2700</v>
      </c>
      <c r="E2970" s="2" t="s">
        <v>2970</v>
      </c>
      <c r="F2970" s="2">
        <v>2700</v>
      </c>
    </row>
    <row r="2971" spans="1:6" x14ac:dyDescent="0.25">
      <c r="A2971" s="1">
        <v>98246</v>
      </c>
      <c r="B2971" s="2">
        <v>148</v>
      </c>
      <c r="C2971" s="2">
        <v>98</v>
      </c>
      <c r="D2971" s="2">
        <v>128520</v>
      </c>
      <c r="E2971" s="2" t="s">
        <v>2971</v>
      </c>
      <c r="F2971" s="2">
        <v>128520</v>
      </c>
    </row>
    <row r="2972" spans="1:6" x14ac:dyDescent="0.25">
      <c r="A2972" s="1">
        <v>98247</v>
      </c>
      <c r="B2972" s="2">
        <v>149</v>
      </c>
      <c r="C2972" s="2">
        <v>98</v>
      </c>
      <c r="D2972" s="2">
        <v>11196</v>
      </c>
      <c r="E2972" s="2" t="s">
        <v>2972</v>
      </c>
      <c r="F2972" s="2">
        <v>11196</v>
      </c>
    </row>
    <row r="2973" spans="1:6" x14ac:dyDescent="0.25">
      <c r="A2973" s="1">
        <v>98248</v>
      </c>
      <c r="B2973" s="2">
        <v>150</v>
      </c>
      <c r="C2973" s="2">
        <v>98</v>
      </c>
      <c r="D2973" s="2">
        <v>28814400</v>
      </c>
      <c r="E2973" s="2" t="s">
        <v>2973</v>
      </c>
      <c r="F2973" s="2">
        <v>28814400</v>
      </c>
    </row>
    <row r="2974" spans="1:6" x14ac:dyDescent="0.25">
      <c r="A2974" s="1">
        <v>98249</v>
      </c>
      <c r="B2974" s="2">
        <v>151</v>
      </c>
      <c r="C2974" s="2">
        <v>98</v>
      </c>
      <c r="D2974" s="2">
        <v>11076717600</v>
      </c>
      <c r="E2974" s="2" t="s">
        <v>2974</v>
      </c>
      <c r="F2974" s="2">
        <v>11076717600</v>
      </c>
    </row>
    <row r="2975" spans="1:6" x14ac:dyDescent="0.25">
      <c r="A2975" s="1">
        <v>98250</v>
      </c>
      <c r="B2975" s="2">
        <v>152</v>
      </c>
      <c r="C2975" s="2">
        <v>98</v>
      </c>
      <c r="D2975" s="2">
        <v>412773408</v>
      </c>
      <c r="E2975" s="2" t="s">
        <v>2975</v>
      </c>
      <c r="F2975" s="2">
        <v>412773408</v>
      </c>
    </row>
    <row r="2976" spans="1:6" x14ac:dyDescent="0.25">
      <c r="A2976" s="1">
        <v>98251</v>
      </c>
      <c r="B2976" s="2">
        <v>153</v>
      </c>
      <c r="C2976" s="2">
        <v>98</v>
      </c>
      <c r="D2976" s="2">
        <v>28338724800</v>
      </c>
      <c r="E2976" s="2" t="s">
        <v>2976</v>
      </c>
      <c r="F2976" s="2">
        <v>28338724800</v>
      </c>
    </row>
    <row r="2977" spans="1:6" x14ac:dyDescent="0.25">
      <c r="A2977" s="1">
        <v>98252</v>
      </c>
      <c r="B2977" s="2">
        <v>154</v>
      </c>
      <c r="C2977" s="2">
        <v>98</v>
      </c>
      <c r="D2977" s="2">
        <v>83469852</v>
      </c>
      <c r="E2977" s="2" t="s">
        <v>2977</v>
      </c>
      <c r="F2977" s="2">
        <v>83469852</v>
      </c>
    </row>
    <row r="2978" spans="1:6" x14ac:dyDescent="0.25">
      <c r="A2978" s="1">
        <v>98253</v>
      </c>
      <c r="B2978" s="2">
        <v>155</v>
      </c>
      <c r="C2978" s="2">
        <v>98</v>
      </c>
      <c r="D2978" s="2">
        <v>1538784</v>
      </c>
      <c r="E2978" s="2" t="s">
        <v>2978</v>
      </c>
      <c r="F2978" s="2">
        <v>1538784</v>
      </c>
    </row>
    <row r="2979" spans="1:6" x14ac:dyDescent="0.25">
      <c r="A2979" s="1">
        <v>98254</v>
      </c>
      <c r="B2979" s="2">
        <v>156</v>
      </c>
      <c r="C2979" s="2">
        <v>98</v>
      </c>
      <c r="D2979" s="2">
        <v>5227200</v>
      </c>
      <c r="E2979" s="2" t="s">
        <v>2979</v>
      </c>
      <c r="F2979" s="2">
        <v>5227200</v>
      </c>
    </row>
    <row r="2980" spans="1:6" x14ac:dyDescent="0.25">
      <c r="A2980" s="1">
        <v>98255</v>
      </c>
      <c r="B2980" s="2">
        <v>157</v>
      </c>
      <c r="C2980" s="2">
        <v>98</v>
      </c>
      <c r="D2980" s="2">
        <v>5100</v>
      </c>
      <c r="E2980" s="2" t="s">
        <v>2980</v>
      </c>
      <c r="F2980" s="2">
        <v>5100</v>
      </c>
    </row>
    <row r="2981" spans="1:6" x14ac:dyDescent="0.25">
      <c r="A2981" s="1">
        <v>98256</v>
      </c>
      <c r="B2981" s="2">
        <v>158</v>
      </c>
      <c r="C2981" s="2">
        <v>98</v>
      </c>
      <c r="D2981" s="2">
        <v>738</v>
      </c>
      <c r="E2981" s="2" t="s">
        <v>2981</v>
      </c>
      <c r="F2981" s="2">
        <v>738</v>
      </c>
    </row>
    <row r="2982" spans="1:6" x14ac:dyDescent="0.25">
      <c r="A2982" s="1">
        <v>99241</v>
      </c>
      <c r="B2982" s="2">
        <v>142</v>
      </c>
      <c r="C2982" s="2">
        <v>99</v>
      </c>
      <c r="D2982" s="2">
        <v>8</v>
      </c>
      <c r="E2982" s="2" t="s">
        <v>2982</v>
      </c>
      <c r="F2982" s="2">
        <v>8</v>
      </c>
    </row>
    <row r="2983" spans="1:6" x14ac:dyDescent="0.25">
      <c r="A2983" s="1">
        <v>99242</v>
      </c>
      <c r="B2983" s="2">
        <v>143</v>
      </c>
      <c r="C2983" s="2">
        <v>99</v>
      </c>
      <c r="D2983" s="2">
        <v>17.8</v>
      </c>
      <c r="E2983" s="2" t="s">
        <v>2983</v>
      </c>
      <c r="F2983" s="2">
        <v>17.8</v>
      </c>
    </row>
    <row r="2984" spans="1:6" x14ac:dyDescent="0.25">
      <c r="A2984" s="1">
        <v>99243</v>
      </c>
      <c r="B2984" s="2">
        <v>144</v>
      </c>
      <c r="C2984" s="2">
        <v>99</v>
      </c>
      <c r="D2984" s="2">
        <v>21</v>
      </c>
      <c r="E2984" s="2" t="s">
        <v>2984</v>
      </c>
      <c r="F2984" s="2">
        <v>21</v>
      </c>
    </row>
    <row r="2985" spans="1:6" x14ac:dyDescent="0.25">
      <c r="A2985" s="1">
        <v>99244</v>
      </c>
      <c r="B2985" s="2">
        <v>145</v>
      </c>
      <c r="C2985" s="2">
        <v>99</v>
      </c>
      <c r="D2985" s="2">
        <v>37</v>
      </c>
      <c r="E2985" s="2" t="s">
        <v>2985</v>
      </c>
      <c r="F2985" s="2">
        <v>37</v>
      </c>
    </row>
    <row r="2986" spans="1:6" x14ac:dyDescent="0.25">
      <c r="A2986" s="1">
        <v>99245</v>
      </c>
      <c r="B2986" s="2">
        <v>146</v>
      </c>
      <c r="C2986" s="2">
        <v>99</v>
      </c>
      <c r="D2986" s="2">
        <v>66</v>
      </c>
      <c r="E2986" s="2" t="s">
        <v>2986</v>
      </c>
      <c r="F2986" s="2">
        <v>66</v>
      </c>
    </row>
    <row r="2987" spans="1:6" x14ac:dyDescent="0.25">
      <c r="A2987" s="1">
        <v>99246</v>
      </c>
      <c r="B2987" s="2">
        <v>147</v>
      </c>
      <c r="C2987" s="2">
        <v>99</v>
      </c>
      <c r="D2987" s="2">
        <v>450</v>
      </c>
      <c r="E2987" s="2" t="s">
        <v>2987</v>
      </c>
      <c r="F2987" s="2">
        <v>450</v>
      </c>
    </row>
    <row r="2988" spans="1:6" x14ac:dyDescent="0.25">
      <c r="A2988" s="1">
        <v>99247</v>
      </c>
      <c r="B2988" s="2">
        <v>148</v>
      </c>
      <c r="C2988" s="2">
        <v>99</v>
      </c>
      <c r="D2988" s="2">
        <v>273</v>
      </c>
      <c r="E2988" s="2" t="s">
        <v>2988</v>
      </c>
      <c r="F2988" s="2">
        <v>273</v>
      </c>
    </row>
    <row r="2989" spans="1:6" x14ac:dyDescent="0.25">
      <c r="A2989" s="1">
        <v>99248</v>
      </c>
      <c r="B2989" s="2">
        <v>149</v>
      </c>
      <c r="C2989" s="2">
        <v>99</v>
      </c>
      <c r="D2989" s="2">
        <v>1440</v>
      </c>
      <c r="E2989" s="2" t="s">
        <v>2989</v>
      </c>
      <c r="F2989" s="2">
        <v>1440</v>
      </c>
    </row>
    <row r="2990" spans="1:6" x14ac:dyDescent="0.25">
      <c r="A2990" s="1">
        <v>99249</v>
      </c>
      <c r="B2990" s="2">
        <v>150</v>
      </c>
      <c r="C2990" s="2">
        <v>99</v>
      </c>
      <c r="D2990" s="2">
        <v>6132</v>
      </c>
      <c r="E2990" s="2" t="s">
        <v>2990</v>
      </c>
      <c r="F2990" s="2">
        <v>6132</v>
      </c>
    </row>
    <row r="2991" spans="1:6" x14ac:dyDescent="0.25">
      <c r="A2991" s="1">
        <v>99250</v>
      </c>
      <c r="B2991" s="2">
        <v>151</v>
      </c>
      <c r="C2991" s="2">
        <v>99</v>
      </c>
      <c r="D2991" s="2">
        <v>30960</v>
      </c>
      <c r="E2991" s="2" t="s">
        <v>2991</v>
      </c>
      <c r="F2991" s="2">
        <v>30960</v>
      </c>
    </row>
    <row r="2992" spans="1:6" x14ac:dyDescent="0.25">
      <c r="A2992" s="1">
        <v>99251</v>
      </c>
      <c r="B2992" s="2">
        <v>152</v>
      </c>
      <c r="C2992" s="2">
        <v>99</v>
      </c>
      <c r="D2992" s="2">
        <v>118800</v>
      </c>
      <c r="E2992" s="2" t="s">
        <v>2992</v>
      </c>
      <c r="F2992" s="2">
        <v>118800</v>
      </c>
    </row>
    <row r="2993" spans="1:6" x14ac:dyDescent="0.25">
      <c r="A2993" s="1">
        <v>99252</v>
      </c>
      <c r="B2993" s="2">
        <v>153</v>
      </c>
      <c r="C2993" s="2">
        <v>99</v>
      </c>
      <c r="D2993" s="2">
        <v>40754880</v>
      </c>
      <c r="E2993" s="2" t="s">
        <v>2993</v>
      </c>
      <c r="F2993" s="2">
        <v>40754880</v>
      </c>
    </row>
    <row r="2994" spans="1:6" x14ac:dyDescent="0.25">
      <c r="A2994" s="1">
        <v>99253</v>
      </c>
      <c r="B2994" s="2">
        <v>154</v>
      </c>
      <c r="C2994" s="2">
        <v>99</v>
      </c>
      <c r="D2994" s="2">
        <v>1768608</v>
      </c>
      <c r="E2994" s="2" t="s">
        <v>2994</v>
      </c>
      <c r="F2994" s="2">
        <v>1768608</v>
      </c>
    </row>
    <row r="2995" spans="1:6" x14ac:dyDescent="0.25">
      <c r="A2995" s="1">
        <v>99254</v>
      </c>
      <c r="B2995" s="2">
        <v>155</v>
      </c>
      <c r="C2995" s="2">
        <v>99</v>
      </c>
      <c r="D2995" s="2">
        <v>23820480</v>
      </c>
      <c r="E2995" s="2" t="s">
        <v>2995</v>
      </c>
      <c r="F2995" s="2">
        <v>23820480</v>
      </c>
    </row>
    <row r="2996" spans="1:6" x14ac:dyDescent="0.25">
      <c r="A2996" s="1">
        <v>99255</v>
      </c>
      <c r="B2996" s="2">
        <v>156</v>
      </c>
      <c r="C2996" s="2">
        <v>99</v>
      </c>
      <c r="D2996" s="2">
        <v>3438719.9999999902</v>
      </c>
      <c r="E2996" s="2" t="s">
        <v>2996</v>
      </c>
      <c r="F2996" s="2">
        <v>3438719.9999999902</v>
      </c>
    </row>
    <row r="2997" spans="1:6" x14ac:dyDescent="0.25">
      <c r="A2997" s="1">
        <v>99256</v>
      </c>
      <c r="B2997" s="2">
        <v>157</v>
      </c>
      <c r="C2997" s="2">
        <v>99</v>
      </c>
      <c r="D2997" s="2">
        <v>1524</v>
      </c>
      <c r="E2997" s="2" t="s">
        <v>2997</v>
      </c>
      <c r="F2997" s="2">
        <v>1524</v>
      </c>
    </row>
    <row r="2998" spans="1:6" x14ac:dyDescent="0.25">
      <c r="A2998" s="1">
        <v>99257</v>
      </c>
      <c r="B2998" s="2">
        <v>158</v>
      </c>
      <c r="C2998" s="2">
        <v>99</v>
      </c>
      <c r="D2998" s="2">
        <v>665280</v>
      </c>
      <c r="E2998" s="2" t="s">
        <v>2998</v>
      </c>
      <c r="F2998" s="2">
        <v>665280</v>
      </c>
    </row>
    <row r="2999" spans="1:6" x14ac:dyDescent="0.25">
      <c r="A2999" s="1">
        <v>100241</v>
      </c>
      <c r="B2999" s="2">
        <v>141</v>
      </c>
      <c r="C2999" s="2">
        <v>100</v>
      </c>
      <c r="D2999" s="2">
        <v>7.2999999999999996E-4</v>
      </c>
      <c r="E2999" s="2" t="s">
        <v>2999</v>
      </c>
      <c r="F2999" s="2">
        <v>7.2999999999999996E-4</v>
      </c>
    </row>
    <row r="3000" spans="1:6" x14ac:dyDescent="0.25">
      <c r="A3000" s="1">
        <v>100243</v>
      </c>
      <c r="B3000" s="2">
        <v>143</v>
      </c>
      <c r="C3000" s="2">
        <v>100</v>
      </c>
      <c r="D3000" s="2">
        <v>0.23100000000000001</v>
      </c>
      <c r="E3000" s="2" t="s">
        <v>3000</v>
      </c>
      <c r="F3000" s="2">
        <v>0.23100000000000001</v>
      </c>
    </row>
    <row r="3001" spans="1:6" x14ac:dyDescent="0.25">
      <c r="A3001" s="1">
        <v>100244</v>
      </c>
      <c r="B3001" s="2">
        <v>144</v>
      </c>
      <c r="C3001" s="2">
        <v>100</v>
      </c>
      <c r="D3001" s="2">
        <v>3.1199999999999999E-3</v>
      </c>
      <c r="E3001" s="2" t="s">
        <v>3001</v>
      </c>
      <c r="F3001" s="2">
        <v>3.1199999999999999E-3</v>
      </c>
    </row>
    <row r="3002" spans="1:6" x14ac:dyDescent="0.25">
      <c r="A3002" s="1">
        <v>100245</v>
      </c>
      <c r="B3002" s="2">
        <v>145</v>
      </c>
      <c r="C3002" s="2">
        <v>100</v>
      </c>
      <c r="D3002" s="2">
        <v>4.2</v>
      </c>
      <c r="E3002" s="2" t="s">
        <v>3002</v>
      </c>
      <c r="F3002" s="2">
        <v>4.2</v>
      </c>
    </row>
    <row r="3003" spans="1:6" x14ac:dyDescent="0.25">
      <c r="A3003" s="1">
        <v>100246</v>
      </c>
      <c r="B3003" s="2">
        <v>146</v>
      </c>
      <c r="C3003" s="2">
        <v>100</v>
      </c>
      <c r="D3003" s="2">
        <v>1.54</v>
      </c>
      <c r="E3003" s="2" t="s">
        <v>3003</v>
      </c>
      <c r="F3003" s="2">
        <v>1.54</v>
      </c>
    </row>
    <row r="3004" spans="1:6" x14ac:dyDescent="0.25">
      <c r="A3004" s="1">
        <v>100247</v>
      </c>
      <c r="B3004" s="2">
        <v>147</v>
      </c>
      <c r="C3004" s="2">
        <v>100</v>
      </c>
      <c r="D3004" s="2">
        <v>31</v>
      </c>
      <c r="E3004" s="2" t="s">
        <v>3004</v>
      </c>
      <c r="F3004" s="2">
        <v>31</v>
      </c>
    </row>
    <row r="3005" spans="1:6" x14ac:dyDescent="0.25">
      <c r="A3005" s="1">
        <v>100248</v>
      </c>
      <c r="B3005" s="2">
        <v>148</v>
      </c>
      <c r="C3005" s="2">
        <v>100</v>
      </c>
      <c r="D3005" s="2">
        <v>34.5</v>
      </c>
      <c r="E3005" s="2" t="s">
        <v>3005</v>
      </c>
      <c r="F3005" s="2">
        <v>34.5</v>
      </c>
    </row>
    <row r="3006" spans="1:6" x14ac:dyDescent="0.25">
      <c r="A3006" s="1">
        <v>100249</v>
      </c>
      <c r="B3006" s="2">
        <v>149</v>
      </c>
      <c r="C3006" s="2">
        <v>100</v>
      </c>
      <c r="D3006" s="2">
        <v>156</v>
      </c>
      <c r="E3006" s="2" t="s">
        <v>3006</v>
      </c>
      <c r="F3006" s="2">
        <v>156</v>
      </c>
    </row>
    <row r="3007" spans="1:6" x14ac:dyDescent="0.25">
      <c r="A3007" s="1">
        <v>100250</v>
      </c>
      <c r="B3007" s="2">
        <v>150</v>
      </c>
      <c r="C3007" s="2">
        <v>100</v>
      </c>
      <c r="D3007" s="2">
        <v>1800</v>
      </c>
      <c r="E3007" s="2" t="s">
        <v>3007</v>
      </c>
      <c r="F3007" s="2">
        <v>1800</v>
      </c>
    </row>
    <row r="3008" spans="1:6" x14ac:dyDescent="0.25">
      <c r="A3008" s="1">
        <v>100251</v>
      </c>
      <c r="B3008" s="2">
        <v>151</v>
      </c>
      <c r="C3008" s="2">
        <v>100</v>
      </c>
      <c r="D3008" s="2">
        <v>19080</v>
      </c>
      <c r="E3008" s="2" t="s">
        <v>3008</v>
      </c>
      <c r="F3008" s="2">
        <v>19080</v>
      </c>
    </row>
    <row r="3009" spans="1:6" x14ac:dyDescent="0.25">
      <c r="A3009" s="1">
        <v>100252</v>
      </c>
      <c r="B3009" s="2">
        <v>152</v>
      </c>
      <c r="C3009" s="2">
        <v>100</v>
      </c>
      <c r="D3009" s="2">
        <v>91404</v>
      </c>
      <c r="E3009" s="2" t="s">
        <v>3009</v>
      </c>
      <c r="F3009" s="2">
        <v>91404</v>
      </c>
    </row>
    <row r="3010" spans="1:6" x14ac:dyDescent="0.25">
      <c r="A3010" s="1">
        <v>100253</v>
      </c>
      <c r="B3010" s="2">
        <v>153</v>
      </c>
      <c r="C3010" s="2">
        <v>100</v>
      </c>
      <c r="D3010" s="2">
        <v>259200</v>
      </c>
      <c r="E3010" s="2" t="s">
        <v>3010</v>
      </c>
      <c r="F3010" s="2">
        <v>259200</v>
      </c>
    </row>
    <row r="3011" spans="1:6" x14ac:dyDescent="0.25">
      <c r="A3011" s="1">
        <v>100254</v>
      </c>
      <c r="B3011" s="2">
        <v>154</v>
      </c>
      <c r="C3011" s="2">
        <v>100</v>
      </c>
      <c r="D3011" s="2">
        <v>11664</v>
      </c>
      <c r="E3011" s="2" t="s">
        <v>3011</v>
      </c>
      <c r="F3011" s="2">
        <v>11664</v>
      </c>
    </row>
    <row r="3012" spans="1:6" x14ac:dyDescent="0.25">
      <c r="A3012" s="1">
        <v>100255</v>
      </c>
      <c r="B3012" s="2">
        <v>155</v>
      </c>
      <c r="C3012" s="2">
        <v>100</v>
      </c>
      <c r="D3012" s="2">
        <v>72252</v>
      </c>
      <c r="E3012" s="2" t="s">
        <v>3012</v>
      </c>
      <c r="F3012" s="2">
        <v>72252</v>
      </c>
    </row>
    <row r="3013" spans="1:6" x14ac:dyDescent="0.25">
      <c r="A3013" s="1">
        <v>100256</v>
      </c>
      <c r="B3013" s="2">
        <v>156</v>
      </c>
      <c r="C3013" s="2">
        <v>100</v>
      </c>
      <c r="D3013" s="2">
        <v>9456</v>
      </c>
      <c r="E3013" s="2" t="s">
        <v>3013</v>
      </c>
      <c r="F3013" s="2">
        <v>9456</v>
      </c>
    </row>
    <row r="3014" spans="1:6" x14ac:dyDescent="0.25">
      <c r="A3014" s="1">
        <v>100257</v>
      </c>
      <c r="B3014" s="2">
        <v>157</v>
      </c>
      <c r="C3014" s="2">
        <v>100</v>
      </c>
      <c r="D3014" s="2">
        <v>8683200</v>
      </c>
      <c r="E3014" s="2" t="s">
        <v>3014</v>
      </c>
      <c r="F3014" s="2">
        <v>8683200</v>
      </c>
    </row>
    <row r="3015" spans="1:6" x14ac:dyDescent="0.25">
      <c r="A3015" s="1">
        <v>100258</v>
      </c>
      <c r="B3015" s="2">
        <v>158</v>
      </c>
      <c r="C3015" s="2">
        <v>100</v>
      </c>
      <c r="D3015" s="2">
        <v>3.6999999999999999E-4</v>
      </c>
      <c r="E3015" s="2" t="s">
        <v>3015</v>
      </c>
      <c r="F3015" s="2">
        <v>3.6999999999999999E-4</v>
      </c>
    </row>
    <row r="3016" spans="1:6" x14ac:dyDescent="0.25">
      <c r="A3016" s="1">
        <v>100259</v>
      </c>
      <c r="B3016" s="2">
        <v>159</v>
      </c>
      <c r="C3016" s="2">
        <v>100</v>
      </c>
      <c r="D3016" s="2">
        <v>1.5</v>
      </c>
      <c r="E3016" s="2" t="s">
        <v>3016</v>
      </c>
      <c r="F3016" s="2">
        <v>1.5</v>
      </c>
    </row>
    <row r="3017" spans="1:6" x14ac:dyDescent="0.25">
      <c r="A3017" s="1">
        <v>100260</v>
      </c>
      <c r="B3017" s="2">
        <v>160</v>
      </c>
      <c r="C3017" s="2">
        <v>100</v>
      </c>
      <c r="D3017" s="2">
        <v>4.0000000000000001E-3</v>
      </c>
      <c r="E3017" s="2" t="s">
        <v>3017</v>
      </c>
      <c r="F3017" s="2">
        <v>4.0000000000000001E-3</v>
      </c>
    </row>
    <row r="3018" spans="1:6" x14ac:dyDescent="0.25">
      <c r="A3018" s="1">
        <v>101245</v>
      </c>
      <c r="B3018" s="2">
        <v>144</v>
      </c>
      <c r="C3018" s="2">
        <v>101</v>
      </c>
      <c r="D3018" s="2">
        <v>8.9999999999999998E-4</v>
      </c>
      <c r="E3018" s="2" t="s">
        <v>3018</v>
      </c>
      <c r="F3018" s="2">
        <v>8.9999999999999998E-4</v>
      </c>
    </row>
    <row r="3019" spans="1:6" x14ac:dyDescent="0.25">
      <c r="A3019" s="1">
        <v>101246</v>
      </c>
      <c r="B3019" s="2">
        <v>145</v>
      </c>
      <c r="C3019" s="2">
        <v>101</v>
      </c>
      <c r="D3019" s="2">
        <v>0.9</v>
      </c>
      <c r="E3019" s="2" t="s">
        <v>3019</v>
      </c>
      <c r="F3019" s="2">
        <v>0.9</v>
      </c>
    </row>
    <row r="3020" spans="1:6" x14ac:dyDescent="0.25">
      <c r="A3020" s="1">
        <v>101247</v>
      </c>
      <c r="B3020" s="2">
        <v>146</v>
      </c>
      <c r="C3020" s="2">
        <v>101</v>
      </c>
      <c r="D3020" s="2">
        <v>1.2</v>
      </c>
      <c r="E3020" s="2" t="s">
        <v>3020</v>
      </c>
      <c r="F3020" s="2">
        <v>1.2</v>
      </c>
    </row>
    <row r="3021" spans="1:6" x14ac:dyDescent="0.25">
      <c r="A3021" s="1">
        <v>101248</v>
      </c>
      <c r="B3021" s="2">
        <v>147</v>
      </c>
      <c r="C3021" s="2">
        <v>101</v>
      </c>
      <c r="D3021" s="2">
        <v>13</v>
      </c>
      <c r="E3021" s="2" t="s">
        <v>3021</v>
      </c>
      <c r="F3021" s="2">
        <v>13</v>
      </c>
    </row>
    <row r="3022" spans="1:6" x14ac:dyDescent="0.25">
      <c r="A3022" s="1">
        <v>101249</v>
      </c>
      <c r="B3022" s="2">
        <v>148</v>
      </c>
      <c r="C3022" s="2">
        <v>101</v>
      </c>
      <c r="D3022" s="2">
        <v>21.7</v>
      </c>
      <c r="E3022" s="2" t="s">
        <v>3022</v>
      </c>
      <c r="F3022" s="2">
        <v>21.7</v>
      </c>
    </row>
    <row r="3023" spans="1:6" x14ac:dyDescent="0.25">
      <c r="A3023" s="1">
        <v>101250</v>
      </c>
      <c r="B3023" s="2">
        <v>149</v>
      </c>
      <c r="C3023" s="2">
        <v>101</v>
      </c>
      <c r="D3023" s="2">
        <v>25</v>
      </c>
      <c r="E3023" s="2" t="s">
        <v>3023</v>
      </c>
      <c r="F3023" s="2">
        <v>25</v>
      </c>
    </row>
    <row r="3024" spans="1:6" x14ac:dyDescent="0.25">
      <c r="A3024" s="1">
        <v>101251</v>
      </c>
      <c r="B3024" s="2">
        <v>150</v>
      </c>
      <c r="C3024" s="2">
        <v>101</v>
      </c>
      <c r="D3024" s="2">
        <v>256.2</v>
      </c>
      <c r="E3024" s="2" t="s">
        <v>3024</v>
      </c>
      <c r="F3024" s="2">
        <v>256.2</v>
      </c>
    </row>
    <row r="3025" spans="1:6" x14ac:dyDescent="0.25">
      <c r="A3025" s="1">
        <v>101252</v>
      </c>
      <c r="B3025" s="2">
        <v>151</v>
      </c>
      <c r="C3025" s="2">
        <v>101</v>
      </c>
      <c r="D3025" s="2">
        <v>138</v>
      </c>
      <c r="E3025" s="2" t="s">
        <v>3025</v>
      </c>
      <c r="F3025" s="2">
        <v>138</v>
      </c>
    </row>
    <row r="3026" spans="1:6" x14ac:dyDescent="0.25">
      <c r="A3026" s="1">
        <v>101253</v>
      </c>
      <c r="B3026" s="2">
        <v>152</v>
      </c>
      <c r="C3026" s="2">
        <v>101</v>
      </c>
      <c r="D3026" s="2">
        <v>360</v>
      </c>
      <c r="E3026" s="2" t="s">
        <v>3026</v>
      </c>
      <c r="F3026" s="2">
        <v>360</v>
      </c>
    </row>
    <row r="3027" spans="1:6" x14ac:dyDescent="0.25">
      <c r="A3027" s="1">
        <v>101254</v>
      </c>
      <c r="B3027" s="2">
        <v>153</v>
      </c>
      <c r="C3027" s="2">
        <v>101</v>
      </c>
      <c r="D3027" s="2">
        <v>1680</v>
      </c>
      <c r="E3027" s="2" t="s">
        <v>3027</v>
      </c>
      <c r="F3027" s="2">
        <v>1680</v>
      </c>
    </row>
    <row r="3028" spans="1:6" x14ac:dyDescent="0.25">
      <c r="A3028" s="1">
        <v>101255</v>
      </c>
      <c r="B3028" s="2">
        <v>154</v>
      </c>
      <c r="C3028" s="2">
        <v>101</v>
      </c>
      <c r="D3028" s="2">
        <v>1620</v>
      </c>
      <c r="E3028" s="2" t="s">
        <v>3028</v>
      </c>
      <c r="F3028" s="2">
        <v>1620</v>
      </c>
    </row>
    <row r="3029" spans="1:6" x14ac:dyDescent="0.25">
      <c r="A3029" s="1">
        <v>101256</v>
      </c>
      <c r="B3029" s="2">
        <v>155</v>
      </c>
      <c r="C3029" s="2">
        <v>101</v>
      </c>
      <c r="D3029" s="2">
        <v>4620</v>
      </c>
      <c r="E3029" s="2" t="s">
        <v>3029</v>
      </c>
      <c r="F3029" s="2">
        <v>4620</v>
      </c>
    </row>
    <row r="3030" spans="1:6" x14ac:dyDescent="0.25">
      <c r="A3030" s="1">
        <v>101257</v>
      </c>
      <c r="B3030" s="2">
        <v>156</v>
      </c>
      <c r="C3030" s="2">
        <v>101</v>
      </c>
      <c r="D3030" s="2">
        <v>19872</v>
      </c>
      <c r="E3030" s="2" t="s">
        <v>3030</v>
      </c>
      <c r="F3030" s="2">
        <v>19872</v>
      </c>
    </row>
    <row r="3031" spans="1:6" x14ac:dyDescent="0.25">
      <c r="A3031" s="1">
        <v>101258</v>
      </c>
      <c r="B3031" s="2">
        <v>157</v>
      </c>
      <c r="C3031" s="2">
        <v>101</v>
      </c>
      <c r="D3031" s="2">
        <v>4449600</v>
      </c>
      <c r="E3031" s="2" t="s">
        <v>3031</v>
      </c>
      <c r="F3031" s="2">
        <v>4449600</v>
      </c>
    </row>
    <row r="3032" spans="1:6" x14ac:dyDescent="0.25">
      <c r="A3032" s="1">
        <v>101259</v>
      </c>
      <c r="B3032" s="2">
        <v>158</v>
      </c>
      <c r="C3032" s="2">
        <v>101</v>
      </c>
      <c r="D3032" s="2">
        <v>5760</v>
      </c>
      <c r="E3032" s="2" t="s">
        <v>3032</v>
      </c>
      <c r="F3032" s="2">
        <v>5760</v>
      </c>
    </row>
    <row r="3033" spans="1:6" x14ac:dyDescent="0.25">
      <c r="A3033" s="1">
        <v>101260</v>
      </c>
      <c r="B3033" s="2">
        <v>159</v>
      </c>
      <c r="C3033" s="2">
        <v>101</v>
      </c>
      <c r="D3033" s="2">
        <v>2747520</v>
      </c>
      <c r="E3033" s="2" t="s">
        <v>3033</v>
      </c>
      <c r="F3033" s="2">
        <v>2747520</v>
      </c>
    </row>
    <row r="3034" spans="1:6" x14ac:dyDescent="0.25">
      <c r="A3034" s="1">
        <v>102250</v>
      </c>
      <c r="B3034" s="2">
        <v>148</v>
      </c>
      <c r="C3034" s="2">
        <v>102</v>
      </c>
      <c r="D3034" s="2">
        <v>4.1999999999999996E-6</v>
      </c>
      <c r="E3034" s="2" t="s">
        <v>3034</v>
      </c>
      <c r="F3034" s="2">
        <v>4.1999999999999996E-6</v>
      </c>
    </row>
    <row r="3035" spans="1:6" x14ac:dyDescent="0.25">
      <c r="A3035" s="1">
        <v>102251</v>
      </c>
      <c r="B3035" s="2">
        <v>149</v>
      </c>
      <c r="C3035" s="2">
        <v>102</v>
      </c>
      <c r="D3035" s="2">
        <v>0.8</v>
      </c>
      <c r="E3035" s="2" t="s">
        <v>3035</v>
      </c>
      <c r="F3035" s="2">
        <v>0.8</v>
      </c>
    </row>
    <row r="3036" spans="1:6" x14ac:dyDescent="0.25">
      <c r="A3036" s="1">
        <v>102252</v>
      </c>
      <c r="B3036" s="2">
        <v>150</v>
      </c>
      <c r="C3036" s="2">
        <v>102</v>
      </c>
      <c r="D3036" s="2">
        <v>2.44</v>
      </c>
      <c r="E3036" s="2" t="s">
        <v>3036</v>
      </c>
      <c r="F3036" s="2">
        <v>2.44</v>
      </c>
    </row>
    <row r="3037" spans="1:6" x14ac:dyDescent="0.25">
      <c r="A3037" s="1">
        <v>102253</v>
      </c>
      <c r="B3037" s="2">
        <v>151</v>
      </c>
      <c r="C3037" s="2">
        <v>102</v>
      </c>
      <c r="D3037" s="2">
        <v>97.2</v>
      </c>
      <c r="E3037" s="2" t="s">
        <v>3037</v>
      </c>
      <c r="F3037" s="2">
        <v>97.2</v>
      </c>
    </row>
    <row r="3038" spans="1:6" x14ac:dyDescent="0.25">
      <c r="A3038" s="1">
        <v>102254</v>
      </c>
      <c r="B3038" s="2">
        <v>152</v>
      </c>
      <c r="C3038" s="2">
        <v>102</v>
      </c>
      <c r="D3038" s="2">
        <v>51</v>
      </c>
      <c r="E3038" s="2" t="s">
        <v>3038</v>
      </c>
      <c r="F3038" s="2">
        <v>51</v>
      </c>
    </row>
    <row r="3039" spans="1:6" x14ac:dyDescent="0.25">
      <c r="A3039" s="1">
        <v>102255</v>
      </c>
      <c r="B3039" s="2">
        <v>153</v>
      </c>
      <c r="C3039" s="2">
        <v>102</v>
      </c>
      <c r="D3039" s="2">
        <v>211.2</v>
      </c>
      <c r="E3039" s="2" t="s">
        <v>3039</v>
      </c>
      <c r="F3039" s="2">
        <v>211.2</v>
      </c>
    </row>
    <row r="3040" spans="1:6" x14ac:dyDescent="0.25">
      <c r="A3040" s="1">
        <v>102256</v>
      </c>
      <c r="B3040" s="2">
        <v>154</v>
      </c>
      <c r="C3040" s="2">
        <v>102</v>
      </c>
      <c r="D3040" s="2">
        <v>2.91</v>
      </c>
      <c r="E3040" s="2" t="s">
        <v>3040</v>
      </c>
      <c r="F3040" s="2">
        <v>2.91</v>
      </c>
    </row>
    <row r="3041" spans="1:6" x14ac:dyDescent="0.25">
      <c r="A3041" s="1">
        <v>102257</v>
      </c>
      <c r="B3041" s="2">
        <v>155</v>
      </c>
      <c r="C3041" s="2">
        <v>102</v>
      </c>
      <c r="D3041" s="2">
        <v>24.5</v>
      </c>
      <c r="E3041" s="2" t="s">
        <v>3041</v>
      </c>
      <c r="F3041" s="2">
        <v>24.5</v>
      </c>
    </row>
    <row r="3042" spans="1:6" x14ac:dyDescent="0.25">
      <c r="A3042" s="1">
        <v>102258</v>
      </c>
      <c r="B3042" s="2">
        <v>156</v>
      </c>
      <c r="C3042" s="2">
        <v>102</v>
      </c>
      <c r="D3042" s="2">
        <v>1.1999999999999999E-3</v>
      </c>
      <c r="E3042" s="2" t="s">
        <v>3042</v>
      </c>
      <c r="F3042" s="2">
        <v>1.1999999999999999E-3</v>
      </c>
    </row>
    <row r="3043" spans="1:6" x14ac:dyDescent="0.25">
      <c r="A3043" s="1">
        <v>102259</v>
      </c>
      <c r="B3043" s="2">
        <v>157</v>
      </c>
      <c r="C3043" s="2">
        <v>102</v>
      </c>
      <c r="D3043" s="2">
        <v>3480</v>
      </c>
      <c r="E3043" s="2" t="s">
        <v>3043</v>
      </c>
      <c r="F3043" s="2">
        <v>3480</v>
      </c>
    </row>
    <row r="3044" spans="1:6" x14ac:dyDescent="0.25">
      <c r="A3044" s="1">
        <v>102260</v>
      </c>
      <c r="B3044" s="2">
        <v>158</v>
      </c>
      <c r="C3044" s="2">
        <v>102</v>
      </c>
      <c r="D3044" s="2">
        <v>0.106</v>
      </c>
      <c r="E3044" s="2" t="s">
        <v>3044</v>
      </c>
      <c r="F3044" s="2">
        <v>0.106</v>
      </c>
    </row>
    <row r="3045" spans="1:6" x14ac:dyDescent="0.25">
      <c r="A3045" s="1">
        <v>102262</v>
      </c>
      <c r="B3045" s="2">
        <v>160</v>
      </c>
      <c r="C3045" s="2">
        <v>102</v>
      </c>
      <c r="D3045" s="2">
        <v>5.0000000000000001E-3</v>
      </c>
      <c r="E3045" s="2" t="s">
        <v>3045</v>
      </c>
      <c r="F3045" s="2">
        <v>5.0000000000000001E-3</v>
      </c>
    </row>
    <row r="3046" spans="1:6" x14ac:dyDescent="0.25">
      <c r="A3046" s="1">
        <v>103252</v>
      </c>
      <c r="B3046" s="2">
        <v>149</v>
      </c>
      <c r="C3046" s="2">
        <v>103</v>
      </c>
      <c r="D3046" s="2">
        <v>0.36</v>
      </c>
      <c r="E3046" s="2" t="s">
        <v>3046</v>
      </c>
      <c r="F3046" s="2">
        <v>0.36</v>
      </c>
    </row>
    <row r="3047" spans="1:6" x14ac:dyDescent="0.25">
      <c r="A3047" s="1">
        <v>103253</v>
      </c>
      <c r="B3047" s="2">
        <v>150</v>
      </c>
      <c r="C3047" s="2">
        <v>103</v>
      </c>
      <c r="D3047" s="2">
        <v>0.56999999999999995</v>
      </c>
      <c r="E3047" s="2" t="s">
        <v>3047</v>
      </c>
      <c r="F3047" s="2">
        <v>0.56999999999999995</v>
      </c>
    </row>
    <row r="3048" spans="1:6" x14ac:dyDescent="0.25">
      <c r="A3048" s="1">
        <v>103254</v>
      </c>
      <c r="B3048" s="2">
        <v>151</v>
      </c>
      <c r="C3048" s="2">
        <v>103</v>
      </c>
      <c r="D3048" s="2">
        <v>18.399999999999999</v>
      </c>
      <c r="E3048" s="2" t="s">
        <v>3048</v>
      </c>
      <c r="F3048" s="2">
        <v>18.399999999999999</v>
      </c>
    </row>
    <row r="3049" spans="1:6" x14ac:dyDescent="0.25">
      <c r="A3049" s="1">
        <v>103255</v>
      </c>
      <c r="B3049" s="2">
        <v>152</v>
      </c>
      <c r="C3049" s="2">
        <v>103</v>
      </c>
      <c r="D3049" s="2">
        <v>31.1</v>
      </c>
      <c r="E3049" s="2" t="s">
        <v>3049</v>
      </c>
      <c r="F3049" s="2">
        <v>31.1</v>
      </c>
    </row>
    <row r="3050" spans="1:6" x14ac:dyDescent="0.25">
      <c r="A3050" s="1">
        <v>103256</v>
      </c>
      <c r="B3050" s="2">
        <v>153</v>
      </c>
      <c r="C3050" s="2">
        <v>103</v>
      </c>
      <c r="D3050" s="2">
        <v>27</v>
      </c>
      <c r="E3050" s="2" t="s">
        <v>3050</v>
      </c>
      <c r="F3050" s="2">
        <v>27</v>
      </c>
    </row>
    <row r="3051" spans="1:6" x14ac:dyDescent="0.25">
      <c r="A3051" s="1">
        <v>103257</v>
      </c>
      <c r="B3051" s="2">
        <v>154</v>
      </c>
      <c r="C3051" s="2">
        <v>103</v>
      </c>
      <c r="D3051" s="2">
        <v>4</v>
      </c>
      <c r="E3051" s="2" t="s">
        <v>3051</v>
      </c>
      <c r="F3051" s="2">
        <v>4</v>
      </c>
    </row>
    <row r="3052" spans="1:6" x14ac:dyDescent="0.25">
      <c r="A3052" s="1">
        <v>103258</v>
      </c>
      <c r="B3052" s="2">
        <v>155</v>
      </c>
      <c r="C3052" s="2">
        <v>103</v>
      </c>
      <c r="D3052" s="2">
        <v>4.0999999999999996</v>
      </c>
      <c r="E3052" s="2" t="s">
        <v>3052</v>
      </c>
      <c r="F3052" s="2">
        <v>4.0999999999999996</v>
      </c>
    </row>
    <row r="3053" spans="1:6" x14ac:dyDescent="0.25">
      <c r="A3053" s="1">
        <v>103259</v>
      </c>
      <c r="B3053" s="2">
        <v>156</v>
      </c>
      <c r="C3053" s="2">
        <v>103</v>
      </c>
      <c r="D3053" s="2">
        <v>6.2</v>
      </c>
      <c r="E3053" s="2" t="s">
        <v>3053</v>
      </c>
      <c r="F3053" s="2">
        <v>6.2</v>
      </c>
    </row>
    <row r="3054" spans="1:6" x14ac:dyDescent="0.25">
      <c r="A3054" s="1">
        <v>103260</v>
      </c>
      <c r="B3054" s="2">
        <v>157</v>
      </c>
      <c r="C3054" s="2">
        <v>103</v>
      </c>
      <c r="D3054" s="2">
        <v>180</v>
      </c>
      <c r="E3054" s="2" t="s">
        <v>3054</v>
      </c>
      <c r="F3054" s="2">
        <v>180</v>
      </c>
    </row>
    <row r="3055" spans="1:6" x14ac:dyDescent="0.25">
      <c r="A3055" s="1">
        <v>103261</v>
      </c>
      <c r="B3055" s="2">
        <v>158</v>
      </c>
      <c r="C3055" s="2">
        <v>103</v>
      </c>
      <c r="D3055" s="2">
        <v>2340</v>
      </c>
      <c r="E3055" s="2" t="s">
        <v>3055</v>
      </c>
      <c r="F3055" s="2">
        <v>2340</v>
      </c>
    </row>
    <row r="3056" spans="1:6" x14ac:dyDescent="0.25">
      <c r="A3056" s="1">
        <v>103262</v>
      </c>
      <c r="B3056" s="2">
        <v>159</v>
      </c>
      <c r="C3056" s="2">
        <v>103</v>
      </c>
      <c r="D3056" s="2">
        <v>14400</v>
      </c>
      <c r="E3056" s="2" t="s">
        <v>3056</v>
      </c>
      <c r="F3056" s="2">
        <v>14400</v>
      </c>
    </row>
    <row r="3057" spans="1:6" x14ac:dyDescent="0.25">
      <c r="A3057" s="1">
        <v>103266</v>
      </c>
      <c r="B3057" s="2">
        <v>163</v>
      </c>
      <c r="C3057" s="2">
        <v>103</v>
      </c>
      <c r="D3057" s="2">
        <v>39600</v>
      </c>
      <c r="E3057" s="2" t="s">
        <v>3057</v>
      </c>
      <c r="F3057" s="2">
        <v>39600</v>
      </c>
    </row>
    <row r="3058" spans="1:6" x14ac:dyDescent="0.25">
      <c r="A3058" s="1">
        <v>104253</v>
      </c>
      <c r="B3058" s="2">
        <v>149</v>
      </c>
      <c r="C3058" s="2">
        <v>104</v>
      </c>
      <c r="D3058" s="2">
        <v>4.8000000000000001E-5</v>
      </c>
      <c r="E3058" s="2" t="s">
        <v>3058</v>
      </c>
      <c r="F3058" s="2">
        <v>4.8000000000000001E-5</v>
      </c>
    </row>
    <row r="3059" spans="1:6" x14ac:dyDescent="0.25">
      <c r="A3059" s="1">
        <v>104254</v>
      </c>
      <c r="B3059" s="2">
        <v>150</v>
      </c>
      <c r="C3059" s="2">
        <v>104</v>
      </c>
      <c r="D3059" s="2">
        <v>2.3E-5</v>
      </c>
      <c r="E3059" s="2" t="s">
        <v>3059</v>
      </c>
      <c r="F3059" s="2">
        <v>2.3E-5</v>
      </c>
    </row>
    <row r="3060" spans="1:6" x14ac:dyDescent="0.25">
      <c r="A3060" s="1">
        <v>104255</v>
      </c>
      <c r="B3060" s="2">
        <v>151</v>
      </c>
      <c r="C3060" s="2">
        <v>104</v>
      </c>
      <c r="D3060" s="2">
        <v>1.68</v>
      </c>
      <c r="E3060" s="2" t="s">
        <v>3060</v>
      </c>
      <c r="F3060" s="2">
        <v>1.68</v>
      </c>
    </row>
    <row r="3061" spans="1:6" x14ac:dyDescent="0.25">
      <c r="A3061" s="1">
        <v>104256</v>
      </c>
      <c r="B3061" s="2">
        <v>152</v>
      </c>
      <c r="C3061" s="2">
        <v>104</v>
      </c>
      <c r="D3061" s="2">
        <v>6.6699999999999997E-3</v>
      </c>
      <c r="E3061" s="2" t="s">
        <v>3061</v>
      </c>
      <c r="F3061" s="2">
        <v>6.6699999999999997E-3</v>
      </c>
    </row>
    <row r="3062" spans="1:6" x14ac:dyDescent="0.25">
      <c r="A3062" s="1">
        <v>104257</v>
      </c>
      <c r="B3062" s="2">
        <v>153</v>
      </c>
      <c r="C3062" s="2">
        <v>104</v>
      </c>
      <c r="D3062" s="2">
        <v>4.4000000000000004</v>
      </c>
      <c r="E3062" s="2" t="s">
        <v>3062</v>
      </c>
      <c r="F3062" s="2">
        <v>4.4000000000000004</v>
      </c>
    </row>
    <row r="3063" spans="1:6" x14ac:dyDescent="0.25">
      <c r="A3063" s="1">
        <v>104258</v>
      </c>
      <c r="B3063" s="2">
        <v>154</v>
      </c>
      <c r="C3063" s="2">
        <v>104</v>
      </c>
      <c r="D3063" s="2">
        <v>1.47E-2</v>
      </c>
      <c r="E3063" s="2" t="s">
        <v>3063</v>
      </c>
      <c r="F3063" s="2">
        <v>1.47E-2</v>
      </c>
    </row>
    <row r="3064" spans="1:6" x14ac:dyDescent="0.25">
      <c r="A3064" s="1">
        <v>104259</v>
      </c>
      <c r="B3064" s="2">
        <v>155</v>
      </c>
      <c r="C3064" s="2">
        <v>104</v>
      </c>
      <c r="D3064" s="2">
        <v>2.4</v>
      </c>
      <c r="E3064" s="2" t="s">
        <v>3064</v>
      </c>
      <c r="F3064" s="2">
        <v>2.4</v>
      </c>
    </row>
    <row r="3065" spans="1:6" x14ac:dyDescent="0.25">
      <c r="A3065" s="1">
        <v>104260</v>
      </c>
      <c r="B3065" s="2">
        <v>156</v>
      </c>
      <c r="C3065" s="2">
        <v>104</v>
      </c>
      <c r="D3065" s="2">
        <v>2.1000000000000001E-2</v>
      </c>
      <c r="E3065" s="2" t="s">
        <v>3065</v>
      </c>
      <c r="F3065" s="2">
        <v>2.1000000000000001E-2</v>
      </c>
    </row>
    <row r="3066" spans="1:6" x14ac:dyDescent="0.25">
      <c r="A3066" s="1">
        <v>104261</v>
      </c>
      <c r="B3066" s="2">
        <v>157</v>
      </c>
      <c r="C3066" s="2">
        <v>104</v>
      </c>
      <c r="D3066" s="2">
        <v>68</v>
      </c>
      <c r="E3066" s="2" t="s">
        <v>3066</v>
      </c>
      <c r="F3066" s="2">
        <v>68</v>
      </c>
    </row>
    <row r="3067" spans="1:6" x14ac:dyDescent="0.25">
      <c r="A3067" s="1">
        <v>104262</v>
      </c>
      <c r="B3067" s="2">
        <v>158</v>
      </c>
      <c r="C3067" s="2">
        <v>104</v>
      </c>
      <c r="D3067" s="2">
        <v>2.2999999999999998</v>
      </c>
      <c r="E3067" s="2" t="s">
        <v>3067</v>
      </c>
      <c r="F3067" s="2">
        <v>2.2999999999999998</v>
      </c>
    </row>
    <row r="3068" spans="1:6" x14ac:dyDescent="0.25">
      <c r="A3068" s="1">
        <v>104263</v>
      </c>
      <c r="B3068" s="2">
        <v>159</v>
      </c>
      <c r="C3068" s="2">
        <v>104</v>
      </c>
      <c r="D3068" s="2">
        <v>600</v>
      </c>
      <c r="E3068" s="2" t="s">
        <v>3068</v>
      </c>
      <c r="F3068" s="2">
        <v>600</v>
      </c>
    </row>
    <row r="3069" spans="1:6" x14ac:dyDescent="0.25">
      <c r="A3069" s="1">
        <v>104265</v>
      </c>
      <c r="B3069" s="2">
        <v>161</v>
      </c>
      <c r="C3069" s="2">
        <v>104</v>
      </c>
      <c r="D3069" s="2">
        <v>60</v>
      </c>
      <c r="E3069" s="2" t="s">
        <v>3069</v>
      </c>
      <c r="F3069" s="2">
        <v>60</v>
      </c>
    </row>
    <row r="3070" spans="1:6" x14ac:dyDescent="0.25">
      <c r="A3070" s="1">
        <v>105255</v>
      </c>
      <c r="B3070" s="2">
        <v>150</v>
      </c>
      <c r="C3070" s="2">
        <v>105</v>
      </c>
      <c r="D3070" s="2">
        <v>1.6</v>
      </c>
      <c r="E3070" s="2" t="s">
        <v>3070</v>
      </c>
      <c r="F3070" s="2">
        <v>1.6</v>
      </c>
    </row>
    <row r="3071" spans="1:6" x14ac:dyDescent="0.25">
      <c r="A3071" s="1">
        <v>105256</v>
      </c>
      <c r="B3071" s="2">
        <v>151</v>
      </c>
      <c r="C3071" s="2">
        <v>105</v>
      </c>
      <c r="D3071" s="2">
        <v>1.6</v>
      </c>
      <c r="E3071" s="2" t="s">
        <v>3071</v>
      </c>
      <c r="F3071" s="2">
        <v>1.6</v>
      </c>
    </row>
    <row r="3072" spans="1:6" x14ac:dyDescent="0.25">
      <c r="A3072" s="1">
        <v>105257</v>
      </c>
      <c r="B3072" s="2">
        <v>152</v>
      </c>
      <c r="C3072" s="2">
        <v>105</v>
      </c>
      <c r="D3072" s="2">
        <v>2.2999999999999998</v>
      </c>
      <c r="E3072" s="2" t="s">
        <v>3072</v>
      </c>
      <c r="F3072" s="2">
        <v>2.2999999999999998</v>
      </c>
    </row>
    <row r="3073" spans="1:6" x14ac:dyDescent="0.25">
      <c r="A3073" s="1">
        <v>105258</v>
      </c>
      <c r="B3073" s="2">
        <v>153</v>
      </c>
      <c r="C3073" s="2">
        <v>105</v>
      </c>
      <c r="D3073" s="2">
        <v>4.2</v>
      </c>
      <c r="E3073" s="2" t="s">
        <v>3073</v>
      </c>
      <c r="F3073" s="2">
        <v>4.2</v>
      </c>
    </row>
    <row r="3074" spans="1:6" x14ac:dyDescent="0.25">
      <c r="A3074" s="1">
        <v>105259</v>
      </c>
      <c r="B3074" s="2">
        <v>154</v>
      </c>
      <c r="C3074" s="2">
        <v>105</v>
      </c>
      <c r="D3074" s="2">
        <v>0.51</v>
      </c>
      <c r="E3074" s="2" t="s">
        <v>3074</v>
      </c>
      <c r="F3074" s="2">
        <v>0.51</v>
      </c>
    </row>
    <row r="3075" spans="1:6" x14ac:dyDescent="0.25">
      <c r="A3075" s="1">
        <v>105260</v>
      </c>
      <c r="B3075" s="2">
        <v>155</v>
      </c>
      <c r="C3075" s="2">
        <v>105</v>
      </c>
      <c r="D3075" s="2">
        <v>1.52</v>
      </c>
      <c r="E3075" s="2" t="s">
        <v>3075</v>
      </c>
      <c r="F3075" s="2">
        <v>1.52</v>
      </c>
    </row>
    <row r="3076" spans="1:6" x14ac:dyDescent="0.25">
      <c r="A3076" s="1">
        <v>105261</v>
      </c>
      <c r="B3076" s="2">
        <v>156</v>
      </c>
      <c r="C3076" s="2">
        <v>105</v>
      </c>
      <c r="D3076" s="2">
        <v>1.8</v>
      </c>
      <c r="E3076" s="2" t="s">
        <v>3076</v>
      </c>
      <c r="F3076" s="2">
        <v>1.8</v>
      </c>
    </row>
    <row r="3077" spans="1:6" x14ac:dyDescent="0.25">
      <c r="A3077" s="1">
        <v>105262</v>
      </c>
      <c r="B3077" s="2">
        <v>157</v>
      </c>
      <c r="C3077" s="2">
        <v>105</v>
      </c>
      <c r="D3077" s="2">
        <v>35</v>
      </c>
      <c r="E3077" s="2" t="s">
        <v>3077</v>
      </c>
      <c r="F3077" s="2">
        <v>35</v>
      </c>
    </row>
    <row r="3078" spans="1:6" x14ac:dyDescent="0.25">
      <c r="A3078" s="1">
        <v>105263</v>
      </c>
      <c r="B3078" s="2">
        <v>158</v>
      </c>
      <c r="C3078" s="2">
        <v>105</v>
      </c>
      <c r="D3078" s="2">
        <v>27</v>
      </c>
      <c r="E3078" s="2" t="s">
        <v>3078</v>
      </c>
      <c r="F3078" s="2">
        <v>27</v>
      </c>
    </row>
    <row r="3079" spans="1:6" x14ac:dyDescent="0.25">
      <c r="A3079" s="1">
        <v>105267</v>
      </c>
      <c r="B3079" s="2">
        <v>162</v>
      </c>
      <c r="C3079" s="2">
        <v>105</v>
      </c>
      <c r="D3079" s="2">
        <v>4380</v>
      </c>
      <c r="E3079" s="2" t="s">
        <v>3079</v>
      </c>
      <c r="F3079" s="2">
        <v>4380</v>
      </c>
    </row>
    <row r="3080" spans="1:6" x14ac:dyDescent="0.25">
      <c r="A3080" s="1">
        <v>105268</v>
      </c>
      <c r="B3080" s="2">
        <v>163</v>
      </c>
      <c r="C3080" s="2">
        <v>105</v>
      </c>
      <c r="D3080" s="2">
        <v>115200</v>
      </c>
      <c r="E3080" s="2" t="s">
        <v>3080</v>
      </c>
      <c r="F3080" s="2">
        <v>115200</v>
      </c>
    </row>
    <row r="3081" spans="1:6" x14ac:dyDescent="0.25">
      <c r="A3081" s="1">
        <v>105270</v>
      </c>
      <c r="B3081" s="2">
        <v>165</v>
      </c>
      <c r="C3081" s="2">
        <v>105</v>
      </c>
      <c r="D3081" s="2">
        <v>3600</v>
      </c>
      <c r="E3081" s="2" t="s">
        <v>3081</v>
      </c>
      <c r="F3081" s="2">
        <v>3600</v>
      </c>
    </row>
    <row r="3082" spans="1:6" x14ac:dyDescent="0.25">
      <c r="A3082" s="1">
        <v>106258</v>
      </c>
      <c r="B3082" s="2">
        <v>152</v>
      </c>
      <c r="C3082" s="2">
        <v>106</v>
      </c>
      <c r="D3082" s="2">
        <v>2.8999999999999998E-3</v>
      </c>
      <c r="E3082" s="2" t="s">
        <v>3082</v>
      </c>
      <c r="F3082" s="2">
        <v>2.8999999999999998E-3</v>
      </c>
    </row>
    <row r="3083" spans="1:6" x14ac:dyDescent="0.25">
      <c r="A3083" s="1">
        <v>106259</v>
      </c>
      <c r="B3083" s="2">
        <v>153</v>
      </c>
      <c r="C3083" s="2">
        <v>106</v>
      </c>
      <c r="D3083" s="2">
        <v>0.28999999999999998</v>
      </c>
      <c r="E3083" s="2" t="s">
        <v>3083</v>
      </c>
      <c r="F3083" s="2">
        <v>0.28999999999999998</v>
      </c>
    </row>
    <row r="3084" spans="1:6" x14ac:dyDescent="0.25">
      <c r="A3084" s="1">
        <v>106260</v>
      </c>
      <c r="B3084" s="2">
        <v>154</v>
      </c>
      <c r="C3084" s="2">
        <v>106</v>
      </c>
      <c r="D3084" s="2">
        <v>4.9500000000000004E-3</v>
      </c>
      <c r="E3084" s="2" t="s">
        <v>3084</v>
      </c>
      <c r="F3084" s="2">
        <v>4.9500000000000004E-3</v>
      </c>
    </row>
    <row r="3085" spans="1:6" x14ac:dyDescent="0.25">
      <c r="A3085" s="1">
        <v>106261</v>
      </c>
      <c r="B3085" s="2">
        <v>155</v>
      </c>
      <c r="C3085" s="2">
        <v>106</v>
      </c>
      <c r="D3085" s="2">
        <v>0.17799999999999999</v>
      </c>
      <c r="E3085" s="2" t="s">
        <v>3085</v>
      </c>
      <c r="F3085" s="2">
        <v>0.17799999999999999</v>
      </c>
    </row>
    <row r="3086" spans="1:6" x14ac:dyDescent="0.25">
      <c r="A3086" s="1">
        <v>106262</v>
      </c>
      <c r="B3086" s="2">
        <v>156</v>
      </c>
      <c r="C3086" s="2">
        <v>106</v>
      </c>
      <c r="D3086" s="2">
        <v>6.8999999999999999E-3</v>
      </c>
      <c r="E3086" s="2" t="s">
        <v>3086</v>
      </c>
      <c r="F3086" s="2">
        <v>6.8999999999999999E-3</v>
      </c>
    </row>
    <row r="3087" spans="1:6" x14ac:dyDescent="0.25">
      <c r="A3087" s="1">
        <v>106263</v>
      </c>
      <c r="B3087" s="2">
        <v>157</v>
      </c>
      <c r="C3087" s="2">
        <v>106</v>
      </c>
      <c r="D3087" s="2">
        <v>1</v>
      </c>
      <c r="E3087" s="2" t="s">
        <v>3087</v>
      </c>
      <c r="F3087" s="2">
        <v>1</v>
      </c>
    </row>
    <row r="3088" spans="1:6" x14ac:dyDescent="0.25">
      <c r="A3088" s="1">
        <v>106264</v>
      </c>
      <c r="B3088" s="2">
        <v>158</v>
      </c>
      <c r="C3088" s="2">
        <v>106</v>
      </c>
      <c r="D3088" s="2">
        <v>3.6999999999999998E-2</v>
      </c>
      <c r="E3088" s="2" t="s">
        <v>3088</v>
      </c>
      <c r="F3088" s="2">
        <v>3.6999999999999998E-2</v>
      </c>
    </row>
    <row r="3089" spans="1:6" x14ac:dyDescent="0.25">
      <c r="A3089" s="1">
        <v>106265</v>
      </c>
      <c r="B3089" s="2">
        <v>159</v>
      </c>
      <c r="C3089" s="2">
        <v>106</v>
      </c>
      <c r="D3089" s="2">
        <v>14.4</v>
      </c>
      <c r="E3089" s="2" t="s">
        <v>3089</v>
      </c>
      <c r="F3089" s="2">
        <v>14.4</v>
      </c>
    </row>
    <row r="3090" spans="1:6" x14ac:dyDescent="0.25">
      <c r="A3090" s="1">
        <v>106266</v>
      </c>
      <c r="B3090" s="2">
        <v>160</v>
      </c>
      <c r="C3090" s="2">
        <v>106</v>
      </c>
      <c r="D3090" s="2">
        <v>21</v>
      </c>
      <c r="E3090" s="2" t="s">
        <v>3090</v>
      </c>
      <c r="F3090" s="2">
        <v>21</v>
      </c>
    </row>
    <row r="3091" spans="1:6" x14ac:dyDescent="0.25">
      <c r="A3091" s="1">
        <v>106269</v>
      </c>
      <c r="B3091" s="2">
        <v>163</v>
      </c>
      <c r="C3091" s="2">
        <v>106</v>
      </c>
      <c r="D3091" s="2">
        <v>186</v>
      </c>
      <c r="E3091" s="2" t="s">
        <v>3091</v>
      </c>
      <c r="F3091" s="2">
        <v>186</v>
      </c>
    </row>
    <row r="3092" spans="1:6" x14ac:dyDescent="0.25">
      <c r="A3092" s="1">
        <v>106271</v>
      </c>
      <c r="B3092" s="2">
        <v>165</v>
      </c>
      <c r="C3092" s="2">
        <v>106</v>
      </c>
      <c r="D3092" s="2">
        <v>144</v>
      </c>
      <c r="E3092" s="2" t="s">
        <v>3092</v>
      </c>
      <c r="F3092" s="2">
        <v>144</v>
      </c>
    </row>
    <row r="3093" spans="1:6" x14ac:dyDescent="0.25">
      <c r="A3093" s="1">
        <v>107260</v>
      </c>
      <c r="B3093" s="2">
        <v>153</v>
      </c>
      <c r="C3093" s="2">
        <v>107</v>
      </c>
      <c r="D3093" s="2">
        <v>3.5000000000000003E-2</v>
      </c>
      <c r="E3093" s="2" t="s">
        <v>3093</v>
      </c>
      <c r="F3093" s="2">
        <v>3.5000000000000003E-2</v>
      </c>
    </row>
    <row r="3094" spans="1:6" x14ac:dyDescent="0.25">
      <c r="A3094" s="1">
        <v>107261</v>
      </c>
      <c r="B3094" s="2">
        <v>154</v>
      </c>
      <c r="C3094" s="2">
        <v>107</v>
      </c>
      <c r="D3094" s="2">
        <v>1.18E-2</v>
      </c>
      <c r="E3094" s="2" t="s">
        <v>3094</v>
      </c>
      <c r="F3094" s="2">
        <v>1.18E-2</v>
      </c>
    </row>
    <row r="3095" spans="1:6" x14ac:dyDescent="0.25">
      <c r="A3095" s="1">
        <v>107262</v>
      </c>
      <c r="B3095" s="2">
        <v>155</v>
      </c>
      <c r="C3095" s="2">
        <v>107</v>
      </c>
      <c r="D3095" s="2">
        <v>2.1999999999999999E-2</v>
      </c>
      <c r="E3095" s="2" t="s">
        <v>3095</v>
      </c>
      <c r="F3095" s="2">
        <v>2.1999999999999999E-2</v>
      </c>
    </row>
    <row r="3096" spans="1:6" x14ac:dyDescent="0.25">
      <c r="A3096" s="1">
        <v>107264</v>
      </c>
      <c r="B3096" s="2">
        <v>157</v>
      </c>
      <c r="C3096" s="2">
        <v>107</v>
      </c>
      <c r="D3096" s="2">
        <v>0.44</v>
      </c>
      <c r="E3096" s="2" t="s">
        <v>3096</v>
      </c>
      <c r="F3096" s="2">
        <v>0.44</v>
      </c>
    </row>
    <row r="3097" spans="1:6" x14ac:dyDescent="0.25">
      <c r="A3097" s="1">
        <v>107265</v>
      </c>
      <c r="B3097" s="2">
        <v>158</v>
      </c>
      <c r="C3097" s="2">
        <v>107</v>
      </c>
      <c r="D3097" s="2">
        <v>0.9</v>
      </c>
      <c r="E3097" s="2" t="s">
        <v>3097</v>
      </c>
      <c r="F3097" s="2">
        <v>0.9</v>
      </c>
    </row>
    <row r="3098" spans="1:6" x14ac:dyDescent="0.25">
      <c r="A3098" s="1">
        <v>107266</v>
      </c>
      <c r="B3098" s="2">
        <v>159</v>
      </c>
      <c r="C3098" s="2">
        <v>107</v>
      </c>
      <c r="D3098" s="2">
        <v>1.7</v>
      </c>
      <c r="E3098" s="2" t="s">
        <v>3098</v>
      </c>
      <c r="F3098" s="2">
        <v>1.7</v>
      </c>
    </row>
    <row r="3099" spans="1:6" x14ac:dyDescent="0.25">
      <c r="A3099" s="1">
        <v>107267</v>
      </c>
      <c r="B3099" s="2">
        <v>160</v>
      </c>
      <c r="C3099" s="2">
        <v>107</v>
      </c>
      <c r="D3099" s="2">
        <v>17</v>
      </c>
      <c r="E3099" s="2" t="s">
        <v>3099</v>
      </c>
      <c r="F3099" s="2">
        <v>17</v>
      </c>
    </row>
    <row r="3100" spans="1:6" x14ac:dyDescent="0.25">
      <c r="A3100" s="1">
        <v>107270</v>
      </c>
      <c r="B3100" s="2">
        <v>163</v>
      </c>
      <c r="C3100" s="2">
        <v>107</v>
      </c>
      <c r="D3100" s="2">
        <v>60</v>
      </c>
      <c r="E3100" s="2" t="s">
        <v>3100</v>
      </c>
      <c r="F3100" s="2">
        <v>60</v>
      </c>
    </row>
    <row r="3101" spans="1:6" x14ac:dyDescent="0.25">
      <c r="A3101" s="1">
        <v>107272</v>
      </c>
      <c r="B3101" s="2">
        <v>165</v>
      </c>
      <c r="C3101" s="2">
        <v>107</v>
      </c>
      <c r="D3101" s="2">
        <v>10</v>
      </c>
      <c r="E3101" s="2" t="s">
        <v>3101</v>
      </c>
      <c r="F3101" s="2">
        <v>10</v>
      </c>
    </row>
    <row r="3102" spans="1:6" x14ac:dyDescent="0.25">
      <c r="A3102" s="1">
        <v>107274</v>
      </c>
      <c r="B3102" s="2">
        <v>167</v>
      </c>
      <c r="C3102" s="2">
        <v>107</v>
      </c>
      <c r="D3102" s="2">
        <v>54</v>
      </c>
      <c r="E3102" s="2" t="s">
        <v>3102</v>
      </c>
      <c r="F3102" s="2">
        <v>54</v>
      </c>
    </row>
    <row r="3103" spans="1:6" x14ac:dyDescent="0.25">
      <c r="A3103" s="1">
        <v>108263</v>
      </c>
      <c r="B3103" s="2">
        <v>155</v>
      </c>
      <c r="C3103" s="2">
        <v>108</v>
      </c>
      <c r="D3103" s="2">
        <v>7.3999999999999999E-4</v>
      </c>
      <c r="E3103" s="2" t="s">
        <v>3103</v>
      </c>
      <c r="F3103" s="2">
        <v>7.3999999999999999E-4</v>
      </c>
    </row>
    <row r="3104" spans="1:6" x14ac:dyDescent="0.25">
      <c r="A3104" s="1">
        <v>108264</v>
      </c>
      <c r="B3104" s="2">
        <v>156</v>
      </c>
      <c r="C3104" s="2">
        <v>108</v>
      </c>
      <c r="D3104" s="2">
        <v>8.0000000000000004E-4</v>
      </c>
      <c r="E3104" s="2" t="s">
        <v>3104</v>
      </c>
      <c r="F3104" s="2">
        <v>8.0000000000000004E-4</v>
      </c>
    </row>
    <row r="3105" spans="1:6" x14ac:dyDescent="0.25">
      <c r="A3105" s="1">
        <v>108265</v>
      </c>
      <c r="B3105" s="2">
        <v>157</v>
      </c>
      <c r="C3105" s="2">
        <v>108</v>
      </c>
      <c r="D3105" s="2">
        <v>1.9E-3</v>
      </c>
      <c r="E3105" s="2" t="s">
        <v>3105</v>
      </c>
      <c r="F3105" s="2">
        <v>1.9E-3</v>
      </c>
    </row>
    <row r="3106" spans="1:6" x14ac:dyDescent="0.25">
      <c r="A3106" s="1">
        <v>108266</v>
      </c>
      <c r="B3106" s="2">
        <v>158</v>
      </c>
      <c r="C3106" s="2">
        <v>108</v>
      </c>
      <c r="D3106" s="2">
        <v>2.3E-3</v>
      </c>
      <c r="E3106" s="2" t="s">
        <v>3106</v>
      </c>
      <c r="F3106" s="2">
        <v>2.3E-3</v>
      </c>
    </row>
    <row r="3107" spans="1:6" x14ac:dyDescent="0.25">
      <c r="A3107" s="1">
        <v>108267</v>
      </c>
      <c r="B3107" s="2">
        <v>159</v>
      </c>
      <c r="C3107" s="2">
        <v>108</v>
      </c>
      <c r="D3107" s="2">
        <v>5.1999999999999998E-2</v>
      </c>
      <c r="E3107" s="2" t="s">
        <v>3107</v>
      </c>
      <c r="F3107" s="2">
        <v>5.1999999999999998E-2</v>
      </c>
    </row>
    <row r="3108" spans="1:6" x14ac:dyDescent="0.25">
      <c r="A3108" s="1">
        <v>108268</v>
      </c>
      <c r="B3108" s="2">
        <v>160</v>
      </c>
      <c r="C3108" s="2">
        <v>108</v>
      </c>
      <c r="D3108" s="2">
        <v>0.4</v>
      </c>
      <c r="E3108" s="2" t="s">
        <v>3108</v>
      </c>
      <c r="F3108" s="2">
        <v>0.4</v>
      </c>
    </row>
    <row r="3109" spans="1:6" x14ac:dyDescent="0.25">
      <c r="A3109" s="1">
        <v>108269</v>
      </c>
      <c r="B3109" s="2">
        <v>161</v>
      </c>
      <c r="C3109" s="2">
        <v>108</v>
      </c>
      <c r="D3109" s="2">
        <v>9.6999999999999993</v>
      </c>
      <c r="E3109" s="2" t="s">
        <v>3109</v>
      </c>
      <c r="F3109" s="2">
        <v>9.6999999999999993</v>
      </c>
    </row>
    <row r="3110" spans="1:6" x14ac:dyDescent="0.25">
      <c r="A3110" s="1">
        <v>108270</v>
      </c>
      <c r="B3110" s="2">
        <v>162</v>
      </c>
      <c r="C3110" s="2">
        <v>108</v>
      </c>
      <c r="D3110" s="2">
        <v>22</v>
      </c>
      <c r="E3110" s="2" t="s">
        <v>3110</v>
      </c>
      <c r="F3110" s="2">
        <v>22</v>
      </c>
    </row>
    <row r="3111" spans="1:6" x14ac:dyDescent="0.25">
      <c r="A3111" s="1">
        <v>108273</v>
      </c>
      <c r="B3111" s="2">
        <v>165</v>
      </c>
      <c r="C3111" s="2">
        <v>108</v>
      </c>
      <c r="D3111" s="2">
        <v>0.76</v>
      </c>
      <c r="E3111" s="2" t="s">
        <v>3111</v>
      </c>
      <c r="F3111" s="2">
        <v>0.76</v>
      </c>
    </row>
    <row r="3112" spans="1:6" x14ac:dyDescent="0.25">
      <c r="A3112" s="1">
        <v>108275</v>
      </c>
      <c r="B3112" s="2">
        <v>167</v>
      </c>
      <c r="C3112" s="2">
        <v>108</v>
      </c>
      <c r="D3112" s="2">
        <v>0.15</v>
      </c>
      <c r="E3112" s="2" t="s">
        <v>3112</v>
      </c>
      <c r="F3112" s="2">
        <v>0.15</v>
      </c>
    </row>
    <row r="3113" spans="1:6" x14ac:dyDescent="0.25">
      <c r="A3113" s="1">
        <v>108277</v>
      </c>
      <c r="B3113" s="2">
        <v>169</v>
      </c>
      <c r="C3113" s="2">
        <v>108</v>
      </c>
      <c r="D3113" s="2">
        <v>3.0000000000000001E-3</v>
      </c>
      <c r="E3113" s="2" t="s">
        <v>3113</v>
      </c>
      <c r="F3113" s="2">
        <v>3.0000000000000001E-3</v>
      </c>
    </row>
    <row r="3114" spans="1:6" x14ac:dyDescent="0.25">
      <c r="A3114" s="1">
        <v>109266</v>
      </c>
      <c r="B3114" s="2">
        <v>157</v>
      </c>
      <c r="C3114" s="2">
        <v>109</v>
      </c>
      <c r="D3114" s="2">
        <v>1.6999999999999999E-3</v>
      </c>
      <c r="E3114" s="2" t="s">
        <v>3114</v>
      </c>
      <c r="F3114" s="2">
        <v>1.6999999999999999E-3</v>
      </c>
    </row>
    <row r="3115" spans="1:6" x14ac:dyDescent="0.25">
      <c r="A3115" s="1">
        <v>109268</v>
      </c>
      <c r="B3115" s="2">
        <v>159</v>
      </c>
      <c r="C3115" s="2">
        <v>109</v>
      </c>
      <c r="D3115" s="2">
        <v>2.1000000000000001E-2</v>
      </c>
      <c r="E3115" s="2" t="s">
        <v>3115</v>
      </c>
      <c r="F3115" s="2">
        <v>2.1000000000000001E-2</v>
      </c>
    </row>
    <row r="3116" spans="1:6" x14ac:dyDescent="0.25">
      <c r="A3116" s="1">
        <v>109270</v>
      </c>
      <c r="B3116" s="2">
        <v>161</v>
      </c>
      <c r="C3116" s="2">
        <v>109</v>
      </c>
      <c r="D3116" s="2">
        <v>5.0000000000000001E-3</v>
      </c>
      <c r="E3116" s="2" t="s">
        <v>3116</v>
      </c>
      <c r="F3116" s="2">
        <v>5.0000000000000001E-3</v>
      </c>
    </row>
    <row r="3117" spans="1:6" x14ac:dyDescent="0.25">
      <c r="A3117" s="1">
        <v>109274</v>
      </c>
      <c r="B3117" s="2">
        <v>165</v>
      </c>
      <c r="C3117" s="2">
        <v>109</v>
      </c>
      <c r="D3117" s="2">
        <v>0.44</v>
      </c>
      <c r="E3117" s="2" t="s">
        <v>3117</v>
      </c>
      <c r="F3117" s="2">
        <v>0.44</v>
      </c>
    </row>
    <row r="3118" spans="1:6" x14ac:dyDescent="0.25">
      <c r="A3118" s="1">
        <v>109275</v>
      </c>
      <c r="B3118" s="2">
        <v>166</v>
      </c>
      <c r="C3118" s="2">
        <v>109</v>
      </c>
      <c r="D3118" s="2">
        <v>9.7000000000000003E-3</v>
      </c>
      <c r="E3118" s="2" t="s">
        <v>3118</v>
      </c>
      <c r="F3118" s="2">
        <v>9.7000000000000003E-3</v>
      </c>
    </row>
    <row r="3119" spans="1:6" x14ac:dyDescent="0.25">
      <c r="A3119" s="1">
        <v>109276</v>
      </c>
      <c r="B3119" s="2">
        <v>167</v>
      </c>
      <c r="C3119" s="2">
        <v>109</v>
      </c>
      <c r="D3119" s="2">
        <v>0.72</v>
      </c>
      <c r="E3119" s="2" t="s">
        <v>3119</v>
      </c>
      <c r="F3119" s="2">
        <v>0.72</v>
      </c>
    </row>
    <row r="3120" spans="1:6" x14ac:dyDescent="0.25">
      <c r="A3120" s="1">
        <v>109277</v>
      </c>
      <c r="B3120" s="2">
        <v>168</v>
      </c>
      <c r="C3120" s="2">
        <v>109</v>
      </c>
      <c r="D3120" s="2">
        <v>5</v>
      </c>
      <c r="E3120" s="2" t="s">
        <v>3120</v>
      </c>
      <c r="F3120" s="2">
        <v>5</v>
      </c>
    </row>
    <row r="3121" spans="1:6" x14ac:dyDescent="0.25">
      <c r="A3121" s="1">
        <v>109278</v>
      </c>
      <c r="B3121" s="2">
        <v>169</v>
      </c>
      <c r="C3121" s="2">
        <v>109</v>
      </c>
      <c r="D3121" s="2">
        <v>8</v>
      </c>
      <c r="E3121" s="2" t="s">
        <v>3121</v>
      </c>
      <c r="F3121" s="2">
        <v>8</v>
      </c>
    </row>
    <row r="3122" spans="1:6" x14ac:dyDescent="0.25">
      <c r="A3122" s="1">
        <v>110267</v>
      </c>
      <c r="B3122" s="2">
        <v>157</v>
      </c>
      <c r="C3122" s="2">
        <v>110</v>
      </c>
      <c r="D3122" s="2">
        <v>2.7999999999999999E-6</v>
      </c>
      <c r="E3122" s="2" t="s">
        <v>3122</v>
      </c>
      <c r="F3122" s="2">
        <v>2.7999999999999999E-6</v>
      </c>
    </row>
    <row r="3123" spans="1:6" x14ac:dyDescent="0.25">
      <c r="A3123" s="1">
        <v>110269</v>
      </c>
      <c r="B3123" s="2">
        <v>159</v>
      </c>
      <c r="C3123" s="2">
        <v>110</v>
      </c>
      <c r="D3123" s="2">
        <v>1.7899999999999999E-4</v>
      </c>
      <c r="E3123" s="2" t="s">
        <v>3123</v>
      </c>
      <c r="F3123" s="2">
        <v>1.7899999999999999E-4</v>
      </c>
    </row>
    <row r="3124" spans="1:6" x14ac:dyDescent="0.25">
      <c r="A3124" s="1">
        <v>110270</v>
      </c>
      <c r="B3124" s="2">
        <v>160</v>
      </c>
      <c r="C3124" s="2">
        <v>110</v>
      </c>
      <c r="D3124" s="2">
        <v>1E-4</v>
      </c>
      <c r="E3124" s="2" t="s">
        <v>3124</v>
      </c>
      <c r="F3124" s="2">
        <v>1E-4</v>
      </c>
    </row>
    <row r="3125" spans="1:6" x14ac:dyDescent="0.25">
      <c r="A3125" s="1">
        <v>110271</v>
      </c>
      <c r="B3125" s="2">
        <v>161</v>
      </c>
      <c r="C3125" s="2">
        <v>110</v>
      </c>
      <c r="D3125" s="2">
        <v>1.6299999999999999E-3</v>
      </c>
      <c r="E3125" s="2" t="s">
        <v>3125</v>
      </c>
      <c r="F3125" s="2">
        <v>1.6299999999999999E-3</v>
      </c>
    </row>
    <row r="3126" spans="1:6" x14ac:dyDescent="0.25">
      <c r="A3126" s="1">
        <v>110273</v>
      </c>
      <c r="B3126" s="2">
        <v>163</v>
      </c>
      <c r="C3126" s="2">
        <v>110</v>
      </c>
      <c r="D3126" s="2">
        <v>1.7000000000000001E-4</v>
      </c>
      <c r="E3126" s="2" t="s">
        <v>3126</v>
      </c>
      <c r="F3126" s="2">
        <v>1.7000000000000001E-4</v>
      </c>
    </row>
    <row r="3127" spans="1:6" x14ac:dyDescent="0.25">
      <c r="A3127" s="1">
        <v>110277</v>
      </c>
      <c r="B3127" s="2">
        <v>167</v>
      </c>
      <c r="C3127" s="2">
        <v>110</v>
      </c>
      <c r="D3127" s="2">
        <v>4.0999999999999899E-3</v>
      </c>
      <c r="E3127" s="2" t="s">
        <v>3127</v>
      </c>
      <c r="F3127" s="2">
        <v>4.0999999999999899E-3</v>
      </c>
    </row>
    <row r="3128" spans="1:6" x14ac:dyDescent="0.25">
      <c r="A3128" s="1">
        <v>110279</v>
      </c>
      <c r="B3128" s="2">
        <v>169</v>
      </c>
      <c r="C3128" s="2">
        <v>110</v>
      </c>
      <c r="D3128" s="2">
        <v>0.18</v>
      </c>
      <c r="E3128" s="2" t="s">
        <v>3128</v>
      </c>
      <c r="F3128" s="2">
        <v>0.18</v>
      </c>
    </row>
    <row r="3129" spans="1:6" x14ac:dyDescent="0.25">
      <c r="A3129" s="1">
        <v>110281</v>
      </c>
      <c r="B3129" s="2">
        <v>171</v>
      </c>
      <c r="C3129" s="2">
        <v>110</v>
      </c>
      <c r="D3129" s="2">
        <v>13</v>
      </c>
      <c r="E3129" s="2" t="s">
        <v>3129</v>
      </c>
      <c r="F3129" s="2">
        <v>13</v>
      </c>
    </row>
    <row r="3130" spans="1:6" x14ac:dyDescent="0.25">
      <c r="A3130" s="1">
        <v>111272</v>
      </c>
      <c r="B3130" s="2">
        <v>161</v>
      </c>
      <c r="C3130" s="2">
        <v>111</v>
      </c>
      <c r="D3130" s="2">
        <v>3.8E-3</v>
      </c>
      <c r="E3130" s="2" t="s">
        <v>3130</v>
      </c>
      <c r="F3130" s="2">
        <v>3.8E-3</v>
      </c>
    </row>
    <row r="3131" spans="1:6" x14ac:dyDescent="0.25">
      <c r="A3131" s="1">
        <v>111274</v>
      </c>
      <c r="B3131" s="2">
        <v>163</v>
      </c>
      <c r="C3131" s="2">
        <v>111</v>
      </c>
      <c r="D3131" s="2">
        <v>6.4000000000000003E-3</v>
      </c>
      <c r="E3131" s="2" t="s">
        <v>3131</v>
      </c>
      <c r="F3131" s="2">
        <v>6.4000000000000003E-3</v>
      </c>
    </row>
    <row r="3132" spans="1:6" x14ac:dyDescent="0.25">
      <c r="A3132" s="1">
        <v>111278</v>
      </c>
      <c r="B3132" s="2">
        <v>167</v>
      </c>
      <c r="C3132" s="2">
        <v>111</v>
      </c>
      <c r="D3132" s="2">
        <v>4.1999999999999997E-3</v>
      </c>
      <c r="E3132" s="2" t="s">
        <v>3132</v>
      </c>
      <c r="F3132" s="2">
        <v>4.1999999999999997E-3</v>
      </c>
    </row>
    <row r="3133" spans="1:6" x14ac:dyDescent="0.25">
      <c r="A3133" s="1">
        <v>111279</v>
      </c>
      <c r="B3133" s="2">
        <v>168</v>
      </c>
      <c r="C3133" s="2">
        <v>111</v>
      </c>
      <c r="D3133" s="2">
        <v>0.17</v>
      </c>
      <c r="E3133" s="2" t="s">
        <v>3133</v>
      </c>
      <c r="F3133" s="2">
        <v>0.17</v>
      </c>
    </row>
    <row r="3134" spans="1:6" x14ac:dyDescent="0.25">
      <c r="A3134" s="1">
        <v>111280</v>
      </c>
      <c r="B3134" s="2">
        <v>169</v>
      </c>
      <c r="C3134" s="2">
        <v>111</v>
      </c>
      <c r="D3134" s="2">
        <v>3.6</v>
      </c>
      <c r="E3134" s="2" t="s">
        <v>3134</v>
      </c>
      <c r="F3134" s="2">
        <v>3.6</v>
      </c>
    </row>
    <row r="3135" spans="1:6" x14ac:dyDescent="0.25">
      <c r="A3135" s="1">
        <v>111281</v>
      </c>
      <c r="B3135" s="2">
        <v>170</v>
      </c>
      <c r="C3135" s="2">
        <v>111</v>
      </c>
      <c r="D3135" s="2">
        <v>17</v>
      </c>
      <c r="E3135" s="2" t="s">
        <v>3135</v>
      </c>
      <c r="F3135" s="2">
        <v>17</v>
      </c>
    </row>
    <row r="3136" spans="1:6" x14ac:dyDescent="0.25">
      <c r="A3136" s="1">
        <v>111282</v>
      </c>
      <c r="B3136" s="2">
        <v>171</v>
      </c>
      <c r="C3136" s="2">
        <v>111</v>
      </c>
      <c r="D3136" s="2">
        <v>0.5</v>
      </c>
      <c r="E3136" s="2" t="s">
        <v>3136</v>
      </c>
      <c r="F3136" s="2">
        <v>0.5</v>
      </c>
    </row>
    <row r="3137" spans="1:6" x14ac:dyDescent="0.25">
      <c r="A3137" s="1">
        <v>112281</v>
      </c>
      <c r="B3137" s="2">
        <v>169</v>
      </c>
      <c r="C3137" s="2">
        <v>112</v>
      </c>
      <c r="D3137" s="2">
        <v>0.13</v>
      </c>
      <c r="E3137" s="2" t="s">
        <v>3137</v>
      </c>
      <c r="F3137" s="2">
        <v>0.13</v>
      </c>
    </row>
    <row r="3138" spans="1:6" x14ac:dyDescent="0.25">
      <c r="A3138" s="1">
        <v>112282</v>
      </c>
      <c r="B3138" s="2">
        <v>170</v>
      </c>
      <c r="C3138" s="2">
        <v>112</v>
      </c>
      <c r="D3138" s="2">
        <v>5.0000000000000001E-4</v>
      </c>
      <c r="E3138" s="2" t="s">
        <v>3138</v>
      </c>
      <c r="F3138" s="2">
        <v>5.0000000000000001E-4</v>
      </c>
    </row>
    <row r="3139" spans="1:6" x14ac:dyDescent="0.25">
      <c r="A3139" s="1">
        <v>112283</v>
      </c>
      <c r="B3139" s="2">
        <v>171</v>
      </c>
      <c r="C3139" s="2">
        <v>112</v>
      </c>
      <c r="D3139" s="2">
        <v>4</v>
      </c>
      <c r="E3139" s="2" t="s">
        <v>3139</v>
      </c>
      <c r="F3139" s="2">
        <v>4</v>
      </c>
    </row>
    <row r="3140" spans="1:6" x14ac:dyDescent="0.25">
      <c r="A3140" s="1">
        <v>112284</v>
      </c>
      <c r="B3140" s="2">
        <v>172</v>
      </c>
      <c r="C3140" s="2">
        <v>112</v>
      </c>
      <c r="D3140" s="2">
        <v>0.10100000000000001</v>
      </c>
      <c r="E3140" s="2" t="s">
        <v>3140</v>
      </c>
      <c r="F3140" s="2">
        <v>0.10100000000000001</v>
      </c>
    </row>
    <row r="3141" spans="1:6" x14ac:dyDescent="0.25">
      <c r="A3141" s="1">
        <v>112285</v>
      </c>
      <c r="B3141" s="2">
        <v>173</v>
      </c>
      <c r="C3141" s="2">
        <v>112</v>
      </c>
      <c r="D3141" s="2">
        <v>30</v>
      </c>
      <c r="E3141" s="2" t="s">
        <v>3141</v>
      </c>
      <c r="F3141" s="2">
        <v>30</v>
      </c>
    </row>
    <row r="3142" spans="1:6" x14ac:dyDescent="0.25">
      <c r="A3142" s="1">
        <v>113278</v>
      </c>
      <c r="B3142" s="2">
        <v>165</v>
      </c>
      <c r="C3142" s="2">
        <v>113</v>
      </c>
      <c r="D3142" s="2">
        <v>2.4000000000000001E-4</v>
      </c>
      <c r="E3142" s="2" t="s">
        <v>3142</v>
      </c>
      <c r="F3142" s="2">
        <v>2.4000000000000001E-4</v>
      </c>
    </row>
    <row r="3143" spans="1:6" x14ac:dyDescent="0.25">
      <c r="A3143" s="1">
        <v>113282</v>
      </c>
      <c r="B3143" s="2">
        <v>169</v>
      </c>
      <c r="C3143" s="2">
        <v>113</v>
      </c>
      <c r="D3143" s="2">
        <v>7.0000000000000007E-2</v>
      </c>
      <c r="E3143" s="2" t="s">
        <v>3143</v>
      </c>
      <c r="F3143" s="2">
        <v>7.0000000000000007E-2</v>
      </c>
    </row>
    <row r="3144" spans="1:6" x14ac:dyDescent="0.25">
      <c r="A3144" s="1">
        <v>113283</v>
      </c>
      <c r="B3144" s="2">
        <v>170</v>
      </c>
      <c r="C3144" s="2">
        <v>113</v>
      </c>
      <c r="D3144" s="2">
        <v>0.1</v>
      </c>
      <c r="E3144" s="2" t="s">
        <v>3144</v>
      </c>
      <c r="F3144" s="2">
        <v>0.1</v>
      </c>
    </row>
    <row r="3145" spans="1:6" x14ac:dyDescent="0.25">
      <c r="A3145" s="1">
        <v>113284</v>
      </c>
      <c r="B3145" s="2">
        <v>171</v>
      </c>
      <c r="C3145" s="2">
        <v>113</v>
      </c>
      <c r="D3145" s="2">
        <v>0.48</v>
      </c>
      <c r="E3145" s="2" t="s">
        <v>3145</v>
      </c>
      <c r="F3145" s="2">
        <v>0.48</v>
      </c>
    </row>
    <row r="3146" spans="1:6" x14ac:dyDescent="0.25">
      <c r="A3146" s="1">
        <v>113285</v>
      </c>
      <c r="B3146" s="2">
        <v>172</v>
      </c>
      <c r="C3146" s="2">
        <v>113</v>
      </c>
      <c r="D3146" s="2">
        <v>5.5</v>
      </c>
      <c r="E3146" s="2" t="s">
        <v>3146</v>
      </c>
      <c r="F3146" s="2">
        <v>5.5</v>
      </c>
    </row>
    <row r="3147" spans="1:6" x14ac:dyDescent="0.25">
      <c r="A3147" s="1">
        <v>113286</v>
      </c>
      <c r="B3147" s="2">
        <v>173</v>
      </c>
      <c r="C3147" s="2">
        <v>113</v>
      </c>
      <c r="D3147" s="2">
        <v>20</v>
      </c>
      <c r="E3147" s="2" t="s">
        <v>3147</v>
      </c>
      <c r="F3147" s="2">
        <v>20</v>
      </c>
    </row>
    <row r="3148" spans="1:6" x14ac:dyDescent="0.25">
      <c r="A3148" s="1">
        <v>114284</v>
      </c>
      <c r="B3148" s="2">
        <v>170</v>
      </c>
      <c r="C3148" s="2">
        <v>114</v>
      </c>
      <c r="D3148" s="2">
        <v>2.5000000000000001E-3</v>
      </c>
      <c r="E3148" s="2" t="s">
        <v>3148</v>
      </c>
      <c r="F3148" s="2">
        <v>2.5000000000000001E-3</v>
      </c>
    </row>
    <row r="3149" spans="1:6" x14ac:dyDescent="0.25">
      <c r="A3149" s="1">
        <v>114285</v>
      </c>
      <c r="B3149" s="2">
        <v>171</v>
      </c>
      <c r="C3149" s="2">
        <v>114</v>
      </c>
      <c r="D3149" s="2">
        <v>0.15</v>
      </c>
      <c r="E3149" s="2" t="s">
        <v>3149</v>
      </c>
      <c r="F3149" s="2">
        <v>0.15</v>
      </c>
    </row>
    <row r="3150" spans="1:6" x14ac:dyDescent="0.25">
      <c r="A3150" s="1">
        <v>114286</v>
      </c>
      <c r="B3150" s="2">
        <v>172</v>
      </c>
      <c r="C3150" s="2">
        <v>114</v>
      </c>
      <c r="D3150" s="2">
        <v>0.16</v>
      </c>
      <c r="E3150" s="2" t="s">
        <v>3150</v>
      </c>
      <c r="F3150" s="2">
        <v>0.16</v>
      </c>
    </row>
    <row r="3151" spans="1:6" x14ac:dyDescent="0.25">
      <c r="A3151" s="1">
        <v>114287</v>
      </c>
      <c r="B3151" s="2">
        <v>173</v>
      </c>
      <c r="C3151" s="2">
        <v>114</v>
      </c>
      <c r="D3151" s="2">
        <v>0.51</v>
      </c>
      <c r="E3151" s="2" t="s">
        <v>3151</v>
      </c>
      <c r="F3151" s="2">
        <v>0.51</v>
      </c>
    </row>
    <row r="3152" spans="1:6" x14ac:dyDescent="0.25">
      <c r="A3152" s="1">
        <v>114288</v>
      </c>
      <c r="B3152" s="2">
        <v>174</v>
      </c>
      <c r="C3152" s="2">
        <v>114</v>
      </c>
      <c r="D3152" s="2">
        <v>0.52</v>
      </c>
      <c r="E3152" s="2" t="s">
        <v>3152</v>
      </c>
      <c r="F3152" s="2">
        <v>0.52</v>
      </c>
    </row>
    <row r="3153" spans="1:6" x14ac:dyDescent="0.25">
      <c r="A3153" s="1">
        <v>114289</v>
      </c>
      <c r="B3153" s="2">
        <v>175</v>
      </c>
      <c r="C3153" s="2">
        <v>114</v>
      </c>
      <c r="D3153" s="2">
        <v>0.97</v>
      </c>
      <c r="E3153" s="2" t="s">
        <v>3153</v>
      </c>
      <c r="F3153" s="2">
        <v>0.97</v>
      </c>
    </row>
    <row r="3154" spans="1:6" x14ac:dyDescent="0.25">
      <c r="A3154" s="1">
        <v>115287</v>
      </c>
      <c r="B3154" s="2">
        <v>172</v>
      </c>
      <c r="C3154" s="2">
        <v>115</v>
      </c>
      <c r="D3154" s="2">
        <v>3.2000000000000001E-2</v>
      </c>
      <c r="E3154" s="2" t="s">
        <v>3154</v>
      </c>
      <c r="F3154" s="2">
        <v>3.2000000000000001E-2</v>
      </c>
    </row>
    <row r="3155" spans="1:6" x14ac:dyDescent="0.25">
      <c r="A3155" s="1">
        <v>115288</v>
      </c>
      <c r="B3155" s="2">
        <v>173</v>
      </c>
      <c r="C3155" s="2">
        <v>115</v>
      </c>
      <c r="D3155" s="2">
        <v>8.6999999999999994E-2</v>
      </c>
      <c r="E3155" s="2" t="s">
        <v>3155</v>
      </c>
      <c r="F3155" s="2">
        <v>8.6999999999999994E-2</v>
      </c>
    </row>
    <row r="3156" spans="1:6" x14ac:dyDescent="0.25">
      <c r="A3156" s="1">
        <v>115289</v>
      </c>
      <c r="B3156" s="2">
        <v>174</v>
      </c>
      <c r="C3156" s="2">
        <v>115</v>
      </c>
      <c r="D3156" s="2">
        <v>0.22</v>
      </c>
      <c r="E3156" s="2" t="s">
        <v>3156</v>
      </c>
      <c r="F3156" s="2">
        <v>0.22</v>
      </c>
    </row>
    <row r="3157" spans="1:6" x14ac:dyDescent="0.25">
      <c r="A3157" s="1">
        <v>115290</v>
      </c>
      <c r="B3157" s="2">
        <v>175</v>
      </c>
      <c r="C3157" s="2">
        <v>115</v>
      </c>
      <c r="D3157" s="2">
        <v>1.6E-2</v>
      </c>
      <c r="E3157" s="2" t="s">
        <v>3157</v>
      </c>
      <c r="F3157" s="2">
        <v>1.6E-2</v>
      </c>
    </row>
    <row r="3158" spans="1:6" x14ac:dyDescent="0.25">
      <c r="A3158" s="1">
        <v>116290</v>
      </c>
      <c r="B3158" s="2">
        <v>174</v>
      </c>
      <c r="C3158" s="2">
        <v>116</v>
      </c>
      <c r="D3158" s="2">
        <v>1.4999999999999999E-2</v>
      </c>
      <c r="E3158" s="2" t="s">
        <v>3158</v>
      </c>
      <c r="F3158" s="2">
        <v>1.4999999999999999E-2</v>
      </c>
    </row>
    <row r="3159" spans="1:6" x14ac:dyDescent="0.25">
      <c r="A3159" s="1">
        <v>116291</v>
      </c>
      <c r="B3159" s="2">
        <v>175</v>
      </c>
      <c r="C3159" s="2">
        <v>116</v>
      </c>
      <c r="D3159" s="2">
        <v>6.3E-3</v>
      </c>
      <c r="E3159" s="2" t="s">
        <v>3159</v>
      </c>
      <c r="F3159" s="2">
        <v>6.3E-3</v>
      </c>
    </row>
    <row r="3160" spans="1:6" x14ac:dyDescent="0.25">
      <c r="A3160" s="1">
        <v>116292</v>
      </c>
      <c r="B3160" s="2">
        <v>176</v>
      </c>
      <c r="C3160" s="2">
        <v>116</v>
      </c>
      <c r="D3160" s="2">
        <v>1.7999999999999999E-2</v>
      </c>
      <c r="E3160" s="2" t="s">
        <v>3160</v>
      </c>
      <c r="F3160" s="2">
        <v>1.7999999999999999E-2</v>
      </c>
    </row>
    <row r="3161" spans="1:6" x14ac:dyDescent="0.25">
      <c r="A3161" s="1">
        <v>116293</v>
      </c>
      <c r="B3161" s="2">
        <v>177</v>
      </c>
      <c r="C3161" s="2">
        <v>116</v>
      </c>
      <c r="D3161" s="2">
        <v>5.2999999999999999E-2</v>
      </c>
      <c r="E3161" s="2" t="s">
        <v>3161</v>
      </c>
      <c r="F3161" s="2">
        <v>5.2999999999999999E-2</v>
      </c>
    </row>
    <row r="3162" spans="1:6" x14ac:dyDescent="0.25">
      <c r="A3162" s="1">
        <v>117293</v>
      </c>
      <c r="B3162" s="2">
        <v>176</v>
      </c>
      <c r="C3162" s="2">
        <v>117</v>
      </c>
      <c r="D3162" s="2">
        <v>1.4E-2</v>
      </c>
      <c r="E3162" s="2" t="s">
        <v>3162</v>
      </c>
      <c r="F3162" s="2">
        <v>1.4E-2</v>
      </c>
    </row>
    <row r="3163" spans="1:6" x14ac:dyDescent="0.25">
      <c r="A3163" s="1">
        <v>117294</v>
      </c>
      <c r="B3163" s="2">
        <v>177</v>
      </c>
      <c r="C3163" s="2">
        <v>117</v>
      </c>
      <c r="D3163" s="2">
        <v>0.08</v>
      </c>
      <c r="E3163" s="2" t="s">
        <v>3163</v>
      </c>
      <c r="F3163" s="2">
        <v>0.08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BB842-0B3A-4514-B076-3FD9F6CD2619}">
  <sheetPr filterMode="1"/>
  <dimension ref="B1:O1593"/>
  <sheetViews>
    <sheetView tabSelected="1" workbookViewId="0">
      <selection activeCell="N11" sqref="N11:N1592"/>
    </sheetView>
  </sheetViews>
  <sheetFormatPr defaultRowHeight="14.25" x14ac:dyDescent="0.2"/>
  <sheetData>
    <row r="1" spans="2:15" x14ac:dyDescent="0.2">
      <c r="B1" s="3" t="s">
        <v>3164</v>
      </c>
      <c r="C1" s="3" t="s">
        <v>3165</v>
      </c>
      <c r="D1" s="3" t="s">
        <v>3166</v>
      </c>
      <c r="E1" s="3" t="s">
        <v>3164</v>
      </c>
      <c r="F1" s="5" t="s">
        <v>3167</v>
      </c>
      <c r="G1" s="5" t="s">
        <v>3167</v>
      </c>
      <c r="H1" s="3" t="s">
        <v>3168</v>
      </c>
      <c r="I1" s="3" t="s">
        <v>3169</v>
      </c>
      <c r="J1" s="3" t="s">
        <v>3170</v>
      </c>
      <c r="K1" s="3" t="s">
        <v>3171</v>
      </c>
    </row>
    <row r="2" spans="2:15" hidden="1" x14ac:dyDescent="0.2"/>
    <row r="3" spans="2:15" hidden="1" x14ac:dyDescent="0.2"/>
    <row r="4" spans="2:15" hidden="1" x14ac:dyDescent="0.2">
      <c r="B4" s="4">
        <v>3006</v>
      </c>
      <c r="C4" s="4">
        <v>8.9999999999999999E-8</v>
      </c>
      <c r="D4">
        <v>0.33329999999999999</v>
      </c>
      <c r="E4" t="str">
        <f>VLOOKUP(B4,[1]Nuclides!A:E,5,FALSE)</f>
        <v>Li6</v>
      </c>
      <c r="F4" t="str">
        <f>VLOOKUP(B4,[1]Nuclides!A:E,4,FALSE)</f>
        <v>STABLE</v>
      </c>
      <c r="G4" t="str">
        <f t="shared" ref="G4" si="0">IF(F4="STABLE", "STABLE", IF(F4&lt;60, F4&amp;"s", IF(F4&lt;3600, ROUND(F4/60,2)&amp;"min", IF(F4&lt;86400, ROUND(F4/3600,2)&amp;"h", IF(F4&lt;31536000, ROUND(F4/86400,2)&amp;"d", ROUND(F4/31536000,2)&amp;"y")))))</f>
        <v>STABLE</v>
      </c>
      <c r="H4" t="e">
        <f t="shared" ref="H4" si="1">LN(2)/F4</f>
        <v>#VALUE!</v>
      </c>
      <c r="I4" t="e">
        <f t="shared" ref="I4" si="2">60*6240000000000*C4*(1-EXP(-H4*2*3600))</f>
        <v>#VALUE!</v>
      </c>
      <c r="J4" t="e">
        <f>I4*EXP(-H4*96*3600)</f>
        <v>#VALUE!</v>
      </c>
      <c r="K4" t="str">
        <f t="shared" ref="K4" si="3">E4</f>
        <v>Li6</v>
      </c>
    </row>
    <row r="5" spans="2:15" hidden="1" x14ac:dyDescent="0.2">
      <c r="B5" s="4">
        <v>3007</v>
      </c>
      <c r="C5" s="4">
        <v>9.9999999999999995E-8</v>
      </c>
      <c r="D5">
        <v>0.31619999999999998</v>
      </c>
      <c r="E5" t="str">
        <f>VLOOKUP(B5,[1]Nuclides!A:E,5,FALSE)</f>
        <v>Li7</v>
      </c>
      <c r="F5" t="str">
        <f>VLOOKUP(B5,[1]Nuclides!A:E,4,FALSE)</f>
        <v>STABLE</v>
      </c>
      <c r="G5" t="str">
        <f t="shared" ref="G5:G68" si="4">IF(F5="STABLE", "STABLE", IF(F5&lt;60, F5&amp;"s", IF(F5&lt;3600, ROUND(F5/60,2)&amp;"min", IF(F5&lt;86400, ROUND(F5/3600,2)&amp;"h", IF(F5&lt;31536000, ROUND(F5/86400,2)&amp;"d", ROUND(F5/31536000,2)&amp;"y")))))</f>
        <v>STABLE</v>
      </c>
      <c r="H5" t="e">
        <f t="shared" ref="H5:H68" si="5">LN(2)/F5</f>
        <v>#VALUE!</v>
      </c>
      <c r="I5" t="e">
        <f t="shared" ref="I5:I68" si="6">60*6240000000000*C5*(1-EXP(-H5*2*3600))</f>
        <v>#VALUE!</v>
      </c>
      <c r="J5" t="e">
        <f t="shared" ref="J5:J68" si="7">I5*EXP(-H5*96*3600)</f>
        <v>#VALUE!</v>
      </c>
      <c r="K5" t="str">
        <f t="shared" ref="K5:K68" si="8">E5</f>
        <v>Li7</v>
      </c>
    </row>
    <row r="6" spans="2:15" hidden="1" x14ac:dyDescent="0.2">
      <c r="B6" s="4">
        <v>3008</v>
      </c>
      <c r="C6" s="4">
        <v>0</v>
      </c>
      <c r="D6">
        <v>0</v>
      </c>
      <c r="E6" t="str">
        <f>VLOOKUP(B6,[1]Nuclides!A:E,5,FALSE)</f>
        <v>Li8</v>
      </c>
      <c r="F6">
        <f>VLOOKUP(B6,[1]Nuclides!A:E,4,FALSE)</f>
        <v>0.83989999999999998</v>
      </c>
      <c r="G6" t="str">
        <f t="shared" si="4"/>
        <v>0.8399s</v>
      </c>
      <c r="H6">
        <f t="shared" si="5"/>
        <v>0.82527346179300543</v>
      </c>
      <c r="I6">
        <f t="shared" si="6"/>
        <v>0</v>
      </c>
      <c r="J6">
        <f t="shared" si="7"/>
        <v>0</v>
      </c>
      <c r="K6" t="str">
        <f t="shared" si="8"/>
        <v>Li8</v>
      </c>
    </row>
    <row r="7" spans="2:15" hidden="1" x14ac:dyDescent="0.2">
      <c r="B7" s="4">
        <v>3009</v>
      </c>
      <c r="C7" s="4">
        <v>0</v>
      </c>
      <c r="D7">
        <v>0</v>
      </c>
      <c r="E7" t="str">
        <f>VLOOKUP(B7,[1]Nuclides!A:E,5,FALSE)</f>
        <v>Li9</v>
      </c>
      <c r="F7">
        <f>VLOOKUP(B7,[1]Nuclides!A:E,4,FALSE)</f>
        <v>0.17829999999999999</v>
      </c>
      <c r="G7" t="str">
        <f t="shared" si="4"/>
        <v>0.1783s</v>
      </c>
      <c r="H7">
        <f t="shared" si="5"/>
        <v>3.8875332616934681</v>
      </c>
      <c r="I7">
        <f t="shared" si="6"/>
        <v>0</v>
      </c>
      <c r="J7">
        <f t="shared" si="7"/>
        <v>0</v>
      </c>
      <c r="K7" t="str">
        <f t="shared" si="8"/>
        <v>Li9</v>
      </c>
    </row>
    <row r="8" spans="2:15" hidden="1" x14ac:dyDescent="0.2">
      <c r="B8" s="4">
        <v>3010</v>
      </c>
      <c r="C8" s="4">
        <v>0</v>
      </c>
      <c r="D8">
        <v>0</v>
      </c>
      <c r="E8" t="e">
        <f>VLOOKUP(B8,[1]Nuclides!A:E,5,FALSE)</f>
        <v>#N/A</v>
      </c>
      <c r="F8" t="e">
        <f>VLOOKUP(B8,[1]Nuclides!A:E,4,FALSE)</f>
        <v>#N/A</v>
      </c>
      <c r="G8" t="e">
        <f t="shared" si="4"/>
        <v>#N/A</v>
      </c>
      <c r="H8" t="e">
        <f t="shared" si="5"/>
        <v>#N/A</v>
      </c>
      <c r="I8" t="e">
        <f t="shared" si="6"/>
        <v>#N/A</v>
      </c>
      <c r="J8" t="e">
        <f t="shared" si="7"/>
        <v>#N/A</v>
      </c>
      <c r="K8" t="e">
        <f t="shared" si="8"/>
        <v>#N/A</v>
      </c>
    </row>
    <row r="9" spans="2:15" hidden="1" x14ac:dyDescent="0.2">
      <c r="B9" s="4">
        <v>3011</v>
      </c>
      <c r="C9" s="4">
        <v>0</v>
      </c>
      <c r="D9">
        <v>0</v>
      </c>
      <c r="E9" t="str">
        <f>VLOOKUP(B9,[1]Nuclides!A:E,5,FALSE)</f>
        <v>Li11</v>
      </c>
      <c r="F9">
        <f>VLOOKUP(B9,[1]Nuclides!A:E,4,FALSE)</f>
        <v>8.7500000000000008E-3</v>
      </c>
      <c r="G9" t="str">
        <f t="shared" si="4"/>
        <v>0.00875s</v>
      </c>
      <c r="H9">
        <f t="shared" si="5"/>
        <v>79.216820635422309</v>
      </c>
      <c r="I9">
        <f t="shared" si="6"/>
        <v>0</v>
      </c>
      <c r="J9">
        <f t="shared" si="7"/>
        <v>0</v>
      </c>
      <c r="K9" t="str">
        <f t="shared" si="8"/>
        <v>Li11</v>
      </c>
    </row>
    <row r="10" spans="2:15" hidden="1" x14ac:dyDescent="0.2">
      <c r="B10" s="4">
        <v>4006</v>
      </c>
      <c r="C10" s="4">
        <v>0</v>
      </c>
      <c r="D10">
        <v>0</v>
      </c>
      <c r="E10" t="str">
        <f>VLOOKUP(B10,[1]Nuclides!A:E,5,FALSE)</f>
        <v>Be6</v>
      </c>
      <c r="F10">
        <f>VLOOKUP(B10,[1]Nuclides!A:E,4,FALSE)</f>
        <v>4.9532608695652102E-21</v>
      </c>
      <c r="G10" t="str">
        <f t="shared" si="4"/>
        <v>4.95326086956521E-21s</v>
      </c>
      <c r="H10">
        <f t="shared" si="5"/>
        <v>1.3993754797348048E+20</v>
      </c>
      <c r="I10">
        <f t="shared" si="6"/>
        <v>0</v>
      </c>
      <c r="J10">
        <f t="shared" si="7"/>
        <v>0</v>
      </c>
      <c r="K10" t="str">
        <f t="shared" si="8"/>
        <v>Be6</v>
      </c>
    </row>
    <row r="11" spans="2:15" x14ac:dyDescent="0.2">
      <c r="B11" s="4">
        <v>4007</v>
      </c>
      <c r="C11" s="4">
        <v>5.9999999999999995E-8</v>
      </c>
      <c r="D11">
        <v>0.40820000000000001</v>
      </c>
      <c r="E11" t="str">
        <f>VLOOKUP(B11,[1]Nuclides!A:E,5,FALSE)</f>
        <v>Be7</v>
      </c>
      <c r="F11" s="4">
        <f>VLOOKUP(B11,[1]Nuclides!A:E,4,FALSE)</f>
        <v>4598208</v>
      </c>
      <c r="G11" s="4" t="str">
        <f t="shared" si="4"/>
        <v>53.22d</v>
      </c>
      <c r="H11" s="4">
        <f t="shared" si="5"/>
        <v>1.507428938751673E-7</v>
      </c>
      <c r="I11" s="4">
        <f t="shared" si="6"/>
        <v>24368.049940272354</v>
      </c>
      <c r="J11" s="4">
        <f>I11*EXP(-H11*24*30*3600)</f>
        <v>16486.589034785429</v>
      </c>
      <c r="K11" s="4" t="str">
        <f t="shared" si="8"/>
        <v>Be7</v>
      </c>
      <c r="M11" s="4" t="str">
        <f>K11</f>
        <v>Be7</v>
      </c>
      <c r="N11" s="4">
        <f>J11</f>
        <v>16486.589034785429</v>
      </c>
      <c r="O11">
        <f>0</f>
        <v>0</v>
      </c>
    </row>
    <row r="12" spans="2:15" hidden="1" x14ac:dyDescent="0.2">
      <c r="B12" s="4">
        <v>4008</v>
      </c>
      <c r="C12" s="4">
        <v>0</v>
      </c>
      <c r="D12">
        <v>0</v>
      </c>
      <c r="E12" t="str">
        <f>VLOOKUP(B12,[1]Nuclides!A:E,5,FALSE)</f>
        <v>Be8</v>
      </c>
      <c r="F12">
        <f>VLOOKUP(B12,[1]Nuclides!A:E,4,FALSE)</f>
        <v>8.1813285457809601E-17</v>
      </c>
      <c r="G12" t="str">
        <f t="shared" si="4"/>
        <v>8.18132854578096E-17s</v>
      </c>
      <c r="H12">
        <f t="shared" si="5"/>
        <v>8472305893611805</v>
      </c>
      <c r="I12">
        <f t="shared" si="6"/>
        <v>0</v>
      </c>
      <c r="J12">
        <f t="shared" si="7"/>
        <v>0</v>
      </c>
      <c r="K12" t="str">
        <f t="shared" si="8"/>
        <v>Be8</v>
      </c>
    </row>
    <row r="13" spans="2:15" hidden="1" x14ac:dyDescent="0.2">
      <c r="B13" s="4">
        <v>4009</v>
      </c>
      <c r="C13" s="4">
        <v>8.0999999999999997E-7</v>
      </c>
      <c r="D13">
        <v>0.1111</v>
      </c>
      <c r="E13" t="str">
        <f>VLOOKUP(B13,[1]Nuclides!A:E,5,FALSE)</f>
        <v>Be9</v>
      </c>
      <c r="F13" t="str">
        <f>VLOOKUP(B13,[1]Nuclides!A:E,4,FALSE)</f>
        <v>STABLE</v>
      </c>
      <c r="G13" t="str">
        <f t="shared" si="4"/>
        <v>STABLE</v>
      </c>
      <c r="H13" t="e">
        <f t="shared" si="5"/>
        <v>#VALUE!</v>
      </c>
      <c r="I13" t="e">
        <f t="shared" si="6"/>
        <v>#VALUE!</v>
      </c>
      <c r="J13" t="e">
        <f t="shared" si="7"/>
        <v>#VALUE!</v>
      </c>
      <c r="K13" t="str">
        <f t="shared" si="8"/>
        <v>Be9</v>
      </c>
    </row>
    <row r="14" spans="2:15" hidden="1" x14ac:dyDescent="0.2">
      <c r="B14" s="4">
        <v>4010</v>
      </c>
      <c r="C14" s="4">
        <v>0</v>
      </c>
      <c r="D14">
        <v>0</v>
      </c>
      <c r="E14" t="str">
        <f>VLOOKUP(B14,[1]Nuclides!A:E,5,FALSE)</f>
        <v>Be10</v>
      </c>
      <c r="F14">
        <f>VLOOKUP(B14,[1]Nuclides!A:E,4,FALSE)</f>
        <v>47651976000000</v>
      </c>
      <c r="G14" t="str">
        <f t="shared" si="4"/>
        <v>1511034.25y</v>
      </c>
      <c r="H14">
        <f t="shared" si="5"/>
        <v>1.4546032268629223E-14</v>
      </c>
      <c r="I14">
        <f t="shared" si="6"/>
        <v>0</v>
      </c>
      <c r="J14">
        <f t="shared" si="7"/>
        <v>0</v>
      </c>
      <c r="K14" t="str">
        <f t="shared" si="8"/>
        <v>Be10</v>
      </c>
    </row>
    <row r="15" spans="2:15" hidden="1" x14ac:dyDescent="0.2">
      <c r="B15" s="4">
        <v>4011</v>
      </c>
      <c r="C15" s="4">
        <v>0</v>
      </c>
      <c r="D15">
        <v>0</v>
      </c>
      <c r="E15" t="str">
        <f>VLOOKUP(B15,[1]Nuclides!A:E,5,FALSE)</f>
        <v>Be11</v>
      </c>
      <c r="F15">
        <f>VLOOKUP(B15,[1]Nuclides!A:E,4,FALSE)</f>
        <v>13.76</v>
      </c>
      <c r="G15" t="str">
        <f t="shared" si="4"/>
        <v>13.76s</v>
      </c>
      <c r="H15">
        <f t="shared" si="5"/>
        <v>5.0374068354647188E-2</v>
      </c>
      <c r="I15">
        <f t="shared" si="6"/>
        <v>0</v>
      </c>
      <c r="J15">
        <f t="shared" si="7"/>
        <v>0</v>
      </c>
      <c r="K15" t="str">
        <f t="shared" si="8"/>
        <v>Be11</v>
      </c>
    </row>
    <row r="16" spans="2:15" hidden="1" x14ac:dyDescent="0.2">
      <c r="B16" s="4">
        <v>4012</v>
      </c>
      <c r="C16" s="4">
        <v>0</v>
      </c>
      <c r="D16">
        <v>0</v>
      </c>
      <c r="E16" t="str">
        <f>VLOOKUP(B16,[1]Nuclides!A:E,5,FALSE)</f>
        <v>Be12</v>
      </c>
      <c r="F16">
        <f>VLOOKUP(B16,[1]Nuclides!A:E,4,FALSE)</f>
        <v>2.147E-2</v>
      </c>
      <c r="G16" t="str">
        <f t="shared" si="4"/>
        <v>0.02147s</v>
      </c>
      <c r="H16">
        <f t="shared" si="5"/>
        <v>32.284451819280171</v>
      </c>
      <c r="I16">
        <f t="shared" si="6"/>
        <v>0</v>
      </c>
      <c r="J16">
        <f t="shared" si="7"/>
        <v>0</v>
      </c>
      <c r="K16" t="str">
        <f t="shared" si="8"/>
        <v>Be12</v>
      </c>
    </row>
    <row r="17" spans="2:11" hidden="1" x14ac:dyDescent="0.2">
      <c r="B17" s="4">
        <v>4013</v>
      </c>
      <c r="C17" s="4">
        <v>0</v>
      </c>
      <c r="D17">
        <v>0</v>
      </c>
      <c r="E17" t="str">
        <f>VLOOKUP(B17,[1]Nuclides!A:E,5,FALSE)</f>
        <v>Be13</v>
      </c>
      <c r="F17">
        <f>VLOOKUP(B17,[1]Nuclides!A:E,4,FALSE)</f>
        <v>2.7000000000000001E-21</v>
      </c>
      <c r="G17" t="str">
        <f t="shared" si="4"/>
        <v>2.7E-21s</v>
      </c>
      <c r="H17">
        <f t="shared" si="5"/>
        <v>2.567211779851649E+20</v>
      </c>
      <c r="I17">
        <f t="shared" si="6"/>
        <v>0</v>
      </c>
      <c r="J17">
        <f t="shared" si="7"/>
        <v>0</v>
      </c>
      <c r="K17" t="str">
        <f t="shared" si="8"/>
        <v>Be13</v>
      </c>
    </row>
    <row r="18" spans="2:11" hidden="1" x14ac:dyDescent="0.2">
      <c r="B18" s="4">
        <v>4014</v>
      </c>
      <c r="C18" s="4">
        <v>0</v>
      </c>
      <c r="D18">
        <v>0</v>
      </c>
      <c r="E18" t="str">
        <f>VLOOKUP(B18,[1]Nuclides!A:E,5,FALSE)</f>
        <v>Be14</v>
      </c>
      <c r="F18">
        <f>VLOOKUP(B18,[1]Nuclides!A:E,4,FALSE)</f>
        <v>4.3499999999999997E-3</v>
      </c>
      <c r="G18" t="str">
        <f t="shared" si="4"/>
        <v>0.00435s</v>
      </c>
      <c r="H18">
        <f t="shared" si="5"/>
        <v>159.34417943906789</v>
      </c>
      <c r="I18">
        <f t="shared" si="6"/>
        <v>0</v>
      </c>
      <c r="J18">
        <f t="shared" si="7"/>
        <v>0</v>
      </c>
      <c r="K18" t="str">
        <f t="shared" si="8"/>
        <v>Be14</v>
      </c>
    </row>
    <row r="19" spans="2:11" hidden="1" x14ac:dyDescent="0.2">
      <c r="B19" s="4">
        <v>5008</v>
      </c>
      <c r="C19" s="4">
        <v>0</v>
      </c>
      <c r="D19">
        <v>0</v>
      </c>
      <c r="E19" t="str">
        <f>VLOOKUP(B19,[1]Nuclides!A:E,5,FALSE)</f>
        <v>B8</v>
      </c>
      <c r="F19">
        <f>VLOOKUP(B19,[1]Nuclides!A:E,4,FALSE)</f>
        <v>0.77</v>
      </c>
      <c r="G19" t="str">
        <f t="shared" si="4"/>
        <v>0.77s</v>
      </c>
      <c r="H19">
        <f t="shared" si="5"/>
        <v>0.90019114358434449</v>
      </c>
      <c r="I19">
        <f t="shared" si="6"/>
        <v>0</v>
      </c>
      <c r="J19">
        <f t="shared" si="7"/>
        <v>0</v>
      </c>
      <c r="K19" t="str">
        <f t="shared" si="8"/>
        <v>B8</v>
      </c>
    </row>
    <row r="20" spans="2:11" hidden="1" x14ac:dyDescent="0.2">
      <c r="B20" s="4">
        <v>5009</v>
      </c>
      <c r="C20" s="4">
        <v>0</v>
      </c>
      <c r="D20">
        <v>0</v>
      </c>
      <c r="E20" t="str">
        <f>VLOOKUP(B20,[1]Nuclides!A:E,5,FALSE)</f>
        <v>B9</v>
      </c>
      <c r="F20">
        <f>VLOOKUP(B20,[1]Nuclides!A:E,4,FALSE)</f>
        <v>8.4388888888888803E-19</v>
      </c>
      <c r="G20" t="str">
        <f t="shared" si="4"/>
        <v>8.43888888888888E-19s</v>
      </c>
      <c r="H20">
        <f t="shared" si="5"/>
        <v>8.2137256419216768E+17</v>
      </c>
      <c r="I20">
        <f t="shared" si="6"/>
        <v>0</v>
      </c>
      <c r="J20">
        <f t="shared" si="7"/>
        <v>0</v>
      </c>
      <c r="K20" t="str">
        <f t="shared" si="8"/>
        <v>B9</v>
      </c>
    </row>
    <row r="21" spans="2:11" hidden="1" x14ac:dyDescent="0.2">
      <c r="B21" s="4">
        <v>5010</v>
      </c>
      <c r="C21" s="4">
        <v>0</v>
      </c>
      <c r="D21">
        <v>0</v>
      </c>
      <c r="E21" t="str">
        <f>VLOOKUP(B21,[1]Nuclides!A:E,5,FALSE)</f>
        <v>B10</v>
      </c>
      <c r="F21" t="str">
        <f>VLOOKUP(B21,[1]Nuclides!A:E,4,FALSE)</f>
        <v>STABLE</v>
      </c>
      <c r="G21" t="str">
        <f t="shared" si="4"/>
        <v>STABLE</v>
      </c>
      <c r="H21" t="e">
        <f t="shared" si="5"/>
        <v>#VALUE!</v>
      </c>
      <c r="I21" t="e">
        <f t="shared" si="6"/>
        <v>#VALUE!</v>
      </c>
      <c r="J21" t="e">
        <f t="shared" si="7"/>
        <v>#VALUE!</v>
      </c>
      <c r="K21" t="str">
        <f t="shared" si="8"/>
        <v>B10</v>
      </c>
    </row>
    <row r="22" spans="2:11" hidden="1" x14ac:dyDescent="0.2">
      <c r="B22" s="4">
        <v>5011</v>
      </c>
      <c r="C22" s="4">
        <v>0</v>
      </c>
      <c r="D22">
        <v>0</v>
      </c>
      <c r="E22" t="str">
        <f>VLOOKUP(B22,[1]Nuclides!A:E,5,FALSE)</f>
        <v>B11</v>
      </c>
      <c r="F22" t="str">
        <f>VLOOKUP(B22,[1]Nuclides!A:E,4,FALSE)</f>
        <v>STABLE</v>
      </c>
      <c r="G22" t="str">
        <f t="shared" si="4"/>
        <v>STABLE</v>
      </c>
      <c r="H22" t="e">
        <f t="shared" si="5"/>
        <v>#VALUE!</v>
      </c>
      <c r="I22" t="e">
        <f t="shared" si="6"/>
        <v>#VALUE!</v>
      </c>
      <c r="J22" t="e">
        <f t="shared" si="7"/>
        <v>#VALUE!</v>
      </c>
      <c r="K22" t="str">
        <f t="shared" si="8"/>
        <v>B11</v>
      </c>
    </row>
    <row r="23" spans="2:11" hidden="1" x14ac:dyDescent="0.2">
      <c r="B23" s="4">
        <v>5012</v>
      </c>
      <c r="C23" s="4">
        <v>0</v>
      </c>
      <c r="D23">
        <v>0</v>
      </c>
      <c r="E23" t="str">
        <f>VLOOKUP(B23,[1]Nuclides!A:E,5,FALSE)</f>
        <v>B12</v>
      </c>
      <c r="F23">
        <f>VLOOKUP(B23,[1]Nuclides!A:E,4,FALSE)</f>
        <v>2.0199999999999999E-2</v>
      </c>
      <c r="G23" t="str">
        <f t="shared" si="4"/>
        <v>0.0202s</v>
      </c>
      <c r="H23">
        <f t="shared" si="5"/>
        <v>34.314216859403231</v>
      </c>
      <c r="I23">
        <f t="shared" si="6"/>
        <v>0</v>
      </c>
      <c r="J23">
        <f t="shared" si="7"/>
        <v>0</v>
      </c>
      <c r="K23" t="str">
        <f t="shared" si="8"/>
        <v>B12</v>
      </c>
    </row>
    <row r="24" spans="2:11" hidden="1" x14ac:dyDescent="0.2">
      <c r="B24" s="4">
        <v>5013</v>
      </c>
      <c r="C24" s="4">
        <v>0</v>
      </c>
      <c r="D24">
        <v>0</v>
      </c>
      <c r="E24" t="str">
        <f>VLOOKUP(B24,[1]Nuclides!A:E,5,FALSE)</f>
        <v>B13</v>
      </c>
      <c r="F24">
        <f>VLOOKUP(B24,[1]Nuclides!A:E,4,FALSE)</f>
        <v>1.7329999999999901E-2</v>
      </c>
      <c r="G24" t="str">
        <f t="shared" si="4"/>
        <v>0.0173299999999999s</v>
      </c>
      <c r="H24">
        <f t="shared" si="5"/>
        <v>39.996952138485241</v>
      </c>
      <c r="I24">
        <f t="shared" si="6"/>
        <v>0</v>
      </c>
      <c r="J24">
        <f t="shared" si="7"/>
        <v>0</v>
      </c>
      <c r="K24" t="str">
        <f t="shared" si="8"/>
        <v>B13</v>
      </c>
    </row>
    <row r="25" spans="2:11" hidden="1" x14ac:dyDescent="0.2">
      <c r="B25" s="4">
        <v>5014</v>
      </c>
      <c r="C25" s="4">
        <v>0</v>
      </c>
      <c r="D25">
        <v>0</v>
      </c>
      <c r="E25" t="str">
        <f>VLOOKUP(B25,[1]Nuclides!A:E,5,FALSE)</f>
        <v>B14</v>
      </c>
      <c r="F25">
        <f>VLOOKUP(B25,[1]Nuclides!A:E,4,FALSE)</f>
        <v>1.2359999999999999E-2</v>
      </c>
      <c r="G25" t="str">
        <f t="shared" si="4"/>
        <v>0.01236s</v>
      </c>
      <c r="H25">
        <f t="shared" si="5"/>
        <v>56.079868977341853</v>
      </c>
      <c r="I25">
        <f t="shared" si="6"/>
        <v>0</v>
      </c>
      <c r="J25">
        <f t="shared" si="7"/>
        <v>0</v>
      </c>
      <c r="K25" t="str">
        <f t="shared" si="8"/>
        <v>B14</v>
      </c>
    </row>
    <row r="26" spans="2:11" hidden="1" x14ac:dyDescent="0.2">
      <c r="B26" s="4">
        <v>5015</v>
      </c>
      <c r="C26" s="4">
        <v>0</v>
      </c>
      <c r="D26">
        <v>0</v>
      </c>
      <c r="E26" t="str">
        <f>VLOOKUP(B26,[1]Nuclides!A:E,5,FALSE)</f>
        <v>B15</v>
      </c>
      <c r="F26">
        <f>VLOOKUP(B26,[1]Nuclides!A:E,4,FALSE)</f>
        <v>1.018E-2</v>
      </c>
      <c r="G26" t="str">
        <f t="shared" si="4"/>
        <v>0.01018s</v>
      </c>
      <c r="H26">
        <f t="shared" si="5"/>
        <v>68.089114003923896</v>
      </c>
      <c r="I26">
        <f t="shared" si="6"/>
        <v>0</v>
      </c>
      <c r="J26">
        <f t="shared" si="7"/>
        <v>0</v>
      </c>
      <c r="K26" t="str">
        <f t="shared" si="8"/>
        <v>B15</v>
      </c>
    </row>
    <row r="27" spans="2:11" hidden="1" x14ac:dyDescent="0.2">
      <c r="B27" s="4">
        <v>5016</v>
      </c>
      <c r="C27" s="4">
        <v>0</v>
      </c>
      <c r="D27">
        <v>0</v>
      </c>
      <c r="E27" t="e">
        <f>VLOOKUP(B27,[1]Nuclides!A:E,5,FALSE)</f>
        <v>#N/A</v>
      </c>
      <c r="F27" t="e">
        <f>VLOOKUP(B27,[1]Nuclides!A:E,4,FALSE)</f>
        <v>#N/A</v>
      </c>
      <c r="G27" t="e">
        <f t="shared" si="4"/>
        <v>#N/A</v>
      </c>
      <c r="H27" t="e">
        <f t="shared" si="5"/>
        <v>#N/A</v>
      </c>
      <c r="I27" t="e">
        <f t="shared" si="6"/>
        <v>#N/A</v>
      </c>
      <c r="J27" t="e">
        <f t="shared" si="7"/>
        <v>#N/A</v>
      </c>
      <c r="K27" t="e">
        <f t="shared" si="8"/>
        <v>#N/A</v>
      </c>
    </row>
    <row r="28" spans="2:11" hidden="1" x14ac:dyDescent="0.2">
      <c r="B28" s="4">
        <v>5017</v>
      </c>
      <c r="C28" s="4">
        <v>0</v>
      </c>
      <c r="D28">
        <v>0</v>
      </c>
      <c r="E28" t="str">
        <f>VLOOKUP(B28,[1]Nuclides!A:E,5,FALSE)</f>
        <v>B17</v>
      </c>
      <c r="F28">
        <f>VLOOKUP(B28,[1]Nuclides!A:E,4,FALSE)</f>
        <v>5.0800000000000003E-3</v>
      </c>
      <c r="G28" t="str">
        <f t="shared" si="4"/>
        <v>0.00508s</v>
      </c>
      <c r="H28">
        <f t="shared" si="5"/>
        <v>136.446295385816</v>
      </c>
      <c r="I28">
        <f t="shared" si="6"/>
        <v>0</v>
      </c>
      <c r="J28">
        <f t="shared" si="7"/>
        <v>0</v>
      </c>
      <c r="K28" t="str">
        <f t="shared" si="8"/>
        <v>B17</v>
      </c>
    </row>
    <row r="29" spans="2:11" hidden="1" x14ac:dyDescent="0.2">
      <c r="B29" s="4">
        <v>6008</v>
      </c>
      <c r="C29" s="4">
        <v>0</v>
      </c>
      <c r="D29">
        <v>0</v>
      </c>
      <c r="E29" t="str">
        <f>VLOOKUP(B29,[1]Nuclides!A:E,5,FALSE)</f>
        <v>C8</v>
      </c>
      <c r="F29">
        <f>VLOOKUP(B29,[1]Nuclides!A:E,4,FALSE)</f>
        <v>1.9813043478260799E-21</v>
      </c>
      <c r="G29" t="str">
        <f t="shared" si="4"/>
        <v>1.98130434782608E-21s</v>
      </c>
      <c r="H29">
        <f t="shared" si="5"/>
        <v>3.4984386993370196E+20</v>
      </c>
      <c r="I29">
        <f t="shared" si="6"/>
        <v>0</v>
      </c>
      <c r="J29">
        <f t="shared" si="7"/>
        <v>0</v>
      </c>
      <c r="K29" t="str">
        <f t="shared" si="8"/>
        <v>C8</v>
      </c>
    </row>
    <row r="30" spans="2:11" hidden="1" x14ac:dyDescent="0.2">
      <c r="B30" s="4">
        <v>6009</v>
      </c>
      <c r="C30" s="4">
        <v>0</v>
      </c>
      <c r="D30">
        <v>0</v>
      </c>
      <c r="E30" t="str">
        <f>VLOOKUP(B30,[1]Nuclides!A:E,5,FALSE)</f>
        <v>C9</v>
      </c>
      <c r="F30">
        <f>VLOOKUP(B30,[1]Nuclides!A:E,4,FALSE)</f>
        <v>0.1265</v>
      </c>
      <c r="G30" t="str">
        <f t="shared" si="4"/>
        <v>0.1265s</v>
      </c>
      <c r="H30">
        <f t="shared" si="5"/>
        <v>5.4794243522525319</v>
      </c>
      <c r="I30">
        <f t="shared" si="6"/>
        <v>0</v>
      </c>
      <c r="J30">
        <f t="shared" si="7"/>
        <v>0</v>
      </c>
      <c r="K30" t="str">
        <f t="shared" si="8"/>
        <v>C9</v>
      </c>
    </row>
    <row r="31" spans="2:11" hidden="1" x14ac:dyDescent="0.2">
      <c r="B31" s="4">
        <v>6010</v>
      </c>
      <c r="C31" s="4">
        <v>0</v>
      </c>
      <c r="D31">
        <v>0</v>
      </c>
      <c r="E31" t="str">
        <f>VLOOKUP(B31,[1]Nuclides!A:E,5,FALSE)</f>
        <v>C10</v>
      </c>
      <c r="F31">
        <f>VLOOKUP(B31,[1]Nuclides!A:E,4,FALSE)</f>
        <v>19.308</v>
      </c>
      <c r="G31" t="str">
        <f t="shared" si="4"/>
        <v>19.308s</v>
      </c>
      <c r="H31">
        <f t="shared" si="5"/>
        <v>3.5899481073127473E-2</v>
      </c>
      <c r="I31">
        <f t="shared" si="6"/>
        <v>0</v>
      </c>
      <c r="J31">
        <f t="shared" si="7"/>
        <v>0</v>
      </c>
      <c r="K31" t="str">
        <f t="shared" si="8"/>
        <v>C10</v>
      </c>
    </row>
    <row r="32" spans="2:11" hidden="1" x14ac:dyDescent="0.2">
      <c r="B32" s="4">
        <v>6011</v>
      </c>
      <c r="C32" s="4">
        <v>0</v>
      </c>
      <c r="D32">
        <v>0</v>
      </c>
      <c r="E32" t="str">
        <f>VLOOKUP(B32,[1]Nuclides!A:E,5,FALSE)</f>
        <v>C11</v>
      </c>
      <c r="F32">
        <f>VLOOKUP(B32,[1]Nuclides!A:E,4,FALSE)</f>
        <v>1221.8399999999999</v>
      </c>
      <c r="G32" t="str">
        <f t="shared" si="4"/>
        <v>20.36min</v>
      </c>
      <c r="H32">
        <f t="shared" si="5"/>
        <v>5.6729782996132495E-4</v>
      </c>
      <c r="I32">
        <f t="shared" si="6"/>
        <v>0</v>
      </c>
      <c r="J32">
        <f t="shared" si="7"/>
        <v>0</v>
      </c>
      <c r="K32" t="str">
        <f t="shared" si="8"/>
        <v>C11</v>
      </c>
    </row>
    <row r="33" spans="2:11" hidden="1" x14ac:dyDescent="0.2">
      <c r="B33" s="4">
        <v>6012</v>
      </c>
      <c r="C33" s="4">
        <v>2.8100000000000002E-6</v>
      </c>
      <c r="D33">
        <v>5.9700000000000003E-2</v>
      </c>
      <c r="E33" t="str">
        <f>VLOOKUP(B33,[1]Nuclides!A:E,5,FALSE)</f>
        <v>C12</v>
      </c>
      <c r="F33" t="str">
        <f>VLOOKUP(B33,[1]Nuclides!A:E,4,FALSE)</f>
        <v>STABLE</v>
      </c>
      <c r="G33" t="str">
        <f t="shared" si="4"/>
        <v>STABLE</v>
      </c>
      <c r="H33" t="e">
        <f t="shared" si="5"/>
        <v>#VALUE!</v>
      </c>
      <c r="I33" t="e">
        <f t="shared" si="6"/>
        <v>#VALUE!</v>
      </c>
      <c r="J33" t="e">
        <f t="shared" si="7"/>
        <v>#VALUE!</v>
      </c>
      <c r="K33" t="str">
        <f t="shared" si="8"/>
        <v>C12</v>
      </c>
    </row>
    <row r="34" spans="2:11" hidden="1" x14ac:dyDescent="0.2">
      <c r="B34" s="4">
        <v>6013</v>
      </c>
      <c r="C34" s="4">
        <v>0</v>
      </c>
      <c r="D34">
        <v>0</v>
      </c>
      <c r="E34" t="str">
        <f>VLOOKUP(B34,[1]Nuclides!A:E,5,FALSE)</f>
        <v>C13</v>
      </c>
      <c r="F34" t="str">
        <f>VLOOKUP(B34,[1]Nuclides!A:E,4,FALSE)</f>
        <v>STABLE</v>
      </c>
      <c r="G34" t="str">
        <f t="shared" si="4"/>
        <v>STABLE</v>
      </c>
      <c r="H34" t="e">
        <f t="shared" si="5"/>
        <v>#VALUE!</v>
      </c>
      <c r="I34" t="e">
        <f t="shared" si="6"/>
        <v>#VALUE!</v>
      </c>
      <c r="J34" t="e">
        <f t="shared" si="7"/>
        <v>#VALUE!</v>
      </c>
      <c r="K34" t="str">
        <f t="shared" si="8"/>
        <v>C13</v>
      </c>
    </row>
    <row r="35" spans="2:11" hidden="1" x14ac:dyDescent="0.2">
      <c r="B35" s="4">
        <v>6014</v>
      </c>
      <c r="C35" s="4">
        <v>0</v>
      </c>
      <c r="D35">
        <v>0</v>
      </c>
      <c r="E35" t="str">
        <f>VLOOKUP(B35,[1]Nuclides!A:E,5,FALSE)</f>
        <v>C14</v>
      </c>
      <c r="F35">
        <f>VLOOKUP(B35,[1]Nuclides!A:E,4,FALSE)</f>
        <v>179878320000</v>
      </c>
      <c r="G35" t="str">
        <f t="shared" si="4"/>
        <v>5703.9y</v>
      </c>
      <c r="H35">
        <f t="shared" si="5"/>
        <v>3.8534225834438821E-12</v>
      </c>
      <c r="I35">
        <f t="shared" si="6"/>
        <v>0</v>
      </c>
      <c r="J35">
        <f t="shared" si="7"/>
        <v>0</v>
      </c>
      <c r="K35" t="str">
        <f t="shared" si="8"/>
        <v>C14</v>
      </c>
    </row>
    <row r="36" spans="2:11" hidden="1" x14ac:dyDescent="0.2">
      <c r="B36" s="4">
        <v>6015</v>
      </c>
      <c r="C36" s="4">
        <v>0</v>
      </c>
      <c r="D36">
        <v>0</v>
      </c>
      <c r="E36" t="str">
        <f>VLOOKUP(B36,[1]Nuclides!A:E,5,FALSE)</f>
        <v>C15</v>
      </c>
      <c r="F36">
        <f>VLOOKUP(B36,[1]Nuclides!A:E,4,FALSE)</f>
        <v>2.4489999999999998</v>
      </c>
      <c r="G36" t="str">
        <f t="shared" si="4"/>
        <v>2.449s</v>
      </c>
      <c r="H36">
        <f t="shared" si="5"/>
        <v>0.28303274012247664</v>
      </c>
      <c r="I36">
        <f t="shared" si="6"/>
        <v>0</v>
      </c>
      <c r="J36">
        <f t="shared" si="7"/>
        <v>0</v>
      </c>
      <c r="K36" t="str">
        <f t="shared" si="8"/>
        <v>C15</v>
      </c>
    </row>
    <row r="37" spans="2:11" hidden="1" x14ac:dyDescent="0.2">
      <c r="B37" s="4">
        <v>6016</v>
      </c>
      <c r="C37" s="4">
        <v>0</v>
      </c>
      <c r="D37">
        <v>0</v>
      </c>
      <c r="E37" t="str">
        <f>VLOOKUP(B37,[1]Nuclides!A:E,5,FALSE)</f>
        <v>C16</v>
      </c>
      <c r="F37">
        <f>VLOOKUP(B37,[1]Nuclides!A:E,4,FALSE)</f>
        <v>0.747</v>
      </c>
      <c r="G37" t="str">
        <f t="shared" si="4"/>
        <v>0.747s</v>
      </c>
      <c r="H37">
        <f t="shared" si="5"/>
        <v>0.92790787223553584</v>
      </c>
      <c r="I37">
        <f t="shared" si="6"/>
        <v>0</v>
      </c>
      <c r="J37">
        <f t="shared" si="7"/>
        <v>0</v>
      </c>
      <c r="K37" t="str">
        <f t="shared" si="8"/>
        <v>C16</v>
      </c>
    </row>
    <row r="38" spans="2:11" hidden="1" x14ac:dyDescent="0.2">
      <c r="B38" s="4">
        <v>6017</v>
      </c>
      <c r="C38" s="4">
        <v>0</v>
      </c>
      <c r="D38">
        <v>0</v>
      </c>
      <c r="E38" t="str">
        <f>VLOOKUP(B38,[1]Nuclides!A:E,5,FALSE)</f>
        <v>C17</v>
      </c>
      <c r="F38">
        <f>VLOOKUP(B38,[1]Nuclides!A:E,4,FALSE)</f>
        <v>0.191</v>
      </c>
      <c r="G38" t="str">
        <f t="shared" si="4"/>
        <v>0.191s</v>
      </c>
      <c r="H38">
        <f t="shared" si="5"/>
        <v>3.6290428301567816</v>
      </c>
      <c r="I38">
        <f t="shared" si="6"/>
        <v>0</v>
      </c>
      <c r="J38">
        <f t="shared" si="7"/>
        <v>0</v>
      </c>
      <c r="K38" t="str">
        <f t="shared" si="8"/>
        <v>C17</v>
      </c>
    </row>
    <row r="39" spans="2:11" hidden="1" x14ac:dyDescent="0.2">
      <c r="B39" s="4">
        <v>6018</v>
      </c>
      <c r="C39" s="4">
        <v>0</v>
      </c>
      <c r="D39">
        <v>0</v>
      </c>
      <c r="E39" t="str">
        <f>VLOOKUP(B39,[1]Nuclides!A:E,5,FALSE)</f>
        <v>C18</v>
      </c>
      <c r="F39">
        <f>VLOOKUP(B39,[1]Nuclides!A:E,4,FALSE)</f>
        <v>9.1999999999999998E-2</v>
      </c>
      <c r="G39" t="str">
        <f t="shared" si="4"/>
        <v>0.092s</v>
      </c>
      <c r="H39">
        <f t="shared" si="5"/>
        <v>7.5342084843472312</v>
      </c>
      <c r="I39">
        <f t="shared" si="6"/>
        <v>0</v>
      </c>
      <c r="J39">
        <f t="shared" si="7"/>
        <v>0</v>
      </c>
      <c r="K39" t="str">
        <f t="shared" si="8"/>
        <v>C18</v>
      </c>
    </row>
    <row r="40" spans="2:11" hidden="1" x14ac:dyDescent="0.2">
      <c r="B40" s="4">
        <v>6019</v>
      </c>
      <c r="C40" s="4">
        <v>0</v>
      </c>
      <c r="D40">
        <v>0</v>
      </c>
      <c r="E40" t="str">
        <f>VLOOKUP(B40,[1]Nuclides!A:E,5,FALSE)</f>
        <v>C19</v>
      </c>
      <c r="F40">
        <f>VLOOKUP(B40,[1]Nuclides!A:E,4,FALSE)</f>
        <v>4.6199999999999998E-2</v>
      </c>
      <c r="G40" t="str">
        <f t="shared" si="4"/>
        <v>0.0462s</v>
      </c>
      <c r="H40">
        <f t="shared" si="5"/>
        <v>15.003185726405743</v>
      </c>
      <c r="I40">
        <f t="shared" si="6"/>
        <v>0</v>
      </c>
      <c r="J40">
        <f t="shared" si="7"/>
        <v>0</v>
      </c>
      <c r="K40" t="str">
        <f t="shared" si="8"/>
        <v>C19</v>
      </c>
    </row>
    <row r="41" spans="2:11" hidden="1" x14ac:dyDescent="0.2">
      <c r="B41" s="4">
        <v>6020</v>
      </c>
      <c r="C41" s="4">
        <v>0</v>
      </c>
      <c r="D41">
        <v>0</v>
      </c>
      <c r="E41" t="str">
        <f>VLOOKUP(B41,[1]Nuclides!A:E,5,FALSE)</f>
        <v>C20</v>
      </c>
      <c r="F41">
        <f>VLOOKUP(B41,[1]Nuclides!A:E,4,FALSE)</f>
        <v>1.6199999999999999E-2</v>
      </c>
      <c r="G41" t="str">
        <f t="shared" si="4"/>
        <v>0.0162s</v>
      </c>
      <c r="H41">
        <f t="shared" si="5"/>
        <v>42.786862997527486</v>
      </c>
      <c r="I41">
        <f t="shared" si="6"/>
        <v>0</v>
      </c>
      <c r="J41">
        <f t="shared" si="7"/>
        <v>0</v>
      </c>
      <c r="K41" t="str">
        <f t="shared" si="8"/>
        <v>C20</v>
      </c>
    </row>
    <row r="42" spans="2:11" hidden="1" x14ac:dyDescent="0.2">
      <c r="B42" s="4">
        <v>7011</v>
      </c>
      <c r="C42" s="4">
        <v>0</v>
      </c>
      <c r="D42">
        <v>0</v>
      </c>
      <c r="E42" t="str">
        <f>VLOOKUP(B42,[1]Nuclides!A:E,5,FALSE)</f>
        <v>N11</v>
      </c>
      <c r="F42">
        <f>VLOOKUP(B42,[1]Nuclides!A:E,4,FALSE)</f>
        <v>5.4903614457831297E-22</v>
      </c>
      <c r="G42" t="str">
        <f t="shared" si="4"/>
        <v>5.49036144578313E-22s</v>
      </c>
      <c r="H42">
        <f t="shared" si="5"/>
        <v>1.2624800523694425E+21</v>
      </c>
      <c r="I42">
        <f t="shared" si="6"/>
        <v>0</v>
      </c>
      <c r="J42">
        <f t="shared" si="7"/>
        <v>0</v>
      </c>
      <c r="K42" t="str">
        <f t="shared" si="8"/>
        <v>N11</v>
      </c>
    </row>
    <row r="43" spans="2:11" hidden="1" x14ac:dyDescent="0.2">
      <c r="B43" s="4">
        <v>7012</v>
      </c>
      <c r="C43" s="4">
        <v>0</v>
      </c>
      <c r="D43">
        <v>0</v>
      </c>
      <c r="E43" t="str">
        <f>VLOOKUP(B43,[1]Nuclides!A:E,5,FALSE)</f>
        <v>N12</v>
      </c>
      <c r="F43">
        <f>VLOOKUP(B43,[1]Nuclides!A:E,4,FALSE)</f>
        <v>1.0999999999999999E-2</v>
      </c>
      <c r="G43" t="str">
        <f t="shared" si="4"/>
        <v>0.011s</v>
      </c>
      <c r="H43">
        <f t="shared" si="5"/>
        <v>63.013380050904118</v>
      </c>
      <c r="I43">
        <f t="shared" si="6"/>
        <v>0</v>
      </c>
      <c r="J43">
        <f t="shared" si="7"/>
        <v>0</v>
      </c>
      <c r="K43" t="str">
        <f t="shared" si="8"/>
        <v>N12</v>
      </c>
    </row>
    <row r="44" spans="2:11" hidden="1" x14ac:dyDescent="0.2">
      <c r="B44" s="4">
        <v>7013</v>
      </c>
      <c r="C44" s="4">
        <v>0</v>
      </c>
      <c r="D44">
        <v>0</v>
      </c>
      <c r="E44" t="str">
        <f>VLOOKUP(B44,[1]Nuclides!A:E,5,FALSE)</f>
        <v>N13</v>
      </c>
      <c r="F44">
        <f>VLOOKUP(B44,[1]Nuclides!A:E,4,FALSE)</f>
        <v>597.9</v>
      </c>
      <c r="G44" t="str">
        <f t="shared" si="4"/>
        <v>9.97min</v>
      </c>
      <c r="H44">
        <f t="shared" si="5"/>
        <v>1.1593028609465552E-3</v>
      </c>
      <c r="I44">
        <f t="shared" si="6"/>
        <v>0</v>
      </c>
      <c r="J44">
        <f t="shared" si="7"/>
        <v>0</v>
      </c>
      <c r="K44" t="str">
        <f t="shared" si="8"/>
        <v>N13</v>
      </c>
    </row>
    <row r="45" spans="2:11" hidden="1" x14ac:dyDescent="0.2">
      <c r="B45" s="4">
        <v>7014</v>
      </c>
      <c r="C45" s="4">
        <v>0</v>
      </c>
      <c r="D45">
        <v>0</v>
      </c>
      <c r="E45" t="str">
        <f>VLOOKUP(B45,[1]Nuclides!A:E,5,FALSE)</f>
        <v>N14</v>
      </c>
      <c r="F45" t="str">
        <f>VLOOKUP(B45,[1]Nuclides!A:E,4,FALSE)</f>
        <v>STABLE</v>
      </c>
      <c r="G45" t="str">
        <f t="shared" si="4"/>
        <v>STABLE</v>
      </c>
      <c r="H45" t="e">
        <f t="shared" si="5"/>
        <v>#VALUE!</v>
      </c>
      <c r="I45" t="e">
        <f t="shared" si="6"/>
        <v>#VALUE!</v>
      </c>
      <c r="J45" t="e">
        <f t="shared" si="7"/>
        <v>#VALUE!</v>
      </c>
      <c r="K45" t="str">
        <f t="shared" si="8"/>
        <v>N14</v>
      </c>
    </row>
    <row r="46" spans="2:11" hidden="1" x14ac:dyDescent="0.2">
      <c r="B46" s="4">
        <v>7015</v>
      </c>
      <c r="C46" s="4">
        <v>0</v>
      </c>
      <c r="D46">
        <v>0</v>
      </c>
      <c r="E46" t="str">
        <f>VLOOKUP(B46,[1]Nuclides!A:E,5,FALSE)</f>
        <v>N15</v>
      </c>
      <c r="F46" t="str">
        <f>VLOOKUP(B46,[1]Nuclides!A:E,4,FALSE)</f>
        <v>STABLE</v>
      </c>
      <c r="G46" t="str">
        <f t="shared" si="4"/>
        <v>STABLE</v>
      </c>
      <c r="H46" t="e">
        <f t="shared" si="5"/>
        <v>#VALUE!</v>
      </c>
      <c r="I46" t="e">
        <f t="shared" si="6"/>
        <v>#VALUE!</v>
      </c>
      <c r="J46" t="e">
        <f t="shared" si="7"/>
        <v>#VALUE!</v>
      </c>
      <c r="K46" t="str">
        <f t="shared" si="8"/>
        <v>N15</v>
      </c>
    </row>
    <row r="47" spans="2:11" hidden="1" x14ac:dyDescent="0.2">
      <c r="B47" s="4">
        <v>7016</v>
      </c>
      <c r="C47" s="4">
        <v>0</v>
      </c>
      <c r="D47">
        <v>0</v>
      </c>
      <c r="E47" t="str">
        <f>VLOOKUP(B47,[1]Nuclides!A:E,5,FALSE)</f>
        <v>N16</v>
      </c>
      <c r="F47">
        <f>VLOOKUP(B47,[1]Nuclides!A:E,4,FALSE)</f>
        <v>7.13</v>
      </c>
      <c r="G47" t="str">
        <f t="shared" si="4"/>
        <v>7.13s</v>
      </c>
      <c r="H47">
        <f t="shared" si="5"/>
        <v>9.7215593346415885E-2</v>
      </c>
      <c r="I47">
        <f t="shared" si="6"/>
        <v>0</v>
      </c>
      <c r="J47">
        <f t="shared" si="7"/>
        <v>0</v>
      </c>
      <c r="K47" t="str">
        <f t="shared" si="8"/>
        <v>N16</v>
      </c>
    </row>
    <row r="48" spans="2:11" hidden="1" x14ac:dyDescent="0.2">
      <c r="B48" s="4">
        <v>7017</v>
      </c>
      <c r="C48" s="4">
        <v>0</v>
      </c>
      <c r="D48">
        <v>0</v>
      </c>
      <c r="E48" t="str">
        <f>VLOOKUP(B48,[1]Nuclides!A:E,5,FALSE)</f>
        <v>N17</v>
      </c>
      <c r="F48">
        <f>VLOOKUP(B48,[1]Nuclides!A:E,4,FALSE)</f>
        <v>4.1710000000000003</v>
      </c>
      <c r="G48" t="str">
        <f t="shared" si="4"/>
        <v>4.171s</v>
      </c>
      <c r="H48">
        <f t="shared" si="5"/>
        <v>0.16618249354110412</v>
      </c>
      <c r="I48">
        <f t="shared" si="6"/>
        <v>0</v>
      </c>
      <c r="J48">
        <f t="shared" si="7"/>
        <v>0</v>
      </c>
      <c r="K48" t="str">
        <f t="shared" si="8"/>
        <v>N17</v>
      </c>
    </row>
    <row r="49" spans="2:11" hidden="1" x14ac:dyDescent="0.2">
      <c r="B49" s="4">
        <v>7018</v>
      </c>
      <c r="C49" s="4">
        <v>0</v>
      </c>
      <c r="D49">
        <v>0</v>
      </c>
      <c r="E49" t="str">
        <f>VLOOKUP(B49,[1]Nuclides!A:E,5,FALSE)</f>
        <v>N18</v>
      </c>
      <c r="F49">
        <f>VLOOKUP(B49,[1]Nuclides!A:E,4,FALSE)</f>
        <v>0.61899999999999999</v>
      </c>
      <c r="G49" t="str">
        <f t="shared" si="4"/>
        <v>0.619s</v>
      </c>
      <c r="H49">
        <f t="shared" si="5"/>
        <v>1.1197854290144511</v>
      </c>
      <c r="I49">
        <f t="shared" si="6"/>
        <v>0</v>
      </c>
      <c r="J49">
        <f t="shared" si="7"/>
        <v>0</v>
      </c>
      <c r="K49" t="str">
        <f t="shared" si="8"/>
        <v>N18</v>
      </c>
    </row>
    <row r="50" spans="2:11" hidden="1" x14ac:dyDescent="0.2">
      <c r="B50" s="4">
        <v>7019</v>
      </c>
      <c r="C50" s="4">
        <v>0</v>
      </c>
      <c r="D50">
        <v>0</v>
      </c>
      <c r="E50" t="str">
        <f>VLOOKUP(B50,[1]Nuclides!A:E,5,FALSE)</f>
        <v>N19</v>
      </c>
      <c r="F50">
        <f>VLOOKUP(B50,[1]Nuclides!A:E,4,FALSE)</f>
        <v>0.33600000000000002</v>
      </c>
      <c r="G50" t="str">
        <f t="shared" si="4"/>
        <v>0.336s</v>
      </c>
      <c r="H50">
        <f t="shared" si="5"/>
        <v>2.0629380373807895</v>
      </c>
      <c r="I50">
        <f t="shared" si="6"/>
        <v>0</v>
      </c>
      <c r="J50">
        <f t="shared" si="7"/>
        <v>0</v>
      </c>
      <c r="K50" t="str">
        <f t="shared" si="8"/>
        <v>N19</v>
      </c>
    </row>
    <row r="51" spans="2:11" hidden="1" x14ac:dyDescent="0.2">
      <c r="B51" s="4">
        <v>7020</v>
      </c>
      <c r="C51" s="4">
        <v>0</v>
      </c>
      <c r="D51">
        <v>0</v>
      </c>
      <c r="E51" t="str">
        <f>VLOOKUP(B51,[1]Nuclides!A:E,5,FALSE)</f>
        <v>N20</v>
      </c>
      <c r="F51">
        <f>VLOOKUP(B51,[1]Nuclides!A:E,4,FALSE)</f>
        <v>0.13600000000000001</v>
      </c>
      <c r="G51" t="str">
        <f t="shared" si="4"/>
        <v>0.136s</v>
      </c>
      <c r="H51">
        <f t="shared" si="5"/>
        <v>5.0966704452937153</v>
      </c>
      <c r="I51">
        <f t="shared" si="6"/>
        <v>0</v>
      </c>
      <c r="J51">
        <f t="shared" si="7"/>
        <v>0</v>
      </c>
      <c r="K51" t="str">
        <f t="shared" si="8"/>
        <v>N20</v>
      </c>
    </row>
    <row r="52" spans="2:11" hidden="1" x14ac:dyDescent="0.2">
      <c r="B52" s="4">
        <v>7021</v>
      </c>
      <c r="C52" s="4">
        <v>0</v>
      </c>
      <c r="D52">
        <v>0</v>
      </c>
      <c r="E52" t="str">
        <f>VLOOKUP(B52,[1]Nuclides!A:E,5,FALSE)</f>
        <v>N21</v>
      </c>
      <c r="F52">
        <f>VLOOKUP(B52,[1]Nuclides!A:E,4,FALSE)</f>
        <v>8.48E-2</v>
      </c>
      <c r="G52" t="str">
        <f t="shared" si="4"/>
        <v>0.0848s</v>
      </c>
      <c r="H52">
        <f t="shared" si="5"/>
        <v>8.1739054311314305</v>
      </c>
      <c r="I52">
        <f t="shared" si="6"/>
        <v>0</v>
      </c>
      <c r="J52">
        <f t="shared" si="7"/>
        <v>0</v>
      </c>
      <c r="K52" t="str">
        <f t="shared" si="8"/>
        <v>N21</v>
      </c>
    </row>
    <row r="53" spans="2:11" hidden="1" x14ac:dyDescent="0.2">
      <c r="B53" s="4">
        <v>7022</v>
      </c>
      <c r="C53" s="4">
        <v>0</v>
      </c>
      <c r="D53">
        <v>0</v>
      </c>
      <c r="E53" t="str">
        <f>VLOOKUP(B53,[1]Nuclides!A:E,5,FALSE)</f>
        <v>N22</v>
      </c>
      <c r="F53">
        <f>VLOOKUP(B53,[1]Nuclides!A:E,4,FALSE)</f>
        <v>1.95E-2</v>
      </c>
      <c r="G53" t="str">
        <f t="shared" si="4"/>
        <v>0.0195s</v>
      </c>
      <c r="H53">
        <f t="shared" si="5"/>
        <v>35.546009259484372</v>
      </c>
      <c r="I53">
        <f t="shared" si="6"/>
        <v>0</v>
      </c>
      <c r="J53">
        <f t="shared" si="7"/>
        <v>0</v>
      </c>
      <c r="K53" t="str">
        <f t="shared" si="8"/>
        <v>N22</v>
      </c>
    </row>
    <row r="54" spans="2:11" hidden="1" x14ac:dyDescent="0.2">
      <c r="B54" s="4">
        <v>7023</v>
      </c>
      <c r="C54" s="4">
        <v>0</v>
      </c>
      <c r="D54">
        <v>0</v>
      </c>
      <c r="E54" t="str">
        <f>VLOOKUP(B54,[1]Nuclides!A:E,5,FALSE)</f>
        <v>N23</v>
      </c>
      <c r="F54">
        <f>VLOOKUP(B54,[1]Nuclides!A:E,4,FALSE)</f>
        <v>1.41E-2</v>
      </c>
      <c r="G54" t="str">
        <f t="shared" si="4"/>
        <v>0.0141s</v>
      </c>
      <c r="H54">
        <f t="shared" si="5"/>
        <v>49.159374507797537</v>
      </c>
      <c r="I54">
        <f t="shared" si="6"/>
        <v>0</v>
      </c>
      <c r="J54">
        <f t="shared" si="7"/>
        <v>0</v>
      </c>
      <c r="K54" t="str">
        <f t="shared" si="8"/>
        <v>N23</v>
      </c>
    </row>
    <row r="55" spans="2:11" hidden="1" x14ac:dyDescent="0.2">
      <c r="B55" s="4">
        <v>8013</v>
      </c>
      <c r="C55" s="4">
        <v>0</v>
      </c>
      <c r="D55">
        <v>0</v>
      </c>
      <c r="E55" t="str">
        <f>VLOOKUP(B55,[1]Nuclides!A:E,5,FALSE)</f>
        <v>O13</v>
      </c>
      <c r="F55">
        <f>VLOOKUP(B55,[1]Nuclides!A:E,4,FALSE)</f>
        <v>8.5800000000000008E-3</v>
      </c>
      <c r="G55" t="str">
        <f t="shared" si="4"/>
        <v>0.00858s</v>
      </c>
      <c r="H55">
        <f t="shared" si="5"/>
        <v>80.786384680646293</v>
      </c>
      <c r="I55">
        <f t="shared" si="6"/>
        <v>0</v>
      </c>
      <c r="J55">
        <f t="shared" si="7"/>
        <v>0</v>
      </c>
      <c r="K55" t="str">
        <f t="shared" si="8"/>
        <v>O13</v>
      </c>
    </row>
    <row r="56" spans="2:11" hidden="1" x14ac:dyDescent="0.2">
      <c r="B56" s="4">
        <v>8014</v>
      </c>
      <c r="C56" s="4">
        <v>0</v>
      </c>
      <c r="D56">
        <v>0</v>
      </c>
      <c r="E56" t="str">
        <f>VLOOKUP(B56,[1]Nuclides!A:E,5,FALSE)</f>
        <v>O14</v>
      </c>
      <c r="F56">
        <f>VLOOKUP(B56,[1]Nuclides!A:E,4,FALSE)</f>
        <v>70.62</v>
      </c>
      <c r="G56" t="str">
        <f t="shared" si="4"/>
        <v>1.18min</v>
      </c>
      <c r="H56">
        <f t="shared" si="5"/>
        <v>9.8151682322280553E-3</v>
      </c>
      <c r="I56">
        <f t="shared" si="6"/>
        <v>0</v>
      </c>
      <c r="J56">
        <f t="shared" si="7"/>
        <v>0</v>
      </c>
      <c r="K56" t="str">
        <f t="shared" si="8"/>
        <v>O14</v>
      </c>
    </row>
    <row r="57" spans="2:11" hidden="1" x14ac:dyDescent="0.2">
      <c r="B57" s="4">
        <v>8015</v>
      </c>
      <c r="C57" s="4">
        <v>0</v>
      </c>
      <c r="D57">
        <v>0</v>
      </c>
      <c r="E57" t="str">
        <f>VLOOKUP(B57,[1]Nuclides!A:E,5,FALSE)</f>
        <v>O15</v>
      </c>
      <c r="F57">
        <f>VLOOKUP(B57,[1]Nuclides!A:E,4,FALSE)</f>
        <v>122.24</v>
      </c>
      <c r="G57" t="str">
        <f t="shared" si="4"/>
        <v>2.04min</v>
      </c>
      <c r="H57">
        <f t="shared" si="5"/>
        <v>5.6703794221199715E-3</v>
      </c>
      <c r="I57">
        <f t="shared" si="6"/>
        <v>0</v>
      </c>
      <c r="J57">
        <f t="shared" si="7"/>
        <v>0</v>
      </c>
      <c r="K57" t="str">
        <f t="shared" si="8"/>
        <v>O15</v>
      </c>
    </row>
    <row r="58" spans="2:11" hidden="1" x14ac:dyDescent="0.2">
      <c r="B58" s="4">
        <v>8016</v>
      </c>
      <c r="C58" s="4">
        <v>0</v>
      </c>
      <c r="D58">
        <v>0</v>
      </c>
      <c r="E58" t="str">
        <f>VLOOKUP(B58,[1]Nuclides!A:E,5,FALSE)</f>
        <v>O16</v>
      </c>
      <c r="F58" t="str">
        <f>VLOOKUP(B58,[1]Nuclides!A:E,4,FALSE)</f>
        <v>STABLE</v>
      </c>
      <c r="G58" t="str">
        <f t="shared" si="4"/>
        <v>STABLE</v>
      </c>
      <c r="H58" t="e">
        <f t="shared" si="5"/>
        <v>#VALUE!</v>
      </c>
      <c r="I58" t="e">
        <f t="shared" si="6"/>
        <v>#VALUE!</v>
      </c>
      <c r="J58" t="e">
        <f t="shared" si="7"/>
        <v>#VALUE!</v>
      </c>
      <c r="K58" t="str">
        <f t="shared" si="8"/>
        <v>O16</v>
      </c>
    </row>
    <row r="59" spans="2:11" hidden="1" x14ac:dyDescent="0.2">
      <c r="B59" s="4">
        <v>8017</v>
      </c>
      <c r="C59" s="4">
        <v>0</v>
      </c>
      <c r="D59">
        <v>0</v>
      </c>
      <c r="E59" t="str">
        <f>VLOOKUP(B59,[1]Nuclides!A:E,5,FALSE)</f>
        <v>O17</v>
      </c>
      <c r="F59" t="str">
        <f>VLOOKUP(B59,[1]Nuclides!A:E,4,FALSE)</f>
        <v>STABLE</v>
      </c>
      <c r="G59" t="str">
        <f t="shared" si="4"/>
        <v>STABLE</v>
      </c>
      <c r="H59" t="e">
        <f t="shared" si="5"/>
        <v>#VALUE!</v>
      </c>
      <c r="I59" t="e">
        <f t="shared" si="6"/>
        <v>#VALUE!</v>
      </c>
      <c r="J59" t="e">
        <f t="shared" si="7"/>
        <v>#VALUE!</v>
      </c>
      <c r="K59" t="str">
        <f t="shared" si="8"/>
        <v>O17</v>
      </c>
    </row>
    <row r="60" spans="2:11" hidden="1" x14ac:dyDescent="0.2">
      <c r="B60" s="4">
        <v>8018</v>
      </c>
      <c r="C60" s="4">
        <v>0</v>
      </c>
      <c r="D60">
        <v>0</v>
      </c>
      <c r="E60" t="str">
        <f>VLOOKUP(B60,[1]Nuclides!A:E,5,FALSE)</f>
        <v>O18</v>
      </c>
      <c r="F60" t="str">
        <f>VLOOKUP(B60,[1]Nuclides!A:E,4,FALSE)</f>
        <v>STABLE</v>
      </c>
      <c r="G60" t="str">
        <f t="shared" si="4"/>
        <v>STABLE</v>
      </c>
      <c r="H60" t="e">
        <f t="shared" si="5"/>
        <v>#VALUE!</v>
      </c>
      <c r="I60" t="e">
        <f t="shared" si="6"/>
        <v>#VALUE!</v>
      </c>
      <c r="J60" t="e">
        <f t="shared" si="7"/>
        <v>#VALUE!</v>
      </c>
      <c r="K60" t="str">
        <f t="shared" si="8"/>
        <v>O18</v>
      </c>
    </row>
    <row r="61" spans="2:11" hidden="1" x14ac:dyDescent="0.2">
      <c r="B61" s="4">
        <v>8019</v>
      </c>
      <c r="C61" s="4">
        <v>0</v>
      </c>
      <c r="D61">
        <v>0</v>
      </c>
      <c r="E61" t="str">
        <f>VLOOKUP(B61,[1]Nuclides!A:E,5,FALSE)</f>
        <v>O19</v>
      </c>
      <c r="F61">
        <f>VLOOKUP(B61,[1]Nuclides!A:E,4,FALSE)</f>
        <v>26.88</v>
      </c>
      <c r="G61" t="str">
        <f t="shared" si="4"/>
        <v>26.88s</v>
      </c>
      <c r="H61">
        <f t="shared" si="5"/>
        <v>2.578672546725987E-2</v>
      </c>
      <c r="I61">
        <f t="shared" si="6"/>
        <v>0</v>
      </c>
      <c r="J61">
        <f t="shared" si="7"/>
        <v>0</v>
      </c>
      <c r="K61" t="str">
        <f t="shared" si="8"/>
        <v>O19</v>
      </c>
    </row>
    <row r="62" spans="2:11" hidden="1" x14ac:dyDescent="0.2">
      <c r="B62" s="4">
        <v>8020</v>
      </c>
      <c r="C62" s="4">
        <v>0</v>
      </c>
      <c r="D62">
        <v>0</v>
      </c>
      <c r="E62" t="str">
        <f>VLOOKUP(B62,[1]Nuclides!A:E,5,FALSE)</f>
        <v>O20</v>
      </c>
      <c r="F62">
        <f>VLOOKUP(B62,[1]Nuclides!A:E,4,FALSE)</f>
        <v>13.51</v>
      </c>
      <c r="G62" t="str">
        <f t="shared" si="4"/>
        <v>13.51s</v>
      </c>
      <c r="H62">
        <f t="shared" si="5"/>
        <v>5.130623098149114E-2</v>
      </c>
      <c r="I62">
        <f t="shared" si="6"/>
        <v>0</v>
      </c>
      <c r="J62">
        <f t="shared" si="7"/>
        <v>0</v>
      </c>
      <c r="K62" t="str">
        <f t="shared" si="8"/>
        <v>O20</v>
      </c>
    </row>
    <row r="63" spans="2:11" hidden="1" x14ac:dyDescent="0.2">
      <c r="B63" s="4">
        <v>8021</v>
      </c>
      <c r="C63" s="4">
        <v>0</v>
      </c>
      <c r="D63">
        <v>0</v>
      </c>
      <c r="E63" t="str">
        <f>VLOOKUP(B63,[1]Nuclides!A:E,5,FALSE)</f>
        <v>O21</v>
      </c>
      <c r="F63">
        <f>VLOOKUP(B63,[1]Nuclides!A:E,4,FALSE)</f>
        <v>3.42</v>
      </c>
      <c r="G63" t="str">
        <f t="shared" si="4"/>
        <v>3.42s</v>
      </c>
      <c r="H63">
        <f t="shared" si="5"/>
        <v>0.20267461419881441</v>
      </c>
      <c r="I63">
        <f t="shared" si="6"/>
        <v>0</v>
      </c>
      <c r="J63">
        <f t="shared" si="7"/>
        <v>0</v>
      </c>
      <c r="K63" t="str">
        <f t="shared" si="8"/>
        <v>O21</v>
      </c>
    </row>
    <row r="64" spans="2:11" hidden="1" x14ac:dyDescent="0.2">
      <c r="B64" s="4">
        <v>8022</v>
      </c>
      <c r="C64" s="4">
        <v>0</v>
      </c>
      <c r="D64">
        <v>0</v>
      </c>
      <c r="E64" t="str">
        <f>VLOOKUP(B64,[1]Nuclides!A:E,5,FALSE)</f>
        <v>O22</v>
      </c>
      <c r="F64">
        <f>VLOOKUP(B64,[1]Nuclides!A:E,4,FALSE)</f>
        <v>2.25</v>
      </c>
      <c r="G64" t="str">
        <f t="shared" si="4"/>
        <v>2.25s</v>
      </c>
      <c r="H64">
        <f t="shared" si="5"/>
        <v>0.30806541358219791</v>
      </c>
      <c r="I64">
        <f t="shared" si="6"/>
        <v>0</v>
      </c>
      <c r="J64">
        <f t="shared" si="7"/>
        <v>0</v>
      </c>
      <c r="K64" t="str">
        <f t="shared" si="8"/>
        <v>O22</v>
      </c>
    </row>
    <row r="65" spans="2:11" hidden="1" x14ac:dyDescent="0.2">
      <c r="B65" s="4">
        <v>8023</v>
      </c>
      <c r="C65" s="4">
        <v>0</v>
      </c>
      <c r="D65">
        <v>0</v>
      </c>
      <c r="E65" t="str">
        <f>VLOOKUP(B65,[1]Nuclides!A:E,5,FALSE)</f>
        <v>O23</v>
      </c>
      <c r="F65">
        <f>VLOOKUP(B65,[1]Nuclides!A:E,4,FALSE)</f>
        <v>9.7000000000000003E-2</v>
      </c>
      <c r="G65" t="str">
        <f t="shared" si="4"/>
        <v>0.097s</v>
      </c>
      <c r="H65">
        <f t="shared" si="5"/>
        <v>7.1458472222674772</v>
      </c>
      <c r="I65">
        <f t="shared" si="6"/>
        <v>0</v>
      </c>
      <c r="J65">
        <f t="shared" si="7"/>
        <v>0</v>
      </c>
      <c r="K65" t="str">
        <f t="shared" si="8"/>
        <v>O23</v>
      </c>
    </row>
    <row r="66" spans="2:11" hidden="1" x14ac:dyDescent="0.2">
      <c r="B66" s="4">
        <v>8024</v>
      </c>
      <c r="C66" s="4">
        <v>0</v>
      </c>
      <c r="D66">
        <v>0</v>
      </c>
      <c r="E66" t="str">
        <f>VLOOKUP(B66,[1]Nuclides!A:E,5,FALSE)</f>
        <v>O24</v>
      </c>
      <c r="F66">
        <f>VLOOKUP(B66,[1]Nuclides!A:E,4,FALSE)</f>
        <v>7.1999999999999995E-2</v>
      </c>
      <c r="G66" t="str">
        <f t="shared" si="4"/>
        <v>0.072s</v>
      </c>
      <c r="H66">
        <f t="shared" si="5"/>
        <v>9.6270441744436859</v>
      </c>
      <c r="I66">
        <f t="shared" si="6"/>
        <v>0</v>
      </c>
      <c r="J66">
        <f t="shared" si="7"/>
        <v>0</v>
      </c>
      <c r="K66" t="str">
        <f t="shared" si="8"/>
        <v>O24</v>
      </c>
    </row>
    <row r="67" spans="2:11" hidden="1" x14ac:dyDescent="0.2">
      <c r="B67" s="4">
        <v>9015</v>
      </c>
      <c r="C67" s="4">
        <v>0</v>
      </c>
      <c r="D67">
        <v>0</v>
      </c>
      <c r="E67" t="str">
        <f>VLOOKUP(B67,[1]Nuclides!A:E,5,FALSE)</f>
        <v>F15</v>
      </c>
      <c r="F67">
        <f>VLOOKUP(B67,[1]Nuclides!A:E,4,FALSE)</f>
        <v>6.9045454545454504E-22</v>
      </c>
      <c r="G67" t="str">
        <f t="shared" si="4"/>
        <v>6.90454545454545E-22s</v>
      </c>
      <c r="H67">
        <f t="shared" si="5"/>
        <v>1.0038998006793157E+21</v>
      </c>
      <c r="I67">
        <f t="shared" si="6"/>
        <v>0</v>
      </c>
      <c r="J67">
        <f t="shared" si="7"/>
        <v>0</v>
      </c>
      <c r="K67" t="str">
        <f t="shared" si="8"/>
        <v>F15</v>
      </c>
    </row>
    <row r="68" spans="2:11" hidden="1" x14ac:dyDescent="0.2">
      <c r="B68" s="4">
        <v>9016</v>
      </c>
      <c r="C68" s="4">
        <v>0</v>
      </c>
      <c r="D68">
        <v>0</v>
      </c>
      <c r="E68" t="str">
        <f>VLOOKUP(B68,[1]Nuclides!A:E,5,FALSE)</f>
        <v>F16</v>
      </c>
      <c r="F68">
        <f>VLOOKUP(B68,[1]Nuclides!A:E,4,FALSE)</f>
        <v>1.13925E-20</v>
      </c>
      <c r="G68" t="str">
        <f t="shared" si="4"/>
        <v>1.13925E-20s</v>
      </c>
      <c r="H68">
        <f t="shared" si="5"/>
        <v>6.0842412162382733E+19</v>
      </c>
      <c r="I68">
        <f t="shared" si="6"/>
        <v>0</v>
      </c>
      <c r="J68">
        <f t="shared" si="7"/>
        <v>0</v>
      </c>
      <c r="K68" t="str">
        <f t="shared" si="8"/>
        <v>F16</v>
      </c>
    </row>
    <row r="69" spans="2:11" hidden="1" x14ac:dyDescent="0.2">
      <c r="B69" s="4">
        <v>9017</v>
      </c>
      <c r="C69" s="4">
        <v>0</v>
      </c>
      <c r="D69">
        <v>0</v>
      </c>
      <c r="E69" t="str">
        <f>VLOOKUP(B69,[1]Nuclides!A:E,5,FALSE)</f>
        <v>F17</v>
      </c>
      <c r="F69">
        <f>VLOOKUP(B69,[1]Nuclides!A:E,4,FALSE)</f>
        <v>64.489999999999995</v>
      </c>
      <c r="G69" t="str">
        <f t="shared" ref="G69:G132" si="9">IF(F69="STABLE", "STABLE", IF(F69&lt;60, F69&amp;"s", IF(F69&lt;3600, ROUND(F69/60,2)&amp;"min", IF(F69&lt;86400, ROUND(F69/3600,2)&amp;"h", IF(F69&lt;31536000, ROUND(F69/86400,2)&amp;"d", ROUND(F69/31536000,2)&amp;"y")))))</f>
        <v>1.07min</v>
      </c>
      <c r="H69">
        <f t="shared" ref="H69:H132" si="10">LN(2)/F69</f>
        <v>1.0748134293067845E-2</v>
      </c>
      <c r="I69">
        <f t="shared" ref="I69:I132" si="11">60*6240000000000*C69*(1-EXP(-H69*2*3600))</f>
        <v>0</v>
      </c>
      <c r="J69">
        <f t="shared" ref="J69:J132" si="12">I69*EXP(-H69*96*3600)</f>
        <v>0</v>
      </c>
      <c r="K69" t="str">
        <f t="shared" ref="K69:K132" si="13">E69</f>
        <v>F17</v>
      </c>
    </row>
    <row r="70" spans="2:11" hidden="1" x14ac:dyDescent="0.2">
      <c r="B70" s="4">
        <v>9018</v>
      </c>
      <c r="C70" s="4">
        <v>0</v>
      </c>
      <c r="D70">
        <v>0</v>
      </c>
      <c r="E70" t="str">
        <f>VLOOKUP(B70,[1]Nuclides!A:E,5,FALSE)</f>
        <v>F18</v>
      </c>
      <c r="F70">
        <f>VLOOKUP(B70,[1]Nuclides!A:E,4,FALSE)</f>
        <v>6586.2</v>
      </c>
      <c r="G70" t="str">
        <f t="shared" si="9"/>
        <v>1.83h</v>
      </c>
      <c r="H70">
        <f t="shared" si="10"/>
        <v>1.0524235227596267E-4</v>
      </c>
      <c r="I70">
        <f t="shared" si="11"/>
        <v>0</v>
      </c>
      <c r="J70">
        <f t="shared" si="12"/>
        <v>0</v>
      </c>
      <c r="K70" t="str">
        <f t="shared" si="13"/>
        <v>F18</v>
      </c>
    </row>
    <row r="71" spans="2:11" hidden="1" x14ac:dyDescent="0.2">
      <c r="B71" s="4">
        <v>9019</v>
      </c>
      <c r="C71" s="4">
        <v>0</v>
      </c>
      <c r="D71">
        <v>0</v>
      </c>
      <c r="E71" t="str">
        <f>VLOOKUP(B71,[1]Nuclides!A:E,5,FALSE)</f>
        <v>F19</v>
      </c>
      <c r="F71" t="str">
        <f>VLOOKUP(B71,[1]Nuclides!A:E,4,FALSE)</f>
        <v>STABLE</v>
      </c>
      <c r="G71" t="str">
        <f t="shared" si="9"/>
        <v>STABLE</v>
      </c>
      <c r="H71" t="e">
        <f t="shared" si="10"/>
        <v>#VALUE!</v>
      </c>
      <c r="I71" t="e">
        <f t="shared" si="11"/>
        <v>#VALUE!</v>
      </c>
      <c r="J71" t="e">
        <f t="shared" si="12"/>
        <v>#VALUE!</v>
      </c>
      <c r="K71" t="str">
        <f t="shared" si="13"/>
        <v>F19</v>
      </c>
    </row>
    <row r="72" spans="2:11" hidden="1" x14ac:dyDescent="0.2">
      <c r="B72" s="4">
        <v>9020</v>
      </c>
      <c r="C72" s="4">
        <v>0</v>
      </c>
      <c r="D72">
        <v>0</v>
      </c>
      <c r="E72" t="str">
        <f>VLOOKUP(B72,[1]Nuclides!A:E,5,FALSE)</f>
        <v>F20</v>
      </c>
      <c r="F72">
        <f>VLOOKUP(B72,[1]Nuclides!A:E,4,FALSE)</f>
        <v>11.07</v>
      </c>
      <c r="G72" t="str">
        <f t="shared" si="9"/>
        <v>11.07s</v>
      </c>
      <c r="H72">
        <f t="shared" si="10"/>
        <v>6.2614921459796316E-2</v>
      </c>
      <c r="I72">
        <f t="shared" si="11"/>
        <v>0</v>
      </c>
      <c r="J72">
        <f t="shared" si="12"/>
        <v>0</v>
      </c>
      <c r="K72" t="str">
        <f t="shared" si="13"/>
        <v>F20</v>
      </c>
    </row>
    <row r="73" spans="2:11" hidden="1" x14ac:dyDescent="0.2">
      <c r="B73" s="4">
        <v>9021</v>
      </c>
      <c r="C73" s="4">
        <v>0</v>
      </c>
      <c r="D73">
        <v>0</v>
      </c>
      <c r="E73" t="str">
        <f>VLOOKUP(B73,[1]Nuclides!A:E,5,FALSE)</f>
        <v>F21</v>
      </c>
      <c r="F73">
        <f>VLOOKUP(B73,[1]Nuclides!A:E,4,FALSE)</f>
        <v>4.1580000000000004</v>
      </c>
      <c r="G73" t="str">
        <f t="shared" si="9"/>
        <v>4.158s</v>
      </c>
      <c r="H73">
        <f t="shared" si="10"/>
        <v>0.16670206362673046</v>
      </c>
      <c r="I73">
        <f t="shared" si="11"/>
        <v>0</v>
      </c>
      <c r="J73">
        <f t="shared" si="12"/>
        <v>0</v>
      </c>
      <c r="K73" t="str">
        <f t="shared" si="13"/>
        <v>F21</v>
      </c>
    </row>
    <row r="74" spans="2:11" hidden="1" x14ac:dyDescent="0.2">
      <c r="B74" s="4">
        <v>9022</v>
      </c>
      <c r="C74" s="4">
        <v>0</v>
      </c>
      <c r="D74">
        <v>0</v>
      </c>
      <c r="E74" t="str">
        <f>VLOOKUP(B74,[1]Nuclides!A:E,5,FALSE)</f>
        <v>F22</v>
      </c>
      <c r="F74">
        <f>VLOOKUP(B74,[1]Nuclides!A:E,4,FALSE)</f>
        <v>4.2300000000000004</v>
      </c>
      <c r="G74" t="str">
        <f t="shared" si="9"/>
        <v>4.23s</v>
      </c>
      <c r="H74">
        <f t="shared" si="10"/>
        <v>0.16386458169265844</v>
      </c>
      <c r="I74">
        <f t="shared" si="11"/>
        <v>0</v>
      </c>
      <c r="J74">
        <f t="shared" si="12"/>
        <v>0</v>
      </c>
      <c r="K74" t="str">
        <f t="shared" si="13"/>
        <v>F22</v>
      </c>
    </row>
    <row r="75" spans="2:11" hidden="1" x14ac:dyDescent="0.2">
      <c r="B75" s="4">
        <v>9023</v>
      </c>
      <c r="C75" s="4">
        <v>0</v>
      </c>
      <c r="D75">
        <v>0</v>
      </c>
      <c r="E75" t="str">
        <f>VLOOKUP(B75,[1]Nuclides!A:E,5,FALSE)</f>
        <v>F23</v>
      </c>
      <c r="F75">
        <f>VLOOKUP(B75,[1]Nuclides!A:E,4,FALSE)</f>
        <v>2.23</v>
      </c>
      <c r="G75" t="str">
        <f t="shared" si="9"/>
        <v>2.23s</v>
      </c>
      <c r="H75">
        <f t="shared" si="10"/>
        <v>0.31082833208966154</v>
      </c>
      <c r="I75">
        <f t="shared" si="11"/>
        <v>0</v>
      </c>
      <c r="J75">
        <f t="shared" si="12"/>
        <v>0</v>
      </c>
      <c r="K75" t="str">
        <f t="shared" si="13"/>
        <v>F23</v>
      </c>
    </row>
    <row r="76" spans="2:11" hidden="1" x14ac:dyDescent="0.2">
      <c r="B76" s="4">
        <v>9024</v>
      </c>
      <c r="C76" s="4">
        <v>0</v>
      </c>
      <c r="D76">
        <v>0</v>
      </c>
      <c r="E76" t="str">
        <f>VLOOKUP(B76,[1]Nuclides!A:E,5,FALSE)</f>
        <v>F24</v>
      </c>
      <c r="F76">
        <f>VLOOKUP(B76,[1]Nuclides!A:E,4,FALSE)</f>
        <v>0.38200000000000001</v>
      </c>
      <c r="G76" t="str">
        <f t="shared" si="9"/>
        <v>0.382s</v>
      </c>
      <c r="H76">
        <f t="shared" si="10"/>
        <v>1.8145214150783908</v>
      </c>
      <c r="I76">
        <f t="shared" si="11"/>
        <v>0</v>
      </c>
      <c r="J76">
        <f t="shared" si="12"/>
        <v>0</v>
      </c>
      <c r="K76" t="str">
        <f t="shared" si="13"/>
        <v>F24</v>
      </c>
    </row>
    <row r="77" spans="2:11" hidden="1" x14ac:dyDescent="0.2">
      <c r="B77" s="4">
        <v>9025</v>
      </c>
      <c r="C77" s="4">
        <v>0</v>
      </c>
      <c r="D77">
        <v>0</v>
      </c>
      <c r="E77" t="str">
        <f>VLOOKUP(B77,[1]Nuclides!A:E,5,FALSE)</f>
        <v>F25</v>
      </c>
      <c r="F77">
        <f>VLOOKUP(B77,[1]Nuclides!A:E,4,FALSE)</f>
        <v>0.08</v>
      </c>
      <c r="G77" t="str">
        <f t="shared" si="9"/>
        <v>0.08s</v>
      </c>
      <c r="H77">
        <f t="shared" si="10"/>
        <v>8.6643397569993166</v>
      </c>
      <c r="I77">
        <f t="shared" si="11"/>
        <v>0</v>
      </c>
      <c r="J77">
        <f t="shared" si="12"/>
        <v>0</v>
      </c>
      <c r="K77" t="str">
        <f t="shared" si="13"/>
        <v>F25</v>
      </c>
    </row>
    <row r="78" spans="2:11" hidden="1" x14ac:dyDescent="0.2">
      <c r="B78" s="4">
        <v>9026</v>
      </c>
      <c r="C78" s="4">
        <v>0</v>
      </c>
      <c r="D78">
        <v>0</v>
      </c>
      <c r="E78" t="str">
        <f>VLOOKUP(B78,[1]Nuclides!A:E,5,FALSE)</f>
        <v>F26</v>
      </c>
      <c r="F78">
        <f>VLOOKUP(B78,[1]Nuclides!A:E,4,FALSE)</f>
        <v>8.1999999999999903E-3</v>
      </c>
      <c r="G78" t="str">
        <f t="shared" si="9"/>
        <v>0.00819999999999999s</v>
      </c>
      <c r="H78">
        <f t="shared" si="10"/>
        <v>84.530143970725135</v>
      </c>
      <c r="I78">
        <f t="shared" si="11"/>
        <v>0</v>
      </c>
      <c r="J78">
        <f t="shared" si="12"/>
        <v>0</v>
      </c>
      <c r="K78" t="str">
        <f t="shared" si="13"/>
        <v>F26</v>
      </c>
    </row>
    <row r="79" spans="2:11" hidden="1" x14ac:dyDescent="0.2">
      <c r="B79" s="4">
        <v>9027</v>
      </c>
      <c r="C79" s="4">
        <v>0</v>
      </c>
      <c r="D79">
        <v>0</v>
      </c>
      <c r="E79" t="str">
        <f>VLOOKUP(B79,[1]Nuclides!A:E,5,FALSE)</f>
        <v>F27</v>
      </c>
      <c r="F79">
        <f>VLOOKUP(B79,[1]Nuclides!A:E,4,FALSE)</f>
        <v>5.0000000000000001E-3</v>
      </c>
      <c r="G79" t="str">
        <f t="shared" si="9"/>
        <v>0.005s</v>
      </c>
      <c r="H79">
        <f t="shared" si="10"/>
        <v>138.62943611198907</v>
      </c>
      <c r="I79">
        <f t="shared" si="11"/>
        <v>0</v>
      </c>
      <c r="J79">
        <f t="shared" si="12"/>
        <v>0</v>
      </c>
      <c r="K79" t="str">
        <f t="shared" si="13"/>
        <v>F27</v>
      </c>
    </row>
    <row r="80" spans="2:11" hidden="1" x14ac:dyDescent="0.2">
      <c r="B80" s="4">
        <v>10017</v>
      </c>
      <c r="C80" s="4">
        <v>0</v>
      </c>
      <c r="D80">
        <v>0</v>
      </c>
      <c r="E80" t="str">
        <f>VLOOKUP(B80,[1]Nuclides!A:E,5,FALSE)</f>
        <v>Ne17</v>
      </c>
      <c r="F80">
        <f>VLOOKUP(B80,[1]Nuclides!A:E,4,FALSE)</f>
        <v>0.10920000000000001</v>
      </c>
      <c r="G80" t="str">
        <f t="shared" si="9"/>
        <v>0.1092s</v>
      </c>
      <c r="H80">
        <f t="shared" si="10"/>
        <v>6.3475016534793518</v>
      </c>
      <c r="I80">
        <f t="shared" si="11"/>
        <v>0</v>
      </c>
      <c r="J80">
        <f t="shared" si="12"/>
        <v>0</v>
      </c>
      <c r="K80" t="str">
        <f t="shared" si="13"/>
        <v>Ne17</v>
      </c>
    </row>
    <row r="81" spans="2:11" hidden="1" x14ac:dyDescent="0.2">
      <c r="B81" s="4">
        <v>10018</v>
      </c>
      <c r="C81" s="4">
        <v>0</v>
      </c>
      <c r="D81">
        <v>0</v>
      </c>
      <c r="E81" t="str">
        <f>VLOOKUP(B81,[1]Nuclides!A:E,5,FALSE)</f>
        <v>Ne18</v>
      </c>
      <c r="F81">
        <f>VLOOKUP(B81,[1]Nuclides!A:E,4,FALSE)</f>
        <v>1.667</v>
      </c>
      <c r="G81" t="str">
        <f t="shared" si="9"/>
        <v>1.667s</v>
      </c>
      <c r="H81">
        <f t="shared" si="10"/>
        <v>0.41580514730650586</v>
      </c>
      <c r="I81">
        <f t="shared" si="11"/>
        <v>0</v>
      </c>
      <c r="J81">
        <f t="shared" si="12"/>
        <v>0</v>
      </c>
      <c r="K81" t="str">
        <f t="shared" si="13"/>
        <v>Ne18</v>
      </c>
    </row>
    <row r="82" spans="2:11" hidden="1" x14ac:dyDescent="0.2">
      <c r="B82" s="4">
        <v>10019</v>
      </c>
      <c r="C82" s="4">
        <v>0</v>
      </c>
      <c r="D82">
        <v>0</v>
      </c>
      <c r="E82" t="str">
        <f>VLOOKUP(B82,[1]Nuclides!A:E,5,FALSE)</f>
        <v>Ne19</v>
      </c>
      <c r="F82">
        <f>VLOOKUP(B82,[1]Nuclides!A:E,4,FALSE)</f>
        <v>17.22</v>
      </c>
      <c r="G82" t="str">
        <f t="shared" si="9"/>
        <v>17.22s</v>
      </c>
      <c r="H82">
        <f t="shared" si="10"/>
        <v>4.0252449509869066E-2</v>
      </c>
      <c r="I82">
        <f t="shared" si="11"/>
        <v>0</v>
      </c>
      <c r="J82">
        <f t="shared" si="12"/>
        <v>0</v>
      </c>
      <c r="K82" t="str">
        <f t="shared" si="13"/>
        <v>Ne19</v>
      </c>
    </row>
    <row r="83" spans="2:11" hidden="1" x14ac:dyDescent="0.2">
      <c r="B83" s="4">
        <v>10020</v>
      </c>
      <c r="C83" s="4">
        <v>0</v>
      </c>
      <c r="D83">
        <v>0</v>
      </c>
      <c r="E83" t="str">
        <f>VLOOKUP(B83,[1]Nuclides!A:E,5,FALSE)</f>
        <v>Ne20</v>
      </c>
      <c r="F83" t="str">
        <f>VLOOKUP(B83,[1]Nuclides!A:E,4,FALSE)</f>
        <v>STABLE</v>
      </c>
      <c r="G83" t="str">
        <f t="shared" si="9"/>
        <v>STABLE</v>
      </c>
      <c r="H83" t="e">
        <f t="shared" si="10"/>
        <v>#VALUE!</v>
      </c>
      <c r="I83" t="e">
        <f t="shared" si="11"/>
        <v>#VALUE!</v>
      </c>
      <c r="J83" t="e">
        <f t="shared" si="12"/>
        <v>#VALUE!</v>
      </c>
      <c r="K83" t="str">
        <f t="shared" si="13"/>
        <v>Ne20</v>
      </c>
    </row>
    <row r="84" spans="2:11" hidden="1" x14ac:dyDescent="0.2">
      <c r="B84" s="4">
        <v>10021</v>
      </c>
      <c r="C84" s="4">
        <v>0</v>
      </c>
      <c r="D84">
        <v>0</v>
      </c>
      <c r="E84" t="str">
        <f>VLOOKUP(B84,[1]Nuclides!A:E,5,FALSE)</f>
        <v>Ne21</v>
      </c>
      <c r="F84" t="str">
        <f>VLOOKUP(B84,[1]Nuclides!A:E,4,FALSE)</f>
        <v>STABLE</v>
      </c>
      <c r="G84" t="str">
        <f t="shared" si="9"/>
        <v>STABLE</v>
      </c>
      <c r="H84" t="e">
        <f t="shared" si="10"/>
        <v>#VALUE!</v>
      </c>
      <c r="I84" t="e">
        <f t="shared" si="11"/>
        <v>#VALUE!</v>
      </c>
      <c r="J84" t="e">
        <f t="shared" si="12"/>
        <v>#VALUE!</v>
      </c>
      <c r="K84" t="str">
        <f t="shared" si="13"/>
        <v>Ne21</v>
      </c>
    </row>
    <row r="85" spans="2:11" hidden="1" x14ac:dyDescent="0.2">
      <c r="B85" s="4">
        <v>10022</v>
      </c>
      <c r="C85" s="4">
        <v>0</v>
      </c>
      <c r="D85">
        <v>0</v>
      </c>
      <c r="E85" t="str">
        <f>VLOOKUP(B85,[1]Nuclides!A:E,5,FALSE)</f>
        <v>Ne22</v>
      </c>
      <c r="F85" t="str">
        <f>VLOOKUP(B85,[1]Nuclides!A:E,4,FALSE)</f>
        <v>STABLE</v>
      </c>
      <c r="G85" t="str">
        <f t="shared" si="9"/>
        <v>STABLE</v>
      </c>
      <c r="H85" t="e">
        <f t="shared" si="10"/>
        <v>#VALUE!</v>
      </c>
      <c r="I85" t="e">
        <f t="shared" si="11"/>
        <v>#VALUE!</v>
      </c>
      <c r="J85" t="e">
        <f t="shared" si="12"/>
        <v>#VALUE!</v>
      </c>
      <c r="K85" t="str">
        <f t="shared" si="13"/>
        <v>Ne22</v>
      </c>
    </row>
    <row r="86" spans="2:11" hidden="1" x14ac:dyDescent="0.2">
      <c r="B86" s="4">
        <v>10023</v>
      </c>
      <c r="C86" s="4">
        <v>0</v>
      </c>
      <c r="D86">
        <v>0</v>
      </c>
      <c r="E86" t="str">
        <f>VLOOKUP(B86,[1]Nuclides!A:E,5,FALSE)</f>
        <v>Ne23</v>
      </c>
      <c r="F86">
        <f>VLOOKUP(B86,[1]Nuclides!A:E,4,FALSE)</f>
        <v>37.24</v>
      </c>
      <c r="G86" t="str">
        <f t="shared" si="9"/>
        <v>37.24s</v>
      </c>
      <c r="H86">
        <f t="shared" si="10"/>
        <v>1.8612974773360505E-2</v>
      </c>
      <c r="I86">
        <f t="shared" si="11"/>
        <v>0</v>
      </c>
      <c r="J86">
        <f t="shared" si="12"/>
        <v>0</v>
      </c>
      <c r="K86" t="str">
        <f t="shared" si="13"/>
        <v>Ne23</v>
      </c>
    </row>
    <row r="87" spans="2:11" hidden="1" x14ac:dyDescent="0.2">
      <c r="B87" s="4">
        <v>10024</v>
      </c>
      <c r="C87" s="4">
        <v>0</v>
      </c>
      <c r="D87">
        <v>0</v>
      </c>
      <c r="E87" t="str">
        <f>VLOOKUP(B87,[1]Nuclides!A:E,5,FALSE)</f>
        <v>Ne24</v>
      </c>
      <c r="F87">
        <f>VLOOKUP(B87,[1]Nuclides!A:E,4,FALSE)</f>
        <v>202.79999999999899</v>
      </c>
      <c r="G87" t="str">
        <f t="shared" si="9"/>
        <v>3.38min</v>
      </c>
      <c r="H87">
        <f t="shared" si="10"/>
        <v>3.4178855057196682E-3</v>
      </c>
      <c r="I87">
        <f t="shared" si="11"/>
        <v>0</v>
      </c>
      <c r="J87">
        <f t="shared" si="12"/>
        <v>0</v>
      </c>
      <c r="K87" t="str">
        <f t="shared" si="13"/>
        <v>Ne24</v>
      </c>
    </row>
    <row r="88" spans="2:11" hidden="1" x14ac:dyDescent="0.2">
      <c r="B88" s="4">
        <v>10025</v>
      </c>
      <c r="C88" s="4">
        <v>0</v>
      </c>
      <c r="D88">
        <v>0</v>
      </c>
      <c r="E88" t="str">
        <f>VLOOKUP(B88,[1]Nuclides!A:E,5,FALSE)</f>
        <v>Ne25</v>
      </c>
      <c r="F88">
        <f>VLOOKUP(B88,[1]Nuclides!A:E,4,FALSE)</f>
        <v>0.60199999999999998</v>
      </c>
      <c r="G88" t="str">
        <f t="shared" si="9"/>
        <v>0.602s</v>
      </c>
      <c r="H88">
        <f t="shared" si="10"/>
        <v>1.15140727667765</v>
      </c>
      <c r="I88">
        <f t="shared" si="11"/>
        <v>0</v>
      </c>
      <c r="J88">
        <f t="shared" si="12"/>
        <v>0</v>
      </c>
      <c r="K88" t="str">
        <f t="shared" si="13"/>
        <v>Ne25</v>
      </c>
    </row>
    <row r="89" spans="2:11" hidden="1" x14ac:dyDescent="0.2">
      <c r="B89" s="4">
        <v>10026</v>
      </c>
      <c r="C89" s="4">
        <v>0</v>
      </c>
      <c r="D89">
        <v>0</v>
      </c>
      <c r="E89" t="str">
        <f>VLOOKUP(B89,[1]Nuclides!A:E,5,FALSE)</f>
        <v>Ne26</v>
      </c>
      <c r="F89">
        <f>VLOOKUP(B89,[1]Nuclides!A:E,4,FALSE)</f>
        <v>0.19700000000000001</v>
      </c>
      <c r="G89" t="str">
        <f t="shared" si="9"/>
        <v>0.197s</v>
      </c>
      <c r="H89">
        <f t="shared" si="10"/>
        <v>3.5185136069032752</v>
      </c>
      <c r="I89">
        <f t="shared" si="11"/>
        <v>0</v>
      </c>
      <c r="J89">
        <f t="shared" si="12"/>
        <v>0</v>
      </c>
      <c r="K89" t="str">
        <f t="shared" si="13"/>
        <v>Ne26</v>
      </c>
    </row>
    <row r="90" spans="2:11" hidden="1" x14ac:dyDescent="0.2">
      <c r="B90" s="4">
        <v>10027</v>
      </c>
      <c r="C90" s="4">
        <v>0</v>
      </c>
      <c r="D90">
        <v>0</v>
      </c>
      <c r="E90" t="str">
        <f>VLOOKUP(B90,[1]Nuclides!A:E,5,FALSE)</f>
        <v>Ne27</v>
      </c>
      <c r="F90">
        <f>VLOOKUP(B90,[1]Nuclides!A:E,4,FALSE)</f>
        <v>3.15E-2</v>
      </c>
      <c r="G90" t="str">
        <f t="shared" si="9"/>
        <v>0.0315s</v>
      </c>
      <c r="H90">
        <f t="shared" si="10"/>
        <v>22.00467239872842</v>
      </c>
      <c r="I90">
        <f t="shared" si="11"/>
        <v>0</v>
      </c>
      <c r="J90">
        <f t="shared" si="12"/>
        <v>0</v>
      </c>
      <c r="K90" t="str">
        <f t="shared" si="13"/>
        <v>Ne27</v>
      </c>
    </row>
    <row r="91" spans="2:11" hidden="1" x14ac:dyDescent="0.2">
      <c r="B91" s="4">
        <v>10028</v>
      </c>
      <c r="C91" s="4">
        <v>0</v>
      </c>
      <c r="D91">
        <v>0</v>
      </c>
      <c r="E91" t="str">
        <f>VLOOKUP(B91,[1]Nuclides!A:E,5,FALSE)</f>
        <v>Ne28</v>
      </c>
      <c r="F91">
        <f>VLOOKUP(B91,[1]Nuclides!A:E,4,FALSE)</f>
        <v>0.02</v>
      </c>
      <c r="G91" t="str">
        <f t="shared" si="9"/>
        <v>0.02s</v>
      </c>
      <c r="H91">
        <f t="shared" si="10"/>
        <v>34.657359027997266</v>
      </c>
      <c r="I91">
        <f t="shared" si="11"/>
        <v>0</v>
      </c>
      <c r="J91">
        <f t="shared" si="12"/>
        <v>0</v>
      </c>
      <c r="K91" t="str">
        <f t="shared" si="13"/>
        <v>Ne28</v>
      </c>
    </row>
    <row r="92" spans="2:11" hidden="1" x14ac:dyDescent="0.2">
      <c r="B92" s="4">
        <v>11019</v>
      </c>
      <c r="C92" s="4">
        <v>0</v>
      </c>
      <c r="D92">
        <v>0</v>
      </c>
      <c r="E92" t="e">
        <f>VLOOKUP(B92,[1]Nuclides!A:E,5,FALSE)</f>
        <v>#N/A</v>
      </c>
      <c r="F92" t="e">
        <f>VLOOKUP(B92,[1]Nuclides!A:E,4,FALSE)</f>
        <v>#N/A</v>
      </c>
      <c r="G92" t="e">
        <f t="shared" si="9"/>
        <v>#N/A</v>
      </c>
      <c r="H92" t="e">
        <f t="shared" si="10"/>
        <v>#N/A</v>
      </c>
      <c r="I92" t="e">
        <f t="shared" si="11"/>
        <v>#N/A</v>
      </c>
      <c r="J92" t="e">
        <f t="shared" si="12"/>
        <v>#N/A</v>
      </c>
      <c r="K92" t="e">
        <f t="shared" si="13"/>
        <v>#N/A</v>
      </c>
    </row>
    <row r="93" spans="2:11" hidden="1" x14ac:dyDescent="0.2">
      <c r="B93" s="4">
        <v>11020</v>
      </c>
      <c r="C93" s="4">
        <v>0</v>
      </c>
      <c r="D93">
        <v>0</v>
      </c>
      <c r="E93" t="str">
        <f>VLOOKUP(B93,[1]Nuclides!A:E,5,FALSE)</f>
        <v>Na20</v>
      </c>
      <c r="F93">
        <f>VLOOKUP(B93,[1]Nuclides!A:E,4,FALSE)</f>
        <v>0.44789999999999902</v>
      </c>
      <c r="G93" t="str">
        <f t="shared" si="9"/>
        <v>0.447899999999999s</v>
      </c>
      <c r="H93">
        <f t="shared" si="10"/>
        <v>1.5475489630719956</v>
      </c>
      <c r="I93">
        <f t="shared" si="11"/>
        <v>0</v>
      </c>
      <c r="J93">
        <f t="shared" si="12"/>
        <v>0</v>
      </c>
      <c r="K93" t="str">
        <f t="shared" si="13"/>
        <v>Na20</v>
      </c>
    </row>
    <row r="94" spans="2:11" hidden="1" x14ac:dyDescent="0.2">
      <c r="B94" s="4">
        <v>11021</v>
      </c>
      <c r="C94" s="4">
        <v>0</v>
      </c>
      <c r="D94">
        <v>0</v>
      </c>
      <c r="E94" t="str">
        <f>VLOOKUP(B94,[1]Nuclides!A:E,5,FALSE)</f>
        <v>Na21</v>
      </c>
      <c r="F94">
        <f>VLOOKUP(B94,[1]Nuclides!A:E,4,FALSE)</f>
        <v>22.49</v>
      </c>
      <c r="G94" t="str">
        <f t="shared" si="9"/>
        <v>22.49s</v>
      </c>
      <c r="H94">
        <f t="shared" si="10"/>
        <v>3.0820239242327494E-2</v>
      </c>
      <c r="I94">
        <f t="shared" si="11"/>
        <v>0</v>
      </c>
      <c r="J94">
        <f t="shared" si="12"/>
        <v>0</v>
      </c>
      <c r="K94" t="str">
        <f t="shared" si="13"/>
        <v>Na21</v>
      </c>
    </row>
    <row r="95" spans="2:11" hidden="1" x14ac:dyDescent="0.2">
      <c r="B95" s="4">
        <v>11022</v>
      </c>
      <c r="C95" s="4">
        <v>0</v>
      </c>
      <c r="D95">
        <v>0</v>
      </c>
      <c r="E95" t="str">
        <f>VLOOKUP(B95,[1]Nuclides!A:E,5,FALSE)</f>
        <v>Na22</v>
      </c>
      <c r="F95">
        <f>VLOOKUP(B95,[1]Nuclides!A:E,4,FALSE)</f>
        <v>82106563.679999903</v>
      </c>
      <c r="G95" t="str">
        <f t="shared" si="9"/>
        <v>2.6y</v>
      </c>
      <c r="H95">
        <f t="shared" si="10"/>
        <v>8.4420434797563818E-9</v>
      </c>
      <c r="I95">
        <f t="shared" si="11"/>
        <v>0</v>
      </c>
      <c r="J95">
        <f t="shared" si="12"/>
        <v>0</v>
      </c>
      <c r="K95" t="str">
        <f t="shared" si="13"/>
        <v>Na22</v>
      </c>
    </row>
    <row r="96" spans="2:11" hidden="1" x14ac:dyDescent="0.2">
      <c r="B96" s="4">
        <v>11023</v>
      </c>
      <c r="C96" s="4">
        <v>0</v>
      </c>
      <c r="D96">
        <v>0</v>
      </c>
      <c r="E96" t="str">
        <f>VLOOKUP(B96,[1]Nuclides!A:E,5,FALSE)</f>
        <v>Na23</v>
      </c>
      <c r="F96" t="str">
        <f>VLOOKUP(B96,[1]Nuclides!A:E,4,FALSE)</f>
        <v>STABLE</v>
      </c>
      <c r="G96" t="str">
        <f t="shared" si="9"/>
        <v>STABLE</v>
      </c>
      <c r="H96" t="e">
        <f t="shared" si="10"/>
        <v>#VALUE!</v>
      </c>
      <c r="I96" t="e">
        <f t="shared" si="11"/>
        <v>#VALUE!</v>
      </c>
      <c r="J96" t="e">
        <f t="shared" si="12"/>
        <v>#VALUE!</v>
      </c>
      <c r="K96" t="str">
        <f t="shared" si="13"/>
        <v>Na23</v>
      </c>
    </row>
    <row r="97" spans="2:11" hidden="1" x14ac:dyDescent="0.2">
      <c r="B97" s="4">
        <v>11024</v>
      </c>
      <c r="C97" s="4">
        <v>0</v>
      </c>
      <c r="D97">
        <v>0</v>
      </c>
      <c r="E97" t="str">
        <f>VLOOKUP(B97,[1]Nuclides!A:E,5,FALSE)</f>
        <v>Na24</v>
      </c>
      <c r="F97">
        <f>VLOOKUP(B97,[1]Nuclides!A:E,4,FALSE)</f>
        <v>53989.2</v>
      </c>
      <c r="G97" t="str">
        <f t="shared" si="9"/>
        <v>15h</v>
      </c>
      <c r="H97">
        <f t="shared" si="10"/>
        <v>1.2838626624583163E-5</v>
      </c>
      <c r="I97">
        <f t="shared" si="11"/>
        <v>0</v>
      </c>
      <c r="J97">
        <f t="shared" si="12"/>
        <v>0</v>
      </c>
      <c r="K97" t="str">
        <f t="shared" si="13"/>
        <v>Na24</v>
      </c>
    </row>
    <row r="98" spans="2:11" hidden="1" x14ac:dyDescent="0.2">
      <c r="B98" s="4">
        <v>11025</v>
      </c>
      <c r="C98" s="4">
        <v>0</v>
      </c>
      <c r="D98">
        <v>0</v>
      </c>
      <c r="E98" t="str">
        <f>VLOOKUP(B98,[1]Nuclides!A:E,5,FALSE)</f>
        <v>Na25</v>
      </c>
      <c r="F98">
        <f>VLOOKUP(B98,[1]Nuclides!A:E,4,FALSE)</f>
        <v>59.1</v>
      </c>
      <c r="G98" t="str">
        <f t="shared" si="9"/>
        <v>59.1s</v>
      </c>
      <c r="H98">
        <f t="shared" si="10"/>
        <v>1.1728378689677585E-2</v>
      </c>
      <c r="I98">
        <f t="shared" si="11"/>
        <v>0</v>
      </c>
      <c r="J98">
        <f t="shared" si="12"/>
        <v>0</v>
      </c>
      <c r="K98" t="str">
        <f t="shared" si="13"/>
        <v>Na25</v>
      </c>
    </row>
    <row r="99" spans="2:11" hidden="1" x14ac:dyDescent="0.2">
      <c r="B99" s="4">
        <v>11026</v>
      </c>
      <c r="C99" s="4">
        <v>0</v>
      </c>
      <c r="D99">
        <v>0</v>
      </c>
      <c r="E99" t="str">
        <f>VLOOKUP(B99,[1]Nuclides!A:E,5,FALSE)</f>
        <v>Na26</v>
      </c>
      <c r="F99">
        <f>VLOOKUP(B99,[1]Nuclides!A:E,4,FALSE)</f>
        <v>1.07128</v>
      </c>
      <c r="G99" t="str">
        <f t="shared" si="9"/>
        <v>1.07128s</v>
      </c>
      <c r="H99">
        <f t="shared" si="10"/>
        <v>0.64702708961237521</v>
      </c>
      <c r="I99">
        <f t="shared" si="11"/>
        <v>0</v>
      </c>
      <c r="J99">
        <f t="shared" si="12"/>
        <v>0</v>
      </c>
      <c r="K99" t="str">
        <f t="shared" si="13"/>
        <v>Na26</v>
      </c>
    </row>
    <row r="100" spans="2:11" hidden="1" x14ac:dyDescent="0.2">
      <c r="B100" s="4">
        <v>11027</v>
      </c>
      <c r="C100" s="4">
        <v>0</v>
      </c>
      <c r="D100">
        <v>0</v>
      </c>
      <c r="E100" t="str">
        <f>VLOOKUP(B100,[1]Nuclides!A:E,5,FALSE)</f>
        <v>Na27</v>
      </c>
      <c r="F100">
        <f>VLOOKUP(B100,[1]Nuclides!A:E,4,FALSE)</f>
        <v>0.30099999999999999</v>
      </c>
      <c r="G100" t="str">
        <f t="shared" si="9"/>
        <v>0.301s</v>
      </c>
      <c r="H100">
        <f t="shared" si="10"/>
        <v>2.3028145533552999</v>
      </c>
      <c r="I100">
        <f t="shared" si="11"/>
        <v>0</v>
      </c>
      <c r="J100">
        <f t="shared" si="12"/>
        <v>0</v>
      </c>
      <c r="K100" t="str">
        <f t="shared" si="13"/>
        <v>Na27</v>
      </c>
    </row>
    <row r="101" spans="2:11" hidden="1" x14ac:dyDescent="0.2">
      <c r="B101" s="4">
        <v>11028</v>
      </c>
      <c r="C101" s="4">
        <v>0</v>
      </c>
      <c r="D101">
        <v>0</v>
      </c>
      <c r="E101" t="str">
        <f>VLOOKUP(B101,[1]Nuclides!A:E,5,FALSE)</f>
        <v>Na28</v>
      </c>
      <c r="F101">
        <f>VLOOKUP(B101,[1]Nuclides!A:E,4,FALSE)</f>
        <v>3.0499999999999999E-2</v>
      </c>
      <c r="G101" t="str">
        <f t="shared" si="9"/>
        <v>0.0305s</v>
      </c>
      <c r="H101">
        <f t="shared" si="10"/>
        <v>22.726137067539192</v>
      </c>
      <c r="I101">
        <f t="shared" si="11"/>
        <v>0</v>
      </c>
      <c r="J101">
        <f t="shared" si="12"/>
        <v>0</v>
      </c>
      <c r="K101" t="str">
        <f t="shared" si="13"/>
        <v>Na28</v>
      </c>
    </row>
    <row r="102" spans="2:11" hidden="1" x14ac:dyDescent="0.2">
      <c r="B102" s="4">
        <v>11029</v>
      </c>
      <c r="C102" s="4">
        <v>0</v>
      </c>
      <c r="D102">
        <v>0</v>
      </c>
      <c r="E102" t="str">
        <f>VLOOKUP(B102,[1]Nuclides!A:E,5,FALSE)</f>
        <v>Na29</v>
      </c>
      <c r="F102">
        <f>VLOOKUP(B102,[1]Nuclides!A:E,4,FALSE)</f>
        <v>4.41E-2</v>
      </c>
      <c r="G102" t="str">
        <f t="shared" si="9"/>
        <v>0.0441s</v>
      </c>
      <c r="H102">
        <f t="shared" si="10"/>
        <v>15.717623141948872</v>
      </c>
      <c r="I102">
        <f t="shared" si="11"/>
        <v>0</v>
      </c>
      <c r="J102">
        <f t="shared" si="12"/>
        <v>0</v>
      </c>
      <c r="K102" t="str">
        <f t="shared" si="13"/>
        <v>Na29</v>
      </c>
    </row>
    <row r="103" spans="2:11" hidden="1" x14ac:dyDescent="0.2">
      <c r="B103" s="4">
        <v>11030</v>
      </c>
      <c r="C103" s="4">
        <v>0</v>
      </c>
      <c r="D103">
        <v>0</v>
      </c>
      <c r="E103" t="str">
        <f>VLOOKUP(B103,[1]Nuclides!A:E,5,FALSE)</f>
        <v>Na30</v>
      </c>
      <c r="F103">
        <f>VLOOKUP(B103,[1]Nuclides!A:E,4,FALSE)</f>
        <v>4.8000000000000001E-2</v>
      </c>
      <c r="G103" t="str">
        <f t="shared" si="9"/>
        <v>0.048s</v>
      </c>
      <c r="H103">
        <f t="shared" si="10"/>
        <v>14.440566261665527</v>
      </c>
      <c r="I103">
        <f t="shared" si="11"/>
        <v>0</v>
      </c>
      <c r="J103">
        <f t="shared" si="12"/>
        <v>0</v>
      </c>
      <c r="K103" t="str">
        <f t="shared" si="13"/>
        <v>Na30</v>
      </c>
    </row>
    <row r="104" spans="2:11" hidden="1" x14ac:dyDescent="0.2">
      <c r="B104" s="4">
        <v>11031</v>
      </c>
      <c r="C104" s="4">
        <v>0</v>
      </c>
      <c r="D104">
        <v>0</v>
      </c>
      <c r="E104" t="str">
        <f>VLOOKUP(B104,[1]Nuclides!A:E,5,FALSE)</f>
        <v>Na31</v>
      </c>
      <c r="F104">
        <f>VLOOKUP(B104,[1]Nuclides!A:E,4,FALSE)</f>
        <v>1.7399999999999999E-2</v>
      </c>
      <c r="G104" t="str">
        <f t="shared" si="9"/>
        <v>0.0174s</v>
      </c>
      <c r="H104">
        <f t="shared" si="10"/>
        <v>39.836044859766972</v>
      </c>
      <c r="I104">
        <f t="shared" si="11"/>
        <v>0</v>
      </c>
      <c r="J104">
        <f t="shared" si="12"/>
        <v>0</v>
      </c>
      <c r="K104" t="str">
        <f t="shared" si="13"/>
        <v>Na31</v>
      </c>
    </row>
    <row r="105" spans="2:11" hidden="1" x14ac:dyDescent="0.2">
      <c r="B105" s="4">
        <v>11032</v>
      </c>
      <c r="C105" s="4">
        <v>0</v>
      </c>
      <c r="D105">
        <v>0</v>
      </c>
      <c r="E105" t="str">
        <f>VLOOKUP(B105,[1]Nuclides!A:E,5,FALSE)</f>
        <v>Na32</v>
      </c>
      <c r="F105">
        <f>VLOOKUP(B105,[1]Nuclides!A:E,4,FALSE)</f>
        <v>1.32E-2</v>
      </c>
      <c r="G105" t="str">
        <f t="shared" si="9"/>
        <v>0.0132s</v>
      </c>
      <c r="H105">
        <f t="shared" si="10"/>
        <v>52.511150042420098</v>
      </c>
      <c r="I105">
        <f t="shared" si="11"/>
        <v>0</v>
      </c>
      <c r="J105">
        <f t="shared" si="12"/>
        <v>0</v>
      </c>
      <c r="K105" t="str">
        <f t="shared" si="13"/>
        <v>Na32</v>
      </c>
    </row>
    <row r="106" spans="2:11" hidden="1" x14ac:dyDescent="0.2">
      <c r="B106" s="4">
        <v>11033</v>
      </c>
      <c r="C106" s="4">
        <v>0</v>
      </c>
      <c r="D106">
        <v>0</v>
      </c>
      <c r="E106" t="str">
        <f>VLOOKUP(B106,[1]Nuclides!A:E,5,FALSE)</f>
        <v>Na33</v>
      </c>
      <c r="F106">
        <f>VLOOKUP(B106,[1]Nuclides!A:E,4,FALSE)</f>
        <v>8.0999999999999996E-3</v>
      </c>
      <c r="G106" t="str">
        <f t="shared" si="9"/>
        <v>0.0081s</v>
      </c>
      <c r="H106">
        <f t="shared" si="10"/>
        <v>85.573725995054971</v>
      </c>
      <c r="I106">
        <f t="shared" si="11"/>
        <v>0</v>
      </c>
      <c r="J106">
        <f t="shared" si="12"/>
        <v>0</v>
      </c>
      <c r="K106" t="str">
        <f t="shared" si="13"/>
        <v>Na33</v>
      </c>
    </row>
    <row r="107" spans="2:11" hidden="1" x14ac:dyDescent="0.2">
      <c r="B107" s="4">
        <v>11034</v>
      </c>
      <c r="C107" s="4">
        <v>0</v>
      </c>
      <c r="D107">
        <v>0</v>
      </c>
      <c r="E107" t="str">
        <f>VLOOKUP(B107,[1]Nuclides!A:E,5,FALSE)</f>
        <v>Na34</v>
      </c>
      <c r="F107">
        <f>VLOOKUP(B107,[1]Nuclides!A:E,4,FALSE)</f>
        <v>5.0000000000000001E-3</v>
      </c>
      <c r="G107" t="str">
        <f t="shared" si="9"/>
        <v>0.005s</v>
      </c>
      <c r="H107">
        <f t="shared" si="10"/>
        <v>138.62943611198907</v>
      </c>
      <c r="I107">
        <f t="shared" si="11"/>
        <v>0</v>
      </c>
      <c r="J107">
        <f t="shared" si="12"/>
        <v>0</v>
      </c>
      <c r="K107" t="str">
        <f t="shared" si="13"/>
        <v>Na34</v>
      </c>
    </row>
    <row r="108" spans="2:11" hidden="1" x14ac:dyDescent="0.2">
      <c r="B108" s="4">
        <v>11035</v>
      </c>
      <c r="C108" s="4">
        <v>0</v>
      </c>
      <c r="D108">
        <v>0</v>
      </c>
      <c r="E108" t="str">
        <f>VLOOKUP(B108,[1]Nuclides!A:E,5,FALSE)</f>
        <v>Na35</v>
      </c>
      <c r="F108">
        <f>VLOOKUP(B108,[1]Nuclides!A:E,4,FALSE)</f>
        <v>1.8E-3</v>
      </c>
      <c r="G108" t="str">
        <f t="shared" si="9"/>
        <v>0.0018s</v>
      </c>
      <c r="H108">
        <f t="shared" si="10"/>
        <v>385.08176697774741</v>
      </c>
      <c r="I108">
        <f t="shared" si="11"/>
        <v>0</v>
      </c>
      <c r="J108">
        <f t="shared" si="12"/>
        <v>0</v>
      </c>
      <c r="K108" t="str">
        <f t="shared" si="13"/>
        <v>Na35</v>
      </c>
    </row>
    <row r="109" spans="2:11" hidden="1" x14ac:dyDescent="0.2">
      <c r="B109" s="4">
        <v>12020</v>
      </c>
      <c r="C109" s="4">
        <v>0</v>
      </c>
      <c r="D109">
        <v>0</v>
      </c>
      <c r="E109" t="str">
        <f>VLOOKUP(B109,[1]Nuclides!A:E,5,FALSE)</f>
        <v>Mg20</v>
      </c>
      <c r="F109">
        <f>VLOOKUP(B109,[1]Nuclides!A:E,4,FALSE)</f>
        <v>9.0800000000000006E-2</v>
      </c>
      <c r="G109" t="str">
        <f t="shared" si="9"/>
        <v>0.0908s</v>
      </c>
      <c r="H109">
        <f t="shared" si="10"/>
        <v>7.6337795215852999</v>
      </c>
      <c r="I109">
        <f t="shared" si="11"/>
        <v>0</v>
      </c>
      <c r="J109">
        <f t="shared" si="12"/>
        <v>0</v>
      </c>
      <c r="K109" t="str">
        <f t="shared" si="13"/>
        <v>Mg20</v>
      </c>
    </row>
    <row r="110" spans="2:11" hidden="1" x14ac:dyDescent="0.2">
      <c r="B110" s="4">
        <v>12021</v>
      </c>
      <c r="C110" s="4">
        <v>0</v>
      </c>
      <c r="D110">
        <v>0</v>
      </c>
      <c r="E110" t="str">
        <f>VLOOKUP(B110,[1]Nuclides!A:E,5,FALSE)</f>
        <v>Mg21</v>
      </c>
      <c r="F110">
        <f>VLOOKUP(B110,[1]Nuclides!A:E,4,FALSE)</f>
        <v>0.122</v>
      </c>
      <c r="G110" t="str">
        <f t="shared" si="9"/>
        <v>0.122s</v>
      </c>
      <c r="H110">
        <f t="shared" si="10"/>
        <v>5.6815342668847979</v>
      </c>
      <c r="I110">
        <f t="shared" si="11"/>
        <v>0</v>
      </c>
      <c r="J110">
        <f t="shared" si="12"/>
        <v>0</v>
      </c>
      <c r="K110" t="str">
        <f t="shared" si="13"/>
        <v>Mg21</v>
      </c>
    </row>
    <row r="111" spans="2:11" hidden="1" x14ac:dyDescent="0.2">
      <c r="B111" s="4">
        <v>12022</v>
      </c>
      <c r="C111" s="4">
        <v>0</v>
      </c>
      <c r="D111">
        <v>0</v>
      </c>
      <c r="E111" t="str">
        <f>VLOOKUP(B111,[1]Nuclides!A:E,5,FALSE)</f>
        <v>Mg22</v>
      </c>
      <c r="F111">
        <f>VLOOKUP(B111,[1]Nuclides!A:E,4,FALSE)</f>
        <v>3.8755000000000002</v>
      </c>
      <c r="G111" t="str">
        <f t="shared" si="9"/>
        <v>3.8755s</v>
      </c>
      <c r="H111">
        <f t="shared" si="10"/>
        <v>0.17885361387174437</v>
      </c>
      <c r="I111">
        <f t="shared" si="11"/>
        <v>0</v>
      </c>
      <c r="J111">
        <f t="shared" si="12"/>
        <v>0</v>
      </c>
      <c r="K111" t="str">
        <f t="shared" si="13"/>
        <v>Mg22</v>
      </c>
    </row>
    <row r="112" spans="2:11" hidden="1" x14ac:dyDescent="0.2">
      <c r="B112" s="4">
        <v>12023</v>
      </c>
      <c r="C112" s="4">
        <v>0</v>
      </c>
      <c r="D112">
        <v>0</v>
      </c>
      <c r="E112" t="str">
        <f>VLOOKUP(B112,[1]Nuclides!A:E,5,FALSE)</f>
        <v>Mg23</v>
      </c>
      <c r="F112">
        <f>VLOOKUP(B112,[1]Nuclides!A:E,4,FALSE)</f>
        <v>11.317</v>
      </c>
      <c r="G112" t="str">
        <f t="shared" si="9"/>
        <v>11.317s</v>
      </c>
      <c r="H112">
        <f t="shared" si="10"/>
        <v>6.1248314973928186E-2</v>
      </c>
      <c r="I112">
        <f t="shared" si="11"/>
        <v>0</v>
      </c>
      <c r="J112">
        <f t="shared" si="12"/>
        <v>0</v>
      </c>
      <c r="K112" t="str">
        <f t="shared" si="13"/>
        <v>Mg23</v>
      </c>
    </row>
    <row r="113" spans="2:11" hidden="1" x14ac:dyDescent="0.2">
      <c r="B113" s="4">
        <v>12024</v>
      </c>
      <c r="C113" s="4">
        <v>0</v>
      </c>
      <c r="D113">
        <v>0</v>
      </c>
      <c r="E113" t="str">
        <f>VLOOKUP(B113,[1]Nuclides!A:E,5,FALSE)</f>
        <v>Mg24</v>
      </c>
      <c r="F113" t="str">
        <f>VLOOKUP(B113,[1]Nuclides!A:E,4,FALSE)</f>
        <v>STABLE</v>
      </c>
      <c r="G113" t="str">
        <f t="shared" si="9"/>
        <v>STABLE</v>
      </c>
      <c r="H113" t="e">
        <f t="shared" si="10"/>
        <v>#VALUE!</v>
      </c>
      <c r="I113" t="e">
        <f t="shared" si="11"/>
        <v>#VALUE!</v>
      </c>
      <c r="J113" t="e">
        <f t="shared" si="12"/>
        <v>#VALUE!</v>
      </c>
      <c r="K113" t="str">
        <f t="shared" si="13"/>
        <v>Mg24</v>
      </c>
    </row>
    <row r="114" spans="2:11" hidden="1" x14ac:dyDescent="0.2">
      <c r="B114" s="4">
        <v>12025</v>
      </c>
      <c r="C114" s="4">
        <v>0</v>
      </c>
      <c r="D114">
        <v>0</v>
      </c>
      <c r="E114" t="str">
        <f>VLOOKUP(B114,[1]Nuclides!A:E,5,FALSE)</f>
        <v>Mg25</v>
      </c>
      <c r="F114" t="str">
        <f>VLOOKUP(B114,[1]Nuclides!A:E,4,FALSE)</f>
        <v>STABLE</v>
      </c>
      <c r="G114" t="str">
        <f t="shared" si="9"/>
        <v>STABLE</v>
      </c>
      <c r="H114" t="e">
        <f t="shared" si="10"/>
        <v>#VALUE!</v>
      </c>
      <c r="I114" t="e">
        <f t="shared" si="11"/>
        <v>#VALUE!</v>
      </c>
      <c r="J114" t="e">
        <f t="shared" si="12"/>
        <v>#VALUE!</v>
      </c>
      <c r="K114" t="str">
        <f t="shared" si="13"/>
        <v>Mg25</v>
      </c>
    </row>
    <row r="115" spans="2:11" hidden="1" x14ac:dyDescent="0.2">
      <c r="B115" s="4">
        <v>12026</v>
      </c>
      <c r="C115" s="4">
        <v>0</v>
      </c>
      <c r="D115">
        <v>0</v>
      </c>
      <c r="E115" t="str">
        <f>VLOOKUP(B115,[1]Nuclides!A:E,5,FALSE)</f>
        <v>Mg26</v>
      </c>
      <c r="F115" t="str">
        <f>VLOOKUP(B115,[1]Nuclides!A:E,4,FALSE)</f>
        <v>STABLE</v>
      </c>
      <c r="G115" t="str">
        <f t="shared" si="9"/>
        <v>STABLE</v>
      </c>
      <c r="H115" t="e">
        <f t="shared" si="10"/>
        <v>#VALUE!</v>
      </c>
      <c r="I115" t="e">
        <f t="shared" si="11"/>
        <v>#VALUE!</v>
      </c>
      <c r="J115" t="e">
        <f t="shared" si="12"/>
        <v>#VALUE!</v>
      </c>
      <c r="K115" t="str">
        <f t="shared" si="13"/>
        <v>Mg26</v>
      </c>
    </row>
    <row r="116" spans="2:11" hidden="1" x14ac:dyDescent="0.2">
      <c r="B116" s="4">
        <v>12027</v>
      </c>
      <c r="C116" s="4">
        <v>0</v>
      </c>
      <c r="D116">
        <v>0</v>
      </c>
      <c r="E116" t="str">
        <f>VLOOKUP(B116,[1]Nuclides!A:E,5,FALSE)</f>
        <v>Mg27</v>
      </c>
      <c r="F116">
        <f>VLOOKUP(B116,[1]Nuclides!A:E,4,FALSE)</f>
        <v>567.48</v>
      </c>
      <c r="G116" t="str">
        <f t="shared" si="9"/>
        <v>9.46min</v>
      </c>
      <c r="H116">
        <f t="shared" si="10"/>
        <v>1.2214477700710955E-3</v>
      </c>
      <c r="I116">
        <f t="shared" si="11"/>
        <v>0</v>
      </c>
      <c r="J116">
        <f t="shared" si="12"/>
        <v>0</v>
      </c>
      <c r="K116" t="str">
        <f t="shared" si="13"/>
        <v>Mg27</v>
      </c>
    </row>
    <row r="117" spans="2:11" hidden="1" x14ac:dyDescent="0.2">
      <c r="B117" s="4">
        <v>12028</v>
      </c>
      <c r="C117" s="4">
        <v>0</v>
      </c>
      <c r="D117">
        <v>0</v>
      </c>
      <c r="E117" t="str">
        <f>VLOOKUP(B117,[1]Nuclides!A:E,5,FALSE)</f>
        <v>Mg28</v>
      </c>
      <c r="F117">
        <f>VLOOKUP(B117,[1]Nuclides!A:E,4,FALSE)</f>
        <v>75294</v>
      </c>
      <c r="G117" t="str">
        <f t="shared" si="9"/>
        <v>20.92h</v>
      </c>
      <c r="H117">
        <f t="shared" si="10"/>
        <v>9.2058753759920479E-6</v>
      </c>
      <c r="I117">
        <f t="shared" si="11"/>
        <v>0</v>
      </c>
      <c r="J117">
        <f t="shared" si="12"/>
        <v>0</v>
      </c>
      <c r="K117" t="str">
        <f t="shared" si="13"/>
        <v>Mg28</v>
      </c>
    </row>
    <row r="118" spans="2:11" hidden="1" x14ac:dyDescent="0.2">
      <c r="B118" s="4">
        <v>12029</v>
      </c>
      <c r="C118" s="4">
        <v>0</v>
      </c>
      <c r="D118">
        <v>0</v>
      </c>
      <c r="E118" t="str">
        <f>VLOOKUP(B118,[1]Nuclides!A:E,5,FALSE)</f>
        <v>Mg29</v>
      </c>
      <c r="F118">
        <f>VLOOKUP(B118,[1]Nuclides!A:E,4,FALSE)</f>
        <v>1.3</v>
      </c>
      <c r="G118" t="str">
        <f t="shared" si="9"/>
        <v>1.3s</v>
      </c>
      <c r="H118">
        <f t="shared" si="10"/>
        <v>0.53319013889226563</v>
      </c>
      <c r="I118">
        <f t="shared" si="11"/>
        <v>0</v>
      </c>
      <c r="J118">
        <f t="shared" si="12"/>
        <v>0</v>
      </c>
      <c r="K118" t="str">
        <f t="shared" si="13"/>
        <v>Mg29</v>
      </c>
    </row>
    <row r="119" spans="2:11" hidden="1" x14ac:dyDescent="0.2">
      <c r="B119" s="4">
        <v>12030</v>
      </c>
      <c r="C119" s="4">
        <v>0</v>
      </c>
      <c r="D119">
        <v>0</v>
      </c>
      <c r="E119" t="str">
        <f>VLOOKUP(B119,[1]Nuclides!A:E,5,FALSE)</f>
        <v>Mg30</v>
      </c>
      <c r="F119">
        <f>VLOOKUP(B119,[1]Nuclides!A:E,4,FALSE)</f>
        <v>0.317</v>
      </c>
      <c r="G119" t="str">
        <f t="shared" si="9"/>
        <v>0.317s</v>
      </c>
      <c r="H119">
        <f t="shared" si="10"/>
        <v>2.186584165804244</v>
      </c>
      <c r="I119">
        <f t="shared" si="11"/>
        <v>0</v>
      </c>
      <c r="J119">
        <f t="shared" si="12"/>
        <v>0</v>
      </c>
      <c r="K119" t="str">
        <f t="shared" si="13"/>
        <v>Mg30</v>
      </c>
    </row>
    <row r="120" spans="2:11" hidden="1" x14ac:dyDescent="0.2">
      <c r="B120" s="4">
        <v>12031</v>
      </c>
      <c r="C120" s="4">
        <v>0</v>
      </c>
      <c r="D120">
        <v>0</v>
      </c>
      <c r="E120" t="str">
        <f>VLOOKUP(B120,[1]Nuclides!A:E,5,FALSE)</f>
        <v>Mg31</v>
      </c>
      <c r="F120">
        <f>VLOOKUP(B120,[1]Nuclides!A:E,4,FALSE)</f>
        <v>0.23599999999999999</v>
      </c>
      <c r="G120" t="str">
        <f t="shared" si="9"/>
        <v>0.236s</v>
      </c>
      <c r="H120">
        <f t="shared" si="10"/>
        <v>2.9370643244065482</v>
      </c>
      <c r="I120">
        <f t="shared" si="11"/>
        <v>0</v>
      </c>
      <c r="J120">
        <f t="shared" si="12"/>
        <v>0</v>
      </c>
      <c r="K120" t="str">
        <f t="shared" si="13"/>
        <v>Mg31</v>
      </c>
    </row>
    <row r="121" spans="2:11" hidden="1" x14ac:dyDescent="0.2">
      <c r="B121" s="4">
        <v>12032</v>
      </c>
      <c r="C121" s="4">
        <v>0</v>
      </c>
      <c r="D121">
        <v>0</v>
      </c>
      <c r="E121" t="str">
        <f>VLOOKUP(B121,[1]Nuclides!A:E,5,FALSE)</f>
        <v>Mg32</v>
      </c>
      <c r="F121">
        <f>VLOOKUP(B121,[1]Nuclides!A:E,4,FALSE)</f>
        <v>8.5999999999999993E-2</v>
      </c>
      <c r="G121" t="str">
        <f t="shared" si="9"/>
        <v>0.086s</v>
      </c>
      <c r="H121">
        <f t="shared" si="10"/>
        <v>8.0598509367435511</v>
      </c>
      <c r="I121">
        <f t="shared" si="11"/>
        <v>0</v>
      </c>
      <c r="J121">
        <f t="shared" si="12"/>
        <v>0</v>
      </c>
      <c r="K121" t="str">
        <f t="shared" si="13"/>
        <v>Mg32</v>
      </c>
    </row>
    <row r="122" spans="2:11" hidden="1" x14ac:dyDescent="0.2">
      <c r="B122" s="4">
        <v>12033</v>
      </c>
      <c r="C122" s="4">
        <v>0</v>
      </c>
      <c r="D122">
        <v>0</v>
      </c>
      <c r="E122" t="str">
        <f>VLOOKUP(B122,[1]Nuclides!A:E,5,FALSE)</f>
        <v>Mg33</v>
      </c>
      <c r="F122">
        <f>VLOOKUP(B122,[1]Nuclides!A:E,4,FALSE)</f>
        <v>8.9399999999999993E-2</v>
      </c>
      <c r="G122" t="str">
        <f t="shared" si="9"/>
        <v>0.0894s</v>
      </c>
      <c r="H122">
        <f t="shared" si="10"/>
        <v>7.7533241673371958</v>
      </c>
      <c r="I122">
        <f t="shared" si="11"/>
        <v>0</v>
      </c>
      <c r="J122">
        <f t="shared" si="12"/>
        <v>0</v>
      </c>
      <c r="K122" t="str">
        <f t="shared" si="13"/>
        <v>Mg33</v>
      </c>
    </row>
    <row r="123" spans="2:11" hidden="1" x14ac:dyDescent="0.2">
      <c r="B123" s="4">
        <v>12034</v>
      </c>
      <c r="C123" s="4">
        <v>0</v>
      </c>
      <c r="D123">
        <v>0</v>
      </c>
      <c r="E123" t="str">
        <f>VLOOKUP(B123,[1]Nuclides!A:E,5,FALSE)</f>
        <v>Mg34</v>
      </c>
      <c r="F123">
        <f>VLOOKUP(B123,[1]Nuclides!A:E,4,FALSE)</f>
        <v>0.02</v>
      </c>
      <c r="G123" t="str">
        <f t="shared" si="9"/>
        <v>0.02s</v>
      </c>
      <c r="H123">
        <f t="shared" si="10"/>
        <v>34.657359027997266</v>
      </c>
      <c r="I123">
        <f t="shared" si="11"/>
        <v>0</v>
      </c>
      <c r="J123">
        <f t="shared" si="12"/>
        <v>0</v>
      </c>
      <c r="K123" t="str">
        <f t="shared" si="13"/>
        <v>Mg34</v>
      </c>
    </row>
    <row r="124" spans="2:11" hidden="1" x14ac:dyDescent="0.2">
      <c r="B124" s="4">
        <v>13022</v>
      </c>
      <c r="C124" s="4">
        <v>0</v>
      </c>
      <c r="D124">
        <v>0</v>
      </c>
      <c r="E124" t="str">
        <f>VLOOKUP(B124,[1]Nuclides!A:E,5,FALSE)</f>
        <v>Al22</v>
      </c>
      <c r="F124">
        <f>VLOOKUP(B124,[1]Nuclides!A:E,4,FALSE)</f>
        <v>9.11E-2</v>
      </c>
      <c r="G124" t="str">
        <f t="shared" si="9"/>
        <v>0.0911s</v>
      </c>
      <c r="H124">
        <f t="shared" si="10"/>
        <v>7.6086408403945693</v>
      </c>
      <c r="I124">
        <f t="shared" si="11"/>
        <v>0</v>
      </c>
      <c r="J124">
        <f t="shared" si="12"/>
        <v>0</v>
      </c>
      <c r="K124" t="str">
        <f t="shared" si="13"/>
        <v>Al22</v>
      </c>
    </row>
    <row r="125" spans="2:11" hidden="1" x14ac:dyDescent="0.2">
      <c r="B125" s="4">
        <v>13023</v>
      </c>
      <c r="C125" s="4">
        <v>0</v>
      </c>
      <c r="D125">
        <v>0</v>
      </c>
      <c r="E125" t="str">
        <f>VLOOKUP(B125,[1]Nuclides!A:E,5,FALSE)</f>
        <v>Al23</v>
      </c>
      <c r="F125">
        <f>VLOOKUP(B125,[1]Nuclides!A:E,4,FALSE)</f>
        <v>0.47</v>
      </c>
      <c r="G125" t="str">
        <f t="shared" si="9"/>
        <v>0.47s</v>
      </c>
      <c r="H125">
        <f t="shared" si="10"/>
        <v>1.4747812352339262</v>
      </c>
      <c r="I125">
        <f t="shared" si="11"/>
        <v>0</v>
      </c>
      <c r="J125">
        <f t="shared" si="12"/>
        <v>0</v>
      </c>
      <c r="K125" t="str">
        <f t="shared" si="13"/>
        <v>Al23</v>
      </c>
    </row>
    <row r="126" spans="2:11" hidden="1" x14ac:dyDescent="0.2">
      <c r="B126" s="4">
        <v>13024</v>
      </c>
      <c r="C126" s="4">
        <v>0</v>
      </c>
      <c r="D126">
        <v>0</v>
      </c>
      <c r="E126" t="str">
        <f>VLOOKUP(B126,[1]Nuclides!A:E,5,FALSE)</f>
        <v>Al24</v>
      </c>
      <c r="F126">
        <f>VLOOKUP(B126,[1]Nuclides!A:E,4,FALSE)</f>
        <v>2.0529999999999999</v>
      </c>
      <c r="G126" t="str">
        <f t="shared" si="9"/>
        <v>2.053s</v>
      </c>
      <c r="H126">
        <f t="shared" si="10"/>
        <v>0.33762648833898945</v>
      </c>
      <c r="I126">
        <f t="shared" si="11"/>
        <v>0</v>
      </c>
      <c r="J126">
        <f t="shared" si="12"/>
        <v>0</v>
      </c>
      <c r="K126" t="str">
        <f t="shared" si="13"/>
        <v>Al24</v>
      </c>
    </row>
    <row r="127" spans="2:11" hidden="1" x14ac:dyDescent="0.2">
      <c r="B127" s="4">
        <v>13025</v>
      </c>
      <c r="C127" s="4">
        <v>0</v>
      </c>
      <c r="D127">
        <v>0</v>
      </c>
      <c r="E127" t="str">
        <f>VLOOKUP(B127,[1]Nuclides!A:E,5,FALSE)</f>
        <v>Al25</v>
      </c>
      <c r="F127">
        <f>VLOOKUP(B127,[1]Nuclides!A:E,4,FALSE)</f>
        <v>7.1829999999999998</v>
      </c>
      <c r="G127" t="str">
        <f t="shared" si="9"/>
        <v>7.183s</v>
      </c>
      <c r="H127">
        <f t="shared" si="10"/>
        <v>9.6498284917157909E-2</v>
      </c>
      <c r="I127">
        <f t="shared" si="11"/>
        <v>0</v>
      </c>
      <c r="J127">
        <f t="shared" si="12"/>
        <v>0</v>
      </c>
      <c r="K127" t="str">
        <f t="shared" si="13"/>
        <v>Al25</v>
      </c>
    </row>
    <row r="128" spans="2:11" hidden="1" x14ac:dyDescent="0.2">
      <c r="B128" s="4">
        <v>13026</v>
      </c>
      <c r="C128" s="4">
        <v>0</v>
      </c>
      <c r="D128">
        <v>0</v>
      </c>
      <c r="E128" t="str">
        <f>VLOOKUP(B128,[1]Nuclides!A:E,5,FALSE)</f>
        <v>Al26</v>
      </c>
      <c r="F128">
        <f>VLOOKUP(B128,[1]Nuclides!A:E,4,FALSE)</f>
        <v>22626799200000</v>
      </c>
      <c r="G128" t="str">
        <f t="shared" si="9"/>
        <v>717491.1y</v>
      </c>
      <c r="H128">
        <f t="shared" si="10"/>
        <v>3.0633903383026675E-14</v>
      </c>
      <c r="I128">
        <f t="shared" si="11"/>
        <v>0</v>
      </c>
      <c r="J128">
        <f t="shared" si="12"/>
        <v>0</v>
      </c>
      <c r="K128" t="str">
        <f t="shared" si="13"/>
        <v>Al26</v>
      </c>
    </row>
    <row r="129" spans="2:11" hidden="1" x14ac:dyDescent="0.2">
      <c r="B129" s="4">
        <v>13027</v>
      </c>
      <c r="C129" s="4">
        <v>0</v>
      </c>
      <c r="D129">
        <v>0</v>
      </c>
      <c r="E129" t="str">
        <f>VLOOKUP(B129,[1]Nuclides!A:E,5,FALSE)</f>
        <v>Al27</v>
      </c>
      <c r="F129" t="str">
        <f>VLOOKUP(B129,[1]Nuclides!A:E,4,FALSE)</f>
        <v>STABLE</v>
      </c>
      <c r="G129" t="str">
        <f t="shared" si="9"/>
        <v>STABLE</v>
      </c>
      <c r="H129" t="e">
        <f t="shared" si="10"/>
        <v>#VALUE!</v>
      </c>
      <c r="I129" t="e">
        <f t="shared" si="11"/>
        <v>#VALUE!</v>
      </c>
      <c r="J129" t="e">
        <f t="shared" si="12"/>
        <v>#VALUE!</v>
      </c>
      <c r="K129" t="str">
        <f t="shared" si="13"/>
        <v>Al27</v>
      </c>
    </row>
    <row r="130" spans="2:11" hidden="1" x14ac:dyDescent="0.2">
      <c r="B130" s="4">
        <v>13028</v>
      </c>
      <c r="C130" s="4">
        <v>0</v>
      </c>
      <c r="D130">
        <v>0</v>
      </c>
      <c r="E130" t="str">
        <f>VLOOKUP(B130,[1]Nuclides!A:E,5,FALSE)</f>
        <v>Al28</v>
      </c>
      <c r="F130">
        <f>VLOOKUP(B130,[1]Nuclides!A:E,4,FALSE)</f>
        <v>134.69999999999999</v>
      </c>
      <c r="G130" t="str">
        <f t="shared" si="9"/>
        <v>2.25min</v>
      </c>
      <c r="H130">
        <f t="shared" si="10"/>
        <v>5.1458588014843751E-3</v>
      </c>
      <c r="I130">
        <f t="shared" si="11"/>
        <v>0</v>
      </c>
      <c r="J130">
        <f t="shared" si="12"/>
        <v>0</v>
      </c>
      <c r="K130" t="str">
        <f t="shared" si="13"/>
        <v>Al28</v>
      </c>
    </row>
    <row r="131" spans="2:11" hidden="1" x14ac:dyDescent="0.2">
      <c r="B131" s="4">
        <v>13029</v>
      </c>
      <c r="C131" s="4">
        <v>0</v>
      </c>
      <c r="D131">
        <v>0</v>
      </c>
      <c r="E131" t="str">
        <f>VLOOKUP(B131,[1]Nuclides!A:E,5,FALSE)</f>
        <v>Al29</v>
      </c>
      <c r="F131">
        <f>VLOOKUP(B131,[1]Nuclides!A:E,4,FALSE)</f>
        <v>393.599999999999</v>
      </c>
      <c r="G131" t="str">
        <f t="shared" si="9"/>
        <v>6.56min</v>
      </c>
      <c r="H131">
        <f t="shared" si="10"/>
        <v>1.7610446660567759E-3</v>
      </c>
      <c r="I131">
        <f t="shared" si="11"/>
        <v>0</v>
      </c>
      <c r="J131">
        <f t="shared" si="12"/>
        <v>0</v>
      </c>
      <c r="K131" t="str">
        <f t="shared" si="13"/>
        <v>Al29</v>
      </c>
    </row>
    <row r="132" spans="2:11" hidden="1" x14ac:dyDescent="0.2">
      <c r="B132" s="4">
        <v>13030</v>
      </c>
      <c r="C132" s="4">
        <v>0</v>
      </c>
      <c r="D132">
        <v>0</v>
      </c>
      <c r="E132" t="str">
        <f>VLOOKUP(B132,[1]Nuclides!A:E,5,FALSE)</f>
        <v>Al30</v>
      </c>
      <c r="F132">
        <f>VLOOKUP(B132,[1]Nuclides!A:E,4,FALSE)</f>
        <v>3.62</v>
      </c>
      <c r="G132" t="str">
        <f t="shared" si="9"/>
        <v>3.62s</v>
      </c>
      <c r="H132">
        <f t="shared" si="10"/>
        <v>0.19147712170164233</v>
      </c>
      <c r="I132">
        <f t="shared" si="11"/>
        <v>0</v>
      </c>
      <c r="J132">
        <f t="shared" si="12"/>
        <v>0</v>
      </c>
      <c r="K132" t="str">
        <f t="shared" si="13"/>
        <v>Al30</v>
      </c>
    </row>
    <row r="133" spans="2:11" hidden="1" x14ac:dyDescent="0.2">
      <c r="B133" s="4">
        <v>13031</v>
      </c>
      <c r="C133" s="4">
        <v>0</v>
      </c>
      <c r="D133">
        <v>0</v>
      </c>
      <c r="E133" t="str">
        <f>VLOOKUP(B133,[1]Nuclides!A:E,5,FALSE)</f>
        <v>Al31</v>
      </c>
      <c r="F133">
        <f>VLOOKUP(B133,[1]Nuclides!A:E,4,FALSE)</f>
        <v>0.64400000000000002</v>
      </c>
      <c r="G133" t="str">
        <f t="shared" ref="G133:G196" si="14">IF(F133="STABLE", "STABLE", IF(F133&lt;60, F133&amp;"s", IF(F133&lt;3600, ROUND(F133/60,2)&amp;"min", IF(F133&lt;86400, ROUND(F133/3600,2)&amp;"h", IF(F133&lt;31536000, ROUND(F133/86400,2)&amp;"d", ROUND(F133/31536000,2)&amp;"y")))))</f>
        <v>0.644s</v>
      </c>
      <c r="H133">
        <f t="shared" ref="H133:H196" si="15">LN(2)/F133</f>
        <v>1.0763154977638902</v>
      </c>
      <c r="I133">
        <f t="shared" ref="I133:I196" si="16">60*6240000000000*C133*(1-EXP(-H133*2*3600))</f>
        <v>0</v>
      </c>
      <c r="J133">
        <f t="shared" ref="J133:J196" si="17">I133*EXP(-H133*96*3600)</f>
        <v>0</v>
      </c>
      <c r="K133" t="str">
        <f t="shared" ref="K133:K196" si="18">E133</f>
        <v>Al31</v>
      </c>
    </row>
    <row r="134" spans="2:11" hidden="1" x14ac:dyDescent="0.2">
      <c r="B134" s="4">
        <v>13032</v>
      </c>
      <c r="C134" s="4">
        <v>0</v>
      </c>
      <c r="D134">
        <v>0</v>
      </c>
      <c r="E134" t="str">
        <f>VLOOKUP(B134,[1]Nuclides!A:E,5,FALSE)</f>
        <v>Al32</v>
      </c>
      <c r="F134">
        <f>VLOOKUP(B134,[1]Nuclides!A:E,4,FALSE)</f>
        <v>3.1899999999999998E-2</v>
      </c>
      <c r="G134" t="str">
        <f t="shared" si="14"/>
        <v>0.0319s</v>
      </c>
      <c r="H134">
        <f t="shared" si="15"/>
        <v>21.728751741691077</v>
      </c>
      <c r="I134">
        <f t="shared" si="16"/>
        <v>0</v>
      </c>
      <c r="J134">
        <f t="shared" si="17"/>
        <v>0</v>
      </c>
      <c r="K134" t="str">
        <f t="shared" si="18"/>
        <v>Al32</v>
      </c>
    </row>
    <row r="135" spans="2:11" hidden="1" x14ac:dyDescent="0.2">
      <c r="B135" s="4">
        <v>13033</v>
      </c>
      <c r="C135" s="4">
        <v>0</v>
      </c>
      <c r="D135">
        <v>0</v>
      </c>
      <c r="E135" t="str">
        <f>VLOOKUP(B135,[1]Nuclides!A:E,5,FALSE)</f>
        <v>Al33</v>
      </c>
      <c r="F135">
        <f>VLOOKUP(B135,[1]Nuclides!A:E,4,FALSE)</f>
        <v>4.1700000000000001E-2</v>
      </c>
      <c r="G135" t="str">
        <f t="shared" si="14"/>
        <v>0.0417s</v>
      </c>
      <c r="H135">
        <f t="shared" si="15"/>
        <v>16.622234545802044</v>
      </c>
      <c r="I135">
        <f t="shared" si="16"/>
        <v>0</v>
      </c>
      <c r="J135">
        <f t="shared" si="17"/>
        <v>0</v>
      </c>
      <c r="K135" t="str">
        <f t="shared" si="18"/>
        <v>Al33</v>
      </c>
    </row>
    <row r="136" spans="2:11" hidden="1" x14ac:dyDescent="0.2">
      <c r="B136" s="4">
        <v>13034</v>
      </c>
      <c r="C136" s="4">
        <v>0</v>
      </c>
      <c r="D136">
        <v>0</v>
      </c>
      <c r="E136" t="str">
        <f>VLOOKUP(B136,[1]Nuclides!A:E,5,FALSE)</f>
        <v>Al34</v>
      </c>
      <c r="F136">
        <f>VLOOKUP(B136,[1]Nuclides!A:E,4,FALSE)</f>
        <v>5.6299999999999899E-2</v>
      </c>
      <c r="G136" t="str">
        <f t="shared" si="14"/>
        <v>0.0562999999999999s</v>
      </c>
      <c r="H136">
        <f t="shared" si="15"/>
        <v>12.311672834102071</v>
      </c>
      <c r="I136">
        <f t="shared" si="16"/>
        <v>0</v>
      </c>
      <c r="J136">
        <f t="shared" si="17"/>
        <v>0</v>
      </c>
      <c r="K136" t="str">
        <f t="shared" si="18"/>
        <v>Al34</v>
      </c>
    </row>
    <row r="137" spans="2:11" hidden="1" x14ac:dyDescent="0.2">
      <c r="B137" s="4">
        <v>13035</v>
      </c>
      <c r="C137" s="4">
        <v>0</v>
      </c>
      <c r="D137">
        <v>0</v>
      </c>
      <c r="E137" t="str">
        <f>VLOOKUP(B137,[1]Nuclides!A:E,5,FALSE)</f>
        <v>Al35</v>
      </c>
      <c r="F137">
        <f>VLOOKUP(B137,[1]Nuclides!A:E,4,FALSE)</f>
        <v>3.7600000000000001E-2</v>
      </c>
      <c r="G137" t="str">
        <f t="shared" si="14"/>
        <v>0.0376s</v>
      </c>
      <c r="H137">
        <f t="shared" si="15"/>
        <v>18.434765440424076</v>
      </c>
      <c r="I137">
        <f t="shared" si="16"/>
        <v>0</v>
      </c>
      <c r="J137">
        <f t="shared" si="17"/>
        <v>0</v>
      </c>
      <c r="K137" t="str">
        <f t="shared" si="18"/>
        <v>Al35</v>
      </c>
    </row>
    <row r="138" spans="2:11" hidden="1" x14ac:dyDescent="0.2">
      <c r="B138" s="4">
        <v>14024</v>
      </c>
      <c r="C138" s="4">
        <v>0</v>
      </c>
      <c r="D138">
        <v>0</v>
      </c>
      <c r="E138" t="str">
        <f>VLOOKUP(B138,[1]Nuclides!A:E,5,FALSE)</f>
        <v>Si24</v>
      </c>
      <c r="F138">
        <f>VLOOKUP(B138,[1]Nuclides!A:E,4,FALSE)</f>
        <v>0.14050000000000001</v>
      </c>
      <c r="G138" t="str">
        <f t="shared" si="14"/>
        <v>0.1405s</v>
      </c>
      <c r="H138">
        <f t="shared" si="15"/>
        <v>4.9334318901063714</v>
      </c>
      <c r="I138">
        <f t="shared" si="16"/>
        <v>0</v>
      </c>
      <c r="J138">
        <f t="shared" si="17"/>
        <v>0</v>
      </c>
      <c r="K138" t="str">
        <f t="shared" si="18"/>
        <v>Si24</v>
      </c>
    </row>
    <row r="139" spans="2:11" hidden="1" x14ac:dyDescent="0.2">
      <c r="B139" s="4">
        <v>14025</v>
      </c>
      <c r="C139" s="4">
        <v>0</v>
      </c>
      <c r="D139">
        <v>0</v>
      </c>
      <c r="E139" t="str">
        <f>VLOOKUP(B139,[1]Nuclides!A:E,5,FALSE)</f>
        <v>Si25</v>
      </c>
      <c r="F139">
        <f>VLOOKUP(B139,[1]Nuclides!A:E,4,FALSE)</f>
        <v>0.22</v>
      </c>
      <c r="G139" t="str">
        <f t="shared" si="14"/>
        <v>0.22s</v>
      </c>
      <c r="H139">
        <f t="shared" si="15"/>
        <v>3.150669002545206</v>
      </c>
      <c r="I139">
        <f t="shared" si="16"/>
        <v>0</v>
      </c>
      <c r="J139">
        <f t="shared" si="17"/>
        <v>0</v>
      </c>
      <c r="K139" t="str">
        <f t="shared" si="18"/>
        <v>Si25</v>
      </c>
    </row>
    <row r="140" spans="2:11" hidden="1" x14ac:dyDescent="0.2">
      <c r="B140" s="4">
        <v>14026</v>
      </c>
      <c r="C140" s="4">
        <v>0</v>
      </c>
      <c r="D140">
        <v>0</v>
      </c>
      <c r="E140" t="str">
        <f>VLOOKUP(B140,[1]Nuclides!A:E,5,FALSE)</f>
        <v>Si26</v>
      </c>
      <c r="F140">
        <f>VLOOKUP(B140,[1]Nuclides!A:E,4,FALSE)</f>
        <v>2.2452999999999999</v>
      </c>
      <c r="G140" t="str">
        <f t="shared" si="14"/>
        <v>2.2453s</v>
      </c>
      <c r="H140">
        <f t="shared" si="15"/>
        <v>0.30871027504562659</v>
      </c>
      <c r="I140">
        <f t="shared" si="16"/>
        <v>0</v>
      </c>
      <c r="J140">
        <f t="shared" si="17"/>
        <v>0</v>
      </c>
      <c r="K140" t="str">
        <f t="shared" si="18"/>
        <v>Si26</v>
      </c>
    </row>
    <row r="141" spans="2:11" hidden="1" x14ac:dyDescent="0.2">
      <c r="B141" s="4">
        <v>14027</v>
      </c>
      <c r="C141" s="4">
        <v>0</v>
      </c>
      <c r="D141">
        <v>0</v>
      </c>
      <c r="E141" t="str">
        <f>VLOOKUP(B141,[1]Nuclides!A:E,5,FALSE)</f>
        <v>Si27</v>
      </c>
      <c r="F141">
        <f>VLOOKUP(B141,[1]Nuclides!A:E,4,FALSE)</f>
        <v>4.1500000000000004</v>
      </c>
      <c r="G141" t="str">
        <f t="shared" si="14"/>
        <v>4.15s</v>
      </c>
      <c r="H141">
        <f t="shared" si="15"/>
        <v>0.16702341700239645</v>
      </c>
      <c r="I141">
        <f t="shared" si="16"/>
        <v>0</v>
      </c>
      <c r="J141">
        <f t="shared" si="17"/>
        <v>0</v>
      </c>
      <c r="K141" t="str">
        <f t="shared" si="18"/>
        <v>Si27</v>
      </c>
    </row>
    <row r="142" spans="2:11" hidden="1" x14ac:dyDescent="0.2">
      <c r="B142" s="4">
        <v>14028</v>
      </c>
      <c r="C142" s="4">
        <v>0</v>
      </c>
      <c r="D142">
        <v>0</v>
      </c>
      <c r="E142" t="str">
        <f>VLOOKUP(B142,[1]Nuclides!A:E,5,FALSE)</f>
        <v>Si28</v>
      </c>
      <c r="F142" t="str">
        <f>VLOOKUP(B142,[1]Nuclides!A:E,4,FALSE)</f>
        <v>STABLE</v>
      </c>
      <c r="G142" t="str">
        <f t="shared" si="14"/>
        <v>STABLE</v>
      </c>
      <c r="H142" t="e">
        <f t="shared" si="15"/>
        <v>#VALUE!</v>
      </c>
      <c r="I142" t="e">
        <f t="shared" si="16"/>
        <v>#VALUE!</v>
      </c>
      <c r="J142" t="e">
        <f t="shared" si="17"/>
        <v>#VALUE!</v>
      </c>
      <c r="K142" t="str">
        <f t="shared" si="18"/>
        <v>Si28</v>
      </c>
    </row>
    <row r="143" spans="2:11" hidden="1" x14ac:dyDescent="0.2">
      <c r="B143" s="4">
        <v>14029</v>
      </c>
      <c r="C143" s="4">
        <v>0</v>
      </c>
      <c r="D143">
        <v>0</v>
      </c>
      <c r="E143" t="str">
        <f>VLOOKUP(B143,[1]Nuclides!A:E,5,FALSE)</f>
        <v>Si29</v>
      </c>
      <c r="F143" t="str">
        <f>VLOOKUP(B143,[1]Nuclides!A:E,4,FALSE)</f>
        <v>STABLE</v>
      </c>
      <c r="G143" t="str">
        <f t="shared" si="14"/>
        <v>STABLE</v>
      </c>
      <c r="H143" t="e">
        <f t="shared" si="15"/>
        <v>#VALUE!</v>
      </c>
      <c r="I143" t="e">
        <f t="shared" si="16"/>
        <v>#VALUE!</v>
      </c>
      <c r="J143" t="e">
        <f t="shared" si="17"/>
        <v>#VALUE!</v>
      </c>
      <c r="K143" t="str">
        <f t="shared" si="18"/>
        <v>Si29</v>
      </c>
    </row>
    <row r="144" spans="2:11" hidden="1" x14ac:dyDescent="0.2">
      <c r="B144" s="4">
        <v>14030</v>
      </c>
      <c r="C144" s="4">
        <v>0</v>
      </c>
      <c r="D144">
        <v>0</v>
      </c>
      <c r="E144" t="str">
        <f>VLOOKUP(B144,[1]Nuclides!A:E,5,FALSE)</f>
        <v>Si30</v>
      </c>
      <c r="F144" t="str">
        <f>VLOOKUP(B144,[1]Nuclides!A:E,4,FALSE)</f>
        <v>STABLE</v>
      </c>
      <c r="G144" t="str">
        <f t="shared" si="14"/>
        <v>STABLE</v>
      </c>
      <c r="H144" t="e">
        <f t="shared" si="15"/>
        <v>#VALUE!</v>
      </c>
      <c r="I144" t="e">
        <f t="shared" si="16"/>
        <v>#VALUE!</v>
      </c>
      <c r="J144" t="e">
        <f t="shared" si="17"/>
        <v>#VALUE!</v>
      </c>
      <c r="K144" t="str">
        <f t="shared" si="18"/>
        <v>Si30</v>
      </c>
    </row>
    <row r="145" spans="2:11" hidden="1" x14ac:dyDescent="0.2">
      <c r="B145" s="4">
        <v>14031</v>
      </c>
      <c r="C145" s="4">
        <v>0</v>
      </c>
      <c r="D145">
        <v>0</v>
      </c>
      <c r="E145" t="str">
        <f>VLOOKUP(B145,[1]Nuclides!A:E,5,FALSE)</f>
        <v>Si31</v>
      </c>
      <c r="F145">
        <f>VLOOKUP(B145,[1]Nuclides!A:E,4,FALSE)</f>
        <v>9441.6</v>
      </c>
      <c r="G145" t="str">
        <f t="shared" si="14"/>
        <v>2.62h</v>
      </c>
      <c r="H145">
        <f t="shared" si="15"/>
        <v>7.3414165031344817E-5</v>
      </c>
      <c r="I145">
        <f t="shared" si="16"/>
        <v>0</v>
      </c>
      <c r="J145">
        <f t="shared" si="17"/>
        <v>0</v>
      </c>
      <c r="K145" t="str">
        <f t="shared" si="18"/>
        <v>Si31</v>
      </c>
    </row>
    <row r="146" spans="2:11" hidden="1" x14ac:dyDescent="0.2">
      <c r="B146" s="4">
        <v>14032</v>
      </c>
      <c r="C146" s="4">
        <v>0</v>
      </c>
      <c r="D146">
        <v>0</v>
      </c>
      <c r="E146" t="str">
        <f>VLOOKUP(B146,[1]Nuclides!A:E,5,FALSE)</f>
        <v>Si32</v>
      </c>
      <c r="F146">
        <f>VLOOKUP(B146,[1]Nuclides!A:E,4,FALSE)</f>
        <v>4828312800</v>
      </c>
      <c r="G146" t="str">
        <f t="shared" si="14"/>
        <v>153.1y</v>
      </c>
      <c r="H146">
        <f t="shared" si="15"/>
        <v>1.4355888055967404E-10</v>
      </c>
      <c r="I146">
        <f t="shared" si="16"/>
        <v>0</v>
      </c>
      <c r="J146">
        <f t="shared" si="17"/>
        <v>0</v>
      </c>
      <c r="K146" t="str">
        <f t="shared" si="18"/>
        <v>Si32</v>
      </c>
    </row>
    <row r="147" spans="2:11" hidden="1" x14ac:dyDescent="0.2">
      <c r="B147" s="4">
        <v>14033</v>
      </c>
      <c r="C147" s="4">
        <v>0</v>
      </c>
      <c r="D147">
        <v>0</v>
      </c>
      <c r="E147" t="str">
        <f>VLOOKUP(B147,[1]Nuclides!A:E,5,FALSE)</f>
        <v>Si33</v>
      </c>
      <c r="F147">
        <f>VLOOKUP(B147,[1]Nuclides!A:E,4,FALSE)</f>
        <v>6.11</v>
      </c>
      <c r="G147" t="str">
        <f t="shared" si="14"/>
        <v>6.11s</v>
      </c>
      <c r="H147">
        <f t="shared" si="15"/>
        <v>0.1134447104026097</v>
      </c>
      <c r="I147">
        <f t="shared" si="16"/>
        <v>0</v>
      </c>
      <c r="J147">
        <f t="shared" si="17"/>
        <v>0</v>
      </c>
      <c r="K147" t="str">
        <f t="shared" si="18"/>
        <v>Si33</v>
      </c>
    </row>
    <row r="148" spans="2:11" hidden="1" x14ac:dyDescent="0.2">
      <c r="B148" s="4">
        <v>14034</v>
      </c>
      <c r="C148" s="4">
        <v>0</v>
      </c>
      <c r="D148">
        <v>0</v>
      </c>
      <c r="E148" t="str">
        <f>VLOOKUP(B148,[1]Nuclides!A:E,5,FALSE)</f>
        <v>Si34</v>
      </c>
      <c r="F148">
        <f>VLOOKUP(B148,[1]Nuclides!A:E,4,FALSE)</f>
        <v>2.77</v>
      </c>
      <c r="G148" t="str">
        <f t="shared" si="14"/>
        <v>2.77s</v>
      </c>
      <c r="H148">
        <f t="shared" si="15"/>
        <v>0.25023363919131597</v>
      </c>
      <c r="I148">
        <f t="shared" si="16"/>
        <v>0</v>
      </c>
      <c r="J148">
        <f t="shared" si="17"/>
        <v>0</v>
      </c>
      <c r="K148" t="str">
        <f t="shared" si="18"/>
        <v>Si34</v>
      </c>
    </row>
    <row r="149" spans="2:11" hidden="1" x14ac:dyDescent="0.2">
      <c r="B149" s="4">
        <v>14035</v>
      </c>
      <c r="C149" s="4">
        <v>0</v>
      </c>
      <c r="D149">
        <v>0</v>
      </c>
      <c r="E149" t="str">
        <f>VLOOKUP(B149,[1]Nuclides!A:E,5,FALSE)</f>
        <v>Si35</v>
      </c>
      <c r="F149">
        <f>VLOOKUP(B149,[1]Nuclides!A:E,4,FALSE)</f>
        <v>0.78</v>
      </c>
      <c r="G149" t="str">
        <f t="shared" si="14"/>
        <v>0.78s</v>
      </c>
      <c r="H149">
        <f t="shared" si="15"/>
        <v>0.88865023148710931</v>
      </c>
      <c r="I149">
        <f t="shared" si="16"/>
        <v>0</v>
      </c>
      <c r="J149">
        <f t="shared" si="17"/>
        <v>0</v>
      </c>
      <c r="K149" t="str">
        <f t="shared" si="18"/>
        <v>Si35</v>
      </c>
    </row>
    <row r="150" spans="2:11" hidden="1" x14ac:dyDescent="0.2">
      <c r="B150" s="4">
        <v>14036</v>
      </c>
      <c r="C150" s="4">
        <v>0</v>
      </c>
      <c r="D150">
        <v>0</v>
      </c>
      <c r="E150" t="str">
        <f>VLOOKUP(B150,[1]Nuclides!A:E,5,FALSE)</f>
        <v>Si36</v>
      </c>
      <c r="F150">
        <f>VLOOKUP(B150,[1]Nuclides!A:E,4,FALSE)</f>
        <v>0.45</v>
      </c>
      <c r="G150" t="str">
        <f t="shared" si="14"/>
        <v>0.45s</v>
      </c>
      <c r="H150">
        <f t="shared" si="15"/>
        <v>1.5403270679109895</v>
      </c>
      <c r="I150">
        <f t="shared" si="16"/>
        <v>0</v>
      </c>
      <c r="J150">
        <f t="shared" si="17"/>
        <v>0</v>
      </c>
      <c r="K150" t="str">
        <f t="shared" si="18"/>
        <v>Si36</v>
      </c>
    </row>
    <row r="151" spans="2:11" hidden="1" x14ac:dyDescent="0.2">
      <c r="B151" s="4">
        <v>14037</v>
      </c>
      <c r="C151" s="4">
        <v>0</v>
      </c>
      <c r="D151">
        <v>0</v>
      </c>
      <c r="E151" t="str">
        <f>VLOOKUP(B151,[1]Nuclides!A:E,5,FALSE)</f>
        <v>Si37</v>
      </c>
      <c r="F151">
        <f>VLOOKUP(B151,[1]Nuclides!A:E,4,FALSE)</f>
        <v>0.09</v>
      </c>
      <c r="G151" t="str">
        <f t="shared" si="14"/>
        <v>0.09s</v>
      </c>
      <c r="H151">
        <f t="shared" si="15"/>
        <v>7.7016353395549482</v>
      </c>
      <c r="I151">
        <f t="shared" si="16"/>
        <v>0</v>
      </c>
      <c r="J151">
        <f t="shared" si="17"/>
        <v>0</v>
      </c>
      <c r="K151" t="str">
        <f t="shared" si="18"/>
        <v>Si37</v>
      </c>
    </row>
    <row r="152" spans="2:11" hidden="1" x14ac:dyDescent="0.2">
      <c r="B152" s="4">
        <v>14038</v>
      </c>
      <c r="C152" s="4">
        <v>0</v>
      </c>
      <c r="D152">
        <v>0</v>
      </c>
      <c r="E152" t="str">
        <f>VLOOKUP(B152,[1]Nuclides!A:E,5,FALSE)</f>
        <v>Si38</v>
      </c>
      <c r="F152">
        <f>VLOOKUP(B152,[1]Nuclides!A:E,4,FALSE)</f>
        <v>9.5000000000000001E-2</v>
      </c>
      <c r="G152" t="str">
        <f t="shared" si="14"/>
        <v>0.095s</v>
      </c>
      <c r="H152">
        <f t="shared" si="15"/>
        <v>7.2962861111573183</v>
      </c>
      <c r="I152">
        <f t="shared" si="16"/>
        <v>0</v>
      </c>
      <c r="J152">
        <f t="shared" si="17"/>
        <v>0</v>
      </c>
      <c r="K152" t="str">
        <f t="shared" si="18"/>
        <v>Si38</v>
      </c>
    </row>
    <row r="153" spans="2:11" hidden="1" x14ac:dyDescent="0.2">
      <c r="B153" s="4">
        <v>14039</v>
      </c>
      <c r="C153" s="4">
        <v>0</v>
      </c>
      <c r="D153">
        <v>0</v>
      </c>
      <c r="E153" t="str">
        <f>VLOOKUP(B153,[1]Nuclides!A:E,5,FALSE)</f>
        <v>Si39</v>
      </c>
      <c r="F153">
        <f>VLOOKUP(B153,[1]Nuclides!A:E,4,FALSE)</f>
        <v>4.7500000000000001E-2</v>
      </c>
      <c r="G153" t="str">
        <f t="shared" si="14"/>
        <v>0.0475s</v>
      </c>
      <c r="H153">
        <f t="shared" si="15"/>
        <v>14.592572222314637</v>
      </c>
      <c r="I153">
        <f t="shared" si="16"/>
        <v>0</v>
      </c>
      <c r="J153">
        <f t="shared" si="17"/>
        <v>0</v>
      </c>
      <c r="K153" t="str">
        <f t="shared" si="18"/>
        <v>Si39</v>
      </c>
    </row>
    <row r="154" spans="2:11" hidden="1" x14ac:dyDescent="0.2">
      <c r="B154" s="4">
        <v>15026</v>
      </c>
      <c r="C154" s="4">
        <v>0</v>
      </c>
      <c r="D154">
        <v>0</v>
      </c>
      <c r="E154" t="str">
        <f>VLOOKUP(B154,[1]Nuclides!A:E,5,FALSE)</f>
        <v>P26</v>
      </c>
      <c r="F154">
        <f>VLOOKUP(B154,[1]Nuclides!A:E,4,FALSE)</f>
        <v>4.3700000000000003E-2</v>
      </c>
      <c r="G154" t="str">
        <f t="shared" si="14"/>
        <v>0.0437s</v>
      </c>
      <c r="H154">
        <f t="shared" si="15"/>
        <v>15.86149154599417</v>
      </c>
      <c r="I154">
        <f t="shared" si="16"/>
        <v>0</v>
      </c>
      <c r="J154">
        <f t="shared" si="17"/>
        <v>0</v>
      </c>
      <c r="K154" t="str">
        <f t="shared" si="18"/>
        <v>P26</v>
      </c>
    </row>
    <row r="155" spans="2:11" hidden="1" x14ac:dyDescent="0.2">
      <c r="B155" s="4">
        <v>15027</v>
      </c>
      <c r="C155" s="4">
        <v>0</v>
      </c>
      <c r="D155">
        <v>0</v>
      </c>
      <c r="E155" t="str">
        <f>VLOOKUP(B155,[1]Nuclides!A:E,5,FALSE)</f>
        <v>P27</v>
      </c>
      <c r="F155">
        <f>VLOOKUP(B155,[1]Nuclides!A:E,4,FALSE)</f>
        <v>0.26</v>
      </c>
      <c r="G155" t="str">
        <f t="shared" si="14"/>
        <v>0.26s</v>
      </c>
      <c r="H155">
        <f t="shared" si="15"/>
        <v>2.665950694461328</v>
      </c>
      <c r="I155">
        <f t="shared" si="16"/>
        <v>0</v>
      </c>
      <c r="J155">
        <f t="shared" si="17"/>
        <v>0</v>
      </c>
      <c r="K155" t="str">
        <f t="shared" si="18"/>
        <v>P27</v>
      </c>
    </row>
    <row r="156" spans="2:11" hidden="1" x14ac:dyDescent="0.2">
      <c r="B156" s="4">
        <v>15028</v>
      </c>
      <c r="C156" s="4">
        <v>0</v>
      </c>
      <c r="D156">
        <v>0</v>
      </c>
      <c r="E156" t="str">
        <f>VLOOKUP(B156,[1]Nuclides!A:E,5,FALSE)</f>
        <v>P28</v>
      </c>
      <c r="F156">
        <f>VLOOKUP(B156,[1]Nuclides!A:E,4,FALSE)</f>
        <v>0.27029999999999998</v>
      </c>
      <c r="G156" t="str">
        <f t="shared" si="14"/>
        <v>0.2703s</v>
      </c>
      <c r="H156">
        <f t="shared" si="15"/>
        <v>2.5643624881980958</v>
      </c>
      <c r="I156">
        <f t="shared" si="16"/>
        <v>0</v>
      </c>
      <c r="J156">
        <f t="shared" si="17"/>
        <v>0</v>
      </c>
      <c r="K156" t="str">
        <f t="shared" si="18"/>
        <v>P28</v>
      </c>
    </row>
    <row r="157" spans="2:11" hidden="1" x14ac:dyDescent="0.2">
      <c r="B157" s="4">
        <v>15029</v>
      </c>
      <c r="C157" s="4">
        <v>0</v>
      </c>
      <c r="D157">
        <v>0</v>
      </c>
      <c r="E157" t="str">
        <f>VLOOKUP(B157,[1]Nuclides!A:E,5,FALSE)</f>
        <v>P29</v>
      </c>
      <c r="F157">
        <f>VLOOKUP(B157,[1]Nuclides!A:E,4,FALSE)</f>
        <v>4.1420000000000003</v>
      </c>
      <c r="G157" t="str">
        <f t="shared" si="14"/>
        <v>4.142s</v>
      </c>
      <c r="H157">
        <f t="shared" si="15"/>
        <v>0.16734601172379171</v>
      </c>
      <c r="I157">
        <f t="shared" si="16"/>
        <v>0</v>
      </c>
      <c r="J157">
        <f t="shared" si="17"/>
        <v>0</v>
      </c>
      <c r="K157" t="str">
        <f t="shared" si="18"/>
        <v>P29</v>
      </c>
    </row>
    <row r="158" spans="2:11" hidden="1" x14ac:dyDescent="0.2">
      <c r="B158" s="4">
        <v>15030</v>
      </c>
      <c r="C158" s="4">
        <v>0</v>
      </c>
      <c r="D158">
        <v>0</v>
      </c>
      <c r="E158" t="str">
        <f>VLOOKUP(B158,[1]Nuclides!A:E,5,FALSE)</f>
        <v>P30</v>
      </c>
      <c r="F158">
        <f>VLOOKUP(B158,[1]Nuclides!A:E,4,FALSE)</f>
        <v>149.88</v>
      </c>
      <c r="G158" t="str">
        <f t="shared" si="14"/>
        <v>2.5min</v>
      </c>
      <c r="H158">
        <f t="shared" si="15"/>
        <v>4.6246809484917625E-3</v>
      </c>
      <c r="I158">
        <f t="shared" si="16"/>
        <v>0</v>
      </c>
      <c r="J158">
        <f t="shared" si="17"/>
        <v>0</v>
      </c>
      <c r="K158" t="str">
        <f t="shared" si="18"/>
        <v>P30</v>
      </c>
    </row>
    <row r="159" spans="2:11" hidden="1" x14ac:dyDescent="0.2">
      <c r="B159" s="4">
        <v>15031</v>
      </c>
      <c r="C159" s="4">
        <v>0</v>
      </c>
      <c r="D159">
        <v>0</v>
      </c>
      <c r="E159" t="str">
        <f>VLOOKUP(B159,[1]Nuclides!A:E,5,FALSE)</f>
        <v>P31</v>
      </c>
      <c r="F159" t="str">
        <f>VLOOKUP(B159,[1]Nuclides!A:E,4,FALSE)</f>
        <v>STABLE</v>
      </c>
      <c r="G159" t="str">
        <f t="shared" si="14"/>
        <v>STABLE</v>
      </c>
      <c r="H159" t="e">
        <f t="shared" si="15"/>
        <v>#VALUE!</v>
      </c>
      <c r="I159" t="e">
        <f t="shared" si="16"/>
        <v>#VALUE!</v>
      </c>
      <c r="J159" t="e">
        <f t="shared" si="17"/>
        <v>#VALUE!</v>
      </c>
      <c r="K159" t="str">
        <f t="shared" si="18"/>
        <v>P31</v>
      </c>
    </row>
    <row r="160" spans="2:11" hidden="1" x14ac:dyDescent="0.2">
      <c r="B160" s="4">
        <v>15032</v>
      </c>
      <c r="C160" s="4">
        <v>0</v>
      </c>
      <c r="D160">
        <v>0</v>
      </c>
      <c r="E160" t="str">
        <f>VLOOKUP(B160,[1]Nuclides!A:E,5,FALSE)</f>
        <v>P32</v>
      </c>
      <c r="F160">
        <f>VLOOKUP(B160,[1]Nuclides!A:E,4,FALSE)</f>
        <v>1232755.2</v>
      </c>
      <c r="G160" t="str">
        <f t="shared" si="14"/>
        <v>14.27d</v>
      </c>
      <c r="H160">
        <f t="shared" si="15"/>
        <v>5.6227479759156183E-7</v>
      </c>
      <c r="I160">
        <f t="shared" si="16"/>
        <v>0</v>
      </c>
      <c r="J160">
        <f t="shared" si="17"/>
        <v>0</v>
      </c>
      <c r="K160" t="str">
        <f t="shared" si="18"/>
        <v>P32</v>
      </c>
    </row>
    <row r="161" spans="2:11" hidden="1" x14ac:dyDescent="0.2">
      <c r="B161" s="4">
        <v>15033</v>
      </c>
      <c r="C161" s="4">
        <v>0</v>
      </c>
      <c r="D161">
        <v>0</v>
      </c>
      <c r="E161" t="str">
        <f>VLOOKUP(B161,[1]Nuclides!A:E,5,FALSE)</f>
        <v>P33</v>
      </c>
      <c r="F161">
        <f>VLOOKUP(B161,[1]Nuclides!A:E,4,FALSE)</f>
        <v>2190240</v>
      </c>
      <c r="G161" t="str">
        <f t="shared" si="14"/>
        <v>25.35d</v>
      </c>
      <c r="H161">
        <f t="shared" si="15"/>
        <v>3.1647088015922699E-7</v>
      </c>
      <c r="I161">
        <f t="shared" si="16"/>
        <v>0</v>
      </c>
      <c r="J161">
        <f t="shared" si="17"/>
        <v>0</v>
      </c>
      <c r="K161" t="str">
        <f t="shared" si="18"/>
        <v>P33</v>
      </c>
    </row>
    <row r="162" spans="2:11" hidden="1" x14ac:dyDescent="0.2">
      <c r="B162" s="4">
        <v>15034</v>
      </c>
      <c r="C162" s="4">
        <v>0</v>
      </c>
      <c r="D162">
        <v>0</v>
      </c>
      <c r="E162" t="str">
        <f>VLOOKUP(B162,[1]Nuclides!A:E,5,FALSE)</f>
        <v>P34</v>
      </c>
      <c r="F162">
        <f>VLOOKUP(B162,[1]Nuclides!A:E,4,FALSE)</f>
        <v>12.43</v>
      </c>
      <c r="G162" t="str">
        <f t="shared" si="14"/>
        <v>12.43s</v>
      </c>
      <c r="H162">
        <f t="shared" si="15"/>
        <v>5.5764053142393022E-2</v>
      </c>
      <c r="I162">
        <f t="shared" si="16"/>
        <v>0</v>
      </c>
      <c r="J162">
        <f t="shared" si="17"/>
        <v>0</v>
      </c>
      <c r="K162" t="str">
        <f t="shared" si="18"/>
        <v>P34</v>
      </c>
    </row>
    <row r="163" spans="2:11" hidden="1" x14ac:dyDescent="0.2">
      <c r="B163" s="4">
        <v>15035</v>
      </c>
      <c r="C163" s="4">
        <v>0</v>
      </c>
      <c r="D163">
        <v>0</v>
      </c>
      <c r="E163" t="str">
        <f>VLOOKUP(B163,[1]Nuclides!A:E,5,FALSE)</f>
        <v>P35</v>
      </c>
      <c r="F163">
        <f>VLOOKUP(B163,[1]Nuclides!A:E,4,FALSE)</f>
        <v>47.3</v>
      </c>
      <c r="G163" t="str">
        <f t="shared" si="14"/>
        <v>47.3s</v>
      </c>
      <c r="H163">
        <f t="shared" si="15"/>
        <v>1.4654274430442819E-2</v>
      </c>
      <c r="I163">
        <f t="shared" si="16"/>
        <v>0</v>
      </c>
      <c r="J163">
        <f t="shared" si="17"/>
        <v>0</v>
      </c>
      <c r="K163" t="str">
        <f t="shared" si="18"/>
        <v>P35</v>
      </c>
    </row>
    <row r="164" spans="2:11" hidden="1" x14ac:dyDescent="0.2">
      <c r="B164" s="4">
        <v>15036</v>
      </c>
      <c r="C164" s="4">
        <v>0</v>
      </c>
      <c r="D164">
        <v>0</v>
      </c>
      <c r="E164" t="str">
        <f>VLOOKUP(B164,[1]Nuclides!A:E,5,FALSE)</f>
        <v>P36</v>
      </c>
      <c r="F164">
        <f>VLOOKUP(B164,[1]Nuclides!A:E,4,FALSE)</f>
        <v>5.6</v>
      </c>
      <c r="G164" t="str">
        <f t="shared" si="14"/>
        <v>5.6s</v>
      </c>
      <c r="H164">
        <f t="shared" si="15"/>
        <v>0.12377628224284738</v>
      </c>
      <c r="I164">
        <f t="shared" si="16"/>
        <v>0</v>
      </c>
      <c r="J164">
        <f t="shared" si="17"/>
        <v>0</v>
      </c>
      <c r="K164" t="str">
        <f t="shared" si="18"/>
        <v>P36</v>
      </c>
    </row>
    <row r="165" spans="2:11" hidden="1" x14ac:dyDescent="0.2">
      <c r="B165" s="4">
        <v>15037</v>
      </c>
      <c r="C165" s="4">
        <v>0</v>
      </c>
      <c r="D165">
        <v>0</v>
      </c>
      <c r="E165" t="str">
        <f>VLOOKUP(B165,[1]Nuclides!A:E,5,FALSE)</f>
        <v>P37</v>
      </c>
      <c r="F165">
        <f>VLOOKUP(B165,[1]Nuclides!A:E,4,FALSE)</f>
        <v>2.31</v>
      </c>
      <c r="G165" t="str">
        <f t="shared" si="14"/>
        <v>2.31s</v>
      </c>
      <c r="H165">
        <f t="shared" si="15"/>
        <v>0.30006371452811481</v>
      </c>
      <c r="I165">
        <f t="shared" si="16"/>
        <v>0</v>
      </c>
      <c r="J165">
        <f t="shared" si="17"/>
        <v>0</v>
      </c>
      <c r="K165" t="str">
        <f t="shared" si="18"/>
        <v>P37</v>
      </c>
    </row>
    <row r="166" spans="2:11" hidden="1" x14ac:dyDescent="0.2">
      <c r="B166" s="4">
        <v>15038</v>
      </c>
      <c r="C166" s="4">
        <v>0</v>
      </c>
      <c r="D166">
        <v>0</v>
      </c>
      <c r="E166" t="str">
        <f>VLOOKUP(B166,[1]Nuclides!A:E,5,FALSE)</f>
        <v>P38</v>
      </c>
      <c r="F166">
        <f>VLOOKUP(B166,[1]Nuclides!A:E,4,FALSE)</f>
        <v>0.64</v>
      </c>
      <c r="G166" t="str">
        <f t="shared" si="14"/>
        <v>0.64s</v>
      </c>
      <c r="H166">
        <f t="shared" si="15"/>
        <v>1.0830424696249146</v>
      </c>
      <c r="I166">
        <f t="shared" si="16"/>
        <v>0</v>
      </c>
      <c r="J166">
        <f t="shared" si="17"/>
        <v>0</v>
      </c>
      <c r="K166" t="str">
        <f t="shared" si="18"/>
        <v>P38</v>
      </c>
    </row>
    <row r="167" spans="2:11" hidden="1" x14ac:dyDescent="0.2">
      <c r="B167" s="4">
        <v>15039</v>
      </c>
      <c r="C167" s="4">
        <v>0</v>
      </c>
      <c r="D167">
        <v>0</v>
      </c>
      <c r="E167" t="str">
        <f>VLOOKUP(B167,[1]Nuclides!A:E,5,FALSE)</f>
        <v>P39</v>
      </c>
      <c r="F167">
        <f>VLOOKUP(B167,[1]Nuclides!A:E,4,FALSE)</f>
        <v>0.28000000000000003</v>
      </c>
      <c r="G167" t="str">
        <f t="shared" si="14"/>
        <v>0.28s</v>
      </c>
      <c r="H167">
        <f t="shared" si="15"/>
        <v>2.4755256448569471</v>
      </c>
      <c r="I167">
        <f t="shared" si="16"/>
        <v>0</v>
      </c>
      <c r="J167">
        <f t="shared" si="17"/>
        <v>0</v>
      </c>
      <c r="K167" t="str">
        <f t="shared" si="18"/>
        <v>P39</v>
      </c>
    </row>
    <row r="168" spans="2:11" hidden="1" x14ac:dyDescent="0.2">
      <c r="B168" s="4">
        <v>15040</v>
      </c>
      <c r="C168" s="4">
        <v>0</v>
      </c>
      <c r="D168">
        <v>0</v>
      </c>
      <c r="E168" t="str">
        <f>VLOOKUP(B168,[1]Nuclides!A:E,5,FALSE)</f>
        <v>P40</v>
      </c>
      <c r="F168">
        <f>VLOOKUP(B168,[1]Nuclides!A:E,4,FALSE)</f>
        <v>0.15</v>
      </c>
      <c r="G168" t="str">
        <f t="shared" si="14"/>
        <v>0.15s</v>
      </c>
      <c r="H168">
        <f t="shared" si="15"/>
        <v>4.6209812037329687</v>
      </c>
      <c r="I168">
        <f t="shared" si="16"/>
        <v>0</v>
      </c>
      <c r="J168">
        <f t="shared" si="17"/>
        <v>0</v>
      </c>
      <c r="K168" t="str">
        <f t="shared" si="18"/>
        <v>P40</v>
      </c>
    </row>
    <row r="169" spans="2:11" hidden="1" x14ac:dyDescent="0.2">
      <c r="B169" s="4">
        <v>15041</v>
      </c>
      <c r="C169" s="4">
        <v>0</v>
      </c>
      <c r="D169">
        <v>0</v>
      </c>
      <c r="E169" t="str">
        <f>VLOOKUP(B169,[1]Nuclides!A:E,5,FALSE)</f>
        <v>P41</v>
      </c>
      <c r="F169">
        <f>VLOOKUP(B169,[1]Nuclides!A:E,4,FALSE)</f>
        <v>0.10100000000000001</v>
      </c>
      <c r="G169" t="str">
        <f t="shared" si="14"/>
        <v>0.101s</v>
      </c>
      <c r="H169">
        <f t="shared" si="15"/>
        <v>6.8628433718806461</v>
      </c>
      <c r="I169">
        <f t="shared" si="16"/>
        <v>0</v>
      </c>
      <c r="J169">
        <f t="shared" si="17"/>
        <v>0</v>
      </c>
      <c r="K169" t="str">
        <f t="shared" si="18"/>
        <v>P41</v>
      </c>
    </row>
    <row r="170" spans="2:11" hidden="1" x14ac:dyDescent="0.2">
      <c r="B170" s="4">
        <v>15042</v>
      </c>
      <c r="C170" s="4">
        <v>0</v>
      </c>
      <c r="D170">
        <v>0</v>
      </c>
      <c r="E170" t="str">
        <f>VLOOKUP(B170,[1]Nuclides!A:E,5,FALSE)</f>
        <v>P42</v>
      </c>
      <c r="F170">
        <f>VLOOKUP(B170,[1]Nuclides!A:E,4,FALSE)</f>
        <v>4.8500000000000001E-2</v>
      </c>
      <c r="G170" t="str">
        <f t="shared" si="14"/>
        <v>0.0485s</v>
      </c>
      <c r="H170">
        <f t="shared" si="15"/>
        <v>14.291694444534954</v>
      </c>
      <c r="I170">
        <f t="shared" si="16"/>
        <v>0</v>
      </c>
      <c r="J170">
        <f t="shared" si="17"/>
        <v>0</v>
      </c>
      <c r="K170" t="str">
        <f t="shared" si="18"/>
        <v>P42</v>
      </c>
    </row>
    <row r="171" spans="2:11" hidden="1" x14ac:dyDescent="0.2">
      <c r="B171" s="4">
        <v>16029</v>
      </c>
      <c r="C171" s="4">
        <v>0</v>
      </c>
      <c r="D171">
        <v>0</v>
      </c>
      <c r="E171" t="str">
        <f>VLOOKUP(B171,[1]Nuclides!A:E,5,FALSE)</f>
        <v>S29</v>
      </c>
      <c r="F171">
        <f>VLOOKUP(B171,[1]Nuclides!A:E,4,FALSE)</f>
        <v>0.188</v>
      </c>
      <c r="G171" t="str">
        <f t="shared" si="14"/>
        <v>0.188s</v>
      </c>
      <c r="H171">
        <f t="shared" si="15"/>
        <v>3.6869530880848154</v>
      </c>
      <c r="I171">
        <f t="shared" si="16"/>
        <v>0</v>
      </c>
      <c r="J171">
        <f t="shared" si="17"/>
        <v>0</v>
      </c>
      <c r="K171" t="str">
        <f t="shared" si="18"/>
        <v>S29</v>
      </c>
    </row>
    <row r="172" spans="2:11" hidden="1" x14ac:dyDescent="0.2">
      <c r="B172" s="4">
        <v>16030</v>
      </c>
      <c r="C172" s="4">
        <v>0</v>
      </c>
      <c r="D172">
        <v>0</v>
      </c>
      <c r="E172" t="str">
        <f>VLOOKUP(B172,[1]Nuclides!A:E,5,FALSE)</f>
        <v>S30</v>
      </c>
      <c r="F172">
        <f>VLOOKUP(B172,[1]Nuclides!A:E,4,FALSE)</f>
        <v>1.1779999999999999</v>
      </c>
      <c r="G172" t="str">
        <f t="shared" si="14"/>
        <v>1.178s</v>
      </c>
      <c r="H172">
        <f t="shared" si="15"/>
        <v>0.5884101702546225</v>
      </c>
      <c r="I172">
        <f t="shared" si="16"/>
        <v>0</v>
      </c>
      <c r="J172">
        <f t="shared" si="17"/>
        <v>0</v>
      </c>
      <c r="K172" t="str">
        <f t="shared" si="18"/>
        <v>S30</v>
      </c>
    </row>
    <row r="173" spans="2:11" hidden="1" x14ac:dyDescent="0.2">
      <c r="B173" s="4">
        <v>16031</v>
      </c>
      <c r="C173" s="4">
        <v>0</v>
      </c>
      <c r="D173">
        <v>0</v>
      </c>
      <c r="E173" t="str">
        <f>VLOOKUP(B173,[1]Nuclides!A:E,5,FALSE)</f>
        <v>S31</v>
      </c>
      <c r="F173">
        <f>VLOOKUP(B173,[1]Nuclides!A:E,4,FALSE)</f>
        <v>2.5533999999999999</v>
      </c>
      <c r="G173" t="str">
        <f t="shared" si="14"/>
        <v>2.5534s</v>
      </c>
      <c r="H173">
        <f t="shared" si="15"/>
        <v>0.27146047644706872</v>
      </c>
      <c r="I173">
        <f t="shared" si="16"/>
        <v>0</v>
      </c>
      <c r="J173">
        <f t="shared" si="17"/>
        <v>0</v>
      </c>
      <c r="K173" t="str">
        <f t="shared" si="18"/>
        <v>S31</v>
      </c>
    </row>
    <row r="174" spans="2:11" hidden="1" x14ac:dyDescent="0.2">
      <c r="B174" s="4">
        <v>16032</v>
      </c>
      <c r="C174" s="4">
        <v>0</v>
      </c>
      <c r="D174">
        <v>0</v>
      </c>
      <c r="E174" t="str">
        <f>VLOOKUP(B174,[1]Nuclides!A:E,5,FALSE)</f>
        <v>S32</v>
      </c>
      <c r="F174" t="str">
        <f>VLOOKUP(B174,[1]Nuclides!A:E,4,FALSE)</f>
        <v>STABLE</v>
      </c>
      <c r="G174" t="str">
        <f t="shared" si="14"/>
        <v>STABLE</v>
      </c>
      <c r="H174" t="e">
        <f t="shared" si="15"/>
        <v>#VALUE!</v>
      </c>
      <c r="I174" t="e">
        <f t="shared" si="16"/>
        <v>#VALUE!</v>
      </c>
      <c r="J174" t="e">
        <f t="shared" si="17"/>
        <v>#VALUE!</v>
      </c>
      <c r="K174" t="str">
        <f t="shared" si="18"/>
        <v>S32</v>
      </c>
    </row>
    <row r="175" spans="2:11" hidden="1" x14ac:dyDescent="0.2">
      <c r="B175" s="4">
        <v>16033</v>
      </c>
      <c r="C175" s="4">
        <v>0</v>
      </c>
      <c r="D175">
        <v>0</v>
      </c>
      <c r="E175" t="str">
        <f>VLOOKUP(B175,[1]Nuclides!A:E,5,FALSE)</f>
        <v>S33</v>
      </c>
      <c r="F175" t="str">
        <f>VLOOKUP(B175,[1]Nuclides!A:E,4,FALSE)</f>
        <v>STABLE</v>
      </c>
      <c r="G175" t="str">
        <f t="shared" si="14"/>
        <v>STABLE</v>
      </c>
      <c r="H175" t="e">
        <f t="shared" si="15"/>
        <v>#VALUE!</v>
      </c>
      <c r="I175" t="e">
        <f t="shared" si="16"/>
        <v>#VALUE!</v>
      </c>
      <c r="J175" t="e">
        <f t="shared" si="17"/>
        <v>#VALUE!</v>
      </c>
      <c r="K175" t="str">
        <f t="shared" si="18"/>
        <v>S33</v>
      </c>
    </row>
    <row r="176" spans="2:11" hidden="1" x14ac:dyDescent="0.2">
      <c r="B176" s="4">
        <v>16034</v>
      </c>
      <c r="C176" s="4">
        <v>0</v>
      </c>
      <c r="D176">
        <v>0</v>
      </c>
      <c r="E176" t="str">
        <f>VLOOKUP(B176,[1]Nuclides!A:E,5,FALSE)</f>
        <v>S34</v>
      </c>
      <c r="F176" t="str">
        <f>VLOOKUP(B176,[1]Nuclides!A:E,4,FALSE)</f>
        <v>STABLE</v>
      </c>
      <c r="G176" t="str">
        <f t="shared" si="14"/>
        <v>STABLE</v>
      </c>
      <c r="H176" t="e">
        <f t="shared" si="15"/>
        <v>#VALUE!</v>
      </c>
      <c r="I176" t="e">
        <f t="shared" si="16"/>
        <v>#VALUE!</v>
      </c>
      <c r="J176" t="e">
        <f t="shared" si="17"/>
        <v>#VALUE!</v>
      </c>
      <c r="K176" t="str">
        <f t="shared" si="18"/>
        <v>S34</v>
      </c>
    </row>
    <row r="177" spans="2:11" hidden="1" x14ac:dyDescent="0.2">
      <c r="B177" s="4">
        <v>16035</v>
      </c>
      <c r="C177" s="4">
        <v>0</v>
      </c>
      <c r="D177">
        <v>0</v>
      </c>
      <c r="E177" t="str">
        <f>VLOOKUP(B177,[1]Nuclides!A:E,5,FALSE)</f>
        <v>S35</v>
      </c>
      <c r="F177">
        <f>VLOOKUP(B177,[1]Nuclides!A:E,4,FALSE)</f>
        <v>7548768</v>
      </c>
      <c r="G177" t="str">
        <f t="shared" si="14"/>
        <v>87.37d</v>
      </c>
      <c r="H177">
        <f t="shared" si="15"/>
        <v>9.1822557079505592E-8</v>
      </c>
      <c r="I177">
        <f t="shared" si="16"/>
        <v>0</v>
      </c>
      <c r="J177">
        <f t="shared" si="17"/>
        <v>0</v>
      </c>
      <c r="K177" t="str">
        <f t="shared" si="18"/>
        <v>S35</v>
      </c>
    </row>
    <row r="178" spans="2:11" hidden="1" x14ac:dyDescent="0.2">
      <c r="B178" s="4">
        <v>16036</v>
      </c>
      <c r="C178" s="4">
        <v>0</v>
      </c>
      <c r="D178">
        <v>0</v>
      </c>
      <c r="E178" t="str">
        <f>VLOOKUP(B178,[1]Nuclides!A:E,5,FALSE)</f>
        <v>S36</v>
      </c>
      <c r="F178" t="str">
        <f>VLOOKUP(B178,[1]Nuclides!A:E,4,FALSE)</f>
        <v>STABLE</v>
      </c>
      <c r="G178" t="str">
        <f t="shared" si="14"/>
        <v>STABLE</v>
      </c>
      <c r="H178" t="e">
        <f t="shared" si="15"/>
        <v>#VALUE!</v>
      </c>
      <c r="I178" t="e">
        <f t="shared" si="16"/>
        <v>#VALUE!</v>
      </c>
      <c r="J178" t="e">
        <f t="shared" si="17"/>
        <v>#VALUE!</v>
      </c>
      <c r="K178" t="str">
        <f t="shared" si="18"/>
        <v>S36</v>
      </c>
    </row>
    <row r="179" spans="2:11" hidden="1" x14ac:dyDescent="0.2">
      <c r="B179" s="4">
        <v>16037</v>
      </c>
      <c r="C179" s="4">
        <v>0</v>
      </c>
      <c r="D179">
        <v>0</v>
      </c>
      <c r="E179" t="str">
        <f>VLOOKUP(B179,[1]Nuclides!A:E,5,FALSE)</f>
        <v>S37</v>
      </c>
      <c r="F179">
        <f>VLOOKUP(B179,[1]Nuclides!A:E,4,FALSE)</f>
        <v>303</v>
      </c>
      <c r="G179" t="str">
        <f t="shared" si="14"/>
        <v>5.05min</v>
      </c>
      <c r="H179">
        <f t="shared" si="15"/>
        <v>2.2876144572935488E-3</v>
      </c>
      <c r="I179">
        <f t="shared" si="16"/>
        <v>0</v>
      </c>
      <c r="J179">
        <f t="shared" si="17"/>
        <v>0</v>
      </c>
      <c r="K179" t="str">
        <f t="shared" si="18"/>
        <v>S37</v>
      </c>
    </row>
    <row r="180" spans="2:11" hidden="1" x14ac:dyDescent="0.2">
      <c r="B180" s="4">
        <v>16038</v>
      </c>
      <c r="C180" s="4">
        <v>0</v>
      </c>
      <c r="D180">
        <v>0</v>
      </c>
      <c r="E180" t="str">
        <f>VLOOKUP(B180,[1]Nuclides!A:E,5,FALSE)</f>
        <v>S38</v>
      </c>
      <c r="F180">
        <f>VLOOKUP(B180,[1]Nuclides!A:E,4,FALSE)</f>
        <v>10218</v>
      </c>
      <c r="G180" t="str">
        <f t="shared" si="14"/>
        <v>2.84h</v>
      </c>
      <c r="H180">
        <f t="shared" si="15"/>
        <v>6.7835895533367125E-5</v>
      </c>
      <c r="I180">
        <f t="shared" si="16"/>
        <v>0</v>
      </c>
      <c r="J180">
        <f t="shared" si="17"/>
        <v>0</v>
      </c>
      <c r="K180" t="str">
        <f t="shared" si="18"/>
        <v>S38</v>
      </c>
    </row>
    <row r="181" spans="2:11" hidden="1" x14ac:dyDescent="0.2">
      <c r="B181" s="4">
        <v>16039</v>
      </c>
      <c r="C181" s="4">
        <v>0</v>
      </c>
      <c r="D181">
        <v>0</v>
      </c>
      <c r="E181" t="str">
        <f>VLOOKUP(B181,[1]Nuclides!A:E,5,FALSE)</f>
        <v>S39</v>
      </c>
      <c r="F181">
        <f>VLOOKUP(B181,[1]Nuclides!A:E,4,FALSE)</f>
        <v>11.5</v>
      </c>
      <c r="G181" t="str">
        <f t="shared" si="14"/>
        <v>11.5s</v>
      </c>
      <c r="H181">
        <f t="shared" si="15"/>
        <v>6.027366787477785E-2</v>
      </c>
      <c r="I181">
        <f t="shared" si="16"/>
        <v>0</v>
      </c>
      <c r="J181">
        <f t="shared" si="17"/>
        <v>0</v>
      </c>
      <c r="K181" t="str">
        <f t="shared" si="18"/>
        <v>S39</v>
      </c>
    </row>
    <row r="182" spans="2:11" hidden="1" x14ac:dyDescent="0.2">
      <c r="B182" s="4">
        <v>16040</v>
      </c>
      <c r="C182" s="4">
        <v>0</v>
      </c>
      <c r="D182">
        <v>0</v>
      </c>
      <c r="E182" t="str">
        <f>VLOOKUP(B182,[1]Nuclides!A:E,5,FALSE)</f>
        <v>S40</v>
      </c>
      <c r="F182">
        <f>VLOOKUP(B182,[1]Nuclides!A:E,4,FALSE)</f>
        <v>8.8000000000000007</v>
      </c>
      <c r="G182" t="str">
        <f t="shared" si="14"/>
        <v>8.8s</v>
      </c>
      <c r="H182">
        <f t="shared" si="15"/>
        <v>7.8766725063630139E-2</v>
      </c>
      <c r="I182">
        <f t="shared" si="16"/>
        <v>0</v>
      </c>
      <c r="J182">
        <f t="shared" si="17"/>
        <v>0</v>
      </c>
      <c r="K182" t="str">
        <f t="shared" si="18"/>
        <v>S40</v>
      </c>
    </row>
    <row r="183" spans="2:11" hidden="1" x14ac:dyDescent="0.2">
      <c r="B183" s="4">
        <v>16041</v>
      </c>
      <c r="C183" s="4">
        <v>0</v>
      </c>
      <c r="D183">
        <v>0</v>
      </c>
      <c r="E183" t="str">
        <f>VLOOKUP(B183,[1]Nuclides!A:E,5,FALSE)</f>
        <v>S41</v>
      </c>
      <c r="F183">
        <f>VLOOKUP(B183,[1]Nuclides!A:E,4,FALSE)</f>
        <v>2.6</v>
      </c>
      <c r="G183" t="str">
        <f t="shared" si="14"/>
        <v>2.6s</v>
      </c>
      <c r="H183">
        <f t="shared" si="15"/>
        <v>0.26659506944613282</v>
      </c>
      <c r="I183">
        <f t="shared" si="16"/>
        <v>0</v>
      </c>
      <c r="J183">
        <f t="shared" si="17"/>
        <v>0</v>
      </c>
      <c r="K183" t="str">
        <f t="shared" si="18"/>
        <v>S41</v>
      </c>
    </row>
    <row r="184" spans="2:11" hidden="1" x14ac:dyDescent="0.2">
      <c r="B184" s="4">
        <v>16042</v>
      </c>
      <c r="C184" s="4">
        <v>0</v>
      </c>
      <c r="D184">
        <v>0</v>
      </c>
      <c r="E184" t="str">
        <f>VLOOKUP(B184,[1]Nuclides!A:E,5,FALSE)</f>
        <v>S42</v>
      </c>
      <c r="F184">
        <f>VLOOKUP(B184,[1]Nuclides!A:E,4,FALSE)</f>
        <v>1.03</v>
      </c>
      <c r="G184" t="str">
        <f t="shared" si="14"/>
        <v>1.03s</v>
      </c>
      <c r="H184">
        <f t="shared" si="15"/>
        <v>0.67295842772810222</v>
      </c>
      <c r="I184">
        <f t="shared" si="16"/>
        <v>0</v>
      </c>
      <c r="J184">
        <f t="shared" si="17"/>
        <v>0</v>
      </c>
      <c r="K184" t="str">
        <f t="shared" si="18"/>
        <v>S42</v>
      </c>
    </row>
    <row r="185" spans="2:11" hidden="1" x14ac:dyDescent="0.2">
      <c r="B185" s="4">
        <v>16043</v>
      </c>
      <c r="C185" s="4">
        <v>0</v>
      </c>
      <c r="D185">
        <v>0</v>
      </c>
      <c r="E185" t="str">
        <f>VLOOKUP(B185,[1]Nuclides!A:E,5,FALSE)</f>
        <v>S43</v>
      </c>
      <c r="F185">
        <f>VLOOKUP(B185,[1]Nuclides!A:E,4,FALSE)</f>
        <v>0.27300000000000002</v>
      </c>
      <c r="G185" t="str">
        <f t="shared" si="14"/>
        <v>0.273s</v>
      </c>
      <c r="H185">
        <f t="shared" si="15"/>
        <v>2.5390006613917406</v>
      </c>
      <c r="I185">
        <f t="shared" si="16"/>
        <v>0</v>
      </c>
      <c r="J185">
        <f t="shared" si="17"/>
        <v>0</v>
      </c>
      <c r="K185" t="str">
        <f t="shared" si="18"/>
        <v>S43</v>
      </c>
    </row>
    <row r="186" spans="2:11" hidden="1" x14ac:dyDescent="0.2">
      <c r="B186" s="4">
        <v>16044</v>
      </c>
      <c r="C186" s="4">
        <v>0</v>
      </c>
      <c r="D186">
        <v>0</v>
      </c>
      <c r="E186" t="str">
        <f>VLOOKUP(B186,[1]Nuclides!A:E,5,FALSE)</f>
        <v>S44</v>
      </c>
      <c r="F186">
        <f>VLOOKUP(B186,[1]Nuclides!A:E,4,FALSE)</f>
        <v>0.1</v>
      </c>
      <c r="G186" t="str">
        <f t="shared" si="14"/>
        <v>0.1s</v>
      </c>
      <c r="H186">
        <f t="shared" si="15"/>
        <v>6.9314718055994522</v>
      </c>
      <c r="I186">
        <f t="shared" si="16"/>
        <v>0</v>
      </c>
      <c r="J186">
        <f t="shared" si="17"/>
        <v>0</v>
      </c>
      <c r="K186" t="str">
        <f t="shared" si="18"/>
        <v>S44</v>
      </c>
    </row>
    <row r="187" spans="2:11" hidden="1" x14ac:dyDescent="0.2">
      <c r="B187" s="4">
        <v>17031</v>
      </c>
      <c r="C187" s="4">
        <v>0</v>
      </c>
      <c r="D187">
        <v>0</v>
      </c>
      <c r="E187" t="str">
        <f>VLOOKUP(B187,[1]Nuclides!A:E,5,FALSE)</f>
        <v>Cl31</v>
      </c>
      <c r="F187">
        <f>VLOOKUP(B187,[1]Nuclides!A:E,4,FALSE)</f>
        <v>0.19</v>
      </c>
      <c r="G187" t="str">
        <f t="shared" si="14"/>
        <v>0.19s</v>
      </c>
      <c r="H187">
        <f t="shared" si="15"/>
        <v>3.6481430555786591</v>
      </c>
      <c r="I187">
        <f t="shared" si="16"/>
        <v>0</v>
      </c>
      <c r="J187">
        <f t="shared" si="17"/>
        <v>0</v>
      </c>
      <c r="K187" t="str">
        <f t="shared" si="18"/>
        <v>Cl31</v>
      </c>
    </row>
    <row r="188" spans="2:11" hidden="1" x14ac:dyDescent="0.2">
      <c r="B188" s="4">
        <v>17032</v>
      </c>
      <c r="C188" s="4">
        <v>0</v>
      </c>
      <c r="D188">
        <v>0</v>
      </c>
      <c r="E188" t="str">
        <f>VLOOKUP(B188,[1]Nuclides!A:E,5,FALSE)</f>
        <v>Cl32</v>
      </c>
      <c r="F188">
        <f>VLOOKUP(B188,[1]Nuclides!A:E,4,FALSE)</f>
        <v>0.29799999999999999</v>
      </c>
      <c r="G188" t="str">
        <f t="shared" si="14"/>
        <v>0.298s</v>
      </c>
      <c r="H188">
        <f t="shared" si="15"/>
        <v>2.325997250201159</v>
      </c>
      <c r="I188">
        <f t="shared" si="16"/>
        <v>0</v>
      </c>
      <c r="J188">
        <f t="shared" si="17"/>
        <v>0</v>
      </c>
      <c r="K188" t="str">
        <f t="shared" si="18"/>
        <v>Cl32</v>
      </c>
    </row>
    <row r="189" spans="2:11" hidden="1" x14ac:dyDescent="0.2">
      <c r="B189" s="4">
        <v>17033</v>
      </c>
      <c r="C189" s="4">
        <v>0</v>
      </c>
      <c r="D189">
        <v>0</v>
      </c>
      <c r="E189" t="str">
        <f>VLOOKUP(B189,[1]Nuclides!A:E,5,FALSE)</f>
        <v>Cl33</v>
      </c>
      <c r="F189">
        <f>VLOOKUP(B189,[1]Nuclides!A:E,4,FALSE)</f>
        <v>2.5110000000000001</v>
      </c>
      <c r="G189" t="str">
        <f t="shared" si="14"/>
        <v>2.511s</v>
      </c>
      <c r="H189">
        <f t="shared" si="15"/>
        <v>0.27604427740340315</v>
      </c>
      <c r="I189">
        <f t="shared" si="16"/>
        <v>0</v>
      </c>
      <c r="J189">
        <f t="shared" si="17"/>
        <v>0</v>
      </c>
      <c r="K189" t="str">
        <f t="shared" si="18"/>
        <v>Cl33</v>
      </c>
    </row>
    <row r="190" spans="2:11" hidden="1" x14ac:dyDescent="0.2">
      <c r="B190" s="4">
        <v>17034</v>
      </c>
      <c r="C190" s="4">
        <v>0</v>
      </c>
      <c r="D190">
        <v>0</v>
      </c>
      <c r="E190" t="str">
        <f>VLOOKUP(B190,[1]Nuclides!A:E,5,FALSE)</f>
        <v>Cl34</v>
      </c>
      <c r="F190">
        <f>VLOOKUP(B190,[1]Nuclides!A:E,4,FALSE)</f>
        <v>1.5264</v>
      </c>
      <c r="G190" t="str">
        <f t="shared" si="14"/>
        <v>1.5264s</v>
      </c>
      <c r="H190">
        <f t="shared" si="15"/>
        <v>0.45410585728507946</v>
      </c>
      <c r="I190">
        <f t="shared" si="16"/>
        <v>0</v>
      </c>
      <c r="J190">
        <f t="shared" si="17"/>
        <v>0</v>
      </c>
      <c r="K190" t="str">
        <f t="shared" si="18"/>
        <v>Cl34</v>
      </c>
    </row>
    <row r="191" spans="2:11" hidden="1" x14ac:dyDescent="0.2">
      <c r="B191" s="4">
        <v>17035</v>
      </c>
      <c r="C191" s="4">
        <v>0</v>
      </c>
      <c r="D191">
        <v>0</v>
      </c>
      <c r="E191" t="str">
        <f>VLOOKUP(B191,[1]Nuclides!A:E,5,FALSE)</f>
        <v>Cl35</v>
      </c>
      <c r="F191" t="str">
        <f>VLOOKUP(B191,[1]Nuclides!A:E,4,FALSE)</f>
        <v>STABLE</v>
      </c>
      <c r="G191" t="str">
        <f t="shared" si="14"/>
        <v>STABLE</v>
      </c>
      <c r="H191" t="e">
        <f t="shared" si="15"/>
        <v>#VALUE!</v>
      </c>
      <c r="I191" t="e">
        <f t="shared" si="16"/>
        <v>#VALUE!</v>
      </c>
      <c r="J191" t="e">
        <f t="shared" si="17"/>
        <v>#VALUE!</v>
      </c>
      <c r="K191" t="str">
        <f t="shared" si="18"/>
        <v>Cl35</v>
      </c>
    </row>
    <row r="192" spans="2:11" hidden="1" x14ac:dyDescent="0.2">
      <c r="B192" s="4">
        <v>17036</v>
      </c>
      <c r="C192" s="4">
        <v>0</v>
      </c>
      <c r="D192">
        <v>0</v>
      </c>
      <c r="E192" t="str">
        <f>VLOOKUP(B192,[1]Nuclides!A:E,5,FALSE)</f>
        <v>Cl36</v>
      </c>
      <c r="F192">
        <f>VLOOKUP(B192,[1]Nuclides!A:E,4,FALSE)</f>
        <v>9498837600000</v>
      </c>
      <c r="G192" t="str">
        <f t="shared" si="14"/>
        <v>301206.16y</v>
      </c>
      <c r="H192">
        <f t="shared" si="15"/>
        <v>7.2971789786146596E-14</v>
      </c>
      <c r="I192">
        <f t="shared" si="16"/>
        <v>0</v>
      </c>
      <c r="J192">
        <f t="shared" si="17"/>
        <v>0</v>
      </c>
      <c r="K192" t="str">
        <f t="shared" si="18"/>
        <v>Cl36</v>
      </c>
    </row>
    <row r="193" spans="2:11" hidden="1" x14ac:dyDescent="0.2">
      <c r="B193" s="4">
        <v>17037</v>
      </c>
      <c r="C193" s="4">
        <v>0</v>
      </c>
      <c r="D193">
        <v>0</v>
      </c>
      <c r="E193" t="str">
        <f>VLOOKUP(B193,[1]Nuclides!A:E,5,FALSE)</f>
        <v>Cl37</v>
      </c>
      <c r="F193" t="str">
        <f>VLOOKUP(B193,[1]Nuclides!A:E,4,FALSE)</f>
        <v>STABLE</v>
      </c>
      <c r="G193" t="str">
        <f t="shared" si="14"/>
        <v>STABLE</v>
      </c>
      <c r="H193" t="e">
        <f t="shared" si="15"/>
        <v>#VALUE!</v>
      </c>
      <c r="I193" t="e">
        <f t="shared" si="16"/>
        <v>#VALUE!</v>
      </c>
      <c r="J193" t="e">
        <f t="shared" si="17"/>
        <v>#VALUE!</v>
      </c>
      <c r="K193" t="str">
        <f t="shared" si="18"/>
        <v>Cl37</v>
      </c>
    </row>
    <row r="194" spans="2:11" hidden="1" x14ac:dyDescent="0.2">
      <c r="B194" s="4">
        <v>17038</v>
      </c>
      <c r="C194" s="4">
        <v>0</v>
      </c>
      <c r="D194">
        <v>0</v>
      </c>
      <c r="E194" t="str">
        <f>VLOOKUP(B194,[1]Nuclides!A:E,5,FALSE)</f>
        <v>Cl38</v>
      </c>
      <c r="F194">
        <f>VLOOKUP(B194,[1]Nuclides!A:E,4,FALSE)</f>
        <v>2234.4</v>
      </c>
      <c r="G194" t="str">
        <f t="shared" si="14"/>
        <v>37.24min</v>
      </c>
      <c r="H194">
        <f t="shared" si="15"/>
        <v>3.102162462226751E-4</v>
      </c>
      <c r="I194">
        <f t="shared" si="16"/>
        <v>0</v>
      </c>
      <c r="J194">
        <f t="shared" si="17"/>
        <v>0</v>
      </c>
      <c r="K194" t="str">
        <f t="shared" si="18"/>
        <v>Cl38</v>
      </c>
    </row>
    <row r="195" spans="2:11" hidden="1" x14ac:dyDescent="0.2">
      <c r="B195" s="4">
        <v>17039</v>
      </c>
      <c r="C195" s="4">
        <v>0</v>
      </c>
      <c r="D195">
        <v>0</v>
      </c>
      <c r="E195" t="str">
        <f>VLOOKUP(B195,[1]Nuclides!A:E,5,FALSE)</f>
        <v>Cl39</v>
      </c>
      <c r="F195">
        <f>VLOOKUP(B195,[1]Nuclides!A:E,4,FALSE)</f>
        <v>3372</v>
      </c>
      <c r="G195" t="str">
        <f t="shared" si="14"/>
        <v>56.2min</v>
      </c>
      <c r="H195">
        <f t="shared" si="15"/>
        <v>2.0555966208776551E-4</v>
      </c>
      <c r="I195">
        <f t="shared" si="16"/>
        <v>0</v>
      </c>
      <c r="J195">
        <f t="shared" si="17"/>
        <v>0</v>
      </c>
      <c r="K195" t="str">
        <f t="shared" si="18"/>
        <v>Cl39</v>
      </c>
    </row>
    <row r="196" spans="2:11" hidden="1" x14ac:dyDescent="0.2">
      <c r="B196" s="4">
        <v>17040</v>
      </c>
      <c r="C196" s="4">
        <v>0</v>
      </c>
      <c r="D196">
        <v>0</v>
      </c>
      <c r="E196" t="str">
        <f>VLOOKUP(B196,[1]Nuclides!A:E,5,FALSE)</f>
        <v>Cl40</v>
      </c>
      <c r="F196">
        <f>VLOOKUP(B196,[1]Nuclides!A:E,4,FALSE)</f>
        <v>81</v>
      </c>
      <c r="G196" t="str">
        <f t="shared" si="14"/>
        <v>1.35min</v>
      </c>
      <c r="H196">
        <f t="shared" si="15"/>
        <v>8.5573725995054979E-3</v>
      </c>
      <c r="I196">
        <f t="shared" si="16"/>
        <v>0</v>
      </c>
      <c r="J196">
        <f t="shared" si="17"/>
        <v>0</v>
      </c>
      <c r="K196" t="str">
        <f t="shared" si="18"/>
        <v>Cl40</v>
      </c>
    </row>
    <row r="197" spans="2:11" hidden="1" x14ac:dyDescent="0.2">
      <c r="B197" s="4">
        <v>17041</v>
      </c>
      <c r="C197" s="4">
        <v>0</v>
      </c>
      <c r="D197">
        <v>0</v>
      </c>
      <c r="E197" t="str">
        <f>VLOOKUP(B197,[1]Nuclides!A:E,5,FALSE)</f>
        <v>Cl41</v>
      </c>
      <c r="F197">
        <f>VLOOKUP(B197,[1]Nuclides!A:E,4,FALSE)</f>
        <v>38.4</v>
      </c>
      <c r="G197" t="str">
        <f t="shared" ref="G197:G260" si="19">IF(F197="STABLE", "STABLE", IF(F197&lt;60, F197&amp;"s", IF(F197&lt;3600, ROUND(F197/60,2)&amp;"min", IF(F197&lt;86400, ROUND(F197/3600,2)&amp;"h", IF(F197&lt;31536000, ROUND(F197/86400,2)&amp;"d", ROUND(F197/31536000,2)&amp;"y")))))</f>
        <v>38.4s</v>
      </c>
      <c r="H197">
        <f t="shared" ref="H197:H260" si="20">LN(2)/F197</f>
        <v>1.8050707827081909E-2</v>
      </c>
      <c r="I197">
        <f t="shared" ref="I197:I260" si="21">60*6240000000000*C197*(1-EXP(-H197*2*3600))</f>
        <v>0</v>
      </c>
      <c r="J197">
        <f t="shared" ref="J197:J260" si="22">I197*EXP(-H197*96*3600)</f>
        <v>0</v>
      </c>
      <c r="K197" t="str">
        <f t="shared" ref="K197:K260" si="23">E197</f>
        <v>Cl41</v>
      </c>
    </row>
    <row r="198" spans="2:11" hidden="1" x14ac:dyDescent="0.2">
      <c r="B198" s="4">
        <v>17042</v>
      </c>
      <c r="C198" s="4">
        <v>0</v>
      </c>
      <c r="D198">
        <v>0</v>
      </c>
      <c r="E198" t="str">
        <f>VLOOKUP(B198,[1]Nuclides!A:E,5,FALSE)</f>
        <v>Cl42</v>
      </c>
      <c r="F198">
        <f>VLOOKUP(B198,[1]Nuclides!A:E,4,FALSE)</f>
        <v>6.8</v>
      </c>
      <c r="G198" t="str">
        <f t="shared" si="19"/>
        <v>6.8s</v>
      </c>
      <c r="H198">
        <f t="shared" si="20"/>
        <v>0.10193340890587431</v>
      </c>
      <c r="I198">
        <f t="shared" si="21"/>
        <v>0</v>
      </c>
      <c r="J198">
        <f t="shared" si="22"/>
        <v>0</v>
      </c>
      <c r="K198" t="str">
        <f t="shared" si="23"/>
        <v>Cl42</v>
      </c>
    </row>
    <row r="199" spans="2:11" hidden="1" x14ac:dyDescent="0.2">
      <c r="B199" s="4">
        <v>17043</v>
      </c>
      <c r="C199" s="4">
        <v>0</v>
      </c>
      <c r="D199">
        <v>0</v>
      </c>
      <c r="E199" t="str">
        <f>VLOOKUP(B199,[1]Nuclides!A:E,5,FALSE)</f>
        <v>Cl43</v>
      </c>
      <c r="F199">
        <f>VLOOKUP(B199,[1]Nuclides!A:E,4,FALSE)</f>
        <v>3.1749999999999998</v>
      </c>
      <c r="G199" t="str">
        <f t="shared" si="19"/>
        <v>3.175s</v>
      </c>
      <c r="H199">
        <f t="shared" si="20"/>
        <v>0.21831407261730562</v>
      </c>
      <c r="I199">
        <f t="shared" si="21"/>
        <v>0</v>
      </c>
      <c r="J199">
        <f t="shared" si="22"/>
        <v>0</v>
      </c>
      <c r="K199" t="str">
        <f t="shared" si="23"/>
        <v>Cl43</v>
      </c>
    </row>
    <row r="200" spans="2:11" hidden="1" x14ac:dyDescent="0.2">
      <c r="B200" s="4">
        <v>17044</v>
      </c>
      <c r="C200" s="4">
        <v>0</v>
      </c>
      <c r="D200">
        <v>0</v>
      </c>
      <c r="E200" t="str">
        <f>VLOOKUP(B200,[1]Nuclides!A:E,5,FALSE)</f>
        <v>Cl44</v>
      </c>
      <c r="F200">
        <f>VLOOKUP(B200,[1]Nuclides!A:E,4,FALSE)</f>
        <v>0.65</v>
      </c>
      <c r="G200" t="str">
        <f t="shared" si="19"/>
        <v>0.65s</v>
      </c>
      <c r="H200">
        <f t="shared" si="20"/>
        <v>1.0663802777845313</v>
      </c>
      <c r="I200">
        <f t="shared" si="21"/>
        <v>0</v>
      </c>
      <c r="J200">
        <f t="shared" si="22"/>
        <v>0</v>
      </c>
      <c r="K200" t="str">
        <f t="shared" si="23"/>
        <v>Cl44</v>
      </c>
    </row>
    <row r="201" spans="2:11" hidden="1" x14ac:dyDescent="0.2">
      <c r="B201" s="4">
        <v>17045</v>
      </c>
      <c r="C201" s="4">
        <v>0</v>
      </c>
      <c r="D201">
        <v>0</v>
      </c>
      <c r="E201" t="str">
        <f>VLOOKUP(B201,[1]Nuclides!A:E,5,FALSE)</f>
        <v>Cl45</v>
      </c>
      <c r="F201">
        <f>VLOOKUP(B201,[1]Nuclides!A:E,4,FALSE)</f>
        <v>0.4</v>
      </c>
      <c r="G201" t="str">
        <f t="shared" si="19"/>
        <v>0.4s</v>
      </c>
      <c r="H201">
        <f t="shared" si="20"/>
        <v>1.732867951399863</v>
      </c>
      <c r="I201">
        <f t="shared" si="21"/>
        <v>0</v>
      </c>
      <c r="J201">
        <f t="shared" si="22"/>
        <v>0</v>
      </c>
      <c r="K201" t="str">
        <f t="shared" si="23"/>
        <v>Cl45</v>
      </c>
    </row>
    <row r="202" spans="2:11" hidden="1" x14ac:dyDescent="0.2">
      <c r="B202" s="4">
        <v>18032</v>
      </c>
      <c r="C202" s="4">
        <v>0</v>
      </c>
      <c r="D202">
        <v>0</v>
      </c>
      <c r="E202" t="str">
        <f>VLOOKUP(B202,[1]Nuclides!A:E,5,FALSE)</f>
        <v>Ar32</v>
      </c>
      <c r="F202">
        <f>VLOOKUP(B202,[1]Nuclides!A:E,4,FALSE)</f>
        <v>9.8000000000000004E-2</v>
      </c>
      <c r="G202" t="str">
        <f t="shared" si="19"/>
        <v>0.098s</v>
      </c>
      <c r="H202">
        <f t="shared" si="20"/>
        <v>7.0729304138769926</v>
      </c>
      <c r="I202">
        <f t="shared" si="21"/>
        <v>0</v>
      </c>
      <c r="J202">
        <f t="shared" si="22"/>
        <v>0</v>
      </c>
      <c r="K202" t="str">
        <f t="shared" si="23"/>
        <v>Ar32</v>
      </c>
    </row>
    <row r="203" spans="2:11" hidden="1" x14ac:dyDescent="0.2">
      <c r="B203" s="4">
        <v>18033</v>
      </c>
      <c r="C203" s="4">
        <v>0</v>
      </c>
      <c r="D203">
        <v>0</v>
      </c>
      <c r="E203" t="str">
        <f>VLOOKUP(B203,[1]Nuclides!A:E,5,FALSE)</f>
        <v>Ar33</v>
      </c>
      <c r="F203">
        <f>VLOOKUP(B203,[1]Nuclides!A:E,4,FALSE)</f>
        <v>0.17299999999999999</v>
      </c>
      <c r="G203" t="str">
        <f t="shared" si="19"/>
        <v>0.173s</v>
      </c>
      <c r="H203">
        <f t="shared" si="20"/>
        <v>4.006631101502574</v>
      </c>
      <c r="I203">
        <f t="shared" si="21"/>
        <v>0</v>
      </c>
      <c r="J203">
        <f t="shared" si="22"/>
        <v>0</v>
      </c>
      <c r="K203" t="str">
        <f t="shared" si="23"/>
        <v>Ar33</v>
      </c>
    </row>
    <row r="204" spans="2:11" hidden="1" x14ac:dyDescent="0.2">
      <c r="B204" s="4">
        <v>18034</v>
      </c>
      <c r="C204" s="4">
        <v>0</v>
      </c>
      <c r="D204">
        <v>0</v>
      </c>
      <c r="E204" t="str">
        <f>VLOOKUP(B204,[1]Nuclides!A:E,5,FALSE)</f>
        <v>Ar34</v>
      </c>
      <c r="F204">
        <f>VLOOKUP(B204,[1]Nuclides!A:E,4,FALSE)</f>
        <v>0.84450000000000003</v>
      </c>
      <c r="G204" t="str">
        <f t="shared" si="19"/>
        <v>0.8445s</v>
      </c>
      <c r="H204">
        <f t="shared" si="20"/>
        <v>0.82077818894013643</v>
      </c>
      <c r="I204">
        <f t="shared" si="21"/>
        <v>0</v>
      </c>
      <c r="J204">
        <f t="shared" si="22"/>
        <v>0</v>
      </c>
      <c r="K204" t="str">
        <f t="shared" si="23"/>
        <v>Ar34</v>
      </c>
    </row>
    <row r="205" spans="2:11" hidden="1" x14ac:dyDescent="0.2">
      <c r="B205" s="4">
        <v>18035</v>
      </c>
      <c r="C205" s="4">
        <v>0</v>
      </c>
      <c r="D205">
        <v>0</v>
      </c>
      <c r="E205" t="str">
        <f>VLOOKUP(B205,[1]Nuclides!A:E,5,FALSE)</f>
        <v>Ar35</v>
      </c>
      <c r="F205">
        <f>VLOOKUP(B205,[1]Nuclides!A:E,4,FALSE)</f>
        <v>1.7756000000000001</v>
      </c>
      <c r="G205" t="str">
        <f t="shared" si="19"/>
        <v>1.7756s</v>
      </c>
      <c r="H205">
        <f t="shared" si="20"/>
        <v>0.39037349659830212</v>
      </c>
      <c r="I205">
        <f t="shared" si="21"/>
        <v>0</v>
      </c>
      <c r="J205">
        <f t="shared" si="22"/>
        <v>0</v>
      </c>
      <c r="K205" t="str">
        <f t="shared" si="23"/>
        <v>Ar35</v>
      </c>
    </row>
    <row r="206" spans="2:11" hidden="1" x14ac:dyDescent="0.2">
      <c r="B206" s="4">
        <v>18036</v>
      </c>
      <c r="C206" s="4">
        <v>0</v>
      </c>
      <c r="D206">
        <v>0</v>
      </c>
      <c r="E206" t="str">
        <f>VLOOKUP(B206,[1]Nuclides!A:E,5,FALSE)</f>
        <v>Ar36</v>
      </c>
      <c r="F206" t="str">
        <f>VLOOKUP(B206,[1]Nuclides!A:E,4,FALSE)</f>
        <v>STABLE</v>
      </c>
      <c r="G206" t="str">
        <f t="shared" si="19"/>
        <v>STABLE</v>
      </c>
      <c r="H206" t="e">
        <f t="shared" si="20"/>
        <v>#VALUE!</v>
      </c>
      <c r="I206" t="e">
        <f t="shared" si="21"/>
        <v>#VALUE!</v>
      </c>
      <c r="J206" t="e">
        <f t="shared" si="22"/>
        <v>#VALUE!</v>
      </c>
      <c r="K206" t="str">
        <f t="shared" si="23"/>
        <v>Ar36</v>
      </c>
    </row>
    <row r="207" spans="2:11" hidden="1" x14ac:dyDescent="0.2">
      <c r="B207" s="4">
        <v>18037</v>
      </c>
      <c r="C207" s="4">
        <v>0</v>
      </c>
      <c r="D207">
        <v>0</v>
      </c>
      <c r="E207" t="str">
        <f>VLOOKUP(B207,[1]Nuclides!A:E,5,FALSE)</f>
        <v>Ar37</v>
      </c>
      <c r="F207">
        <f>VLOOKUP(B207,[1]Nuclides!A:E,4,FALSE)</f>
        <v>3027456</v>
      </c>
      <c r="G207" t="str">
        <f t="shared" si="19"/>
        <v>35.04d</v>
      </c>
      <c r="H207">
        <f t="shared" si="20"/>
        <v>2.2895367614259142E-7</v>
      </c>
      <c r="I207">
        <f t="shared" si="21"/>
        <v>0</v>
      </c>
      <c r="J207">
        <f t="shared" si="22"/>
        <v>0</v>
      </c>
      <c r="K207" t="str">
        <f t="shared" si="23"/>
        <v>Ar37</v>
      </c>
    </row>
    <row r="208" spans="2:11" hidden="1" x14ac:dyDescent="0.2">
      <c r="B208" s="4">
        <v>18038</v>
      </c>
      <c r="C208" s="4">
        <v>0</v>
      </c>
      <c r="D208">
        <v>0</v>
      </c>
      <c r="E208" t="str">
        <f>VLOOKUP(B208,[1]Nuclides!A:E,5,FALSE)</f>
        <v>Ar38</v>
      </c>
      <c r="F208" t="str">
        <f>VLOOKUP(B208,[1]Nuclides!A:E,4,FALSE)</f>
        <v>STABLE</v>
      </c>
      <c r="G208" t="str">
        <f t="shared" si="19"/>
        <v>STABLE</v>
      </c>
      <c r="H208" t="e">
        <f t="shared" si="20"/>
        <v>#VALUE!</v>
      </c>
      <c r="I208" t="e">
        <f t="shared" si="21"/>
        <v>#VALUE!</v>
      </c>
      <c r="J208" t="e">
        <f t="shared" si="22"/>
        <v>#VALUE!</v>
      </c>
      <c r="K208" t="str">
        <f t="shared" si="23"/>
        <v>Ar38</v>
      </c>
    </row>
    <row r="209" spans="2:11" hidden="1" x14ac:dyDescent="0.2">
      <c r="B209" s="4">
        <v>18039</v>
      </c>
      <c r="C209" s="4">
        <v>0</v>
      </c>
      <c r="D209">
        <v>0</v>
      </c>
      <c r="E209" t="str">
        <f>VLOOKUP(B209,[1]Nuclides!A:E,5,FALSE)</f>
        <v>Ar39</v>
      </c>
      <c r="F209">
        <f>VLOOKUP(B209,[1]Nuclides!A:E,4,FALSE)</f>
        <v>8488994400</v>
      </c>
      <c r="G209" t="str">
        <f t="shared" si="19"/>
        <v>269.18y</v>
      </c>
      <c r="H209">
        <f t="shared" si="20"/>
        <v>8.1652448794164036E-11</v>
      </c>
      <c r="I209">
        <f t="shared" si="21"/>
        <v>0</v>
      </c>
      <c r="J209">
        <f t="shared" si="22"/>
        <v>0</v>
      </c>
      <c r="K209" t="str">
        <f t="shared" si="23"/>
        <v>Ar39</v>
      </c>
    </row>
    <row r="210" spans="2:11" hidden="1" x14ac:dyDescent="0.2">
      <c r="B210" s="4">
        <v>18040</v>
      </c>
      <c r="C210" s="4">
        <v>0</v>
      </c>
      <c r="D210">
        <v>0</v>
      </c>
      <c r="E210" t="str">
        <f>VLOOKUP(B210,[1]Nuclides!A:E,5,FALSE)</f>
        <v>Ar40</v>
      </c>
      <c r="F210" t="str">
        <f>VLOOKUP(B210,[1]Nuclides!A:E,4,FALSE)</f>
        <v>STABLE</v>
      </c>
      <c r="G210" t="str">
        <f t="shared" si="19"/>
        <v>STABLE</v>
      </c>
      <c r="H210" t="e">
        <f t="shared" si="20"/>
        <v>#VALUE!</v>
      </c>
      <c r="I210" t="e">
        <f t="shared" si="21"/>
        <v>#VALUE!</v>
      </c>
      <c r="J210" t="e">
        <f t="shared" si="22"/>
        <v>#VALUE!</v>
      </c>
      <c r="K210" t="str">
        <f t="shared" si="23"/>
        <v>Ar40</v>
      </c>
    </row>
    <row r="211" spans="2:11" hidden="1" x14ac:dyDescent="0.2">
      <c r="B211" s="4">
        <v>18041</v>
      </c>
      <c r="C211" s="4">
        <v>0</v>
      </c>
      <c r="D211">
        <v>0</v>
      </c>
      <c r="E211" t="str">
        <f>VLOOKUP(B211,[1]Nuclides!A:E,5,FALSE)</f>
        <v>Ar41</v>
      </c>
      <c r="F211">
        <f>VLOOKUP(B211,[1]Nuclides!A:E,4,FALSE)</f>
        <v>6576.6</v>
      </c>
      <c r="G211" t="str">
        <f t="shared" si="19"/>
        <v>1.83h</v>
      </c>
      <c r="H211">
        <f t="shared" si="20"/>
        <v>1.053959767296088E-4</v>
      </c>
      <c r="I211">
        <f t="shared" si="21"/>
        <v>0</v>
      </c>
      <c r="J211">
        <f t="shared" si="22"/>
        <v>0</v>
      </c>
      <c r="K211" t="str">
        <f t="shared" si="23"/>
        <v>Ar41</v>
      </c>
    </row>
    <row r="212" spans="2:11" hidden="1" x14ac:dyDescent="0.2">
      <c r="B212" s="4">
        <v>18042</v>
      </c>
      <c r="C212" s="4">
        <v>0</v>
      </c>
      <c r="D212">
        <v>0</v>
      </c>
      <c r="E212" t="str">
        <f>VLOOKUP(B212,[1]Nuclides!A:E,5,FALSE)</f>
        <v>Ar42</v>
      </c>
      <c r="F212">
        <f>VLOOKUP(B212,[1]Nuclides!A:E,4,FALSE)</f>
        <v>1038245040</v>
      </c>
      <c r="G212" t="str">
        <f t="shared" si="19"/>
        <v>32.92y</v>
      </c>
      <c r="H212">
        <f t="shared" si="20"/>
        <v>6.6761424697963906E-10</v>
      </c>
      <c r="I212">
        <f t="shared" si="21"/>
        <v>0</v>
      </c>
      <c r="J212">
        <f t="shared" si="22"/>
        <v>0</v>
      </c>
      <c r="K212" t="str">
        <f t="shared" si="23"/>
        <v>Ar42</v>
      </c>
    </row>
    <row r="213" spans="2:11" hidden="1" x14ac:dyDescent="0.2">
      <c r="B213" s="4">
        <v>18043</v>
      </c>
      <c r="C213" s="4">
        <v>0</v>
      </c>
      <c r="D213">
        <v>0</v>
      </c>
      <c r="E213" t="str">
        <f>VLOOKUP(B213,[1]Nuclides!A:E,5,FALSE)</f>
        <v>Ar43</v>
      </c>
      <c r="F213">
        <f>VLOOKUP(B213,[1]Nuclides!A:E,4,FALSE)</f>
        <v>322.2</v>
      </c>
      <c r="G213" t="str">
        <f t="shared" si="19"/>
        <v>5.37min</v>
      </c>
      <c r="H213">
        <f t="shared" si="20"/>
        <v>2.1512947875851809E-3</v>
      </c>
      <c r="I213">
        <f t="shared" si="21"/>
        <v>0</v>
      </c>
      <c r="J213">
        <f t="shared" si="22"/>
        <v>0</v>
      </c>
      <c r="K213" t="str">
        <f t="shared" si="23"/>
        <v>Ar43</v>
      </c>
    </row>
    <row r="214" spans="2:11" hidden="1" x14ac:dyDescent="0.2">
      <c r="B214" s="4">
        <v>18044</v>
      </c>
      <c r="C214" s="4">
        <v>0</v>
      </c>
      <c r="D214">
        <v>0</v>
      </c>
      <c r="E214" t="str">
        <f>VLOOKUP(B214,[1]Nuclides!A:E,5,FALSE)</f>
        <v>Ar44</v>
      </c>
      <c r="F214">
        <f>VLOOKUP(B214,[1]Nuclides!A:E,4,FALSE)</f>
        <v>712.19999999999902</v>
      </c>
      <c r="G214" t="str">
        <f t="shared" si="19"/>
        <v>11.87min</v>
      </c>
      <c r="H214">
        <f t="shared" si="20"/>
        <v>9.7324793675926174E-4</v>
      </c>
      <c r="I214">
        <f t="shared" si="21"/>
        <v>0</v>
      </c>
      <c r="J214">
        <f t="shared" si="22"/>
        <v>0</v>
      </c>
      <c r="K214" t="str">
        <f t="shared" si="23"/>
        <v>Ar44</v>
      </c>
    </row>
    <row r="215" spans="2:11" hidden="1" x14ac:dyDescent="0.2">
      <c r="B215" s="4">
        <v>18045</v>
      </c>
      <c r="C215" s="4">
        <v>0</v>
      </c>
      <c r="D215">
        <v>0</v>
      </c>
      <c r="E215" t="str">
        <f>VLOOKUP(B215,[1]Nuclides!A:E,5,FALSE)</f>
        <v>Ar45</v>
      </c>
      <c r="F215">
        <f>VLOOKUP(B215,[1]Nuclides!A:E,4,FALSE)</f>
        <v>21.48</v>
      </c>
      <c r="G215" t="str">
        <f t="shared" si="19"/>
        <v>21.48s</v>
      </c>
      <c r="H215">
        <f t="shared" si="20"/>
        <v>3.2269421813777711E-2</v>
      </c>
      <c r="I215">
        <f t="shared" si="21"/>
        <v>0</v>
      </c>
      <c r="J215">
        <f t="shared" si="22"/>
        <v>0</v>
      </c>
      <c r="K215" t="str">
        <f t="shared" si="23"/>
        <v>Ar45</v>
      </c>
    </row>
    <row r="216" spans="2:11" hidden="1" x14ac:dyDescent="0.2">
      <c r="B216" s="4">
        <v>18046</v>
      </c>
      <c r="C216" s="4">
        <v>0</v>
      </c>
      <c r="D216">
        <v>0</v>
      </c>
      <c r="E216" t="str">
        <f>VLOOKUP(B216,[1]Nuclides!A:E,5,FALSE)</f>
        <v>Ar46</v>
      </c>
      <c r="F216">
        <f>VLOOKUP(B216,[1]Nuclides!A:E,4,FALSE)</f>
        <v>8.4</v>
      </c>
      <c r="G216" t="str">
        <f t="shared" si="19"/>
        <v>8.4s</v>
      </c>
      <c r="H216">
        <f t="shared" si="20"/>
        <v>8.2517521495231574E-2</v>
      </c>
      <c r="I216">
        <f t="shared" si="21"/>
        <v>0</v>
      </c>
      <c r="J216">
        <f t="shared" si="22"/>
        <v>0</v>
      </c>
      <c r="K216" t="str">
        <f t="shared" si="23"/>
        <v>Ar46</v>
      </c>
    </row>
    <row r="217" spans="2:11" hidden="1" x14ac:dyDescent="0.2">
      <c r="B217" s="4">
        <v>19035</v>
      </c>
      <c r="C217" s="4">
        <v>0</v>
      </c>
      <c r="D217">
        <v>0</v>
      </c>
      <c r="E217" t="str">
        <f>VLOOKUP(B217,[1]Nuclides!A:E,5,FALSE)</f>
        <v>K35</v>
      </c>
      <c r="F217">
        <f>VLOOKUP(B217,[1]Nuclides!A:E,4,FALSE)</f>
        <v>0.17799999999999999</v>
      </c>
      <c r="G217" t="str">
        <f t="shared" si="19"/>
        <v>0.178s</v>
      </c>
      <c r="H217">
        <f t="shared" si="20"/>
        <v>3.8940852840446367</v>
      </c>
      <c r="I217">
        <f t="shared" si="21"/>
        <v>0</v>
      </c>
      <c r="J217">
        <f t="shared" si="22"/>
        <v>0</v>
      </c>
      <c r="K217" t="str">
        <f t="shared" si="23"/>
        <v>K35</v>
      </c>
    </row>
    <row r="218" spans="2:11" hidden="1" x14ac:dyDescent="0.2">
      <c r="B218" s="4">
        <v>19036</v>
      </c>
      <c r="C218" s="4">
        <v>0</v>
      </c>
      <c r="D218">
        <v>0</v>
      </c>
      <c r="E218" t="str">
        <f>VLOOKUP(B218,[1]Nuclides!A:E,5,FALSE)</f>
        <v>K36</v>
      </c>
      <c r="F218">
        <f>VLOOKUP(B218,[1]Nuclides!A:E,4,FALSE)</f>
        <v>0.34200000000000003</v>
      </c>
      <c r="G218" t="str">
        <f t="shared" si="19"/>
        <v>0.342s</v>
      </c>
      <c r="H218">
        <f t="shared" si="20"/>
        <v>2.0267461419881441</v>
      </c>
      <c r="I218">
        <f t="shared" si="21"/>
        <v>0</v>
      </c>
      <c r="J218">
        <f t="shared" si="22"/>
        <v>0</v>
      </c>
      <c r="K218" t="str">
        <f t="shared" si="23"/>
        <v>K36</v>
      </c>
    </row>
    <row r="219" spans="2:11" hidden="1" x14ac:dyDescent="0.2">
      <c r="B219" s="4">
        <v>19037</v>
      </c>
      <c r="C219" s="4">
        <v>0</v>
      </c>
      <c r="D219">
        <v>0</v>
      </c>
      <c r="E219" t="str">
        <f>VLOOKUP(B219,[1]Nuclides!A:E,5,FALSE)</f>
        <v>K37</v>
      </c>
      <c r="F219">
        <f>VLOOKUP(B219,[1]Nuclides!A:E,4,FALSE)</f>
        <v>1.226</v>
      </c>
      <c r="G219" t="str">
        <f t="shared" si="19"/>
        <v>1.226s</v>
      </c>
      <c r="H219">
        <f t="shared" si="20"/>
        <v>0.56537290420876452</v>
      </c>
      <c r="I219">
        <f t="shared" si="21"/>
        <v>0</v>
      </c>
      <c r="J219">
        <f t="shared" si="22"/>
        <v>0</v>
      </c>
      <c r="K219" t="str">
        <f t="shared" si="23"/>
        <v>K37</v>
      </c>
    </row>
    <row r="220" spans="2:11" hidden="1" x14ac:dyDescent="0.2">
      <c r="B220" s="4">
        <v>19038</v>
      </c>
      <c r="C220" s="4">
        <v>0</v>
      </c>
      <c r="D220">
        <v>0</v>
      </c>
      <c r="E220" t="str">
        <f>VLOOKUP(B220,[1]Nuclides!A:E,5,FALSE)</f>
        <v>K38</v>
      </c>
      <c r="F220">
        <f>VLOOKUP(B220,[1]Nuclides!A:E,4,FALSE)</f>
        <v>458.16</v>
      </c>
      <c r="G220" t="str">
        <f t="shared" si="19"/>
        <v>7.64min</v>
      </c>
      <c r="H220">
        <f t="shared" si="20"/>
        <v>1.5128932699492433E-3</v>
      </c>
      <c r="I220">
        <f t="shared" si="21"/>
        <v>0</v>
      </c>
      <c r="J220">
        <f t="shared" si="22"/>
        <v>0</v>
      </c>
      <c r="K220" t="str">
        <f t="shared" si="23"/>
        <v>K38</v>
      </c>
    </row>
    <row r="221" spans="2:11" hidden="1" x14ac:dyDescent="0.2">
      <c r="B221" s="4">
        <v>19039</v>
      </c>
      <c r="C221" s="4">
        <v>0</v>
      </c>
      <c r="D221">
        <v>0</v>
      </c>
      <c r="E221" t="str">
        <f>VLOOKUP(B221,[1]Nuclides!A:E,5,FALSE)</f>
        <v>K39</v>
      </c>
      <c r="F221" t="str">
        <f>VLOOKUP(B221,[1]Nuclides!A:E,4,FALSE)</f>
        <v>STABLE</v>
      </c>
      <c r="G221" t="str">
        <f t="shared" si="19"/>
        <v>STABLE</v>
      </c>
      <c r="H221" t="e">
        <f t="shared" si="20"/>
        <v>#VALUE!</v>
      </c>
      <c r="I221" t="e">
        <f t="shared" si="21"/>
        <v>#VALUE!</v>
      </c>
      <c r="J221" t="e">
        <f t="shared" si="22"/>
        <v>#VALUE!</v>
      </c>
      <c r="K221" t="str">
        <f t="shared" si="23"/>
        <v>K39</v>
      </c>
    </row>
    <row r="222" spans="2:11" hidden="1" x14ac:dyDescent="0.2">
      <c r="B222" s="4">
        <v>19040</v>
      </c>
      <c r="C222" s="4">
        <v>0</v>
      </c>
      <c r="D222">
        <v>0</v>
      </c>
      <c r="E222" t="str">
        <f>VLOOKUP(B222,[1]Nuclides!A:E,5,FALSE)</f>
        <v>K40</v>
      </c>
      <c r="F222">
        <f>VLOOKUP(B222,[1]Nuclides!A:E,4,FALSE)</f>
        <v>3.93838848E+16</v>
      </c>
      <c r="G222" t="str">
        <f t="shared" si="19"/>
        <v>1248854794.52y</v>
      </c>
      <c r="H222">
        <f t="shared" si="20"/>
        <v>1.7599766607075421E-17</v>
      </c>
      <c r="I222">
        <f t="shared" si="21"/>
        <v>0</v>
      </c>
      <c r="J222">
        <f t="shared" si="22"/>
        <v>0</v>
      </c>
      <c r="K222" t="str">
        <f t="shared" si="23"/>
        <v>K40</v>
      </c>
    </row>
    <row r="223" spans="2:11" hidden="1" x14ac:dyDescent="0.2">
      <c r="B223" s="4">
        <v>19041</v>
      </c>
      <c r="C223" s="4">
        <v>0</v>
      </c>
      <c r="D223">
        <v>0</v>
      </c>
      <c r="E223" t="str">
        <f>VLOOKUP(B223,[1]Nuclides!A:E,5,FALSE)</f>
        <v>K41</v>
      </c>
      <c r="F223" t="str">
        <f>VLOOKUP(B223,[1]Nuclides!A:E,4,FALSE)</f>
        <v>STABLE</v>
      </c>
      <c r="G223" t="str">
        <f t="shared" si="19"/>
        <v>STABLE</v>
      </c>
      <c r="H223" t="e">
        <f t="shared" si="20"/>
        <v>#VALUE!</v>
      </c>
      <c r="I223" t="e">
        <f t="shared" si="21"/>
        <v>#VALUE!</v>
      </c>
      <c r="J223" t="e">
        <f t="shared" si="22"/>
        <v>#VALUE!</v>
      </c>
      <c r="K223" t="str">
        <f t="shared" si="23"/>
        <v>K41</v>
      </c>
    </row>
    <row r="224" spans="2:11" hidden="1" x14ac:dyDescent="0.2">
      <c r="B224" s="4">
        <v>19042</v>
      </c>
      <c r="C224" s="4">
        <v>0</v>
      </c>
      <c r="D224">
        <v>0</v>
      </c>
      <c r="E224" t="str">
        <f>VLOOKUP(B224,[1]Nuclides!A:E,5,FALSE)</f>
        <v>K42</v>
      </c>
      <c r="F224">
        <f>VLOOKUP(B224,[1]Nuclides!A:E,4,FALSE)</f>
        <v>44478</v>
      </c>
      <c r="G224" t="str">
        <f t="shared" si="19"/>
        <v>12.36h</v>
      </c>
      <c r="H224">
        <f t="shared" si="20"/>
        <v>1.5584045608164606E-5</v>
      </c>
      <c r="I224">
        <f t="shared" si="21"/>
        <v>0</v>
      </c>
      <c r="J224">
        <f t="shared" si="22"/>
        <v>0</v>
      </c>
      <c r="K224" t="str">
        <f t="shared" si="23"/>
        <v>K42</v>
      </c>
    </row>
    <row r="225" spans="2:11" hidden="1" x14ac:dyDescent="0.2">
      <c r="B225" s="4">
        <v>19043</v>
      </c>
      <c r="C225" s="4">
        <v>0</v>
      </c>
      <c r="D225">
        <v>0</v>
      </c>
      <c r="E225" t="str">
        <f>VLOOKUP(B225,[1]Nuclides!A:E,5,FALSE)</f>
        <v>K43</v>
      </c>
      <c r="F225">
        <f>VLOOKUP(B225,[1]Nuclides!A:E,4,FALSE)</f>
        <v>80280</v>
      </c>
      <c r="G225" t="str">
        <f t="shared" si="19"/>
        <v>22.3h</v>
      </c>
      <c r="H225">
        <f t="shared" si="20"/>
        <v>8.6341203358239325E-6</v>
      </c>
      <c r="I225">
        <f t="shared" si="21"/>
        <v>0</v>
      </c>
      <c r="J225">
        <f t="shared" si="22"/>
        <v>0</v>
      </c>
      <c r="K225" t="str">
        <f t="shared" si="23"/>
        <v>K43</v>
      </c>
    </row>
    <row r="226" spans="2:11" hidden="1" x14ac:dyDescent="0.2">
      <c r="B226" s="4">
        <v>19044</v>
      </c>
      <c r="C226" s="4">
        <v>0</v>
      </c>
      <c r="D226">
        <v>0</v>
      </c>
      <c r="E226" t="str">
        <f>VLOOKUP(B226,[1]Nuclides!A:E,5,FALSE)</f>
        <v>K44</v>
      </c>
      <c r="F226">
        <f>VLOOKUP(B226,[1]Nuclides!A:E,4,FALSE)</f>
        <v>1327.8</v>
      </c>
      <c r="G226" t="str">
        <f t="shared" si="19"/>
        <v>22.13min</v>
      </c>
      <c r="H226">
        <f t="shared" si="20"/>
        <v>5.2202679662595669E-4</v>
      </c>
      <c r="I226">
        <f t="shared" si="21"/>
        <v>0</v>
      </c>
      <c r="J226">
        <f t="shared" si="22"/>
        <v>0</v>
      </c>
      <c r="K226" t="str">
        <f t="shared" si="23"/>
        <v>K44</v>
      </c>
    </row>
    <row r="227" spans="2:11" hidden="1" x14ac:dyDescent="0.2">
      <c r="B227" s="4">
        <v>19045</v>
      </c>
      <c r="C227" s="4">
        <v>0</v>
      </c>
      <c r="D227">
        <v>0</v>
      </c>
      <c r="E227" t="str">
        <f>VLOOKUP(B227,[1]Nuclides!A:E,5,FALSE)</f>
        <v>K45</v>
      </c>
      <c r="F227">
        <f>VLOOKUP(B227,[1]Nuclides!A:E,4,FALSE)</f>
        <v>1068.5999999999999</v>
      </c>
      <c r="G227" t="str">
        <f t="shared" si="19"/>
        <v>17.81min</v>
      </c>
      <c r="H227">
        <f t="shared" si="20"/>
        <v>6.4864980400518931E-4</v>
      </c>
      <c r="I227">
        <f t="shared" si="21"/>
        <v>0</v>
      </c>
      <c r="J227">
        <f t="shared" si="22"/>
        <v>0</v>
      </c>
      <c r="K227" t="str">
        <f t="shared" si="23"/>
        <v>K45</v>
      </c>
    </row>
    <row r="228" spans="2:11" hidden="1" x14ac:dyDescent="0.2">
      <c r="B228" s="4">
        <v>19046</v>
      </c>
      <c r="C228" s="4">
        <v>0</v>
      </c>
      <c r="D228">
        <v>0</v>
      </c>
      <c r="E228" t="str">
        <f>VLOOKUP(B228,[1]Nuclides!A:E,5,FALSE)</f>
        <v>K46</v>
      </c>
      <c r="F228">
        <f>VLOOKUP(B228,[1]Nuclides!A:E,4,FALSE)</f>
        <v>105</v>
      </c>
      <c r="G228" t="str">
        <f t="shared" si="19"/>
        <v>1.75min</v>
      </c>
      <c r="H228">
        <f t="shared" si="20"/>
        <v>6.6014017196185269E-3</v>
      </c>
      <c r="I228">
        <f t="shared" si="21"/>
        <v>0</v>
      </c>
      <c r="J228">
        <f t="shared" si="22"/>
        <v>0</v>
      </c>
      <c r="K228" t="str">
        <f t="shared" si="23"/>
        <v>K46</v>
      </c>
    </row>
    <row r="229" spans="2:11" hidden="1" x14ac:dyDescent="0.2">
      <c r="B229" s="4">
        <v>19047</v>
      </c>
      <c r="C229" s="4">
        <v>0</v>
      </c>
      <c r="D229">
        <v>0</v>
      </c>
      <c r="E229" t="str">
        <f>VLOOKUP(B229,[1]Nuclides!A:E,5,FALSE)</f>
        <v>K47</v>
      </c>
      <c r="F229">
        <f>VLOOKUP(B229,[1]Nuclides!A:E,4,FALSE)</f>
        <v>17.5</v>
      </c>
      <c r="G229" t="str">
        <f t="shared" si="19"/>
        <v>17.5s</v>
      </c>
      <c r="H229">
        <f t="shared" si="20"/>
        <v>3.960841031771116E-2</v>
      </c>
      <c r="I229">
        <f t="shared" si="21"/>
        <v>0</v>
      </c>
      <c r="J229">
        <f t="shared" si="22"/>
        <v>0</v>
      </c>
      <c r="K229" t="str">
        <f t="shared" si="23"/>
        <v>K47</v>
      </c>
    </row>
    <row r="230" spans="2:11" hidden="1" x14ac:dyDescent="0.2">
      <c r="B230" s="4">
        <v>19048</v>
      </c>
      <c r="C230" s="4">
        <v>0</v>
      </c>
      <c r="D230">
        <v>0</v>
      </c>
      <c r="E230" t="str">
        <f>VLOOKUP(B230,[1]Nuclides!A:E,5,FALSE)</f>
        <v>K48</v>
      </c>
      <c r="F230">
        <f>VLOOKUP(B230,[1]Nuclides!A:E,4,FALSE)</f>
        <v>6.83</v>
      </c>
      <c r="G230" t="str">
        <f t="shared" si="19"/>
        <v>6.83s</v>
      </c>
      <c r="H230">
        <f t="shared" si="20"/>
        <v>0.10148567797363767</v>
      </c>
      <c r="I230">
        <f t="shared" si="21"/>
        <v>0</v>
      </c>
      <c r="J230">
        <f t="shared" si="22"/>
        <v>0</v>
      </c>
      <c r="K230" t="str">
        <f t="shared" si="23"/>
        <v>K48</v>
      </c>
    </row>
    <row r="231" spans="2:11" hidden="1" x14ac:dyDescent="0.2">
      <c r="B231" s="4">
        <v>19049</v>
      </c>
      <c r="C231" s="4">
        <v>0</v>
      </c>
      <c r="D231">
        <v>0</v>
      </c>
      <c r="E231" t="str">
        <f>VLOOKUP(B231,[1]Nuclides!A:E,5,FALSE)</f>
        <v>K49</v>
      </c>
      <c r="F231">
        <f>VLOOKUP(B231,[1]Nuclides!A:E,4,FALSE)</f>
        <v>1.2629999999999999</v>
      </c>
      <c r="G231" t="str">
        <f t="shared" si="19"/>
        <v>1.263s</v>
      </c>
      <c r="H231">
        <f t="shared" si="20"/>
        <v>0.54881011920819112</v>
      </c>
      <c r="I231">
        <f t="shared" si="21"/>
        <v>0</v>
      </c>
      <c r="J231">
        <f t="shared" si="22"/>
        <v>0</v>
      </c>
      <c r="K231" t="str">
        <f t="shared" si="23"/>
        <v>K49</v>
      </c>
    </row>
    <row r="232" spans="2:11" hidden="1" x14ac:dyDescent="0.2">
      <c r="B232" s="4">
        <v>19050</v>
      </c>
      <c r="C232" s="4">
        <v>0</v>
      </c>
      <c r="D232">
        <v>0</v>
      </c>
      <c r="E232" t="str">
        <f>VLOOKUP(B232,[1]Nuclides!A:E,5,FALSE)</f>
        <v>K50</v>
      </c>
      <c r="F232">
        <f>VLOOKUP(B232,[1]Nuclides!A:E,4,FALSE)</f>
        <v>0.47199999999999998</v>
      </c>
      <c r="G232" t="str">
        <f t="shared" si="19"/>
        <v>0.472s</v>
      </c>
      <c r="H232">
        <f t="shared" si="20"/>
        <v>1.4685321622032741</v>
      </c>
      <c r="I232">
        <f t="shared" si="21"/>
        <v>0</v>
      </c>
      <c r="J232">
        <f t="shared" si="22"/>
        <v>0</v>
      </c>
      <c r="K232" t="str">
        <f t="shared" si="23"/>
        <v>K50</v>
      </c>
    </row>
    <row r="233" spans="2:11" hidden="1" x14ac:dyDescent="0.2">
      <c r="B233" s="4">
        <v>19051</v>
      </c>
      <c r="C233" s="4">
        <v>0</v>
      </c>
      <c r="D233">
        <v>0</v>
      </c>
      <c r="E233" t="str">
        <f>VLOOKUP(B233,[1]Nuclides!A:E,5,FALSE)</f>
        <v>K51</v>
      </c>
      <c r="F233">
        <f>VLOOKUP(B233,[1]Nuclides!A:E,4,FALSE)</f>
        <v>0.36499999999999999</v>
      </c>
      <c r="G233" t="str">
        <f t="shared" si="19"/>
        <v>0.365s</v>
      </c>
      <c r="H233">
        <f t="shared" si="20"/>
        <v>1.8990333713971104</v>
      </c>
      <c r="I233">
        <f t="shared" si="21"/>
        <v>0</v>
      </c>
      <c r="J233">
        <f t="shared" si="22"/>
        <v>0</v>
      </c>
      <c r="K233" t="str">
        <f t="shared" si="23"/>
        <v>K51</v>
      </c>
    </row>
    <row r="234" spans="2:11" hidden="1" x14ac:dyDescent="0.2">
      <c r="B234" s="4">
        <v>20036</v>
      </c>
      <c r="C234" s="4">
        <v>0</v>
      </c>
      <c r="D234">
        <v>0</v>
      </c>
      <c r="E234" t="str">
        <f>VLOOKUP(B234,[1]Nuclides!A:E,5,FALSE)</f>
        <v>Ca36</v>
      </c>
      <c r="F234">
        <f>VLOOKUP(B234,[1]Nuclides!A:E,4,FALSE)</f>
        <v>0.10199999999999999</v>
      </c>
      <c r="G234" t="str">
        <f t="shared" si="19"/>
        <v>0.102s</v>
      </c>
      <c r="H234">
        <f t="shared" si="20"/>
        <v>6.7955605937249546</v>
      </c>
      <c r="I234">
        <f t="shared" si="21"/>
        <v>0</v>
      </c>
      <c r="J234">
        <f t="shared" si="22"/>
        <v>0</v>
      </c>
      <c r="K234" t="str">
        <f t="shared" si="23"/>
        <v>Ca36</v>
      </c>
    </row>
    <row r="235" spans="2:11" hidden="1" x14ac:dyDescent="0.2">
      <c r="B235" s="4">
        <v>20037</v>
      </c>
      <c r="C235" s="4">
        <v>0</v>
      </c>
      <c r="D235">
        <v>0</v>
      </c>
      <c r="E235" t="str">
        <f>VLOOKUP(B235,[1]Nuclides!A:E,5,FALSE)</f>
        <v>Ca37</v>
      </c>
      <c r="F235">
        <f>VLOOKUP(B235,[1]Nuclides!A:E,4,FALSE)</f>
        <v>0.18110000000000001</v>
      </c>
      <c r="G235" t="str">
        <f t="shared" si="19"/>
        <v>0.1811s</v>
      </c>
      <c r="H235">
        <f t="shared" si="20"/>
        <v>3.8274278330201286</v>
      </c>
      <c r="I235">
        <f t="shared" si="21"/>
        <v>0</v>
      </c>
      <c r="J235">
        <f t="shared" si="22"/>
        <v>0</v>
      </c>
      <c r="K235" t="str">
        <f t="shared" si="23"/>
        <v>Ca37</v>
      </c>
    </row>
    <row r="236" spans="2:11" hidden="1" x14ac:dyDescent="0.2">
      <c r="B236" s="4">
        <v>20038</v>
      </c>
      <c r="C236" s="4">
        <v>0</v>
      </c>
      <c r="D236">
        <v>0</v>
      </c>
      <c r="E236" t="str">
        <f>VLOOKUP(B236,[1]Nuclides!A:E,5,FALSE)</f>
        <v>Ca38</v>
      </c>
      <c r="F236">
        <f>VLOOKUP(B236,[1]Nuclides!A:E,4,FALSE)</f>
        <v>0.44</v>
      </c>
      <c r="G236" t="str">
        <f t="shared" si="19"/>
        <v>0.44s</v>
      </c>
      <c r="H236">
        <f t="shared" si="20"/>
        <v>1.575334501272603</v>
      </c>
      <c r="I236">
        <f t="shared" si="21"/>
        <v>0</v>
      </c>
      <c r="J236">
        <f t="shared" si="22"/>
        <v>0</v>
      </c>
      <c r="K236" t="str">
        <f t="shared" si="23"/>
        <v>Ca38</v>
      </c>
    </row>
    <row r="237" spans="2:11" hidden="1" x14ac:dyDescent="0.2">
      <c r="B237" s="4">
        <v>20039</v>
      </c>
      <c r="C237" s="4">
        <v>0</v>
      </c>
      <c r="D237">
        <v>0</v>
      </c>
      <c r="E237" t="str">
        <f>VLOOKUP(B237,[1]Nuclides!A:E,5,FALSE)</f>
        <v>Ca39</v>
      </c>
      <c r="F237">
        <f>VLOOKUP(B237,[1]Nuclides!A:E,4,FALSE)</f>
        <v>0.85960000000000003</v>
      </c>
      <c r="G237" t="str">
        <f t="shared" si="19"/>
        <v>0.8596s</v>
      </c>
      <c r="H237">
        <f t="shared" si="20"/>
        <v>0.80636014490454311</v>
      </c>
      <c r="I237">
        <f t="shared" si="21"/>
        <v>0</v>
      </c>
      <c r="J237">
        <f t="shared" si="22"/>
        <v>0</v>
      </c>
      <c r="K237" t="str">
        <f t="shared" si="23"/>
        <v>Ca39</v>
      </c>
    </row>
    <row r="238" spans="2:11" hidden="1" x14ac:dyDescent="0.2">
      <c r="B238" s="4">
        <v>20040</v>
      </c>
      <c r="C238" s="4">
        <v>0</v>
      </c>
      <c r="D238">
        <v>0</v>
      </c>
      <c r="E238" t="str">
        <f>VLOOKUP(B238,[1]Nuclides!A:E,5,FALSE)</f>
        <v>Ca40</v>
      </c>
      <c r="F238">
        <f>VLOOKUP(B238,[1]Nuclides!A:E,4,FALSE)</f>
        <v>9.4672799999999999E+28</v>
      </c>
      <c r="G238" t="str">
        <f t="shared" si="19"/>
        <v>3.00205479452055E+21y</v>
      </c>
      <c r="H238">
        <f t="shared" si="20"/>
        <v>7.3215029085433761E-30</v>
      </c>
      <c r="I238">
        <f t="shared" si="21"/>
        <v>0</v>
      </c>
      <c r="J238">
        <f t="shared" si="22"/>
        <v>0</v>
      </c>
      <c r="K238" t="str">
        <f t="shared" si="23"/>
        <v>Ca40</v>
      </c>
    </row>
    <row r="239" spans="2:11" hidden="1" x14ac:dyDescent="0.2">
      <c r="B239" s="4">
        <v>20041</v>
      </c>
      <c r="C239" s="4">
        <v>0</v>
      </c>
      <c r="D239">
        <v>0</v>
      </c>
      <c r="E239" t="str">
        <f>VLOOKUP(B239,[1]Nuclides!A:E,5,FALSE)</f>
        <v>Ca41</v>
      </c>
      <c r="F239">
        <f>VLOOKUP(B239,[1]Nuclides!A:E,4,FALSE)</f>
        <v>3136825440000</v>
      </c>
      <c r="G239" t="str">
        <f t="shared" si="19"/>
        <v>99468.08y</v>
      </c>
      <c r="H239">
        <f t="shared" si="20"/>
        <v>2.2097091273269745E-13</v>
      </c>
      <c r="I239">
        <f t="shared" si="21"/>
        <v>0</v>
      </c>
      <c r="J239">
        <f t="shared" si="22"/>
        <v>0</v>
      </c>
      <c r="K239" t="str">
        <f t="shared" si="23"/>
        <v>Ca41</v>
      </c>
    </row>
    <row r="240" spans="2:11" hidden="1" x14ac:dyDescent="0.2">
      <c r="B240" s="4">
        <v>20042</v>
      </c>
      <c r="C240" s="4">
        <v>0</v>
      </c>
      <c r="D240">
        <v>0</v>
      </c>
      <c r="E240" t="str">
        <f>VLOOKUP(B240,[1]Nuclides!A:E,5,FALSE)</f>
        <v>Ca42</v>
      </c>
      <c r="F240" t="str">
        <f>VLOOKUP(B240,[1]Nuclides!A:E,4,FALSE)</f>
        <v>STABLE</v>
      </c>
      <c r="G240" t="str">
        <f t="shared" si="19"/>
        <v>STABLE</v>
      </c>
      <c r="H240" t="e">
        <f t="shared" si="20"/>
        <v>#VALUE!</v>
      </c>
      <c r="I240" t="e">
        <f t="shared" si="21"/>
        <v>#VALUE!</v>
      </c>
      <c r="J240" t="e">
        <f t="shared" si="22"/>
        <v>#VALUE!</v>
      </c>
      <c r="K240" t="str">
        <f t="shared" si="23"/>
        <v>Ca42</v>
      </c>
    </row>
    <row r="241" spans="2:11" hidden="1" x14ac:dyDescent="0.2">
      <c r="B241" s="4">
        <v>20043</v>
      </c>
      <c r="C241" s="4">
        <v>0</v>
      </c>
      <c r="D241">
        <v>0</v>
      </c>
      <c r="E241" t="str">
        <f>VLOOKUP(B241,[1]Nuclides!A:E,5,FALSE)</f>
        <v>Ca43</v>
      </c>
      <c r="F241" t="str">
        <f>VLOOKUP(B241,[1]Nuclides!A:E,4,FALSE)</f>
        <v>STABLE</v>
      </c>
      <c r="G241" t="str">
        <f t="shared" si="19"/>
        <v>STABLE</v>
      </c>
      <c r="H241" t="e">
        <f t="shared" si="20"/>
        <v>#VALUE!</v>
      </c>
      <c r="I241" t="e">
        <f t="shared" si="21"/>
        <v>#VALUE!</v>
      </c>
      <c r="J241" t="e">
        <f t="shared" si="22"/>
        <v>#VALUE!</v>
      </c>
      <c r="K241" t="str">
        <f t="shared" si="23"/>
        <v>Ca43</v>
      </c>
    </row>
    <row r="242" spans="2:11" hidden="1" x14ac:dyDescent="0.2">
      <c r="B242" s="4">
        <v>20044</v>
      </c>
      <c r="C242" s="4">
        <v>0</v>
      </c>
      <c r="D242">
        <v>0</v>
      </c>
      <c r="E242" t="str">
        <f>VLOOKUP(B242,[1]Nuclides!A:E,5,FALSE)</f>
        <v>Ca44</v>
      </c>
      <c r="F242" t="str">
        <f>VLOOKUP(B242,[1]Nuclides!A:E,4,FALSE)</f>
        <v>STABLE</v>
      </c>
      <c r="G242" t="str">
        <f t="shared" si="19"/>
        <v>STABLE</v>
      </c>
      <c r="H242" t="e">
        <f t="shared" si="20"/>
        <v>#VALUE!</v>
      </c>
      <c r="I242" t="e">
        <f t="shared" si="21"/>
        <v>#VALUE!</v>
      </c>
      <c r="J242" t="e">
        <f t="shared" si="22"/>
        <v>#VALUE!</v>
      </c>
      <c r="K242" t="str">
        <f t="shared" si="23"/>
        <v>Ca44</v>
      </c>
    </row>
    <row r="243" spans="2:11" hidden="1" x14ac:dyDescent="0.2">
      <c r="B243" s="4">
        <v>20045</v>
      </c>
      <c r="C243" s="4">
        <v>0</v>
      </c>
      <c r="D243">
        <v>0</v>
      </c>
      <c r="E243" t="str">
        <f>VLOOKUP(B243,[1]Nuclides!A:E,5,FALSE)</f>
        <v>Ca45</v>
      </c>
      <c r="F243">
        <f>VLOOKUP(B243,[1]Nuclides!A:E,4,FALSE)</f>
        <v>14049504</v>
      </c>
      <c r="G243" t="str">
        <f t="shared" si="19"/>
        <v>162.61d</v>
      </c>
      <c r="H243">
        <f t="shared" si="20"/>
        <v>4.9336060586903655E-8</v>
      </c>
      <c r="I243">
        <f t="shared" si="21"/>
        <v>0</v>
      </c>
      <c r="J243">
        <f t="shared" si="22"/>
        <v>0</v>
      </c>
      <c r="K243" t="str">
        <f t="shared" si="23"/>
        <v>Ca45</v>
      </c>
    </row>
    <row r="244" spans="2:11" hidden="1" x14ac:dyDescent="0.2">
      <c r="B244" s="4">
        <v>20046</v>
      </c>
      <c r="C244" s="4">
        <v>0</v>
      </c>
      <c r="D244">
        <v>0</v>
      </c>
      <c r="E244" t="str">
        <f>VLOOKUP(B244,[1]Nuclides!A:E,5,FALSE)</f>
        <v>Ca46</v>
      </c>
      <c r="F244">
        <f>VLOOKUP(B244,[1]Nuclides!A:E,4,FALSE)</f>
        <v>8.8361279999999998E+22</v>
      </c>
      <c r="G244" t="str">
        <f t="shared" si="19"/>
        <v>2801917808219180y</v>
      </c>
      <c r="H244">
        <f t="shared" si="20"/>
        <v>7.844467402010759E-24</v>
      </c>
      <c r="I244">
        <f t="shared" si="21"/>
        <v>0</v>
      </c>
      <c r="J244">
        <f t="shared" si="22"/>
        <v>0</v>
      </c>
      <c r="K244" t="str">
        <f t="shared" si="23"/>
        <v>Ca46</v>
      </c>
    </row>
    <row r="245" spans="2:11" hidden="1" x14ac:dyDescent="0.2">
      <c r="B245" s="4">
        <v>20047</v>
      </c>
      <c r="C245" s="4">
        <v>0</v>
      </c>
      <c r="D245">
        <v>0</v>
      </c>
      <c r="E245" t="str">
        <f>VLOOKUP(B245,[1]Nuclides!A:E,5,FALSE)</f>
        <v>Ca47</v>
      </c>
      <c r="F245">
        <f>VLOOKUP(B245,[1]Nuclides!A:E,4,FALSE)</f>
        <v>391910.39999999898</v>
      </c>
      <c r="G245" t="str">
        <f t="shared" si="19"/>
        <v>4.54d</v>
      </c>
      <c r="H245">
        <f t="shared" si="20"/>
        <v>1.7686368633237268E-6</v>
      </c>
      <c r="I245">
        <f t="shared" si="21"/>
        <v>0</v>
      </c>
      <c r="J245">
        <f t="shared" si="22"/>
        <v>0</v>
      </c>
      <c r="K245" t="str">
        <f t="shared" si="23"/>
        <v>Ca47</v>
      </c>
    </row>
    <row r="246" spans="2:11" hidden="1" x14ac:dyDescent="0.2">
      <c r="B246" s="4">
        <v>20048</v>
      </c>
      <c r="C246" s="4">
        <v>0</v>
      </c>
      <c r="D246">
        <v>0</v>
      </c>
      <c r="E246" t="str">
        <f>VLOOKUP(B246,[1]Nuclides!A:E,5,FALSE)</f>
        <v>Ca48</v>
      </c>
      <c r="F246">
        <f>VLOOKUP(B246,[1]Nuclides!A:E,4,FALSE)</f>
        <v>1.8303407999999899E+30</v>
      </c>
      <c r="G246" t="str">
        <f t="shared" si="19"/>
        <v>5.80397260273969E+22y</v>
      </c>
      <c r="H246">
        <f t="shared" si="20"/>
        <v>3.7869842630396979E-31</v>
      </c>
      <c r="I246">
        <f t="shared" si="21"/>
        <v>0</v>
      </c>
      <c r="J246">
        <f t="shared" si="22"/>
        <v>0</v>
      </c>
      <c r="K246" t="str">
        <f t="shared" si="23"/>
        <v>Ca48</v>
      </c>
    </row>
    <row r="247" spans="2:11" hidden="1" x14ac:dyDescent="0.2">
      <c r="B247" s="4">
        <v>20049</v>
      </c>
      <c r="C247" s="4">
        <v>0</v>
      </c>
      <c r="D247">
        <v>0</v>
      </c>
      <c r="E247" t="str">
        <f>VLOOKUP(B247,[1]Nuclides!A:E,5,FALSE)</f>
        <v>Ca49</v>
      </c>
      <c r="F247">
        <f>VLOOKUP(B247,[1]Nuclides!A:E,4,FALSE)</f>
        <v>523.08000000000004</v>
      </c>
      <c r="G247" t="str">
        <f t="shared" si="19"/>
        <v>8.72min</v>
      </c>
      <c r="H247">
        <f t="shared" si="20"/>
        <v>1.3251265209144783E-3</v>
      </c>
      <c r="I247">
        <f t="shared" si="21"/>
        <v>0</v>
      </c>
      <c r="J247">
        <f t="shared" si="22"/>
        <v>0</v>
      </c>
      <c r="K247" t="str">
        <f t="shared" si="23"/>
        <v>Ca49</v>
      </c>
    </row>
    <row r="248" spans="2:11" hidden="1" x14ac:dyDescent="0.2">
      <c r="B248" s="4">
        <v>20050</v>
      </c>
      <c r="C248" s="4">
        <v>0</v>
      </c>
      <c r="D248">
        <v>0</v>
      </c>
      <c r="E248" t="str">
        <f>VLOOKUP(B248,[1]Nuclides!A:E,5,FALSE)</f>
        <v>Ca50</v>
      </c>
      <c r="F248">
        <f>VLOOKUP(B248,[1]Nuclides!A:E,4,FALSE)</f>
        <v>13.9</v>
      </c>
      <c r="G248" t="str">
        <f t="shared" si="19"/>
        <v>13.9s</v>
      </c>
      <c r="H248">
        <f t="shared" si="20"/>
        <v>4.9866703637406133E-2</v>
      </c>
      <c r="I248">
        <f t="shared" si="21"/>
        <v>0</v>
      </c>
      <c r="J248">
        <f t="shared" si="22"/>
        <v>0</v>
      </c>
      <c r="K248" t="str">
        <f t="shared" si="23"/>
        <v>Ca50</v>
      </c>
    </row>
    <row r="249" spans="2:11" hidden="1" x14ac:dyDescent="0.2">
      <c r="B249" s="4">
        <v>20051</v>
      </c>
      <c r="C249" s="4">
        <v>0</v>
      </c>
      <c r="D249">
        <v>0</v>
      </c>
      <c r="E249" t="str">
        <f>VLOOKUP(B249,[1]Nuclides!A:E,5,FALSE)</f>
        <v>Ca51</v>
      </c>
      <c r="F249">
        <f>VLOOKUP(B249,[1]Nuclides!A:E,4,FALSE)</f>
        <v>10</v>
      </c>
      <c r="G249" t="str">
        <f t="shared" si="19"/>
        <v>10s</v>
      </c>
      <c r="H249">
        <f t="shared" si="20"/>
        <v>6.9314718055994526E-2</v>
      </c>
      <c r="I249">
        <f t="shared" si="21"/>
        <v>0</v>
      </c>
      <c r="J249">
        <f t="shared" si="22"/>
        <v>0</v>
      </c>
      <c r="K249" t="str">
        <f t="shared" si="23"/>
        <v>Ca51</v>
      </c>
    </row>
    <row r="250" spans="2:11" hidden="1" x14ac:dyDescent="0.2">
      <c r="B250" s="4">
        <v>21040</v>
      </c>
      <c r="C250" s="4">
        <v>0</v>
      </c>
      <c r="D250">
        <v>0</v>
      </c>
      <c r="E250" t="str">
        <f>VLOOKUP(B250,[1]Nuclides!A:E,5,FALSE)</f>
        <v>Sc40</v>
      </c>
      <c r="F250">
        <f>VLOOKUP(B250,[1]Nuclides!A:E,4,FALSE)</f>
        <v>0.18229999999999999</v>
      </c>
      <c r="G250" t="str">
        <f t="shared" si="19"/>
        <v>0.1823s</v>
      </c>
      <c r="H250">
        <f t="shared" si="20"/>
        <v>3.8022335741083122</v>
      </c>
      <c r="I250">
        <f t="shared" si="21"/>
        <v>0</v>
      </c>
      <c r="J250">
        <f t="shared" si="22"/>
        <v>0</v>
      </c>
      <c r="K250" t="str">
        <f t="shared" si="23"/>
        <v>Sc40</v>
      </c>
    </row>
    <row r="251" spans="2:11" hidden="1" x14ac:dyDescent="0.2">
      <c r="B251" s="4">
        <v>21041</v>
      </c>
      <c r="C251" s="4">
        <v>0</v>
      </c>
      <c r="D251">
        <v>0</v>
      </c>
      <c r="E251" t="str">
        <f>VLOOKUP(B251,[1]Nuclides!A:E,5,FALSE)</f>
        <v>Sc41</v>
      </c>
      <c r="F251">
        <f>VLOOKUP(B251,[1]Nuclides!A:E,4,FALSE)</f>
        <v>0.59629999999999905</v>
      </c>
      <c r="G251" t="str">
        <f t="shared" si="19"/>
        <v>0.596299999999999s</v>
      </c>
      <c r="H251">
        <f t="shared" si="20"/>
        <v>1.1624135176252663</v>
      </c>
      <c r="I251">
        <f t="shared" si="21"/>
        <v>0</v>
      </c>
      <c r="J251">
        <f t="shared" si="22"/>
        <v>0</v>
      </c>
      <c r="K251" t="str">
        <f t="shared" si="23"/>
        <v>Sc41</v>
      </c>
    </row>
    <row r="252" spans="2:11" hidden="1" x14ac:dyDescent="0.2">
      <c r="B252" s="4">
        <v>21042</v>
      </c>
      <c r="C252" s="4">
        <v>0</v>
      </c>
      <c r="D252">
        <v>0</v>
      </c>
      <c r="E252" t="str">
        <f>VLOOKUP(B252,[1]Nuclides!A:E,5,FALSE)</f>
        <v>Sc42</v>
      </c>
      <c r="F252">
        <f>VLOOKUP(B252,[1]Nuclides!A:E,4,FALSE)</f>
        <v>0.68069999999999997</v>
      </c>
      <c r="G252" t="str">
        <f t="shared" si="19"/>
        <v>0.6807s</v>
      </c>
      <c r="H252">
        <f t="shared" si="20"/>
        <v>1.0182858536211918</v>
      </c>
      <c r="I252">
        <f t="shared" si="21"/>
        <v>0</v>
      </c>
      <c r="J252">
        <f t="shared" si="22"/>
        <v>0</v>
      </c>
      <c r="K252" t="str">
        <f t="shared" si="23"/>
        <v>Sc42</v>
      </c>
    </row>
    <row r="253" spans="2:11" hidden="1" x14ac:dyDescent="0.2">
      <c r="B253" s="4">
        <v>21043</v>
      </c>
      <c r="C253" s="4">
        <v>0</v>
      </c>
      <c r="D253">
        <v>0</v>
      </c>
      <c r="E253" t="str">
        <f>VLOOKUP(B253,[1]Nuclides!A:E,5,FALSE)</f>
        <v>Sc43</v>
      </c>
      <c r="F253">
        <f>VLOOKUP(B253,[1]Nuclides!A:E,4,FALSE)</f>
        <v>14007.6</v>
      </c>
      <c r="G253" t="str">
        <f t="shared" si="19"/>
        <v>3.89h</v>
      </c>
      <c r="H253">
        <f t="shared" si="20"/>
        <v>4.9483650344095011E-5</v>
      </c>
      <c r="I253">
        <f t="shared" si="21"/>
        <v>0</v>
      </c>
      <c r="J253">
        <f t="shared" si="22"/>
        <v>0</v>
      </c>
      <c r="K253" t="str">
        <f t="shared" si="23"/>
        <v>Sc43</v>
      </c>
    </row>
    <row r="254" spans="2:11" hidden="1" x14ac:dyDescent="0.2">
      <c r="B254" s="4">
        <v>21044</v>
      </c>
      <c r="C254" s="4">
        <v>0</v>
      </c>
      <c r="D254">
        <v>0</v>
      </c>
      <c r="E254" t="str">
        <f>VLOOKUP(B254,[1]Nuclides!A:E,5,FALSE)</f>
        <v>Sc44</v>
      </c>
      <c r="F254">
        <f>VLOOKUP(B254,[1]Nuclides!A:E,4,FALSE)</f>
        <v>14292</v>
      </c>
      <c r="G254" t="str">
        <f t="shared" si="19"/>
        <v>3.97h</v>
      </c>
      <c r="H254">
        <f t="shared" si="20"/>
        <v>4.8498963095434182E-5</v>
      </c>
      <c r="I254">
        <f t="shared" si="21"/>
        <v>0</v>
      </c>
      <c r="J254">
        <f t="shared" si="22"/>
        <v>0</v>
      </c>
      <c r="K254" t="str">
        <f t="shared" si="23"/>
        <v>Sc44</v>
      </c>
    </row>
    <row r="255" spans="2:11" hidden="1" x14ac:dyDescent="0.2">
      <c r="B255" s="4">
        <v>21045</v>
      </c>
      <c r="C255" s="4">
        <v>0</v>
      </c>
      <c r="D255">
        <v>0</v>
      </c>
      <c r="E255" t="str">
        <f>VLOOKUP(B255,[1]Nuclides!A:E,5,FALSE)</f>
        <v>Sc45</v>
      </c>
      <c r="F255" t="str">
        <f>VLOOKUP(B255,[1]Nuclides!A:E,4,FALSE)</f>
        <v>STABLE</v>
      </c>
      <c r="G255" t="str">
        <f t="shared" si="19"/>
        <v>STABLE</v>
      </c>
      <c r="H255" t="e">
        <f t="shared" si="20"/>
        <v>#VALUE!</v>
      </c>
      <c r="I255" t="e">
        <f t="shared" si="21"/>
        <v>#VALUE!</v>
      </c>
      <c r="J255" t="e">
        <f t="shared" si="22"/>
        <v>#VALUE!</v>
      </c>
      <c r="K255" t="str">
        <f t="shared" si="23"/>
        <v>Sc45</v>
      </c>
    </row>
    <row r="256" spans="2:11" hidden="1" x14ac:dyDescent="0.2">
      <c r="B256" s="4">
        <v>21046</v>
      </c>
      <c r="C256" s="4">
        <v>0</v>
      </c>
      <c r="D256">
        <v>0</v>
      </c>
      <c r="E256" t="str">
        <f>VLOOKUP(B256,[1]Nuclides!A:E,5,FALSE)</f>
        <v>Sc46</v>
      </c>
      <c r="F256">
        <f>VLOOKUP(B256,[1]Nuclides!A:E,4,FALSE)</f>
        <v>7239456</v>
      </c>
      <c r="G256" t="str">
        <f t="shared" si="19"/>
        <v>83.79d</v>
      </c>
      <c r="H256">
        <f t="shared" si="20"/>
        <v>9.5745755006998491E-8</v>
      </c>
      <c r="I256">
        <f t="shared" si="21"/>
        <v>0</v>
      </c>
      <c r="J256">
        <f t="shared" si="22"/>
        <v>0</v>
      </c>
      <c r="K256" t="str">
        <f t="shared" si="23"/>
        <v>Sc46</v>
      </c>
    </row>
    <row r="257" spans="2:11" hidden="1" x14ac:dyDescent="0.2">
      <c r="B257" s="4">
        <v>21047</v>
      </c>
      <c r="C257" s="4">
        <v>0</v>
      </c>
      <c r="D257">
        <v>0</v>
      </c>
      <c r="E257" t="str">
        <f>VLOOKUP(B257,[1]Nuclides!A:E,5,FALSE)</f>
        <v>Sc47</v>
      </c>
      <c r="F257">
        <f>VLOOKUP(B257,[1]Nuclides!A:E,4,FALSE)</f>
        <v>289370.88</v>
      </c>
      <c r="G257" t="str">
        <f t="shared" si="19"/>
        <v>3.35d</v>
      </c>
      <c r="H257">
        <f t="shared" si="20"/>
        <v>2.3953591341324507E-6</v>
      </c>
      <c r="I257">
        <f t="shared" si="21"/>
        <v>0</v>
      </c>
      <c r="J257">
        <f t="shared" si="22"/>
        <v>0</v>
      </c>
      <c r="K257" t="str">
        <f t="shared" si="23"/>
        <v>Sc47</v>
      </c>
    </row>
    <row r="258" spans="2:11" hidden="1" x14ac:dyDescent="0.2">
      <c r="B258" s="4">
        <v>21048</v>
      </c>
      <c r="C258" s="4">
        <v>0</v>
      </c>
      <c r="D258">
        <v>0</v>
      </c>
      <c r="E258" t="str">
        <f>VLOOKUP(B258,[1]Nuclides!A:E,5,FALSE)</f>
        <v>Sc48</v>
      </c>
      <c r="F258">
        <f>VLOOKUP(B258,[1]Nuclides!A:E,4,FALSE)</f>
        <v>157212</v>
      </c>
      <c r="G258" t="str">
        <f t="shared" si="19"/>
        <v>1.82d</v>
      </c>
      <c r="H258">
        <f t="shared" si="20"/>
        <v>4.4089966450394709E-6</v>
      </c>
      <c r="I258">
        <f t="shared" si="21"/>
        <v>0</v>
      </c>
      <c r="J258">
        <f t="shared" si="22"/>
        <v>0</v>
      </c>
      <c r="K258" t="str">
        <f t="shared" si="23"/>
        <v>Sc48</v>
      </c>
    </row>
    <row r="259" spans="2:11" hidden="1" x14ac:dyDescent="0.2">
      <c r="B259" s="4">
        <v>21049</v>
      </c>
      <c r="C259" s="4">
        <v>0</v>
      </c>
      <c r="D259">
        <v>0</v>
      </c>
      <c r="E259" t="str">
        <f>VLOOKUP(B259,[1]Nuclides!A:E,5,FALSE)</f>
        <v>Sc49</v>
      </c>
      <c r="F259">
        <f>VLOOKUP(B259,[1]Nuclides!A:E,4,FALSE)</f>
        <v>3430.8</v>
      </c>
      <c r="G259" t="str">
        <f t="shared" si="19"/>
        <v>57.18min</v>
      </c>
      <c r="H259">
        <f t="shared" si="20"/>
        <v>2.0203660387080135E-4</v>
      </c>
      <c r="I259">
        <f t="shared" si="21"/>
        <v>0</v>
      </c>
      <c r="J259">
        <f t="shared" si="22"/>
        <v>0</v>
      </c>
      <c r="K259" t="str">
        <f t="shared" si="23"/>
        <v>Sc49</v>
      </c>
    </row>
    <row r="260" spans="2:11" hidden="1" x14ac:dyDescent="0.2">
      <c r="B260" s="4">
        <v>21050</v>
      </c>
      <c r="C260" s="4">
        <v>0</v>
      </c>
      <c r="D260">
        <v>0</v>
      </c>
      <c r="E260" t="str">
        <f>VLOOKUP(B260,[1]Nuclides!A:E,5,FALSE)</f>
        <v>Sc50</v>
      </c>
      <c r="F260">
        <f>VLOOKUP(B260,[1]Nuclides!A:E,4,FALSE)</f>
        <v>102.5</v>
      </c>
      <c r="G260" t="str">
        <f t="shared" si="19"/>
        <v>1.71min</v>
      </c>
      <c r="H260">
        <f t="shared" si="20"/>
        <v>6.7624115176580027E-3</v>
      </c>
      <c r="I260">
        <f t="shared" si="21"/>
        <v>0</v>
      </c>
      <c r="J260">
        <f t="shared" si="22"/>
        <v>0</v>
      </c>
      <c r="K260" t="str">
        <f t="shared" si="23"/>
        <v>Sc50</v>
      </c>
    </row>
    <row r="261" spans="2:11" hidden="1" x14ac:dyDescent="0.2">
      <c r="B261" s="4">
        <v>21051</v>
      </c>
      <c r="C261" s="4">
        <v>0</v>
      </c>
      <c r="D261">
        <v>0</v>
      </c>
      <c r="E261" t="str">
        <f>VLOOKUP(B261,[1]Nuclides!A:E,5,FALSE)</f>
        <v>Sc51</v>
      </c>
      <c r="F261">
        <f>VLOOKUP(B261,[1]Nuclides!A:E,4,FALSE)</f>
        <v>12.4</v>
      </c>
      <c r="G261" t="str">
        <f t="shared" ref="G261:G324" si="24">IF(F261="STABLE", "STABLE", IF(F261&lt;60, F261&amp;"s", IF(F261&lt;3600, ROUND(F261/60,2)&amp;"min", IF(F261&lt;86400, ROUND(F261/3600,2)&amp;"h", IF(F261&lt;31536000, ROUND(F261/86400,2)&amp;"d", ROUND(F261/31536000,2)&amp;"y")))))</f>
        <v>12.4s</v>
      </c>
      <c r="H261">
        <f t="shared" ref="H261:H324" si="25">LN(2)/F261</f>
        <v>5.5898966174189137E-2</v>
      </c>
      <c r="I261">
        <f t="shared" ref="I261:I324" si="26">60*6240000000000*C261*(1-EXP(-H261*2*3600))</f>
        <v>0</v>
      </c>
      <c r="J261">
        <f t="shared" ref="J261:J323" si="27">I261*EXP(-H261*96*3600)</f>
        <v>0</v>
      </c>
      <c r="K261" t="str">
        <f t="shared" ref="K261:K324" si="28">E261</f>
        <v>Sc51</v>
      </c>
    </row>
    <row r="262" spans="2:11" hidden="1" x14ac:dyDescent="0.2">
      <c r="B262" s="4">
        <v>22041</v>
      </c>
      <c r="C262" s="4">
        <v>0</v>
      </c>
      <c r="D262">
        <v>0</v>
      </c>
      <c r="E262" t="str">
        <f>VLOOKUP(B262,[1]Nuclides!A:E,5,FALSE)</f>
        <v>Ti41</v>
      </c>
      <c r="F262">
        <f>VLOOKUP(B262,[1]Nuclides!A:E,4,FALSE)</f>
        <v>8.1900000000000001E-2</v>
      </c>
      <c r="G262" t="str">
        <f t="shared" si="24"/>
        <v>0.0819s</v>
      </c>
      <c r="H262">
        <f t="shared" si="25"/>
        <v>8.4633355379724691</v>
      </c>
      <c r="I262">
        <f t="shared" si="26"/>
        <v>0</v>
      </c>
      <c r="J262">
        <f t="shared" si="27"/>
        <v>0</v>
      </c>
      <c r="K262" t="str">
        <f t="shared" si="28"/>
        <v>Ti41</v>
      </c>
    </row>
    <row r="263" spans="2:11" hidden="1" x14ac:dyDescent="0.2">
      <c r="B263" s="4">
        <v>22042</v>
      </c>
      <c r="C263" s="4">
        <v>0</v>
      </c>
      <c r="D263">
        <v>0</v>
      </c>
      <c r="E263" t="str">
        <f>VLOOKUP(B263,[1]Nuclides!A:E,5,FALSE)</f>
        <v>Ti42</v>
      </c>
      <c r="F263">
        <f>VLOOKUP(B263,[1]Nuclides!A:E,4,FALSE)</f>
        <v>0.20865</v>
      </c>
      <c r="G263" t="str">
        <f t="shared" si="24"/>
        <v>0.20865s</v>
      </c>
      <c r="H263">
        <f t="shared" si="25"/>
        <v>3.3220569401387263</v>
      </c>
      <c r="I263">
        <f t="shared" si="26"/>
        <v>0</v>
      </c>
      <c r="J263">
        <f t="shared" si="27"/>
        <v>0</v>
      </c>
      <c r="K263" t="str">
        <f t="shared" si="28"/>
        <v>Ti42</v>
      </c>
    </row>
    <row r="264" spans="2:11" hidden="1" x14ac:dyDescent="0.2">
      <c r="B264" s="4">
        <v>22043</v>
      </c>
      <c r="C264" s="4">
        <v>0</v>
      </c>
      <c r="D264">
        <v>0</v>
      </c>
      <c r="E264" t="str">
        <f>VLOOKUP(B264,[1]Nuclides!A:E,5,FALSE)</f>
        <v>Ti43</v>
      </c>
      <c r="F264">
        <f>VLOOKUP(B264,[1]Nuclides!A:E,4,FALSE)</f>
        <v>0.50900000000000001</v>
      </c>
      <c r="G264" t="str">
        <f t="shared" si="24"/>
        <v>0.509s</v>
      </c>
      <c r="H264">
        <f t="shared" si="25"/>
        <v>1.361782280078478</v>
      </c>
      <c r="I264">
        <f t="shared" si="26"/>
        <v>0</v>
      </c>
      <c r="J264">
        <f t="shared" si="27"/>
        <v>0</v>
      </c>
      <c r="K264" t="str">
        <f t="shared" si="28"/>
        <v>Ti43</v>
      </c>
    </row>
    <row r="265" spans="2:11" hidden="1" x14ac:dyDescent="0.2">
      <c r="B265" s="4">
        <v>22044</v>
      </c>
      <c r="C265" s="4">
        <v>0</v>
      </c>
      <c r="D265">
        <v>0</v>
      </c>
      <c r="E265" t="str">
        <f>VLOOKUP(B265,[1]Nuclides!A:E,5,FALSE)</f>
        <v>Ti44</v>
      </c>
      <c r="F265">
        <f>VLOOKUP(B265,[1]Nuclides!A:E,4,FALSE)</f>
        <v>1893456000</v>
      </c>
      <c r="G265" t="str">
        <f t="shared" si="24"/>
        <v>60.04y</v>
      </c>
      <c r="H265">
        <f t="shared" si="25"/>
        <v>3.6607514542716876E-10</v>
      </c>
      <c r="I265">
        <f t="shared" si="26"/>
        <v>0</v>
      </c>
      <c r="J265">
        <f t="shared" si="27"/>
        <v>0</v>
      </c>
      <c r="K265" t="str">
        <f t="shared" si="28"/>
        <v>Ti44</v>
      </c>
    </row>
    <row r="266" spans="2:11" hidden="1" x14ac:dyDescent="0.2">
      <c r="B266" s="4">
        <v>22045</v>
      </c>
      <c r="C266" s="4">
        <v>0</v>
      </c>
      <c r="D266">
        <v>0</v>
      </c>
      <c r="E266" t="str">
        <f>VLOOKUP(B266,[1]Nuclides!A:E,5,FALSE)</f>
        <v>Ti45</v>
      </c>
      <c r="F266">
        <f>VLOOKUP(B266,[1]Nuclides!A:E,4,FALSE)</f>
        <v>11088</v>
      </c>
      <c r="G266" t="str">
        <f t="shared" si="24"/>
        <v>3.08h</v>
      </c>
      <c r="H266">
        <f t="shared" si="25"/>
        <v>6.2513273860023921E-5</v>
      </c>
      <c r="I266">
        <f t="shared" si="26"/>
        <v>0</v>
      </c>
      <c r="J266">
        <f t="shared" si="27"/>
        <v>0</v>
      </c>
      <c r="K266" t="str">
        <f t="shared" si="28"/>
        <v>Ti45</v>
      </c>
    </row>
    <row r="267" spans="2:11" hidden="1" x14ac:dyDescent="0.2">
      <c r="B267" s="4">
        <v>22046</v>
      </c>
      <c r="C267" s="4">
        <v>0</v>
      </c>
      <c r="D267">
        <v>0</v>
      </c>
      <c r="E267" t="str">
        <f>VLOOKUP(B267,[1]Nuclides!A:E,5,FALSE)</f>
        <v>Ti46</v>
      </c>
      <c r="F267" t="str">
        <f>VLOOKUP(B267,[1]Nuclides!A:E,4,FALSE)</f>
        <v>STABLE</v>
      </c>
      <c r="G267" t="str">
        <f t="shared" si="24"/>
        <v>STABLE</v>
      </c>
      <c r="H267" t="e">
        <f t="shared" si="25"/>
        <v>#VALUE!</v>
      </c>
      <c r="I267" t="e">
        <f t="shared" si="26"/>
        <v>#VALUE!</v>
      </c>
      <c r="J267" t="e">
        <f t="shared" si="27"/>
        <v>#VALUE!</v>
      </c>
      <c r="K267" t="str">
        <f t="shared" si="28"/>
        <v>Ti46</v>
      </c>
    </row>
    <row r="268" spans="2:11" hidden="1" x14ac:dyDescent="0.2">
      <c r="B268" s="4">
        <v>22047</v>
      </c>
      <c r="C268" s="4">
        <v>0</v>
      </c>
      <c r="D268">
        <v>0</v>
      </c>
      <c r="E268" t="str">
        <f>VLOOKUP(B268,[1]Nuclides!A:E,5,FALSE)</f>
        <v>Ti47</v>
      </c>
      <c r="F268" t="str">
        <f>VLOOKUP(B268,[1]Nuclides!A:E,4,FALSE)</f>
        <v>STABLE</v>
      </c>
      <c r="G268" t="str">
        <f t="shared" si="24"/>
        <v>STABLE</v>
      </c>
      <c r="H268" t="e">
        <f t="shared" si="25"/>
        <v>#VALUE!</v>
      </c>
      <c r="I268" t="e">
        <f t="shared" si="26"/>
        <v>#VALUE!</v>
      </c>
      <c r="J268" t="e">
        <f t="shared" si="27"/>
        <v>#VALUE!</v>
      </c>
      <c r="K268" t="str">
        <f t="shared" si="28"/>
        <v>Ti47</v>
      </c>
    </row>
    <row r="269" spans="2:11" hidden="1" x14ac:dyDescent="0.2">
      <c r="B269" s="4">
        <v>22048</v>
      </c>
      <c r="C269" s="4">
        <v>0</v>
      </c>
      <c r="D269">
        <v>0</v>
      </c>
      <c r="E269" t="str">
        <f>VLOOKUP(B269,[1]Nuclides!A:E,5,FALSE)</f>
        <v>Ti48</v>
      </c>
      <c r="F269" t="str">
        <f>VLOOKUP(B269,[1]Nuclides!A:E,4,FALSE)</f>
        <v>STABLE</v>
      </c>
      <c r="G269" t="str">
        <f t="shared" si="24"/>
        <v>STABLE</v>
      </c>
      <c r="H269" t="e">
        <f t="shared" si="25"/>
        <v>#VALUE!</v>
      </c>
      <c r="I269" t="e">
        <f t="shared" si="26"/>
        <v>#VALUE!</v>
      </c>
      <c r="J269" t="e">
        <f t="shared" si="27"/>
        <v>#VALUE!</v>
      </c>
      <c r="K269" t="str">
        <f t="shared" si="28"/>
        <v>Ti48</v>
      </c>
    </row>
    <row r="270" spans="2:11" hidden="1" x14ac:dyDescent="0.2">
      <c r="B270" s="4">
        <v>22049</v>
      </c>
      <c r="C270" s="4">
        <v>0</v>
      </c>
      <c r="D270">
        <v>0</v>
      </c>
      <c r="E270" t="str">
        <f>VLOOKUP(B270,[1]Nuclides!A:E,5,FALSE)</f>
        <v>Ti49</v>
      </c>
      <c r="F270" t="str">
        <f>VLOOKUP(B270,[1]Nuclides!A:E,4,FALSE)</f>
        <v>STABLE</v>
      </c>
      <c r="G270" t="str">
        <f t="shared" si="24"/>
        <v>STABLE</v>
      </c>
      <c r="H270" t="e">
        <f t="shared" si="25"/>
        <v>#VALUE!</v>
      </c>
      <c r="I270" t="e">
        <f t="shared" si="26"/>
        <v>#VALUE!</v>
      </c>
      <c r="J270" t="e">
        <f t="shared" si="27"/>
        <v>#VALUE!</v>
      </c>
      <c r="K270" t="str">
        <f t="shared" si="28"/>
        <v>Ti49</v>
      </c>
    </row>
    <row r="271" spans="2:11" hidden="1" x14ac:dyDescent="0.2">
      <c r="B271" s="4">
        <v>22050</v>
      </c>
      <c r="C271" s="4">
        <v>0</v>
      </c>
      <c r="D271">
        <v>0</v>
      </c>
      <c r="E271" t="str">
        <f>VLOOKUP(B271,[1]Nuclides!A:E,5,FALSE)</f>
        <v>Ti50</v>
      </c>
      <c r="F271" t="str">
        <f>VLOOKUP(B271,[1]Nuclides!A:E,4,FALSE)</f>
        <v>STABLE</v>
      </c>
      <c r="G271" t="str">
        <f t="shared" si="24"/>
        <v>STABLE</v>
      </c>
      <c r="H271" t="e">
        <f t="shared" si="25"/>
        <v>#VALUE!</v>
      </c>
      <c r="I271" t="e">
        <f t="shared" si="26"/>
        <v>#VALUE!</v>
      </c>
      <c r="J271" t="e">
        <f t="shared" si="27"/>
        <v>#VALUE!</v>
      </c>
      <c r="K271" t="str">
        <f t="shared" si="28"/>
        <v>Ti50</v>
      </c>
    </row>
    <row r="272" spans="2:11" hidden="1" x14ac:dyDescent="0.2">
      <c r="B272" s="4">
        <v>22051</v>
      </c>
      <c r="C272" s="4">
        <v>0</v>
      </c>
      <c r="D272">
        <v>0</v>
      </c>
      <c r="E272" t="str">
        <f>VLOOKUP(B272,[1]Nuclides!A:E,5,FALSE)</f>
        <v>Ti51</v>
      </c>
      <c r="F272">
        <f>VLOOKUP(B272,[1]Nuclides!A:E,4,FALSE)</f>
        <v>345.599999999999</v>
      </c>
      <c r="G272" t="str">
        <f t="shared" si="24"/>
        <v>5.76min</v>
      </c>
      <c r="H272">
        <f t="shared" si="25"/>
        <v>2.0056342030091065E-3</v>
      </c>
      <c r="I272">
        <f t="shared" si="26"/>
        <v>0</v>
      </c>
      <c r="J272">
        <f t="shared" si="27"/>
        <v>0</v>
      </c>
      <c r="K272" t="str">
        <f t="shared" si="28"/>
        <v>Ti51</v>
      </c>
    </row>
    <row r="273" spans="2:15" hidden="1" x14ac:dyDescent="0.2">
      <c r="B273" s="4">
        <v>22052</v>
      </c>
      <c r="C273" s="4">
        <v>0</v>
      </c>
      <c r="D273">
        <v>0</v>
      </c>
      <c r="E273" t="str">
        <f>VLOOKUP(B273,[1]Nuclides!A:E,5,FALSE)</f>
        <v>Ti52</v>
      </c>
      <c r="F273">
        <f>VLOOKUP(B273,[1]Nuclides!A:E,4,FALSE)</f>
        <v>102</v>
      </c>
      <c r="G273" t="str">
        <f t="shared" si="24"/>
        <v>1.7min</v>
      </c>
      <c r="H273">
        <f t="shared" si="25"/>
        <v>6.7955605937249537E-3</v>
      </c>
      <c r="I273">
        <f t="shared" si="26"/>
        <v>0</v>
      </c>
      <c r="J273">
        <f t="shared" si="27"/>
        <v>0</v>
      </c>
      <c r="K273" t="str">
        <f t="shared" si="28"/>
        <v>Ti52</v>
      </c>
    </row>
    <row r="274" spans="2:15" hidden="1" x14ac:dyDescent="0.2">
      <c r="B274" s="4">
        <v>22053</v>
      </c>
      <c r="C274" s="4">
        <v>0</v>
      </c>
      <c r="D274">
        <v>0</v>
      </c>
      <c r="E274" t="str">
        <f>VLOOKUP(B274,[1]Nuclides!A:E,5,FALSE)</f>
        <v>Ti53</v>
      </c>
      <c r="F274">
        <f>VLOOKUP(B274,[1]Nuclides!A:E,4,FALSE)</f>
        <v>32.700000000000003</v>
      </c>
      <c r="G274" t="str">
        <f t="shared" si="24"/>
        <v>32.7s</v>
      </c>
      <c r="H274">
        <f t="shared" si="25"/>
        <v>2.1197161485013615E-2</v>
      </c>
      <c r="I274">
        <f t="shared" si="26"/>
        <v>0</v>
      </c>
      <c r="J274">
        <f t="shared" si="27"/>
        <v>0</v>
      </c>
      <c r="K274" t="str">
        <f t="shared" si="28"/>
        <v>Ti53</v>
      </c>
    </row>
    <row r="275" spans="2:15" hidden="1" x14ac:dyDescent="0.2">
      <c r="B275" s="4">
        <v>22054</v>
      </c>
      <c r="C275" s="4">
        <v>0</v>
      </c>
      <c r="D275">
        <v>0</v>
      </c>
      <c r="E275" t="str">
        <f>VLOOKUP(B275,[1]Nuclides!A:E,5,FALSE)</f>
        <v>Ti54</v>
      </c>
      <c r="F275">
        <f>VLOOKUP(B275,[1]Nuclides!A:E,4,FALSE)</f>
        <v>2.1</v>
      </c>
      <c r="G275" t="str">
        <f t="shared" si="24"/>
        <v>2.1s</v>
      </c>
      <c r="H275">
        <f t="shared" si="25"/>
        <v>0.3300700859809263</v>
      </c>
      <c r="I275">
        <f t="shared" si="26"/>
        <v>0</v>
      </c>
      <c r="J275">
        <f t="shared" si="27"/>
        <v>0</v>
      </c>
      <c r="K275" t="str">
        <f t="shared" si="28"/>
        <v>Ti54</v>
      </c>
    </row>
    <row r="276" spans="2:15" hidden="1" x14ac:dyDescent="0.2">
      <c r="B276" s="4">
        <v>23044</v>
      </c>
      <c r="C276" s="4">
        <v>0</v>
      </c>
      <c r="D276">
        <v>0</v>
      </c>
      <c r="E276" t="str">
        <f>VLOOKUP(B276,[1]Nuclides!A:E,5,FALSE)</f>
        <v>V44</v>
      </c>
      <c r="F276">
        <f>VLOOKUP(B276,[1]Nuclides!A:E,4,FALSE)</f>
        <v>0.111</v>
      </c>
      <c r="G276" t="str">
        <f t="shared" si="24"/>
        <v>0.111s</v>
      </c>
      <c r="H276">
        <f t="shared" si="25"/>
        <v>6.2445691942337413</v>
      </c>
      <c r="I276">
        <f t="shared" si="26"/>
        <v>0</v>
      </c>
      <c r="J276">
        <f t="shared" si="27"/>
        <v>0</v>
      </c>
      <c r="K276" t="str">
        <f t="shared" si="28"/>
        <v>V44</v>
      </c>
    </row>
    <row r="277" spans="2:15" hidden="1" x14ac:dyDescent="0.2">
      <c r="B277" s="4">
        <v>23045</v>
      </c>
      <c r="C277" s="4">
        <v>0</v>
      </c>
      <c r="D277">
        <v>0</v>
      </c>
      <c r="E277" t="str">
        <f>VLOOKUP(B277,[1]Nuclides!A:E,5,FALSE)</f>
        <v>V45</v>
      </c>
      <c r="F277">
        <f>VLOOKUP(B277,[1]Nuclides!A:E,4,FALSE)</f>
        <v>0.54700000000000004</v>
      </c>
      <c r="G277" t="str">
        <f t="shared" si="24"/>
        <v>0.547s</v>
      </c>
      <c r="H277">
        <f t="shared" si="25"/>
        <v>1.2671794891406678</v>
      </c>
      <c r="I277">
        <f t="shared" si="26"/>
        <v>0</v>
      </c>
      <c r="J277">
        <f t="shared" si="27"/>
        <v>0</v>
      </c>
      <c r="K277" t="str">
        <f t="shared" si="28"/>
        <v>V45</v>
      </c>
    </row>
    <row r="278" spans="2:15" hidden="1" x14ac:dyDescent="0.2">
      <c r="B278" s="4">
        <v>23046</v>
      </c>
      <c r="C278" s="4">
        <v>0</v>
      </c>
      <c r="D278">
        <v>0</v>
      </c>
      <c r="E278" t="str">
        <f>VLOOKUP(B278,[1]Nuclides!A:E,5,FALSE)</f>
        <v>V46</v>
      </c>
      <c r="F278">
        <f>VLOOKUP(B278,[1]Nuclides!A:E,4,FALSE)</f>
        <v>0.42249999999999999</v>
      </c>
      <c r="G278" t="str">
        <f t="shared" si="24"/>
        <v>0.4225s</v>
      </c>
      <c r="H278">
        <f t="shared" si="25"/>
        <v>1.6405850427454327</v>
      </c>
      <c r="I278">
        <f t="shared" si="26"/>
        <v>0</v>
      </c>
      <c r="J278">
        <f t="shared" si="27"/>
        <v>0</v>
      </c>
      <c r="K278" t="str">
        <f t="shared" si="28"/>
        <v>V46</v>
      </c>
    </row>
    <row r="279" spans="2:15" hidden="1" x14ac:dyDescent="0.2">
      <c r="B279" s="4">
        <v>23047</v>
      </c>
      <c r="C279" s="4">
        <v>1E-8</v>
      </c>
      <c r="D279">
        <v>1</v>
      </c>
      <c r="E279" t="str">
        <f>VLOOKUP(B279,[1]Nuclides!A:E,5,FALSE)</f>
        <v>V47</v>
      </c>
      <c r="F279">
        <f>VLOOKUP(B279,[1]Nuclides!A:E,4,FALSE)</f>
        <v>1956</v>
      </c>
      <c r="G279" t="str">
        <f t="shared" si="24"/>
        <v>32.6min</v>
      </c>
      <c r="H279">
        <f t="shared" si="25"/>
        <v>3.5436972421265094E-4</v>
      </c>
      <c r="I279">
        <f t="shared" si="26"/>
        <v>3452089.3322009649</v>
      </c>
      <c r="J279">
        <f t="shared" si="27"/>
        <v>2.2385154308604432E-47</v>
      </c>
      <c r="K279" t="str">
        <f t="shared" si="28"/>
        <v>V47</v>
      </c>
    </row>
    <row r="280" spans="2:15" hidden="1" x14ac:dyDescent="0.2">
      <c r="B280" s="4">
        <v>23048</v>
      </c>
      <c r="C280" s="4">
        <v>0</v>
      </c>
      <c r="D280">
        <v>0</v>
      </c>
      <c r="E280" t="str">
        <f>VLOOKUP(B280,[1]Nuclides!A:E,5,FALSE)</f>
        <v>V48</v>
      </c>
      <c r="F280">
        <f>VLOOKUP(B280,[1]Nuclides!A:E,4,FALSE)</f>
        <v>1380110.4</v>
      </c>
      <c r="G280" t="str">
        <f t="shared" si="24"/>
        <v>15.97d</v>
      </c>
      <c r="H280">
        <f t="shared" si="25"/>
        <v>5.0224038639223745E-7</v>
      </c>
      <c r="I280">
        <f t="shared" si="26"/>
        <v>0</v>
      </c>
      <c r="J280">
        <f t="shared" si="27"/>
        <v>0</v>
      </c>
      <c r="K280" t="str">
        <f t="shared" si="28"/>
        <v>V48</v>
      </c>
    </row>
    <row r="281" spans="2:15" x14ac:dyDescent="0.2">
      <c r="B281" s="4">
        <v>23049</v>
      </c>
      <c r="C281" s="4">
        <v>5.2E-7</v>
      </c>
      <c r="D281">
        <v>0.13869999999999999</v>
      </c>
      <c r="E281" t="str">
        <f>VLOOKUP(B281,[1]Nuclides!A:E,5,FALSE)</f>
        <v>V49</v>
      </c>
      <c r="F281" s="4">
        <f>VLOOKUP(B281,[1]Nuclides!A:E,4,FALSE)</f>
        <v>28512000</v>
      </c>
      <c r="G281" s="4" t="str">
        <f t="shared" si="24"/>
        <v>330d</v>
      </c>
      <c r="H281" s="4">
        <f t="shared" si="25"/>
        <v>2.4310717612231527E-8</v>
      </c>
      <c r="I281" s="4">
        <f t="shared" si="26"/>
        <v>34074.653679121337</v>
      </c>
      <c r="J281" s="4">
        <f>I281*EXP(-H281*24*30*3600)</f>
        <v>31993.745609419657</v>
      </c>
      <c r="K281" s="4" t="str">
        <f t="shared" si="28"/>
        <v>V49</v>
      </c>
      <c r="M281" s="4" t="str">
        <f>K281</f>
        <v>V49</v>
      </c>
      <c r="N281" s="4">
        <f>J281</f>
        <v>31993.745609419657</v>
      </c>
      <c r="O281">
        <f>0</f>
        <v>0</v>
      </c>
    </row>
    <row r="282" spans="2:15" hidden="1" x14ac:dyDescent="0.2">
      <c r="B282" s="4">
        <v>23050</v>
      </c>
      <c r="C282" s="4">
        <v>1.4000000000000001E-7</v>
      </c>
      <c r="D282">
        <v>0.26729999999999998</v>
      </c>
      <c r="E282" t="str">
        <f>VLOOKUP(B282,[1]Nuclides!A:E,5,FALSE)</f>
        <v>V50</v>
      </c>
      <c r="F282">
        <f>VLOOKUP(B282,[1]Nuclides!A:E,4,FALSE)</f>
        <v>6.6270959999999998E+24</v>
      </c>
      <c r="G282" t="str">
        <f t="shared" si="24"/>
        <v>210143835616438000y</v>
      </c>
      <c r="H282">
        <f t="shared" si="25"/>
        <v>1.045928986934768E-25</v>
      </c>
      <c r="I282">
        <f t="shared" si="26"/>
        <v>0</v>
      </c>
      <c r="J282">
        <f t="shared" si="27"/>
        <v>0</v>
      </c>
      <c r="K282" t="str">
        <f t="shared" si="28"/>
        <v>V50</v>
      </c>
    </row>
    <row r="283" spans="2:15" hidden="1" x14ac:dyDescent="0.2">
      <c r="B283" s="4">
        <v>23051</v>
      </c>
      <c r="C283" s="4">
        <v>2.9999999999999997E-8</v>
      </c>
      <c r="D283">
        <v>0.57740000000000002</v>
      </c>
      <c r="E283" t="str">
        <f>VLOOKUP(B283,[1]Nuclides!A:E,5,FALSE)</f>
        <v>V51</v>
      </c>
      <c r="F283" t="str">
        <f>VLOOKUP(B283,[1]Nuclides!A:E,4,FALSE)</f>
        <v>STABLE</v>
      </c>
      <c r="G283" t="str">
        <f t="shared" si="24"/>
        <v>STABLE</v>
      </c>
      <c r="H283" t="e">
        <f t="shared" si="25"/>
        <v>#VALUE!</v>
      </c>
      <c r="I283" t="e">
        <f t="shared" si="26"/>
        <v>#VALUE!</v>
      </c>
      <c r="J283" t="e">
        <f t="shared" si="27"/>
        <v>#VALUE!</v>
      </c>
      <c r="K283" t="str">
        <f t="shared" si="28"/>
        <v>V51</v>
      </c>
    </row>
    <row r="284" spans="2:15" hidden="1" x14ac:dyDescent="0.2">
      <c r="B284" s="4">
        <v>23052</v>
      </c>
      <c r="C284" s="4">
        <v>0</v>
      </c>
      <c r="D284">
        <v>0</v>
      </c>
      <c r="E284" t="str">
        <f>VLOOKUP(B284,[1]Nuclides!A:E,5,FALSE)</f>
        <v>V52</v>
      </c>
      <c r="F284">
        <f>VLOOKUP(B284,[1]Nuclides!A:E,4,FALSE)</f>
        <v>224.57999999999899</v>
      </c>
      <c r="G284" t="str">
        <f t="shared" si="24"/>
        <v>3.74min</v>
      </c>
      <c r="H284">
        <f t="shared" si="25"/>
        <v>3.08641544465201E-3</v>
      </c>
      <c r="I284">
        <f t="shared" si="26"/>
        <v>0</v>
      </c>
      <c r="J284">
        <f t="shared" si="27"/>
        <v>0</v>
      </c>
      <c r="K284" t="str">
        <f t="shared" si="28"/>
        <v>V52</v>
      </c>
    </row>
    <row r="285" spans="2:15" hidden="1" x14ac:dyDescent="0.2">
      <c r="B285" s="4">
        <v>23053</v>
      </c>
      <c r="C285" s="4">
        <v>0</v>
      </c>
      <c r="D285">
        <v>0</v>
      </c>
      <c r="E285" t="str">
        <f>VLOOKUP(B285,[1]Nuclides!A:E,5,FALSE)</f>
        <v>V53</v>
      </c>
      <c r="F285">
        <f>VLOOKUP(B285,[1]Nuclides!A:E,4,FALSE)</f>
        <v>92.58</v>
      </c>
      <c r="G285" t="str">
        <f t="shared" si="24"/>
        <v>1.54min</v>
      </c>
      <c r="H285">
        <f t="shared" si="25"/>
        <v>7.4870077831059112E-3</v>
      </c>
      <c r="I285">
        <f t="shared" si="26"/>
        <v>0</v>
      </c>
      <c r="J285">
        <f t="shared" si="27"/>
        <v>0</v>
      </c>
      <c r="K285" t="str">
        <f t="shared" si="28"/>
        <v>V53</v>
      </c>
    </row>
    <row r="286" spans="2:15" hidden="1" x14ac:dyDescent="0.2">
      <c r="B286" s="4">
        <v>23054</v>
      </c>
      <c r="C286" s="4">
        <v>0</v>
      </c>
      <c r="D286">
        <v>0</v>
      </c>
      <c r="E286" t="str">
        <f>VLOOKUP(B286,[1]Nuclides!A:E,5,FALSE)</f>
        <v>V54</v>
      </c>
      <c r="F286">
        <f>VLOOKUP(B286,[1]Nuclides!A:E,4,FALSE)</f>
        <v>49.8</v>
      </c>
      <c r="G286" t="str">
        <f t="shared" si="24"/>
        <v>49.8s</v>
      </c>
      <c r="H286">
        <f t="shared" si="25"/>
        <v>1.3918618083533039E-2</v>
      </c>
      <c r="I286">
        <f t="shared" si="26"/>
        <v>0</v>
      </c>
      <c r="J286">
        <f t="shared" si="27"/>
        <v>0</v>
      </c>
      <c r="K286" t="str">
        <f t="shared" si="28"/>
        <v>V54</v>
      </c>
    </row>
    <row r="287" spans="2:15" hidden="1" x14ac:dyDescent="0.2">
      <c r="B287" s="4">
        <v>23055</v>
      </c>
      <c r="C287" s="4">
        <v>0</v>
      </c>
      <c r="D287">
        <v>0</v>
      </c>
      <c r="E287" t="str">
        <f>VLOOKUP(B287,[1]Nuclides!A:E,5,FALSE)</f>
        <v>V55</v>
      </c>
      <c r="F287">
        <f>VLOOKUP(B287,[1]Nuclides!A:E,4,FALSE)</f>
        <v>6.54</v>
      </c>
      <c r="G287" t="str">
        <f t="shared" si="24"/>
        <v>6.54s</v>
      </c>
      <c r="H287">
        <f t="shared" si="25"/>
        <v>0.10598580742506808</v>
      </c>
      <c r="I287">
        <f t="shared" si="26"/>
        <v>0</v>
      </c>
      <c r="J287">
        <f t="shared" si="27"/>
        <v>0</v>
      </c>
      <c r="K287" t="str">
        <f t="shared" si="28"/>
        <v>V55</v>
      </c>
    </row>
    <row r="288" spans="2:15" hidden="1" x14ac:dyDescent="0.2">
      <c r="B288" s="4">
        <v>23056</v>
      </c>
      <c r="C288" s="4">
        <v>0</v>
      </c>
      <c r="D288">
        <v>0</v>
      </c>
      <c r="E288" t="str">
        <f>VLOOKUP(B288,[1]Nuclides!A:E,5,FALSE)</f>
        <v>V56</v>
      </c>
      <c r="F288">
        <f>VLOOKUP(B288,[1]Nuclides!A:E,4,FALSE)</f>
        <v>0.216</v>
      </c>
      <c r="G288" t="str">
        <f t="shared" si="24"/>
        <v>0.216s</v>
      </c>
      <c r="H288">
        <f t="shared" si="25"/>
        <v>3.2090147248145615</v>
      </c>
      <c r="I288">
        <f t="shared" si="26"/>
        <v>0</v>
      </c>
      <c r="J288">
        <f t="shared" si="27"/>
        <v>0</v>
      </c>
      <c r="K288" t="str">
        <f t="shared" si="28"/>
        <v>V56</v>
      </c>
    </row>
    <row r="289" spans="2:15" hidden="1" x14ac:dyDescent="0.2">
      <c r="B289" s="4">
        <v>24045</v>
      </c>
      <c r="C289" s="4">
        <v>0</v>
      </c>
      <c r="D289">
        <v>0</v>
      </c>
      <c r="E289" t="str">
        <f>VLOOKUP(B289,[1]Nuclides!A:E,5,FALSE)</f>
        <v>Cr45</v>
      </c>
      <c r="F289">
        <f>VLOOKUP(B289,[1]Nuclides!A:E,4,FALSE)</f>
        <v>6.0900000000000003E-2</v>
      </c>
      <c r="G289" t="str">
        <f t="shared" si="24"/>
        <v>0.0609s</v>
      </c>
      <c r="H289">
        <f t="shared" si="25"/>
        <v>11.381727102790563</v>
      </c>
      <c r="I289">
        <f t="shared" si="26"/>
        <v>0</v>
      </c>
      <c r="J289">
        <f t="shared" si="27"/>
        <v>0</v>
      </c>
      <c r="K289" t="str">
        <f t="shared" si="28"/>
        <v>Cr45</v>
      </c>
    </row>
    <row r="290" spans="2:15" hidden="1" x14ac:dyDescent="0.2">
      <c r="B290" s="4">
        <v>24046</v>
      </c>
      <c r="C290" s="4">
        <v>0</v>
      </c>
      <c r="D290">
        <v>0</v>
      </c>
      <c r="E290" t="str">
        <f>VLOOKUP(B290,[1]Nuclides!A:E,5,FALSE)</f>
        <v>Cr46</v>
      </c>
      <c r="F290">
        <f>VLOOKUP(B290,[1]Nuclides!A:E,4,FALSE)</f>
        <v>0.26</v>
      </c>
      <c r="G290" t="str">
        <f t="shared" si="24"/>
        <v>0.26s</v>
      </c>
      <c r="H290">
        <f t="shared" si="25"/>
        <v>2.665950694461328</v>
      </c>
      <c r="I290">
        <f t="shared" si="26"/>
        <v>0</v>
      </c>
      <c r="J290">
        <f t="shared" si="27"/>
        <v>0</v>
      </c>
      <c r="K290" t="str">
        <f t="shared" si="28"/>
        <v>Cr46</v>
      </c>
    </row>
    <row r="291" spans="2:15" hidden="1" x14ac:dyDescent="0.2">
      <c r="B291" s="4">
        <v>24047</v>
      </c>
      <c r="C291" s="4">
        <v>0</v>
      </c>
      <c r="D291">
        <v>0</v>
      </c>
      <c r="E291" t="str">
        <f>VLOOKUP(B291,[1]Nuclides!A:E,5,FALSE)</f>
        <v>Cr47</v>
      </c>
      <c r="F291">
        <f>VLOOKUP(B291,[1]Nuclides!A:E,4,FALSE)</f>
        <v>0.5</v>
      </c>
      <c r="G291" t="str">
        <f t="shared" si="24"/>
        <v>0.5s</v>
      </c>
      <c r="H291">
        <f t="shared" si="25"/>
        <v>1.3862943611198906</v>
      </c>
      <c r="I291">
        <f t="shared" si="26"/>
        <v>0</v>
      </c>
      <c r="J291">
        <f t="shared" si="27"/>
        <v>0</v>
      </c>
      <c r="K291" t="str">
        <f t="shared" si="28"/>
        <v>Cr47</v>
      </c>
    </row>
    <row r="292" spans="2:15" hidden="1" x14ac:dyDescent="0.2">
      <c r="B292" s="4">
        <v>24048</v>
      </c>
      <c r="C292" s="4">
        <v>0</v>
      </c>
      <c r="D292">
        <v>0</v>
      </c>
      <c r="E292" t="str">
        <f>VLOOKUP(B292,[1]Nuclides!A:E,5,FALSE)</f>
        <v>Cr48</v>
      </c>
      <c r="F292">
        <f>VLOOKUP(B292,[1]Nuclides!A:E,4,FALSE)</f>
        <v>77616</v>
      </c>
      <c r="G292" t="str">
        <f t="shared" si="24"/>
        <v>21.56h</v>
      </c>
      <c r="H292">
        <f t="shared" si="25"/>
        <v>8.9304676942891324E-6</v>
      </c>
      <c r="I292">
        <f t="shared" si="26"/>
        <v>0</v>
      </c>
      <c r="J292">
        <f t="shared" si="27"/>
        <v>0</v>
      </c>
      <c r="K292" t="str">
        <f t="shared" si="28"/>
        <v>Cr48</v>
      </c>
    </row>
    <row r="293" spans="2:15" hidden="1" x14ac:dyDescent="0.2">
      <c r="B293" s="4">
        <v>24049</v>
      </c>
      <c r="C293" s="4">
        <v>0</v>
      </c>
      <c r="D293">
        <v>0</v>
      </c>
      <c r="E293" t="str">
        <f>VLOOKUP(B293,[1]Nuclides!A:E,5,FALSE)</f>
        <v>Cr49</v>
      </c>
      <c r="F293">
        <f>VLOOKUP(B293,[1]Nuclides!A:E,4,FALSE)</f>
        <v>2538</v>
      </c>
      <c r="G293" t="str">
        <f t="shared" si="24"/>
        <v>42.3min</v>
      </c>
      <c r="H293">
        <f t="shared" si="25"/>
        <v>2.7310763615443075E-4</v>
      </c>
      <c r="I293">
        <f t="shared" si="26"/>
        <v>0</v>
      </c>
      <c r="J293">
        <f t="shared" si="27"/>
        <v>0</v>
      </c>
      <c r="K293" t="str">
        <f t="shared" si="28"/>
        <v>Cr49</v>
      </c>
    </row>
    <row r="294" spans="2:15" hidden="1" x14ac:dyDescent="0.2">
      <c r="B294" s="4">
        <v>24050</v>
      </c>
      <c r="C294" s="4">
        <v>5.04E-6</v>
      </c>
      <c r="D294">
        <v>4.4499999999999998E-2</v>
      </c>
      <c r="E294" t="str">
        <f>VLOOKUP(B294,[1]Nuclides!A:E,5,FALSE)</f>
        <v>Cr50</v>
      </c>
      <c r="F294">
        <f>VLOOKUP(B294,[1]Nuclides!A:E,4,FALSE)</f>
        <v>4.1024880000000004E+25</v>
      </c>
      <c r="G294" t="str">
        <f t="shared" si="24"/>
        <v>1300890410958900000y</v>
      </c>
      <c r="H294">
        <f t="shared" si="25"/>
        <v>1.6895775942792405E-26</v>
      </c>
      <c r="I294">
        <f t="shared" si="26"/>
        <v>0</v>
      </c>
      <c r="J294">
        <f t="shared" si="27"/>
        <v>0</v>
      </c>
      <c r="K294" t="str">
        <f t="shared" si="28"/>
        <v>Cr50</v>
      </c>
    </row>
    <row r="295" spans="2:15" x14ac:dyDescent="0.2">
      <c r="B295" s="4">
        <v>24051</v>
      </c>
      <c r="C295" s="4">
        <v>1E-8</v>
      </c>
      <c r="D295">
        <v>1</v>
      </c>
      <c r="E295" t="str">
        <f>VLOOKUP(B295,[1]Nuclides!A:E,5,FALSE)</f>
        <v>Cr51</v>
      </c>
      <c r="F295" s="4">
        <f>VLOOKUP(B295,[1]Nuclides!A:E,4,FALSE)</f>
        <v>2393496</v>
      </c>
      <c r="G295" s="4" t="str">
        <f t="shared" si="24"/>
        <v>27.7d</v>
      </c>
      <c r="H295" s="4">
        <f t="shared" si="25"/>
        <v>2.8959613074763664E-7</v>
      </c>
      <c r="I295" s="4">
        <f t="shared" si="26"/>
        <v>7798.4519065604518</v>
      </c>
      <c r="J295" s="4">
        <f>I295*EXP(-H295*24*30*3600)</f>
        <v>3681.3961528095042</v>
      </c>
      <c r="K295" s="4" t="str">
        <f t="shared" si="28"/>
        <v>Cr51</v>
      </c>
      <c r="M295" s="4" t="str">
        <f>K295</f>
        <v>Cr51</v>
      </c>
      <c r="N295" s="4">
        <f>J295</f>
        <v>3681.3961528095042</v>
      </c>
      <c r="O295">
        <f>0</f>
        <v>0</v>
      </c>
    </row>
    <row r="296" spans="2:15" hidden="1" x14ac:dyDescent="0.2">
      <c r="B296" s="4">
        <v>24052</v>
      </c>
      <c r="C296" s="4">
        <v>7.8980000000000006E-5</v>
      </c>
      <c r="D296">
        <v>1.1299999999999999E-2</v>
      </c>
      <c r="E296" t="str">
        <f>VLOOKUP(B296,[1]Nuclides!A:E,5,FALSE)</f>
        <v>Cr52</v>
      </c>
      <c r="F296" t="str">
        <f>VLOOKUP(B296,[1]Nuclides!A:E,4,FALSE)</f>
        <v>STABLE</v>
      </c>
      <c r="G296" t="str">
        <f t="shared" si="24"/>
        <v>STABLE</v>
      </c>
      <c r="H296" t="e">
        <f t="shared" si="25"/>
        <v>#VALUE!</v>
      </c>
      <c r="I296" t="e">
        <f t="shared" si="26"/>
        <v>#VALUE!</v>
      </c>
      <c r="J296" t="e">
        <f t="shared" si="27"/>
        <v>#VALUE!</v>
      </c>
      <c r="K296" t="str">
        <f t="shared" si="28"/>
        <v>Cr52</v>
      </c>
    </row>
    <row r="297" spans="2:15" hidden="1" x14ac:dyDescent="0.2">
      <c r="B297" s="4">
        <v>24053</v>
      </c>
      <c r="C297" s="4">
        <v>6.5799999999999997E-6</v>
      </c>
      <c r="D297">
        <v>3.9E-2</v>
      </c>
      <c r="E297" t="str">
        <f>VLOOKUP(B297,[1]Nuclides!A:E,5,FALSE)</f>
        <v>Cr53</v>
      </c>
      <c r="F297" t="str">
        <f>VLOOKUP(B297,[1]Nuclides!A:E,4,FALSE)</f>
        <v>STABLE</v>
      </c>
      <c r="G297" t="str">
        <f t="shared" si="24"/>
        <v>STABLE</v>
      </c>
      <c r="H297" t="e">
        <f t="shared" si="25"/>
        <v>#VALUE!</v>
      </c>
      <c r="I297" t="e">
        <f t="shared" si="26"/>
        <v>#VALUE!</v>
      </c>
      <c r="J297" t="e">
        <f t="shared" si="27"/>
        <v>#VALUE!</v>
      </c>
      <c r="K297" t="str">
        <f t="shared" si="28"/>
        <v>Cr53</v>
      </c>
    </row>
    <row r="298" spans="2:15" hidden="1" x14ac:dyDescent="0.2">
      <c r="B298" s="4">
        <v>24054</v>
      </c>
      <c r="C298" s="4">
        <v>1.8700000000000001E-6</v>
      </c>
      <c r="D298">
        <v>7.3099999999999998E-2</v>
      </c>
      <c r="E298" t="str">
        <f>VLOOKUP(B298,[1]Nuclides!A:E,5,FALSE)</f>
        <v>Cr54</v>
      </c>
      <c r="F298" t="str">
        <f>VLOOKUP(B298,[1]Nuclides!A:E,4,FALSE)</f>
        <v>STABLE</v>
      </c>
      <c r="G298" t="str">
        <f t="shared" si="24"/>
        <v>STABLE</v>
      </c>
      <c r="H298" t="e">
        <f t="shared" si="25"/>
        <v>#VALUE!</v>
      </c>
      <c r="I298" t="e">
        <f t="shared" si="26"/>
        <v>#VALUE!</v>
      </c>
      <c r="J298" t="e">
        <f t="shared" si="27"/>
        <v>#VALUE!</v>
      </c>
      <c r="K298" t="str">
        <f t="shared" si="28"/>
        <v>Cr54</v>
      </c>
    </row>
    <row r="299" spans="2:15" hidden="1" x14ac:dyDescent="0.2">
      <c r="B299" s="4">
        <v>24055</v>
      </c>
      <c r="C299" s="4">
        <v>0</v>
      </c>
      <c r="D299">
        <v>0</v>
      </c>
      <c r="E299" t="str">
        <f>VLOOKUP(B299,[1]Nuclides!A:E,5,FALSE)</f>
        <v>Cr55</v>
      </c>
      <c r="F299">
        <f>VLOOKUP(B299,[1]Nuclides!A:E,4,FALSE)</f>
        <v>209.82</v>
      </c>
      <c r="G299" t="str">
        <f t="shared" si="24"/>
        <v>3.5min</v>
      </c>
      <c r="H299">
        <f t="shared" si="25"/>
        <v>3.3035324590598861E-3</v>
      </c>
      <c r="I299">
        <f t="shared" si="26"/>
        <v>0</v>
      </c>
      <c r="J299">
        <f t="shared" si="27"/>
        <v>0</v>
      </c>
      <c r="K299" t="str">
        <f t="shared" si="28"/>
        <v>Cr55</v>
      </c>
    </row>
    <row r="300" spans="2:15" hidden="1" x14ac:dyDescent="0.2">
      <c r="B300" s="4">
        <v>24056</v>
      </c>
      <c r="C300" s="4">
        <v>0</v>
      </c>
      <c r="D300">
        <v>0</v>
      </c>
      <c r="E300" t="str">
        <f>VLOOKUP(B300,[1]Nuclides!A:E,5,FALSE)</f>
        <v>Cr56</v>
      </c>
      <c r="F300">
        <f>VLOOKUP(B300,[1]Nuclides!A:E,4,FALSE)</f>
        <v>356.4</v>
      </c>
      <c r="G300" t="str">
        <f t="shared" si="24"/>
        <v>5.94min</v>
      </c>
      <c r="H300">
        <f t="shared" si="25"/>
        <v>1.9448574089785222E-3</v>
      </c>
      <c r="I300">
        <f t="shared" si="26"/>
        <v>0</v>
      </c>
      <c r="J300">
        <f t="shared" si="27"/>
        <v>0</v>
      </c>
      <c r="K300" t="str">
        <f t="shared" si="28"/>
        <v>Cr56</v>
      </c>
    </row>
    <row r="301" spans="2:15" hidden="1" x14ac:dyDescent="0.2">
      <c r="B301" s="4">
        <v>24057</v>
      </c>
      <c r="C301" s="4">
        <v>0</v>
      </c>
      <c r="D301">
        <v>0</v>
      </c>
      <c r="E301" t="str">
        <f>VLOOKUP(B301,[1]Nuclides!A:E,5,FALSE)</f>
        <v>Cr57</v>
      </c>
      <c r="F301">
        <f>VLOOKUP(B301,[1]Nuclides!A:E,4,FALSE)</f>
        <v>21.1</v>
      </c>
      <c r="G301" t="str">
        <f t="shared" si="24"/>
        <v>21.1s</v>
      </c>
      <c r="H301">
        <f t="shared" si="25"/>
        <v>3.2850577277722524E-2</v>
      </c>
      <c r="I301">
        <f t="shared" si="26"/>
        <v>0</v>
      </c>
      <c r="J301">
        <f t="shared" si="27"/>
        <v>0</v>
      </c>
      <c r="K301" t="str">
        <f t="shared" si="28"/>
        <v>Cr57</v>
      </c>
    </row>
    <row r="302" spans="2:15" hidden="1" x14ac:dyDescent="0.2">
      <c r="B302" s="4">
        <v>24058</v>
      </c>
      <c r="C302" s="4">
        <v>0</v>
      </c>
      <c r="D302">
        <v>0</v>
      </c>
      <c r="E302" t="str">
        <f>VLOOKUP(B302,[1]Nuclides!A:E,5,FALSE)</f>
        <v>Cr58</v>
      </c>
      <c r="F302">
        <f>VLOOKUP(B302,[1]Nuclides!A:E,4,FALSE)</f>
        <v>7</v>
      </c>
      <c r="G302" t="str">
        <f t="shared" si="24"/>
        <v>7s</v>
      </c>
      <c r="H302">
        <f t="shared" si="25"/>
        <v>9.9021025794277892E-2</v>
      </c>
      <c r="I302">
        <f t="shared" si="26"/>
        <v>0</v>
      </c>
      <c r="J302">
        <f t="shared" si="27"/>
        <v>0</v>
      </c>
      <c r="K302" t="str">
        <f t="shared" si="28"/>
        <v>Cr58</v>
      </c>
    </row>
    <row r="303" spans="2:15" hidden="1" x14ac:dyDescent="0.2">
      <c r="B303" s="4">
        <v>24059</v>
      </c>
      <c r="C303" s="4">
        <v>0</v>
      </c>
      <c r="D303">
        <v>0</v>
      </c>
      <c r="E303" t="str">
        <f>VLOOKUP(B303,[1]Nuclides!A:E,5,FALSE)</f>
        <v>Cr59</v>
      </c>
      <c r="F303">
        <f>VLOOKUP(B303,[1]Nuclides!A:E,4,FALSE)</f>
        <v>1.05</v>
      </c>
      <c r="G303" t="str">
        <f t="shared" si="24"/>
        <v>1.05s</v>
      </c>
      <c r="H303">
        <f t="shared" si="25"/>
        <v>0.6601401719618526</v>
      </c>
      <c r="I303">
        <f t="shared" si="26"/>
        <v>0</v>
      </c>
      <c r="J303">
        <f t="shared" si="27"/>
        <v>0</v>
      </c>
      <c r="K303" t="str">
        <f t="shared" si="28"/>
        <v>Cr59</v>
      </c>
    </row>
    <row r="304" spans="2:15" hidden="1" x14ac:dyDescent="0.2">
      <c r="B304" s="4">
        <v>25049</v>
      </c>
      <c r="C304" s="4">
        <v>0</v>
      </c>
      <c r="D304">
        <v>0</v>
      </c>
      <c r="E304" t="str">
        <f>VLOOKUP(B304,[1]Nuclides!A:E,5,FALSE)</f>
        <v>Mn49</v>
      </c>
      <c r="F304">
        <f>VLOOKUP(B304,[1]Nuclides!A:E,4,FALSE)</f>
        <v>0.38200000000000001</v>
      </c>
      <c r="G304" t="str">
        <f t="shared" si="24"/>
        <v>0.382s</v>
      </c>
      <c r="H304">
        <f t="shared" si="25"/>
        <v>1.8145214150783908</v>
      </c>
      <c r="I304">
        <f t="shared" si="26"/>
        <v>0</v>
      </c>
      <c r="J304">
        <f t="shared" si="27"/>
        <v>0</v>
      </c>
      <c r="K304" t="str">
        <f t="shared" si="28"/>
        <v>Mn49</v>
      </c>
    </row>
    <row r="305" spans="2:15" hidden="1" x14ac:dyDescent="0.2">
      <c r="B305" s="4">
        <v>25050</v>
      </c>
      <c r="C305" s="4">
        <v>3.9999999999999998E-7</v>
      </c>
      <c r="D305">
        <v>0.15809999999999999</v>
      </c>
      <c r="E305" t="str">
        <f>VLOOKUP(B305,[1]Nuclides!A:E,5,FALSE)</f>
        <v>Mn50</v>
      </c>
      <c r="F305">
        <f>VLOOKUP(B305,[1]Nuclides!A:E,4,FALSE)</f>
        <v>0.28319</v>
      </c>
      <c r="G305" t="str">
        <f t="shared" si="24"/>
        <v>0.28319s</v>
      </c>
      <c r="H305">
        <f t="shared" si="25"/>
        <v>2.4476400316393421</v>
      </c>
      <c r="I305">
        <f t="shared" si="26"/>
        <v>149760000</v>
      </c>
      <c r="J305">
        <f t="shared" si="27"/>
        <v>0</v>
      </c>
      <c r="K305" t="str">
        <f t="shared" si="28"/>
        <v>Mn50</v>
      </c>
    </row>
    <row r="306" spans="2:15" hidden="1" x14ac:dyDescent="0.2">
      <c r="B306" s="4">
        <v>25051</v>
      </c>
      <c r="C306" s="4">
        <v>4.0000000000000001E-8</v>
      </c>
      <c r="D306">
        <v>0.5</v>
      </c>
      <c r="E306" t="str">
        <f>VLOOKUP(B306,[1]Nuclides!A:E,5,FALSE)</f>
        <v>Mn51</v>
      </c>
      <c r="F306">
        <f>VLOOKUP(B306,[1]Nuclides!A:E,4,FALSE)</f>
        <v>2772</v>
      </c>
      <c r="G306" t="str">
        <f t="shared" si="24"/>
        <v>46.2min</v>
      </c>
      <c r="H306">
        <f t="shared" si="25"/>
        <v>2.5005309544009569E-4</v>
      </c>
      <c r="I306">
        <f t="shared" si="26"/>
        <v>12501430.027186327</v>
      </c>
      <c r="J306">
        <f t="shared" si="27"/>
        <v>3.6808426119967354E-31</v>
      </c>
      <c r="K306" t="str">
        <f t="shared" si="28"/>
        <v>Mn51</v>
      </c>
    </row>
    <row r="307" spans="2:15" x14ac:dyDescent="0.2">
      <c r="B307" s="4">
        <v>25052</v>
      </c>
      <c r="C307" s="4">
        <v>2.9200000000000002E-5</v>
      </c>
      <c r="D307">
        <v>1.8499999999999999E-2</v>
      </c>
      <c r="E307" t="str">
        <f>VLOOKUP(B307,[1]Nuclides!A:E,5,FALSE)</f>
        <v>Mn52</v>
      </c>
      <c r="F307" s="4">
        <f>VLOOKUP(B307,[1]Nuclides!A:E,4,FALSE)</f>
        <v>483062.4</v>
      </c>
      <c r="G307" s="4" t="str">
        <f t="shared" si="24"/>
        <v>5.59d</v>
      </c>
      <c r="H307" s="4">
        <f t="shared" si="25"/>
        <v>1.4349019517146133E-6</v>
      </c>
      <c r="I307" s="4">
        <f t="shared" si="26"/>
        <v>112365227.0543437</v>
      </c>
      <c r="J307" s="4">
        <f>I307*EXP(-H307*24*30*3600)</f>
        <v>2725055.140366307</v>
      </c>
      <c r="K307" s="4" t="str">
        <f t="shared" si="28"/>
        <v>Mn52</v>
      </c>
      <c r="M307" s="4" t="str">
        <f>K307</f>
        <v>Mn52</v>
      </c>
      <c r="N307" s="4">
        <f>J307</f>
        <v>2725055.140366307</v>
      </c>
      <c r="O307">
        <f>0</f>
        <v>0</v>
      </c>
    </row>
    <row r="308" spans="2:15" hidden="1" x14ac:dyDescent="0.2">
      <c r="B308" s="4">
        <v>25053</v>
      </c>
      <c r="C308" s="4">
        <v>3.5499999999999999E-6</v>
      </c>
      <c r="D308">
        <v>5.3100000000000001E-2</v>
      </c>
      <c r="E308" t="str">
        <f>VLOOKUP(B308,[1]Nuclides!A:E,5,FALSE)</f>
        <v>Mn53</v>
      </c>
      <c r="F308">
        <f>VLOOKUP(B308,[1]Nuclides!A:E,4,FALSE)</f>
        <v>118025424000000</v>
      </c>
      <c r="G308" t="str">
        <f t="shared" si="24"/>
        <v>3742561.64y</v>
      </c>
      <c r="H308">
        <f t="shared" si="25"/>
        <v>5.8728632956230289E-15</v>
      </c>
      <c r="I308">
        <f t="shared" si="26"/>
        <v>5.6201334466265962E-2</v>
      </c>
      <c r="J308">
        <f t="shared" si="27"/>
        <v>5.6201334352196278E-2</v>
      </c>
      <c r="K308" t="str">
        <f t="shared" si="28"/>
        <v>Mn53</v>
      </c>
    </row>
    <row r="309" spans="2:15" x14ac:dyDescent="0.2">
      <c r="B309" s="4">
        <v>25054</v>
      </c>
      <c r="C309" s="4">
        <v>8.5000000000000001E-7</v>
      </c>
      <c r="D309">
        <v>0.1085</v>
      </c>
      <c r="E309" t="str">
        <f>VLOOKUP(B309,[1]Nuclides!A:E,5,FALSE)</f>
        <v>Mn54</v>
      </c>
      <c r="F309" s="4">
        <f>VLOOKUP(B309,[1]Nuclides!A:E,4,FALSE)</f>
        <v>26974080</v>
      </c>
      <c r="G309" s="4" t="str">
        <f t="shared" si="24"/>
        <v>312.2d</v>
      </c>
      <c r="H309" s="4">
        <f t="shared" si="25"/>
        <v>2.5696786713761703E-8</v>
      </c>
      <c r="I309" s="4">
        <f t="shared" si="26"/>
        <v>58874.320368267036</v>
      </c>
      <c r="J309" s="4">
        <f>I309*EXP(-H309*24*30*3600)</f>
        <v>55080.675483706509</v>
      </c>
      <c r="K309" s="4" t="str">
        <f t="shared" si="28"/>
        <v>Mn54</v>
      </c>
      <c r="M309" s="4" t="str">
        <f>K309</f>
        <v>Mn54</v>
      </c>
      <c r="N309" s="4">
        <f>J309</f>
        <v>55080.675483706509</v>
      </c>
      <c r="O309">
        <f>0</f>
        <v>0</v>
      </c>
    </row>
    <row r="310" spans="2:15" hidden="1" x14ac:dyDescent="0.2">
      <c r="B310" s="4">
        <v>25055</v>
      </c>
      <c r="C310" s="4">
        <v>5.8699999999999997E-6</v>
      </c>
      <c r="D310">
        <v>4.1300000000000003E-2</v>
      </c>
      <c r="E310" t="str">
        <f>VLOOKUP(B310,[1]Nuclides!A:E,5,FALSE)</f>
        <v>Mn55</v>
      </c>
      <c r="F310" t="str">
        <f>VLOOKUP(B310,[1]Nuclides!A:E,4,FALSE)</f>
        <v>STABLE</v>
      </c>
      <c r="G310" t="str">
        <f t="shared" si="24"/>
        <v>STABLE</v>
      </c>
      <c r="H310" t="e">
        <f t="shared" si="25"/>
        <v>#VALUE!</v>
      </c>
      <c r="I310" t="e">
        <f t="shared" si="26"/>
        <v>#VALUE!</v>
      </c>
      <c r="J310" t="e">
        <f t="shared" si="27"/>
        <v>#VALUE!</v>
      </c>
      <c r="K310" t="str">
        <f t="shared" si="28"/>
        <v>Mn55</v>
      </c>
    </row>
    <row r="311" spans="2:15" hidden="1" x14ac:dyDescent="0.2">
      <c r="B311" s="4">
        <v>25056</v>
      </c>
      <c r="C311" s="4">
        <v>0</v>
      </c>
      <c r="D311">
        <v>0</v>
      </c>
      <c r="E311" t="str">
        <f>VLOOKUP(B311,[1]Nuclides!A:E,5,FALSE)</f>
        <v>Mn56</v>
      </c>
      <c r="F311">
        <f>VLOOKUP(B311,[1]Nuclides!A:E,4,FALSE)</f>
        <v>9284.03999999999</v>
      </c>
      <c r="G311" t="str">
        <f t="shared" si="24"/>
        <v>2.58h</v>
      </c>
      <c r="H311">
        <f t="shared" si="25"/>
        <v>7.4660081231871686E-5</v>
      </c>
      <c r="I311">
        <f t="shared" si="26"/>
        <v>0</v>
      </c>
      <c r="J311">
        <f t="shared" si="27"/>
        <v>0</v>
      </c>
      <c r="K311" t="str">
        <f t="shared" si="28"/>
        <v>Mn56</v>
      </c>
    </row>
    <row r="312" spans="2:15" hidden="1" x14ac:dyDescent="0.2">
      <c r="B312" s="4">
        <v>25057</v>
      </c>
      <c r="C312" s="4">
        <v>0</v>
      </c>
      <c r="D312">
        <v>0</v>
      </c>
      <c r="E312" t="str">
        <f>VLOOKUP(B312,[1]Nuclides!A:E,5,FALSE)</f>
        <v>Mn57</v>
      </c>
      <c r="F312">
        <f>VLOOKUP(B312,[1]Nuclides!A:E,4,FALSE)</f>
        <v>85.4</v>
      </c>
      <c r="G312" t="str">
        <f t="shared" si="24"/>
        <v>1.42min</v>
      </c>
      <c r="H312">
        <f t="shared" si="25"/>
        <v>8.1164775241211393E-3</v>
      </c>
      <c r="I312">
        <f t="shared" si="26"/>
        <v>0</v>
      </c>
      <c r="J312">
        <f t="shared" si="27"/>
        <v>0</v>
      </c>
      <c r="K312" t="str">
        <f t="shared" si="28"/>
        <v>Mn57</v>
      </c>
    </row>
    <row r="313" spans="2:15" hidden="1" x14ac:dyDescent="0.2">
      <c r="B313" s="4">
        <v>25058</v>
      </c>
      <c r="C313" s="4">
        <v>0</v>
      </c>
      <c r="D313">
        <v>0</v>
      </c>
      <c r="E313" t="str">
        <f>VLOOKUP(B313,[1]Nuclides!A:E,5,FALSE)</f>
        <v>Mn58</v>
      </c>
      <c r="F313">
        <f>VLOOKUP(B313,[1]Nuclides!A:E,4,FALSE)</f>
        <v>3</v>
      </c>
      <c r="G313" t="str">
        <f t="shared" si="24"/>
        <v>3s</v>
      </c>
      <c r="H313">
        <f t="shared" si="25"/>
        <v>0.23104906018664842</v>
      </c>
      <c r="I313">
        <f t="shared" si="26"/>
        <v>0</v>
      </c>
      <c r="J313">
        <f t="shared" si="27"/>
        <v>0</v>
      </c>
      <c r="K313" t="str">
        <f t="shared" si="28"/>
        <v>Mn58</v>
      </c>
    </row>
    <row r="314" spans="2:15" hidden="1" x14ac:dyDescent="0.2">
      <c r="B314" s="4">
        <v>25059</v>
      </c>
      <c r="C314" s="4">
        <v>0</v>
      </c>
      <c r="D314">
        <v>0</v>
      </c>
      <c r="E314" t="str">
        <f>VLOOKUP(B314,[1]Nuclides!A:E,5,FALSE)</f>
        <v>Mn59</v>
      </c>
      <c r="F314">
        <f>VLOOKUP(B314,[1]Nuclides!A:E,4,FALSE)</f>
        <v>4.59</v>
      </c>
      <c r="G314" t="str">
        <f t="shared" si="24"/>
        <v>4.59s</v>
      </c>
      <c r="H314">
        <f t="shared" si="25"/>
        <v>0.15101245763833232</v>
      </c>
      <c r="I314">
        <f t="shared" si="26"/>
        <v>0</v>
      </c>
      <c r="J314">
        <f t="shared" si="27"/>
        <v>0</v>
      </c>
      <c r="K314" t="str">
        <f t="shared" si="28"/>
        <v>Mn59</v>
      </c>
    </row>
    <row r="315" spans="2:15" hidden="1" x14ac:dyDescent="0.2">
      <c r="B315" s="4">
        <v>25060</v>
      </c>
      <c r="C315" s="4">
        <v>0</v>
      </c>
      <c r="D315">
        <v>0</v>
      </c>
      <c r="E315" t="str">
        <f>VLOOKUP(B315,[1]Nuclides!A:E,5,FALSE)</f>
        <v>Mn60</v>
      </c>
      <c r="F315">
        <f>VLOOKUP(B315,[1]Nuclides!A:E,4,FALSE)</f>
        <v>0.28000000000000003</v>
      </c>
      <c r="G315" t="str">
        <f t="shared" si="24"/>
        <v>0.28s</v>
      </c>
      <c r="H315">
        <f t="shared" si="25"/>
        <v>2.4755256448569471</v>
      </c>
      <c r="I315">
        <f t="shared" si="26"/>
        <v>0</v>
      </c>
      <c r="J315">
        <f t="shared" si="27"/>
        <v>0</v>
      </c>
      <c r="K315" t="str">
        <f t="shared" si="28"/>
        <v>Mn60</v>
      </c>
    </row>
    <row r="316" spans="2:15" hidden="1" x14ac:dyDescent="0.2">
      <c r="B316" s="4">
        <v>25061</v>
      </c>
      <c r="C316" s="4">
        <v>0</v>
      </c>
      <c r="D316">
        <v>0</v>
      </c>
      <c r="E316" t="str">
        <f>VLOOKUP(B316,[1]Nuclides!A:E,5,FALSE)</f>
        <v>Mn61</v>
      </c>
      <c r="F316">
        <f>VLOOKUP(B316,[1]Nuclides!A:E,4,FALSE)</f>
        <v>0.70899999999999996</v>
      </c>
      <c r="G316" t="str">
        <f t="shared" si="24"/>
        <v>0.709s</v>
      </c>
      <c r="H316">
        <f t="shared" si="25"/>
        <v>0.97764059317340668</v>
      </c>
      <c r="I316">
        <f t="shared" si="26"/>
        <v>0</v>
      </c>
      <c r="J316">
        <f t="shared" si="27"/>
        <v>0</v>
      </c>
      <c r="K316" t="str">
        <f t="shared" si="28"/>
        <v>Mn61</v>
      </c>
    </row>
    <row r="317" spans="2:15" hidden="1" x14ac:dyDescent="0.2">
      <c r="B317" s="4">
        <v>25062</v>
      </c>
      <c r="C317" s="4">
        <v>0</v>
      </c>
      <c r="D317">
        <v>0</v>
      </c>
      <c r="E317" t="str">
        <f>VLOOKUP(B317,[1]Nuclides!A:E,5,FALSE)</f>
        <v>Mn62</v>
      </c>
      <c r="F317">
        <f>VLOOKUP(B317,[1]Nuclides!A:E,4,FALSE)</f>
        <v>9.1999999999999998E-2</v>
      </c>
      <c r="G317" t="str">
        <f t="shared" si="24"/>
        <v>0.092s</v>
      </c>
      <c r="H317">
        <f t="shared" si="25"/>
        <v>7.5342084843472312</v>
      </c>
      <c r="I317">
        <f t="shared" si="26"/>
        <v>0</v>
      </c>
      <c r="J317">
        <f t="shared" si="27"/>
        <v>0</v>
      </c>
      <c r="K317" t="str">
        <f t="shared" si="28"/>
        <v>Mn62</v>
      </c>
    </row>
    <row r="318" spans="2:15" hidden="1" x14ac:dyDescent="0.2">
      <c r="B318" s="4">
        <v>26049</v>
      </c>
      <c r="C318" s="4">
        <v>0</v>
      </c>
      <c r="D318">
        <v>0</v>
      </c>
      <c r="E318" t="str">
        <f>VLOOKUP(B318,[1]Nuclides!A:E,5,FALSE)</f>
        <v>Fe49</v>
      </c>
      <c r="F318">
        <f>VLOOKUP(B318,[1]Nuclides!A:E,4,FALSE)</f>
        <v>6.4699999999999994E-2</v>
      </c>
      <c r="G318" t="str">
        <f t="shared" si="24"/>
        <v>0.0647s</v>
      </c>
      <c r="H318">
        <f t="shared" si="25"/>
        <v>10.713248540339187</v>
      </c>
      <c r="I318">
        <f t="shared" si="26"/>
        <v>0</v>
      </c>
      <c r="J318">
        <f t="shared" si="27"/>
        <v>0</v>
      </c>
      <c r="K318" t="str">
        <f t="shared" si="28"/>
        <v>Fe49</v>
      </c>
    </row>
    <row r="319" spans="2:15" hidden="1" x14ac:dyDescent="0.2">
      <c r="B319" s="4">
        <v>26050</v>
      </c>
      <c r="C319" s="4">
        <v>0</v>
      </c>
      <c r="D319">
        <v>0</v>
      </c>
      <c r="E319" t="str">
        <f>VLOOKUP(B319,[1]Nuclides!A:E,5,FALSE)</f>
        <v>Fe50</v>
      </c>
      <c r="F319">
        <f>VLOOKUP(B319,[1]Nuclides!A:E,4,FALSE)</f>
        <v>0.155</v>
      </c>
      <c r="G319" t="str">
        <f t="shared" si="24"/>
        <v>0.155s</v>
      </c>
      <c r="H319">
        <f t="shared" si="25"/>
        <v>4.4719172939351308</v>
      </c>
      <c r="I319">
        <f t="shared" si="26"/>
        <v>0</v>
      </c>
      <c r="J319">
        <f t="shared" si="27"/>
        <v>0</v>
      </c>
      <c r="K319" t="str">
        <f t="shared" si="28"/>
        <v>Fe50</v>
      </c>
    </row>
    <row r="320" spans="2:15" hidden="1" x14ac:dyDescent="0.2">
      <c r="B320" s="4">
        <v>26051</v>
      </c>
      <c r="C320" s="4">
        <v>0</v>
      </c>
      <c r="D320">
        <v>0</v>
      </c>
      <c r="E320" t="str">
        <f>VLOOKUP(B320,[1]Nuclides!A:E,5,FALSE)</f>
        <v>Fe51</v>
      </c>
      <c r="F320">
        <f>VLOOKUP(B320,[1]Nuclides!A:E,4,FALSE)</f>
        <v>0.30499999999999999</v>
      </c>
      <c r="G320" t="str">
        <f t="shared" si="24"/>
        <v>0.305s</v>
      </c>
      <c r="H320">
        <f t="shared" si="25"/>
        <v>2.2726137067539192</v>
      </c>
      <c r="I320">
        <f t="shared" si="26"/>
        <v>0</v>
      </c>
      <c r="J320">
        <f t="shared" si="27"/>
        <v>0</v>
      </c>
      <c r="K320" t="str">
        <f t="shared" si="28"/>
        <v>Fe51</v>
      </c>
    </row>
    <row r="321" spans="2:15" hidden="1" x14ac:dyDescent="0.2">
      <c r="B321" s="4">
        <v>26052</v>
      </c>
      <c r="C321" s="4">
        <v>0</v>
      </c>
      <c r="D321">
        <v>0</v>
      </c>
      <c r="E321" t="str">
        <f>VLOOKUP(B321,[1]Nuclides!A:E,5,FALSE)</f>
        <v>Fe52</v>
      </c>
      <c r="F321">
        <f>VLOOKUP(B321,[1]Nuclides!A:E,4,FALSE)</f>
        <v>29790</v>
      </c>
      <c r="G321" t="str">
        <f t="shared" si="24"/>
        <v>8.28h</v>
      </c>
      <c r="H321">
        <f t="shared" si="25"/>
        <v>2.3267780482039118E-5</v>
      </c>
      <c r="I321">
        <f t="shared" si="26"/>
        <v>0</v>
      </c>
      <c r="J321">
        <f t="shared" si="27"/>
        <v>0</v>
      </c>
      <c r="K321" t="str">
        <f t="shared" si="28"/>
        <v>Fe52</v>
      </c>
    </row>
    <row r="322" spans="2:15" hidden="1" x14ac:dyDescent="0.2">
      <c r="B322" s="4">
        <v>26053</v>
      </c>
      <c r="C322" s="4">
        <v>0</v>
      </c>
      <c r="D322">
        <v>0</v>
      </c>
      <c r="E322" t="str">
        <f>VLOOKUP(B322,[1]Nuclides!A:E,5,FALSE)</f>
        <v>Fe53</v>
      </c>
      <c r="F322">
        <f>VLOOKUP(B322,[1]Nuclides!A:E,4,FALSE)</f>
        <v>510.599999999999</v>
      </c>
      <c r="G322" t="str">
        <f t="shared" si="24"/>
        <v>8.51min</v>
      </c>
      <c r="H322">
        <f t="shared" si="25"/>
        <v>1.357515042224729E-3</v>
      </c>
      <c r="I322">
        <f t="shared" si="26"/>
        <v>0</v>
      </c>
      <c r="J322">
        <f t="shared" si="27"/>
        <v>0</v>
      </c>
      <c r="K322" t="str">
        <f t="shared" si="28"/>
        <v>Fe53</v>
      </c>
    </row>
    <row r="323" spans="2:15" hidden="1" x14ac:dyDescent="0.2">
      <c r="B323" s="4">
        <v>26054</v>
      </c>
      <c r="C323" s="4">
        <v>6.8600000000000004E-6</v>
      </c>
      <c r="D323">
        <v>3.8199999999999998E-2</v>
      </c>
      <c r="E323" t="str">
        <f>VLOOKUP(B323,[1]Nuclides!A:E,5,FALSE)</f>
        <v>Fe54</v>
      </c>
      <c r="F323" t="str">
        <f>VLOOKUP(B323,[1]Nuclides!A:E,4,FALSE)</f>
        <v>STABLE</v>
      </c>
      <c r="G323" t="str">
        <f t="shared" si="24"/>
        <v>STABLE</v>
      </c>
      <c r="H323" t="e">
        <f t="shared" si="25"/>
        <v>#VALUE!</v>
      </c>
      <c r="I323" t="e">
        <f t="shared" si="26"/>
        <v>#VALUE!</v>
      </c>
      <c r="J323" t="e">
        <f t="shared" si="27"/>
        <v>#VALUE!</v>
      </c>
      <c r="K323" t="str">
        <f t="shared" si="28"/>
        <v>Fe54</v>
      </c>
    </row>
    <row r="324" spans="2:15" x14ac:dyDescent="0.2">
      <c r="B324" s="4">
        <v>26055</v>
      </c>
      <c r="C324" s="4">
        <v>2.8600000000000001E-6</v>
      </c>
      <c r="D324">
        <v>5.91E-2</v>
      </c>
      <c r="E324" t="str">
        <f>VLOOKUP(B324,[1]Nuclides!A:E,5,FALSE)</f>
        <v>Fe55</v>
      </c>
      <c r="F324" s="4">
        <f>VLOOKUP(B324,[1]Nuclides!A:E,4,FALSE)</f>
        <v>86594054.400000006</v>
      </c>
      <c r="G324" s="4" t="str">
        <f t="shared" si="24"/>
        <v>2.75y</v>
      </c>
      <c r="H324" s="4">
        <f t="shared" si="25"/>
        <v>8.0045585734803657E-9</v>
      </c>
      <c r="I324" s="4">
        <f t="shared" si="26"/>
        <v>61710.525089398929</v>
      </c>
      <c r="J324" s="4">
        <f>I324*EXP(-H324*24*30*3600)</f>
        <v>60443.357417614629</v>
      </c>
      <c r="K324" s="4" t="str">
        <f t="shared" si="28"/>
        <v>Fe55</v>
      </c>
      <c r="M324" s="4" t="str">
        <f>K324</f>
        <v>Fe55</v>
      </c>
      <c r="N324" s="4">
        <f>J324</f>
        <v>60443.357417614629</v>
      </c>
      <c r="O324">
        <f>0</f>
        <v>0</v>
      </c>
    </row>
    <row r="325" spans="2:15" hidden="1" x14ac:dyDescent="0.2">
      <c r="B325" s="4">
        <v>26056</v>
      </c>
      <c r="C325" s="4">
        <v>8.4629999999999994E-5</v>
      </c>
      <c r="D325">
        <v>1.09E-2</v>
      </c>
      <c r="E325" t="str">
        <f>VLOOKUP(B325,[1]Nuclides!A:E,5,FALSE)</f>
        <v>Fe56</v>
      </c>
      <c r="F325" t="str">
        <f>VLOOKUP(B325,[1]Nuclides!A:E,4,FALSE)</f>
        <v>STABLE</v>
      </c>
      <c r="G325" t="str">
        <f t="shared" ref="G325:G388" si="29">IF(F325="STABLE", "STABLE", IF(F325&lt;60, F325&amp;"s", IF(F325&lt;3600, ROUND(F325/60,2)&amp;"min", IF(F325&lt;86400, ROUND(F325/3600,2)&amp;"h", IF(F325&lt;31536000, ROUND(F325/86400,2)&amp;"d", ROUND(F325/31536000,2)&amp;"y")))))</f>
        <v>STABLE</v>
      </c>
      <c r="H325" t="e">
        <f t="shared" ref="H325:H388" si="30">LN(2)/F325</f>
        <v>#VALUE!</v>
      </c>
      <c r="I325" t="e">
        <f t="shared" ref="I325:I388" si="31">60*6240000000000*C325*(1-EXP(-H325*2*3600))</f>
        <v>#VALUE!</v>
      </c>
      <c r="J325" t="e">
        <f t="shared" ref="J325:J388" si="32">I325*EXP(-H325*96*3600)</f>
        <v>#VALUE!</v>
      </c>
      <c r="K325" t="str">
        <f t="shared" ref="K325:K388" si="33">E325</f>
        <v>Fe56</v>
      </c>
    </row>
    <row r="326" spans="2:15" hidden="1" x14ac:dyDescent="0.2">
      <c r="B326" s="4">
        <v>26057</v>
      </c>
      <c r="C326" s="4">
        <v>1.3400000000000001E-6</v>
      </c>
      <c r="D326">
        <v>8.6400000000000005E-2</v>
      </c>
      <c r="E326" t="str">
        <f>VLOOKUP(B326,[1]Nuclides!A:E,5,FALSE)</f>
        <v>Fe57</v>
      </c>
      <c r="F326" t="str">
        <f>VLOOKUP(B326,[1]Nuclides!A:E,4,FALSE)</f>
        <v>STABLE</v>
      </c>
      <c r="G326" t="str">
        <f t="shared" si="29"/>
        <v>STABLE</v>
      </c>
      <c r="H326" t="e">
        <f t="shared" si="30"/>
        <v>#VALUE!</v>
      </c>
      <c r="I326" t="e">
        <f t="shared" si="31"/>
        <v>#VALUE!</v>
      </c>
      <c r="J326" t="e">
        <f t="shared" si="32"/>
        <v>#VALUE!</v>
      </c>
      <c r="K326" t="str">
        <f t="shared" si="33"/>
        <v>Fe57</v>
      </c>
    </row>
    <row r="327" spans="2:15" hidden="1" x14ac:dyDescent="0.2">
      <c r="B327" s="4">
        <v>26058</v>
      </c>
      <c r="C327" s="4">
        <v>2.6E-7</v>
      </c>
      <c r="D327">
        <v>0.1961</v>
      </c>
      <c r="E327" t="str">
        <f>VLOOKUP(B327,[1]Nuclides!A:E,5,FALSE)</f>
        <v>Fe58</v>
      </c>
      <c r="F327" t="str">
        <f>VLOOKUP(B327,[1]Nuclides!A:E,4,FALSE)</f>
        <v>STABLE</v>
      </c>
      <c r="G327" t="str">
        <f t="shared" si="29"/>
        <v>STABLE</v>
      </c>
      <c r="H327" t="e">
        <f t="shared" si="30"/>
        <v>#VALUE!</v>
      </c>
      <c r="I327" t="e">
        <f t="shared" si="31"/>
        <v>#VALUE!</v>
      </c>
      <c r="J327" t="e">
        <f t="shared" si="32"/>
        <v>#VALUE!</v>
      </c>
      <c r="K327" t="str">
        <f t="shared" si="33"/>
        <v>Fe58</v>
      </c>
    </row>
    <row r="328" spans="2:15" hidden="1" x14ac:dyDescent="0.2">
      <c r="B328" s="4">
        <v>26059</v>
      </c>
      <c r="C328" s="4">
        <v>0</v>
      </c>
      <c r="D328">
        <v>0</v>
      </c>
      <c r="E328" t="str">
        <f>VLOOKUP(B328,[1]Nuclides!A:E,5,FALSE)</f>
        <v>Fe59</v>
      </c>
      <c r="F328">
        <f>VLOOKUP(B328,[1]Nuclides!A:E,4,FALSE)</f>
        <v>3844368</v>
      </c>
      <c r="G328" t="str">
        <f t="shared" si="29"/>
        <v>44.5d</v>
      </c>
      <c r="H328">
        <f t="shared" si="30"/>
        <v>1.80301984763151E-7</v>
      </c>
      <c r="I328">
        <f t="shared" si="31"/>
        <v>0</v>
      </c>
      <c r="J328">
        <f t="shared" si="32"/>
        <v>0</v>
      </c>
      <c r="K328" t="str">
        <f t="shared" si="33"/>
        <v>Fe59</v>
      </c>
    </row>
    <row r="329" spans="2:15" hidden="1" x14ac:dyDescent="0.2">
      <c r="B329" s="4">
        <v>26060</v>
      </c>
      <c r="C329" s="4">
        <v>0</v>
      </c>
      <c r="D329">
        <v>0</v>
      </c>
      <c r="E329" t="str">
        <f>VLOOKUP(B329,[1]Nuclides!A:E,5,FALSE)</f>
        <v>Fe60</v>
      </c>
      <c r="F329">
        <f>VLOOKUP(B329,[1]Nuclides!A:E,4,FALSE)</f>
        <v>82680912000000</v>
      </c>
      <c r="G329" t="str">
        <f t="shared" si="29"/>
        <v>2621794.52y</v>
      </c>
      <c r="H329">
        <f t="shared" si="30"/>
        <v>8.3834002769580637E-15</v>
      </c>
      <c r="I329">
        <f t="shared" si="31"/>
        <v>0</v>
      </c>
      <c r="J329">
        <f t="shared" si="32"/>
        <v>0</v>
      </c>
      <c r="K329" t="str">
        <f t="shared" si="33"/>
        <v>Fe60</v>
      </c>
    </row>
    <row r="330" spans="2:15" hidden="1" x14ac:dyDescent="0.2">
      <c r="B330" s="4">
        <v>26061</v>
      </c>
      <c r="C330" s="4">
        <v>0</v>
      </c>
      <c r="D330">
        <v>0</v>
      </c>
      <c r="E330" t="str">
        <f>VLOOKUP(B330,[1]Nuclides!A:E,5,FALSE)</f>
        <v>Fe61</v>
      </c>
      <c r="F330">
        <f>VLOOKUP(B330,[1]Nuclides!A:E,4,FALSE)</f>
        <v>358.8</v>
      </c>
      <c r="G330" t="str">
        <f t="shared" si="29"/>
        <v>5.98min</v>
      </c>
      <c r="H330">
        <f t="shared" si="30"/>
        <v>1.9318483293198029E-3</v>
      </c>
      <c r="I330">
        <f t="shared" si="31"/>
        <v>0</v>
      </c>
      <c r="J330">
        <f t="shared" si="32"/>
        <v>0</v>
      </c>
      <c r="K330" t="str">
        <f t="shared" si="33"/>
        <v>Fe61</v>
      </c>
    </row>
    <row r="331" spans="2:15" hidden="1" x14ac:dyDescent="0.2">
      <c r="B331" s="4">
        <v>26062</v>
      </c>
      <c r="C331" s="4">
        <v>0</v>
      </c>
      <c r="D331">
        <v>0</v>
      </c>
      <c r="E331" t="str">
        <f>VLOOKUP(B331,[1]Nuclides!A:E,5,FALSE)</f>
        <v>Fe62</v>
      </c>
      <c r="F331">
        <f>VLOOKUP(B331,[1]Nuclides!A:E,4,FALSE)</f>
        <v>68</v>
      </c>
      <c r="G331" t="str">
        <f t="shared" si="29"/>
        <v>1.13min</v>
      </c>
      <c r="H331">
        <f t="shared" si="30"/>
        <v>1.0193340890587431E-2</v>
      </c>
      <c r="I331">
        <f t="shared" si="31"/>
        <v>0</v>
      </c>
      <c r="J331">
        <f t="shared" si="32"/>
        <v>0</v>
      </c>
      <c r="K331" t="str">
        <f t="shared" si="33"/>
        <v>Fe62</v>
      </c>
    </row>
    <row r="332" spans="2:15" hidden="1" x14ac:dyDescent="0.2">
      <c r="B332" s="4">
        <v>26063</v>
      </c>
      <c r="C332" s="4">
        <v>0</v>
      </c>
      <c r="D332">
        <v>0</v>
      </c>
      <c r="E332" t="str">
        <f>VLOOKUP(B332,[1]Nuclides!A:E,5,FALSE)</f>
        <v>Fe63</v>
      </c>
      <c r="F332">
        <f>VLOOKUP(B332,[1]Nuclides!A:E,4,FALSE)</f>
        <v>6.1</v>
      </c>
      <c r="G332" t="str">
        <f t="shared" si="29"/>
        <v>6.1s</v>
      </c>
      <c r="H332">
        <f t="shared" si="30"/>
        <v>0.11363068533769595</v>
      </c>
      <c r="I332">
        <f t="shared" si="31"/>
        <v>0</v>
      </c>
      <c r="J332">
        <f t="shared" si="32"/>
        <v>0</v>
      </c>
      <c r="K332" t="str">
        <f t="shared" si="33"/>
        <v>Fe63</v>
      </c>
    </row>
    <row r="333" spans="2:15" hidden="1" x14ac:dyDescent="0.2">
      <c r="B333" s="4">
        <v>26064</v>
      </c>
      <c r="C333" s="4">
        <v>0</v>
      </c>
      <c r="D333">
        <v>0</v>
      </c>
      <c r="E333" t="str">
        <f>VLOOKUP(B333,[1]Nuclides!A:E,5,FALSE)</f>
        <v>Fe64</v>
      </c>
      <c r="F333">
        <f>VLOOKUP(B333,[1]Nuclides!A:E,4,FALSE)</f>
        <v>2</v>
      </c>
      <c r="G333" t="str">
        <f t="shared" si="29"/>
        <v>2s</v>
      </c>
      <c r="H333">
        <f t="shared" si="30"/>
        <v>0.34657359027997264</v>
      </c>
      <c r="I333">
        <f t="shared" si="31"/>
        <v>0</v>
      </c>
      <c r="J333">
        <f t="shared" si="32"/>
        <v>0</v>
      </c>
      <c r="K333" t="str">
        <f t="shared" si="33"/>
        <v>Fe64</v>
      </c>
    </row>
    <row r="334" spans="2:15" hidden="1" x14ac:dyDescent="0.2">
      <c r="B334" s="4">
        <v>27053</v>
      </c>
      <c r="C334" s="4">
        <v>0</v>
      </c>
      <c r="D334">
        <v>0</v>
      </c>
      <c r="E334" t="str">
        <f>VLOOKUP(B334,[1]Nuclides!A:E,5,FALSE)</f>
        <v>Co53</v>
      </c>
      <c r="F334">
        <f>VLOOKUP(B334,[1]Nuclides!A:E,4,FALSE)</f>
        <v>0.24</v>
      </c>
      <c r="G334" t="str">
        <f t="shared" si="29"/>
        <v>0.24s</v>
      </c>
      <c r="H334">
        <f t="shared" si="30"/>
        <v>2.8881132523331057</v>
      </c>
      <c r="I334">
        <f t="shared" si="31"/>
        <v>0</v>
      </c>
      <c r="J334">
        <f t="shared" si="32"/>
        <v>0</v>
      </c>
      <c r="K334" t="str">
        <f t="shared" si="33"/>
        <v>Co53</v>
      </c>
    </row>
    <row r="335" spans="2:15" hidden="1" x14ac:dyDescent="0.2">
      <c r="B335" s="4">
        <v>27054</v>
      </c>
      <c r="C335" s="4">
        <v>3.3999999999999997E-7</v>
      </c>
      <c r="D335">
        <v>0.17150000000000001</v>
      </c>
      <c r="E335" t="str">
        <f>VLOOKUP(B335,[1]Nuclides!A:E,5,FALSE)</f>
        <v>Co54</v>
      </c>
      <c r="F335">
        <f>VLOOKUP(B335,[1]Nuclides!A:E,4,FALSE)</f>
        <v>0.193</v>
      </c>
      <c r="G335" t="str">
        <f t="shared" si="29"/>
        <v>0.193s</v>
      </c>
      <c r="H335">
        <f t="shared" si="30"/>
        <v>3.5914361687043797</v>
      </c>
      <c r="I335">
        <f t="shared" si="31"/>
        <v>127295999.99999999</v>
      </c>
      <c r="J335">
        <f t="shared" si="32"/>
        <v>0</v>
      </c>
      <c r="K335" t="str">
        <f t="shared" si="33"/>
        <v>Co54</v>
      </c>
    </row>
    <row r="336" spans="2:15" x14ac:dyDescent="0.2">
      <c r="B336" s="4">
        <v>27055</v>
      </c>
      <c r="C336" s="4">
        <v>1.02E-6</v>
      </c>
      <c r="D336">
        <v>9.9000000000000005E-2</v>
      </c>
      <c r="E336" t="str">
        <f>VLOOKUP(B336,[1]Nuclides!A:E,5,FALSE)</f>
        <v>Co55</v>
      </c>
      <c r="F336" s="4">
        <f>VLOOKUP(B336,[1]Nuclides!A:E,4,FALSE)</f>
        <v>63108</v>
      </c>
      <c r="G336" s="4" t="str">
        <f t="shared" si="29"/>
        <v>17.53h</v>
      </c>
      <c r="H336" s="4">
        <f t="shared" si="30"/>
        <v>1.0983507329656229E-5</v>
      </c>
      <c r="I336" s="4">
        <f t="shared" si="31"/>
        <v>29036912.627800241</v>
      </c>
      <c r="J336" s="4">
        <f t="shared" ref="J336:J339" si="34">I336*EXP(-H336*24*30*3600)</f>
        <v>1.2557749779354921E-5</v>
      </c>
      <c r="K336" s="4" t="str">
        <f t="shared" si="33"/>
        <v>Co55</v>
      </c>
      <c r="M336" s="4" t="str">
        <f t="shared" ref="M336:M339" si="35">K336</f>
        <v>Co55</v>
      </c>
      <c r="N336" s="4">
        <f t="shared" ref="N336:N339" si="36">J336</f>
        <v>1.2557749779354921E-5</v>
      </c>
      <c r="O336">
        <f>0</f>
        <v>0</v>
      </c>
    </row>
    <row r="337" spans="2:15" x14ac:dyDescent="0.2">
      <c r="B337" s="4">
        <v>27056</v>
      </c>
      <c r="C337" s="4">
        <v>2.7500000000000001E-5</v>
      </c>
      <c r="D337">
        <v>1.9099999999999999E-2</v>
      </c>
      <c r="E337" t="str">
        <f>VLOOKUP(B337,[1]Nuclides!A:E,5,FALSE)</f>
        <v>Co56</v>
      </c>
      <c r="F337" s="4">
        <f>VLOOKUP(B337,[1]Nuclides!A:E,4,FALSE)</f>
        <v>6673190.4000000004</v>
      </c>
      <c r="G337" s="4" t="str">
        <f t="shared" si="29"/>
        <v>77.24d</v>
      </c>
      <c r="H337" s="4">
        <f t="shared" si="30"/>
        <v>1.0387043363245641E-7</v>
      </c>
      <c r="I337" s="4">
        <f t="shared" si="31"/>
        <v>7697161.3040022599</v>
      </c>
      <c r="J337" s="4">
        <f t="shared" si="34"/>
        <v>5880368.5298668165</v>
      </c>
      <c r="K337" s="4" t="str">
        <f t="shared" si="33"/>
        <v>Co56</v>
      </c>
      <c r="M337" s="4" t="str">
        <f t="shared" si="35"/>
        <v>Co56</v>
      </c>
      <c r="N337" s="4">
        <f t="shared" si="36"/>
        <v>5880368.5298668165</v>
      </c>
      <c r="O337">
        <f>0</f>
        <v>0</v>
      </c>
    </row>
    <row r="338" spans="2:15" x14ac:dyDescent="0.2">
      <c r="B338" s="4">
        <v>27057</v>
      </c>
      <c r="C338" s="4">
        <v>7.8999999999999995E-7</v>
      </c>
      <c r="D338">
        <v>0.1125</v>
      </c>
      <c r="E338" t="str">
        <f>VLOOKUP(B338,[1]Nuclides!A:E,5,FALSE)</f>
        <v>Co57</v>
      </c>
      <c r="F338" s="4">
        <f>VLOOKUP(B338,[1]Nuclides!A:E,4,FALSE)</f>
        <v>23478336</v>
      </c>
      <c r="G338" s="4" t="str">
        <f t="shared" si="29"/>
        <v>271.74d</v>
      </c>
      <c r="H338" s="4">
        <f t="shared" si="30"/>
        <v>2.9522840995202781E-8</v>
      </c>
      <c r="I338" s="4">
        <f t="shared" si="31"/>
        <v>62864.782645188665</v>
      </c>
      <c r="J338" s="4">
        <f t="shared" si="34"/>
        <v>58233.623349008529</v>
      </c>
      <c r="K338" s="4" t="str">
        <f t="shared" si="33"/>
        <v>Co57</v>
      </c>
      <c r="M338" s="4" t="str">
        <f t="shared" si="35"/>
        <v>Co57</v>
      </c>
      <c r="N338" s="4">
        <f t="shared" si="36"/>
        <v>58233.623349008529</v>
      </c>
      <c r="O338">
        <f>0</f>
        <v>0</v>
      </c>
    </row>
    <row r="339" spans="2:15" x14ac:dyDescent="0.2">
      <c r="B339" s="4">
        <v>27058</v>
      </c>
      <c r="C339" s="4">
        <v>4.7999999999999996E-7</v>
      </c>
      <c r="D339">
        <v>0.14430000000000001</v>
      </c>
      <c r="E339" t="str">
        <f>VLOOKUP(B339,[1]Nuclides!A:E,5,FALSE)</f>
        <v>Co58</v>
      </c>
      <c r="F339" s="4">
        <f>VLOOKUP(B339,[1]Nuclides!A:E,4,FALSE)</f>
        <v>6122304</v>
      </c>
      <c r="G339" s="4" t="str">
        <f t="shared" si="29"/>
        <v>70.86d</v>
      </c>
      <c r="H339" s="4">
        <f t="shared" si="30"/>
        <v>1.1321672046339831E-7</v>
      </c>
      <c r="I339" s="4">
        <f t="shared" si="31"/>
        <v>146434.41165451519</v>
      </c>
      <c r="J339" s="4">
        <f t="shared" si="34"/>
        <v>109193.31972396177</v>
      </c>
      <c r="K339" s="4" t="str">
        <f t="shared" si="33"/>
        <v>Co58</v>
      </c>
      <c r="M339" s="4" t="str">
        <f t="shared" si="35"/>
        <v>Co58</v>
      </c>
      <c r="N339" s="4">
        <f t="shared" si="36"/>
        <v>109193.31972396177</v>
      </c>
      <c r="O339">
        <f>0</f>
        <v>0</v>
      </c>
    </row>
    <row r="340" spans="2:15" hidden="1" x14ac:dyDescent="0.2">
      <c r="B340" s="4">
        <v>27059</v>
      </c>
      <c r="C340" s="4">
        <v>1.5808E-4</v>
      </c>
      <c r="D340">
        <v>8.0000000000000002E-3</v>
      </c>
      <c r="E340" t="str">
        <f>VLOOKUP(B340,[1]Nuclides!A:E,5,FALSE)</f>
        <v>Co59</v>
      </c>
      <c r="F340" t="str">
        <f>VLOOKUP(B340,[1]Nuclides!A:E,4,FALSE)</f>
        <v>STABLE</v>
      </c>
      <c r="G340" t="str">
        <f t="shared" si="29"/>
        <v>STABLE</v>
      </c>
      <c r="H340" t="e">
        <f t="shared" si="30"/>
        <v>#VALUE!</v>
      </c>
      <c r="I340" t="e">
        <f t="shared" si="31"/>
        <v>#VALUE!</v>
      </c>
      <c r="J340" t="e">
        <f t="shared" si="32"/>
        <v>#VALUE!</v>
      </c>
      <c r="K340" t="str">
        <f t="shared" si="33"/>
        <v>Co59</v>
      </c>
    </row>
    <row r="341" spans="2:15" x14ac:dyDescent="0.2">
      <c r="B341" s="4">
        <v>27060</v>
      </c>
      <c r="C341" s="4">
        <v>1E-8</v>
      </c>
      <c r="D341">
        <v>1</v>
      </c>
      <c r="E341" t="str">
        <f>VLOOKUP(B341,[1]Nuclides!A:E,5,FALSE)</f>
        <v>Co60</v>
      </c>
      <c r="F341" s="4">
        <f>VLOOKUP(B341,[1]Nuclides!A:E,4,FALSE)</f>
        <v>166344192</v>
      </c>
      <c r="G341" s="4" t="str">
        <f t="shared" si="29"/>
        <v>5.27y</v>
      </c>
      <c r="H341" s="4">
        <f t="shared" si="30"/>
        <v>4.166945489506152E-9</v>
      </c>
      <c r="I341" s="4">
        <f t="shared" si="31"/>
        <v>112.32583116275308</v>
      </c>
      <c r="J341" s="4">
        <f>I341*EXP(-H341*24*30*3600)</f>
        <v>111.11915920234954</v>
      </c>
      <c r="K341" s="4" t="str">
        <f t="shared" si="33"/>
        <v>Co60</v>
      </c>
      <c r="M341" s="4" t="str">
        <f>K341</f>
        <v>Co60</v>
      </c>
      <c r="N341" s="4">
        <f>J341</f>
        <v>111.11915920234954</v>
      </c>
      <c r="O341">
        <f>0</f>
        <v>0</v>
      </c>
    </row>
    <row r="342" spans="2:15" hidden="1" x14ac:dyDescent="0.2">
      <c r="B342" s="4">
        <v>27061</v>
      </c>
      <c r="C342" s="4">
        <v>0</v>
      </c>
      <c r="D342">
        <v>0</v>
      </c>
      <c r="E342" t="str">
        <f>VLOOKUP(B342,[1]Nuclides!A:E,5,FALSE)</f>
        <v>Co61</v>
      </c>
      <c r="F342">
        <f>VLOOKUP(B342,[1]Nuclides!A:E,4,FALSE)</f>
        <v>5936.4</v>
      </c>
      <c r="G342" t="str">
        <f t="shared" si="29"/>
        <v>1.65h</v>
      </c>
      <c r="H342">
        <f t="shared" si="30"/>
        <v>1.1676220951417447E-4</v>
      </c>
      <c r="I342">
        <f t="shared" si="31"/>
        <v>0</v>
      </c>
      <c r="J342">
        <f t="shared" si="32"/>
        <v>0</v>
      </c>
      <c r="K342" t="str">
        <f t="shared" si="33"/>
        <v>Co61</v>
      </c>
    </row>
    <row r="343" spans="2:15" hidden="1" x14ac:dyDescent="0.2">
      <c r="B343" s="4">
        <v>27062</v>
      </c>
      <c r="C343" s="4">
        <v>0</v>
      </c>
      <c r="D343">
        <v>0</v>
      </c>
      <c r="E343" t="str">
        <f>VLOOKUP(B343,[1]Nuclides!A:E,5,FALSE)</f>
        <v>Co62</v>
      </c>
      <c r="F343">
        <f>VLOOKUP(B343,[1]Nuclides!A:E,4,FALSE)</f>
        <v>90</v>
      </c>
      <c r="G343" t="str">
        <f t="shared" si="29"/>
        <v>1.5min</v>
      </c>
      <c r="H343">
        <f t="shared" si="30"/>
        <v>7.7016353395549476E-3</v>
      </c>
      <c r="I343">
        <f t="shared" si="31"/>
        <v>0</v>
      </c>
      <c r="J343">
        <f t="shared" si="32"/>
        <v>0</v>
      </c>
      <c r="K343" t="str">
        <f t="shared" si="33"/>
        <v>Co62</v>
      </c>
    </row>
    <row r="344" spans="2:15" hidden="1" x14ac:dyDescent="0.2">
      <c r="B344" s="4">
        <v>27063</v>
      </c>
      <c r="C344" s="4">
        <v>0</v>
      </c>
      <c r="D344">
        <v>0</v>
      </c>
      <c r="E344" t="str">
        <f>VLOOKUP(B344,[1]Nuclides!A:E,5,FALSE)</f>
        <v>Co63</v>
      </c>
      <c r="F344">
        <f>VLOOKUP(B344,[1]Nuclides!A:E,4,FALSE)</f>
        <v>27.4</v>
      </c>
      <c r="G344" t="str">
        <f t="shared" si="29"/>
        <v>27.4s</v>
      </c>
      <c r="H344">
        <f t="shared" si="30"/>
        <v>2.5297342356202384E-2</v>
      </c>
      <c r="I344">
        <f t="shared" si="31"/>
        <v>0</v>
      </c>
      <c r="J344">
        <f t="shared" si="32"/>
        <v>0</v>
      </c>
      <c r="K344" t="str">
        <f t="shared" si="33"/>
        <v>Co63</v>
      </c>
    </row>
    <row r="345" spans="2:15" hidden="1" x14ac:dyDescent="0.2">
      <c r="B345" s="4">
        <v>27064</v>
      </c>
      <c r="C345" s="4">
        <v>0</v>
      </c>
      <c r="D345">
        <v>0</v>
      </c>
      <c r="E345" t="str">
        <f>VLOOKUP(B345,[1]Nuclides!A:E,5,FALSE)</f>
        <v>Co64</v>
      </c>
      <c r="F345">
        <f>VLOOKUP(B345,[1]Nuclides!A:E,4,FALSE)</f>
        <v>0.3</v>
      </c>
      <c r="G345" t="str">
        <f t="shared" si="29"/>
        <v>0.3s</v>
      </c>
      <c r="H345">
        <f t="shared" si="30"/>
        <v>2.3104906018664844</v>
      </c>
      <c r="I345">
        <f t="shared" si="31"/>
        <v>0</v>
      </c>
      <c r="J345">
        <f t="shared" si="32"/>
        <v>0</v>
      </c>
      <c r="K345" t="str">
        <f t="shared" si="33"/>
        <v>Co64</v>
      </c>
    </row>
    <row r="346" spans="2:15" hidden="1" x14ac:dyDescent="0.2">
      <c r="B346" s="4">
        <v>28053</v>
      </c>
      <c r="C346" s="4">
        <v>0</v>
      </c>
      <c r="D346">
        <v>0</v>
      </c>
      <c r="E346" t="str">
        <f>VLOOKUP(B346,[1]Nuclides!A:E,5,FALSE)</f>
        <v>Ni53</v>
      </c>
      <c r="F346">
        <f>VLOOKUP(B346,[1]Nuclides!A:E,4,FALSE)</f>
        <v>5.5199999999999999E-2</v>
      </c>
      <c r="G346" t="str">
        <f t="shared" si="29"/>
        <v>0.0552s</v>
      </c>
      <c r="H346">
        <f t="shared" si="30"/>
        <v>12.557014140578719</v>
      </c>
      <c r="I346">
        <f t="shared" si="31"/>
        <v>0</v>
      </c>
      <c r="J346">
        <f t="shared" si="32"/>
        <v>0</v>
      </c>
      <c r="K346" t="str">
        <f t="shared" si="33"/>
        <v>Ni53</v>
      </c>
    </row>
    <row r="347" spans="2:15" hidden="1" x14ac:dyDescent="0.2">
      <c r="B347" s="4">
        <v>28054</v>
      </c>
      <c r="C347" s="4">
        <v>0</v>
      </c>
      <c r="D347">
        <v>0</v>
      </c>
      <c r="E347" t="str">
        <f>VLOOKUP(B347,[1]Nuclides!A:E,5,FALSE)</f>
        <v>Ni54</v>
      </c>
      <c r="F347">
        <f>VLOOKUP(B347,[1]Nuclides!A:E,4,FALSE)</f>
        <v>0.1142</v>
      </c>
      <c r="G347" t="str">
        <f t="shared" si="29"/>
        <v>0.1142s</v>
      </c>
      <c r="H347">
        <f t="shared" si="30"/>
        <v>6.0695900224163335</v>
      </c>
      <c r="I347">
        <f t="shared" si="31"/>
        <v>0</v>
      </c>
      <c r="J347">
        <f t="shared" si="32"/>
        <v>0</v>
      </c>
      <c r="K347" t="str">
        <f t="shared" si="33"/>
        <v>Ni54</v>
      </c>
    </row>
    <row r="348" spans="2:15" hidden="1" x14ac:dyDescent="0.2">
      <c r="B348" s="4">
        <v>28055</v>
      </c>
      <c r="C348" s="4">
        <v>0</v>
      </c>
      <c r="D348">
        <v>0</v>
      </c>
      <c r="E348" t="str">
        <f>VLOOKUP(B348,[1]Nuclides!A:E,5,FALSE)</f>
        <v>Ni55</v>
      </c>
      <c r="F348">
        <f>VLOOKUP(B348,[1]Nuclides!A:E,4,FALSE)</f>
        <v>0.20469999999999999</v>
      </c>
      <c r="G348" t="str">
        <f t="shared" si="29"/>
        <v>0.2047s</v>
      </c>
      <c r="H348">
        <f t="shared" si="30"/>
        <v>3.3861611165605536</v>
      </c>
      <c r="I348">
        <f t="shared" si="31"/>
        <v>0</v>
      </c>
      <c r="J348">
        <f t="shared" si="32"/>
        <v>0</v>
      </c>
      <c r="K348" t="str">
        <f t="shared" si="33"/>
        <v>Ni55</v>
      </c>
    </row>
    <row r="349" spans="2:15" hidden="1" x14ac:dyDescent="0.2">
      <c r="B349" s="4">
        <v>28056</v>
      </c>
      <c r="C349" s="4">
        <v>0</v>
      </c>
      <c r="D349">
        <v>0</v>
      </c>
      <c r="E349" t="str">
        <f>VLOOKUP(B349,[1]Nuclides!A:E,5,FALSE)</f>
        <v>Ni56</v>
      </c>
      <c r="F349">
        <f>VLOOKUP(B349,[1]Nuclides!A:E,4,FALSE)</f>
        <v>524880</v>
      </c>
      <c r="G349" t="str">
        <f t="shared" si="29"/>
        <v>6.08d</v>
      </c>
      <c r="H349">
        <f t="shared" si="30"/>
        <v>1.3205821912817126E-6</v>
      </c>
      <c r="I349">
        <f t="shared" si="31"/>
        <v>0</v>
      </c>
      <c r="J349">
        <f t="shared" si="32"/>
        <v>0</v>
      </c>
      <c r="K349" t="str">
        <f t="shared" si="33"/>
        <v>Ni56</v>
      </c>
    </row>
    <row r="350" spans="2:15" hidden="1" x14ac:dyDescent="0.2">
      <c r="B350" s="4">
        <v>28057</v>
      </c>
      <c r="C350" s="4">
        <v>0</v>
      </c>
      <c r="D350">
        <v>0</v>
      </c>
      <c r="E350" t="str">
        <f>VLOOKUP(B350,[1]Nuclides!A:E,5,FALSE)</f>
        <v>Ni57</v>
      </c>
      <c r="F350">
        <f>VLOOKUP(B350,[1]Nuclides!A:E,4,FALSE)</f>
        <v>128160</v>
      </c>
      <c r="G350" t="str">
        <f t="shared" si="29"/>
        <v>1.48d</v>
      </c>
      <c r="H350">
        <f t="shared" si="30"/>
        <v>5.4084517833953281E-6</v>
      </c>
      <c r="I350">
        <f t="shared" si="31"/>
        <v>0</v>
      </c>
      <c r="J350">
        <f t="shared" si="32"/>
        <v>0</v>
      </c>
      <c r="K350" t="str">
        <f t="shared" si="33"/>
        <v>Ni57</v>
      </c>
    </row>
    <row r="351" spans="2:15" hidden="1" x14ac:dyDescent="0.2">
      <c r="B351" s="4">
        <v>28058</v>
      </c>
      <c r="C351" s="4">
        <v>5.8409999999999998E-5</v>
      </c>
      <c r="D351">
        <v>1.3100000000000001E-2</v>
      </c>
      <c r="E351" t="str">
        <f>VLOOKUP(B351,[1]Nuclides!A:E,5,FALSE)</f>
        <v>Ni58</v>
      </c>
      <c r="F351" t="str">
        <f>VLOOKUP(B351,[1]Nuclides!A:E,4,FALSE)</f>
        <v>STABLE</v>
      </c>
      <c r="G351" t="str">
        <f t="shared" si="29"/>
        <v>STABLE</v>
      </c>
      <c r="H351" t="e">
        <f t="shared" si="30"/>
        <v>#VALUE!</v>
      </c>
      <c r="I351" t="e">
        <f t="shared" si="31"/>
        <v>#VALUE!</v>
      </c>
      <c r="J351" t="e">
        <f t="shared" si="32"/>
        <v>#VALUE!</v>
      </c>
      <c r="K351" t="str">
        <f t="shared" si="33"/>
        <v>Ni58</v>
      </c>
    </row>
    <row r="352" spans="2:15" x14ac:dyDescent="0.2">
      <c r="B352" s="4">
        <v>28059</v>
      </c>
      <c r="C352" s="4">
        <v>7.4369999999999994E-5</v>
      </c>
      <c r="D352">
        <v>1.1599999999999999E-2</v>
      </c>
      <c r="E352" t="str">
        <f>VLOOKUP(B352,[1]Nuclides!A:E,5,FALSE)</f>
        <v>Ni59</v>
      </c>
      <c r="F352" s="4">
        <f>VLOOKUP(B352,[1]Nuclides!A:E,4,FALSE)</f>
        <v>2398377600000</v>
      </c>
      <c r="G352" s="4" t="str">
        <f t="shared" si="29"/>
        <v>76052.05y</v>
      </c>
      <c r="H352" s="4">
        <f t="shared" si="30"/>
        <v>2.8900669375829115E-13</v>
      </c>
      <c r="I352" s="4">
        <f t="shared" si="31"/>
        <v>57.939402528027976</v>
      </c>
      <c r="J352" s="4">
        <f>I352*EXP(-H352*24*30*3600)</f>
        <v>57.939359125327812</v>
      </c>
      <c r="K352" s="4" t="str">
        <f t="shared" si="33"/>
        <v>Ni59</v>
      </c>
      <c r="M352" s="4" t="str">
        <f>K352</f>
        <v>Ni59</v>
      </c>
      <c r="N352" s="4">
        <f>J352</f>
        <v>57.939359125327812</v>
      </c>
      <c r="O352">
        <f>0</f>
        <v>0</v>
      </c>
    </row>
    <row r="353" spans="2:11" hidden="1" x14ac:dyDescent="0.2">
      <c r="B353" s="4">
        <v>28060</v>
      </c>
      <c r="C353" s="4">
        <v>1.7280000000000001E-5</v>
      </c>
      <c r="D353">
        <v>2.41E-2</v>
      </c>
      <c r="E353" t="str">
        <f>VLOOKUP(B353,[1]Nuclides!A:E,5,FALSE)</f>
        <v>Ni60</v>
      </c>
      <c r="F353" t="str">
        <f>VLOOKUP(B353,[1]Nuclides!A:E,4,FALSE)</f>
        <v>STABLE</v>
      </c>
      <c r="G353" t="str">
        <f t="shared" si="29"/>
        <v>STABLE</v>
      </c>
      <c r="H353" t="e">
        <f t="shared" si="30"/>
        <v>#VALUE!</v>
      </c>
      <c r="I353" t="e">
        <f t="shared" si="31"/>
        <v>#VALUE!</v>
      </c>
      <c r="J353" t="e">
        <f t="shared" si="32"/>
        <v>#VALUE!</v>
      </c>
      <c r="K353" t="str">
        <f t="shared" si="33"/>
        <v>Ni60</v>
      </c>
    </row>
    <row r="354" spans="2:11" hidden="1" x14ac:dyDescent="0.2">
      <c r="B354" s="4">
        <v>28061</v>
      </c>
      <c r="C354" s="4">
        <v>4.4000000000000002E-7</v>
      </c>
      <c r="D354">
        <v>0.15079999999999999</v>
      </c>
      <c r="E354" t="str">
        <f>VLOOKUP(B354,[1]Nuclides!A:E,5,FALSE)</f>
        <v>Ni61</v>
      </c>
      <c r="F354" t="str">
        <f>VLOOKUP(B354,[1]Nuclides!A:E,4,FALSE)</f>
        <v>STABLE</v>
      </c>
      <c r="G354" t="str">
        <f t="shared" si="29"/>
        <v>STABLE</v>
      </c>
      <c r="H354" t="e">
        <f t="shared" si="30"/>
        <v>#VALUE!</v>
      </c>
      <c r="I354" t="e">
        <f t="shared" si="31"/>
        <v>#VALUE!</v>
      </c>
      <c r="J354" t="e">
        <f t="shared" si="32"/>
        <v>#VALUE!</v>
      </c>
      <c r="K354" t="str">
        <f t="shared" si="33"/>
        <v>Ni61</v>
      </c>
    </row>
    <row r="355" spans="2:11" hidden="1" x14ac:dyDescent="0.2">
      <c r="B355" s="4">
        <v>28062</v>
      </c>
      <c r="C355" s="4">
        <v>1.9099999999999999E-6</v>
      </c>
      <c r="D355">
        <v>7.2400000000000006E-2</v>
      </c>
      <c r="E355" t="str">
        <f>VLOOKUP(B355,[1]Nuclides!A:E,5,FALSE)</f>
        <v>Ni62</v>
      </c>
      <c r="F355" t="str">
        <f>VLOOKUP(B355,[1]Nuclides!A:E,4,FALSE)</f>
        <v>STABLE</v>
      </c>
      <c r="G355" t="str">
        <f t="shared" si="29"/>
        <v>STABLE</v>
      </c>
      <c r="H355" t="e">
        <f t="shared" si="30"/>
        <v>#VALUE!</v>
      </c>
      <c r="I355" t="e">
        <f t="shared" si="31"/>
        <v>#VALUE!</v>
      </c>
      <c r="J355" t="e">
        <f t="shared" si="32"/>
        <v>#VALUE!</v>
      </c>
      <c r="K355" t="str">
        <f t="shared" si="33"/>
        <v>Ni62</v>
      </c>
    </row>
    <row r="356" spans="2:11" hidden="1" x14ac:dyDescent="0.2">
      <c r="B356" s="4">
        <v>28063</v>
      </c>
      <c r="C356" s="4">
        <v>0</v>
      </c>
      <c r="D356">
        <v>0</v>
      </c>
      <c r="E356" t="str">
        <f>VLOOKUP(B356,[1]Nuclides!A:E,5,FALSE)</f>
        <v>Ni63</v>
      </c>
      <c r="F356">
        <f>VLOOKUP(B356,[1]Nuclides!A:E,4,FALSE)</f>
        <v>3193629120</v>
      </c>
      <c r="G356" t="str">
        <f t="shared" si="29"/>
        <v>101.27y</v>
      </c>
      <c r="H356">
        <f t="shared" si="30"/>
        <v>2.1704060005563365E-10</v>
      </c>
      <c r="I356">
        <f t="shared" si="31"/>
        <v>0</v>
      </c>
      <c r="J356">
        <f t="shared" si="32"/>
        <v>0</v>
      </c>
      <c r="K356" t="str">
        <f t="shared" si="33"/>
        <v>Ni63</v>
      </c>
    </row>
    <row r="357" spans="2:11" hidden="1" x14ac:dyDescent="0.2">
      <c r="B357" s="4">
        <v>28064</v>
      </c>
      <c r="C357" s="4">
        <v>3.9000000000000002E-7</v>
      </c>
      <c r="D357">
        <v>0.16009999999999999</v>
      </c>
      <c r="E357" t="str">
        <f>VLOOKUP(B357,[1]Nuclides!A:E,5,FALSE)</f>
        <v>Ni64</v>
      </c>
      <c r="F357" t="str">
        <f>VLOOKUP(B357,[1]Nuclides!A:E,4,FALSE)</f>
        <v>STABLE</v>
      </c>
      <c r="G357" t="str">
        <f t="shared" si="29"/>
        <v>STABLE</v>
      </c>
      <c r="H357" t="e">
        <f t="shared" si="30"/>
        <v>#VALUE!</v>
      </c>
      <c r="I357" t="e">
        <f t="shared" si="31"/>
        <v>#VALUE!</v>
      </c>
      <c r="J357" t="e">
        <f t="shared" si="32"/>
        <v>#VALUE!</v>
      </c>
      <c r="K357" t="str">
        <f t="shared" si="33"/>
        <v>Ni64</v>
      </c>
    </row>
    <row r="358" spans="2:11" hidden="1" x14ac:dyDescent="0.2">
      <c r="B358" s="4">
        <v>28065</v>
      </c>
      <c r="C358" s="4">
        <v>0</v>
      </c>
      <c r="D358">
        <v>0</v>
      </c>
      <c r="E358" t="str">
        <f>VLOOKUP(B358,[1]Nuclides!A:E,5,FALSE)</f>
        <v>Ni65</v>
      </c>
      <c r="F358">
        <f>VLOOKUP(B358,[1]Nuclides!A:E,4,FALSE)</f>
        <v>9063</v>
      </c>
      <c r="G358" t="str">
        <f t="shared" si="29"/>
        <v>2.52h</v>
      </c>
      <c r="H358">
        <f t="shared" si="30"/>
        <v>7.6480986490118651E-5</v>
      </c>
      <c r="I358">
        <f t="shared" si="31"/>
        <v>0</v>
      </c>
      <c r="J358">
        <f t="shared" si="32"/>
        <v>0</v>
      </c>
      <c r="K358" t="str">
        <f t="shared" si="33"/>
        <v>Ni65</v>
      </c>
    </row>
    <row r="359" spans="2:11" hidden="1" x14ac:dyDescent="0.2">
      <c r="B359" s="4">
        <v>28066</v>
      </c>
      <c r="C359" s="4">
        <v>0</v>
      </c>
      <c r="D359">
        <v>0</v>
      </c>
      <c r="E359" t="str">
        <f>VLOOKUP(B359,[1]Nuclides!A:E,5,FALSE)</f>
        <v>Ni66</v>
      </c>
      <c r="F359">
        <f>VLOOKUP(B359,[1]Nuclides!A:E,4,FALSE)</f>
        <v>196560</v>
      </c>
      <c r="G359" t="str">
        <f t="shared" si="29"/>
        <v>2.28d</v>
      </c>
      <c r="H359">
        <f t="shared" si="30"/>
        <v>3.526389807488529E-6</v>
      </c>
      <c r="I359">
        <f t="shared" si="31"/>
        <v>0</v>
      </c>
      <c r="J359">
        <f t="shared" si="32"/>
        <v>0</v>
      </c>
      <c r="K359" t="str">
        <f t="shared" si="33"/>
        <v>Ni66</v>
      </c>
    </row>
    <row r="360" spans="2:11" hidden="1" x14ac:dyDescent="0.2">
      <c r="B360" s="4">
        <v>28067</v>
      </c>
      <c r="C360" s="4">
        <v>0</v>
      </c>
      <c r="D360">
        <v>0</v>
      </c>
      <c r="E360" t="str">
        <f>VLOOKUP(B360,[1]Nuclides!A:E,5,FALSE)</f>
        <v>Ni67</v>
      </c>
      <c r="F360">
        <f>VLOOKUP(B360,[1]Nuclides!A:E,4,FALSE)</f>
        <v>21</v>
      </c>
      <c r="G360" t="str">
        <f t="shared" si="29"/>
        <v>21s</v>
      </c>
      <c r="H360">
        <f t="shared" si="30"/>
        <v>3.3007008598092635E-2</v>
      </c>
      <c r="I360">
        <f t="shared" si="31"/>
        <v>0</v>
      </c>
      <c r="J360">
        <f t="shared" si="32"/>
        <v>0</v>
      </c>
      <c r="K360" t="str">
        <f t="shared" si="33"/>
        <v>Ni67</v>
      </c>
    </row>
    <row r="361" spans="2:11" hidden="1" x14ac:dyDescent="0.2">
      <c r="B361" s="4">
        <v>28068</v>
      </c>
      <c r="C361" s="4">
        <v>0</v>
      </c>
      <c r="D361">
        <v>0</v>
      </c>
      <c r="E361" t="str">
        <f>VLOOKUP(B361,[1]Nuclides!A:E,5,FALSE)</f>
        <v>Ni68</v>
      </c>
      <c r="F361">
        <f>VLOOKUP(B361,[1]Nuclides!A:E,4,FALSE)</f>
        <v>29</v>
      </c>
      <c r="G361" t="str">
        <f t="shared" si="29"/>
        <v>29s</v>
      </c>
      <c r="H361">
        <f t="shared" si="30"/>
        <v>2.3901626915860182E-2</v>
      </c>
      <c r="I361">
        <f t="shared" si="31"/>
        <v>0</v>
      </c>
      <c r="J361">
        <f t="shared" si="32"/>
        <v>0</v>
      </c>
      <c r="K361" t="str">
        <f t="shared" si="33"/>
        <v>Ni68</v>
      </c>
    </row>
    <row r="362" spans="2:11" hidden="1" x14ac:dyDescent="0.2">
      <c r="B362" s="4">
        <v>29057</v>
      </c>
      <c r="C362" s="4">
        <v>0</v>
      </c>
      <c r="D362">
        <v>0</v>
      </c>
      <c r="E362" t="str">
        <f>VLOOKUP(B362,[1]Nuclides!A:E,5,FALSE)</f>
        <v>Cu57</v>
      </c>
      <c r="F362">
        <f>VLOOKUP(B362,[1]Nuclides!A:E,4,FALSE)</f>
        <v>0.1963</v>
      </c>
      <c r="G362" t="str">
        <f t="shared" si="29"/>
        <v>0.1963s</v>
      </c>
      <c r="H362">
        <f t="shared" si="30"/>
        <v>3.5310605224653351</v>
      </c>
      <c r="I362">
        <f t="shared" si="31"/>
        <v>0</v>
      </c>
      <c r="J362">
        <f t="shared" si="32"/>
        <v>0</v>
      </c>
      <c r="K362" t="str">
        <f t="shared" si="33"/>
        <v>Cu57</v>
      </c>
    </row>
    <row r="363" spans="2:11" hidden="1" x14ac:dyDescent="0.2">
      <c r="B363" s="4">
        <v>29058</v>
      </c>
      <c r="C363" s="4">
        <v>2.3199999999999998E-6</v>
      </c>
      <c r="D363">
        <v>6.5699999999999995E-2</v>
      </c>
      <c r="E363" t="str">
        <f>VLOOKUP(B363,[1]Nuclides!A:E,5,FALSE)</f>
        <v>Cu58</v>
      </c>
      <c r="F363">
        <f>VLOOKUP(B363,[1]Nuclides!A:E,4,FALSE)</f>
        <v>3.2040000000000002</v>
      </c>
      <c r="G363" t="str">
        <f t="shared" si="29"/>
        <v>3.204s</v>
      </c>
      <c r="H363">
        <f t="shared" si="30"/>
        <v>0.21633807133581312</v>
      </c>
      <c r="I363">
        <f t="shared" si="31"/>
        <v>868607999.99999988</v>
      </c>
      <c r="J363">
        <f t="shared" si="32"/>
        <v>0</v>
      </c>
      <c r="K363" t="str">
        <f t="shared" si="33"/>
        <v>Cu58</v>
      </c>
    </row>
    <row r="364" spans="2:11" hidden="1" x14ac:dyDescent="0.2">
      <c r="B364" s="4">
        <v>29059</v>
      </c>
      <c r="C364" s="4">
        <v>0</v>
      </c>
      <c r="D364">
        <v>0</v>
      </c>
      <c r="E364" t="str">
        <f>VLOOKUP(B364,[1]Nuclides!A:E,5,FALSE)</f>
        <v>Cu59</v>
      </c>
      <c r="F364">
        <f>VLOOKUP(B364,[1]Nuclides!A:E,4,FALSE)</f>
        <v>81.5</v>
      </c>
      <c r="G364" t="str">
        <f t="shared" si="29"/>
        <v>1.36min</v>
      </c>
      <c r="H364">
        <f t="shared" si="30"/>
        <v>8.504873381103624E-3</v>
      </c>
      <c r="I364">
        <f t="shared" si="31"/>
        <v>0</v>
      </c>
      <c r="J364">
        <f t="shared" si="32"/>
        <v>0</v>
      </c>
      <c r="K364" t="str">
        <f t="shared" si="33"/>
        <v>Cu59</v>
      </c>
    </row>
    <row r="365" spans="2:11" hidden="1" x14ac:dyDescent="0.2">
      <c r="B365" s="4">
        <v>29060</v>
      </c>
      <c r="C365" s="4">
        <v>3.0299999999999998E-6</v>
      </c>
      <c r="D365">
        <v>5.74E-2</v>
      </c>
      <c r="E365" t="str">
        <f>VLOOKUP(B365,[1]Nuclides!A:E,5,FALSE)</f>
        <v>Cu60</v>
      </c>
      <c r="F365">
        <f>VLOOKUP(B365,[1]Nuclides!A:E,4,FALSE)</f>
        <v>1422</v>
      </c>
      <c r="G365" t="str">
        <f t="shared" si="29"/>
        <v>23.7min</v>
      </c>
      <c r="H365">
        <f t="shared" si="30"/>
        <v>4.8744527465537644E-4</v>
      </c>
      <c r="I365">
        <f t="shared" si="31"/>
        <v>1100502617.2553966</v>
      </c>
      <c r="J365">
        <f t="shared" si="32"/>
        <v>7.5835161253865297E-65</v>
      </c>
      <c r="K365" t="str">
        <f t="shared" si="33"/>
        <v>Cu60</v>
      </c>
    </row>
    <row r="366" spans="2:11" hidden="1" x14ac:dyDescent="0.2">
      <c r="B366" s="4">
        <v>29061</v>
      </c>
      <c r="C366" s="4">
        <v>8.0000000000000002E-8</v>
      </c>
      <c r="D366">
        <v>0.35360000000000003</v>
      </c>
      <c r="E366" t="str">
        <f>VLOOKUP(B366,[1]Nuclides!A:E,5,FALSE)</f>
        <v>Cu61</v>
      </c>
      <c r="F366">
        <f>VLOOKUP(B366,[1]Nuclides!A:E,4,FALSE)</f>
        <v>12020.4</v>
      </c>
      <c r="G366" t="str">
        <f t="shared" si="29"/>
        <v>3.34h</v>
      </c>
      <c r="H366">
        <f t="shared" si="30"/>
        <v>5.7664235845724375E-5</v>
      </c>
      <c r="I366">
        <f t="shared" si="31"/>
        <v>10177097.123640778</v>
      </c>
      <c r="J366">
        <f t="shared" si="32"/>
        <v>2.2525449170525822E-2</v>
      </c>
      <c r="K366" t="str">
        <f t="shared" si="33"/>
        <v>Cu61</v>
      </c>
    </row>
    <row r="367" spans="2:11" hidden="1" x14ac:dyDescent="0.2">
      <c r="B367" s="4">
        <v>29062</v>
      </c>
      <c r="C367" s="4">
        <v>1.08E-6</v>
      </c>
      <c r="D367">
        <v>9.6199999999999994E-2</v>
      </c>
      <c r="E367" t="str">
        <f>VLOOKUP(B367,[1]Nuclides!A:E,5,FALSE)</f>
        <v>Cu62</v>
      </c>
      <c r="F367">
        <f>VLOOKUP(B367,[1]Nuclides!A:E,4,FALSE)</f>
        <v>580.38</v>
      </c>
      <c r="G367" t="str">
        <f t="shared" si="29"/>
        <v>9.67min</v>
      </c>
      <c r="H367">
        <f t="shared" si="30"/>
        <v>1.1942988741168636E-3</v>
      </c>
      <c r="I367">
        <f t="shared" si="31"/>
        <v>404277478.38846171</v>
      </c>
      <c r="J367">
        <f t="shared" si="32"/>
        <v>2.2478451249326883E-171</v>
      </c>
      <c r="K367" t="str">
        <f t="shared" si="33"/>
        <v>Cu62</v>
      </c>
    </row>
    <row r="368" spans="2:11" hidden="1" x14ac:dyDescent="0.2">
      <c r="B368" s="4">
        <v>29063</v>
      </c>
      <c r="C368" s="4">
        <v>2.6E-7</v>
      </c>
      <c r="D368">
        <v>0.1961</v>
      </c>
      <c r="E368" t="str">
        <f>VLOOKUP(B368,[1]Nuclides!A:E,5,FALSE)</f>
        <v>Cu63</v>
      </c>
      <c r="F368" t="str">
        <f>VLOOKUP(B368,[1]Nuclides!A:E,4,FALSE)</f>
        <v>STABLE</v>
      </c>
      <c r="G368" t="str">
        <f t="shared" si="29"/>
        <v>STABLE</v>
      </c>
      <c r="H368" t="e">
        <f t="shared" si="30"/>
        <v>#VALUE!</v>
      </c>
      <c r="I368" t="e">
        <f t="shared" si="31"/>
        <v>#VALUE!</v>
      </c>
      <c r="J368" t="e">
        <f t="shared" si="32"/>
        <v>#VALUE!</v>
      </c>
      <c r="K368" t="str">
        <f t="shared" si="33"/>
        <v>Cu63</v>
      </c>
    </row>
    <row r="369" spans="2:15" x14ac:dyDescent="0.2">
      <c r="B369" s="4">
        <v>29064</v>
      </c>
      <c r="C369" s="4">
        <v>9.9999999999999995E-8</v>
      </c>
      <c r="D369">
        <v>0.31619999999999998</v>
      </c>
      <c r="E369" t="str">
        <f>VLOOKUP(B369,[1]Nuclides!A:E,5,FALSE)</f>
        <v>Cu64</v>
      </c>
      <c r="F369" s="4">
        <f>VLOOKUP(B369,[1]Nuclides!A:E,4,FALSE)</f>
        <v>45723.6</v>
      </c>
      <c r="G369" s="4" t="str">
        <f t="shared" si="29"/>
        <v>12.7h</v>
      </c>
      <c r="H369" s="4">
        <f t="shared" si="30"/>
        <v>1.5159505825436871E-5</v>
      </c>
      <c r="I369" s="4">
        <f t="shared" si="31"/>
        <v>3871396.5274547748</v>
      </c>
      <c r="J369" s="4">
        <f>I369*EXP(-H369*24*30*3600)</f>
        <v>3.3338333001424546E-11</v>
      </c>
      <c r="K369" s="4" t="str">
        <f t="shared" si="33"/>
        <v>Cu64</v>
      </c>
      <c r="M369" s="4" t="str">
        <f>K369</f>
        <v>Cu64</v>
      </c>
      <c r="N369" s="4">
        <f>J369</f>
        <v>3.3338333001424546E-11</v>
      </c>
      <c r="O369">
        <f>0</f>
        <v>0</v>
      </c>
    </row>
    <row r="370" spans="2:15" hidden="1" x14ac:dyDescent="0.2">
      <c r="B370" s="4">
        <v>29065</v>
      </c>
      <c r="C370" s="4">
        <v>0</v>
      </c>
      <c r="D370">
        <v>0</v>
      </c>
      <c r="E370" t="str">
        <f>VLOOKUP(B370,[1]Nuclides!A:E,5,FALSE)</f>
        <v>Cu65</v>
      </c>
      <c r="F370" t="str">
        <f>VLOOKUP(B370,[1]Nuclides!A:E,4,FALSE)</f>
        <v>STABLE</v>
      </c>
      <c r="G370" t="str">
        <f t="shared" si="29"/>
        <v>STABLE</v>
      </c>
      <c r="H370" t="e">
        <f t="shared" si="30"/>
        <v>#VALUE!</v>
      </c>
      <c r="I370" t="e">
        <f t="shared" si="31"/>
        <v>#VALUE!</v>
      </c>
      <c r="J370" t="e">
        <f t="shared" si="32"/>
        <v>#VALUE!</v>
      </c>
      <c r="K370" t="str">
        <f t="shared" si="33"/>
        <v>Cu65</v>
      </c>
    </row>
    <row r="371" spans="2:15" hidden="1" x14ac:dyDescent="0.2">
      <c r="B371" s="4">
        <v>29066</v>
      </c>
      <c r="C371" s="4">
        <v>0</v>
      </c>
      <c r="D371">
        <v>0</v>
      </c>
      <c r="E371" t="str">
        <f>VLOOKUP(B371,[1]Nuclides!A:E,5,FALSE)</f>
        <v>Cu66</v>
      </c>
      <c r="F371">
        <f>VLOOKUP(B371,[1]Nuclides!A:E,4,FALSE)</f>
        <v>307.2</v>
      </c>
      <c r="G371" t="str">
        <f t="shared" si="29"/>
        <v>5.12min</v>
      </c>
      <c r="H371">
        <f t="shared" si="30"/>
        <v>2.2563384783852386E-3</v>
      </c>
      <c r="I371">
        <f t="shared" si="31"/>
        <v>0</v>
      </c>
      <c r="J371">
        <f t="shared" si="32"/>
        <v>0</v>
      </c>
      <c r="K371" t="str">
        <f t="shared" si="33"/>
        <v>Cu66</v>
      </c>
    </row>
    <row r="372" spans="2:15" hidden="1" x14ac:dyDescent="0.2">
      <c r="B372" s="4">
        <v>29067</v>
      </c>
      <c r="C372" s="4">
        <v>0</v>
      </c>
      <c r="D372">
        <v>0</v>
      </c>
      <c r="E372" t="str">
        <f>VLOOKUP(B372,[1]Nuclides!A:E,5,FALSE)</f>
        <v>Cu67</v>
      </c>
      <c r="F372">
        <f>VLOOKUP(B372,[1]Nuclides!A:E,4,FALSE)</f>
        <v>222588</v>
      </c>
      <c r="G372" t="str">
        <f t="shared" si="29"/>
        <v>2.58d</v>
      </c>
      <c r="H372">
        <f t="shared" si="30"/>
        <v>3.1140366082625535E-6</v>
      </c>
      <c r="I372">
        <f t="shared" si="31"/>
        <v>0</v>
      </c>
      <c r="J372">
        <f t="shared" si="32"/>
        <v>0</v>
      </c>
      <c r="K372" t="str">
        <f t="shared" si="33"/>
        <v>Cu67</v>
      </c>
    </row>
    <row r="373" spans="2:15" hidden="1" x14ac:dyDescent="0.2">
      <c r="B373" s="4">
        <v>29068</v>
      </c>
      <c r="C373" s="4">
        <v>0</v>
      </c>
      <c r="D373">
        <v>0</v>
      </c>
      <c r="E373" t="str">
        <f>VLOOKUP(B373,[1]Nuclides!A:E,5,FALSE)</f>
        <v>Cu68</v>
      </c>
      <c r="F373">
        <f>VLOOKUP(B373,[1]Nuclides!A:E,4,FALSE)</f>
        <v>30.9</v>
      </c>
      <c r="G373" t="str">
        <f t="shared" si="29"/>
        <v>30.9s</v>
      </c>
      <c r="H373">
        <f t="shared" si="30"/>
        <v>2.2431947590936741E-2</v>
      </c>
      <c r="I373">
        <f t="shared" si="31"/>
        <v>0</v>
      </c>
      <c r="J373">
        <f t="shared" si="32"/>
        <v>0</v>
      </c>
      <c r="K373" t="str">
        <f t="shared" si="33"/>
        <v>Cu68</v>
      </c>
    </row>
    <row r="374" spans="2:15" hidden="1" x14ac:dyDescent="0.2">
      <c r="B374" s="4">
        <v>29069</v>
      </c>
      <c r="C374" s="4">
        <v>0</v>
      </c>
      <c r="D374">
        <v>0</v>
      </c>
      <c r="E374" t="str">
        <f>VLOOKUP(B374,[1]Nuclides!A:E,5,FALSE)</f>
        <v>Cu69</v>
      </c>
      <c r="F374">
        <f>VLOOKUP(B374,[1]Nuclides!A:E,4,FALSE)</f>
        <v>171</v>
      </c>
      <c r="G374" t="str">
        <f t="shared" si="29"/>
        <v>2.85min</v>
      </c>
      <c r="H374">
        <f t="shared" si="30"/>
        <v>4.0534922839762884E-3</v>
      </c>
      <c r="I374">
        <f t="shared" si="31"/>
        <v>0</v>
      </c>
      <c r="J374">
        <f t="shared" si="32"/>
        <v>0</v>
      </c>
      <c r="K374" t="str">
        <f t="shared" si="33"/>
        <v>Cu69</v>
      </c>
    </row>
    <row r="375" spans="2:15" hidden="1" x14ac:dyDescent="0.2">
      <c r="B375" s="4">
        <v>29070</v>
      </c>
      <c r="C375" s="4">
        <v>0</v>
      </c>
      <c r="D375">
        <v>0</v>
      </c>
      <c r="E375" t="str">
        <f>VLOOKUP(B375,[1]Nuclides!A:E,5,FALSE)</f>
        <v>Cu70</v>
      </c>
      <c r="F375">
        <f>VLOOKUP(B375,[1]Nuclides!A:E,4,FALSE)</f>
        <v>44.5</v>
      </c>
      <c r="G375" t="str">
        <f t="shared" si="29"/>
        <v>44.5s</v>
      </c>
      <c r="H375">
        <f t="shared" si="30"/>
        <v>1.5576341136178546E-2</v>
      </c>
      <c r="I375">
        <f t="shared" si="31"/>
        <v>0</v>
      </c>
      <c r="J375">
        <f t="shared" si="32"/>
        <v>0</v>
      </c>
      <c r="K375" t="str">
        <f t="shared" si="33"/>
        <v>Cu70</v>
      </c>
    </row>
    <row r="376" spans="2:15" hidden="1" x14ac:dyDescent="0.2">
      <c r="B376" s="4">
        <v>29071</v>
      </c>
      <c r="C376" s="4">
        <v>0</v>
      </c>
      <c r="D376">
        <v>0</v>
      </c>
      <c r="E376" t="str">
        <f>VLOOKUP(B376,[1]Nuclides!A:E,5,FALSE)</f>
        <v>Cu71</v>
      </c>
      <c r="F376">
        <f>VLOOKUP(B376,[1]Nuclides!A:E,4,FALSE)</f>
        <v>19.399999999999999</v>
      </c>
      <c r="G376" t="str">
        <f t="shared" si="29"/>
        <v>19.4s</v>
      </c>
      <c r="H376">
        <f t="shared" si="30"/>
        <v>3.5729236111337388E-2</v>
      </c>
      <c r="I376">
        <f t="shared" si="31"/>
        <v>0</v>
      </c>
      <c r="J376">
        <f t="shared" si="32"/>
        <v>0</v>
      </c>
      <c r="K376" t="str">
        <f t="shared" si="33"/>
        <v>Cu71</v>
      </c>
    </row>
    <row r="377" spans="2:15" hidden="1" x14ac:dyDescent="0.2">
      <c r="B377" s="4">
        <v>29072</v>
      </c>
      <c r="C377" s="4">
        <v>0</v>
      </c>
      <c r="D377">
        <v>0</v>
      </c>
      <c r="E377" t="str">
        <f>VLOOKUP(B377,[1]Nuclides!A:E,5,FALSE)</f>
        <v>Cu72</v>
      </c>
      <c r="F377">
        <f>VLOOKUP(B377,[1]Nuclides!A:E,4,FALSE)</f>
        <v>6.63</v>
      </c>
      <c r="G377" t="str">
        <f t="shared" si="29"/>
        <v>6.63s</v>
      </c>
      <c r="H377">
        <f t="shared" si="30"/>
        <v>0.10454708605730699</v>
      </c>
      <c r="I377">
        <f t="shared" si="31"/>
        <v>0</v>
      </c>
      <c r="J377">
        <f t="shared" si="32"/>
        <v>0</v>
      </c>
      <c r="K377" t="str">
        <f t="shared" si="33"/>
        <v>Cu72</v>
      </c>
    </row>
    <row r="378" spans="2:15" hidden="1" x14ac:dyDescent="0.2">
      <c r="B378" s="4">
        <v>29073</v>
      </c>
      <c r="C378" s="4">
        <v>0</v>
      </c>
      <c r="D378">
        <v>0</v>
      </c>
      <c r="E378" t="str">
        <f>VLOOKUP(B378,[1]Nuclides!A:E,5,FALSE)</f>
        <v>Cu73</v>
      </c>
      <c r="F378">
        <f>VLOOKUP(B378,[1]Nuclides!A:E,4,FALSE)</f>
        <v>4.2</v>
      </c>
      <c r="G378" t="str">
        <f t="shared" si="29"/>
        <v>4.2s</v>
      </c>
      <c r="H378">
        <f t="shared" si="30"/>
        <v>0.16503504299046315</v>
      </c>
      <c r="I378">
        <f t="shared" si="31"/>
        <v>0</v>
      </c>
      <c r="J378">
        <f t="shared" si="32"/>
        <v>0</v>
      </c>
      <c r="K378" t="str">
        <f t="shared" si="33"/>
        <v>Cu73</v>
      </c>
    </row>
    <row r="379" spans="2:15" hidden="1" x14ac:dyDescent="0.2">
      <c r="B379" s="4">
        <v>30057</v>
      </c>
      <c r="C379" s="4">
        <v>0</v>
      </c>
      <c r="D379">
        <v>0</v>
      </c>
      <c r="E379" t="str">
        <f>VLOOKUP(B379,[1]Nuclides!A:E,5,FALSE)</f>
        <v>Zn57</v>
      </c>
      <c r="F379">
        <f>VLOOKUP(B379,[1]Nuclides!A:E,4,FALSE)</f>
        <v>3.7999999999999999E-2</v>
      </c>
      <c r="G379" t="str">
        <f t="shared" si="29"/>
        <v>0.038s</v>
      </c>
      <c r="H379">
        <f t="shared" si="30"/>
        <v>18.240715277893297</v>
      </c>
      <c r="I379">
        <f t="shared" si="31"/>
        <v>0</v>
      </c>
      <c r="J379">
        <f t="shared" si="32"/>
        <v>0</v>
      </c>
      <c r="K379" t="str">
        <f t="shared" si="33"/>
        <v>Zn57</v>
      </c>
    </row>
    <row r="380" spans="2:15" hidden="1" x14ac:dyDescent="0.2">
      <c r="B380" s="4">
        <v>30058</v>
      </c>
      <c r="C380" s="4">
        <v>0</v>
      </c>
      <c r="D380">
        <v>0</v>
      </c>
      <c r="E380" t="str">
        <f>VLOOKUP(B380,[1]Nuclides!A:E,5,FALSE)</f>
        <v>Zn58</v>
      </c>
      <c r="F380">
        <f>VLOOKUP(B380,[1]Nuclides!A:E,4,FALSE)</f>
        <v>8.5999999999999993E-2</v>
      </c>
      <c r="G380" t="str">
        <f t="shared" si="29"/>
        <v>0.086s</v>
      </c>
      <c r="H380">
        <f t="shared" si="30"/>
        <v>8.0598509367435511</v>
      </c>
      <c r="I380">
        <f t="shared" si="31"/>
        <v>0</v>
      </c>
      <c r="J380">
        <f t="shared" si="32"/>
        <v>0</v>
      </c>
      <c r="K380" t="str">
        <f t="shared" si="33"/>
        <v>Zn58</v>
      </c>
    </row>
    <row r="381" spans="2:15" hidden="1" x14ac:dyDescent="0.2">
      <c r="B381" s="4">
        <v>30059</v>
      </c>
      <c r="C381" s="4">
        <v>0</v>
      </c>
      <c r="D381">
        <v>0</v>
      </c>
      <c r="E381" t="str">
        <f>VLOOKUP(B381,[1]Nuclides!A:E,5,FALSE)</f>
        <v>Zn59</v>
      </c>
      <c r="F381">
        <f>VLOOKUP(B381,[1]Nuclides!A:E,4,FALSE)</f>
        <v>0.182</v>
      </c>
      <c r="G381" t="str">
        <f t="shared" si="29"/>
        <v>0.182s</v>
      </c>
      <c r="H381">
        <f t="shared" si="30"/>
        <v>3.8085009920876116</v>
      </c>
      <c r="I381">
        <f t="shared" si="31"/>
        <v>0</v>
      </c>
      <c r="J381">
        <f t="shared" si="32"/>
        <v>0</v>
      </c>
      <c r="K381" t="str">
        <f t="shared" si="33"/>
        <v>Zn59</v>
      </c>
    </row>
    <row r="382" spans="2:15" hidden="1" x14ac:dyDescent="0.2">
      <c r="B382" s="4">
        <v>30060</v>
      </c>
      <c r="C382" s="4">
        <v>0</v>
      </c>
      <c r="D382">
        <v>0</v>
      </c>
      <c r="E382" t="str">
        <f>VLOOKUP(B382,[1]Nuclides!A:E,5,FALSE)</f>
        <v>Zn60</v>
      </c>
      <c r="F382">
        <f>VLOOKUP(B382,[1]Nuclides!A:E,4,FALSE)</f>
        <v>142.79999999999899</v>
      </c>
      <c r="G382" t="str">
        <f t="shared" si="29"/>
        <v>2.38min</v>
      </c>
      <c r="H382">
        <f t="shared" si="30"/>
        <v>4.8539718526607158E-3</v>
      </c>
      <c r="I382">
        <f t="shared" si="31"/>
        <v>0</v>
      </c>
      <c r="J382">
        <f t="shared" si="32"/>
        <v>0</v>
      </c>
      <c r="K382" t="str">
        <f t="shared" si="33"/>
        <v>Zn60</v>
      </c>
    </row>
    <row r="383" spans="2:15" hidden="1" x14ac:dyDescent="0.2">
      <c r="B383" s="4">
        <v>30061</v>
      </c>
      <c r="C383" s="4">
        <v>0</v>
      </c>
      <c r="D383">
        <v>0</v>
      </c>
      <c r="E383" t="str">
        <f>VLOOKUP(B383,[1]Nuclides!A:E,5,FALSE)</f>
        <v>Zn61</v>
      </c>
      <c r="F383">
        <f>VLOOKUP(B383,[1]Nuclides!A:E,4,FALSE)</f>
        <v>89.1</v>
      </c>
      <c r="G383" t="str">
        <f t="shared" si="29"/>
        <v>1.49min</v>
      </c>
      <c r="H383">
        <f t="shared" si="30"/>
        <v>7.7794296359140888E-3</v>
      </c>
      <c r="I383">
        <f t="shared" si="31"/>
        <v>0</v>
      </c>
      <c r="J383">
        <f t="shared" si="32"/>
        <v>0</v>
      </c>
      <c r="K383" t="str">
        <f t="shared" si="33"/>
        <v>Zn61</v>
      </c>
    </row>
    <row r="384" spans="2:15" hidden="1" x14ac:dyDescent="0.2">
      <c r="B384" s="4">
        <v>30062</v>
      </c>
      <c r="C384" s="4">
        <v>0</v>
      </c>
      <c r="D384">
        <v>0</v>
      </c>
      <c r="E384" t="str">
        <f>VLOOKUP(B384,[1]Nuclides!A:E,5,FALSE)</f>
        <v>Zn62</v>
      </c>
      <c r="F384">
        <f>VLOOKUP(B384,[1]Nuclides!A:E,4,FALSE)</f>
        <v>33069.599999999999</v>
      </c>
      <c r="G384" t="str">
        <f t="shared" si="29"/>
        <v>9.19h</v>
      </c>
      <c r="H384">
        <f t="shared" si="30"/>
        <v>2.0960252938044166E-5</v>
      </c>
      <c r="I384">
        <f t="shared" si="31"/>
        <v>0</v>
      </c>
      <c r="J384">
        <f t="shared" si="32"/>
        <v>0</v>
      </c>
      <c r="K384" t="str">
        <f t="shared" si="33"/>
        <v>Zn62</v>
      </c>
    </row>
    <row r="385" spans="2:11" hidden="1" x14ac:dyDescent="0.2">
      <c r="B385" s="4">
        <v>30063</v>
      </c>
      <c r="C385" s="4">
        <v>0</v>
      </c>
      <c r="D385">
        <v>0</v>
      </c>
      <c r="E385" t="str">
        <f>VLOOKUP(B385,[1]Nuclides!A:E,5,FALSE)</f>
        <v>Zn63</v>
      </c>
      <c r="F385">
        <f>VLOOKUP(B385,[1]Nuclides!A:E,4,FALSE)</f>
        <v>2308.1999999999998</v>
      </c>
      <c r="G385" t="str">
        <f t="shared" si="29"/>
        <v>38.47min</v>
      </c>
      <c r="H385">
        <f t="shared" si="30"/>
        <v>3.002977127458389E-4</v>
      </c>
      <c r="I385">
        <f t="shared" si="31"/>
        <v>0</v>
      </c>
      <c r="J385">
        <f t="shared" si="32"/>
        <v>0</v>
      </c>
      <c r="K385" t="str">
        <f t="shared" si="33"/>
        <v>Zn63</v>
      </c>
    </row>
    <row r="386" spans="2:11" hidden="1" x14ac:dyDescent="0.2">
      <c r="B386" s="4">
        <v>30064</v>
      </c>
      <c r="C386" s="4">
        <v>0</v>
      </c>
      <c r="D386">
        <v>0</v>
      </c>
      <c r="E386" t="str">
        <f>VLOOKUP(B386,[1]Nuclides!A:E,5,FALSE)</f>
        <v>Zn64</v>
      </c>
      <c r="F386">
        <f>VLOOKUP(B386,[1]Nuclides!A:E,4,FALSE)</f>
        <v>2.209032E+28</v>
      </c>
      <c r="G386" t="str">
        <f t="shared" si="29"/>
        <v>7.00479452054795E+20y</v>
      </c>
      <c r="H386">
        <f t="shared" si="30"/>
        <v>3.1377869608043038E-29</v>
      </c>
      <c r="I386">
        <f t="shared" si="31"/>
        <v>0</v>
      </c>
      <c r="J386">
        <f t="shared" si="32"/>
        <v>0</v>
      </c>
      <c r="K386" t="str">
        <f t="shared" si="33"/>
        <v>Zn64</v>
      </c>
    </row>
    <row r="387" spans="2:11" hidden="1" x14ac:dyDescent="0.2">
      <c r="B387" s="4">
        <v>30065</v>
      </c>
      <c r="C387" s="4">
        <v>0</v>
      </c>
      <c r="D387">
        <v>0</v>
      </c>
      <c r="E387" t="str">
        <f>VLOOKUP(B387,[1]Nuclides!A:E,5,FALSE)</f>
        <v>Zn65</v>
      </c>
      <c r="F387">
        <f>VLOOKUP(B387,[1]Nuclides!A:E,4,FALSE)</f>
        <v>21075552</v>
      </c>
      <c r="G387" t="str">
        <f t="shared" si="29"/>
        <v>243.93d</v>
      </c>
      <c r="H387">
        <f t="shared" si="30"/>
        <v>3.2888684507999854E-8</v>
      </c>
      <c r="I387">
        <f t="shared" si="31"/>
        <v>0</v>
      </c>
      <c r="J387">
        <f t="shared" si="32"/>
        <v>0</v>
      </c>
      <c r="K387" t="str">
        <f t="shared" si="33"/>
        <v>Zn65</v>
      </c>
    </row>
    <row r="388" spans="2:11" hidden="1" x14ac:dyDescent="0.2">
      <c r="B388" s="4">
        <v>30066</v>
      </c>
      <c r="C388" s="4">
        <v>0</v>
      </c>
      <c r="D388">
        <v>0</v>
      </c>
      <c r="E388" t="str">
        <f>VLOOKUP(B388,[1]Nuclides!A:E,5,FALSE)</f>
        <v>Zn66</v>
      </c>
      <c r="F388" t="str">
        <f>VLOOKUP(B388,[1]Nuclides!A:E,4,FALSE)</f>
        <v>STABLE</v>
      </c>
      <c r="G388" t="str">
        <f t="shared" si="29"/>
        <v>STABLE</v>
      </c>
      <c r="H388" t="e">
        <f t="shared" si="30"/>
        <v>#VALUE!</v>
      </c>
      <c r="I388" t="e">
        <f t="shared" si="31"/>
        <v>#VALUE!</v>
      </c>
      <c r="J388" t="e">
        <f t="shared" si="32"/>
        <v>#VALUE!</v>
      </c>
      <c r="K388" t="str">
        <f t="shared" si="33"/>
        <v>Zn66</v>
      </c>
    </row>
    <row r="389" spans="2:11" hidden="1" x14ac:dyDescent="0.2">
      <c r="B389" s="4">
        <v>30067</v>
      </c>
      <c r="C389" s="4">
        <v>0</v>
      </c>
      <c r="D389">
        <v>0</v>
      </c>
      <c r="E389" t="str">
        <f>VLOOKUP(B389,[1]Nuclides!A:E,5,FALSE)</f>
        <v>Zn67</v>
      </c>
      <c r="F389" t="str">
        <f>VLOOKUP(B389,[1]Nuclides!A:E,4,FALSE)</f>
        <v>STABLE</v>
      </c>
      <c r="G389" t="str">
        <f t="shared" ref="G389:G452" si="37">IF(F389="STABLE", "STABLE", IF(F389&lt;60, F389&amp;"s", IF(F389&lt;3600, ROUND(F389/60,2)&amp;"min", IF(F389&lt;86400, ROUND(F389/3600,2)&amp;"h", IF(F389&lt;31536000, ROUND(F389/86400,2)&amp;"d", ROUND(F389/31536000,2)&amp;"y")))))</f>
        <v>STABLE</v>
      </c>
      <c r="H389" t="e">
        <f t="shared" ref="H389:H452" si="38">LN(2)/F389</f>
        <v>#VALUE!</v>
      </c>
      <c r="I389" t="e">
        <f t="shared" ref="I389:I452" si="39">60*6240000000000*C389*(1-EXP(-H389*2*3600))</f>
        <v>#VALUE!</v>
      </c>
      <c r="J389" t="e">
        <f t="shared" ref="J389:J452" si="40">I389*EXP(-H389*96*3600)</f>
        <v>#VALUE!</v>
      </c>
      <c r="K389" t="str">
        <f t="shared" ref="K389:K452" si="41">E389</f>
        <v>Zn67</v>
      </c>
    </row>
    <row r="390" spans="2:11" hidden="1" x14ac:dyDescent="0.2">
      <c r="B390" s="4">
        <v>30068</v>
      </c>
      <c r="C390" s="4">
        <v>0</v>
      </c>
      <c r="D390">
        <v>0</v>
      </c>
      <c r="E390" t="str">
        <f>VLOOKUP(B390,[1]Nuclides!A:E,5,FALSE)</f>
        <v>Zn68</v>
      </c>
      <c r="F390" t="str">
        <f>VLOOKUP(B390,[1]Nuclides!A:E,4,FALSE)</f>
        <v>STABLE</v>
      </c>
      <c r="G390" t="str">
        <f t="shared" si="37"/>
        <v>STABLE</v>
      </c>
      <c r="H390" t="e">
        <f t="shared" si="38"/>
        <v>#VALUE!</v>
      </c>
      <c r="I390" t="e">
        <f t="shared" si="39"/>
        <v>#VALUE!</v>
      </c>
      <c r="J390" t="e">
        <f t="shared" si="40"/>
        <v>#VALUE!</v>
      </c>
      <c r="K390" t="str">
        <f t="shared" si="41"/>
        <v>Zn68</v>
      </c>
    </row>
    <row r="391" spans="2:11" hidden="1" x14ac:dyDescent="0.2">
      <c r="B391" s="4">
        <v>30069</v>
      </c>
      <c r="C391" s="4">
        <v>0</v>
      </c>
      <c r="D391">
        <v>0</v>
      </c>
      <c r="E391" t="str">
        <f>VLOOKUP(B391,[1]Nuclides!A:E,5,FALSE)</f>
        <v>Zn69</v>
      </c>
      <c r="F391">
        <f>VLOOKUP(B391,[1]Nuclides!A:E,4,FALSE)</f>
        <v>3384</v>
      </c>
      <c r="G391" t="str">
        <f t="shared" si="37"/>
        <v>56.4min</v>
      </c>
      <c r="H391">
        <f t="shared" si="38"/>
        <v>2.0483072711582307E-4</v>
      </c>
      <c r="I391">
        <f t="shared" si="39"/>
        <v>0</v>
      </c>
      <c r="J391">
        <f t="shared" si="40"/>
        <v>0</v>
      </c>
      <c r="K391" t="str">
        <f t="shared" si="41"/>
        <v>Zn69</v>
      </c>
    </row>
    <row r="392" spans="2:11" hidden="1" x14ac:dyDescent="0.2">
      <c r="B392" s="4">
        <v>30070</v>
      </c>
      <c r="C392" s="4">
        <v>0</v>
      </c>
      <c r="D392">
        <v>0</v>
      </c>
      <c r="E392" t="str">
        <f>VLOOKUP(B392,[1]Nuclides!A:E,5,FALSE)</f>
        <v>Zn70</v>
      </c>
      <c r="F392">
        <f>VLOOKUP(B392,[1]Nuclides!A:E,4,FALSE)</f>
        <v>7.2582480000000003E+24</v>
      </c>
      <c r="G392" t="str">
        <f t="shared" si="37"/>
        <v>230157534246575000y</v>
      </c>
      <c r="H392">
        <f t="shared" si="38"/>
        <v>9.5497864024478805E-26</v>
      </c>
      <c r="I392">
        <f t="shared" si="39"/>
        <v>0</v>
      </c>
      <c r="J392">
        <f t="shared" si="40"/>
        <v>0</v>
      </c>
      <c r="K392" t="str">
        <f t="shared" si="41"/>
        <v>Zn70</v>
      </c>
    </row>
    <row r="393" spans="2:11" hidden="1" x14ac:dyDescent="0.2">
      <c r="B393" s="4">
        <v>30071</v>
      </c>
      <c r="C393" s="4">
        <v>0</v>
      </c>
      <c r="D393">
        <v>0</v>
      </c>
      <c r="E393" t="str">
        <f>VLOOKUP(B393,[1]Nuclides!A:E,5,FALSE)</f>
        <v>Zn71</v>
      </c>
      <c r="F393">
        <f>VLOOKUP(B393,[1]Nuclides!A:E,4,FALSE)</f>
        <v>147</v>
      </c>
      <c r="G393" t="str">
        <f t="shared" si="37"/>
        <v>2.45min</v>
      </c>
      <c r="H393">
        <f t="shared" si="38"/>
        <v>4.7152869425846622E-3</v>
      </c>
      <c r="I393">
        <f t="shared" si="39"/>
        <v>0</v>
      </c>
      <c r="J393">
        <f t="shared" si="40"/>
        <v>0</v>
      </c>
      <c r="K393" t="str">
        <f t="shared" si="41"/>
        <v>Zn71</v>
      </c>
    </row>
    <row r="394" spans="2:11" hidden="1" x14ac:dyDescent="0.2">
      <c r="B394" s="4">
        <v>30072</v>
      </c>
      <c r="C394" s="4">
        <v>0</v>
      </c>
      <c r="D394">
        <v>0</v>
      </c>
      <c r="E394" t="str">
        <f>VLOOKUP(B394,[1]Nuclides!A:E,5,FALSE)</f>
        <v>Zn72</v>
      </c>
      <c r="F394">
        <f>VLOOKUP(B394,[1]Nuclides!A:E,4,FALSE)</f>
        <v>167400</v>
      </c>
      <c r="G394" t="str">
        <f t="shared" si="37"/>
        <v>1.94d</v>
      </c>
      <c r="H394">
        <f t="shared" si="38"/>
        <v>4.1406641610510472E-6</v>
      </c>
      <c r="I394">
        <f t="shared" si="39"/>
        <v>0</v>
      </c>
      <c r="J394">
        <f t="shared" si="40"/>
        <v>0</v>
      </c>
      <c r="K394" t="str">
        <f t="shared" si="41"/>
        <v>Zn72</v>
      </c>
    </row>
    <row r="395" spans="2:11" hidden="1" x14ac:dyDescent="0.2">
      <c r="B395" s="4">
        <v>30073</v>
      </c>
      <c r="C395" s="4">
        <v>0</v>
      </c>
      <c r="D395">
        <v>0</v>
      </c>
      <c r="E395" t="str">
        <f>VLOOKUP(B395,[1]Nuclides!A:E,5,FALSE)</f>
        <v>Zn73</v>
      </c>
      <c r="F395">
        <f>VLOOKUP(B395,[1]Nuclides!A:E,4,FALSE)</f>
        <v>23.5</v>
      </c>
      <c r="G395" t="str">
        <f t="shared" si="37"/>
        <v>23.5s</v>
      </c>
      <c r="H395">
        <f t="shared" si="38"/>
        <v>2.9495624704678522E-2</v>
      </c>
      <c r="I395">
        <f t="shared" si="39"/>
        <v>0</v>
      </c>
      <c r="J395">
        <f t="shared" si="40"/>
        <v>0</v>
      </c>
      <c r="K395" t="str">
        <f t="shared" si="41"/>
        <v>Zn73</v>
      </c>
    </row>
    <row r="396" spans="2:11" hidden="1" x14ac:dyDescent="0.2">
      <c r="B396" s="4">
        <v>30074</v>
      </c>
      <c r="C396" s="4">
        <v>0</v>
      </c>
      <c r="D396">
        <v>0</v>
      </c>
      <c r="E396" t="str">
        <f>VLOOKUP(B396,[1]Nuclides!A:E,5,FALSE)</f>
        <v>Zn74</v>
      </c>
      <c r="F396">
        <f>VLOOKUP(B396,[1]Nuclides!A:E,4,FALSE)</f>
        <v>95.6</v>
      </c>
      <c r="G396" t="str">
        <f t="shared" si="37"/>
        <v>1.59min</v>
      </c>
      <c r="H396">
        <f t="shared" si="38"/>
        <v>7.2504935205015206E-3</v>
      </c>
      <c r="I396">
        <f t="shared" si="39"/>
        <v>0</v>
      </c>
      <c r="J396">
        <f t="shared" si="40"/>
        <v>0</v>
      </c>
      <c r="K396" t="str">
        <f t="shared" si="41"/>
        <v>Zn74</v>
      </c>
    </row>
    <row r="397" spans="2:11" hidden="1" x14ac:dyDescent="0.2">
      <c r="B397" s="4">
        <v>30075</v>
      </c>
      <c r="C397" s="4">
        <v>0</v>
      </c>
      <c r="D397">
        <v>0</v>
      </c>
      <c r="E397" t="str">
        <f>VLOOKUP(B397,[1]Nuclides!A:E,5,FALSE)</f>
        <v>Zn75</v>
      </c>
      <c r="F397">
        <f>VLOOKUP(B397,[1]Nuclides!A:E,4,FALSE)</f>
        <v>10.199999999999999</v>
      </c>
      <c r="G397" t="str">
        <f t="shared" si="37"/>
        <v>10.2s</v>
      </c>
      <c r="H397">
        <f t="shared" si="38"/>
        <v>6.7955605937249544E-2</v>
      </c>
      <c r="I397">
        <f t="shared" si="39"/>
        <v>0</v>
      </c>
      <c r="J397">
        <f t="shared" si="40"/>
        <v>0</v>
      </c>
      <c r="K397" t="str">
        <f t="shared" si="41"/>
        <v>Zn75</v>
      </c>
    </row>
    <row r="398" spans="2:11" hidden="1" x14ac:dyDescent="0.2">
      <c r="B398" s="4">
        <v>30076</v>
      </c>
      <c r="C398" s="4">
        <v>0</v>
      </c>
      <c r="D398">
        <v>0</v>
      </c>
      <c r="E398" t="str">
        <f>VLOOKUP(B398,[1]Nuclides!A:E,5,FALSE)</f>
        <v>Zn76</v>
      </c>
      <c r="F398">
        <f>VLOOKUP(B398,[1]Nuclides!A:E,4,FALSE)</f>
        <v>5.7</v>
      </c>
      <c r="G398" t="str">
        <f t="shared" si="37"/>
        <v>5.7s</v>
      </c>
      <c r="H398">
        <f t="shared" si="38"/>
        <v>0.12160476851928864</v>
      </c>
      <c r="I398">
        <f t="shared" si="39"/>
        <v>0</v>
      </c>
      <c r="J398">
        <f t="shared" si="40"/>
        <v>0</v>
      </c>
      <c r="K398" t="str">
        <f t="shared" si="41"/>
        <v>Zn76</v>
      </c>
    </row>
    <row r="399" spans="2:11" hidden="1" x14ac:dyDescent="0.2">
      <c r="B399" s="4">
        <v>30077</v>
      </c>
      <c r="C399" s="4">
        <v>0</v>
      </c>
      <c r="D399">
        <v>0</v>
      </c>
      <c r="E399" t="str">
        <f>VLOOKUP(B399,[1]Nuclides!A:E,5,FALSE)</f>
        <v>Zn77</v>
      </c>
      <c r="F399">
        <f>VLOOKUP(B399,[1]Nuclides!A:E,4,FALSE)</f>
        <v>2.08</v>
      </c>
      <c r="G399" t="str">
        <f t="shared" si="37"/>
        <v>2.08s</v>
      </c>
      <c r="H399">
        <f t="shared" si="38"/>
        <v>0.33324383680766601</v>
      </c>
      <c r="I399">
        <f t="shared" si="39"/>
        <v>0</v>
      </c>
      <c r="J399">
        <f t="shared" si="40"/>
        <v>0</v>
      </c>
      <c r="K399" t="str">
        <f t="shared" si="41"/>
        <v>Zn77</v>
      </c>
    </row>
    <row r="400" spans="2:11" hidden="1" x14ac:dyDescent="0.2">
      <c r="B400" s="4">
        <v>30078</v>
      </c>
      <c r="C400" s="4">
        <v>0</v>
      </c>
      <c r="D400">
        <v>0</v>
      </c>
      <c r="E400" t="str">
        <f>VLOOKUP(B400,[1]Nuclides!A:E,5,FALSE)</f>
        <v>Zn78</v>
      </c>
      <c r="F400">
        <f>VLOOKUP(B400,[1]Nuclides!A:E,4,FALSE)</f>
        <v>1.47</v>
      </c>
      <c r="G400" t="str">
        <f t="shared" si="37"/>
        <v>1.47s</v>
      </c>
      <c r="H400">
        <f t="shared" si="38"/>
        <v>0.47152869425846616</v>
      </c>
      <c r="I400">
        <f t="shared" si="39"/>
        <v>0</v>
      </c>
      <c r="J400">
        <f t="shared" si="40"/>
        <v>0</v>
      </c>
      <c r="K400" t="str">
        <f t="shared" si="41"/>
        <v>Zn78</v>
      </c>
    </row>
    <row r="401" spans="2:11" hidden="1" x14ac:dyDescent="0.2">
      <c r="B401" s="4">
        <v>31062</v>
      </c>
      <c r="C401" s="4">
        <v>0</v>
      </c>
      <c r="D401">
        <v>0</v>
      </c>
      <c r="E401" t="str">
        <f>VLOOKUP(B401,[1]Nuclides!A:E,5,FALSE)</f>
        <v>Ga62</v>
      </c>
      <c r="F401">
        <f>VLOOKUP(B401,[1]Nuclides!A:E,4,FALSE)</f>
        <v>0.116121</v>
      </c>
      <c r="G401" t="str">
        <f t="shared" si="37"/>
        <v>0.116121s</v>
      </c>
      <c r="H401">
        <f t="shared" si="38"/>
        <v>5.9691802564561556</v>
      </c>
      <c r="I401">
        <f t="shared" si="39"/>
        <v>0</v>
      </c>
      <c r="J401">
        <f t="shared" si="40"/>
        <v>0</v>
      </c>
      <c r="K401" t="str">
        <f t="shared" si="41"/>
        <v>Ga62</v>
      </c>
    </row>
    <row r="402" spans="2:11" hidden="1" x14ac:dyDescent="0.2">
      <c r="B402" s="4">
        <v>31063</v>
      </c>
      <c r="C402" s="4">
        <v>0</v>
      </c>
      <c r="D402">
        <v>0</v>
      </c>
      <c r="E402" t="str">
        <f>VLOOKUP(B402,[1]Nuclides!A:E,5,FALSE)</f>
        <v>Ga63</v>
      </c>
      <c r="F402">
        <f>VLOOKUP(B402,[1]Nuclides!A:E,4,FALSE)</f>
        <v>32.4</v>
      </c>
      <c r="G402" t="str">
        <f t="shared" si="37"/>
        <v>32.4s</v>
      </c>
      <c r="H402">
        <f t="shared" si="38"/>
        <v>2.1393431498763743E-2</v>
      </c>
      <c r="I402">
        <f t="shared" si="39"/>
        <v>0</v>
      </c>
      <c r="J402">
        <f t="shared" si="40"/>
        <v>0</v>
      </c>
      <c r="K402" t="str">
        <f t="shared" si="41"/>
        <v>Ga63</v>
      </c>
    </row>
    <row r="403" spans="2:11" hidden="1" x14ac:dyDescent="0.2">
      <c r="B403" s="4">
        <v>31064</v>
      </c>
      <c r="C403" s="4">
        <v>0</v>
      </c>
      <c r="D403">
        <v>0</v>
      </c>
      <c r="E403" t="str">
        <f>VLOOKUP(B403,[1]Nuclides!A:E,5,FALSE)</f>
        <v>Ga64</v>
      </c>
      <c r="F403">
        <f>VLOOKUP(B403,[1]Nuclides!A:E,4,FALSE)</f>
        <v>157.61999999999901</v>
      </c>
      <c r="G403" t="str">
        <f t="shared" si="37"/>
        <v>2.63min</v>
      </c>
      <c r="H403">
        <f t="shared" si="38"/>
        <v>4.3975839396012536E-3</v>
      </c>
      <c r="I403">
        <f t="shared" si="39"/>
        <v>0</v>
      </c>
      <c r="J403">
        <f t="shared" si="40"/>
        <v>0</v>
      </c>
      <c r="K403" t="str">
        <f t="shared" si="41"/>
        <v>Ga64</v>
      </c>
    </row>
    <row r="404" spans="2:11" hidden="1" x14ac:dyDescent="0.2">
      <c r="B404" s="4">
        <v>31065</v>
      </c>
      <c r="C404" s="4">
        <v>0</v>
      </c>
      <c r="D404">
        <v>0</v>
      </c>
      <c r="E404" t="str">
        <f>VLOOKUP(B404,[1]Nuclides!A:E,5,FALSE)</f>
        <v>Ga65</v>
      </c>
      <c r="F404">
        <f>VLOOKUP(B404,[1]Nuclides!A:E,4,FALSE)</f>
        <v>912</v>
      </c>
      <c r="G404" t="str">
        <f t="shared" si="37"/>
        <v>15.2min</v>
      </c>
      <c r="H404">
        <f t="shared" si="38"/>
        <v>7.6002980324555401E-4</v>
      </c>
      <c r="I404">
        <f t="shared" si="39"/>
        <v>0</v>
      </c>
      <c r="J404">
        <f t="shared" si="40"/>
        <v>0</v>
      </c>
      <c r="K404" t="str">
        <f t="shared" si="41"/>
        <v>Ga65</v>
      </c>
    </row>
    <row r="405" spans="2:11" hidden="1" x14ac:dyDescent="0.2">
      <c r="B405" s="4">
        <v>31066</v>
      </c>
      <c r="C405" s="4">
        <v>0</v>
      </c>
      <c r="D405">
        <v>0</v>
      </c>
      <c r="E405" t="str">
        <f>VLOOKUP(B405,[1]Nuclides!A:E,5,FALSE)</f>
        <v>Ga66</v>
      </c>
      <c r="F405">
        <f>VLOOKUP(B405,[1]Nuclides!A:E,4,FALSE)</f>
        <v>34164</v>
      </c>
      <c r="G405" t="str">
        <f t="shared" si="37"/>
        <v>9.49h</v>
      </c>
      <c r="H405">
        <f t="shared" si="38"/>
        <v>2.0288818070481948E-5</v>
      </c>
      <c r="I405">
        <f t="shared" si="39"/>
        <v>0</v>
      </c>
      <c r="J405">
        <f t="shared" si="40"/>
        <v>0</v>
      </c>
      <c r="K405" t="str">
        <f t="shared" si="41"/>
        <v>Ga66</v>
      </c>
    </row>
    <row r="406" spans="2:11" hidden="1" x14ac:dyDescent="0.2">
      <c r="B406" s="4">
        <v>31067</v>
      </c>
      <c r="C406" s="4">
        <v>0</v>
      </c>
      <c r="D406">
        <v>0</v>
      </c>
      <c r="E406" t="str">
        <f>VLOOKUP(B406,[1]Nuclides!A:E,5,FALSE)</f>
        <v>Ga67</v>
      </c>
      <c r="F406">
        <f>VLOOKUP(B406,[1]Nuclides!A:E,4,FALSE)</f>
        <v>281810.88</v>
      </c>
      <c r="G406" t="str">
        <f t="shared" si="37"/>
        <v>3.26d</v>
      </c>
      <c r="H406">
        <f t="shared" si="38"/>
        <v>2.4596182395794844E-6</v>
      </c>
      <c r="I406">
        <f t="shared" si="39"/>
        <v>0</v>
      </c>
      <c r="J406">
        <f t="shared" si="40"/>
        <v>0</v>
      </c>
      <c r="K406" t="str">
        <f t="shared" si="41"/>
        <v>Ga67</v>
      </c>
    </row>
    <row r="407" spans="2:11" hidden="1" x14ac:dyDescent="0.2">
      <c r="B407" s="4">
        <v>31068</v>
      </c>
      <c r="C407" s="4">
        <v>0</v>
      </c>
      <c r="D407">
        <v>0</v>
      </c>
      <c r="E407" t="str">
        <f>VLOOKUP(B407,[1]Nuclides!A:E,5,FALSE)</f>
        <v>Ga68</v>
      </c>
      <c r="F407">
        <f>VLOOKUP(B407,[1]Nuclides!A:E,4,FALSE)</f>
        <v>4062.5999999999899</v>
      </c>
      <c r="G407" t="str">
        <f t="shared" si="37"/>
        <v>1.13h</v>
      </c>
      <c r="H407">
        <f t="shared" si="38"/>
        <v>1.7061664465119555E-4</v>
      </c>
      <c r="I407">
        <f t="shared" si="39"/>
        <v>0</v>
      </c>
      <c r="J407">
        <f t="shared" si="40"/>
        <v>0</v>
      </c>
      <c r="K407" t="str">
        <f t="shared" si="41"/>
        <v>Ga68</v>
      </c>
    </row>
    <row r="408" spans="2:11" hidden="1" x14ac:dyDescent="0.2">
      <c r="B408" s="4">
        <v>31069</v>
      </c>
      <c r="C408" s="4">
        <v>0</v>
      </c>
      <c r="D408">
        <v>0</v>
      </c>
      <c r="E408" t="str">
        <f>VLOOKUP(B408,[1]Nuclides!A:E,5,FALSE)</f>
        <v>Ga69</v>
      </c>
      <c r="F408" t="str">
        <f>VLOOKUP(B408,[1]Nuclides!A:E,4,FALSE)</f>
        <v>STABLE</v>
      </c>
      <c r="G408" t="str">
        <f t="shared" si="37"/>
        <v>STABLE</v>
      </c>
      <c r="H408" t="e">
        <f t="shared" si="38"/>
        <v>#VALUE!</v>
      </c>
      <c r="I408" t="e">
        <f t="shared" si="39"/>
        <v>#VALUE!</v>
      </c>
      <c r="J408" t="e">
        <f t="shared" si="40"/>
        <v>#VALUE!</v>
      </c>
      <c r="K408" t="str">
        <f t="shared" si="41"/>
        <v>Ga69</v>
      </c>
    </row>
    <row r="409" spans="2:11" hidden="1" x14ac:dyDescent="0.2">
      <c r="B409" s="4">
        <v>31070</v>
      </c>
      <c r="C409" s="4">
        <v>0</v>
      </c>
      <c r="D409">
        <v>0</v>
      </c>
      <c r="E409" t="str">
        <f>VLOOKUP(B409,[1]Nuclides!A:E,5,FALSE)</f>
        <v>Ga70</v>
      </c>
      <c r="F409">
        <f>VLOOKUP(B409,[1]Nuclides!A:E,4,FALSE)</f>
        <v>1268.4000000000001</v>
      </c>
      <c r="G409" t="str">
        <f t="shared" si="37"/>
        <v>21.14min</v>
      </c>
      <c r="H409">
        <f t="shared" si="38"/>
        <v>5.4647365228630181E-4</v>
      </c>
      <c r="I409">
        <f t="shared" si="39"/>
        <v>0</v>
      </c>
      <c r="J409">
        <f t="shared" si="40"/>
        <v>0</v>
      </c>
      <c r="K409" t="str">
        <f t="shared" si="41"/>
        <v>Ga70</v>
      </c>
    </row>
    <row r="410" spans="2:11" hidden="1" x14ac:dyDescent="0.2">
      <c r="B410" s="4">
        <v>31071</v>
      </c>
      <c r="C410" s="4">
        <v>0</v>
      </c>
      <c r="D410">
        <v>0</v>
      </c>
      <c r="E410" t="str">
        <f>VLOOKUP(B410,[1]Nuclides!A:E,5,FALSE)</f>
        <v>Ga71</v>
      </c>
      <c r="F410" t="str">
        <f>VLOOKUP(B410,[1]Nuclides!A:E,4,FALSE)</f>
        <v>STABLE</v>
      </c>
      <c r="G410" t="str">
        <f t="shared" si="37"/>
        <v>STABLE</v>
      </c>
      <c r="H410" t="e">
        <f t="shared" si="38"/>
        <v>#VALUE!</v>
      </c>
      <c r="I410" t="e">
        <f t="shared" si="39"/>
        <v>#VALUE!</v>
      </c>
      <c r="J410" t="e">
        <f t="shared" si="40"/>
        <v>#VALUE!</v>
      </c>
      <c r="K410" t="str">
        <f t="shared" si="41"/>
        <v>Ga71</v>
      </c>
    </row>
    <row r="411" spans="2:11" hidden="1" x14ac:dyDescent="0.2">
      <c r="B411" s="4">
        <v>31072</v>
      </c>
      <c r="C411" s="4">
        <v>0</v>
      </c>
      <c r="D411">
        <v>0</v>
      </c>
      <c r="E411" t="str">
        <f>VLOOKUP(B411,[1]Nuclides!A:E,5,FALSE)</f>
        <v>Ga72</v>
      </c>
      <c r="F411">
        <f>VLOOKUP(B411,[1]Nuclides!A:E,4,FALSE)</f>
        <v>50760</v>
      </c>
      <c r="G411" t="str">
        <f t="shared" si="37"/>
        <v>14.1h</v>
      </c>
      <c r="H411">
        <f t="shared" si="38"/>
        <v>1.3655381807721538E-5</v>
      </c>
      <c r="I411">
        <f t="shared" si="39"/>
        <v>0</v>
      </c>
      <c r="J411">
        <f t="shared" si="40"/>
        <v>0</v>
      </c>
      <c r="K411" t="str">
        <f t="shared" si="41"/>
        <v>Ga72</v>
      </c>
    </row>
    <row r="412" spans="2:11" hidden="1" x14ac:dyDescent="0.2">
      <c r="B412" s="4">
        <v>31073</v>
      </c>
      <c r="C412" s="4">
        <v>0</v>
      </c>
      <c r="D412">
        <v>0</v>
      </c>
      <c r="E412" t="str">
        <f>VLOOKUP(B412,[1]Nuclides!A:E,5,FALSE)</f>
        <v>Ga73</v>
      </c>
      <c r="F412">
        <f>VLOOKUP(B412,[1]Nuclides!A:E,4,FALSE)</f>
        <v>17496</v>
      </c>
      <c r="G412" t="str">
        <f t="shared" si="37"/>
        <v>4.86h</v>
      </c>
      <c r="H412">
        <f t="shared" si="38"/>
        <v>3.9617465738451376E-5</v>
      </c>
      <c r="I412">
        <f t="shared" si="39"/>
        <v>0</v>
      </c>
      <c r="J412">
        <f t="shared" si="40"/>
        <v>0</v>
      </c>
      <c r="K412" t="str">
        <f t="shared" si="41"/>
        <v>Ga73</v>
      </c>
    </row>
    <row r="413" spans="2:11" hidden="1" x14ac:dyDescent="0.2">
      <c r="B413" s="4">
        <v>31074</v>
      </c>
      <c r="C413" s="4">
        <v>0</v>
      </c>
      <c r="D413">
        <v>0</v>
      </c>
      <c r="E413" t="str">
        <f>VLOOKUP(B413,[1]Nuclides!A:E,5,FALSE)</f>
        <v>Ga74</v>
      </c>
      <c r="F413">
        <f>VLOOKUP(B413,[1]Nuclides!A:E,4,FALSE)</f>
        <v>487.19999999999902</v>
      </c>
      <c r="G413" t="str">
        <f t="shared" si="37"/>
        <v>8.12min</v>
      </c>
      <c r="H413">
        <f t="shared" si="38"/>
        <v>1.4227158878488233E-3</v>
      </c>
      <c r="I413">
        <f t="shared" si="39"/>
        <v>0</v>
      </c>
      <c r="J413">
        <f t="shared" si="40"/>
        <v>0</v>
      </c>
      <c r="K413" t="str">
        <f t="shared" si="41"/>
        <v>Ga74</v>
      </c>
    </row>
    <row r="414" spans="2:11" hidden="1" x14ac:dyDescent="0.2">
      <c r="B414" s="4">
        <v>31075</v>
      </c>
      <c r="C414" s="4">
        <v>0</v>
      </c>
      <c r="D414">
        <v>0</v>
      </c>
      <c r="E414" t="str">
        <f>VLOOKUP(B414,[1]Nuclides!A:E,5,FALSE)</f>
        <v>Ga75</v>
      </c>
      <c r="F414">
        <f>VLOOKUP(B414,[1]Nuclides!A:E,4,FALSE)</f>
        <v>126</v>
      </c>
      <c r="G414" t="str">
        <f t="shared" si="37"/>
        <v>2.1min</v>
      </c>
      <c r="H414">
        <f t="shared" si="38"/>
        <v>5.5011680996821053E-3</v>
      </c>
      <c r="I414">
        <f t="shared" si="39"/>
        <v>0</v>
      </c>
      <c r="J414">
        <f t="shared" si="40"/>
        <v>0</v>
      </c>
      <c r="K414" t="str">
        <f t="shared" si="41"/>
        <v>Ga75</v>
      </c>
    </row>
    <row r="415" spans="2:11" hidden="1" x14ac:dyDescent="0.2">
      <c r="B415" s="4">
        <v>31076</v>
      </c>
      <c r="C415" s="4">
        <v>0</v>
      </c>
      <c r="D415">
        <v>0</v>
      </c>
      <c r="E415" t="str">
        <f>VLOOKUP(B415,[1]Nuclides!A:E,5,FALSE)</f>
        <v>Ga76</v>
      </c>
      <c r="F415">
        <f>VLOOKUP(B415,[1]Nuclides!A:E,4,FALSE)</f>
        <v>32.6</v>
      </c>
      <c r="G415" t="str">
        <f t="shared" si="37"/>
        <v>32.6s</v>
      </c>
      <c r="H415">
        <f t="shared" si="38"/>
        <v>2.1262183452759056E-2</v>
      </c>
      <c r="I415">
        <f t="shared" si="39"/>
        <v>0</v>
      </c>
      <c r="J415">
        <f t="shared" si="40"/>
        <v>0</v>
      </c>
      <c r="K415" t="str">
        <f t="shared" si="41"/>
        <v>Ga76</v>
      </c>
    </row>
    <row r="416" spans="2:11" hidden="1" x14ac:dyDescent="0.2">
      <c r="B416" s="4">
        <v>31077</v>
      </c>
      <c r="C416" s="4">
        <v>0</v>
      </c>
      <c r="D416">
        <v>0</v>
      </c>
      <c r="E416" t="str">
        <f>VLOOKUP(B416,[1]Nuclides!A:E,5,FALSE)</f>
        <v>Ga77</v>
      </c>
      <c r="F416">
        <f>VLOOKUP(B416,[1]Nuclides!A:E,4,FALSE)</f>
        <v>13.2</v>
      </c>
      <c r="G416" t="str">
        <f t="shared" si="37"/>
        <v>13.2s</v>
      </c>
      <c r="H416">
        <f t="shared" si="38"/>
        <v>5.2511150042420102E-2</v>
      </c>
      <c r="I416">
        <f t="shared" si="39"/>
        <v>0</v>
      </c>
      <c r="J416">
        <f t="shared" si="40"/>
        <v>0</v>
      </c>
      <c r="K416" t="str">
        <f t="shared" si="41"/>
        <v>Ga77</v>
      </c>
    </row>
    <row r="417" spans="2:11" hidden="1" x14ac:dyDescent="0.2">
      <c r="B417" s="4">
        <v>31078</v>
      </c>
      <c r="C417" s="4">
        <v>0</v>
      </c>
      <c r="D417">
        <v>0</v>
      </c>
      <c r="E417" t="str">
        <f>VLOOKUP(B417,[1]Nuclides!A:E,5,FALSE)</f>
        <v>Ga78</v>
      </c>
      <c r="F417">
        <f>VLOOKUP(B417,[1]Nuclides!A:E,4,FALSE)</f>
        <v>5.09</v>
      </c>
      <c r="G417" t="str">
        <f t="shared" si="37"/>
        <v>5.09s</v>
      </c>
      <c r="H417">
        <f t="shared" si="38"/>
        <v>0.13617822800784779</v>
      </c>
      <c r="I417">
        <f t="shared" si="39"/>
        <v>0</v>
      </c>
      <c r="J417">
        <f t="shared" si="40"/>
        <v>0</v>
      </c>
      <c r="K417" t="str">
        <f t="shared" si="41"/>
        <v>Ga78</v>
      </c>
    </row>
    <row r="418" spans="2:11" hidden="1" x14ac:dyDescent="0.2">
      <c r="B418" s="4">
        <v>31079</v>
      </c>
      <c r="C418" s="4">
        <v>0</v>
      </c>
      <c r="D418">
        <v>0</v>
      </c>
      <c r="E418" t="str">
        <f>VLOOKUP(B418,[1]Nuclides!A:E,5,FALSE)</f>
        <v>Ga79</v>
      </c>
      <c r="F418">
        <f>VLOOKUP(B418,[1]Nuclides!A:E,4,FALSE)</f>
        <v>2.847</v>
      </c>
      <c r="G418" t="str">
        <f t="shared" si="37"/>
        <v>2.847s</v>
      </c>
      <c r="H418">
        <f t="shared" si="38"/>
        <v>0.24346581684578339</v>
      </c>
      <c r="I418">
        <f t="shared" si="39"/>
        <v>0</v>
      </c>
      <c r="J418">
        <f t="shared" si="40"/>
        <v>0</v>
      </c>
      <c r="K418" t="str">
        <f t="shared" si="41"/>
        <v>Ga79</v>
      </c>
    </row>
    <row r="419" spans="2:11" hidden="1" x14ac:dyDescent="0.2">
      <c r="B419" s="4">
        <v>31080</v>
      </c>
      <c r="C419" s="4">
        <v>0</v>
      </c>
      <c r="D419">
        <v>0</v>
      </c>
      <c r="E419" t="str">
        <f>VLOOKUP(B419,[1]Nuclides!A:E,5,FALSE)</f>
        <v>Ga80</v>
      </c>
      <c r="F419">
        <f>VLOOKUP(B419,[1]Nuclides!A:E,4,FALSE)</f>
        <v>1.9</v>
      </c>
      <c r="G419" t="str">
        <f t="shared" si="37"/>
        <v>1.9s</v>
      </c>
      <c r="H419">
        <f t="shared" si="38"/>
        <v>0.36481430555786598</v>
      </c>
      <c r="I419">
        <f t="shared" si="39"/>
        <v>0</v>
      </c>
      <c r="J419">
        <f t="shared" si="40"/>
        <v>0</v>
      </c>
      <c r="K419" t="str">
        <f t="shared" si="41"/>
        <v>Ga80</v>
      </c>
    </row>
    <row r="420" spans="2:11" hidden="1" x14ac:dyDescent="0.2">
      <c r="B420" s="4">
        <v>31081</v>
      </c>
      <c r="C420" s="4">
        <v>0</v>
      </c>
      <c r="D420">
        <v>0</v>
      </c>
      <c r="E420" t="str">
        <f>VLOOKUP(B420,[1]Nuclides!A:E,5,FALSE)</f>
        <v>Ga81</v>
      </c>
      <c r="F420">
        <f>VLOOKUP(B420,[1]Nuclides!A:E,4,FALSE)</f>
        <v>1.2170000000000001</v>
      </c>
      <c r="G420" t="str">
        <f t="shared" si="37"/>
        <v>1.217s</v>
      </c>
      <c r="H420">
        <f t="shared" si="38"/>
        <v>0.56955396923578083</v>
      </c>
      <c r="I420">
        <f t="shared" si="39"/>
        <v>0</v>
      </c>
      <c r="J420">
        <f t="shared" si="40"/>
        <v>0</v>
      </c>
      <c r="K420" t="str">
        <f t="shared" si="41"/>
        <v>Ga81</v>
      </c>
    </row>
    <row r="421" spans="2:11" hidden="1" x14ac:dyDescent="0.2">
      <c r="B421" s="4">
        <v>31082</v>
      </c>
      <c r="C421" s="4">
        <v>0</v>
      </c>
      <c r="D421">
        <v>0</v>
      </c>
      <c r="E421" t="str">
        <f>VLOOKUP(B421,[1]Nuclides!A:E,5,FALSE)</f>
        <v>Ga82</v>
      </c>
      <c r="F421">
        <f>VLOOKUP(B421,[1]Nuclides!A:E,4,FALSE)</f>
        <v>0.59899999999999998</v>
      </c>
      <c r="G421" t="str">
        <f t="shared" si="37"/>
        <v>0.599s</v>
      </c>
      <c r="H421">
        <f t="shared" si="38"/>
        <v>1.1571739241401424</v>
      </c>
      <c r="I421">
        <f t="shared" si="39"/>
        <v>0</v>
      </c>
      <c r="J421">
        <f t="shared" si="40"/>
        <v>0</v>
      </c>
      <c r="K421" t="str">
        <f t="shared" si="41"/>
        <v>Ga82</v>
      </c>
    </row>
    <row r="422" spans="2:11" hidden="1" x14ac:dyDescent="0.2">
      <c r="B422" s="4">
        <v>31083</v>
      </c>
      <c r="C422" s="4">
        <v>0</v>
      </c>
      <c r="D422">
        <v>0</v>
      </c>
      <c r="E422" t="str">
        <f>VLOOKUP(B422,[1]Nuclides!A:E,5,FALSE)</f>
        <v>Ga83</v>
      </c>
      <c r="F422">
        <f>VLOOKUP(B422,[1]Nuclides!A:E,4,FALSE)</f>
        <v>0.30809999999999998</v>
      </c>
      <c r="G422" t="str">
        <f t="shared" si="37"/>
        <v>0.3081s</v>
      </c>
      <c r="H422">
        <f t="shared" si="38"/>
        <v>2.2497474214863531</v>
      </c>
      <c r="I422">
        <f t="shared" si="39"/>
        <v>0</v>
      </c>
      <c r="J422">
        <f t="shared" si="40"/>
        <v>0</v>
      </c>
      <c r="K422" t="str">
        <f t="shared" si="41"/>
        <v>Ga83</v>
      </c>
    </row>
    <row r="423" spans="2:11" hidden="1" x14ac:dyDescent="0.2">
      <c r="B423" s="4">
        <v>32061</v>
      </c>
      <c r="C423" s="4">
        <v>0</v>
      </c>
      <c r="D423">
        <v>0</v>
      </c>
      <c r="E423" t="str">
        <f>VLOOKUP(B423,[1]Nuclides!A:E,5,FALSE)</f>
        <v>Ge61</v>
      </c>
      <c r="F423">
        <f>VLOOKUP(B423,[1]Nuclides!A:E,4,FALSE)</f>
        <v>4.3999999999999997E-2</v>
      </c>
      <c r="G423" t="str">
        <f t="shared" si="37"/>
        <v>0.044s</v>
      </c>
      <c r="H423">
        <f t="shared" si="38"/>
        <v>15.753345012726029</v>
      </c>
      <c r="I423">
        <f t="shared" si="39"/>
        <v>0</v>
      </c>
      <c r="J423">
        <f t="shared" si="40"/>
        <v>0</v>
      </c>
      <c r="K423" t="str">
        <f t="shared" si="41"/>
        <v>Ge61</v>
      </c>
    </row>
    <row r="424" spans="2:11" hidden="1" x14ac:dyDescent="0.2">
      <c r="B424" s="4">
        <v>32062</v>
      </c>
      <c r="C424" s="4">
        <v>0</v>
      </c>
      <c r="D424">
        <v>0</v>
      </c>
      <c r="E424" t="str">
        <f>VLOOKUP(B424,[1]Nuclides!A:E,5,FALSE)</f>
        <v>Ge62</v>
      </c>
      <c r="F424">
        <f>VLOOKUP(B424,[1]Nuclides!A:E,4,FALSE)</f>
        <v>0.129</v>
      </c>
      <c r="G424" t="str">
        <f t="shared" si="37"/>
        <v>0.129s</v>
      </c>
      <c r="H424">
        <f t="shared" si="38"/>
        <v>5.3732339578290329</v>
      </c>
      <c r="I424">
        <f t="shared" si="39"/>
        <v>0</v>
      </c>
      <c r="J424">
        <f t="shared" si="40"/>
        <v>0</v>
      </c>
      <c r="K424" t="str">
        <f t="shared" si="41"/>
        <v>Ge62</v>
      </c>
    </row>
    <row r="425" spans="2:11" hidden="1" x14ac:dyDescent="0.2">
      <c r="B425" s="4">
        <v>32063</v>
      </c>
      <c r="C425" s="4">
        <v>0</v>
      </c>
      <c r="D425">
        <v>0</v>
      </c>
      <c r="E425" t="str">
        <f>VLOOKUP(B425,[1]Nuclides!A:E,5,FALSE)</f>
        <v>Ge63</v>
      </c>
      <c r="F425">
        <f>VLOOKUP(B425,[1]Nuclides!A:E,4,FALSE)</f>
        <v>0.15</v>
      </c>
      <c r="G425" t="str">
        <f t="shared" si="37"/>
        <v>0.15s</v>
      </c>
      <c r="H425">
        <f t="shared" si="38"/>
        <v>4.6209812037329687</v>
      </c>
      <c r="I425">
        <f t="shared" si="39"/>
        <v>0</v>
      </c>
      <c r="J425">
        <f t="shared" si="40"/>
        <v>0</v>
      </c>
      <c r="K425" t="str">
        <f t="shared" si="41"/>
        <v>Ge63</v>
      </c>
    </row>
    <row r="426" spans="2:11" hidden="1" x14ac:dyDescent="0.2">
      <c r="B426" s="4">
        <v>32064</v>
      </c>
      <c r="C426" s="4">
        <v>0</v>
      </c>
      <c r="D426">
        <v>0</v>
      </c>
      <c r="E426" t="str">
        <f>VLOOKUP(B426,[1]Nuclides!A:E,5,FALSE)</f>
        <v>Ge64</v>
      </c>
      <c r="F426">
        <f>VLOOKUP(B426,[1]Nuclides!A:E,4,FALSE)</f>
        <v>63.7</v>
      </c>
      <c r="G426" t="str">
        <f t="shared" si="37"/>
        <v>1.06min</v>
      </c>
      <c r="H426">
        <f t="shared" si="38"/>
        <v>1.0881431405964604E-2</v>
      </c>
      <c r="I426">
        <f t="shared" si="39"/>
        <v>0</v>
      </c>
      <c r="J426">
        <f t="shared" si="40"/>
        <v>0</v>
      </c>
      <c r="K426" t="str">
        <f t="shared" si="41"/>
        <v>Ge64</v>
      </c>
    </row>
    <row r="427" spans="2:11" hidden="1" x14ac:dyDescent="0.2">
      <c r="B427" s="4">
        <v>32065</v>
      </c>
      <c r="C427" s="4">
        <v>0</v>
      </c>
      <c r="D427">
        <v>0</v>
      </c>
      <c r="E427" t="str">
        <f>VLOOKUP(B427,[1]Nuclides!A:E,5,FALSE)</f>
        <v>Ge65</v>
      </c>
      <c r="F427">
        <f>VLOOKUP(B427,[1]Nuclides!A:E,4,FALSE)</f>
        <v>30.9</v>
      </c>
      <c r="G427" t="str">
        <f t="shared" si="37"/>
        <v>30.9s</v>
      </c>
      <c r="H427">
        <f t="shared" si="38"/>
        <v>2.2431947590936741E-2</v>
      </c>
      <c r="I427">
        <f t="shared" si="39"/>
        <v>0</v>
      </c>
      <c r="J427">
        <f t="shared" si="40"/>
        <v>0</v>
      </c>
      <c r="K427" t="str">
        <f t="shared" si="41"/>
        <v>Ge65</v>
      </c>
    </row>
    <row r="428" spans="2:11" hidden="1" x14ac:dyDescent="0.2">
      <c r="B428" s="4">
        <v>32066</v>
      </c>
      <c r="C428" s="4">
        <v>0</v>
      </c>
      <c r="D428">
        <v>0</v>
      </c>
      <c r="E428" t="str">
        <f>VLOOKUP(B428,[1]Nuclides!A:E,5,FALSE)</f>
        <v>Ge66</v>
      </c>
      <c r="F428">
        <f>VLOOKUP(B428,[1]Nuclides!A:E,4,FALSE)</f>
        <v>8135.99999999999</v>
      </c>
      <c r="G428" t="str">
        <f t="shared" si="37"/>
        <v>2.26h</v>
      </c>
      <c r="H428">
        <f t="shared" si="38"/>
        <v>8.519508118976723E-5</v>
      </c>
      <c r="I428">
        <f t="shared" si="39"/>
        <v>0</v>
      </c>
      <c r="J428">
        <f t="shared" si="40"/>
        <v>0</v>
      </c>
      <c r="K428" t="str">
        <f t="shared" si="41"/>
        <v>Ge66</v>
      </c>
    </row>
    <row r="429" spans="2:11" hidden="1" x14ac:dyDescent="0.2">
      <c r="B429" s="4">
        <v>32067</v>
      </c>
      <c r="C429" s="4">
        <v>0</v>
      </c>
      <c r="D429">
        <v>0</v>
      </c>
      <c r="E429" t="str">
        <f>VLOOKUP(B429,[1]Nuclides!A:E,5,FALSE)</f>
        <v>Ge67</v>
      </c>
      <c r="F429">
        <f>VLOOKUP(B429,[1]Nuclides!A:E,4,FALSE)</f>
        <v>1134</v>
      </c>
      <c r="G429" t="str">
        <f t="shared" si="37"/>
        <v>18.9min</v>
      </c>
      <c r="H429">
        <f t="shared" si="38"/>
        <v>6.1124089996467839E-4</v>
      </c>
      <c r="I429">
        <f t="shared" si="39"/>
        <v>0</v>
      </c>
      <c r="J429">
        <f t="shared" si="40"/>
        <v>0</v>
      </c>
      <c r="K429" t="str">
        <f t="shared" si="41"/>
        <v>Ge67</v>
      </c>
    </row>
    <row r="430" spans="2:11" hidden="1" x14ac:dyDescent="0.2">
      <c r="B430" s="4">
        <v>32068</v>
      </c>
      <c r="C430" s="4">
        <v>0</v>
      </c>
      <c r="D430">
        <v>0</v>
      </c>
      <c r="E430" t="str">
        <f>VLOOKUP(B430,[1]Nuclides!A:E,5,FALSE)</f>
        <v>Ge68</v>
      </c>
      <c r="F430">
        <f>VLOOKUP(B430,[1]Nuclides!A:E,4,FALSE)</f>
        <v>23408352</v>
      </c>
      <c r="G430" t="str">
        <f t="shared" si="37"/>
        <v>270.93d</v>
      </c>
      <c r="H430">
        <f t="shared" si="38"/>
        <v>2.9611105496018911E-8</v>
      </c>
      <c r="I430">
        <f t="shared" si="39"/>
        <v>0</v>
      </c>
      <c r="J430">
        <f t="shared" si="40"/>
        <v>0</v>
      </c>
      <c r="K430" t="str">
        <f t="shared" si="41"/>
        <v>Ge68</v>
      </c>
    </row>
    <row r="431" spans="2:11" hidden="1" x14ac:dyDescent="0.2">
      <c r="B431" s="4">
        <v>32069</v>
      </c>
      <c r="C431" s="4">
        <v>0</v>
      </c>
      <c r="D431">
        <v>0</v>
      </c>
      <c r="E431" t="str">
        <f>VLOOKUP(B431,[1]Nuclides!A:E,5,FALSE)</f>
        <v>Ge69</v>
      </c>
      <c r="F431">
        <f>VLOOKUP(B431,[1]Nuclides!A:E,4,FALSE)</f>
        <v>140580</v>
      </c>
      <c r="G431" t="str">
        <f t="shared" si="37"/>
        <v>1.63d</v>
      </c>
      <c r="H431">
        <f t="shared" si="38"/>
        <v>4.930624417128648E-6</v>
      </c>
      <c r="I431">
        <f t="shared" si="39"/>
        <v>0</v>
      </c>
      <c r="J431">
        <f t="shared" si="40"/>
        <v>0</v>
      </c>
      <c r="K431" t="str">
        <f t="shared" si="41"/>
        <v>Ge69</v>
      </c>
    </row>
    <row r="432" spans="2:11" hidden="1" x14ac:dyDescent="0.2">
      <c r="B432" s="4">
        <v>32070</v>
      </c>
      <c r="C432" s="4">
        <v>0</v>
      </c>
      <c r="D432">
        <v>0</v>
      </c>
      <c r="E432" t="str">
        <f>VLOOKUP(B432,[1]Nuclides!A:E,5,FALSE)</f>
        <v>Ge70</v>
      </c>
      <c r="F432" t="str">
        <f>VLOOKUP(B432,[1]Nuclides!A:E,4,FALSE)</f>
        <v>STABLE</v>
      </c>
      <c r="G432" t="str">
        <f t="shared" si="37"/>
        <v>STABLE</v>
      </c>
      <c r="H432" t="e">
        <f t="shared" si="38"/>
        <v>#VALUE!</v>
      </c>
      <c r="I432" t="e">
        <f t="shared" si="39"/>
        <v>#VALUE!</v>
      </c>
      <c r="J432" t="e">
        <f t="shared" si="40"/>
        <v>#VALUE!</v>
      </c>
      <c r="K432" t="str">
        <f t="shared" si="41"/>
        <v>Ge70</v>
      </c>
    </row>
    <row r="433" spans="2:11" hidden="1" x14ac:dyDescent="0.2">
      <c r="B433" s="4">
        <v>32071</v>
      </c>
      <c r="C433" s="4">
        <v>0</v>
      </c>
      <c r="D433">
        <v>0</v>
      </c>
      <c r="E433" t="str">
        <f>VLOOKUP(B433,[1]Nuclides!A:E,5,FALSE)</f>
        <v>Ge71</v>
      </c>
      <c r="F433">
        <f>VLOOKUP(B433,[1]Nuclides!A:E,4,FALSE)</f>
        <v>987552</v>
      </c>
      <c r="G433" t="str">
        <f t="shared" si="37"/>
        <v>11.43d</v>
      </c>
      <c r="H433">
        <f t="shared" si="38"/>
        <v>7.0188423552374482E-7</v>
      </c>
      <c r="I433">
        <f t="shared" si="39"/>
        <v>0</v>
      </c>
      <c r="J433">
        <f t="shared" si="40"/>
        <v>0</v>
      </c>
      <c r="K433" t="str">
        <f t="shared" si="41"/>
        <v>Ge71</v>
      </c>
    </row>
    <row r="434" spans="2:11" hidden="1" x14ac:dyDescent="0.2">
      <c r="B434" s="4">
        <v>32072</v>
      </c>
      <c r="C434" s="4">
        <v>0</v>
      </c>
      <c r="D434">
        <v>0</v>
      </c>
      <c r="E434" t="str">
        <f>VLOOKUP(B434,[1]Nuclides!A:E,5,FALSE)</f>
        <v>Ge72</v>
      </c>
      <c r="F434" t="str">
        <f>VLOOKUP(B434,[1]Nuclides!A:E,4,FALSE)</f>
        <v>STABLE</v>
      </c>
      <c r="G434" t="str">
        <f t="shared" si="37"/>
        <v>STABLE</v>
      </c>
      <c r="H434" t="e">
        <f t="shared" si="38"/>
        <v>#VALUE!</v>
      </c>
      <c r="I434" t="e">
        <f t="shared" si="39"/>
        <v>#VALUE!</v>
      </c>
      <c r="J434" t="e">
        <f t="shared" si="40"/>
        <v>#VALUE!</v>
      </c>
      <c r="K434" t="str">
        <f t="shared" si="41"/>
        <v>Ge72</v>
      </c>
    </row>
    <row r="435" spans="2:11" hidden="1" x14ac:dyDescent="0.2">
      <c r="B435" s="4">
        <v>32073</v>
      </c>
      <c r="C435" s="4">
        <v>0</v>
      </c>
      <c r="D435">
        <v>0</v>
      </c>
      <c r="E435" t="str">
        <f>VLOOKUP(B435,[1]Nuclides!A:E,5,FALSE)</f>
        <v>Ge73</v>
      </c>
      <c r="F435" t="str">
        <f>VLOOKUP(B435,[1]Nuclides!A:E,4,FALSE)</f>
        <v>STABLE</v>
      </c>
      <c r="G435" t="str">
        <f t="shared" si="37"/>
        <v>STABLE</v>
      </c>
      <c r="H435" t="e">
        <f t="shared" si="38"/>
        <v>#VALUE!</v>
      </c>
      <c r="I435" t="e">
        <f t="shared" si="39"/>
        <v>#VALUE!</v>
      </c>
      <c r="J435" t="e">
        <f t="shared" si="40"/>
        <v>#VALUE!</v>
      </c>
      <c r="K435" t="str">
        <f t="shared" si="41"/>
        <v>Ge73</v>
      </c>
    </row>
    <row r="436" spans="2:11" hidden="1" x14ac:dyDescent="0.2">
      <c r="B436" s="4">
        <v>32074</v>
      </c>
      <c r="C436" s="4">
        <v>0</v>
      </c>
      <c r="D436">
        <v>0</v>
      </c>
      <c r="E436" t="str">
        <f>VLOOKUP(B436,[1]Nuclides!A:E,5,FALSE)</f>
        <v>Ge74</v>
      </c>
      <c r="F436" t="str">
        <f>VLOOKUP(B436,[1]Nuclides!A:E,4,FALSE)</f>
        <v>STABLE</v>
      </c>
      <c r="G436" t="str">
        <f t="shared" si="37"/>
        <v>STABLE</v>
      </c>
      <c r="H436" t="e">
        <f t="shared" si="38"/>
        <v>#VALUE!</v>
      </c>
      <c r="I436" t="e">
        <f t="shared" si="39"/>
        <v>#VALUE!</v>
      </c>
      <c r="J436" t="e">
        <f t="shared" si="40"/>
        <v>#VALUE!</v>
      </c>
      <c r="K436" t="str">
        <f t="shared" si="41"/>
        <v>Ge74</v>
      </c>
    </row>
    <row r="437" spans="2:11" hidden="1" x14ac:dyDescent="0.2">
      <c r="B437" s="4">
        <v>32075</v>
      </c>
      <c r="C437" s="4">
        <v>0</v>
      </c>
      <c r="D437">
        <v>0</v>
      </c>
      <c r="E437" t="str">
        <f>VLOOKUP(B437,[1]Nuclides!A:E,5,FALSE)</f>
        <v>Ge75</v>
      </c>
      <c r="F437">
        <f>VLOOKUP(B437,[1]Nuclides!A:E,4,FALSE)</f>
        <v>4966.8</v>
      </c>
      <c r="G437" t="str">
        <f t="shared" si="37"/>
        <v>1.38h</v>
      </c>
      <c r="H437">
        <f t="shared" si="38"/>
        <v>1.3955608853989394E-4</v>
      </c>
      <c r="I437">
        <f t="shared" si="39"/>
        <v>0</v>
      </c>
      <c r="J437">
        <f t="shared" si="40"/>
        <v>0</v>
      </c>
      <c r="K437" t="str">
        <f t="shared" si="41"/>
        <v>Ge75</v>
      </c>
    </row>
    <row r="438" spans="2:11" hidden="1" x14ac:dyDescent="0.2">
      <c r="B438" s="4">
        <v>32076</v>
      </c>
      <c r="C438" s="4">
        <v>0</v>
      </c>
      <c r="D438">
        <v>0</v>
      </c>
      <c r="E438" t="str">
        <f>VLOOKUP(B438,[1]Nuclides!A:E,5,FALSE)</f>
        <v>Ge76</v>
      </c>
      <c r="F438" t="str">
        <f>VLOOKUP(B438,[1]Nuclides!A:E,4,FALSE)</f>
        <v>STABLE</v>
      </c>
      <c r="G438" t="str">
        <f t="shared" si="37"/>
        <v>STABLE</v>
      </c>
      <c r="H438" t="e">
        <f t="shared" si="38"/>
        <v>#VALUE!</v>
      </c>
      <c r="I438" t="e">
        <f t="shared" si="39"/>
        <v>#VALUE!</v>
      </c>
      <c r="J438" t="e">
        <f t="shared" si="40"/>
        <v>#VALUE!</v>
      </c>
      <c r="K438" t="str">
        <f t="shared" si="41"/>
        <v>Ge76</v>
      </c>
    </row>
    <row r="439" spans="2:11" hidden="1" x14ac:dyDescent="0.2">
      <c r="B439" s="4">
        <v>32077</v>
      </c>
      <c r="C439" s="4">
        <v>0</v>
      </c>
      <c r="D439">
        <v>0</v>
      </c>
      <c r="E439" t="str">
        <f>VLOOKUP(B439,[1]Nuclides!A:E,5,FALSE)</f>
        <v>Ge77</v>
      </c>
      <c r="F439">
        <f>VLOOKUP(B439,[1]Nuclides!A:E,4,FALSE)</f>
        <v>40680</v>
      </c>
      <c r="G439" t="str">
        <f t="shared" si="37"/>
        <v>11.3h</v>
      </c>
      <c r="H439">
        <f t="shared" si="38"/>
        <v>1.7039016237953423E-5</v>
      </c>
      <c r="I439">
        <f t="shared" si="39"/>
        <v>0</v>
      </c>
      <c r="J439">
        <f t="shared" si="40"/>
        <v>0</v>
      </c>
      <c r="K439" t="str">
        <f t="shared" si="41"/>
        <v>Ge77</v>
      </c>
    </row>
    <row r="440" spans="2:11" hidden="1" x14ac:dyDescent="0.2">
      <c r="B440" s="4">
        <v>32078</v>
      </c>
      <c r="C440" s="4">
        <v>0</v>
      </c>
      <c r="D440">
        <v>0</v>
      </c>
      <c r="E440" t="str">
        <f>VLOOKUP(B440,[1]Nuclides!A:E,5,FALSE)</f>
        <v>Ge78</v>
      </c>
      <c r="F440">
        <f>VLOOKUP(B440,[1]Nuclides!A:E,4,FALSE)</f>
        <v>5280</v>
      </c>
      <c r="G440" t="str">
        <f t="shared" si="37"/>
        <v>1.47h</v>
      </c>
      <c r="H440">
        <f t="shared" si="38"/>
        <v>1.3127787510605024E-4</v>
      </c>
      <c r="I440">
        <f t="shared" si="39"/>
        <v>0</v>
      </c>
      <c r="J440">
        <f t="shared" si="40"/>
        <v>0</v>
      </c>
      <c r="K440" t="str">
        <f t="shared" si="41"/>
        <v>Ge78</v>
      </c>
    </row>
    <row r="441" spans="2:11" hidden="1" x14ac:dyDescent="0.2">
      <c r="B441" s="4">
        <v>32079</v>
      </c>
      <c r="C441" s="4">
        <v>0</v>
      </c>
      <c r="D441">
        <v>0</v>
      </c>
      <c r="E441" t="str">
        <f>VLOOKUP(B441,[1]Nuclides!A:E,5,FALSE)</f>
        <v>Ge79</v>
      </c>
      <c r="F441">
        <f>VLOOKUP(B441,[1]Nuclides!A:E,4,FALSE)</f>
        <v>18.98</v>
      </c>
      <c r="G441" t="str">
        <f t="shared" si="37"/>
        <v>18.98s</v>
      </c>
      <c r="H441">
        <f t="shared" si="38"/>
        <v>3.651987252686751E-2</v>
      </c>
      <c r="I441">
        <f t="shared" si="39"/>
        <v>0</v>
      </c>
      <c r="J441">
        <f t="shared" si="40"/>
        <v>0</v>
      </c>
      <c r="K441" t="str">
        <f t="shared" si="41"/>
        <v>Ge79</v>
      </c>
    </row>
    <row r="442" spans="2:11" hidden="1" x14ac:dyDescent="0.2">
      <c r="B442" s="4">
        <v>32080</v>
      </c>
      <c r="C442" s="4">
        <v>0</v>
      </c>
      <c r="D442">
        <v>0</v>
      </c>
      <c r="E442" t="str">
        <f>VLOOKUP(B442,[1]Nuclides!A:E,5,FALSE)</f>
        <v>Ge80</v>
      </c>
      <c r="F442">
        <f>VLOOKUP(B442,[1]Nuclides!A:E,4,FALSE)</f>
        <v>29.5</v>
      </c>
      <c r="G442" t="str">
        <f t="shared" si="37"/>
        <v>29.5s</v>
      </c>
      <c r="H442">
        <f t="shared" si="38"/>
        <v>2.3496514595252382E-2</v>
      </c>
      <c r="I442">
        <f t="shared" si="39"/>
        <v>0</v>
      </c>
      <c r="J442">
        <f t="shared" si="40"/>
        <v>0</v>
      </c>
      <c r="K442" t="str">
        <f t="shared" si="41"/>
        <v>Ge80</v>
      </c>
    </row>
    <row r="443" spans="2:11" hidden="1" x14ac:dyDescent="0.2">
      <c r="B443" s="4">
        <v>32081</v>
      </c>
      <c r="C443" s="4">
        <v>0</v>
      </c>
      <c r="D443">
        <v>0</v>
      </c>
      <c r="E443" t="str">
        <f>VLOOKUP(B443,[1]Nuclides!A:E,5,FALSE)</f>
        <v>Ge81</v>
      </c>
      <c r="F443">
        <f>VLOOKUP(B443,[1]Nuclides!A:E,4,FALSE)</f>
        <v>7.6</v>
      </c>
      <c r="G443" t="str">
        <f t="shared" si="37"/>
        <v>7.6s</v>
      </c>
      <c r="H443">
        <f t="shared" si="38"/>
        <v>9.1203576389466495E-2</v>
      </c>
      <c r="I443">
        <f t="shared" si="39"/>
        <v>0</v>
      </c>
      <c r="J443">
        <f t="shared" si="40"/>
        <v>0</v>
      </c>
      <c r="K443" t="str">
        <f t="shared" si="41"/>
        <v>Ge81</v>
      </c>
    </row>
    <row r="444" spans="2:11" hidden="1" x14ac:dyDescent="0.2">
      <c r="B444" s="4">
        <v>32082</v>
      </c>
      <c r="C444" s="4">
        <v>0</v>
      </c>
      <c r="D444">
        <v>0</v>
      </c>
      <c r="E444" t="str">
        <f>VLOOKUP(B444,[1]Nuclides!A:E,5,FALSE)</f>
        <v>Ge82</v>
      </c>
      <c r="F444">
        <f>VLOOKUP(B444,[1]Nuclides!A:E,4,FALSE)</f>
        <v>4.5599999999999996</v>
      </c>
      <c r="G444" t="str">
        <f t="shared" si="37"/>
        <v>4.56s</v>
      </c>
      <c r="H444">
        <f t="shared" si="38"/>
        <v>0.15200596064911082</v>
      </c>
      <c r="I444">
        <f t="shared" si="39"/>
        <v>0</v>
      </c>
      <c r="J444">
        <f t="shared" si="40"/>
        <v>0</v>
      </c>
      <c r="K444" t="str">
        <f t="shared" si="41"/>
        <v>Ge82</v>
      </c>
    </row>
    <row r="445" spans="2:11" hidden="1" x14ac:dyDescent="0.2">
      <c r="B445" s="4">
        <v>32083</v>
      </c>
      <c r="C445" s="4">
        <v>0</v>
      </c>
      <c r="D445">
        <v>0</v>
      </c>
      <c r="E445" t="str">
        <f>VLOOKUP(B445,[1]Nuclides!A:E,5,FALSE)</f>
        <v>Ge83</v>
      </c>
      <c r="F445">
        <f>VLOOKUP(B445,[1]Nuclides!A:E,4,FALSE)</f>
        <v>1.85</v>
      </c>
      <c r="G445" t="str">
        <f t="shared" si="37"/>
        <v>1.85s</v>
      </c>
      <c r="H445">
        <f t="shared" si="38"/>
        <v>0.37467415165402446</v>
      </c>
      <c r="I445">
        <f t="shared" si="39"/>
        <v>0</v>
      </c>
      <c r="J445">
        <f t="shared" si="40"/>
        <v>0</v>
      </c>
      <c r="K445" t="str">
        <f t="shared" si="41"/>
        <v>Ge83</v>
      </c>
    </row>
    <row r="446" spans="2:11" hidden="1" x14ac:dyDescent="0.2">
      <c r="B446" s="4">
        <v>32084</v>
      </c>
      <c r="C446" s="4">
        <v>0</v>
      </c>
      <c r="D446">
        <v>0</v>
      </c>
      <c r="E446" t="str">
        <f>VLOOKUP(B446,[1]Nuclides!A:E,5,FALSE)</f>
        <v>Ge84</v>
      </c>
      <c r="F446">
        <f>VLOOKUP(B446,[1]Nuclides!A:E,4,FALSE)</f>
        <v>0.95399999999999996</v>
      </c>
      <c r="G446" t="str">
        <f t="shared" si="37"/>
        <v>0.954s</v>
      </c>
      <c r="H446">
        <f t="shared" si="38"/>
        <v>0.72656937165612712</v>
      </c>
      <c r="I446">
        <f t="shared" si="39"/>
        <v>0</v>
      </c>
      <c r="J446">
        <f t="shared" si="40"/>
        <v>0</v>
      </c>
      <c r="K446" t="str">
        <f t="shared" si="41"/>
        <v>Ge84</v>
      </c>
    </row>
    <row r="447" spans="2:11" hidden="1" x14ac:dyDescent="0.2">
      <c r="B447" s="4">
        <v>33066</v>
      </c>
      <c r="C447" s="4">
        <v>0</v>
      </c>
      <c r="D447">
        <v>0</v>
      </c>
      <c r="E447" t="str">
        <f>VLOOKUP(B447,[1]Nuclides!A:E,5,FALSE)</f>
        <v>As66</v>
      </c>
      <c r="F447">
        <f>VLOOKUP(B447,[1]Nuclides!A:E,4,FALSE)</f>
        <v>9.5769999999999994E-2</v>
      </c>
      <c r="G447" t="str">
        <f t="shared" si="37"/>
        <v>0.09577s</v>
      </c>
      <c r="H447">
        <f t="shared" si="38"/>
        <v>7.2376232699169396</v>
      </c>
      <c r="I447">
        <f t="shared" si="39"/>
        <v>0</v>
      </c>
      <c r="J447">
        <f t="shared" si="40"/>
        <v>0</v>
      </c>
      <c r="K447" t="str">
        <f t="shared" si="41"/>
        <v>As66</v>
      </c>
    </row>
    <row r="448" spans="2:11" hidden="1" x14ac:dyDescent="0.2">
      <c r="B448" s="4">
        <v>33067</v>
      </c>
      <c r="C448" s="4">
        <v>0</v>
      </c>
      <c r="D448">
        <v>0</v>
      </c>
      <c r="E448" t="str">
        <f>VLOOKUP(B448,[1]Nuclides!A:E,5,FALSE)</f>
        <v>As67</v>
      </c>
      <c r="F448">
        <f>VLOOKUP(B448,[1]Nuclides!A:E,4,FALSE)</f>
        <v>42.5</v>
      </c>
      <c r="G448" t="str">
        <f t="shared" si="37"/>
        <v>42.5s</v>
      </c>
      <c r="H448">
        <f t="shared" si="38"/>
        <v>1.6309345424939888E-2</v>
      </c>
      <c r="I448">
        <f t="shared" si="39"/>
        <v>0</v>
      </c>
      <c r="J448">
        <f t="shared" si="40"/>
        <v>0</v>
      </c>
      <c r="K448" t="str">
        <f t="shared" si="41"/>
        <v>As67</v>
      </c>
    </row>
    <row r="449" spans="2:11" hidden="1" x14ac:dyDescent="0.2">
      <c r="B449" s="4">
        <v>33068</v>
      </c>
      <c r="C449" s="4">
        <v>0</v>
      </c>
      <c r="D449">
        <v>0</v>
      </c>
      <c r="E449" t="str">
        <f>VLOOKUP(B449,[1]Nuclides!A:E,5,FALSE)</f>
        <v>As68</v>
      </c>
      <c r="F449">
        <f>VLOOKUP(B449,[1]Nuclides!A:E,4,FALSE)</f>
        <v>151.6</v>
      </c>
      <c r="G449" t="str">
        <f t="shared" si="37"/>
        <v>2.53min</v>
      </c>
      <c r="H449">
        <f t="shared" si="38"/>
        <v>4.5722109535616447E-3</v>
      </c>
      <c r="I449">
        <f t="shared" si="39"/>
        <v>0</v>
      </c>
      <c r="J449">
        <f t="shared" si="40"/>
        <v>0</v>
      </c>
      <c r="K449" t="str">
        <f t="shared" si="41"/>
        <v>As68</v>
      </c>
    </row>
    <row r="450" spans="2:11" hidden="1" x14ac:dyDescent="0.2">
      <c r="B450" s="4">
        <v>33069</v>
      </c>
      <c r="C450" s="4">
        <v>0</v>
      </c>
      <c r="D450">
        <v>0</v>
      </c>
      <c r="E450" t="str">
        <f>VLOOKUP(B450,[1]Nuclides!A:E,5,FALSE)</f>
        <v>As69</v>
      </c>
      <c r="F450">
        <f>VLOOKUP(B450,[1]Nuclides!A:E,4,FALSE)</f>
        <v>912</v>
      </c>
      <c r="G450" t="str">
        <f t="shared" si="37"/>
        <v>15.2min</v>
      </c>
      <c r="H450">
        <f t="shared" si="38"/>
        <v>7.6002980324555401E-4</v>
      </c>
      <c r="I450">
        <f t="shared" si="39"/>
        <v>0</v>
      </c>
      <c r="J450">
        <f t="shared" si="40"/>
        <v>0</v>
      </c>
      <c r="K450" t="str">
        <f t="shared" si="41"/>
        <v>As69</v>
      </c>
    </row>
    <row r="451" spans="2:11" hidden="1" x14ac:dyDescent="0.2">
      <c r="B451" s="4">
        <v>33070</v>
      </c>
      <c r="C451" s="4">
        <v>0</v>
      </c>
      <c r="D451">
        <v>0</v>
      </c>
      <c r="E451" t="str">
        <f>VLOOKUP(B451,[1]Nuclides!A:E,5,FALSE)</f>
        <v>As70</v>
      </c>
      <c r="F451">
        <f>VLOOKUP(B451,[1]Nuclides!A:E,4,FALSE)</f>
        <v>3156</v>
      </c>
      <c r="G451" t="str">
        <f t="shared" si="37"/>
        <v>52.6min</v>
      </c>
      <c r="H451">
        <f t="shared" si="38"/>
        <v>2.196283842078407E-4</v>
      </c>
      <c r="I451">
        <f t="shared" si="39"/>
        <v>0</v>
      </c>
      <c r="J451">
        <f t="shared" si="40"/>
        <v>0</v>
      </c>
      <c r="K451" t="str">
        <f t="shared" si="41"/>
        <v>As70</v>
      </c>
    </row>
    <row r="452" spans="2:11" hidden="1" x14ac:dyDescent="0.2">
      <c r="B452" s="4">
        <v>33071</v>
      </c>
      <c r="C452" s="4">
        <v>0</v>
      </c>
      <c r="D452">
        <v>0</v>
      </c>
      <c r="E452" t="str">
        <f>VLOOKUP(B452,[1]Nuclides!A:E,5,FALSE)</f>
        <v>As71</v>
      </c>
      <c r="F452">
        <f>VLOOKUP(B452,[1]Nuclides!A:E,4,FALSE)</f>
        <v>235080</v>
      </c>
      <c r="G452" t="str">
        <f t="shared" si="37"/>
        <v>2.72d</v>
      </c>
      <c r="H452">
        <f t="shared" si="38"/>
        <v>2.9485587058020475E-6</v>
      </c>
      <c r="I452">
        <f t="shared" si="39"/>
        <v>0</v>
      </c>
      <c r="J452">
        <f t="shared" si="40"/>
        <v>0</v>
      </c>
      <c r="K452" t="str">
        <f t="shared" si="41"/>
        <v>As71</v>
      </c>
    </row>
    <row r="453" spans="2:11" hidden="1" x14ac:dyDescent="0.2">
      <c r="B453" s="4">
        <v>33072</v>
      </c>
      <c r="C453" s="4">
        <v>0</v>
      </c>
      <c r="D453">
        <v>0</v>
      </c>
      <c r="E453" t="str">
        <f>VLOOKUP(B453,[1]Nuclides!A:E,5,FALSE)</f>
        <v>As72</v>
      </c>
      <c r="F453">
        <f>VLOOKUP(B453,[1]Nuclides!A:E,4,FALSE)</f>
        <v>93600</v>
      </c>
      <c r="G453" t="str">
        <f t="shared" ref="G453:G516" si="42">IF(F453="STABLE", "STABLE", IF(F453&lt;60, F453&amp;"s", IF(F453&lt;3600, ROUND(F453/60,2)&amp;"min", IF(F453&lt;86400, ROUND(F453/3600,2)&amp;"h", IF(F453&lt;31536000, ROUND(F453/86400,2)&amp;"d", ROUND(F453/31536000,2)&amp;"y")))))</f>
        <v>1.08d</v>
      </c>
      <c r="H453">
        <f t="shared" ref="H453:H516" si="43">LN(2)/F453</f>
        <v>7.4054185957259116E-6</v>
      </c>
      <c r="I453">
        <f t="shared" ref="I453:I516" si="44">60*6240000000000*C453*(1-EXP(-H453*2*3600))</f>
        <v>0</v>
      </c>
      <c r="J453">
        <f t="shared" ref="J453:J516" si="45">I453*EXP(-H453*96*3600)</f>
        <v>0</v>
      </c>
      <c r="K453" t="str">
        <f t="shared" ref="K453:K516" si="46">E453</f>
        <v>As72</v>
      </c>
    </row>
    <row r="454" spans="2:11" hidden="1" x14ac:dyDescent="0.2">
      <c r="B454" s="4">
        <v>33073</v>
      </c>
      <c r="C454" s="4">
        <v>0</v>
      </c>
      <c r="D454">
        <v>0</v>
      </c>
      <c r="E454" t="str">
        <f>VLOOKUP(B454,[1]Nuclides!A:E,5,FALSE)</f>
        <v>As73</v>
      </c>
      <c r="F454">
        <f>VLOOKUP(B454,[1]Nuclides!A:E,4,FALSE)</f>
        <v>6937920</v>
      </c>
      <c r="G454" t="str">
        <f t="shared" si="42"/>
        <v>80.3d</v>
      </c>
      <c r="H454">
        <f t="shared" si="43"/>
        <v>9.9907058680403535E-8</v>
      </c>
      <c r="I454">
        <f t="shared" si="44"/>
        <v>0</v>
      </c>
      <c r="J454">
        <f t="shared" si="45"/>
        <v>0</v>
      </c>
      <c r="K454" t="str">
        <f t="shared" si="46"/>
        <v>As73</v>
      </c>
    </row>
    <row r="455" spans="2:11" hidden="1" x14ac:dyDescent="0.2">
      <c r="B455" s="4">
        <v>33074</v>
      </c>
      <c r="C455" s="4">
        <v>0</v>
      </c>
      <c r="D455">
        <v>0</v>
      </c>
      <c r="E455" t="str">
        <f>VLOOKUP(B455,[1]Nuclides!A:E,5,FALSE)</f>
        <v>As74</v>
      </c>
      <c r="F455">
        <f>VLOOKUP(B455,[1]Nuclides!A:E,4,FALSE)</f>
        <v>1535328</v>
      </c>
      <c r="G455" t="str">
        <f t="shared" si="42"/>
        <v>17.77d</v>
      </c>
      <c r="H455">
        <f t="shared" si="43"/>
        <v>4.5146521170716959E-7</v>
      </c>
      <c r="I455">
        <f t="shared" si="44"/>
        <v>0</v>
      </c>
      <c r="J455">
        <f t="shared" si="45"/>
        <v>0</v>
      </c>
      <c r="K455" t="str">
        <f t="shared" si="46"/>
        <v>As74</v>
      </c>
    </row>
    <row r="456" spans="2:11" hidden="1" x14ac:dyDescent="0.2">
      <c r="B456" s="4">
        <v>33075</v>
      </c>
      <c r="C456" s="4">
        <v>0</v>
      </c>
      <c r="D456">
        <v>0</v>
      </c>
      <c r="E456" t="str">
        <f>VLOOKUP(B456,[1]Nuclides!A:E,5,FALSE)</f>
        <v>As75</v>
      </c>
      <c r="F456" t="str">
        <f>VLOOKUP(B456,[1]Nuclides!A:E,4,FALSE)</f>
        <v>STABLE</v>
      </c>
      <c r="G456" t="str">
        <f t="shared" si="42"/>
        <v>STABLE</v>
      </c>
      <c r="H456" t="e">
        <f t="shared" si="43"/>
        <v>#VALUE!</v>
      </c>
      <c r="I456" t="e">
        <f t="shared" si="44"/>
        <v>#VALUE!</v>
      </c>
      <c r="J456" t="e">
        <f t="shared" si="45"/>
        <v>#VALUE!</v>
      </c>
      <c r="K456" t="str">
        <f t="shared" si="46"/>
        <v>As75</v>
      </c>
    </row>
    <row r="457" spans="2:11" hidden="1" x14ac:dyDescent="0.2">
      <c r="B457" s="4">
        <v>33076</v>
      </c>
      <c r="C457" s="4">
        <v>0</v>
      </c>
      <c r="D457">
        <v>0</v>
      </c>
      <c r="E457" t="str">
        <f>VLOOKUP(B457,[1]Nuclides!A:E,5,FALSE)</f>
        <v>As76</v>
      </c>
      <c r="F457">
        <f>VLOOKUP(B457,[1]Nuclides!A:E,4,FALSE)</f>
        <v>94538.880000000005</v>
      </c>
      <c r="G457" t="str">
        <f t="shared" si="42"/>
        <v>1.09d</v>
      </c>
      <c r="H457">
        <f t="shared" si="43"/>
        <v>7.3318742570246785E-6</v>
      </c>
      <c r="I457">
        <f t="shared" si="44"/>
        <v>0</v>
      </c>
      <c r="J457">
        <f t="shared" si="45"/>
        <v>0</v>
      </c>
      <c r="K457" t="str">
        <f t="shared" si="46"/>
        <v>As76</v>
      </c>
    </row>
    <row r="458" spans="2:11" hidden="1" x14ac:dyDescent="0.2">
      <c r="B458" s="4">
        <v>33077</v>
      </c>
      <c r="C458" s="4">
        <v>0</v>
      </c>
      <c r="D458">
        <v>0</v>
      </c>
      <c r="E458" t="str">
        <f>VLOOKUP(B458,[1]Nuclides!A:E,5,FALSE)</f>
        <v>As77</v>
      </c>
      <c r="F458">
        <f>VLOOKUP(B458,[1]Nuclides!A:E,4,FALSE)</f>
        <v>139788</v>
      </c>
      <c r="G458" t="str">
        <f t="shared" si="42"/>
        <v>1.62d</v>
      </c>
      <c r="H458">
        <f t="shared" si="43"/>
        <v>4.958559966234192E-6</v>
      </c>
      <c r="I458">
        <f t="shared" si="44"/>
        <v>0</v>
      </c>
      <c r="J458">
        <f t="shared" si="45"/>
        <v>0</v>
      </c>
      <c r="K458" t="str">
        <f t="shared" si="46"/>
        <v>As77</v>
      </c>
    </row>
    <row r="459" spans="2:11" hidden="1" x14ac:dyDescent="0.2">
      <c r="B459" s="4">
        <v>33078</v>
      </c>
      <c r="C459" s="4">
        <v>0</v>
      </c>
      <c r="D459">
        <v>0</v>
      </c>
      <c r="E459" t="str">
        <f>VLOOKUP(B459,[1]Nuclides!A:E,5,FALSE)</f>
        <v>As78</v>
      </c>
      <c r="F459">
        <f>VLOOKUP(B459,[1]Nuclides!A:E,4,FALSE)</f>
        <v>5442</v>
      </c>
      <c r="G459" t="str">
        <f t="shared" si="42"/>
        <v>1.51h</v>
      </c>
      <c r="H459">
        <f t="shared" si="43"/>
        <v>1.2736993395074335E-4</v>
      </c>
      <c r="I459">
        <f t="shared" si="44"/>
        <v>0</v>
      </c>
      <c r="J459">
        <f t="shared" si="45"/>
        <v>0</v>
      </c>
      <c r="K459" t="str">
        <f t="shared" si="46"/>
        <v>As78</v>
      </c>
    </row>
    <row r="460" spans="2:11" hidden="1" x14ac:dyDescent="0.2">
      <c r="B460" s="4">
        <v>33079</v>
      </c>
      <c r="C460" s="4">
        <v>0</v>
      </c>
      <c r="D460">
        <v>0</v>
      </c>
      <c r="E460" t="str">
        <f>VLOOKUP(B460,[1]Nuclides!A:E,5,FALSE)</f>
        <v>As79</v>
      </c>
      <c r="F460">
        <f>VLOOKUP(B460,[1]Nuclides!A:E,4,FALSE)</f>
        <v>540.6</v>
      </c>
      <c r="G460" t="str">
        <f t="shared" si="42"/>
        <v>9.01min</v>
      </c>
      <c r="H460">
        <f t="shared" si="43"/>
        <v>1.2821812440990479E-3</v>
      </c>
      <c r="I460">
        <f t="shared" si="44"/>
        <v>0</v>
      </c>
      <c r="J460">
        <f t="shared" si="45"/>
        <v>0</v>
      </c>
      <c r="K460" t="str">
        <f t="shared" si="46"/>
        <v>As79</v>
      </c>
    </row>
    <row r="461" spans="2:11" hidden="1" x14ac:dyDescent="0.2">
      <c r="B461" s="4">
        <v>33080</v>
      </c>
      <c r="C461" s="4">
        <v>0</v>
      </c>
      <c r="D461">
        <v>0</v>
      </c>
      <c r="E461" t="str">
        <f>VLOOKUP(B461,[1]Nuclides!A:E,5,FALSE)</f>
        <v>As80</v>
      </c>
      <c r="F461">
        <f>VLOOKUP(B461,[1]Nuclides!A:E,4,FALSE)</f>
        <v>15.2</v>
      </c>
      <c r="G461" t="str">
        <f t="shared" si="42"/>
        <v>15.2s</v>
      </c>
      <c r="H461">
        <f t="shared" si="43"/>
        <v>4.5601788194733248E-2</v>
      </c>
      <c r="I461">
        <f t="shared" si="44"/>
        <v>0</v>
      </c>
      <c r="J461">
        <f t="shared" si="45"/>
        <v>0</v>
      </c>
      <c r="K461" t="str">
        <f t="shared" si="46"/>
        <v>As80</v>
      </c>
    </row>
    <row r="462" spans="2:11" hidden="1" x14ac:dyDescent="0.2">
      <c r="B462" s="4">
        <v>33081</v>
      </c>
      <c r="C462" s="4">
        <v>0</v>
      </c>
      <c r="D462">
        <v>0</v>
      </c>
      <c r="E462" t="str">
        <f>VLOOKUP(B462,[1]Nuclides!A:E,5,FALSE)</f>
        <v>As81</v>
      </c>
      <c r="F462">
        <f>VLOOKUP(B462,[1]Nuclides!A:E,4,FALSE)</f>
        <v>33.299999999999997</v>
      </c>
      <c r="G462" t="str">
        <f t="shared" si="42"/>
        <v>33.3s</v>
      </c>
      <c r="H462">
        <f t="shared" si="43"/>
        <v>2.0815230647445806E-2</v>
      </c>
      <c r="I462">
        <f t="shared" si="44"/>
        <v>0</v>
      </c>
      <c r="J462">
        <f t="shared" si="45"/>
        <v>0</v>
      </c>
      <c r="K462" t="str">
        <f t="shared" si="46"/>
        <v>As81</v>
      </c>
    </row>
    <row r="463" spans="2:11" hidden="1" x14ac:dyDescent="0.2">
      <c r="B463" s="4">
        <v>33082</v>
      </c>
      <c r="C463" s="4">
        <v>0</v>
      </c>
      <c r="D463">
        <v>0</v>
      </c>
      <c r="E463" t="str">
        <f>VLOOKUP(B463,[1]Nuclides!A:E,5,FALSE)</f>
        <v>As82</v>
      </c>
      <c r="F463">
        <f>VLOOKUP(B463,[1]Nuclides!A:E,4,FALSE)</f>
        <v>19.100000000000001</v>
      </c>
      <c r="G463" t="str">
        <f t="shared" si="42"/>
        <v>19.1s</v>
      </c>
      <c r="H463">
        <f t="shared" si="43"/>
        <v>3.6290428301567812E-2</v>
      </c>
      <c r="I463">
        <f t="shared" si="44"/>
        <v>0</v>
      </c>
      <c r="J463">
        <f t="shared" si="45"/>
        <v>0</v>
      </c>
      <c r="K463" t="str">
        <f t="shared" si="46"/>
        <v>As82</v>
      </c>
    </row>
    <row r="464" spans="2:11" hidden="1" x14ac:dyDescent="0.2">
      <c r="B464" s="4">
        <v>33083</v>
      </c>
      <c r="C464" s="4">
        <v>0</v>
      </c>
      <c r="D464">
        <v>0</v>
      </c>
      <c r="E464" t="str">
        <f>VLOOKUP(B464,[1]Nuclides!A:E,5,FALSE)</f>
        <v>As83</v>
      </c>
      <c r="F464">
        <f>VLOOKUP(B464,[1]Nuclides!A:E,4,FALSE)</f>
        <v>13.4</v>
      </c>
      <c r="G464" t="str">
        <f t="shared" si="42"/>
        <v>13.4s</v>
      </c>
      <c r="H464">
        <f t="shared" si="43"/>
        <v>5.1727401534324272E-2</v>
      </c>
      <c r="I464">
        <f t="shared" si="44"/>
        <v>0</v>
      </c>
      <c r="J464">
        <f t="shared" si="45"/>
        <v>0</v>
      </c>
      <c r="K464" t="str">
        <f t="shared" si="46"/>
        <v>As83</v>
      </c>
    </row>
    <row r="465" spans="2:11" hidden="1" x14ac:dyDescent="0.2">
      <c r="B465" s="4">
        <v>33084</v>
      </c>
      <c r="C465" s="4">
        <v>0</v>
      </c>
      <c r="D465">
        <v>0</v>
      </c>
      <c r="E465" t="str">
        <f>VLOOKUP(B465,[1]Nuclides!A:E,5,FALSE)</f>
        <v>As84</v>
      </c>
      <c r="F465">
        <f>VLOOKUP(B465,[1]Nuclides!A:E,4,FALSE)</f>
        <v>4.0199999999999996</v>
      </c>
      <c r="G465" t="str">
        <f t="shared" si="42"/>
        <v>4.02s</v>
      </c>
      <c r="H465">
        <f t="shared" si="43"/>
        <v>0.17242467178108092</v>
      </c>
      <c r="I465">
        <f t="shared" si="44"/>
        <v>0</v>
      </c>
      <c r="J465">
        <f t="shared" si="45"/>
        <v>0</v>
      </c>
      <c r="K465" t="str">
        <f t="shared" si="46"/>
        <v>As84</v>
      </c>
    </row>
    <row r="466" spans="2:11" hidden="1" x14ac:dyDescent="0.2">
      <c r="B466" s="4">
        <v>33085</v>
      </c>
      <c r="C466" s="4">
        <v>0</v>
      </c>
      <c r="D466">
        <v>0</v>
      </c>
      <c r="E466" t="str">
        <f>VLOOKUP(B466,[1]Nuclides!A:E,5,FALSE)</f>
        <v>As85</v>
      </c>
      <c r="F466">
        <f>VLOOKUP(B466,[1]Nuclides!A:E,4,FALSE)</f>
        <v>2.0209999999999999</v>
      </c>
      <c r="G466" t="str">
        <f t="shared" si="42"/>
        <v>2.021s</v>
      </c>
      <c r="H466">
        <f t="shared" si="43"/>
        <v>0.34297238028695959</v>
      </c>
      <c r="I466">
        <f t="shared" si="44"/>
        <v>0</v>
      </c>
      <c r="J466">
        <f t="shared" si="45"/>
        <v>0</v>
      </c>
      <c r="K466" t="str">
        <f t="shared" si="46"/>
        <v>As85</v>
      </c>
    </row>
    <row r="467" spans="2:11" hidden="1" x14ac:dyDescent="0.2">
      <c r="B467" s="4">
        <v>33086</v>
      </c>
      <c r="C467" s="4">
        <v>0</v>
      </c>
      <c r="D467">
        <v>0</v>
      </c>
      <c r="E467" t="str">
        <f>VLOOKUP(B467,[1]Nuclides!A:E,5,FALSE)</f>
        <v>As86</v>
      </c>
      <c r="F467">
        <f>VLOOKUP(B467,[1]Nuclides!A:E,4,FALSE)</f>
        <v>0.94499999999999995</v>
      </c>
      <c r="G467" t="str">
        <f t="shared" si="42"/>
        <v>0.945s</v>
      </c>
      <c r="H467">
        <f t="shared" si="43"/>
        <v>0.73348907995761414</v>
      </c>
      <c r="I467">
        <f t="shared" si="44"/>
        <v>0</v>
      </c>
      <c r="J467">
        <f t="shared" si="45"/>
        <v>0</v>
      </c>
      <c r="K467" t="str">
        <f t="shared" si="46"/>
        <v>As86</v>
      </c>
    </row>
    <row r="468" spans="2:11" hidden="1" x14ac:dyDescent="0.2">
      <c r="B468" s="4">
        <v>33087</v>
      </c>
      <c r="C468" s="4">
        <v>0</v>
      </c>
      <c r="D468">
        <v>0</v>
      </c>
      <c r="E468" t="str">
        <f>VLOOKUP(B468,[1]Nuclides!A:E,5,FALSE)</f>
        <v>As87</v>
      </c>
      <c r="F468">
        <f>VLOOKUP(B468,[1]Nuclides!A:E,4,FALSE)</f>
        <v>0.48399999999999999</v>
      </c>
      <c r="G468" t="str">
        <f t="shared" si="42"/>
        <v>0.484s</v>
      </c>
      <c r="H468">
        <f t="shared" si="43"/>
        <v>1.4321222738841846</v>
      </c>
      <c r="I468">
        <f t="shared" si="44"/>
        <v>0</v>
      </c>
      <c r="J468">
        <f t="shared" si="45"/>
        <v>0</v>
      </c>
      <c r="K468" t="str">
        <f t="shared" si="46"/>
        <v>As87</v>
      </c>
    </row>
    <row r="469" spans="2:11" hidden="1" x14ac:dyDescent="0.2">
      <c r="B469" s="4">
        <v>34068</v>
      </c>
      <c r="C469" s="4">
        <v>0</v>
      </c>
      <c r="D469">
        <v>0</v>
      </c>
      <c r="E469" t="str">
        <f>VLOOKUP(B469,[1]Nuclides!A:E,5,FALSE)</f>
        <v>Se68</v>
      </c>
      <c r="F469">
        <f>VLOOKUP(B469,[1]Nuclides!A:E,4,FALSE)</f>
        <v>35.5</v>
      </c>
      <c r="G469" t="str">
        <f t="shared" si="42"/>
        <v>35.5s</v>
      </c>
      <c r="H469">
        <f t="shared" si="43"/>
        <v>1.9525272691829444E-2</v>
      </c>
      <c r="I469">
        <f t="shared" si="44"/>
        <v>0</v>
      </c>
      <c r="J469">
        <f t="shared" si="45"/>
        <v>0</v>
      </c>
      <c r="K469" t="str">
        <f t="shared" si="46"/>
        <v>Se68</v>
      </c>
    </row>
    <row r="470" spans="2:11" hidden="1" x14ac:dyDescent="0.2">
      <c r="B470" s="4">
        <v>34069</v>
      </c>
      <c r="C470" s="4">
        <v>0</v>
      </c>
      <c r="D470">
        <v>0</v>
      </c>
      <c r="E470" t="str">
        <f>VLOOKUP(B470,[1]Nuclides!A:E,5,FALSE)</f>
        <v>Se69</v>
      </c>
      <c r="F470">
        <f>VLOOKUP(B470,[1]Nuclides!A:E,4,FALSE)</f>
        <v>27.4</v>
      </c>
      <c r="G470" t="str">
        <f t="shared" si="42"/>
        <v>27.4s</v>
      </c>
      <c r="H470">
        <f t="shared" si="43"/>
        <v>2.5297342356202384E-2</v>
      </c>
      <c r="I470">
        <f t="shared" si="44"/>
        <v>0</v>
      </c>
      <c r="J470">
        <f t="shared" si="45"/>
        <v>0</v>
      </c>
      <c r="K470" t="str">
        <f t="shared" si="46"/>
        <v>Se69</v>
      </c>
    </row>
    <row r="471" spans="2:11" hidden="1" x14ac:dyDescent="0.2">
      <c r="B471" s="4">
        <v>34070</v>
      </c>
      <c r="C471" s="4">
        <v>0</v>
      </c>
      <c r="D471">
        <v>0</v>
      </c>
      <c r="E471" t="str">
        <f>VLOOKUP(B471,[1]Nuclides!A:E,5,FALSE)</f>
        <v>Se70</v>
      </c>
      <c r="F471">
        <f>VLOOKUP(B471,[1]Nuclides!A:E,4,FALSE)</f>
        <v>2466</v>
      </c>
      <c r="G471" t="str">
        <f t="shared" si="42"/>
        <v>41.1min</v>
      </c>
      <c r="H471">
        <f t="shared" si="43"/>
        <v>2.8108158173558204E-4</v>
      </c>
      <c r="I471">
        <f t="shared" si="44"/>
        <v>0</v>
      </c>
      <c r="J471">
        <f t="shared" si="45"/>
        <v>0</v>
      </c>
      <c r="K471" t="str">
        <f t="shared" si="46"/>
        <v>Se70</v>
      </c>
    </row>
    <row r="472" spans="2:11" hidden="1" x14ac:dyDescent="0.2">
      <c r="B472" s="4">
        <v>34071</v>
      </c>
      <c r="C472" s="4">
        <v>0</v>
      </c>
      <c r="D472">
        <v>0</v>
      </c>
      <c r="E472" t="str">
        <f>VLOOKUP(B472,[1]Nuclides!A:E,5,FALSE)</f>
        <v>Se71</v>
      </c>
      <c r="F472">
        <f>VLOOKUP(B472,[1]Nuclides!A:E,4,FALSE)</f>
        <v>284.39999999999998</v>
      </c>
      <c r="G472" t="str">
        <f t="shared" si="42"/>
        <v>4.74min</v>
      </c>
      <c r="H472">
        <f t="shared" si="43"/>
        <v>2.4372263732768823E-3</v>
      </c>
      <c r="I472">
        <f t="shared" si="44"/>
        <v>0</v>
      </c>
      <c r="J472">
        <f t="shared" si="45"/>
        <v>0</v>
      </c>
      <c r="K472" t="str">
        <f t="shared" si="46"/>
        <v>Se71</v>
      </c>
    </row>
    <row r="473" spans="2:11" hidden="1" x14ac:dyDescent="0.2">
      <c r="B473" s="4">
        <v>34072</v>
      </c>
      <c r="C473" s="4">
        <v>0</v>
      </c>
      <c r="D473">
        <v>0</v>
      </c>
      <c r="E473" t="str">
        <f>VLOOKUP(B473,[1]Nuclides!A:E,5,FALSE)</f>
        <v>Se72</v>
      </c>
      <c r="F473">
        <f>VLOOKUP(B473,[1]Nuclides!A:E,4,FALSE)</f>
        <v>725760</v>
      </c>
      <c r="G473" t="str">
        <f t="shared" si="42"/>
        <v>8.4d</v>
      </c>
      <c r="H473">
        <f t="shared" si="43"/>
        <v>9.5506390619481007E-7</v>
      </c>
      <c r="I473">
        <f t="shared" si="44"/>
        <v>0</v>
      </c>
      <c r="J473">
        <f t="shared" si="45"/>
        <v>0</v>
      </c>
      <c r="K473" t="str">
        <f t="shared" si="46"/>
        <v>Se72</v>
      </c>
    </row>
    <row r="474" spans="2:11" hidden="1" x14ac:dyDescent="0.2">
      <c r="B474" s="4">
        <v>34073</v>
      </c>
      <c r="C474" s="4">
        <v>0</v>
      </c>
      <c r="D474">
        <v>0</v>
      </c>
      <c r="E474" t="str">
        <f>VLOOKUP(B474,[1]Nuclides!A:E,5,FALSE)</f>
        <v>Se73</v>
      </c>
      <c r="F474">
        <f>VLOOKUP(B474,[1]Nuclides!A:E,4,FALSE)</f>
        <v>25740</v>
      </c>
      <c r="G474" t="str">
        <f t="shared" si="42"/>
        <v>7.15h</v>
      </c>
      <c r="H474">
        <f t="shared" si="43"/>
        <v>2.6928794893548767E-5</v>
      </c>
      <c r="I474">
        <f t="shared" si="44"/>
        <v>0</v>
      </c>
      <c r="J474">
        <f t="shared" si="45"/>
        <v>0</v>
      </c>
      <c r="K474" t="str">
        <f t="shared" si="46"/>
        <v>Se73</v>
      </c>
    </row>
    <row r="475" spans="2:11" hidden="1" x14ac:dyDescent="0.2">
      <c r="B475" s="4">
        <v>34074</v>
      </c>
      <c r="C475" s="4">
        <v>0</v>
      </c>
      <c r="D475">
        <v>0</v>
      </c>
      <c r="E475" t="str">
        <f>VLOOKUP(B475,[1]Nuclides!A:E,5,FALSE)</f>
        <v>Se74</v>
      </c>
      <c r="F475" t="str">
        <f>VLOOKUP(B475,[1]Nuclides!A:E,4,FALSE)</f>
        <v>STABLE</v>
      </c>
      <c r="G475" t="str">
        <f t="shared" si="42"/>
        <v>STABLE</v>
      </c>
      <c r="H475" t="e">
        <f t="shared" si="43"/>
        <v>#VALUE!</v>
      </c>
      <c r="I475" t="e">
        <f t="shared" si="44"/>
        <v>#VALUE!</v>
      </c>
      <c r="J475" t="e">
        <f t="shared" si="45"/>
        <v>#VALUE!</v>
      </c>
      <c r="K475" t="str">
        <f t="shared" si="46"/>
        <v>Se74</v>
      </c>
    </row>
    <row r="476" spans="2:11" hidden="1" x14ac:dyDescent="0.2">
      <c r="B476" s="4">
        <v>34075</v>
      </c>
      <c r="C476" s="4">
        <v>0</v>
      </c>
      <c r="D476">
        <v>0</v>
      </c>
      <c r="E476" t="str">
        <f>VLOOKUP(B476,[1]Nuclides!A:E,5,FALSE)</f>
        <v>Se75</v>
      </c>
      <c r="F476">
        <f>VLOOKUP(B476,[1]Nuclides!A:E,4,FALSE)</f>
        <v>10348992</v>
      </c>
      <c r="G476" t="str">
        <f t="shared" si="42"/>
        <v>119.78d</v>
      </c>
      <c r="H476">
        <f t="shared" si="43"/>
        <v>6.6977265086294909E-8</v>
      </c>
      <c r="I476">
        <f t="shared" si="44"/>
        <v>0</v>
      </c>
      <c r="J476">
        <f t="shared" si="45"/>
        <v>0</v>
      </c>
      <c r="K476" t="str">
        <f t="shared" si="46"/>
        <v>Se75</v>
      </c>
    </row>
    <row r="477" spans="2:11" hidden="1" x14ac:dyDescent="0.2">
      <c r="B477" s="4">
        <v>34076</v>
      </c>
      <c r="C477" s="4">
        <v>0</v>
      </c>
      <c r="D477">
        <v>0</v>
      </c>
      <c r="E477" t="str">
        <f>VLOOKUP(B477,[1]Nuclides!A:E,5,FALSE)</f>
        <v>Se76</v>
      </c>
      <c r="F477" t="str">
        <f>VLOOKUP(B477,[1]Nuclides!A:E,4,FALSE)</f>
        <v>STABLE</v>
      </c>
      <c r="G477" t="str">
        <f t="shared" si="42"/>
        <v>STABLE</v>
      </c>
      <c r="H477" t="e">
        <f t="shared" si="43"/>
        <v>#VALUE!</v>
      </c>
      <c r="I477" t="e">
        <f t="shared" si="44"/>
        <v>#VALUE!</v>
      </c>
      <c r="J477" t="e">
        <f t="shared" si="45"/>
        <v>#VALUE!</v>
      </c>
      <c r="K477" t="str">
        <f t="shared" si="46"/>
        <v>Se76</v>
      </c>
    </row>
    <row r="478" spans="2:11" hidden="1" x14ac:dyDescent="0.2">
      <c r="B478" s="4">
        <v>34077</v>
      </c>
      <c r="C478" s="4">
        <v>0</v>
      </c>
      <c r="D478">
        <v>0</v>
      </c>
      <c r="E478" t="str">
        <f>VLOOKUP(B478,[1]Nuclides!A:E,5,FALSE)</f>
        <v>Se77</v>
      </c>
      <c r="F478" t="str">
        <f>VLOOKUP(B478,[1]Nuclides!A:E,4,FALSE)</f>
        <v>STABLE</v>
      </c>
      <c r="G478" t="str">
        <f t="shared" si="42"/>
        <v>STABLE</v>
      </c>
      <c r="H478" t="e">
        <f t="shared" si="43"/>
        <v>#VALUE!</v>
      </c>
      <c r="I478" t="e">
        <f t="shared" si="44"/>
        <v>#VALUE!</v>
      </c>
      <c r="J478" t="e">
        <f t="shared" si="45"/>
        <v>#VALUE!</v>
      </c>
      <c r="K478" t="str">
        <f t="shared" si="46"/>
        <v>Se77</v>
      </c>
    </row>
    <row r="479" spans="2:11" hidden="1" x14ac:dyDescent="0.2">
      <c r="B479" s="4">
        <v>34078</v>
      </c>
      <c r="C479" s="4">
        <v>0</v>
      </c>
      <c r="D479">
        <v>0</v>
      </c>
      <c r="E479" t="str">
        <f>VLOOKUP(B479,[1]Nuclides!A:E,5,FALSE)</f>
        <v>Se78</v>
      </c>
      <c r="F479" t="str">
        <f>VLOOKUP(B479,[1]Nuclides!A:E,4,FALSE)</f>
        <v>STABLE</v>
      </c>
      <c r="G479" t="str">
        <f t="shared" si="42"/>
        <v>STABLE</v>
      </c>
      <c r="H479" t="e">
        <f t="shared" si="43"/>
        <v>#VALUE!</v>
      </c>
      <c r="I479" t="e">
        <f t="shared" si="44"/>
        <v>#VALUE!</v>
      </c>
      <c r="J479" t="e">
        <f t="shared" si="45"/>
        <v>#VALUE!</v>
      </c>
      <c r="K479" t="str">
        <f t="shared" si="46"/>
        <v>Se78</v>
      </c>
    </row>
    <row r="480" spans="2:11" hidden="1" x14ac:dyDescent="0.2">
      <c r="B480" s="4">
        <v>34079</v>
      </c>
      <c r="C480" s="4">
        <v>0</v>
      </c>
      <c r="D480">
        <v>0</v>
      </c>
      <c r="E480" t="str">
        <f>VLOOKUP(B480,[1]Nuclides!A:E,5,FALSE)</f>
        <v>Se79</v>
      </c>
      <c r="F480">
        <f>VLOOKUP(B480,[1]Nuclides!A:E,4,FALSE)</f>
        <v>10287777600000</v>
      </c>
      <c r="G480" t="str">
        <f t="shared" si="42"/>
        <v>326223.29y</v>
      </c>
      <c r="H480">
        <f t="shared" si="43"/>
        <v>6.7375793636902231E-14</v>
      </c>
      <c r="I480">
        <f t="shared" si="44"/>
        <v>0</v>
      </c>
      <c r="J480">
        <f t="shared" si="45"/>
        <v>0</v>
      </c>
      <c r="K480" t="str">
        <f t="shared" si="46"/>
        <v>Se79</v>
      </c>
    </row>
    <row r="481" spans="2:11" hidden="1" x14ac:dyDescent="0.2">
      <c r="B481" s="4">
        <v>34080</v>
      </c>
      <c r="C481" s="4">
        <v>0</v>
      </c>
      <c r="D481">
        <v>0</v>
      </c>
      <c r="E481" t="str">
        <f>VLOOKUP(B481,[1]Nuclides!A:E,5,FALSE)</f>
        <v>Se80</v>
      </c>
      <c r="F481" t="str">
        <f>VLOOKUP(B481,[1]Nuclides!A:E,4,FALSE)</f>
        <v>STABLE</v>
      </c>
      <c r="G481" t="str">
        <f t="shared" si="42"/>
        <v>STABLE</v>
      </c>
      <c r="H481" t="e">
        <f t="shared" si="43"/>
        <v>#VALUE!</v>
      </c>
      <c r="I481" t="e">
        <f t="shared" si="44"/>
        <v>#VALUE!</v>
      </c>
      <c r="J481" t="e">
        <f t="shared" si="45"/>
        <v>#VALUE!</v>
      </c>
      <c r="K481" t="str">
        <f t="shared" si="46"/>
        <v>Se80</v>
      </c>
    </row>
    <row r="482" spans="2:11" hidden="1" x14ac:dyDescent="0.2">
      <c r="B482" s="4">
        <v>34081</v>
      </c>
      <c r="C482" s="4">
        <v>0</v>
      </c>
      <c r="D482">
        <v>0</v>
      </c>
      <c r="E482" t="str">
        <f>VLOOKUP(B482,[1]Nuclides!A:E,5,FALSE)</f>
        <v>Se81</v>
      </c>
      <c r="F482">
        <f>VLOOKUP(B482,[1]Nuclides!A:E,4,FALSE)</f>
        <v>1107</v>
      </c>
      <c r="G482" t="str">
        <f t="shared" si="42"/>
        <v>18.45min</v>
      </c>
      <c r="H482">
        <f t="shared" si="43"/>
        <v>6.261492145979632E-4</v>
      </c>
      <c r="I482">
        <f t="shared" si="44"/>
        <v>0</v>
      </c>
      <c r="J482">
        <f t="shared" si="45"/>
        <v>0</v>
      </c>
      <c r="K482" t="str">
        <f t="shared" si="46"/>
        <v>Se81</v>
      </c>
    </row>
    <row r="483" spans="2:11" hidden="1" x14ac:dyDescent="0.2">
      <c r="B483" s="4">
        <v>34082</v>
      </c>
      <c r="C483" s="4">
        <v>0</v>
      </c>
      <c r="D483">
        <v>0</v>
      </c>
      <c r="E483" t="str">
        <f>VLOOKUP(B483,[1]Nuclides!A:E,5,FALSE)</f>
        <v>Se82</v>
      </c>
      <c r="F483" t="str">
        <f>VLOOKUP(B483,[1]Nuclides!A:E,4,FALSE)</f>
        <v>STABLE</v>
      </c>
      <c r="G483" t="str">
        <f t="shared" si="42"/>
        <v>STABLE</v>
      </c>
      <c r="H483" t="e">
        <f t="shared" si="43"/>
        <v>#VALUE!</v>
      </c>
      <c r="I483" t="e">
        <f t="shared" si="44"/>
        <v>#VALUE!</v>
      </c>
      <c r="J483" t="e">
        <f t="shared" si="45"/>
        <v>#VALUE!</v>
      </c>
      <c r="K483" t="str">
        <f t="shared" si="46"/>
        <v>Se82</v>
      </c>
    </row>
    <row r="484" spans="2:11" hidden="1" x14ac:dyDescent="0.2">
      <c r="B484" s="4">
        <v>34083</v>
      </c>
      <c r="C484" s="4">
        <v>0</v>
      </c>
      <c r="D484">
        <v>0</v>
      </c>
      <c r="E484" t="str">
        <f>VLOOKUP(B484,[1]Nuclides!A:E,5,FALSE)</f>
        <v>Se83</v>
      </c>
      <c r="F484">
        <f>VLOOKUP(B484,[1]Nuclides!A:E,4,FALSE)</f>
        <v>1335</v>
      </c>
      <c r="G484" t="str">
        <f t="shared" si="42"/>
        <v>22.25min</v>
      </c>
      <c r="H484">
        <f t="shared" si="43"/>
        <v>5.192113712059515E-4</v>
      </c>
      <c r="I484">
        <f t="shared" si="44"/>
        <v>0</v>
      </c>
      <c r="J484">
        <f t="shared" si="45"/>
        <v>0</v>
      </c>
      <c r="K484" t="str">
        <f t="shared" si="46"/>
        <v>Se83</v>
      </c>
    </row>
    <row r="485" spans="2:11" hidden="1" x14ac:dyDescent="0.2">
      <c r="B485" s="4">
        <v>34084</v>
      </c>
      <c r="C485" s="4">
        <v>0</v>
      </c>
      <c r="D485">
        <v>0</v>
      </c>
      <c r="E485" t="str">
        <f>VLOOKUP(B485,[1]Nuclides!A:E,5,FALSE)</f>
        <v>Se84</v>
      </c>
      <c r="F485">
        <f>VLOOKUP(B485,[1]Nuclides!A:E,4,FALSE)</f>
        <v>195.6</v>
      </c>
      <c r="G485" t="str">
        <f t="shared" si="42"/>
        <v>3.26min</v>
      </c>
      <c r="H485">
        <f t="shared" si="43"/>
        <v>3.5436972421265095E-3</v>
      </c>
      <c r="I485">
        <f t="shared" si="44"/>
        <v>0</v>
      </c>
      <c r="J485">
        <f t="shared" si="45"/>
        <v>0</v>
      </c>
      <c r="K485" t="str">
        <f t="shared" si="46"/>
        <v>Se84</v>
      </c>
    </row>
    <row r="486" spans="2:11" hidden="1" x14ac:dyDescent="0.2">
      <c r="B486" s="4">
        <v>34085</v>
      </c>
      <c r="C486" s="4">
        <v>0</v>
      </c>
      <c r="D486">
        <v>0</v>
      </c>
      <c r="E486" t="str">
        <f>VLOOKUP(B486,[1]Nuclides!A:E,5,FALSE)</f>
        <v>Se85</v>
      </c>
      <c r="F486">
        <f>VLOOKUP(B486,[1]Nuclides!A:E,4,FALSE)</f>
        <v>32.9</v>
      </c>
      <c r="G486" t="str">
        <f t="shared" si="42"/>
        <v>32.9s</v>
      </c>
      <c r="H486">
        <f t="shared" si="43"/>
        <v>2.106830336048466E-2</v>
      </c>
      <c r="I486">
        <f t="shared" si="44"/>
        <v>0</v>
      </c>
      <c r="J486">
        <f t="shared" si="45"/>
        <v>0</v>
      </c>
      <c r="K486" t="str">
        <f t="shared" si="46"/>
        <v>Se85</v>
      </c>
    </row>
    <row r="487" spans="2:11" hidden="1" x14ac:dyDescent="0.2">
      <c r="B487" s="4">
        <v>34086</v>
      </c>
      <c r="C487" s="4">
        <v>0</v>
      </c>
      <c r="D487">
        <v>0</v>
      </c>
      <c r="E487" t="str">
        <f>VLOOKUP(B487,[1]Nuclides!A:E,5,FALSE)</f>
        <v>Se86</v>
      </c>
      <c r="F487">
        <f>VLOOKUP(B487,[1]Nuclides!A:E,4,FALSE)</f>
        <v>14.3</v>
      </c>
      <c r="G487" t="str">
        <f t="shared" si="42"/>
        <v>14.3s</v>
      </c>
      <c r="H487">
        <f t="shared" si="43"/>
        <v>4.8471830808387781E-2</v>
      </c>
      <c r="I487">
        <f t="shared" si="44"/>
        <v>0</v>
      </c>
      <c r="J487">
        <f t="shared" si="45"/>
        <v>0</v>
      </c>
      <c r="K487" t="str">
        <f t="shared" si="46"/>
        <v>Se86</v>
      </c>
    </row>
    <row r="488" spans="2:11" hidden="1" x14ac:dyDescent="0.2">
      <c r="B488" s="4">
        <v>34087</v>
      </c>
      <c r="C488" s="4">
        <v>0</v>
      </c>
      <c r="D488">
        <v>0</v>
      </c>
      <c r="E488" t="str">
        <f>VLOOKUP(B488,[1]Nuclides!A:E,5,FALSE)</f>
        <v>Se87</v>
      </c>
      <c r="F488">
        <f>VLOOKUP(B488,[1]Nuclides!A:E,4,FALSE)</f>
        <v>5.5</v>
      </c>
      <c r="G488" t="str">
        <f t="shared" si="42"/>
        <v>5.5s</v>
      </c>
      <c r="H488">
        <f t="shared" si="43"/>
        <v>0.12602676010180824</v>
      </c>
      <c r="I488">
        <f t="shared" si="44"/>
        <v>0</v>
      </c>
      <c r="J488">
        <f t="shared" si="45"/>
        <v>0</v>
      </c>
      <c r="K488" t="str">
        <f t="shared" si="46"/>
        <v>Se87</v>
      </c>
    </row>
    <row r="489" spans="2:11" hidden="1" x14ac:dyDescent="0.2">
      <c r="B489" s="4">
        <v>34088</v>
      </c>
      <c r="C489" s="4">
        <v>0</v>
      </c>
      <c r="D489">
        <v>0</v>
      </c>
      <c r="E489" t="str">
        <f>VLOOKUP(B489,[1]Nuclides!A:E,5,FALSE)</f>
        <v>Se88</v>
      </c>
      <c r="F489">
        <f>VLOOKUP(B489,[1]Nuclides!A:E,4,FALSE)</f>
        <v>1.53</v>
      </c>
      <c r="G489" t="str">
        <f t="shared" si="42"/>
        <v>1.53s</v>
      </c>
      <c r="H489">
        <f t="shared" si="43"/>
        <v>0.45303737291499691</v>
      </c>
      <c r="I489">
        <f t="shared" si="44"/>
        <v>0</v>
      </c>
      <c r="J489">
        <f t="shared" si="45"/>
        <v>0</v>
      </c>
      <c r="K489" t="str">
        <f t="shared" si="46"/>
        <v>Se88</v>
      </c>
    </row>
    <row r="490" spans="2:11" hidden="1" x14ac:dyDescent="0.2">
      <c r="B490" s="4">
        <v>34089</v>
      </c>
      <c r="C490" s="4">
        <v>0</v>
      </c>
      <c r="D490">
        <v>0</v>
      </c>
      <c r="E490" t="str">
        <f>VLOOKUP(B490,[1]Nuclides!A:E,5,FALSE)</f>
        <v>Se89</v>
      </c>
      <c r="F490">
        <f>VLOOKUP(B490,[1]Nuclides!A:E,4,FALSE)</f>
        <v>0.43</v>
      </c>
      <c r="G490" t="str">
        <f t="shared" si="42"/>
        <v>0.43s</v>
      </c>
      <c r="H490">
        <f t="shared" si="43"/>
        <v>1.61197018734871</v>
      </c>
      <c r="I490">
        <f t="shared" si="44"/>
        <v>0</v>
      </c>
      <c r="J490">
        <f t="shared" si="45"/>
        <v>0</v>
      </c>
      <c r="K490" t="str">
        <f t="shared" si="46"/>
        <v>Se89</v>
      </c>
    </row>
    <row r="491" spans="2:11" hidden="1" x14ac:dyDescent="0.2">
      <c r="B491" s="4">
        <v>34090</v>
      </c>
      <c r="C491" s="4">
        <v>0</v>
      </c>
      <c r="D491">
        <v>0</v>
      </c>
      <c r="E491" t="str">
        <f>VLOOKUP(B491,[1]Nuclides!A:E,5,FALSE)</f>
        <v>Se90</v>
      </c>
      <c r="F491">
        <f>VLOOKUP(B491,[1]Nuclides!A:E,4,FALSE)</f>
        <v>0.19500000000000001</v>
      </c>
      <c r="G491" t="str">
        <f t="shared" si="42"/>
        <v>0.195s</v>
      </c>
      <c r="H491">
        <f t="shared" si="43"/>
        <v>3.5546009259484372</v>
      </c>
      <c r="I491">
        <f t="shared" si="44"/>
        <v>0</v>
      </c>
      <c r="J491">
        <f t="shared" si="45"/>
        <v>0</v>
      </c>
      <c r="K491" t="str">
        <f t="shared" si="46"/>
        <v>Se90</v>
      </c>
    </row>
    <row r="492" spans="2:11" hidden="1" x14ac:dyDescent="0.2">
      <c r="B492" s="4">
        <v>34091</v>
      </c>
      <c r="C492" s="4">
        <v>0</v>
      </c>
      <c r="D492">
        <v>0</v>
      </c>
      <c r="E492" t="str">
        <f>VLOOKUP(B492,[1]Nuclides!A:E,5,FALSE)</f>
        <v>Se91</v>
      </c>
      <c r="F492">
        <f>VLOOKUP(B492,[1]Nuclides!A:E,4,FALSE)</f>
        <v>0.27</v>
      </c>
      <c r="G492" t="str">
        <f t="shared" si="42"/>
        <v>0.27s</v>
      </c>
      <c r="H492">
        <f t="shared" si="43"/>
        <v>2.5672117798516489</v>
      </c>
      <c r="I492">
        <f t="shared" si="44"/>
        <v>0</v>
      </c>
      <c r="J492">
        <f t="shared" si="45"/>
        <v>0</v>
      </c>
      <c r="K492" t="str">
        <f t="shared" si="46"/>
        <v>Se91</v>
      </c>
    </row>
    <row r="493" spans="2:11" hidden="1" x14ac:dyDescent="0.2">
      <c r="B493" s="4">
        <v>35070</v>
      </c>
      <c r="C493" s="4">
        <v>0</v>
      </c>
      <c r="D493">
        <v>0</v>
      </c>
      <c r="E493" t="str">
        <f>VLOOKUP(B493,[1]Nuclides!A:E,5,FALSE)</f>
        <v>Br70</v>
      </c>
      <c r="F493">
        <f>VLOOKUP(B493,[1]Nuclides!A:E,4,FALSE)</f>
        <v>7.9099999999999906E-2</v>
      </c>
      <c r="G493" t="str">
        <f t="shared" si="42"/>
        <v>0.0790999999999999s</v>
      </c>
      <c r="H493">
        <f t="shared" si="43"/>
        <v>8.7629226366617718</v>
      </c>
      <c r="I493">
        <f t="shared" si="44"/>
        <v>0</v>
      </c>
      <c r="J493">
        <f t="shared" si="45"/>
        <v>0</v>
      </c>
      <c r="K493" t="str">
        <f t="shared" si="46"/>
        <v>Br70</v>
      </c>
    </row>
    <row r="494" spans="2:11" hidden="1" x14ac:dyDescent="0.2">
      <c r="B494" s="4">
        <v>35071</v>
      </c>
      <c r="C494" s="4">
        <v>0</v>
      </c>
      <c r="D494">
        <v>0</v>
      </c>
      <c r="E494" t="str">
        <f>VLOOKUP(B494,[1]Nuclides!A:E,5,FALSE)</f>
        <v>Br71</v>
      </c>
      <c r="F494">
        <f>VLOOKUP(B494,[1]Nuclides!A:E,4,FALSE)</f>
        <v>21.4</v>
      </c>
      <c r="G494" t="str">
        <f t="shared" si="42"/>
        <v>21.4s</v>
      </c>
      <c r="H494">
        <f t="shared" si="43"/>
        <v>3.2390055166352585E-2</v>
      </c>
      <c r="I494">
        <f t="shared" si="44"/>
        <v>0</v>
      </c>
      <c r="J494">
        <f t="shared" si="45"/>
        <v>0</v>
      </c>
      <c r="K494" t="str">
        <f t="shared" si="46"/>
        <v>Br71</v>
      </c>
    </row>
    <row r="495" spans="2:11" hidden="1" x14ac:dyDescent="0.2">
      <c r="B495" s="4">
        <v>35072</v>
      </c>
      <c r="C495" s="4">
        <v>0</v>
      </c>
      <c r="D495">
        <v>0</v>
      </c>
      <c r="E495" t="str">
        <f>VLOOKUP(B495,[1]Nuclides!A:E,5,FALSE)</f>
        <v>Br72</v>
      </c>
      <c r="F495">
        <f>VLOOKUP(B495,[1]Nuclides!A:E,4,FALSE)</f>
        <v>78.599999999999994</v>
      </c>
      <c r="G495" t="str">
        <f t="shared" si="42"/>
        <v>1.31min</v>
      </c>
      <c r="H495">
        <f t="shared" si="43"/>
        <v>8.818666419337727E-3</v>
      </c>
      <c r="I495">
        <f t="shared" si="44"/>
        <v>0</v>
      </c>
      <c r="J495">
        <f t="shared" si="45"/>
        <v>0</v>
      </c>
      <c r="K495" t="str">
        <f t="shared" si="46"/>
        <v>Br72</v>
      </c>
    </row>
    <row r="496" spans="2:11" hidden="1" x14ac:dyDescent="0.2">
      <c r="B496" s="4">
        <v>35073</v>
      </c>
      <c r="C496" s="4">
        <v>0</v>
      </c>
      <c r="D496">
        <v>0</v>
      </c>
      <c r="E496" t="str">
        <f>VLOOKUP(B496,[1]Nuclides!A:E,5,FALSE)</f>
        <v>Br73</v>
      </c>
      <c r="F496">
        <f>VLOOKUP(B496,[1]Nuclides!A:E,4,FALSE)</f>
        <v>204</v>
      </c>
      <c r="G496" t="str">
        <f t="shared" si="42"/>
        <v>3.4min</v>
      </c>
      <c r="H496">
        <f t="shared" si="43"/>
        <v>3.3977802968624769E-3</v>
      </c>
      <c r="I496">
        <f t="shared" si="44"/>
        <v>0</v>
      </c>
      <c r="J496">
        <f t="shared" si="45"/>
        <v>0</v>
      </c>
      <c r="K496" t="str">
        <f t="shared" si="46"/>
        <v>Br73</v>
      </c>
    </row>
    <row r="497" spans="2:11" hidden="1" x14ac:dyDescent="0.2">
      <c r="B497" s="4">
        <v>35074</v>
      </c>
      <c r="C497" s="4">
        <v>0</v>
      </c>
      <c r="D497">
        <v>0</v>
      </c>
      <c r="E497" t="str">
        <f>VLOOKUP(B497,[1]Nuclides!A:E,5,FALSE)</f>
        <v>Br74</v>
      </c>
      <c r="F497">
        <f>VLOOKUP(B497,[1]Nuclides!A:E,4,FALSE)</f>
        <v>1524</v>
      </c>
      <c r="G497" t="str">
        <f t="shared" si="42"/>
        <v>25.4min</v>
      </c>
      <c r="H497">
        <f t="shared" si="43"/>
        <v>4.5482098461938666E-4</v>
      </c>
      <c r="I497">
        <f t="shared" si="44"/>
        <v>0</v>
      </c>
      <c r="J497">
        <f t="shared" si="45"/>
        <v>0</v>
      </c>
      <c r="K497" t="str">
        <f t="shared" si="46"/>
        <v>Br74</v>
      </c>
    </row>
    <row r="498" spans="2:11" hidden="1" x14ac:dyDescent="0.2">
      <c r="B498" s="4">
        <v>35075</v>
      </c>
      <c r="C498" s="4">
        <v>0</v>
      </c>
      <c r="D498">
        <v>0</v>
      </c>
      <c r="E498" t="str">
        <f>VLOOKUP(B498,[1]Nuclides!A:E,5,FALSE)</f>
        <v>Br75</v>
      </c>
      <c r="F498">
        <f>VLOOKUP(B498,[1]Nuclides!A:E,4,FALSE)</f>
        <v>5802</v>
      </c>
      <c r="G498" t="str">
        <f t="shared" si="42"/>
        <v>1.61h</v>
      </c>
      <c r="H498">
        <f t="shared" si="43"/>
        <v>1.1946693908306538E-4</v>
      </c>
      <c r="I498">
        <f t="shared" si="44"/>
        <v>0</v>
      </c>
      <c r="J498">
        <f t="shared" si="45"/>
        <v>0</v>
      </c>
      <c r="K498" t="str">
        <f t="shared" si="46"/>
        <v>Br75</v>
      </c>
    </row>
    <row r="499" spans="2:11" hidden="1" x14ac:dyDescent="0.2">
      <c r="B499" s="4">
        <v>35076</v>
      </c>
      <c r="C499" s="4">
        <v>0</v>
      </c>
      <c r="D499">
        <v>0</v>
      </c>
      <c r="E499" t="str">
        <f>VLOOKUP(B499,[1]Nuclides!A:E,5,FALSE)</f>
        <v>Br76</v>
      </c>
      <c r="F499">
        <f>VLOOKUP(B499,[1]Nuclides!A:E,4,FALSE)</f>
        <v>58320</v>
      </c>
      <c r="G499" t="str">
        <f t="shared" si="42"/>
        <v>16.2h</v>
      </c>
      <c r="H499">
        <f t="shared" si="43"/>
        <v>1.1885239721535413E-5</v>
      </c>
      <c r="I499">
        <f t="shared" si="44"/>
        <v>0</v>
      </c>
      <c r="J499">
        <f t="shared" si="45"/>
        <v>0</v>
      </c>
      <c r="K499" t="str">
        <f t="shared" si="46"/>
        <v>Br76</v>
      </c>
    </row>
    <row r="500" spans="2:11" hidden="1" x14ac:dyDescent="0.2">
      <c r="B500" s="4">
        <v>35077</v>
      </c>
      <c r="C500" s="4">
        <v>0</v>
      </c>
      <c r="D500">
        <v>0</v>
      </c>
      <c r="E500" t="str">
        <f>VLOOKUP(B500,[1]Nuclides!A:E,5,FALSE)</f>
        <v>Br77</v>
      </c>
      <c r="F500">
        <f>VLOOKUP(B500,[1]Nuclides!A:E,4,FALSE)</f>
        <v>205329.6</v>
      </c>
      <c r="G500" t="str">
        <f t="shared" si="42"/>
        <v>2.38d</v>
      </c>
      <c r="H500">
        <f t="shared" si="43"/>
        <v>3.3757781662261325E-6</v>
      </c>
      <c r="I500">
        <f t="shared" si="44"/>
        <v>0</v>
      </c>
      <c r="J500">
        <f t="shared" si="45"/>
        <v>0</v>
      </c>
      <c r="K500" t="str">
        <f t="shared" si="46"/>
        <v>Br77</v>
      </c>
    </row>
    <row r="501" spans="2:11" hidden="1" x14ac:dyDescent="0.2">
      <c r="B501" s="4">
        <v>35078</v>
      </c>
      <c r="C501" s="4">
        <v>0</v>
      </c>
      <c r="D501">
        <v>0</v>
      </c>
      <c r="E501" t="str">
        <f>VLOOKUP(B501,[1]Nuclides!A:E,5,FALSE)</f>
        <v>Br78</v>
      </c>
      <c r="F501">
        <f>VLOOKUP(B501,[1]Nuclides!A:E,4,FALSE)</f>
        <v>387</v>
      </c>
      <c r="G501" t="str">
        <f t="shared" si="42"/>
        <v>6.45min</v>
      </c>
      <c r="H501">
        <f t="shared" si="43"/>
        <v>1.7910779859430111E-3</v>
      </c>
      <c r="I501">
        <f t="shared" si="44"/>
        <v>0</v>
      </c>
      <c r="J501">
        <f t="shared" si="45"/>
        <v>0</v>
      </c>
      <c r="K501" t="str">
        <f t="shared" si="46"/>
        <v>Br78</v>
      </c>
    </row>
    <row r="502" spans="2:11" hidden="1" x14ac:dyDescent="0.2">
      <c r="B502" s="4">
        <v>35079</v>
      </c>
      <c r="C502" s="4">
        <v>0</v>
      </c>
      <c r="D502">
        <v>0</v>
      </c>
      <c r="E502" t="str">
        <f>VLOOKUP(B502,[1]Nuclides!A:E,5,FALSE)</f>
        <v>Br79</v>
      </c>
      <c r="F502" t="str">
        <f>VLOOKUP(B502,[1]Nuclides!A:E,4,FALSE)</f>
        <v>STABLE</v>
      </c>
      <c r="G502" t="str">
        <f t="shared" si="42"/>
        <v>STABLE</v>
      </c>
      <c r="H502" t="e">
        <f t="shared" si="43"/>
        <v>#VALUE!</v>
      </c>
      <c r="I502" t="e">
        <f t="shared" si="44"/>
        <v>#VALUE!</v>
      </c>
      <c r="J502" t="e">
        <f t="shared" si="45"/>
        <v>#VALUE!</v>
      </c>
      <c r="K502" t="str">
        <f t="shared" si="46"/>
        <v>Br79</v>
      </c>
    </row>
    <row r="503" spans="2:11" hidden="1" x14ac:dyDescent="0.2">
      <c r="B503" s="4">
        <v>35080</v>
      </c>
      <c r="C503" s="4">
        <v>0</v>
      </c>
      <c r="D503">
        <v>0</v>
      </c>
      <c r="E503" t="str">
        <f>VLOOKUP(B503,[1]Nuclides!A:E,5,FALSE)</f>
        <v>Br80</v>
      </c>
      <c r="F503">
        <f>VLOOKUP(B503,[1]Nuclides!A:E,4,FALSE)</f>
        <v>1060.8</v>
      </c>
      <c r="G503" t="str">
        <f t="shared" si="42"/>
        <v>17.68min</v>
      </c>
      <c r="H503">
        <f t="shared" si="43"/>
        <v>6.5341928785816864E-4</v>
      </c>
      <c r="I503">
        <f t="shared" si="44"/>
        <v>0</v>
      </c>
      <c r="J503">
        <f t="shared" si="45"/>
        <v>0</v>
      </c>
      <c r="K503" t="str">
        <f t="shared" si="46"/>
        <v>Br80</v>
      </c>
    </row>
    <row r="504" spans="2:11" hidden="1" x14ac:dyDescent="0.2">
      <c r="B504" s="4">
        <v>35081</v>
      </c>
      <c r="C504" s="4">
        <v>0</v>
      </c>
      <c r="D504">
        <v>0</v>
      </c>
      <c r="E504" t="str">
        <f>VLOOKUP(B504,[1]Nuclides!A:E,5,FALSE)</f>
        <v>Br81</v>
      </c>
      <c r="F504" t="str">
        <f>VLOOKUP(B504,[1]Nuclides!A:E,4,FALSE)</f>
        <v>STABLE</v>
      </c>
      <c r="G504" t="str">
        <f t="shared" si="42"/>
        <v>STABLE</v>
      </c>
      <c r="H504" t="e">
        <f t="shared" si="43"/>
        <v>#VALUE!</v>
      </c>
      <c r="I504" t="e">
        <f t="shared" si="44"/>
        <v>#VALUE!</v>
      </c>
      <c r="J504" t="e">
        <f t="shared" si="45"/>
        <v>#VALUE!</v>
      </c>
      <c r="K504" t="str">
        <f t="shared" si="46"/>
        <v>Br81</v>
      </c>
    </row>
    <row r="505" spans="2:11" hidden="1" x14ac:dyDescent="0.2">
      <c r="B505" s="4">
        <v>35082</v>
      </c>
      <c r="C505" s="4">
        <v>0</v>
      </c>
      <c r="D505">
        <v>0</v>
      </c>
      <c r="E505" t="str">
        <f>VLOOKUP(B505,[1]Nuclides!A:E,5,FALSE)</f>
        <v>Br82</v>
      </c>
      <c r="F505">
        <f>VLOOKUP(B505,[1]Nuclides!A:E,4,FALSE)</f>
        <v>127015.19999999899</v>
      </c>
      <c r="G505" t="str">
        <f t="shared" si="42"/>
        <v>1.47d</v>
      </c>
      <c r="H505">
        <f t="shared" si="43"/>
        <v>5.4571986703949669E-6</v>
      </c>
      <c r="I505">
        <f t="shared" si="44"/>
        <v>0</v>
      </c>
      <c r="J505">
        <f t="shared" si="45"/>
        <v>0</v>
      </c>
      <c r="K505" t="str">
        <f t="shared" si="46"/>
        <v>Br82</v>
      </c>
    </row>
    <row r="506" spans="2:11" hidden="1" x14ac:dyDescent="0.2">
      <c r="B506" s="4">
        <v>35083</v>
      </c>
      <c r="C506" s="4">
        <v>0</v>
      </c>
      <c r="D506">
        <v>0</v>
      </c>
      <c r="E506" t="str">
        <f>VLOOKUP(B506,[1]Nuclides!A:E,5,FALSE)</f>
        <v>Br83</v>
      </c>
      <c r="F506">
        <f>VLOOKUP(B506,[1]Nuclides!A:E,4,FALSE)</f>
        <v>8546.4</v>
      </c>
      <c r="G506" t="str">
        <f t="shared" si="42"/>
        <v>2.37h</v>
      </c>
      <c r="H506">
        <f t="shared" si="43"/>
        <v>8.1103994729938379E-5</v>
      </c>
      <c r="I506">
        <f t="shared" si="44"/>
        <v>0</v>
      </c>
      <c r="J506">
        <f t="shared" si="45"/>
        <v>0</v>
      </c>
      <c r="K506" t="str">
        <f t="shared" si="46"/>
        <v>Br83</v>
      </c>
    </row>
    <row r="507" spans="2:11" hidden="1" x14ac:dyDescent="0.2">
      <c r="B507" s="4">
        <v>35084</v>
      </c>
      <c r="C507" s="4">
        <v>0</v>
      </c>
      <c r="D507">
        <v>0</v>
      </c>
      <c r="E507" t="str">
        <f>VLOOKUP(B507,[1]Nuclides!A:E,5,FALSE)</f>
        <v>Br84</v>
      </c>
      <c r="F507">
        <f>VLOOKUP(B507,[1]Nuclides!A:E,4,FALSE)</f>
        <v>1905.6</v>
      </c>
      <c r="G507" t="str">
        <f t="shared" si="42"/>
        <v>31.76min</v>
      </c>
      <c r="H507">
        <f t="shared" si="43"/>
        <v>3.6374222321575639E-4</v>
      </c>
      <c r="I507">
        <f t="shared" si="44"/>
        <v>0</v>
      </c>
      <c r="J507">
        <f t="shared" si="45"/>
        <v>0</v>
      </c>
      <c r="K507" t="str">
        <f t="shared" si="46"/>
        <v>Br84</v>
      </c>
    </row>
    <row r="508" spans="2:11" hidden="1" x14ac:dyDescent="0.2">
      <c r="B508" s="4">
        <v>35085</v>
      </c>
      <c r="C508" s="4">
        <v>0</v>
      </c>
      <c r="D508">
        <v>0</v>
      </c>
      <c r="E508" t="str">
        <f>VLOOKUP(B508,[1]Nuclides!A:E,5,FALSE)</f>
        <v>Br85</v>
      </c>
      <c r="F508">
        <f>VLOOKUP(B508,[1]Nuclides!A:E,4,FALSE)</f>
        <v>174</v>
      </c>
      <c r="G508" t="str">
        <f t="shared" si="42"/>
        <v>2.9min</v>
      </c>
      <c r="H508">
        <f t="shared" si="43"/>
        <v>3.9836044859766972E-3</v>
      </c>
      <c r="I508">
        <f t="shared" si="44"/>
        <v>0</v>
      </c>
      <c r="J508">
        <f t="shared" si="45"/>
        <v>0</v>
      </c>
      <c r="K508" t="str">
        <f t="shared" si="46"/>
        <v>Br85</v>
      </c>
    </row>
    <row r="509" spans="2:11" hidden="1" x14ac:dyDescent="0.2">
      <c r="B509" s="4">
        <v>35086</v>
      </c>
      <c r="C509" s="4">
        <v>0</v>
      </c>
      <c r="D509">
        <v>0</v>
      </c>
      <c r="E509" t="str">
        <f>VLOOKUP(B509,[1]Nuclides!A:E,5,FALSE)</f>
        <v>Br86</v>
      </c>
      <c r="F509">
        <f>VLOOKUP(B509,[1]Nuclides!A:E,4,FALSE)</f>
        <v>55.1</v>
      </c>
      <c r="G509" t="str">
        <f t="shared" si="42"/>
        <v>55.1s</v>
      </c>
      <c r="H509">
        <f t="shared" si="43"/>
        <v>1.2579803639926411E-2</v>
      </c>
      <c r="I509">
        <f t="shared" si="44"/>
        <v>0</v>
      </c>
      <c r="J509">
        <f t="shared" si="45"/>
        <v>0</v>
      </c>
      <c r="K509" t="str">
        <f t="shared" si="46"/>
        <v>Br86</v>
      </c>
    </row>
    <row r="510" spans="2:11" hidden="1" x14ac:dyDescent="0.2">
      <c r="B510" s="4">
        <v>35087</v>
      </c>
      <c r="C510" s="4">
        <v>0</v>
      </c>
      <c r="D510">
        <v>0</v>
      </c>
      <c r="E510" t="str">
        <f>VLOOKUP(B510,[1]Nuclides!A:E,5,FALSE)</f>
        <v>Br87</v>
      </c>
      <c r="F510">
        <f>VLOOKUP(B510,[1]Nuclides!A:E,4,FALSE)</f>
        <v>55.65</v>
      </c>
      <c r="G510" t="str">
        <f t="shared" si="42"/>
        <v>55.65s</v>
      </c>
      <c r="H510">
        <f t="shared" si="43"/>
        <v>1.2455474942676466E-2</v>
      </c>
      <c r="I510">
        <f t="shared" si="44"/>
        <v>0</v>
      </c>
      <c r="J510">
        <f t="shared" si="45"/>
        <v>0</v>
      </c>
      <c r="K510" t="str">
        <f t="shared" si="46"/>
        <v>Br87</v>
      </c>
    </row>
    <row r="511" spans="2:11" hidden="1" x14ac:dyDescent="0.2">
      <c r="B511" s="4">
        <v>35088</v>
      </c>
      <c r="C511" s="4">
        <v>0</v>
      </c>
      <c r="D511">
        <v>0</v>
      </c>
      <c r="E511" t="str">
        <f>VLOOKUP(B511,[1]Nuclides!A:E,5,FALSE)</f>
        <v>Br88</v>
      </c>
      <c r="F511">
        <f>VLOOKUP(B511,[1]Nuclides!A:E,4,FALSE)</f>
        <v>16.34</v>
      </c>
      <c r="G511" t="str">
        <f t="shared" si="42"/>
        <v>16.34s</v>
      </c>
      <c r="H511">
        <f t="shared" si="43"/>
        <v>4.242026808812395E-2</v>
      </c>
      <c r="I511">
        <f t="shared" si="44"/>
        <v>0</v>
      </c>
      <c r="J511">
        <f t="shared" si="45"/>
        <v>0</v>
      </c>
      <c r="K511" t="str">
        <f t="shared" si="46"/>
        <v>Br88</v>
      </c>
    </row>
    <row r="512" spans="2:11" hidden="1" x14ac:dyDescent="0.2">
      <c r="B512" s="4">
        <v>35089</v>
      </c>
      <c r="C512" s="4">
        <v>0</v>
      </c>
      <c r="D512">
        <v>0</v>
      </c>
      <c r="E512" t="str">
        <f>VLOOKUP(B512,[1]Nuclides!A:E,5,FALSE)</f>
        <v>Br89</v>
      </c>
      <c r="F512">
        <f>VLOOKUP(B512,[1]Nuclides!A:E,4,FALSE)</f>
        <v>4.3570000000000002</v>
      </c>
      <c r="G512" t="str">
        <f t="shared" si="42"/>
        <v>4.357s</v>
      </c>
      <c r="H512">
        <f t="shared" si="43"/>
        <v>0.15908817547852772</v>
      </c>
      <c r="I512">
        <f t="shared" si="44"/>
        <v>0</v>
      </c>
      <c r="J512">
        <f t="shared" si="45"/>
        <v>0</v>
      </c>
      <c r="K512" t="str">
        <f t="shared" si="46"/>
        <v>Br89</v>
      </c>
    </row>
    <row r="513" spans="2:11" hidden="1" x14ac:dyDescent="0.2">
      <c r="B513" s="4">
        <v>35090</v>
      </c>
      <c r="C513" s="4">
        <v>0</v>
      </c>
      <c r="D513">
        <v>0</v>
      </c>
      <c r="E513" t="str">
        <f>VLOOKUP(B513,[1]Nuclides!A:E,5,FALSE)</f>
        <v>Br90</v>
      </c>
      <c r="F513">
        <f>VLOOKUP(B513,[1]Nuclides!A:E,4,FALSE)</f>
        <v>1.92</v>
      </c>
      <c r="G513" t="str">
        <f t="shared" si="42"/>
        <v>1.92s</v>
      </c>
      <c r="H513">
        <f t="shared" si="43"/>
        <v>0.36101415654163821</v>
      </c>
      <c r="I513">
        <f t="shared" si="44"/>
        <v>0</v>
      </c>
      <c r="J513">
        <f t="shared" si="45"/>
        <v>0</v>
      </c>
      <c r="K513" t="str">
        <f t="shared" si="46"/>
        <v>Br90</v>
      </c>
    </row>
    <row r="514" spans="2:11" hidden="1" x14ac:dyDescent="0.2">
      <c r="B514" s="4">
        <v>35091</v>
      </c>
      <c r="C514" s="4">
        <v>0</v>
      </c>
      <c r="D514">
        <v>0</v>
      </c>
      <c r="E514" t="str">
        <f>VLOOKUP(B514,[1]Nuclides!A:E,5,FALSE)</f>
        <v>Br91</v>
      </c>
      <c r="F514">
        <f>VLOOKUP(B514,[1]Nuclides!A:E,4,FALSE)</f>
        <v>0.54300000000000004</v>
      </c>
      <c r="G514" t="str">
        <f t="shared" si="42"/>
        <v>0.543s</v>
      </c>
      <c r="H514">
        <f t="shared" si="43"/>
        <v>1.2765141446776156</v>
      </c>
      <c r="I514">
        <f t="shared" si="44"/>
        <v>0</v>
      </c>
      <c r="J514">
        <f t="shared" si="45"/>
        <v>0</v>
      </c>
      <c r="K514" t="str">
        <f t="shared" si="46"/>
        <v>Br91</v>
      </c>
    </row>
    <row r="515" spans="2:11" hidden="1" x14ac:dyDescent="0.2">
      <c r="B515" s="4">
        <v>35092</v>
      </c>
      <c r="C515" s="4">
        <v>0</v>
      </c>
      <c r="D515">
        <v>0</v>
      </c>
      <c r="E515" t="str">
        <f>VLOOKUP(B515,[1]Nuclides!A:E,5,FALSE)</f>
        <v>Br92</v>
      </c>
      <c r="F515">
        <f>VLOOKUP(B515,[1]Nuclides!A:E,4,FALSE)</f>
        <v>0.314</v>
      </c>
      <c r="G515" t="str">
        <f t="shared" si="42"/>
        <v>0.314s</v>
      </c>
      <c r="H515">
        <f t="shared" si="43"/>
        <v>2.2074750973246666</v>
      </c>
      <c r="I515">
        <f t="shared" si="44"/>
        <v>0</v>
      </c>
      <c r="J515">
        <f t="shared" si="45"/>
        <v>0</v>
      </c>
      <c r="K515" t="str">
        <f t="shared" si="46"/>
        <v>Br92</v>
      </c>
    </row>
    <row r="516" spans="2:11" hidden="1" x14ac:dyDescent="0.2">
      <c r="B516" s="4">
        <v>36071</v>
      </c>
      <c r="C516" s="4">
        <v>0</v>
      </c>
      <c r="D516">
        <v>0</v>
      </c>
      <c r="E516" t="str">
        <f>VLOOKUP(B516,[1]Nuclides!A:E,5,FALSE)</f>
        <v>Kr71</v>
      </c>
      <c r="F516">
        <f>VLOOKUP(B516,[1]Nuclides!A:E,4,FALSE)</f>
        <v>0.1</v>
      </c>
      <c r="G516" t="str">
        <f t="shared" si="42"/>
        <v>0.1s</v>
      </c>
      <c r="H516">
        <f t="shared" si="43"/>
        <v>6.9314718055994522</v>
      </c>
      <c r="I516">
        <f t="shared" si="44"/>
        <v>0</v>
      </c>
      <c r="J516">
        <f t="shared" si="45"/>
        <v>0</v>
      </c>
      <c r="K516" t="str">
        <f t="shared" si="46"/>
        <v>Kr71</v>
      </c>
    </row>
    <row r="517" spans="2:11" hidden="1" x14ac:dyDescent="0.2">
      <c r="B517" s="4">
        <v>36072</v>
      </c>
      <c r="C517" s="4">
        <v>0</v>
      </c>
      <c r="D517">
        <v>0</v>
      </c>
      <c r="E517" t="str">
        <f>VLOOKUP(B517,[1]Nuclides!A:E,5,FALSE)</f>
        <v>Kr72</v>
      </c>
      <c r="F517">
        <f>VLOOKUP(B517,[1]Nuclides!A:E,4,FALSE)</f>
        <v>17.100000000000001</v>
      </c>
      <c r="G517" t="str">
        <f t="shared" ref="G517:G580" si="47">IF(F517="STABLE", "STABLE", IF(F517&lt;60, F517&amp;"s", IF(F517&lt;3600, ROUND(F517/60,2)&amp;"min", IF(F517&lt;86400, ROUND(F517/3600,2)&amp;"h", IF(F517&lt;31536000, ROUND(F517/86400,2)&amp;"d", ROUND(F517/31536000,2)&amp;"y")))))</f>
        <v>17.1s</v>
      </c>
      <c r="H517">
        <f t="shared" ref="H517:H580" si="48">LN(2)/F517</f>
        <v>4.0534922839762878E-2</v>
      </c>
      <c r="I517">
        <f t="shared" ref="I517:I580" si="49">60*6240000000000*C517*(1-EXP(-H517*2*3600))</f>
        <v>0</v>
      </c>
      <c r="J517">
        <f t="shared" ref="J517:J580" si="50">I517*EXP(-H517*96*3600)</f>
        <v>0</v>
      </c>
      <c r="K517" t="str">
        <f t="shared" ref="K517:K580" si="51">E517</f>
        <v>Kr72</v>
      </c>
    </row>
    <row r="518" spans="2:11" hidden="1" x14ac:dyDescent="0.2">
      <c r="B518" s="4">
        <v>36073</v>
      </c>
      <c r="C518" s="4">
        <v>0</v>
      </c>
      <c r="D518">
        <v>0</v>
      </c>
      <c r="E518" t="str">
        <f>VLOOKUP(B518,[1]Nuclides!A:E,5,FALSE)</f>
        <v>Kr73</v>
      </c>
      <c r="F518">
        <f>VLOOKUP(B518,[1]Nuclides!A:E,4,FALSE)</f>
        <v>27.3</v>
      </c>
      <c r="G518" t="str">
        <f t="shared" si="47"/>
        <v>27.3s</v>
      </c>
      <c r="H518">
        <f t="shared" si="48"/>
        <v>2.539000661391741E-2</v>
      </c>
      <c r="I518">
        <f t="shared" si="49"/>
        <v>0</v>
      </c>
      <c r="J518">
        <f t="shared" si="50"/>
        <v>0</v>
      </c>
      <c r="K518" t="str">
        <f t="shared" si="51"/>
        <v>Kr73</v>
      </c>
    </row>
    <row r="519" spans="2:11" hidden="1" x14ac:dyDescent="0.2">
      <c r="B519" s="4">
        <v>36074</v>
      </c>
      <c r="C519" s="4">
        <v>0</v>
      </c>
      <c r="D519">
        <v>0</v>
      </c>
      <c r="E519" t="str">
        <f>VLOOKUP(B519,[1]Nuclides!A:E,5,FALSE)</f>
        <v>Kr74</v>
      </c>
      <c r="F519">
        <f>VLOOKUP(B519,[1]Nuclides!A:E,4,FALSE)</f>
        <v>690</v>
      </c>
      <c r="G519" t="str">
        <f t="shared" si="47"/>
        <v>11.5min</v>
      </c>
      <c r="H519">
        <f t="shared" si="48"/>
        <v>1.0045611312462974E-3</v>
      </c>
      <c r="I519">
        <f t="shared" si="49"/>
        <v>0</v>
      </c>
      <c r="J519">
        <f t="shared" si="50"/>
        <v>0</v>
      </c>
      <c r="K519" t="str">
        <f t="shared" si="51"/>
        <v>Kr74</v>
      </c>
    </row>
    <row r="520" spans="2:11" hidden="1" x14ac:dyDescent="0.2">
      <c r="B520" s="4">
        <v>36075</v>
      </c>
      <c r="C520" s="4">
        <v>0</v>
      </c>
      <c r="D520">
        <v>0</v>
      </c>
      <c r="E520" t="str">
        <f>VLOOKUP(B520,[1]Nuclides!A:E,5,FALSE)</f>
        <v>Kr75</v>
      </c>
      <c r="F520">
        <f>VLOOKUP(B520,[1]Nuclides!A:E,4,FALSE)</f>
        <v>276</v>
      </c>
      <c r="G520" t="str">
        <f t="shared" si="47"/>
        <v>4.6min</v>
      </c>
      <c r="H520">
        <f t="shared" si="48"/>
        <v>2.5114028281157438E-3</v>
      </c>
      <c r="I520">
        <f t="shared" si="49"/>
        <v>0</v>
      </c>
      <c r="J520">
        <f t="shared" si="50"/>
        <v>0</v>
      </c>
      <c r="K520" t="str">
        <f t="shared" si="51"/>
        <v>Kr75</v>
      </c>
    </row>
    <row r="521" spans="2:11" hidden="1" x14ac:dyDescent="0.2">
      <c r="B521" s="4">
        <v>36076</v>
      </c>
      <c r="C521" s="4">
        <v>0</v>
      </c>
      <c r="D521">
        <v>0</v>
      </c>
      <c r="E521" t="str">
        <f>VLOOKUP(B521,[1]Nuclides!A:E,5,FALSE)</f>
        <v>Kr76</v>
      </c>
      <c r="F521">
        <f>VLOOKUP(B521,[1]Nuclides!A:E,4,FALSE)</f>
        <v>53280</v>
      </c>
      <c r="G521" t="str">
        <f t="shared" si="47"/>
        <v>14.8h</v>
      </c>
      <c r="H521">
        <f t="shared" si="48"/>
        <v>1.3009519154653629E-5</v>
      </c>
      <c r="I521">
        <f t="shared" si="49"/>
        <v>0</v>
      </c>
      <c r="J521">
        <f t="shared" si="50"/>
        <v>0</v>
      </c>
      <c r="K521" t="str">
        <f t="shared" si="51"/>
        <v>Kr76</v>
      </c>
    </row>
    <row r="522" spans="2:11" hidden="1" x14ac:dyDescent="0.2">
      <c r="B522" s="4">
        <v>36077</v>
      </c>
      <c r="C522" s="4">
        <v>0</v>
      </c>
      <c r="D522">
        <v>0</v>
      </c>
      <c r="E522" t="str">
        <f>VLOOKUP(B522,[1]Nuclides!A:E,5,FALSE)</f>
        <v>Kr77</v>
      </c>
      <c r="F522">
        <f>VLOOKUP(B522,[1]Nuclides!A:E,4,FALSE)</f>
        <v>4464</v>
      </c>
      <c r="G522" t="str">
        <f t="shared" si="47"/>
        <v>1.24h</v>
      </c>
      <c r="H522">
        <f t="shared" si="48"/>
        <v>1.5527490603941426E-4</v>
      </c>
      <c r="I522">
        <f t="shared" si="49"/>
        <v>0</v>
      </c>
      <c r="J522">
        <f t="shared" si="50"/>
        <v>0</v>
      </c>
      <c r="K522" t="str">
        <f t="shared" si="51"/>
        <v>Kr77</v>
      </c>
    </row>
    <row r="523" spans="2:11" hidden="1" x14ac:dyDescent="0.2">
      <c r="B523" s="4">
        <v>36078</v>
      </c>
      <c r="C523" s="4">
        <v>0</v>
      </c>
      <c r="D523">
        <v>0</v>
      </c>
      <c r="E523" t="str">
        <f>VLOOKUP(B523,[1]Nuclides!A:E,5,FALSE)</f>
        <v>Kr78</v>
      </c>
      <c r="F523">
        <f>VLOOKUP(B523,[1]Nuclides!A:E,4,FALSE)</f>
        <v>4.73364E+28</v>
      </c>
      <c r="G523" t="str">
        <f t="shared" si="47"/>
        <v>1.50102739726027E+21y</v>
      </c>
      <c r="H523">
        <f t="shared" si="48"/>
        <v>1.4643005817086752E-29</v>
      </c>
      <c r="I523">
        <f t="shared" si="49"/>
        <v>0</v>
      </c>
      <c r="J523">
        <f t="shared" si="50"/>
        <v>0</v>
      </c>
      <c r="K523" t="str">
        <f t="shared" si="51"/>
        <v>Kr78</v>
      </c>
    </row>
    <row r="524" spans="2:11" hidden="1" x14ac:dyDescent="0.2">
      <c r="B524" s="4">
        <v>36079</v>
      </c>
      <c r="C524" s="4">
        <v>0</v>
      </c>
      <c r="D524">
        <v>0</v>
      </c>
      <c r="E524" t="str">
        <f>VLOOKUP(B524,[1]Nuclides!A:E,5,FALSE)</f>
        <v>Kr79</v>
      </c>
      <c r="F524">
        <f>VLOOKUP(B524,[1]Nuclides!A:E,4,FALSE)</f>
        <v>126144</v>
      </c>
      <c r="G524" t="str">
        <f t="shared" si="47"/>
        <v>1.46d</v>
      </c>
      <c r="H524">
        <f t="shared" si="48"/>
        <v>5.4948882274221945E-6</v>
      </c>
      <c r="I524">
        <f t="shared" si="49"/>
        <v>0</v>
      </c>
      <c r="J524">
        <f t="shared" si="50"/>
        <v>0</v>
      </c>
      <c r="K524" t="str">
        <f t="shared" si="51"/>
        <v>Kr79</v>
      </c>
    </row>
    <row r="525" spans="2:11" hidden="1" x14ac:dyDescent="0.2">
      <c r="B525" s="4">
        <v>36080</v>
      </c>
      <c r="C525" s="4">
        <v>0</v>
      </c>
      <c r="D525">
        <v>0</v>
      </c>
      <c r="E525" t="str">
        <f>VLOOKUP(B525,[1]Nuclides!A:E,5,FALSE)</f>
        <v>Kr80</v>
      </c>
      <c r="F525" t="str">
        <f>VLOOKUP(B525,[1]Nuclides!A:E,4,FALSE)</f>
        <v>STABLE</v>
      </c>
      <c r="G525" t="str">
        <f t="shared" si="47"/>
        <v>STABLE</v>
      </c>
      <c r="H525" t="e">
        <f t="shared" si="48"/>
        <v>#VALUE!</v>
      </c>
      <c r="I525" t="e">
        <f t="shared" si="49"/>
        <v>#VALUE!</v>
      </c>
      <c r="J525" t="e">
        <f t="shared" si="50"/>
        <v>#VALUE!</v>
      </c>
      <c r="K525" t="str">
        <f t="shared" si="51"/>
        <v>Kr80</v>
      </c>
    </row>
    <row r="526" spans="2:11" hidden="1" x14ac:dyDescent="0.2">
      <c r="B526" s="4">
        <v>36081</v>
      </c>
      <c r="C526" s="4">
        <v>0</v>
      </c>
      <c r="D526">
        <v>0</v>
      </c>
      <c r="E526" t="str">
        <f>VLOOKUP(B526,[1]Nuclides!A:E,5,FALSE)</f>
        <v>Kr81</v>
      </c>
      <c r="F526">
        <f>VLOOKUP(B526,[1]Nuclides!A:E,4,FALSE)</f>
        <v>7226690400000</v>
      </c>
      <c r="G526" t="str">
        <f t="shared" si="47"/>
        <v>229156.85y</v>
      </c>
      <c r="H526">
        <f t="shared" si="48"/>
        <v>9.5914885264760377E-14</v>
      </c>
      <c r="I526">
        <f t="shared" si="49"/>
        <v>0</v>
      </c>
      <c r="J526">
        <f t="shared" si="50"/>
        <v>0</v>
      </c>
      <c r="K526" t="str">
        <f t="shared" si="51"/>
        <v>Kr81</v>
      </c>
    </row>
    <row r="527" spans="2:11" hidden="1" x14ac:dyDescent="0.2">
      <c r="B527" s="4">
        <v>36082</v>
      </c>
      <c r="C527" s="4">
        <v>0</v>
      </c>
      <c r="D527">
        <v>0</v>
      </c>
      <c r="E527" t="str">
        <f>VLOOKUP(B527,[1]Nuclides!A:E,5,FALSE)</f>
        <v>Kr82</v>
      </c>
      <c r="F527" t="str">
        <f>VLOOKUP(B527,[1]Nuclides!A:E,4,FALSE)</f>
        <v>STABLE</v>
      </c>
      <c r="G527" t="str">
        <f t="shared" si="47"/>
        <v>STABLE</v>
      </c>
      <c r="H527" t="e">
        <f t="shared" si="48"/>
        <v>#VALUE!</v>
      </c>
      <c r="I527" t="e">
        <f t="shared" si="49"/>
        <v>#VALUE!</v>
      </c>
      <c r="J527" t="e">
        <f t="shared" si="50"/>
        <v>#VALUE!</v>
      </c>
      <c r="K527" t="str">
        <f t="shared" si="51"/>
        <v>Kr82</v>
      </c>
    </row>
    <row r="528" spans="2:11" hidden="1" x14ac:dyDescent="0.2">
      <c r="B528" s="4">
        <v>36083</v>
      </c>
      <c r="C528" s="4">
        <v>0</v>
      </c>
      <c r="D528">
        <v>0</v>
      </c>
      <c r="E528" t="str">
        <f>VLOOKUP(B528,[1]Nuclides!A:E,5,FALSE)</f>
        <v>Kr83</v>
      </c>
      <c r="F528" t="str">
        <f>VLOOKUP(B528,[1]Nuclides!A:E,4,FALSE)</f>
        <v>STABLE</v>
      </c>
      <c r="G528" t="str">
        <f t="shared" si="47"/>
        <v>STABLE</v>
      </c>
      <c r="H528" t="e">
        <f t="shared" si="48"/>
        <v>#VALUE!</v>
      </c>
      <c r="I528" t="e">
        <f t="shared" si="49"/>
        <v>#VALUE!</v>
      </c>
      <c r="J528" t="e">
        <f t="shared" si="50"/>
        <v>#VALUE!</v>
      </c>
      <c r="K528" t="str">
        <f t="shared" si="51"/>
        <v>Kr83</v>
      </c>
    </row>
    <row r="529" spans="2:11" hidden="1" x14ac:dyDescent="0.2">
      <c r="B529" s="4">
        <v>36084</v>
      </c>
      <c r="C529" s="4">
        <v>0</v>
      </c>
      <c r="D529">
        <v>0</v>
      </c>
      <c r="E529" t="str">
        <f>VLOOKUP(B529,[1]Nuclides!A:E,5,FALSE)</f>
        <v>Kr84</v>
      </c>
      <c r="F529" t="str">
        <f>VLOOKUP(B529,[1]Nuclides!A:E,4,FALSE)</f>
        <v>STABLE</v>
      </c>
      <c r="G529" t="str">
        <f t="shared" si="47"/>
        <v>STABLE</v>
      </c>
      <c r="H529" t="e">
        <f t="shared" si="48"/>
        <v>#VALUE!</v>
      </c>
      <c r="I529" t="e">
        <f t="shared" si="49"/>
        <v>#VALUE!</v>
      </c>
      <c r="J529" t="e">
        <f t="shared" si="50"/>
        <v>#VALUE!</v>
      </c>
      <c r="K529" t="str">
        <f t="shared" si="51"/>
        <v>Kr84</v>
      </c>
    </row>
    <row r="530" spans="2:11" hidden="1" x14ac:dyDescent="0.2">
      <c r="B530" s="4">
        <v>36085</v>
      </c>
      <c r="C530" s="4">
        <v>0</v>
      </c>
      <c r="D530">
        <v>0</v>
      </c>
      <c r="E530" t="str">
        <f>VLOOKUP(B530,[1]Nuclides!A:E,5,FALSE)</f>
        <v>Kr85</v>
      </c>
      <c r="F530">
        <f>VLOOKUP(B530,[1]Nuclides!A:E,4,FALSE)</f>
        <v>338897066.39999998</v>
      </c>
      <c r="G530" t="str">
        <f t="shared" si="47"/>
        <v>10.75y</v>
      </c>
      <c r="H530">
        <f t="shared" si="48"/>
        <v>2.045302982179917E-9</v>
      </c>
      <c r="I530">
        <f t="shared" si="49"/>
        <v>0</v>
      </c>
      <c r="J530">
        <f t="shared" si="50"/>
        <v>0</v>
      </c>
      <c r="K530" t="str">
        <f t="shared" si="51"/>
        <v>Kr85</v>
      </c>
    </row>
    <row r="531" spans="2:11" hidden="1" x14ac:dyDescent="0.2">
      <c r="B531" s="4">
        <v>36086</v>
      </c>
      <c r="C531" s="4">
        <v>0</v>
      </c>
      <c r="D531">
        <v>0</v>
      </c>
      <c r="E531" t="str">
        <f>VLOOKUP(B531,[1]Nuclides!A:E,5,FALSE)</f>
        <v>Kr86</v>
      </c>
      <c r="F531" t="str">
        <f>VLOOKUP(B531,[1]Nuclides!A:E,4,FALSE)</f>
        <v>STABLE</v>
      </c>
      <c r="G531" t="str">
        <f t="shared" si="47"/>
        <v>STABLE</v>
      </c>
      <c r="H531" t="e">
        <f t="shared" si="48"/>
        <v>#VALUE!</v>
      </c>
      <c r="I531" t="e">
        <f t="shared" si="49"/>
        <v>#VALUE!</v>
      </c>
      <c r="J531" t="e">
        <f t="shared" si="50"/>
        <v>#VALUE!</v>
      </c>
      <c r="K531" t="str">
        <f t="shared" si="51"/>
        <v>Kr86</v>
      </c>
    </row>
    <row r="532" spans="2:11" hidden="1" x14ac:dyDescent="0.2">
      <c r="B532" s="4">
        <v>36087</v>
      </c>
      <c r="C532" s="4">
        <v>0</v>
      </c>
      <c r="D532">
        <v>0</v>
      </c>
      <c r="E532" t="str">
        <f>VLOOKUP(B532,[1]Nuclides!A:E,5,FALSE)</f>
        <v>Kr87</v>
      </c>
      <c r="F532">
        <f>VLOOKUP(B532,[1]Nuclides!A:E,4,FALSE)</f>
        <v>4578</v>
      </c>
      <c r="G532" t="str">
        <f t="shared" si="47"/>
        <v>1.27h</v>
      </c>
      <c r="H532">
        <f t="shared" si="48"/>
        <v>1.5140829632152584E-4</v>
      </c>
      <c r="I532">
        <f t="shared" si="49"/>
        <v>0</v>
      </c>
      <c r="J532">
        <f t="shared" si="50"/>
        <v>0</v>
      </c>
      <c r="K532" t="str">
        <f t="shared" si="51"/>
        <v>Kr87</v>
      </c>
    </row>
    <row r="533" spans="2:11" hidden="1" x14ac:dyDescent="0.2">
      <c r="B533" s="4">
        <v>36088</v>
      </c>
      <c r="C533" s="4">
        <v>0</v>
      </c>
      <c r="D533">
        <v>0</v>
      </c>
      <c r="E533" t="str">
        <f>VLOOKUP(B533,[1]Nuclides!A:E,5,FALSE)</f>
        <v>Kr88</v>
      </c>
      <c r="F533">
        <f>VLOOKUP(B533,[1]Nuclides!A:E,4,FALSE)</f>
        <v>10170</v>
      </c>
      <c r="G533" t="str">
        <f t="shared" si="47"/>
        <v>2.83h</v>
      </c>
      <c r="H533">
        <f t="shared" si="48"/>
        <v>6.8156064951813692E-5</v>
      </c>
      <c r="I533">
        <f t="shared" si="49"/>
        <v>0</v>
      </c>
      <c r="J533">
        <f t="shared" si="50"/>
        <v>0</v>
      </c>
      <c r="K533" t="str">
        <f t="shared" si="51"/>
        <v>Kr88</v>
      </c>
    </row>
    <row r="534" spans="2:11" hidden="1" x14ac:dyDescent="0.2">
      <c r="B534" s="4">
        <v>36089</v>
      </c>
      <c r="C534" s="4">
        <v>0</v>
      </c>
      <c r="D534">
        <v>0</v>
      </c>
      <c r="E534" t="str">
        <f>VLOOKUP(B534,[1]Nuclides!A:E,5,FALSE)</f>
        <v>Kr89</v>
      </c>
      <c r="F534">
        <f>VLOOKUP(B534,[1]Nuclides!A:E,4,FALSE)</f>
        <v>189</v>
      </c>
      <c r="G534" t="str">
        <f t="shared" si="47"/>
        <v>3.15min</v>
      </c>
      <c r="H534">
        <f t="shared" si="48"/>
        <v>3.6674453997880704E-3</v>
      </c>
      <c r="I534">
        <f t="shared" si="49"/>
        <v>0</v>
      </c>
      <c r="J534">
        <f t="shared" si="50"/>
        <v>0</v>
      </c>
      <c r="K534" t="str">
        <f t="shared" si="51"/>
        <v>Kr89</v>
      </c>
    </row>
    <row r="535" spans="2:11" hidden="1" x14ac:dyDescent="0.2">
      <c r="B535" s="4">
        <v>36090</v>
      </c>
      <c r="C535" s="4">
        <v>0</v>
      </c>
      <c r="D535">
        <v>0</v>
      </c>
      <c r="E535" t="str">
        <f>VLOOKUP(B535,[1]Nuclides!A:E,5,FALSE)</f>
        <v>Kr90</v>
      </c>
      <c r="F535">
        <f>VLOOKUP(B535,[1]Nuclides!A:E,4,FALSE)</f>
        <v>32.32</v>
      </c>
      <c r="G535" t="str">
        <f t="shared" si="47"/>
        <v>32.32s</v>
      </c>
      <c r="H535">
        <f t="shared" si="48"/>
        <v>2.1446385537127018E-2</v>
      </c>
      <c r="I535">
        <f t="shared" si="49"/>
        <v>0</v>
      </c>
      <c r="J535">
        <f t="shared" si="50"/>
        <v>0</v>
      </c>
      <c r="K535" t="str">
        <f t="shared" si="51"/>
        <v>Kr90</v>
      </c>
    </row>
    <row r="536" spans="2:11" hidden="1" x14ac:dyDescent="0.2">
      <c r="B536" s="4">
        <v>36091</v>
      </c>
      <c r="C536" s="4">
        <v>0</v>
      </c>
      <c r="D536">
        <v>0</v>
      </c>
      <c r="E536" t="str">
        <f>VLOOKUP(B536,[1]Nuclides!A:E,5,FALSE)</f>
        <v>Kr91</v>
      </c>
      <c r="F536">
        <f>VLOOKUP(B536,[1]Nuclides!A:E,4,FALSE)</f>
        <v>8.57</v>
      </c>
      <c r="G536" t="str">
        <f t="shared" si="47"/>
        <v>8.57s</v>
      </c>
      <c r="H536">
        <f t="shared" si="48"/>
        <v>8.0880651173855928E-2</v>
      </c>
      <c r="I536">
        <f t="shared" si="49"/>
        <v>0</v>
      </c>
      <c r="J536">
        <f t="shared" si="50"/>
        <v>0</v>
      </c>
      <c r="K536" t="str">
        <f t="shared" si="51"/>
        <v>Kr91</v>
      </c>
    </row>
    <row r="537" spans="2:11" hidden="1" x14ac:dyDescent="0.2">
      <c r="B537" s="4">
        <v>36092</v>
      </c>
      <c r="C537" s="4">
        <v>0</v>
      </c>
      <c r="D537">
        <v>0</v>
      </c>
      <c r="E537" t="str">
        <f>VLOOKUP(B537,[1]Nuclides!A:E,5,FALSE)</f>
        <v>Kr92</v>
      </c>
      <c r="F537">
        <f>VLOOKUP(B537,[1]Nuclides!A:E,4,FALSE)</f>
        <v>1.84</v>
      </c>
      <c r="G537" t="str">
        <f t="shared" si="47"/>
        <v>1.84s</v>
      </c>
      <c r="H537">
        <f t="shared" si="48"/>
        <v>0.37671042421736156</v>
      </c>
      <c r="I537">
        <f t="shared" si="49"/>
        <v>0</v>
      </c>
      <c r="J537">
        <f t="shared" si="50"/>
        <v>0</v>
      </c>
      <c r="K537" t="str">
        <f t="shared" si="51"/>
        <v>Kr92</v>
      </c>
    </row>
    <row r="538" spans="2:11" hidden="1" x14ac:dyDescent="0.2">
      <c r="B538" s="4">
        <v>36093</v>
      </c>
      <c r="C538" s="4">
        <v>0</v>
      </c>
      <c r="D538">
        <v>0</v>
      </c>
      <c r="E538" t="str">
        <f>VLOOKUP(B538,[1]Nuclides!A:E,5,FALSE)</f>
        <v>Kr93</v>
      </c>
      <c r="F538">
        <f>VLOOKUP(B538,[1]Nuclides!A:E,4,FALSE)</f>
        <v>1.286</v>
      </c>
      <c r="G538" t="str">
        <f t="shared" si="47"/>
        <v>1.286s</v>
      </c>
      <c r="H538">
        <f t="shared" si="48"/>
        <v>0.53899469716947535</v>
      </c>
      <c r="I538">
        <f t="shared" si="49"/>
        <v>0</v>
      </c>
      <c r="J538">
        <f t="shared" si="50"/>
        <v>0</v>
      </c>
      <c r="K538" t="str">
        <f t="shared" si="51"/>
        <v>Kr93</v>
      </c>
    </row>
    <row r="539" spans="2:11" hidden="1" x14ac:dyDescent="0.2">
      <c r="B539" s="4">
        <v>36094</v>
      </c>
      <c r="C539" s="4">
        <v>0</v>
      </c>
      <c r="D539">
        <v>0</v>
      </c>
      <c r="E539" t="str">
        <f>VLOOKUP(B539,[1]Nuclides!A:E,5,FALSE)</f>
        <v>Kr94</v>
      </c>
      <c r="F539">
        <f>VLOOKUP(B539,[1]Nuclides!A:E,4,FALSE)</f>
        <v>0.21199999999999999</v>
      </c>
      <c r="G539" t="str">
        <f t="shared" si="47"/>
        <v>0.212s</v>
      </c>
      <c r="H539">
        <f t="shared" si="48"/>
        <v>3.2695621724525723</v>
      </c>
      <c r="I539">
        <f t="shared" si="49"/>
        <v>0</v>
      </c>
      <c r="J539">
        <f t="shared" si="50"/>
        <v>0</v>
      </c>
      <c r="K539" t="str">
        <f t="shared" si="51"/>
        <v>Kr94</v>
      </c>
    </row>
    <row r="540" spans="2:11" hidden="1" x14ac:dyDescent="0.2">
      <c r="B540" s="4">
        <v>36095</v>
      </c>
      <c r="C540" s="4">
        <v>0</v>
      </c>
      <c r="D540">
        <v>0</v>
      </c>
      <c r="E540" t="str">
        <f>VLOOKUP(B540,[1]Nuclides!A:E,5,FALSE)</f>
        <v>Kr95</v>
      </c>
      <c r="F540">
        <f>VLOOKUP(B540,[1]Nuclides!A:E,4,FALSE)</f>
        <v>0.114</v>
      </c>
      <c r="G540" t="str">
        <f t="shared" si="47"/>
        <v>0.114s</v>
      </c>
      <c r="H540">
        <f t="shared" si="48"/>
        <v>6.0802384259644322</v>
      </c>
      <c r="I540">
        <f t="shared" si="49"/>
        <v>0</v>
      </c>
      <c r="J540">
        <f t="shared" si="50"/>
        <v>0</v>
      </c>
      <c r="K540" t="str">
        <f t="shared" si="51"/>
        <v>Kr95</v>
      </c>
    </row>
    <row r="541" spans="2:11" hidden="1" x14ac:dyDescent="0.2">
      <c r="B541" s="4">
        <v>36096</v>
      </c>
      <c r="C541" s="4">
        <v>0</v>
      </c>
      <c r="D541">
        <v>0</v>
      </c>
      <c r="E541" t="str">
        <f>VLOOKUP(B541,[1]Nuclides!A:E,5,FALSE)</f>
        <v>Kr96</v>
      </c>
      <c r="F541">
        <f>VLOOKUP(B541,[1]Nuclides!A:E,4,FALSE)</f>
        <v>0.08</v>
      </c>
      <c r="G541" t="str">
        <f t="shared" si="47"/>
        <v>0.08s</v>
      </c>
      <c r="H541">
        <f t="shared" si="48"/>
        <v>8.6643397569993166</v>
      </c>
      <c r="I541">
        <f t="shared" si="49"/>
        <v>0</v>
      </c>
      <c r="J541">
        <f t="shared" si="50"/>
        <v>0</v>
      </c>
      <c r="K541" t="str">
        <f t="shared" si="51"/>
        <v>Kr96</v>
      </c>
    </row>
    <row r="542" spans="2:11" hidden="1" x14ac:dyDescent="0.2">
      <c r="B542" s="4">
        <v>36097</v>
      </c>
      <c r="C542" s="4">
        <v>0</v>
      </c>
      <c r="D542">
        <v>0</v>
      </c>
      <c r="E542" t="str">
        <f>VLOOKUP(B542,[1]Nuclides!A:E,5,FALSE)</f>
        <v>Kr97</v>
      </c>
      <c r="F542">
        <f>VLOOKUP(B542,[1]Nuclides!A:E,4,FALSE)</f>
        <v>6.3E-2</v>
      </c>
      <c r="G542" t="str">
        <f t="shared" si="47"/>
        <v>0.063s</v>
      </c>
      <c r="H542">
        <f t="shared" si="48"/>
        <v>11.00233619936421</v>
      </c>
      <c r="I542">
        <f t="shared" si="49"/>
        <v>0</v>
      </c>
      <c r="J542">
        <f t="shared" si="50"/>
        <v>0</v>
      </c>
      <c r="K542" t="str">
        <f t="shared" si="51"/>
        <v>Kr97</v>
      </c>
    </row>
    <row r="543" spans="2:11" hidden="1" x14ac:dyDescent="0.2">
      <c r="B543" s="4">
        <v>37074</v>
      </c>
      <c r="C543" s="4">
        <v>0</v>
      </c>
      <c r="D543">
        <v>0</v>
      </c>
      <c r="E543" t="str">
        <f>VLOOKUP(B543,[1]Nuclides!A:E,5,FALSE)</f>
        <v>Rb74</v>
      </c>
      <c r="F543">
        <f>VLOOKUP(B543,[1]Nuclides!A:E,4,FALSE)</f>
        <v>6.4899999999999999E-2</v>
      </c>
      <c r="G543" t="str">
        <f t="shared" si="47"/>
        <v>0.0649s</v>
      </c>
      <c r="H543">
        <f t="shared" si="48"/>
        <v>10.680233906932902</v>
      </c>
      <c r="I543">
        <f t="shared" si="49"/>
        <v>0</v>
      </c>
      <c r="J543">
        <f t="shared" si="50"/>
        <v>0</v>
      </c>
      <c r="K543" t="str">
        <f t="shared" si="51"/>
        <v>Rb74</v>
      </c>
    </row>
    <row r="544" spans="2:11" hidden="1" x14ac:dyDescent="0.2">
      <c r="B544" s="4">
        <v>37075</v>
      </c>
      <c r="C544" s="4">
        <v>0</v>
      </c>
      <c r="D544">
        <v>0</v>
      </c>
      <c r="E544" t="str">
        <f>VLOOKUP(B544,[1]Nuclides!A:E,5,FALSE)</f>
        <v>Rb75</v>
      </c>
      <c r="F544">
        <f>VLOOKUP(B544,[1]Nuclides!A:E,4,FALSE)</f>
        <v>19</v>
      </c>
      <c r="G544" t="str">
        <f t="shared" si="47"/>
        <v>19s</v>
      </c>
      <c r="H544">
        <f t="shared" si="48"/>
        <v>3.6481430555786593E-2</v>
      </c>
      <c r="I544">
        <f t="shared" si="49"/>
        <v>0</v>
      </c>
      <c r="J544">
        <f t="shared" si="50"/>
        <v>0</v>
      </c>
      <c r="K544" t="str">
        <f t="shared" si="51"/>
        <v>Rb75</v>
      </c>
    </row>
    <row r="545" spans="2:11" hidden="1" x14ac:dyDescent="0.2">
      <c r="B545" s="4">
        <v>37076</v>
      </c>
      <c r="C545" s="4">
        <v>0</v>
      </c>
      <c r="D545">
        <v>0</v>
      </c>
      <c r="E545" t="str">
        <f>VLOOKUP(B545,[1]Nuclides!A:E,5,FALSE)</f>
        <v>Rb76</v>
      </c>
      <c r="F545">
        <f>VLOOKUP(B545,[1]Nuclides!A:E,4,FALSE)</f>
        <v>36.5</v>
      </c>
      <c r="G545" t="str">
        <f t="shared" si="47"/>
        <v>36.5s</v>
      </c>
      <c r="H545">
        <f t="shared" si="48"/>
        <v>1.8990333713971103E-2</v>
      </c>
      <c r="I545">
        <f t="shared" si="49"/>
        <v>0</v>
      </c>
      <c r="J545">
        <f t="shared" si="50"/>
        <v>0</v>
      </c>
      <c r="K545" t="str">
        <f t="shared" si="51"/>
        <v>Rb76</v>
      </c>
    </row>
    <row r="546" spans="2:11" hidden="1" x14ac:dyDescent="0.2">
      <c r="B546" s="4">
        <v>37077</v>
      </c>
      <c r="C546" s="4">
        <v>0</v>
      </c>
      <c r="D546">
        <v>0</v>
      </c>
      <c r="E546" t="str">
        <f>VLOOKUP(B546,[1]Nuclides!A:E,5,FALSE)</f>
        <v>Rb77</v>
      </c>
      <c r="F546">
        <f>VLOOKUP(B546,[1]Nuclides!A:E,4,FALSE)</f>
        <v>226.2</v>
      </c>
      <c r="G546" t="str">
        <f t="shared" si="47"/>
        <v>3.77min</v>
      </c>
      <c r="H546">
        <f t="shared" si="48"/>
        <v>3.0643111430589979E-3</v>
      </c>
      <c r="I546">
        <f t="shared" si="49"/>
        <v>0</v>
      </c>
      <c r="J546">
        <f t="shared" si="50"/>
        <v>0</v>
      </c>
      <c r="K546" t="str">
        <f t="shared" si="51"/>
        <v>Rb77</v>
      </c>
    </row>
    <row r="547" spans="2:11" hidden="1" x14ac:dyDescent="0.2">
      <c r="B547" s="4">
        <v>37078</v>
      </c>
      <c r="C547" s="4">
        <v>0</v>
      </c>
      <c r="D547">
        <v>0</v>
      </c>
      <c r="E547" t="str">
        <f>VLOOKUP(B547,[1]Nuclides!A:E,5,FALSE)</f>
        <v>Rb78</v>
      </c>
      <c r="F547">
        <f>VLOOKUP(B547,[1]Nuclides!A:E,4,FALSE)</f>
        <v>1059.5999999999999</v>
      </c>
      <c r="G547" t="str">
        <f t="shared" si="47"/>
        <v>17.66min</v>
      </c>
      <c r="H547">
        <f t="shared" si="48"/>
        <v>6.5415928705166604E-4</v>
      </c>
      <c r="I547">
        <f t="shared" si="49"/>
        <v>0</v>
      </c>
      <c r="J547">
        <f t="shared" si="50"/>
        <v>0</v>
      </c>
      <c r="K547" t="str">
        <f t="shared" si="51"/>
        <v>Rb78</v>
      </c>
    </row>
    <row r="548" spans="2:11" hidden="1" x14ac:dyDescent="0.2">
      <c r="B548" s="4">
        <v>37079</v>
      </c>
      <c r="C548" s="4">
        <v>0</v>
      </c>
      <c r="D548">
        <v>0</v>
      </c>
      <c r="E548" t="str">
        <f>VLOOKUP(B548,[1]Nuclides!A:E,5,FALSE)</f>
        <v>Rb79</v>
      </c>
      <c r="F548">
        <f>VLOOKUP(B548,[1]Nuclides!A:E,4,FALSE)</f>
        <v>1374</v>
      </c>
      <c r="G548" t="str">
        <f t="shared" si="47"/>
        <v>22.9min</v>
      </c>
      <c r="H548">
        <f t="shared" si="48"/>
        <v>5.0447393053853367E-4</v>
      </c>
      <c r="I548">
        <f t="shared" si="49"/>
        <v>0</v>
      </c>
      <c r="J548">
        <f t="shared" si="50"/>
        <v>0</v>
      </c>
      <c r="K548" t="str">
        <f t="shared" si="51"/>
        <v>Rb79</v>
      </c>
    </row>
    <row r="549" spans="2:11" hidden="1" x14ac:dyDescent="0.2">
      <c r="B549" s="4">
        <v>37080</v>
      </c>
      <c r="C549" s="4">
        <v>0</v>
      </c>
      <c r="D549">
        <v>0</v>
      </c>
      <c r="E549" t="str">
        <f>VLOOKUP(B549,[1]Nuclides!A:E,5,FALSE)</f>
        <v>Rb80</v>
      </c>
      <c r="F549">
        <f>VLOOKUP(B549,[1]Nuclides!A:E,4,FALSE)</f>
        <v>33.4</v>
      </c>
      <c r="G549" t="str">
        <f t="shared" si="47"/>
        <v>33.4s</v>
      </c>
      <c r="H549">
        <f t="shared" si="48"/>
        <v>2.0752909597603154E-2</v>
      </c>
      <c r="I549">
        <f t="shared" si="49"/>
        <v>0</v>
      </c>
      <c r="J549">
        <f t="shared" si="50"/>
        <v>0</v>
      </c>
      <c r="K549" t="str">
        <f t="shared" si="51"/>
        <v>Rb80</v>
      </c>
    </row>
    <row r="550" spans="2:11" hidden="1" x14ac:dyDescent="0.2">
      <c r="B550" s="4">
        <v>37081</v>
      </c>
      <c r="C550" s="4">
        <v>0</v>
      </c>
      <c r="D550">
        <v>0</v>
      </c>
      <c r="E550" t="str">
        <f>VLOOKUP(B550,[1]Nuclides!A:E,5,FALSE)</f>
        <v>Rb81</v>
      </c>
      <c r="F550">
        <f>VLOOKUP(B550,[1]Nuclides!A:E,4,FALSE)</f>
        <v>16459.2</v>
      </c>
      <c r="G550" t="str">
        <f t="shared" si="47"/>
        <v>4.57h</v>
      </c>
      <c r="H550">
        <f t="shared" si="48"/>
        <v>4.2113054131424693E-5</v>
      </c>
      <c r="I550">
        <f t="shared" si="49"/>
        <v>0</v>
      </c>
      <c r="J550">
        <f t="shared" si="50"/>
        <v>0</v>
      </c>
      <c r="K550" t="str">
        <f t="shared" si="51"/>
        <v>Rb81</v>
      </c>
    </row>
    <row r="551" spans="2:11" hidden="1" x14ac:dyDescent="0.2">
      <c r="B551" s="4">
        <v>37082</v>
      </c>
      <c r="C551" s="4">
        <v>0</v>
      </c>
      <c r="D551">
        <v>0</v>
      </c>
      <c r="E551" t="str">
        <f>VLOOKUP(B551,[1]Nuclides!A:E,5,FALSE)</f>
        <v>Rb82</v>
      </c>
      <c r="F551">
        <f>VLOOKUP(B551,[1]Nuclides!A:E,4,FALSE)</f>
        <v>75.45</v>
      </c>
      <c r="G551" t="str">
        <f t="shared" si="47"/>
        <v>1.26min</v>
      </c>
      <c r="H551">
        <f t="shared" si="48"/>
        <v>9.1868413593100759E-3</v>
      </c>
      <c r="I551">
        <f t="shared" si="49"/>
        <v>0</v>
      </c>
      <c r="J551">
        <f t="shared" si="50"/>
        <v>0</v>
      </c>
      <c r="K551" t="str">
        <f t="shared" si="51"/>
        <v>Rb82</v>
      </c>
    </row>
    <row r="552" spans="2:11" hidden="1" x14ac:dyDescent="0.2">
      <c r="B552" s="4">
        <v>37083</v>
      </c>
      <c r="C552" s="4">
        <v>0</v>
      </c>
      <c r="D552">
        <v>0</v>
      </c>
      <c r="E552" t="str">
        <f>VLOOKUP(B552,[1]Nuclides!A:E,5,FALSE)</f>
        <v>Rb83</v>
      </c>
      <c r="F552">
        <f>VLOOKUP(B552,[1]Nuclides!A:E,4,FALSE)</f>
        <v>7447680</v>
      </c>
      <c r="G552" t="str">
        <f t="shared" si="47"/>
        <v>86.2d</v>
      </c>
      <c r="H552">
        <f t="shared" si="48"/>
        <v>9.3068872529424639E-8</v>
      </c>
      <c r="I552">
        <f t="shared" si="49"/>
        <v>0</v>
      </c>
      <c r="J552">
        <f t="shared" si="50"/>
        <v>0</v>
      </c>
      <c r="K552" t="str">
        <f t="shared" si="51"/>
        <v>Rb83</v>
      </c>
    </row>
    <row r="553" spans="2:11" hidden="1" x14ac:dyDescent="0.2">
      <c r="B553" s="4">
        <v>37084</v>
      </c>
      <c r="C553" s="4">
        <v>0</v>
      </c>
      <c r="D553">
        <v>0</v>
      </c>
      <c r="E553" t="str">
        <f>VLOOKUP(B553,[1]Nuclides!A:E,5,FALSE)</f>
        <v>Rb84</v>
      </c>
      <c r="F553">
        <f>VLOOKUP(B553,[1]Nuclides!A:E,4,FALSE)</f>
        <v>2835648</v>
      </c>
      <c r="G553" t="str">
        <f t="shared" si="47"/>
        <v>32.82d</v>
      </c>
      <c r="H553">
        <f t="shared" si="48"/>
        <v>2.4444048787435723E-7</v>
      </c>
      <c r="I553">
        <f t="shared" si="49"/>
        <v>0</v>
      </c>
      <c r="J553">
        <f t="shared" si="50"/>
        <v>0</v>
      </c>
      <c r="K553" t="str">
        <f t="shared" si="51"/>
        <v>Rb84</v>
      </c>
    </row>
    <row r="554" spans="2:11" hidden="1" x14ac:dyDescent="0.2">
      <c r="B554" s="4">
        <v>37085</v>
      </c>
      <c r="C554" s="4">
        <v>0</v>
      </c>
      <c r="D554">
        <v>0</v>
      </c>
      <c r="E554" t="str">
        <f>VLOOKUP(B554,[1]Nuclides!A:E,5,FALSE)</f>
        <v>Rb85</v>
      </c>
      <c r="F554" t="str">
        <f>VLOOKUP(B554,[1]Nuclides!A:E,4,FALSE)</f>
        <v>STABLE</v>
      </c>
      <c r="G554" t="str">
        <f t="shared" si="47"/>
        <v>STABLE</v>
      </c>
      <c r="H554" t="e">
        <f t="shared" si="48"/>
        <v>#VALUE!</v>
      </c>
      <c r="I554" t="e">
        <f t="shared" si="49"/>
        <v>#VALUE!</v>
      </c>
      <c r="J554" t="e">
        <f t="shared" si="50"/>
        <v>#VALUE!</v>
      </c>
      <c r="K554" t="str">
        <f t="shared" si="51"/>
        <v>Rb85</v>
      </c>
    </row>
    <row r="555" spans="2:11" hidden="1" x14ac:dyDescent="0.2">
      <c r="B555" s="4">
        <v>37086</v>
      </c>
      <c r="C555" s="4">
        <v>0</v>
      </c>
      <c r="D555">
        <v>0</v>
      </c>
      <c r="E555" t="str">
        <f>VLOOKUP(B555,[1]Nuclides!A:E,5,FALSE)</f>
        <v>Rb86</v>
      </c>
      <c r="F555">
        <f>VLOOKUP(B555,[1]Nuclides!A:E,4,FALSE)</f>
        <v>1610668.8</v>
      </c>
      <c r="G555" t="str">
        <f t="shared" si="47"/>
        <v>18.64d</v>
      </c>
      <c r="H555">
        <f t="shared" si="48"/>
        <v>4.3034743117886513E-7</v>
      </c>
      <c r="I555">
        <f t="shared" si="49"/>
        <v>0</v>
      </c>
      <c r="J555">
        <f t="shared" si="50"/>
        <v>0</v>
      </c>
      <c r="K555" t="str">
        <f t="shared" si="51"/>
        <v>Rb86</v>
      </c>
    </row>
    <row r="556" spans="2:11" hidden="1" x14ac:dyDescent="0.2">
      <c r="B556" s="4">
        <v>37087</v>
      </c>
      <c r="C556" s="4">
        <v>0</v>
      </c>
      <c r="D556">
        <v>0</v>
      </c>
      <c r="E556" t="str">
        <f>VLOOKUP(B556,[1]Nuclides!A:E,5,FALSE)</f>
        <v>Rb87</v>
      </c>
      <c r="F556">
        <f>VLOOKUP(B556,[1]Nuclides!A:E,4,FALSE)</f>
        <v>1.56841272E+18</v>
      </c>
      <c r="G556" t="str">
        <f t="shared" si="47"/>
        <v>49734041095.89y</v>
      </c>
      <c r="H556">
        <f t="shared" si="48"/>
        <v>4.419418254653949E-19</v>
      </c>
      <c r="I556">
        <f t="shared" si="49"/>
        <v>0</v>
      </c>
      <c r="J556">
        <f t="shared" si="50"/>
        <v>0</v>
      </c>
      <c r="K556" t="str">
        <f t="shared" si="51"/>
        <v>Rb87</v>
      </c>
    </row>
    <row r="557" spans="2:11" hidden="1" x14ac:dyDescent="0.2">
      <c r="B557" s="4">
        <v>37088</v>
      </c>
      <c r="C557" s="4">
        <v>0</v>
      </c>
      <c r="D557">
        <v>0</v>
      </c>
      <c r="E557" t="str">
        <f>VLOOKUP(B557,[1]Nuclides!A:E,5,FALSE)</f>
        <v>Rb88</v>
      </c>
      <c r="F557">
        <f>VLOOKUP(B557,[1]Nuclides!A:E,4,FALSE)</f>
        <v>1066.3799999999901</v>
      </c>
      <c r="G557" t="str">
        <f t="shared" si="47"/>
        <v>17.77min</v>
      </c>
      <c r="H557">
        <f t="shared" si="48"/>
        <v>6.5000016932045964E-4</v>
      </c>
      <c r="I557">
        <f t="shared" si="49"/>
        <v>0</v>
      </c>
      <c r="J557">
        <f t="shared" si="50"/>
        <v>0</v>
      </c>
      <c r="K557" t="str">
        <f t="shared" si="51"/>
        <v>Rb88</v>
      </c>
    </row>
    <row r="558" spans="2:11" hidden="1" x14ac:dyDescent="0.2">
      <c r="B558" s="4">
        <v>37089</v>
      </c>
      <c r="C558" s="4">
        <v>0</v>
      </c>
      <c r="D558">
        <v>0</v>
      </c>
      <c r="E558" t="str">
        <f>VLOOKUP(B558,[1]Nuclides!A:E,5,FALSE)</f>
        <v>Rb89</v>
      </c>
      <c r="F558">
        <f>VLOOKUP(B558,[1]Nuclides!A:E,4,FALSE)</f>
        <v>919.2</v>
      </c>
      <c r="G558" t="str">
        <f t="shared" si="47"/>
        <v>15.32min</v>
      </c>
      <c r="H558">
        <f t="shared" si="48"/>
        <v>7.5407656718880028E-4</v>
      </c>
      <c r="I558">
        <f t="shared" si="49"/>
        <v>0</v>
      </c>
      <c r="J558">
        <f t="shared" si="50"/>
        <v>0</v>
      </c>
      <c r="K558" t="str">
        <f t="shared" si="51"/>
        <v>Rb89</v>
      </c>
    </row>
    <row r="559" spans="2:11" hidden="1" x14ac:dyDescent="0.2">
      <c r="B559" s="4">
        <v>37090</v>
      </c>
      <c r="C559" s="4">
        <v>0</v>
      </c>
      <c r="D559">
        <v>0</v>
      </c>
      <c r="E559" t="str">
        <f>VLOOKUP(B559,[1]Nuclides!A:E,5,FALSE)</f>
        <v>Rb90</v>
      </c>
      <c r="F559">
        <f>VLOOKUP(B559,[1]Nuclides!A:E,4,FALSE)</f>
        <v>158</v>
      </c>
      <c r="G559" t="str">
        <f t="shared" si="47"/>
        <v>2.63min</v>
      </c>
      <c r="H559">
        <f t="shared" si="48"/>
        <v>4.3870074718983876E-3</v>
      </c>
      <c r="I559">
        <f t="shared" si="49"/>
        <v>0</v>
      </c>
      <c r="J559">
        <f t="shared" si="50"/>
        <v>0</v>
      </c>
      <c r="K559" t="str">
        <f t="shared" si="51"/>
        <v>Rb90</v>
      </c>
    </row>
    <row r="560" spans="2:11" hidden="1" x14ac:dyDescent="0.2">
      <c r="B560" s="4">
        <v>37091</v>
      </c>
      <c r="C560" s="4">
        <v>0</v>
      </c>
      <c r="D560">
        <v>0</v>
      </c>
      <c r="E560" t="str">
        <f>VLOOKUP(B560,[1]Nuclides!A:E,5,FALSE)</f>
        <v>Rb91</v>
      </c>
      <c r="F560">
        <f>VLOOKUP(B560,[1]Nuclides!A:E,4,FALSE)</f>
        <v>58.2</v>
      </c>
      <c r="G560" t="str">
        <f t="shared" si="47"/>
        <v>58.2s</v>
      </c>
      <c r="H560">
        <f t="shared" si="48"/>
        <v>1.1909745370445795E-2</v>
      </c>
      <c r="I560">
        <f t="shared" si="49"/>
        <v>0</v>
      </c>
      <c r="J560">
        <f t="shared" si="50"/>
        <v>0</v>
      </c>
      <c r="K560" t="str">
        <f t="shared" si="51"/>
        <v>Rb91</v>
      </c>
    </row>
    <row r="561" spans="2:11" hidden="1" x14ac:dyDescent="0.2">
      <c r="B561" s="4">
        <v>37092</v>
      </c>
      <c r="C561" s="4">
        <v>0</v>
      </c>
      <c r="D561">
        <v>0</v>
      </c>
      <c r="E561" t="str">
        <f>VLOOKUP(B561,[1]Nuclides!A:E,5,FALSE)</f>
        <v>Rb92</v>
      </c>
      <c r="F561">
        <f>VLOOKUP(B561,[1]Nuclides!A:E,4,FALSE)</f>
        <v>4.492</v>
      </c>
      <c r="G561" t="str">
        <f t="shared" si="47"/>
        <v>4.492s</v>
      </c>
      <c r="H561">
        <f t="shared" si="48"/>
        <v>0.15430703040070021</v>
      </c>
      <c r="I561">
        <f t="shared" si="49"/>
        <v>0</v>
      </c>
      <c r="J561">
        <f t="shared" si="50"/>
        <v>0</v>
      </c>
      <c r="K561" t="str">
        <f t="shared" si="51"/>
        <v>Rb92</v>
      </c>
    </row>
    <row r="562" spans="2:11" hidden="1" x14ac:dyDescent="0.2">
      <c r="B562" s="4">
        <v>37093</v>
      </c>
      <c r="C562" s="4">
        <v>0</v>
      </c>
      <c r="D562">
        <v>0</v>
      </c>
      <c r="E562" t="str">
        <f>VLOOKUP(B562,[1]Nuclides!A:E,5,FALSE)</f>
        <v>Rb93</v>
      </c>
      <c r="F562">
        <f>VLOOKUP(B562,[1]Nuclides!A:E,4,FALSE)</f>
        <v>5.84</v>
      </c>
      <c r="G562" t="str">
        <f t="shared" si="47"/>
        <v>5.84s</v>
      </c>
      <c r="H562">
        <f t="shared" si="48"/>
        <v>0.1186895857123194</v>
      </c>
      <c r="I562">
        <f t="shared" si="49"/>
        <v>0</v>
      </c>
      <c r="J562">
        <f t="shared" si="50"/>
        <v>0</v>
      </c>
      <c r="K562" t="str">
        <f t="shared" si="51"/>
        <v>Rb93</v>
      </c>
    </row>
    <row r="563" spans="2:11" hidden="1" x14ac:dyDescent="0.2">
      <c r="B563" s="4">
        <v>37094</v>
      </c>
      <c r="C563" s="4">
        <v>0</v>
      </c>
      <c r="D563">
        <v>0</v>
      </c>
      <c r="E563" t="str">
        <f>VLOOKUP(B563,[1]Nuclides!A:E,5,FALSE)</f>
        <v>Rb94</v>
      </c>
      <c r="F563">
        <f>VLOOKUP(B563,[1]Nuclides!A:E,4,FALSE)</f>
        <v>2.702</v>
      </c>
      <c r="G563" t="str">
        <f t="shared" si="47"/>
        <v>2.702s</v>
      </c>
      <c r="H563">
        <f t="shared" si="48"/>
        <v>0.25653115490745571</v>
      </c>
      <c r="I563">
        <f t="shared" si="49"/>
        <v>0</v>
      </c>
      <c r="J563">
        <f t="shared" si="50"/>
        <v>0</v>
      </c>
      <c r="K563" t="str">
        <f t="shared" si="51"/>
        <v>Rb94</v>
      </c>
    </row>
    <row r="564" spans="2:11" hidden="1" x14ac:dyDescent="0.2">
      <c r="B564" s="4">
        <v>37095</v>
      </c>
      <c r="C564" s="4">
        <v>0</v>
      </c>
      <c r="D564">
        <v>0</v>
      </c>
      <c r="E564" t="str">
        <f>VLOOKUP(B564,[1]Nuclides!A:E,5,FALSE)</f>
        <v>Rb95</v>
      </c>
      <c r="F564">
        <f>VLOOKUP(B564,[1]Nuclides!A:E,4,FALSE)</f>
        <v>0.37769999999999998</v>
      </c>
      <c r="G564" t="str">
        <f t="shared" si="47"/>
        <v>0.3777s</v>
      </c>
      <c r="H564">
        <f t="shared" si="48"/>
        <v>1.8351791913157143</v>
      </c>
      <c r="I564">
        <f t="shared" si="49"/>
        <v>0</v>
      </c>
      <c r="J564">
        <f t="shared" si="50"/>
        <v>0</v>
      </c>
      <c r="K564" t="str">
        <f t="shared" si="51"/>
        <v>Rb95</v>
      </c>
    </row>
    <row r="565" spans="2:11" hidden="1" x14ac:dyDescent="0.2">
      <c r="B565" s="4">
        <v>37096</v>
      </c>
      <c r="C565" s="4">
        <v>0</v>
      </c>
      <c r="D565">
        <v>0</v>
      </c>
      <c r="E565" t="str">
        <f>VLOOKUP(B565,[1]Nuclides!A:E,5,FALSE)</f>
        <v>Rb96</v>
      </c>
      <c r="F565">
        <f>VLOOKUP(B565,[1]Nuclides!A:E,4,FALSE)</f>
        <v>0.20300000000000001</v>
      </c>
      <c r="G565" t="str">
        <f t="shared" si="47"/>
        <v>0.203s</v>
      </c>
      <c r="H565">
        <f t="shared" si="48"/>
        <v>3.4145181308371688</v>
      </c>
      <c r="I565">
        <f t="shared" si="49"/>
        <v>0</v>
      </c>
      <c r="J565">
        <f t="shared" si="50"/>
        <v>0</v>
      </c>
      <c r="K565" t="str">
        <f t="shared" si="51"/>
        <v>Rb96</v>
      </c>
    </row>
    <row r="566" spans="2:11" hidden="1" x14ac:dyDescent="0.2">
      <c r="B566" s="4">
        <v>37097</v>
      </c>
      <c r="C566" s="4">
        <v>0</v>
      </c>
      <c r="D566">
        <v>0</v>
      </c>
      <c r="E566" t="str">
        <f>VLOOKUP(B566,[1]Nuclides!A:E,5,FALSE)</f>
        <v>Rb97</v>
      </c>
      <c r="F566">
        <f>VLOOKUP(B566,[1]Nuclides!A:E,4,FALSE)</f>
        <v>0.1691</v>
      </c>
      <c r="G566" t="str">
        <f t="shared" si="47"/>
        <v>0.1691s</v>
      </c>
      <c r="H566">
        <f t="shared" si="48"/>
        <v>4.0990371410996174</v>
      </c>
      <c r="I566">
        <f t="shared" si="49"/>
        <v>0</v>
      </c>
      <c r="J566">
        <f t="shared" si="50"/>
        <v>0</v>
      </c>
      <c r="K566" t="str">
        <f t="shared" si="51"/>
        <v>Rb97</v>
      </c>
    </row>
    <row r="567" spans="2:11" hidden="1" x14ac:dyDescent="0.2">
      <c r="B567" s="4">
        <v>37098</v>
      </c>
      <c r="C567" s="4">
        <v>0</v>
      </c>
      <c r="D567">
        <v>0</v>
      </c>
      <c r="E567" t="str">
        <f>VLOOKUP(B567,[1]Nuclides!A:E,5,FALSE)</f>
        <v>Rb98</v>
      </c>
      <c r="F567">
        <f>VLOOKUP(B567,[1]Nuclides!A:E,4,FALSE)</f>
        <v>0.10199999999999999</v>
      </c>
      <c r="G567" t="str">
        <f t="shared" si="47"/>
        <v>0.102s</v>
      </c>
      <c r="H567">
        <f t="shared" si="48"/>
        <v>6.7955605937249546</v>
      </c>
      <c r="I567">
        <f t="shared" si="49"/>
        <v>0</v>
      </c>
      <c r="J567">
        <f t="shared" si="50"/>
        <v>0</v>
      </c>
      <c r="K567" t="str">
        <f t="shared" si="51"/>
        <v>Rb98</v>
      </c>
    </row>
    <row r="568" spans="2:11" hidden="1" x14ac:dyDescent="0.2">
      <c r="B568" s="4">
        <v>37099</v>
      </c>
      <c r="C568" s="4">
        <v>0</v>
      </c>
      <c r="D568">
        <v>0</v>
      </c>
      <c r="E568" t="str">
        <f>VLOOKUP(B568,[1]Nuclides!A:E,5,FALSE)</f>
        <v>Rb99</v>
      </c>
      <c r="F568">
        <f>VLOOKUP(B568,[1]Nuclides!A:E,4,FALSE)</f>
        <v>5.3999999999999999E-2</v>
      </c>
      <c r="G568" t="str">
        <f t="shared" si="47"/>
        <v>0.054s</v>
      </c>
      <c r="H568">
        <f t="shared" si="48"/>
        <v>12.836058899258246</v>
      </c>
      <c r="I568">
        <f t="shared" si="49"/>
        <v>0</v>
      </c>
      <c r="J568">
        <f t="shared" si="50"/>
        <v>0</v>
      </c>
      <c r="K568" t="str">
        <f t="shared" si="51"/>
        <v>Rb99</v>
      </c>
    </row>
    <row r="569" spans="2:11" hidden="1" x14ac:dyDescent="0.2">
      <c r="B569" s="4">
        <v>37100</v>
      </c>
      <c r="C569" s="4">
        <v>0</v>
      </c>
      <c r="D569">
        <v>0</v>
      </c>
      <c r="E569" t="str">
        <f>VLOOKUP(B569,[1]Nuclides!A:E,5,FALSE)</f>
        <v>Rb100</v>
      </c>
      <c r="F569">
        <f>VLOOKUP(B569,[1]Nuclides!A:E,4,FALSE)</f>
        <v>5.0999999999999997E-2</v>
      </c>
      <c r="G569" t="str">
        <f t="shared" si="47"/>
        <v>0.051s</v>
      </c>
      <c r="H569">
        <f t="shared" si="48"/>
        <v>13.591121187449909</v>
      </c>
      <c r="I569">
        <f t="shared" si="49"/>
        <v>0</v>
      </c>
      <c r="J569">
        <f t="shared" si="50"/>
        <v>0</v>
      </c>
      <c r="K569" t="str">
        <f t="shared" si="51"/>
        <v>Rb100</v>
      </c>
    </row>
    <row r="570" spans="2:11" hidden="1" x14ac:dyDescent="0.2">
      <c r="B570" s="4">
        <v>38077</v>
      </c>
      <c r="C570" s="4">
        <v>0</v>
      </c>
      <c r="D570">
        <v>0</v>
      </c>
      <c r="E570" t="str">
        <f>VLOOKUP(B570,[1]Nuclides!A:E,5,FALSE)</f>
        <v>Sr77</v>
      </c>
      <c r="F570">
        <f>VLOOKUP(B570,[1]Nuclides!A:E,4,FALSE)</f>
        <v>9</v>
      </c>
      <c r="G570" t="str">
        <f t="shared" si="47"/>
        <v>9s</v>
      </c>
      <c r="H570">
        <f t="shared" si="48"/>
        <v>7.7016353395549478E-2</v>
      </c>
      <c r="I570">
        <f t="shared" si="49"/>
        <v>0</v>
      </c>
      <c r="J570">
        <f t="shared" si="50"/>
        <v>0</v>
      </c>
      <c r="K570" t="str">
        <f t="shared" si="51"/>
        <v>Sr77</v>
      </c>
    </row>
    <row r="571" spans="2:11" hidden="1" x14ac:dyDescent="0.2">
      <c r="B571" s="4">
        <v>38078</v>
      </c>
      <c r="C571" s="4">
        <v>0</v>
      </c>
      <c r="D571">
        <v>0</v>
      </c>
      <c r="E571" t="str">
        <f>VLOOKUP(B571,[1]Nuclides!A:E,5,FALSE)</f>
        <v>Sr78</v>
      </c>
      <c r="F571">
        <f>VLOOKUP(B571,[1]Nuclides!A:E,4,FALSE)</f>
        <v>160</v>
      </c>
      <c r="G571" t="str">
        <f t="shared" si="47"/>
        <v>2.67min</v>
      </c>
      <c r="H571">
        <f t="shared" si="48"/>
        <v>4.3321698784996579E-3</v>
      </c>
      <c r="I571">
        <f t="shared" si="49"/>
        <v>0</v>
      </c>
      <c r="J571">
        <f t="shared" si="50"/>
        <v>0</v>
      </c>
      <c r="K571" t="str">
        <f t="shared" si="51"/>
        <v>Sr78</v>
      </c>
    </row>
    <row r="572" spans="2:11" hidden="1" x14ac:dyDescent="0.2">
      <c r="B572" s="4">
        <v>38079</v>
      </c>
      <c r="C572" s="4">
        <v>0</v>
      </c>
      <c r="D572">
        <v>0</v>
      </c>
      <c r="E572" t="str">
        <f>VLOOKUP(B572,[1]Nuclides!A:E,5,FALSE)</f>
        <v>Sr79</v>
      </c>
      <c r="F572">
        <f>VLOOKUP(B572,[1]Nuclides!A:E,4,FALSE)</f>
        <v>135</v>
      </c>
      <c r="G572" t="str">
        <f t="shared" si="47"/>
        <v>2.25min</v>
      </c>
      <c r="H572">
        <f t="shared" si="48"/>
        <v>5.1344235597032984E-3</v>
      </c>
      <c r="I572">
        <f t="shared" si="49"/>
        <v>0</v>
      </c>
      <c r="J572">
        <f t="shared" si="50"/>
        <v>0</v>
      </c>
      <c r="K572" t="str">
        <f t="shared" si="51"/>
        <v>Sr79</v>
      </c>
    </row>
    <row r="573" spans="2:11" hidden="1" x14ac:dyDescent="0.2">
      <c r="B573" s="4">
        <v>38080</v>
      </c>
      <c r="C573" s="4">
        <v>0</v>
      </c>
      <c r="D573">
        <v>0</v>
      </c>
      <c r="E573" t="str">
        <f>VLOOKUP(B573,[1]Nuclides!A:E,5,FALSE)</f>
        <v>Sr80</v>
      </c>
      <c r="F573">
        <f>VLOOKUP(B573,[1]Nuclides!A:E,4,FALSE)</f>
        <v>6378</v>
      </c>
      <c r="G573" t="str">
        <f t="shared" si="47"/>
        <v>1.77h</v>
      </c>
      <c r="H573">
        <f t="shared" si="48"/>
        <v>1.0867782699277912E-4</v>
      </c>
      <c r="I573">
        <f t="shared" si="49"/>
        <v>0</v>
      </c>
      <c r="J573">
        <f t="shared" si="50"/>
        <v>0</v>
      </c>
      <c r="K573" t="str">
        <f t="shared" si="51"/>
        <v>Sr80</v>
      </c>
    </row>
    <row r="574" spans="2:11" hidden="1" x14ac:dyDescent="0.2">
      <c r="B574" s="4">
        <v>38081</v>
      </c>
      <c r="C574" s="4">
        <v>0</v>
      </c>
      <c r="D574">
        <v>0</v>
      </c>
      <c r="E574" t="str">
        <f>VLOOKUP(B574,[1]Nuclides!A:E,5,FALSE)</f>
        <v>Sr81</v>
      </c>
      <c r="F574">
        <f>VLOOKUP(B574,[1]Nuclides!A:E,4,FALSE)</f>
        <v>1338</v>
      </c>
      <c r="G574" t="str">
        <f t="shared" si="47"/>
        <v>22.3min</v>
      </c>
      <c r="H574">
        <f t="shared" si="48"/>
        <v>5.1804722014943589E-4</v>
      </c>
      <c r="I574">
        <f t="shared" si="49"/>
        <v>0</v>
      </c>
      <c r="J574">
        <f t="shared" si="50"/>
        <v>0</v>
      </c>
      <c r="K574" t="str">
        <f t="shared" si="51"/>
        <v>Sr81</v>
      </c>
    </row>
    <row r="575" spans="2:11" hidden="1" x14ac:dyDescent="0.2">
      <c r="B575" s="4">
        <v>38082</v>
      </c>
      <c r="C575" s="4">
        <v>0</v>
      </c>
      <c r="D575">
        <v>0</v>
      </c>
      <c r="E575" t="str">
        <f>VLOOKUP(B575,[1]Nuclides!A:E,5,FALSE)</f>
        <v>Sr82</v>
      </c>
      <c r="F575">
        <f>VLOOKUP(B575,[1]Nuclides!A:E,4,FALSE)</f>
        <v>2189376</v>
      </c>
      <c r="G575" t="str">
        <f t="shared" si="47"/>
        <v>25.34d</v>
      </c>
      <c r="H575">
        <f t="shared" si="48"/>
        <v>3.165957700093293E-7</v>
      </c>
      <c r="I575">
        <f t="shared" si="49"/>
        <v>0</v>
      </c>
      <c r="J575">
        <f t="shared" si="50"/>
        <v>0</v>
      </c>
      <c r="K575" t="str">
        <f t="shared" si="51"/>
        <v>Sr82</v>
      </c>
    </row>
    <row r="576" spans="2:11" hidden="1" x14ac:dyDescent="0.2">
      <c r="B576" s="4">
        <v>38083</v>
      </c>
      <c r="C576" s="4">
        <v>0</v>
      </c>
      <c r="D576">
        <v>0</v>
      </c>
      <c r="E576" t="str">
        <f>VLOOKUP(B576,[1]Nuclides!A:E,5,FALSE)</f>
        <v>Sr83</v>
      </c>
      <c r="F576">
        <f>VLOOKUP(B576,[1]Nuclides!A:E,4,FALSE)</f>
        <v>116675.999999999</v>
      </c>
      <c r="G576" t="str">
        <f t="shared" si="47"/>
        <v>1.35d</v>
      </c>
      <c r="H576">
        <f t="shared" si="48"/>
        <v>5.9407862847539446E-6</v>
      </c>
      <c r="I576">
        <f t="shared" si="49"/>
        <v>0</v>
      </c>
      <c r="J576">
        <f t="shared" si="50"/>
        <v>0</v>
      </c>
      <c r="K576" t="str">
        <f t="shared" si="51"/>
        <v>Sr83</v>
      </c>
    </row>
    <row r="577" spans="2:11" hidden="1" x14ac:dyDescent="0.2">
      <c r="B577" s="4">
        <v>38084</v>
      </c>
      <c r="C577" s="4">
        <v>0</v>
      </c>
      <c r="D577">
        <v>0</v>
      </c>
      <c r="E577" t="str">
        <f>VLOOKUP(B577,[1]Nuclides!A:E,5,FALSE)</f>
        <v>Sr84</v>
      </c>
      <c r="F577" t="str">
        <f>VLOOKUP(B577,[1]Nuclides!A:E,4,FALSE)</f>
        <v>STABLE</v>
      </c>
      <c r="G577" t="str">
        <f t="shared" si="47"/>
        <v>STABLE</v>
      </c>
      <c r="H577" t="e">
        <f t="shared" si="48"/>
        <v>#VALUE!</v>
      </c>
      <c r="I577" t="e">
        <f t="shared" si="49"/>
        <v>#VALUE!</v>
      </c>
      <c r="J577" t="e">
        <f t="shared" si="50"/>
        <v>#VALUE!</v>
      </c>
      <c r="K577" t="str">
        <f t="shared" si="51"/>
        <v>Sr84</v>
      </c>
    </row>
    <row r="578" spans="2:11" hidden="1" x14ac:dyDescent="0.2">
      <c r="B578" s="4">
        <v>38085</v>
      </c>
      <c r="C578" s="4">
        <v>0</v>
      </c>
      <c r="D578">
        <v>0</v>
      </c>
      <c r="E578" t="str">
        <f>VLOOKUP(B578,[1]Nuclides!A:E,5,FALSE)</f>
        <v>Sr85</v>
      </c>
      <c r="F578">
        <f>VLOOKUP(B578,[1]Nuclides!A:E,4,FALSE)</f>
        <v>5602953.5999999996</v>
      </c>
      <c r="G578" t="str">
        <f t="shared" si="47"/>
        <v>64.85d</v>
      </c>
      <c r="H578">
        <f t="shared" si="48"/>
        <v>1.2371103350917369E-7</v>
      </c>
      <c r="I578">
        <f t="shared" si="49"/>
        <v>0</v>
      </c>
      <c r="J578">
        <f t="shared" si="50"/>
        <v>0</v>
      </c>
      <c r="K578" t="str">
        <f t="shared" si="51"/>
        <v>Sr85</v>
      </c>
    </row>
    <row r="579" spans="2:11" hidden="1" x14ac:dyDescent="0.2">
      <c r="B579" s="4">
        <v>38086</v>
      </c>
      <c r="C579" s="4">
        <v>0</v>
      </c>
      <c r="D579">
        <v>0</v>
      </c>
      <c r="E579" t="str">
        <f>VLOOKUP(B579,[1]Nuclides!A:E,5,FALSE)</f>
        <v>Sr86</v>
      </c>
      <c r="F579" t="str">
        <f>VLOOKUP(B579,[1]Nuclides!A:E,4,FALSE)</f>
        <v>STABLE</v>
      </c>
      <c r="G579" t="str">
        <f t="shared" si="47"/>
        <v>STABLE</v>
      </c>
      <c r="H579" t="e">
        <f t="shared" si="48"/>
        <v>#VALUE!</v>
      </c>
      <c r="I579" t="e">
        <f t="shared" si="49"/>
        <v>#VALUE!</v>
      </c>
      <c r="J579" t="e">
        <f t="shared" si="50"/>
        <v>#VALUE!</v>
      </c>
      <c r="K579" t="str">
        <f t="shared" si="51"/>
        <v>Sr86</v>
      </c>
    </row>
    <row r="580" spans="2:11" hidden="1" x14ac:dyDescent="0.2">
      <c r="B580" s="4">
        <v>38087</v>
      </c>
      <c r="C580" s="4">
        <v>0</v>
      </c>
      <c r="D580">
        <v>0</v>
      </c>
      <c r="E580" t="str">
        <f>VLOOKUP(B580,[1]Nuclides!A:E,5,FALSE)</f>
        <v>Sr87</v>
      </c>
      <c r="F580" t="str">
        <f>VLOOKUP(B580,[1]Nuclides!A:E,4,FALSE)</f>
        <v>STABLE</v>
      </c>
      <c r="G580" t="str">
        <f t="shared" si="47"/>
        <v>STABLE</v>
      </c>
      <c r="H580" t="e">
        <f t="shared" si="48"/>
        <v>#VALUE!</v>
      </c>
      <c r="I580" t="e">
        <f t="shared" si="49"/>
        <v>#VALUE!</v>
      </c>
      <c r="J580" t="e">
        <f t="shared" si="50"/>
        <v>#VALUE!</v>
      </c>
      <c r="K580" t="str">
        <f t="shared" si="51"/>
        <v>Sr87</v>
      </c>
    </row>
    <row r="581" spans="2:11" hidden="1" x14ac:dyDescent="0.2">
      <c r="B581" s="4">
        <v>38088</v>
      </c>
      <c r="C581" s="4">
        <v>0</v>
      </c>
      <c r="D581">
        <v>0</v>
      </c>
      <c r="E581" t="str">
        <f>VLOOKUP(B581,[1]Nuclides!A:E,5,FALSE)</f>
        <v>Sr88</v>
      </c>
      <c r="F581" t="str">
        <f>VLOOKUP(B581,[1]Nuclides!A:E,4,FALSE)</f>
        <v>STABLE</v>
      </c>
      <c r="G581" t="str">
        <f t="shared" ref="G581:G644" si="52">IF(F581="STABLE", "STABLE", IF(F581&lt;60, F581&amp;"s", IF(F581&lt;3600, ROUND(F581/60,2)&amp;"min", IF(F581&lt;86400, ROUND(F581/3600,2)&amp;"h", IF(F581&lt;31536000, ROUND(F581/86400,2)&amp;"d", ROUND(F581/31536000,2)&amp;"y")))))</f>
        <v>STABLE</v>
      </c>
      <c r="H581" t="e">
        <f t="shared" ref="H581:H644" si="53">LN(2)/F581</f>
        <v>#VALUE!</v>
      </c>
      <c r="I581" t="e">
        <f t="shared" ref="I581:I644" si="54">60*6240000000000*C581*(1-EXP(-H581*2*3600))</f>
        <v>#VALUE!</v>
      </c>
      <c r="J581" t="e">
        <f t="shared" ref="J581:J644" si="55">I581*EXP(-H581*96*3600)</f>
        <v>#VALUE!</v>
      </c>
      <c r="K581" t="str">
        <f t="shared" ref="K581:K644" si="56">E581</f>
        <v>Sr88</v>
      </c>
    </row>
    <row r="582" spans="2:11" hidden="1" x14ac:dyDescent="0.2">
      <c r="B582" s="4">
        <v>38089</v>
      </c>
      <c r="C582" s="4">
        <v>0</v>
      </c>
      <c r="D582">
        <v>0</v>
      </c>
      <c r="E582" t="str">
        <f>VLOOKUP(B582,[1]Nuclides!A:E,5,FALSE)</f>
        <v>Sr89</v>
      </c>
      <c r="F582">
        <f>VLOOKUP(B582,[1]Nuclides!A:E,4,FALSE)</f>
        <v>4368643.2</v>
      </c>
      <c r="G582" t="str">
        <f t="shared" si="52"/>
        <v>50.56d</v>
      </c>
      <c r="H582">
        <f t="shared" si="53"/>
        <v>1.5866417760094148E-7</v>
      </c>
      <c r="I582">
        <f t="shared" si="54"/>
        <v>0</v>
      </c>
      <c r="J582">
        <f t="shared" si="55"/>
        <v>0</v>
      </c>
      <c r="K582" t="str">
        <f t="shared" si="56"/>
        <v>Sr89</v>
      </c>
    </row>
    <row r="583" spans="2:11" hidden="1" x14ac:dyDescent="0.2">
      <c r="B583" s="4">
        <v>38090</v>
      </c>
      <c r="C583" s="4">
        <v>0</v>
      </c>
      <c r="D583">
        <v>0</v>
      </c>
      <c r="E583" t="str">
        <f>VLOOKUP(B583,[1]Nuclides!A:E,5,FALSE)</f>
        <v>Sr90</v>
      </c>
      <c r="F583">
        <f>VLOOKUP(B583,[1]Nuclides!A:E,4,FALSE)</f>
        <v>912014640</v>
      </c>
      <c r="G583" t="str">
        <f t="shared" si="52"/>
        <v>28.92y</v>
      </c>
      <c r="H583">
        <f t="shared" si="53"/>
        <v>7.6001760296298017E-10</v>
      </c>
      <c r="I583">
        <f t="shared" si="54"/>
        <v>0</v>
      </c>
      <c r="J583">
        <f t="shared" si="55"/>
        <v>0</v>
      </c>
      <c r="K583" t="str">
        <f t="shared" si="56"/>
        <v>Sr90</v>
      </c>
    </row>
    <row r="584" spans="2:11" hidden="1" x14ac:dyDescent="0.2">
      <c r="B584" s="4">
        <v>38091</v>
      </c>
      <c r="C584" s="4">
        <v>0</v>
      </c>
      <c r="D584">
        <v>0</v>
      </c>
      <c r="E584" t="str">
        <f>VLOOKUP(B584,[1]Nuclides!A:E,5,FALSE)</f>
        <v>Sr91</v>
      </c>
      <c r="F584">
        <f>VLOOKUP(B584,[1]Nuclides!A:E,4,FALSE)</f>
        <v>34740</v>
      </c>
      <c r="G584" t="str">
        <f t="shared" si="52"/>
        <v>9.65h</v>
      </c>
      <c r="H584">
        <f t="shared" si="53"/>
        <v>1.9952423159468777E-5</v>
      </c>
      <c r="I584">
        <f t="shared" si="54"/>
        <v>0</v>
      </c>
      <c r="J584">
        <f t="shared" si="55"/>
        <v>0</v>
      </c>
      <c r="K584" t="str">
        <f t="shared" si="56"/>
        <v>Sr91</v>
      </c>
    </row>
    <row r="585" spans="2:11" hidden="1" x14ac:dyDescent="0.2">
      <c r="B585" s="4">
        <v>38092</v>
      </c>
      <c r="C585" s="4">
        <v>0</v>
      </c>
      <c r="D585">
        <v>0</v>
      </c>
      <c r="E585" t="str">
        <f>VLOOKUP(B585,[1]Nuclides!A:E,5,FALSE)</f>
        <v>Sr92</v>
      </c>
      <c r="F585">
        <f>VLOOKUP(B585,[1]Nuclides!A:E,4,FALSE)</f>
        <v>9399.6</v>
      </c>
      <c r="G585" t="str">
        <f t="shared" si="52"/>
        <v>2.61h</v>
      </c>
      <c r="H585">
        <f t="shared" si="53"/>
        <v>7.3742199727642167E-5</v>
      </c>
      <c r="I585">
        <f t="shared" si="54"/>
        <v>0</v>
      </c>
      <c r="J585">
        <f t="shared" si="55"/>
        <v>0</v>
      </c>
      <c r="K585" t="str">
        <f t="shared" si="56"/>
        <v>Sr92</v>
      </c>
    </row>
    <row r="586" spans="2:11" hidden="1" x14ac:dyDescent="0.2">
      <c r="B586" s="4">
        <v>38093</v>
      </c>
      <c r="C586" s="4">
        <v>0</v>
      </c>
      <c r="D586">
        <v>0</v>
      </c>
      <c r="E586" t="str">
        <f>VLOOKUP(B586,[1]Nuclides!A:E,5,FALSE)</f>
        <v>Sr93</v>
      </c>
      <c r="F586">
        <f>VLOOKUP(B586,[1]Nuclides!A:E,4,FALSE)</f>
        <v>445.79999999999899</v>
      </c>
      <c r="G586" t="str">
        <f t="shared" si="52"/>
        <v>7.43min</v>
      </c>
      <c r="H586">
        <f t="shared" si="53"/>
        <v>1.5548388976221329E-3</v>
      </c>
      <c r="I586">
        <f t="shared" si="54"/>
        <v>0</v>
      </c>
      <c r="J586">
        <f t="shared" si="55"/>
        <v>0</v>
      </c>
      <c r="K586" t="str">
        <f t="shared" si="56"/>
        <v>Sr93</v>
      </c>
    </row>
    <row r="587" spans="2:11" hidden="1" x14ac:dyDescent="0.2">
      <c r="B587" s="4">
        <v>38094</v>
      </c>
      <c r="C587" s="4">
        <v>0</v>
      </c>
      <c r="D587">
        <v>0</v>
      </c>
      <c r="E587" t="str">
        <f>VLOOKUP(B587,[1]Nuclides!A:E,5,FALSE)</f>
        <v>Sr94</v>
      </c>
      <c r="F587">
        <f>VLOOKUP(B587,[1]Nuclides!A:E,4,FALSE)</f>
        <v>75.3</v>
      </c>
      <c r="G587" t="str">
        <f t="shared" si="52"/>
        <v>1.26min</v>
      </c>
      <c r="H587">
        <f t="shared" si="53"/>
        <v>9.2051418401055147E-3</v>
      </c>
      <c r="I587">
        <f t="shared" si="54"/>
        <v>0</v>
      </c>
      <c r="J587">
        <f t="shared" si="55"/>
        <v>0</v>
      </c>
      <c r="K587" t="str">
        <f t="shared" si="56"/>
        <v>Sr94</v>
      </c>
    </row>
    <row r="588" spans="2:11" hidden="1" x14ac:dyDescent="0.2">
      <c r="B588" s="4">
        <v>38095</v>
      </c>
      <c r="C588" s="4">
        <v>0</v>
      </c>
      <c r="D588">
        <v>0</v>
      </c>
      <c r="E588" t="str">
        <f>VLOOKUP(B588,[1]Nuclides!A:E,5,FALSE)</f>
        <v>Sr95</v>
      </c>
      <c r="F588">
        <f>VLOOKUP(B588,[1]Nuclides!A:E,4,FALSE)</f>
        <v>23.9</v>
      </c>
      <c r="G588" t="str">
        <f t="shared" si="52"/>
        <v>23.9s</v>
      </c>
      <c r="H588">
        <f t="shared" si="53"/>
        <v>2.9001974082006082E-2</v>
      </c>
      <c r="I588">
        <f t="shared" si="54"/>
        <v>0</v>
      </c>
      <c r="J588">
        <f t="shared" si="55"/>
        <v>0</v>
      </c>
      <c r="K588" t="str">
        <f t="shared" si="56"/>
        <v>Sr95</v>
      </c>
    </row>
    <row r="589" spans="2:11" hidden="1" x14ac:dyDescent="0.2">
      <c r="B589" s="4">
        <v>38096</v>
      </c>
      <c r="C589" s="4">
        <v>0</v>
      </c>
      <c r="D589">
        <v>0</v>
      </c>
      <c r="E589" t="str">
        <f>VLOOKUP(B589,[1]Nuclides!A:E,5,FALSE)</f>
        <v>Sr96</v>
      </c>
      <c r="F589">
        <f>VLOOKUP(B589,[1]Nuclides!A:E,4,FALSE)</f>
        <v>1.07</v>
      </c>
      <c r="G589" t="str">
        <f t="shared" si="52"/>
        <v>1.07s</v>
      </c>
      <c r="H589">
        <f t="shared" si="53"/>
        <v>0.64780110332705165</v>
      </c>
      <c r="I589">
        <f t="shared" si="54"/>
        <v>0</v>
      </c>
      <c r="J589">
        <f t="shared" si="55"/>
        <v>0</v>
      </c>
      <c r="K589" t="str">
        <f t="shared" si="56"/>
        <v>Sr96</v>
      </c>
    </row>
    <row r="590" spans="2:11" hidden="1" x14ac:dyDescent="0.2">
      <c r="B590" s="4">
        <v>38097</v>
      </c>
      <c r="C590" s="4">
        <v>0</v>
      </c>
      <c r="D590">
        <v>0</v>
      </c>
      <c r="E590" t="str">
        <f>VLOOKUP(B590,[1]Nuclides!A:E,5,FALSE)</f>
        <v>Sr97</v>
      </c>
      <c r="F590">
        <f>VLOOKUP(B590,[1]Nuclides!A:E,4,FALSE)</f>
        <v>0.42899999999999999</v>
      </c>
      <c r="G590" t="str">
        <f t="shared" si="52"/>
        <v>0.429s</v>
      </c>
      <c r="H590">
        <f t="shared" si="53"/>
        <v>1.6157276936129261</v>
      </c>
      <c r="I590">
        <f t="shared" si="54"/>
        <v>0</v>
      </c>
      <c r="J590">
        <f t="shared" si="55"/>
        <v>0</v>
      </c>
      <c r="K590" t="str">
        <f t="shared" si="56"/>
        <v>Sr97</v>
      </c>
    </row>
    <row r="591" spans="2:11" hidden="1" x14ac:dyDescent="0.2">
      <c r="B591" s="4">
        <v>38098</v>
      </c>
      <c r="C591" s="4">
        <v>0</v>
      </c>
      <c r="D591">
        <v>0</v>
      </c>
      <c r="E591" t="str">
        <f>VLOOKUP(B591,[1]Nuclides!A:E,5,FALSE)</f>
        <v>Sr98</v>
      </c>
      <c r="F591">
        <f>VLOOKUP(B591,[1]Nuclides!A:E,4,FALSE)</f>
        <v>0.65300000000000002</v>
      </c>
      <c r="G591" t="str">
        <f t="shared" si="52"/>
        <v>0.653s</v>
      </c>
      <c r="H591">
        <f t="shared" si="53"/>
        <v>1.0614811340887369</v>
      </c>
      <c r="I591">
        <f t="shared" si="54"/>
        <v>0</v>
      </c>
      <c r="J591">
        <f t="shared" si="55"/>
        <v>0</v>
      </c>
      <c r="K591" t="str">
        <f t="shared" si="56"/>
        <v>Sr98</v>
      </c>
    </row>
    <row r="592" spans="2:11" hidden="1" x14ac:dyDescent="0.2">
      <c r="B592" s="4">
        <v>38099</v>
      </c>
      <c r="C592" s="4">
        <v>0</v>
      </c>
      <c r="D592">
        <v>0</v>
      </c>
      <c r="E592" t="str">
        <f>VLOOKUP(B592,[1]Nuclides!A:E,5,FALSE)</f>
        <v>Sr99</v>
      </c>
      <c r="F592">
        <f>VLOOKUP(B592,[1]Nuclides!A:E,4,FALSE)</f>
        <v>0.26900000000000002</v>
      </c>
      <c r="G592" t="str">
        <f t="shared" si="52"/>
        <v>0.269s</v>
      </c>
      <c r="H592">
        <f t="shared" si="53"/>
        <v>2.5767553180667111</v>
      </c>
      <c r="I592">
        <f t="shared" si="54"/>
        <v>0</v>
      </c>
      <c r="J592">
        <f t="shared" si="55"/>
        <v>0</v>
      </c>
      <c r="K592" t="str">
        <f t="shared" si="56"/>
        <v>Sr99</v>
      </c>
    </row>
    <row r="593" spans="2:11" hidden="1" x14ac:dyDescent="0.2">
      <c r="B593" s="4">
        <v>38100</v>
      </c>
      <c r="C593" s="4">
        <v>0</v>
      </c>
      <c r="D593">
        <v>0</v>
      </c>
      <c r="E593" t="str">
        <f>VLOOKUP(B593,[1]Nuclides!A:E,5,FALSE)</f>
        <v>Sr100</v>
      </c>
      <c r="F593">
        <f>VLOOKUP(B593,[1]Nuclides!A:E,4,FALSE)</f>
        <v>0.20200000000000001</v>
      </c>
      <c r="G593" t="str">
        <f t="shared" si="52"/>
        <v>0.202s</v>
      </c>
      <c r="H593">
        <f t="shared" si="53"/>
        <v>3.431421685940323</v>
      </c>
      <c r="I593">
        <f t="shared" si="54"/>
        <v>0</v>
      </c>
      <c r="J593">
        <f t="shared" si="55"/>
        <v>0</v>
      </c>
      <c r="K593" t="str">
        <f t="shared" si="56"/>
        <v>Sr100</v>
      </c>
    </row>
    <row r="594" spans="2:11" hidden="1" x14ac:dyDescent="0.2">
      <c r="B594" s="4">
        <v>39080</v>
      </c>
      <c r="C594" s="4">
        <v>0</v>
      </c>
      <c r="D594">
        <v>0</v>
      </c>
      <c r="E594" t="str">
        <f>VLOOKUP(B594,[1]Nuclides!A:E,5,FALSE)</f>
        <v>Y80</v>
      </c>
      <c r="F594">
        <f>VLOOKUP(B594,[1]Nuclides!A:E,4,FALSE)</f>
        <v>30.1</v>
      </c>
      <c r="G594" t="str">
        <f t="shared" si="52"/>
        <v>30.1s</v>
      </c>
      <c r="H594">
        <f t="shared" si="53"/>
        <v>2.3028145533552997E-2</v>
      </c>
      <c r="I594">
        <f t="shared" si="54"/>
        <v>0</v>
      </c>
      <c r="J594">
        <f t="shared" si="55"/>
        <v>0</v>
      </c>
      <c r="K594" t="str">
        <f t="shared" si="56"/>
        <v>Y80</v>
      </c>
    </row>
    <row r="595" spans="2:11" hidden="1" x14ac:dyDescent="0.2">
      <c r="B595" s="4">
        <v>39081</v>
      </c>
      <c r="C595" s="4">
        <v>0</v>
      </c>
      <c r="D595">
        <v>0</v>
      </c>
      <c r="E595" t="str">
        <f>VLOOKUP(B595,[1]Nuclides!A:E,5,FALSE)</f>
        <v>Y81</v>
      </c>
      <c r="F595">
        <f>VLOOKUP(B595,[1]Nuclides!A:E,4,FALSE)</f>
        <v>70.400000000000006</v>
      </c>
      <c r="G595" t="str">
        <f t="shared" si="52"/>
        <v>1.17min</v>
      </c>
      <c r="H595">
        <f t="shared" si="53"/>
        <v>9.8458406329537673E-3</v>
      </c>
      <c r="I595">
        <f t="shared" si="54"/>
        <v>0</v>
      </c>
      <c r="J595">
        <f t="shared" si="55"/>
        <v>0</v>
      </c>
      <c r="K595" t="str">
        <f t="shared" si="56"/>
        <v>Y81</v>
      </c>
    </row>
    <row r="596" spans="2:11" hidden="1" x14ac:dyDescent="0.2">
      <c r="B596" s="4">
        <v>39082</v>
      </c>
      <c r="C596" s="4">
        <v>0</v>
      </c>
      <c r="D596">
        <v>0</v>
      </c>
      <c r="E596" t="str">
        <f>VLOOKUP(B596,[1]Nuclides!A:E,5,FALSE)</f>
        <v>Y82</v>
      </c>
      <c r="F596">
        <f>VLOOKUP(B596,[1]Nuclides!A:E,4,FALSE)</f>
        <v>8.3000000000000007</v>
      </c>
      <c r="G596" t="str">
        <f t="shared" si="52"/>
        <v>8.3s</v>
      </c>
      <c r="H596">
        <f t="shared" si="53"/>
        <v>8.3511708501198226E-2</v>
      </c>
      <c r="I596">
        <f t="shared" si="54"/>
        <v>0</v>
      </c>
      <c r="J596">
        <f t="shared" si="55"/>
        <v>0</v>
      </c>
      <c r="K596" t="str">
        <f t="shared" si="56"/>
        <v>Y82</v>
      </c>
    </row>
    <row r="597" spans="2:11" hidden="1" x14ac:dyDescent="0.2">
      <c r="B597" s="4">
        <v>39083</v>
      </c>
      <c r="C597" s="4">
        <v>0</v>
      </c>
      <c r="D597">
        <v>0</v>
      </c>
      <c r="E597" t="str">
        <f>VLOOKUP(B597,[1]Nuclides!A:E,5,FALSE)</f>
        <v>Y83</v>
      </c>
      <c r="F597">
        <f>VLOOKUP(B597,[1]Nuclides!A:E,4,FALSE)</f>
        <v>424.8</v>
      </c>
      <c r="G597" t="str">
        <f t="shared" si="52"/>
        <v>7.08min</v>
      </c>
      <c r="H597">
        <f t="shared" si="53"/>
        <v>1.6317024024480821E-3</v>
      </c>
      <c r="I597">
        <f t="shared" si="54"/>
        <v>0</v>
      </c>
      <c r="J597">
        <f t="shared" si="55"/>
        <v>0</v>
      </c>
      <c r="K597" t="str">
        <f t="shared" si="56"/>
        <v>Y83</v>
      </c>
    </row>
    <row r="598" spans="2:11" hidden="1" x14ac:dyDescent="0.2">
      <c r="B598" s="4">
        <v>39084</v>
      </c>
      <c r="C598" s="4">
        <v>0</v>
      </c>
      <c r="D598">
        <v>0</v>
      </c>
      <c r="E598" t="str">
        <f>VLOOKUP(B598,[1]Nuclides!A:E,5,FALSE)</f>
        <v>Y84</v>
      </c>
      <c r="F598">
        <f>VLOOKUP(B598,[1]Nuclides!A:E,4,FALSE)</f>
        <v>2370</v>
      </c>
      <c r="G598" t="str">
        <f t="shared" si="52"/>
        <v>39.5min</v>
      </c>
      <c r="H598">
        <f t="shared" si="53"/>
        <v>2.9246716479322586E-4</v>
      </c>
      <c r="I598">
        <f t="shared" si="54"/>
        <v>0</v>
      </c>
      <c r="J598">
        <f t="shared" si="55"/>
        <v>0</v>
      </c>
      <c r="K598" t="str">
        <f t="shared" si="56"/>
        <v>Y84</v>
      </c>
    </row>
    <row r="599" spans="2:11" hidden="1" x14ac:dyDescent="0.2">
      <c r="B599" s="4">
        <v>39085</v>
      </c>
      <c r="C599" s="4">
        <v>0</v>
      </c>
      <c r="D599">
        <v>0</v>
      </c>
      <c r="E599" t="str">
        <f>VLOOKUP(B599,[1]Nuclides!A:E,5,FALSE)</f>
        <v>Y85</v>
      </c>
      <c r="F599">
        <f>VLOOKUP(B599,[1]Nuclides!A:E,4,FALSE)</f>
        <v>9648</v>
      </c>
      <c r="G599" t="str">
        <f t="shared" si="52"/>
        <v>2.68h</v>
      </c>
      <c r="H599">
        <f t="shared" si="53"/>
        <v>7.184361324211705E-5</v>
      </c>
      <c r="I599">
        <f t="shared" si="54"/>
        <v>0</v>
      </c>
      <c r="J599">
        <f t="shared" si="55"/>
        <v>0</v>
      </c>
      <c r="K599" t="str">
        <f t="shared" si="56"/>
        <v>Y85</v>
      </c>
    </row>
    <row r="600" spans="2:11" hidden="1" x14ac:dyDescent="0.2">
      <c r="B600" s="4">
        <v>39086</v>
      </c>
      <c r="C600" s="4">
        <v>0</v>
      </c>
      <c r="D600">
        <v>0</v>
      </c>
      <c r="E600" t="str">
        <f>VLOOKUP(B600,[1]Nuclides!A:E,5,FALSE)</f>
        <v>Y86</v>
      </c>
      <c r="F600">
        <f>VLOOKUP(B600,[1]Nuclides!A:E,4,FALSE)</f>
        <v>53064</v>
      </c>
      <c r="G600" t="str">
        <f t="shared" si="52"/>
        <v>14.74h</v>
      </c>
      <c r="H600">
        <f t="shared" si="53"/>
        <v>1.3062475134930372E-5</v>
      </c>
      <c r="I600">
        <f t="shared" si="54"/>
        <v>0</v>
      </c>
      <c r="J600">
        <f t="shared" si="55"/>
        <v>0</v>
      </c>
      <c r="K600" t="str">
        <f t="shared" si="56"/>
        <v>Y86</v>
      </c>
    </row>
    <row r="601" spans="2:11" hidden="1" x14ac:dyDescent="0.2">
      <c r="B601" s="4">
        <v>39087</v>
      </c>
      <c r="C601" s="4">
        <v>0</v>
      </c>
      <c r="D601">
        <v>0</v>
      </c>
      <c r="E601" t="str">
        <f>VLOOKUP(B601,[1]Nuclides!A:E,5,FALSE)</f>
        <v>Y87</v>
      </c>
      <c r="F601">
        <f>VLOOKUP(B601,[1]Nuclides!A:E,4,FALSE)</f>
        <v>287280</v>
      </c>
      <c r="G601" t="str">
        <f t="shared" si="52"/>
        <v>3.33d</v>
      </c>
      <c r="H601">
        <f t="shared" si="53"/>
        <v>2.4127930261763619E-6</v>
      </c>
      <c r="I601">
        <f t="shared" si="54"/>
        <v>0</v>
      </c>
      <c r="J601">
        <f t="shared" si="55"/>
        <v>0</v>
      </c>
      <c r="K601" t="str">
        <f t="shared" si="56"/>
        <v>Y87</v>
      </c>
    </row>
    <row r="602" spans="2:11" hidden="1" x14ac:dyDescent="0.2">
      <c r="B602" s="4">
        <v>39088</v>
      </c>
      <c r="C602" s="4">
        <v>0</v>
      </c>
      <c r="D602">
        <v>0</v>
      </c>
      <c r="E602" t="str">
        <f>VLOOKUP(B602,[1]Nuclides!A:E,5,FALSE)</f>
        <v>Y88</v>
      </c>
      <c r="F602">
        <f>VLOOKUP(B602,[1]Nuclides!A:E,4,FALSE)</f>
        <v>9212486.4000000004</v>
      </c>
      <c r="G602" t="str">
        <f t="shared" si="52"/>
        <v>106.63d</v>
      </c>
      <c r="H602">
        <f t="shared" si="53"/>
        <v>7.5239967850584322E-8</v>
      </c>
      <c r="I602">
        <f t="shared" si="54"/>
        <v>0</v>
      </c>
      <c r="J602">
        <f t="shared" si="55"/>
        <v>0</v>
      </c>
      <c r="K602" t="str">
        <f t="shared" si="56"/>
        <v>Y88</v>
      </c>
    </row>
    <row r="603" spans="2:11" hidden="1" x14ac:dyDescent="0.2">
      <c r="B603" s="4">
        <v>39089</v>
      </c>
      <c r="C603" s="4">
        <v>0</v>
      </c>
      <c r="D603">
        <v>0</v>
      </c>
      <c r="E603" t="str">
        <f>VLOOKUP(B603,[1]Nuclides!A:E,5,FALSE)</f>
        <v>Y89</v>
      </c>
      <c r="F603" t="str">
        <f>VLOOKUP(B603,[1]Nuclides!A:E,4,FALSE)</f>
        <v>STABLE</v>
      </c>
      <c r="G603" t="str">
        <f t="shared" si="52"/>
        <v>STABLE</v>
      </c>
      <c r="H603" t="e">
        <f t="shared" si="53"/>
        <v>#VALUE!</v>
      </c>
      <c r="I603" t="e">
        <f t="shared" si="54"/>
        <v>#VALUE!</v>
      </c>
      <c r="J603" t="e">
        <f t="shared" si="55"/>
        <v>#VALUE!</v>
      </c>
      <c r="K603" t="str">
        <f t="shared" si="56"/>
        <v>Y89</v>
      </c>
    </row>
    <row r="604" spans="2:11" hidden="1" x14ac:dyDescent="0.2">
      <c r="B604" s="4">
        <v>39090</v>
      </c>
      <c r="C604" s="4">
        <v>0</v>
      </c>
      <c r="D604">
        <v>0</v>
      </c>
      <c r="E604" t="str">
        <f>VLOOKUP(B604,[1]Nuclides!A:E,5,FALSE)</f>
        <v>Y90</v>
      </c>
      <c r="F604">
        <f>VLOOKUP(B604,[1]Nuclides!A:E,4,FALSE)</f>
        <v>230590.8</v>
      </c>
      <c r="G604" t="str">
        <f t="shared" si="52"/>
        <v>2.67d</v>
      </c>
      <c r="H604">
        <f t="shared" si="53"/>
        <v>3.0059619922388289E-6</v>
      </c>
      <c r="I604">
        <f t="shared" si="54"/>
        <v>0</v>
      </c>
      <c r="J604">
        <f t="shared" si="55"/>
        <v>0</v>
      </c>
      <c r="K604" t="str">
        <f t="shared" si="56"/>
        <v>Y90</v>
      </c>
    </row>
    <row r="605" spans="2:11" hidden="1" x14ac:dyDescent="0.2">
      <c r="B605" s="4">
        <v>39091</v>
      </c>
      <c r="C605" s="4">
        <v>0</v>
      </c>
      <c r="D605">
        <v>0</v>
      </c>
      <c r="E605" t="str">
        <f>VLOOKUP(B605,[1]Nuclides!A:E,5,FALSE)</f>
        <v>Y91</v>
      </c>
      <c r="F605">
        <f>VLOOKUP(B605,[1]Nuclides!A:E,4,FALSE)</f>
        <v>5055264</v>
      </c>
      <c r="G605" t="str">
        <f t="shared" si="52"/>
        <v>58.51d</v>
      </c>
      <c r="H605">
        <f t="shared" si="53"/>
        <v>1.3711394312145624E-7</v>
      </c>
      <c r="I605">
        <f t="shared" si="54"/>
        <v>0</v>
      </c>
      <c r="J605">
        <f t="shared" si="55"/>
        <v>0</v>
      </c>
      <c r="K605" t="str">
        <f t="shared" si="56"/>
        <v>Y91</v>
      </c>
    </row>
    <row r="606" spans="2:11" hidden="1" x14ac:dyDescent="0.2">
      <c r="B606" s="4">
        <v>39092</v>
      </c>
      <c r="C606" s="4">
        <v>0</v>
      </c>
      <c r="D606">
        <v>0</v>
      </c>
      <c r="E606" t="str">
        <f>VLOOKUP(B606,[1]Nuclides!A:E,5,FALSE)</f>
        <v>Y92</v>
      </c>
      <c r="F606">
        <f>VLOOKUP(B606,[1]Nuclides!A:E,4,FALSE)</f>
        <v>12744</v>
      </c>
      <c r="G606" t="str">
        <f t="shared" si="52"/>
        <v>3.54h</v>
      </c>
      <c r="H606">
        <f t="shared" si="53"/>
        <v>5.4390080081602739E-5</v>
      </c>
      <c r="I606">
        <f t="shared" si="54"/>
        <v>0</v>
      </c>
      <c r="J606">
        <f t="shared" si="55"/>
        <v>0</v>
      </c>
      <c r="K606" t="str">
        <f t="shared" si="56"/>
        <v>Y92</v>
      </c>
    </row>
    <row r="607" spans="2:11" hidden="1" x14ac:dyDescent="0.2">
      <c r="B607" s="4">
        <v>39093</v>
      </c>
      <c r="C607" s="4">
        <v>0</v>
      </c>
      <c r="D607">
        <v>0</v>
      </c>
      <c r="E607" t="str">
        <f>VLOOKUP(B607,[1]Nuclides!A:E,5,FALSE)</f>
        <v>Y93</v>
      </c>
      <c r="F607">
        <f>VLOOKUP(B607,[1]Nuclides!A:E,4,FALSE)</f>
        <v>36648</v>
      </c>
      <c r="G607" t="str">
        <f t="shared" si="52"/>
        <v>10.18h</v>
      </c>
      <c r="H607">
        <f t="shared" si="53"/>
        <v>1.891364277886775E-5</v>
      </c>
      <c r="I607">
        <f t="shared" si="54"/>
        <v>0</v>
      </c>
      <c r="J607">
        <f t="shared" si="55"/>
        <v>0</v>
      </c>
      <c r="K607" t="str">
        <f t="shared" si="56"/>
        <v>Y93</v>
      </c>
    </row>
    <row r="608" spans="2:11" hidden="1" x14ac:dyDescent="0.2">
      <c r="B608" s="4">
        <v>39094</v>
      </c>
      <c r="C608" s="4">
        <v>0</v>
      </c>
      <c r="D608">
        <v>0</v>
      </c>
      <c r="E608" t="str">
        <f>VLOOKUP(B608,[1]Nuclides!A:E,5,FALSE)</f>
        <v>Y94</v>
      </c>
      <c r="F608">
        <f>VLOOKUP(B608,[1]Nuclides!A:E,4,FALSE)</f>
        <v>1122</v>
      </c>
      <c r="G608" t="str">
        <f t="shared" si="52"/>
        <v>18.7min</v>
      </c>
      <c r="H608">
        <f t="shared" si="53"/>
        <v>6.1777823579317766E-4</v>
      </c>
      <c r="I608">
        <f t="shared" si="54"/>
        <v>0</v>
      </c>
      <c r="J608">
        <f t="shared" si="55"/>
        <v>0</v>
      </c>
      <c r="K608" t="str">
        <f t="shared" si="56"/>
        <v>Y94</v>
      </c>
    </row>
    <row r="609" spans="2:11" hidden="1" x14ac:dyDescent="0.2">
      <c r="B609" s="4">
        <v>39095</v>
      </c>
      <c r="C609" s="4">
        <v>0</v>
      </c>
      <c r="D609">
        <v>0</v>
      </c>
      <c r="E609" t="str">
        <f>VLOOKUP(B609,[1]Nuclides!A:E,5,FALSE)</f>
        <v>Y95</v>
      </c>
      <c r="F609">
        <f>VLOOKUP(B609,[1]Nuclides!A:E,4,FALSE)</f>
        <v>618</v>
      </c>
      <c r="G609" t="str">
        <f t="shared" si="52"/>
        <v>10.3min</v>
      </c>
      <c r="H609">
        <f t="shared" si="53"/>
        <v>1.1215973795468371E-3</v>
      </c>
      <c r="I609">
        <f t="shared" si="54"/>
        <v>0</v>
      </c>
      <c r="J609">
        <f t="shared" si="55"/>
        <v>0</v>
      </c>
      <c r="K609" t="str">
        <f t="shared" si="56"/>
        <v>Y95</v>
      </c>
    </row>
    <row r="610" spans="2:11" hidden="1" x14ac:dyDescent="0.2">
      <c r="B610" s="4">
        <v>39096</v>
      </c>
      <c r="C610" s="4">
        <v>0</v>
      </c>
      <c r="D610">
        <v>0</v>
      </c>
      <c r="E610" t="str">
        <f>VLOOKUP(B610,[1]Nuclides!A:E,5,FALSE)</f>
        <v>Y96</v>
      </c>
      <c r="F610">
        <f>VLOOKUP(B610,[1]Nuclides!A:E,4,FALSE)</f>
        <v>5.34</v>
      </c>
      <c r="G610" t="str">
        <f t="shared" si="52"/>
        <v>5.34s</v>
      </c>
      <c r="H610">
        <f t="shared" si="53"/>
        <v>0.12980284280148788</v>
      </c>
      <c r="I610">
        <f t="shared" si="54"/>
        <v>0</v>
      </c>
      <c r="J610">
        <f t="shared" si="55"/>
        <v>0</v>
      </c>
      <c r="K610" t="str">
        <f t="shared" si="56"/>
        <v>Y96</v>
      </c>
    </row>
    <row r="611" spans="2:11" hidden="1" x14ac:dyDescent="0.2">
      <c r="B611" s="4">
        <v>39097</v>
      </c>
      <c r="C611" s="4">
        <v>0</v>
      </c>
      <c r="D611">
        <v>0</v>
      </c>
      <c r="E611" t="str">
        <f>VLOOKUP(B611,[1]Nuclides!A:E,5,FALSE)</f>
        <v>Y97</v>
      </c>
      <c r="F611">
        <f>VLOOKUP(B611,[1]Nuclides!A:E,4,FALSE)</f>
        <v>3.75</v>
      </c>
      <c r="G611" t="str">
        <f t="shared" si="52"/>
        <v>3.75s</v>
      </c>
      <c r="H611">
        <f t="shared" si="53"/>
        <v>0.18483924814931874</v>
      </c>
      <c r="I611">
        <f t="shared" si="54"/>
        <v>0</v>
      </c>
      <c r="J611">
        <f t="shared" si="55"/>
        <v>0</v>
      </c>
      <c r="K611" t="str">
        <f t="shared" si="56"/>
        <v>Y97</v>
      </c>
    </row>
    <row r="612" spans="2:11" hidden="1" x14ac:dyDescent="0.2">
      <c r="B612" s="4">
        <v>39098</v>
      </c>
      <c r="C612" s="4">
        <v>0</v>
      </c>
      <c r="D612">
        <v>0</v>
      </c>
      <c r="E612" t="str">
        <f>VLOOKUP(B612,[1]Nuclides!A:E,5,FALSE)</f>
        <v>Y98</v>
      </c>
      <c r="F612">
        <f>VLOOKUP(B612,[1]Nuclides!A:E,4,FALSE)</f>
        <v>0.54800000000000004</v>
      </c>
      <c r="G612" t="str">
        <f t="shared" si="52"/>
        <v>0.548s</v>
      </c>
      <c r="H612">
        <f t="shared" si="53"/>
        <v>1.264867117810119</v>
      </c>
      <c r="I612">
        <f t="shared" si="54"/>
        <v>0</v>
      </c>
      <c r="J612">
        <f t="shared" si="55"/>
        <v>0</v>
      </c>
      <c r="K612" t="str">
        <f t="shared" si="56"/>
        <v>Y98</v>
      </c>
    </row>
    <row r="613" spans="2:11" hidden="1" x14ac:dyDescent="0.2">
      <c r="B613" s="4">
        <v>39099</v>
      </c>
      <c r="C613" s="4">
        <v>0</v>
      </c>
      <c r="D613">
        <v>0</v>
      </c>
      <c r="E613" t="str">
        <f>VLOOKUP(B613,[1]Nuclides!A:E,5,FALSE)</f>
        <v>Y99</v>
      </c>
      <c r="F613">
        <f>VLOOKUP(B613,[1]Nuclides!A:E,4,FALSE)</f>
        <v>1.484</v>
      </c>
      <c r="G613" t="str">
        <f t="shared" si="52"/>
        <v>1.484s</v>
      </c>
      <c r="H613">
        <f t="shared" si="53"/>
        <v>0.46708031035036746</v>
      </c>
      <c r="I613">
        <f t="shared" si="54"/>
        <v>0</v>
      </c>
      <c r="J613">
        <f t="shared" si="55"/>
        <v>0</v>
      </c>
      <c r="K613" t="str">
        <f t="shared" si="56"/>
        <v>Y99</v>
      </c>
    </row>
    <row r="614" spans="2:11" hidden="1" x14ac:dyDescent="0.2">
      <c r="B614" s="4">
        <v>39100</v>
      </c>
      <c r="C614" s="4">
        <v>0</v>
      </c>
      <c r="D614">
        <v>0</v>
      </c>
      <c r="E614" t="str">
        <f>VLOOKUP(B614,[1]Nuclides!A:E,5,FALSE)</f>
        <v>Y100</v>
      </c>
      <c r="F614">
        <f>VLOOKUP(B614,[1]Nuclides!A:E,4,FALSE)</f>
        <v>0.73499999999999999</v>
      </c>
      <c r="G614" t="str">
        <f t="shared" si="52"/>
        <v>0.735s</v>
      </c>
      <c r="H614">
        <f t="shared" si="53"/>
        <v>0.94305738851693233</v>
      </c>
      <c r="I614">
        <f t="shared" si="54"/>
        <v>0</v>
      </c>
      <c r="J614">
        <f t="shared" si="55"/>
        <v>0</v>
      </c>
      <c r="K614" t="str">
        <f t="shared" si="56"/>
        <v>Y100</v>
      </c>
    </row>
    <row r="615" spans="2:11" hidden="1" x14ac:dyDescent="0.2">
      <c r="B615" s="4">
        <v>39101</v>
      </c>
      <c r="C615" s="4">
        <v>0</v>
      </c>
      <c r="D615">
        <v>0</v>
      </c>
      <c r="E615" t="str">
        <f>VLOOKUP(B615,[1]Nuclides!A:E,5,FALSE)</f>
        <v>Y101</v>
      </c>
      <c r="F615">
        <f>VLOOKUP(B615,[1]Nuclides!A:E,4,FALSE)</f>
        <v>0.45</v>
      </c>
      <c r="G615" t="str">
        <f t="shared" si="52"/>
        <v>0.45s</v>
      </c>
      <c r="H615">
        <f t="shared" si="53"/>
        <v>1.5403270679109895</v>
      </c>
      <c r="I615">
        <f t="shared" si="54"/>
        <v>0</v>
      </c>
      <c r="J615">
        <f t="shared" si="55"/>
        <v>0</v>
      </c>
      <c r="K615" t="str">
        <f t="shared" si="56"/>
        <v>Y101</v>
      </c>
    </row>
    <row r="616" spans="2:11" hidden="1" x14ac:dyDescent="0.2">
      <c r="B616" s="4">
        <v>39102</v>
      </c>
      <c r="C616" s="4">
        <v>0</v>
      </c>
      <c r="D616">
        <v>0</v>
      </c>
      <c r="E616" t="str">
        <f>VLOOKUP(B616,[1]Nuclides!A:E,5,FALSE)</f>
        <v>Y102</v>
      </c>
      <c r="F616">
        <f>VLOOKUP(B616,[1]Nuclides!A:E,4,FALSE)</f>
        <v>0.36</v>
      </c>
      <c r="G616" t="str">
        <f t="shared" si="52"/>
        <v>0.36s</v>
      </c>
      <c r="H616">
        <f t="shared" si="53"/>
        <v>1.925408834888737</v>
      </c>
      <c r="I616">
        <f t="shared" si="54"/>
        <v>0</v>
      </c>
      <c r="J616">
        <f t="shared" si="55"/>
        <v>0</v>
      </c>
      <c r="K616" t="str">
        <f t="shared" si="56"/>
        <v>Y102</v>
      </c>
    </row>
    <row r="617" spans="2:11" hidden="1" x14ac:dyDescent="0.2">
      <c r="B617" s="4">
        <v>40081</v>
      </c>
      <c r="C617" s="4">
        <v>0</v>
      </c>
      <c r="D617">
        <v>0</v>
      </c>
      <c r="E617" t="str">
        <f>VLOOKUP(B617,[1]Nuclides!A:E,5,FALSE)</f>
        <v>Zr81</v>
      </c>
      <c r="F617">
        <f>VLOOKUP(B617,[1]Nuclides!A:E,4,FALSE)</f>
        <v>5.5</v>
      </c>
      <c r="G617" t="str">
        <f t="shared" si="52"/>
        <v>5.5s</v>
      </c>
      <c r="H617">
        <f t="shared" si="53"/>
        <v>0.12602676010180824</v>
      </c>
      <c r="I617">
        <f t="shared" si="54"/>
        <v>0</v>
      </c>
      <c r="J617">
        <f t="shared" si="55"/>
        <v>0</v>
      </c>
      <c r="K617" t="str">
        <f t="shared" si="56"/>
        <v>Zr81</v>
      </c>
    </row>
    <row r="618" spans="2:11" hidden="1" x14ac:dyDescent="0.2">
      <c r="B618" s="4">
        <v>40082</v>
      </c>
      <c r="C618" s="4">
        <v>0</v>
      </c>
      <c r="D618">
        <v>0</v>
      </c>
      <c r="E618" t="str">
        <f>VLOOKUP(B618,[1]Nuclides!A:E,5,FALSE)</f>
        <v>Zr82</v>
      </c>
      <c r="F618">
        <f>VLOOKUP(B618,[1]Nuclides!A:E,4,FALSE)</f>
        <v>32</v>
      </c>
      <c r="G618" t="str">
        <f t="shared" si="52"/>
        <v>32s</v>
      </c>
      <c r="H618">
        <f t="shared" si="53"/>
        <v>2.166084939249829E-2</v>
      </c>
      <c r="I618">
        <f t="shared" si="54"/>
        <v>0</v>
      </c>
      <c r="J618">
        <f t="shared" si="55"/>
        <v>0</v>
      </c>
      <c r="K618" t="str">
        <f t="shared" si="56"/>
        <v>Zr82</v>
      </c>
    </row>
    <row r="619" spans="2:11" hidden="1" x14ac:dyDescent="0.2">
      <c r="B619" s="4">
        <v>40083</v>
      </c>
      <c r="C619" s="4">
        <v>0</v>
      </c>
      <c r="D619">
        <v>0</v>
      </c>
      <c r="E619" t="str">
        <f>VLOOKUP(B619,[1]Nuclides!A:E,5,FALSE)</f>
        <v>Zr83</v>
      </c>
      <c r="F619">
        <f>VLOOKUP(B619,[1]Nuclides!A:E,4,FALSE)</f>
        <v>42</v>
      </c>
      <c r="G619" t="str">
        <f t="shared" si="52"/>
        <v>42s</v>
      </c>
      <c r="H619">
        <f t="shared" si="53"/>
        <v>1.6503504299046318E-2</v>
      </c>
      <c r="I619">
        <f t="shared" si="54"/>
        <v>0</v>
      </c>
      <c r="J619">
        <f t="shared" si="55"/>
        <v>0</v>
      </c>
      <c r="K619" t="str">
        <f t="shared" si="56"/>
        <v>Zr83</v>
      </c>
    </row>
    <row r="620" spans="2:11" hidden="1" x14ac:dyDescent="0.2">
      <c r="B620" s="4">
        <v>40084</v>
      </c>
      <c r="C620" s="4">
        <v>0</v>
      </c>
      <c r="D620">
        <v>0</v>
      </c>
      <c r="E620" t="str">
        <f>VLOOKUP(B620,[1]Nuclides!A:E,5,FALSE)</f>
        <v>Zr84</v>
      </c>
      <c r="F620">
        <f>VLOOKUP(B620,[1]Nuclides!A:E,4,FALSE)</f>
        <v>1548</v>
      </c>
      <c r="G620" t="str">
        <f t="shared" si="52"/>
        <v>25.8min</v>
      </c>
      <c r="H620">
        <f t="shared" si="53"/>
        <v>4.4776949648575278E-4</v>
      </c>
      <c r="I620">
        <f t="shared" si="54"/>
        <v>0</v>
      </c>
      <c r="J620">
        <f t="shared" si="55"/>
        <v>0</v>
      </c>
      <c r="K620" t="str">
        <f t="shared" si="56"/>
        <v>Zr84</v>
      </c>
    </row>
    <row r="621" spans="2:11" hidden="1" x14ac:dyDescent="0.2">
      <c r="B621" s="4">
        <v>40085</v>
      </c>
      <c r="C621" s="4">
        <v>0</v>
      </c>
      <c r="D621">
        <v>0</v>
      </c>
      <c r="E621" t="str">
        <f>VLOOKUP(B621,[1]Nuclides!A:E,5,FALSE)</f>
        <v>Zr85</v>
      </c>
      <c r="F621">
        <f>VLOOKUP(B621,[1]Nuclides!A:E,4,FALSE)</f>
        <v>471.6</v>
      </c>
      <c r="G621" t="str">
        <f t="shared" si="52"/>
        <v>7.86min</v>
      </c>
      <c r="H621">
        <f t="shared" si="53"/>
        <v>1.4697777365562876E-3</v>
      </c>
      <c r="I621">
        <f t="shared" si="54"/>
        <v>0</v>
      </c>
      <c r="J621">
        <f t="shared" si="55"/>
        <v>0</v>
      </c>
      <c r="K621" t="str">
        <f t="shared" si="56"/>
        <v>Zr85</v>
      </c>
    </row>
    <row r="622" spans="2:11" hidden="1" x14ac:dyDescent="0.2">
      <c r="B622" s="4">
        <v>40086</v>
      </c>
      <c r="C622" s="4">
        <v>0</v>
      </c>
      <c r="D622">
        <v>0</v>
      </c>
      <c r="E622" t="str">
        <f>VLOOKUP(B622,[1]Nuclides!A:E,5,FALSE)</f>
        <v>Zr86</v>
      </c>
      <c r="F622">
        <f>VLOOKUP(B622,[1]Nuclides!A:E,4,FALSE)</f>
        <v>59400</v>
      </c>
      <c r="G622" t="str">
        <f t="shared" si="52"/>
        <v>16.5h</v>
      </c>
      <c r="H622">
        <f t="shared" si="53"/>
        <v>1.1669144453871133E-5</v>
      </c>
      <c r="I622">
        <f t="shared" si="54"/>
        <v>0</v>
      </c>
      <c r="J622">
        <f t="shared" si="55"/>
        <v>0</v>
      </c>
      <c r="K622" t="str">
        <f t="shared" si="56"/>
        <v>Zr86</v>
      </c>
    </row>
    <row r="623" spans="2:11" hidden="1" x14ac:dyDescent="0.2">
      <c r="B623" s="4">
        <v>40087</v>
      </c>
      <c r="C623" s="4">
        <v>0</v>
      </c>
      <c r="D623">
        <v>0</v>
      </c>
      <c r="E623" t="str">
        <f>VLOOKUP(B623,[1]Nuclides!A:E,5,FALSE)</f>
        <v>Zr87</v>
      </c>
      <c r="F623">
        <f>VLOOKUP(B623,[1]Nuclides!A:E,4,FALSE)</f>
        <v>6048</v>
      </c>
      <c r="G623" t="str">
        <f t="shared" si="52"/>
        <v>1.68h</v>
      </c>
      <c r="H623">
        <f t="shared" si="53"/>
        <v>1.146076687433772E-4</v>
      </c>
      <c r="I623">
        <f t="shared" si="54"/>
        <v>0</v>
      </c>
      <c r="J623">
        <f t="shared" si="55"/>
        <v>0</v>
      </c>
      <c r="K623" t="str">
        <f t="shared" si="56"/>
        <v>Zr87</v>
      </c>
    </row>
    <row r="624" spans="2:11" hidden="1" x14ac:dyDescent="0.2">
      <c r="B624" s="4">
        <v>40088</v>
      </c>
      <c r="C624" s="4">
        <v>0</v>
      </c>
      <c r="D624">
        <v>0</v>
      </c>
      <c r="E624" t="str">
        <f>VLOOKUP(B624,[1]Nuclides!A:E,5,FALSE)</f>
        <v>Zr88</v>
      </c>
      <c r="F624">
        <f>VLOOKUP(B624,[1]Nuclides!A:E,4,FALSE)</f>
        <v>7205760</v>
      </c>
      <c r="G624" t="str">
        <f t="shared" si="52"/>
        <v>83.4d</v>
      </c>
      <c r="H624">
        <f t="shared" si="53"/>
        <v>9.6193486954872943E-8</v>
      </c>
      <c r="I624">
        <f t="shared" si="54"/>
        <v>0</v>
      </c>
      <c r="J624">
        <f t="shared" si="55"/>
        <v>0</v>
      </c>
      <c r="K624" t="str">
        <f t="shared" si="56"/>
        <v>Zr88</v>
      </c>
    </row>
    <row r="625" spans="2:11" hidden="1" x14ac:dyDescent="0.2">
      <c r="B625" s="4">
        <v>40089</v>
      </c>
      <c r="C625" s="4">
        <v>0</v>
      </c>
      <c r="D625">
        <v>0</v>
      </c>
      <c r="E625" t="str">
        <f>VLOOKUP(B625,[1]Nuclides!A:E,5,FALSE)</f>
        <v>Zr89</v>
      </c>
      <c r="F625">
        <f>VLOOKUP(B625,[1]Nuclides!A:E,4,FALSE)</f>
        <v>282276</v>
      </c>
      <c r="G625" t="str">
        <f t="shared" si="52"/>
        <v>3.27d</v>
      </c>
      <c r="H625">
        <f t="shared" si="53"/>
        <v>2.4555654060562899E-6</v>
      </c>
      <c r="I625">
        <f t="shared" si="54"/>
        <v>0</v>
      </c>
      <c r="J625">
        <f t="shared" si="55"/>
        <v>0</v>
      </c>
      <c r="K625" t="str">
        <f t="shared" si="56"/>
        <v>Zr89</v>
      </c>
    </row>
    <row r="626" spans="2:11" hidden="1" x14ac:dyDescent="0.2">
      <c r="B626" s="4">
        <v>40090</v>
      </c>
      <c r="C626" s="4">
        <v>0</v>
      </c>
      <c r="D626">
        <v>0</v>
      </c>
      <c r="E626" t="str">
        <f>VLOOKUP(B626,[1]Nuclides!A:E,5,FALSE)</f>
        <v>Zr90</v>
      </c>
      <c r="F626" t="str">
        <f>VLOOKUP(B626,[1]Nuclides!A:E,4,FALSE)</f>
        <v>STABLE</v>
      </c>
      <c r="G626" t="str">
        <f t="shared" si="52"/>
        <v>STABLE</v>
      </c>
      <c r="H626" t="e">
        <f t="shared" si="53"/>
        <v>#VALUE!</v>
      </c>
      <c r="I626" t="e">
        <f t="shared" si="54"/>
        <v>#VALUE!</v>
      </c>
      <c r="J626" t="e">
        <f t="shared" si="55"/>
        <v>#VALUE!</v>
      </c>
      <c r="K626" t="str">
        <f t="shared" si="56"/>
        <v>Zr90</v>
      </c>
    </row>
    <row r="627" spans="2:11" hidden="1" x14ac:dyDescent="0.2">
      <c r="B627" s="4">
        <v>40091</v>
      </c>
      <c r="C627" s="4">
        <v>0</v>
      </c>
      <c r="D627">
        <v>0</v>
      </c>
      <c r="E627" t="str">
        <f>VLOOKUP(B627,[1]Nuclides!A:E,5,FALSE)</f>
        <v>Zr91</v>
      </c>
      <c r="F627" t="str">
        <f>VLOOKUP(B627,[1]Nuclides!A:E,4,FALSE)</f>
        <v>STABLE</v>
      </c>
      <c r="G627" t="str">
        <f t="shared" si="52"/>
        <v>STABLE</v>
      </c>
      <c r="H627" t="e">
        <f t="shared" si="53"/>
        <v>#VALUE!</v>
      </c>
      <c r="I627" t="e">
        <f t="shared" si="54"/>
        <v>#VALUE!</v>
      </c>
      <c r="J627" t="e">
        <f t="shared" si="55"/>
        <v>#VALUE!</v>
      </c>
      <c r="K627" t="str">
        <f t="shared" si="56"/>
        <v>Zr91</v>
      </c>
    </row>
    <row r="628" spans="2:11" hidden="1" x14ac:dyDescent="0.2">
      <c r="B628" s="4">
        <v>40092</v>
      </c>
      <c r="C628" s="4">
        <v>0</v>
      </c>
      <c r="D628">
        <v>0</v>
      </c>
      <c r="E628" t="str">
        <f>VLOOKUP(B628,[1]Nuclides!A:E,5,FALSE)</f>
        <v>Zr92</v>
      </c>
      <c r="F628" t="str">
        <f>VLOOKUP(B628,[1]Nuclides!A:E,4,FALSE)</f>
        <v>STABLE</v>
      </c>
      <c r="G628" t="str">
        <f t="shared" si="52"/>
        <v>STABLE</v>
      </c>
      <c r="H628" t="e">
        <f t="shared" si="53"/>
        <v>#VALUE!</v>
      </c>
      <c r="I628" t="e">
        <f t="shared" si="54"/>
        <v>#VALUE!</v>
      </c>
      <c r="J628" t="e">
        <f t="shared" si="55"/>
        <v>#VALUE!</v>
      </c>
      <c r="K628" t="str">
        <f t="shared" si="56"/>
        <v>Zr92</v>
      </c>
    </row>
    <row r="629" spans="2:11" hidden="1" x14ac:dyDescent="0.2">
      <c r="B629" s="4">
        <v>40093</v>
      </c>
      <c r="C629" s="4">
        <v>0</v>
      </c>
      <c r="D629">
        <v>0</v>
      </c>
      <c r="E629" t="str">
        <f>VLOOKUP(B629,[1]Nuclides!A:E,5,FALSE)</f>
        <v>Zr93</v>
      </c>
      <c r="F629">
        <f>VLOOKUP(B629,[1]Nuclides!A:E,4,FALSE)</f>
        <v>50807736000000</v>
      </c>
      <c r="G629" t="str">
        <f t="shared" si="52"/>
        <v>1611102.74y</v>
      </c>
      <c r="H629">
        <f t="shared" si="53"/>
        <v>1.3642552003496973E-14</v>
      </c>
      <c r="I629">
        <f t="shared" si="54"/>
        <v>0</v>
      </c>
      <c r="J629">
        <f t="shared" si="55"/>
        <v>0</v>
      </c>
      <c r="K629" t="str">
        <f t="shared" si="56"/>
        <v>Zr93</v>
      </c>
    </row>
    <row r="630" spans="2:11" hidden="1" x14ac:dyDescent="0.2">
      <c r="B630" s="4">
        <v>40094</v>
      </c>
      <c r="C630" s="4">
        <v>0</v>
      </c>
      <c r="D630">
        <v>0</v>
      </c>
      <c r="E630" t="str">
        <f>VLOOKUP(B630,[1]Nuclides!A:E,5,FALSE)</f>
        <v>Zr94</v>
      </c>
      <c r="F630" t="str">
        <f>VLOOKUP(B630,[1]Nuclides!A:E,4,FALSE)</f>
        <v>STABLE</v>
      </c>
      <c r="G630" t="str">
        <f t="shared" si="52"/>
        <v>STABLE</v>
      </c>
      <c r="H630" t="e">
        <f t="shared" si="53"/>
        <v>#VALUE!</v>
      </c>
      <c r="I630" t="e">
        <f t="shared" si="54"/>
        <v>#VALUE!</v>
      </c>
      <c r="J630" t="e">
        <f t="shared" si="55"/>
        <v>#VALUE!</v>
      </c>
      <c r="K630" t="str">
        <f t="shared" si="56"/>
        <v>Zr94</v>
      </c>
    </row>
    <row r="631" spans="2:11" hidden="1" x14ac:dyDescent="0.2">
      <c r="B631" s="4">
        <v>40095</v>
      </c>
      <c r="C631" s="4">
        <v>0</v>
      </c>
      <c r="D631">
        <v>0</v>
      </c>
      <c r="E631" t="str">
        <f>VLOOKUP(B631,[1]Nuclides!A:E,5,FALSE)</f>
        <v>Zr95</v>
      </c>
      <c r="F631">
        <f>VLOOKUP(B631,[1]Nuclides!A:E,4,FALSE)</f>
        <v>5532364.7999999998</v>
      </c>
      <c r="G631" t="str">
        <f t="shared" si="52"/>
        <v>64.03d</v>
      </c>
      <c r="H631">
        <f t="shared" si="53"/>
        <v>1.2528949294159802E-7</v>
      </c>
      <c r="I631">
        <f t="shared" si="54"/>
        <v>0</v>
      </c>
      <c r="J631">
        <f t="shared" si="55"/>
        <v>0</v>
      </c>
      <c r="K631" t="str">
        <f t="shared" si="56"/>
        <v>Zr95</v>
      </c>
    </row>
    <row r="632" spans="2:11" hidden="1" x14ac:dyDescent="0.2">
      <c r="B632" s="4">
        <v>40096</v>
      </c>
      <c r="C632" s="4">
        <v>0</v>
      </c>
      <c r="D632">
        <v>0</v>
      </c>
      <c r="E632" t="str">
        <f>VLOOKUP(B632,[1]Nuclides!A:E,5,FALSE)</f>
        <v>Zr96</v>
      </c>
      <c r="F632">
        <f>VLOOKUP(B632,[1]Nuclides!A:E,4,FALSE)</f>
        <v>7.4160360000000004E+26</v>
      </c>
      <c r="G632" t="str">
        <f t="shared" si="52"/>
        <v>23516095890411000000y</v>
      </c>
      <c r="H632">
        <f t="shared" si="53"/>
        <v>9.3465994577149465E-28</v>
      </c>
      <c r="I632">
        <f t="shared" si="54"/>
        <v>0</v>
      </c>
      <c r="J632">
        <f t="shared" si="55"/>
        <v>0</v>
      </c>
      <c r="K632" t="str">
        <f t="shared" si="56"/>
        <v>Zr96</v>
      </c>
    </row>
    <row r="633" spans="2:11" hidden="1" x14ac:dyDescent="0.2">
      <c r="B633" s="4">
        <v>40097</v>
      </c>
      <c r="C633" s="4">
        <v>0</v>
      </c>
      <c r="D633">
        <v>0</v>
      </c>
      <c r="E633" t="str">
        <f>VLOOKUP(B633,[1]Nuclides!A:E,5,FALSE)</f>
        <v>Zr97</v>
      </c>
      <c r="F633">
        <f>VLOOKUP(B633,[1]Nuclides!A:E,4,FALSE)</f>
        <v>60296.3999999999</v>
      </c>
      <c r="G633" t="str">
        <f t="shared" si="52"/>
        <v>16.75h</v>
      </c>
      <c r="H633">
        <f t="shared" si="53"/>
        <v>1.149566442706275E-5</v>
      </c>
      <c r="I633">
        <f t="shared" si="54"/>
        <v>0</v>
      </c>
      <c r="J633">
        <f t="shared" si="55"/>
        <v>0</v>
      </c>
      <c r="K633" t="str">
        <f t="shared" si="56"/>
        <v>Zr97</v>
      </c>
    </row>
    <row r="634" spans="2:11" hidden="1" x14ac:dyDescent="0.2">
      <c r="B634" s="4">
        <v>40098</v>
      </c>
      <c r="C634" s="4">
        <v>0</v>
      </c>
      <c r="D634">
        <v>0</v>
      </c>
      <c r="E634" t="str">
        <f>VLOOKUP(B634,[1]Nuclides!A:E,5,FALSE)</f>
        <v>Zr98</v>
      </c>
      <c r="F634">
        <f>VLOOKUP(B634,[1]Nuclides!A:E,4,FALSE)</f>
        <v>30.7</v>
      </c>
      <c r="G634" t="str">
        <f t="shared" si="52"/>
        <v>30.7s</v>
      </c>
      <c r="H634">
        <f t="shared" si="53"/>
        <v>2.2578084057327207E-2</v>
      </c>
      <c r="I634">
        <f t="shared" si="54"/>
        <v>0</v>
      </c>
      <c r="J634">
        <f t="shared" si="55"/>
        <v>0</v>
      </c>
      <c r="K634" t="str">
        <f t="shared" si="56"/>
        <v>Zr98</v>
      </c>
    </row>
    <row r="635" spans="2:11" hidden="1" x14ac:dyDescent="0.2">
      <c r="B635" s="4">
        <v>40099</v>
      </c>
      <c r="C635" s="4">
        <v>0</v>
      </c>
      <c r="D635">
        <v>0</v>
      </c>
      <c r="E635" t="str">
        <f>VLOOKUP(B635,[1]Nuclides!A:E,5,FALSE)</f>
        <v>Zr99</v>
      </c>
      <c r="F635">
        <f>VLOOKUP(B635,[1]Nuclides!A:E,4,FALSE)</f>
        <v>2.1</v>
      </c>
      <c r="G635" t="str">
        <f t="shared" si="52"/>
        <v>2.1s</v>
      </c>
      <c r="H635">
        <f t="shared" si="53"/>
        <v>0.3300700859809263</v>
      </c>
      <c r="I635">
        <f t="shared" si="54"/>
        <v>0</v>
      </c>
      <c r="J635">
        <f t="shared" si="55"/>
        <v>0</v>
      </c>
      <c r="K635" t="str">
        <f t="shared" si="56"/>
        <v>Zr99</v>
      </c>
    </row>
    <row r="636" spans="2:11" hidden="1" x14ac:dyDescent="0.2">
      <c r="B636" s="4">
        <v>40100</v>
      </c>
      <c r="C636" s="4">
        <v>0</v>
      </c>
      <c r="D636">
        <v>0</v>
      </c>
      <c r="E636" t="str">
        <f>VLOOKUP(B636,[1]Nuclides!A:E,5,FALSE)</f>
        <v>Zr100</v>
      </c>
      <c r="F636">
        <f>VLOOKUP(B636,[1]Nuclides!A:E,4,FALSE)</f>
        <v>7.1</v>
      </c>
      <c r="G636" t="str">
        <f t="shared" si="52"/>
        <v>7.1s</v>
      </c>
      <c r="H636">
        <f t="shared" si="53"/>
        <v>9.7626363459147228E-2</v>
      </c>
      <c r="I636">
        <f t="shared" si="54"/>
        <v>0</v>
      </c>
      <c r="J636">
        <f t="shared" si="55"/>
        <v>0</v>
      </c>
      <c r="K636" t="str">
        <f t="shared" si="56"/>
        <v>Zr100</v>
      </c>
    </row>
    <row r="637" spans="2:11" hidden="1" x14ac:dyDescent="0.2">
      <c r="B637" s="4">
        <v>40101</v>
      </c>
      <c r="C637" s="4">
        <v>0</v>
      </c>
      <c r="D637">
        <v>0</v>
      </c>
      <c r="E637" t="str">
        <f>VLOOKUP(B637,[1]Nuclides!A:E,5,FALSE)</f>
        <v>Zr101</v>
      </c>
      <c r="F637">
        <f>VLOOKUP(B637,[1]Nuclides!A:E,4,FALSE)</f>
        <v>2.2999999999999998</v>
      </c>
      <c r="G637" t="str">
        <f t="shared" si="52"/>
        <v>2.3s</v>
      </c>
      <c r="H637">
        <f t="shared" si="53"/>
        <v>0.30136833937388929</v>
      </c>
      <c r="I637">
        <f t="shared" si="54"/>
        <v>0</v>
      </c>
      <c r="J637">
        <f t="shared" si="55"/>
        <v>0</v>
      </c>
      <c r="K637" t="str">
        <f t="shared" si="56"/>
        <v>Zr101</v>
      </c>
    </row>
    <row r="638" spans="2:11" hidden="1" x14ac:dyDescent="0.2">
      <c r="B638" s="4">
        <v>40102</v>
      </c>
      <c r="C638" s="4">
        <v>0</v>
      </c>
      <c r="D638">
        <v>0</v>
      </c>
      <c r="E638" t="str">
        <f>VLOOKUP(B638,[1]Nuclides!A:E,5,FALSE)</f>
        <v>Zr102</v>
      </c>
      <c r="F638">
        <f>VLOOKUP(B638,[1]Nuclides!A:E,4,FALSE)</f>
        <v>2.9</v>
      </c>
      <c r="G638" t="str">
        <f t="shared" si="52"/>
        <v>2.9s</v>
      </c>
      <c r="H638">
        <f t="shared" si="53"/>
        <v>0.23901626915860183</v>
      </c>
      <c r="I638">
        <f t="shared" si="54"/>
        <v>0</v>
      </c>
      <c r="J638">
        <f t="shared" si="55"/>
        <v>0</v>
      </c>
      <c r="K638" t="str">
        <f t="shared" si="56"/>
        <v>Zr102</v>
      </c>
    </row>
    <row r="639" spans="2:11" hidden="1" x14ac:dyDescent="0.2">
      <c r="B639" s="4">
        <v>41084</v>
      </c>
      <c r="C639" s="4">
        <v>0</v>
      </c>
      <c r="D639">
        <v>0</v>
      </c>
      <c r="E639" t="str">
        <f>VLOOKUP(B639,[1]Nuclides!A:E,5,FALSE)</f>
        <v>Nb84</v>
      </c>
      <c r="F639">
        <f>VLOOKUP(B639,[1]Nuclides!A:E,4,FALSE)</f>
        <v>9.8000000000000007</v>
      </c>
      <c r="G639" t="str">
        <f t="shared" si="52"/>
        <v>9.8s</v>
      </c>
      <c r="H639">
        <f t="shared" si="53"/>
        <v>7.0729304138769919E-2</v>
      </c>
      <c r="I639">
        <f t="shared" si="54"/>
        <v>0</v>
      </c>
      <c r="J639">
        <f t="shared" si="55"/>
        <v>0</v>
      </c>
      <c r="K639" t="str">
        <f t="shared" si="56"/>
        <v>Nb84</v>
      </c>
    </row>
    <row r="640" spans="2:11" hidden="1" x14ac:dyDescent="0.2">
      <c r="B640" s="4">
        <v>41085</v>
      </c>
      <c r="C640" s="4">
        <v>0</v>
      </c>
      <c r="D640">
        <v>0</v>
      </c>
      <c r="E640" t="str">
        <f>VLOOKUP(B640,[1]Nuclides!A:E,5,FALSE)</f>
        <v>Nb85</v>
      </c>
      <c r="F640">
        <f>VLOOKUP(B640,[1]Nuclides!A:E,4,FALSE)</f>
        <v>20.5</v>
      </c>
      <c r="G640" t="str">
        <f t="shared" si="52"/>
        <v>20.5s</v>
      </c>
      <c r="H640">
        <f t="shared" si="53"/>
        <v>3.3812057588290013E-2</v>
      </c>
      <c r="I640">
        <f t="shared" si="54"/>
        <v>0</v>
      </c>
      <c r="J640">
        <f t="shared" si="55"/>
        <v>0</v>
      </c>
      <c r="K640" t="str">
        <f t="shared" si="56"/>
        <v>Nb85</v>
      </c>
    </row>
    <row r="641" spans="2:11" hidden="1" x14ac:dyDescent="0.2">
      <c r="B641" s="4">
        <v>41086</v>
      </c>
      <c r="C641" s="4">
        <v>0</v>
      </c>
      <c r="D641">
        <v>0</v>
      </c>
      <c r="E641" t="str">
        <f>VLOOKUP(B641,[1]Nuclides!A:E,5,FALSE)</f>
        <v>Nb86</v>
      </c>
      <c r="F641">
        <f>VLOOKUP(B641,[1]Nuclides!A:E,4,FALSE)</f>
        <v>88</v>
      </c>
      <c r="G641" t="str">
        <f t="shared" si="52"/>
        <v>1.47min</v>
      </c>
      <c r="H641">
        <f t="shared" si="53"/>
        <v>7.8766725063630152E-3</v>
      </c>
      <c r="I641">
        <f t="shared" si="54"/>
        <v>0</v>
      </c>
      <c r="J641">
        <f t="shared" si="55"/>
        <v>0</v>
      </c>
      <c r="K641" t="str">
        <f t="shared" si="56"/>
        <v>Nb86</v>
      </c>
    </row>
    <row r="642" spans="2:11" hidden="1" x14ac:dyDescent="0.2">
      <c r="B642" s="4">
        <v>41087</v>
      </c>
      <c r="C642" s="4">
        <v>0</v>
      </c>
      <c r="D642">
        <v>0</v>
      </c>
      <c r="E642" t="str">
        <f>VLOOKUP(B642,[1]Nuclides!A:E,5,FALSE)</f>
        <v>Nb87</v>
      </c>
      <c r="F642">
        <f>VLOOKUP(B642,[1]Nuclides!A:E,4,FALSE)</f>
        <v>222</v>
      </c>
      <c r="G642" t="str">
        <f t="shared" si="52"/>
        <v>3.7min</v>
      </c>
      <c r="H642">
        <f t="shared" si="53"/>
        <v>3.1222845971168706E-3</v>
      </c>
      <c r="I642">
        <f t="shared" si="54"/>
        <v>0</v>
      </c>
      <c r="J642">
        <f t="shared" si="55"/>
        <v>0</v>
      </c>
      <c r="K642" t="str">
        <f t="shared" si="56"/>
        <v>Nb87</v>
      </c>
    </row>
    <row r="643" spans="2:11" hidden="1" x14ac:dyDescent="0.2">
      <c r="B643" s="4">
        <v>41088</v>
      </c>
      <c r="C643" s="4">
        <v>0</v>
      </c>
      <c r="D643">
        <v>0</v>
      </c>
      <c r="E643" t="str">
        <f>VLOOKUP(B643,[1]Nuclides!A:E,5,FALSE)</f>
        <v>Nb88</v>
      </c>
      <c r="F643">
        <f>VLOOKUP(B643,[1]Nuclides!A:E,4,FALSE)</f>
        <v>873</v>
      </c>
      <c r="G643" t="str">
        <f t="shared" si="52"/>
        <v>14.55min</v>
      </c>
      <c r="H643">
        <f t="shared" si="53"/>
        <v>7.9398302469638638E-4</v>
      </c>
      <c r="I643">
        <f t="shared" si="54"/>
        <v>0</v>
      </c>
      <c r="J643">
        <f t="shared" si="55"/>
        <v>0</v>
      </c>
      <c r="K643" t="str">
        <f t="shared" si="56"/>
        <v>Nb88</v>
      </c>
    </row>
    <row r="644" spans="2:11" hidden="1" x14ac:dyDescent="0.2">
      <c r="B644" s="4">
        <v>41089</v>
      </c>
      <c r="C644" s="4">
        <v>0</v>
      </c>
      <c r="D644">
        <v>0</v>
      </c>
      <c r="E644" t="str">
        <f>VLOOKUP(B644,[1]Nuclides!A:E,5,FALSE)</f>
        <v>Nb89</v>
      </c>
      <c r="F644">
        <f>VLOOKUP(B644,[1]Nuclides!A:E,4,FALSE)</f>
        <v>7307.99999999999</v>
      </c>
      <c r="G644" t="str">
        <f t="shared" si="52"/>
        <v>2.03h</v>
      </c>
      <c r="H644">
        <f t="shared" si="53"/>
        <v>9.4847725856588155E-5</v>
      </c>
      <c r="I644">
        <f t="shared" si="54"/>
        <v>0</v>
      </c>
      <c r="J644">
        <f t="shared" si="55"/>
        <v>0</v>
      </c>
      <c r="K644" t="str">
        <f t="shared" si="56"/>
        <v>Nb89</v>
      </c>
    </row>
    <row r="645" spans="2:11" hidden="1" x14ac:dyDescent="0.2">
      <c r="B645" s="4">
        <v>41090</v>
      </c>
      <c r="C645" s="4">
        <v>0</v>
      </c>
      <c r="D645">
        <v>0</v>
      </c>
      <c r="E645" t="str">
        <f>VLOOKUP(B645,[1]Nuclides!A:E,5,FALSE)</f>
        <v>Nb90</v>
      </c>
      <c r="F645">
        <f>VLOOKUP(B645,[1]Nuclides!A:E,4,FALSE)</f>
        <v>52560</v>
      </c>
      <c r="G645" t="str">
        <f t="shared" ref="G645:G708" si="57">IF(F645="STABLE", "STABLE", IF(F645&lt;60, F645&amp;"s", IF(F645&lt;3600, ROUND(F645/60,2)&amp;"min", IF(F645&lt;86400, ROUND(F645/3600,2)&amp;"h", IF(F645&lt;31536000, ROUND(F645/86400,2)&amp;"d", ROUND(F645/31536000,2)&amp;"y")))))</f>
        <v>14.6h</v>
      </c>
      <c r="H645">
        <f t="shared" ref="H645:H708" si="58">LN(2)/F645</f>
        <v>1.3187731745813266E-5</v>
      </c>
      <c r="I645">
        <f t="shared" ref="I645:I708" si="59">60*6240000000000*C645*(1-EXP(-H645*2*3600))</f>
        <v>0</v>
      </c>
      <c r="J645">
        <f t="shared" ref="J645:J708" si="60">I645*EXP(-H645*96*3600)</f>
        <v>0</v>
      </c>
      <c r="K645" t="str">
        <f t="shared" ref="K645:K708" si="61">E645</f>
        <v>Nb90</v>
      </c>
    </row>
    <row r="646" spans="2:11" hidden="1" x14ac:dyDescent="0.2">
      <c r="B646" s="4">
        <v>41091</v>
      </c>
      <c r="C646" s="4">
        <v>0</v>
      </c>
      <c r="D646">
        <v>0</v>
      </c>
      <c r="E646" t="str">
        <f>VLOOKUP(B646,[1]Nuclides!A:E,5,FALSE)</f>
        <v>Nb91</v>
      </c>
      <c r="F646">
        <f>VLOOKUP(B646,[1]Nuclides!A:E,4,FALSE)</f>
        <v>21459168000</v>
      </c>
      <c r="G646" t="str">
        <f t="shared" si="57"/>
        <v>680.47y</v>
      </c>
      <c r="H646">
        <f t="shared" si="58"/>
        <v>3.2300748125926655E-11</v>
      </c>
      <c r="I646">
        <f t="shared" si="59"/>
        <v>0</v>
      </c>
      <c r="J646">
        <f t="shared" si="60"/>
        <v>0</v>
      </c>
      <c r="K646" t="str">
        <f t="shared" si="61"/>
        <v>Nb91</v>
      </c>
    </row>
    <row r="647" spans="2:11" hidden="1" x14ac:dyDescent="0.2">
      <c r="B647" s="4">
        <v>41092</v>
      </c>
      <c r="C647" s="4">
        <v>0</v>
      </c>
      <c r="D647">
        <v>0</v>
      </c>
      <c r="E647" t="str">
        <f>VLOOKUP(B647,[1]Nuclides!A:E,5,FALSE)</f>
        <v>Nb92</v>
      </c>
      <c r="F647">
        <f>VLOOKUP(B647,[1]Nuclides!A:E,4,FALSE)</f>
        <v>1095048720000000</v>
      </c>
      <c r="G647" t="str">
        <f t="shared" si="57"/>
        <v>34723767.12y</v>
      </c>
      <c r="H647">
        <f t="shared" si="58"/>
        <v>6.3298296039279903E-16</v>
      </c>
      <c r="I647">
        <f t="shared" si="59"/>
        <v>0</v>
      </c>
      <c r="J647">
        <f t="shared" si="60"/>
        <v>0</v>
      </c>
      <c r="K647" t="str">
        <f t="shared" si="61"/>
        <v>Nb92</v>
      </c>
    </row>
    <row r="648" spans="2:11" hidden="1" x14ac:dyDescent="0.2">
      <c r="B648" s="4">
        <v>41093</v>
      </c>
      <c r="C648" s="4">
        <v>0</v>
      </c>
      <c r="D648">
        <v>0</v>
      </c>
      <c r="E648" t="str">
        <f>VLOOKUP(B648,[1]Nuclides!A:E,5,FALSE)</f>
        <v>Nb93</v>
      </c>
      <c r="F648" t="str">
        <f>VLOOKUP(B648,[1]Nuclides!A:E,4,FALSE)</f>
        <v>STABLE</v>
      </c>
      <c r="G648" t="str">
        <f t="shared" si="57"/>
        <v>STABLE</v>
      </c>
      <c r="H648" t="e">
        <f t="shared" si="58"/>
        <v>#VALUE!</v>
      </c>
      <c r="I648" t="e">
        <f t="shared" si="59"/>
        <v>#VALUE!</v>
      </c>
      <c r="J648" t="e">
        <f t="shared" si="60"/>
        <v>#VALUE!</v>
      </c>
      <c r="K648" t="str">
        <f t="shared" si="61"/>
        <v>Nb93</v>
      </c>
    </row>
    <row r="649" spans="2:11" hidden="1" x14ac:dyDescent="0.2">
      <c r="B649" s="4">
        <v>41094</v>
      </c>
      <c r="C649" s="4">
        <v>2.9999999999999997E-8</v>
      </c>
      <c r="D649">
        <v>0.57740000000000002</v>
      </c>
      <c r="E649" t="str">
        <f>VLOOKUP(B649,[1]Nuclides!A:E,5,FALSE)</f>
        <v>Nb94</v>
      </c>
      <c r="F649">
        <f>VLOOKUP(B649,[1]Nuclides!A:E,4,FALSE)</f>
        <v>640619280000</v>
      </c>
      <c r="G649" t="str">
        <f t="shared" si="57"/>
        <v>20313.9y</v>
      </c>
      <c r="H649">
        <f t="shared" si="58"/>
        <v>1.0819955037256219E-12</v>
      </c>
      <c r="I649">
        <f t="shared" si="59"/>
        <v>8.7501408582824056E-2</v>
      </c>
      <c r="J649">
        <f t="shared" si="60"/>
        <v>8.7501375862759426E-2</v>
      </c>
      <c r="K649" t="str">
        <f t="shared" si="61"/>
        <v>Nb94</v>
      </c>
    </row>
    <row r="650" spans="2:11" hidden="1" x14ac:dyDescent="0.2">
      <c r="B650" s="4">
        <v>41095</v>
      </c>
      <c r="C650" s="4">
        <v>0</v>
      </c>
      <c r="D650">
        <v>0</v>
      </c>
      <c r="E650" t="str">
        <f>VLOOKUP(B650,[1]Nuclides!A:E,5,FALSE)</f>
        <v>Nb95</v>
      </c>
      <c r="F650">
        <f>VLOOKUP(B650,[1]Nuclides!A:E,4,FALSE)</f>
        <v>3023222.4</v>
      </c>
      <c r="G650" t="str">
        <f t="shared" si="57"/>
        <v>34.99d</v>
      </c>
      <c r="H650">
        <f t="shared" si="58"/>
        <v>2.2927429373371449E-7</v>
      </c>
      <c r="I650">
        <f t="shared" si="59"/>
        <v>0</v>
      </c>
      <c r="J650">
        <f t="shared" si="60"/>
        <v>0</v>
      </c>
      <c r="K650" t="str">
        <f t="shared" si="61"/>
        <v>Nb95</v>
      </c>
    </row>
    <row r="651" spans="2:11" hidden="1" x14ac:dyDescent="0.2">
      <c r="B651" s="4">
        <v>41096</v>
      </c>
      <c r="C651" s="4">
        <v>0</v>
      </c>
      <c r="D651">
        <v>0</v>
      </c>
      <c r="E651" t="str">
        <f>VLOOKUP(B651,[1]Nuclides!A:E,5,FALSE)</f>
        <v>Nb96</v>
      </c>
      <c r="F651">
        <f>VLOOKUP(B651,[1]Nuclides!A:E,4,FALSE)</f>
        <v>84060</v>
      </c>
      <c r="G651" t="str">
        <f t="shared" si="57"/>
        <v>23.35h</v>
      </c>
      <c r="H651">
        <f t="shared" si="58"/>
        <v>8.2458622479175036E-6</v>
      </c>
      <c r="I651">
        <f t="shared" si="59"/>
        <v>0</v>
      </c>
      <c r="J651">
        <f t="shared" si="60"/>
        <v>0</v>
      </c>
      <c r="K651" t="str">
        <f t="shared" si="61"/>
        <v>Nb96</v>
      </c>
    </row>
    <row r="652" spans="2:11" hidden="1" x14ac:dyDescent="0.2">
      <c r="B652" s="4">
        <v>41097</v>
      </c>
      <c r="C652" s="4">
        <v>0</v>
      </c>
      <c r="D652">
        <v>0</v>
      </c>
      <c r="E652" t="str">
        <f>VLOOKUP(B652,[1]Nuclides!A:E,5,FALSE)</f>
        <v>Nb97</v>
      </c>
      <c r="F652">
        <f>VLOOKUP(B652,[1]Nuclides!A:E,4,FALSE)</f>
        <v>4326</v>
      </c>
      <c r="G652" t="str">
        <f t="shared" si="57"/>
        <v>1.2h</v>
      </c>
      <c r="H652">
        <f t="shared" si="58"/>
        <v>1.6022819707811958E-4</v>
      </c>
      <c r="I652">
        <f t="shared" si="59"/>
        <v>0</v>
      </c>
      <c r="J652">
        <f t="shared" si="60"/>
        <v>0</v>
      </c>
      <c r="K652" t="str">
        <f t="shared" si="61"/>
        <v>Nb97</v>
      </c>
    </row>
    <row r="653" spans="2:11" hidden="1" x14ac:dyDescent="0.2">
      <c r="B653" s="4">
        <v>41098</v>
      </c>
      <c r="C653" s="4">
        <v>0</v>
      </c>
      <c r="D653">
        <v>0</v>
      </c>
      <c r="E653" t="str">
        <f>VLOOKUP(B653,[1]Nuclides!A:E,5,FALSE)</f>
        <v>Nb98</v>
      </c>
      <c r="F653">
        <f>VLOOKUP(B653,[1]Nuclides!A:E,4,FALSE)</f>
        <v>2.86</v>
      </c>
      <c r="G653" t="str">
        <f t="shared" si="57"/>
        <v>2.86s</v>
      </c>
      <c r="H653">
        <f t="shared" si="58"/>
        <v>0.24235915404193892</v>
      </c>
      <c r="I653">
        <f t="shared" si="59"/>
        <v>0</v>
      </c>
      <c r="J653">
        <f t="shared" si="60"/>
        <v>0</v>
      </c>
      <c r="K653" t="str">
        <f t="shared" si="61"/>
        <v>Nb98</v>
      </c>
    </row>
    <row r="654" spans="2:11" hidden="1" x14ac:dyDescent="0.2">
      <c r="B654" s="4">
        <v>41099</v>
      </c>
      <c r="C654" s="4">
        <v>0</v>
      </c>
      <c r="D654">
        <v>0</v>
      </c>
      <c r="E654" t="str">
        <f>VLOOKUP(B654,[1]Nuclides!A:E,5,FALSE)</f>
        <v>Nb99</v>
      </c>
      <c r="F654">
        <f>VLOOKUP(B654,[1]Nuclides!A:E,4,FALSE)</f>
        <v>15</v>
      </c>
      <c r="G654" t="str">
        <f t="shared" si="57"/>
        <v>15s</v>
      </c>
      <c r="H654">
        <f t="shared" si="58"/>
        <v>4.6209812037329684E-2</v>
      </c>
      <c r="I654">
        <f t="shared" si="59"/>
        <v>0</v>
      </c>
      <c r="J654">
        <f t="shared" si="60"/>
        <v>0</v>
      </c>
      <c r="K654" t="str">
        <f t="shared" si="61"/>
        <v>Nb99</v>
      </c>
    </row>
    <row r="655" spans="2:11" hidden="1" x14ac:dyDescent="0.2">
      <c r="B655" s="4">
        <v>41100</v>
      </c>
      <c r="C655" s="4">
        <v>0</v>
      </c>
      <c r="D655">
        <v>0</v>
      </c>
      <c r="E655" t="str">
        <f>VLOOKUP(B655,[1]Nuclides!A:E,5,FALSE)</f>
        <v>Nb100</v>
      </c>
      <c r="F655">
        <f>VLOOKUP(B655,[1]Nuclides!A:E,4,FALSE)</f>
        <v>1.5</v>
      </c>
      <c r="G655" t="str">
        <f t="shared" si="57"/>
        <v>1.5s</v>
      </c>
      <c r="H655">
        <f t="shared" si="58"/>
        <v>0.46209812037329684</v>
      </c>
      <c r="I655">
        <f t="shared" si="59"/>
        <v>0</v>
      </c>
      <c r="J655">
        <f t="shared" si="60"/>
        <v>0</v>
      </c>
      <c r="K655" t="str">
        <f t="shared" si="61"/>
        <v>Nb100</v>
      </c>
    </row>
    <row r="656" spans="2:11" hidden="1" x14ac:dyDescent="0.2">
      <c r="B656" s="4">
        <v>41101</v>
      </c>
      <c r="C656" s="4">
        <v>0</v>
      </c>
      <c r="D656">
        <v>0</v>
      </c>
      <c r="E656" t="str">
        <f>VLOOKUP(B656,[1]Nuclides!A:E,5,FALSE)</f>
        <v>Nb101</v>
      </c>
      <c r="F656">
        <f>VLOOKUP(B656,[1]Nuclides!A:E,4,FALSE)</f>
        <v>7.1</v>
      </c>
      <c r="G656" t="str">
        <f t="shared" si="57"/>
        <v>7.1s</v>
      </c>
      <c r="H656">
        <f t="shared" si="58"/>
        <v>9.7626363459147228E-2</v>
      </c>
      <c r="I656">
        <f t="shared" si="59"/>
        <v>0</v>
      </c>
      <c r="J656">
        <f t="shared" si="60"/>
        <v>0</v>
      </c>
      <c r="K656" t="str">
        <f t="shared" si="61"/>
        <v>Nb101</v>
      </c>
    </row>
    <row r="657" spans="2:11" hidden="1" x14ac:dyDescent="0.2">
      <c r="B657" s="4">
        <v>41102</v>
      </c>
      <c r="C657" s="4">
        <v>0</v>
      </c>
      <c r="D657">
        <v>0</v>
      </c>
      <c r="E657" t="str">
        <f>VLOOKUP(B657,[1]Nuclides!A:E,5,FALSE)</f>
        <v>Nb102</v>
      </c>
      <c r="F657">
        <f>VLOOKUP(B657,[1]Nuclides!A:E,4,FALSE)</f>
        <v>4.3</v>
      </c>
      <c r="G657" t="str">
        <f t="shared" si="57"/>
        <v>4.3s</v>
      </c>
      <c r="H657">
        <f t="shared" si="58"/>
        <v>0.16119701873487099</v>
      </c>
      <c r="I657">
        <f t="shared" si="59"/>
        <v>0</v>
      </c>
      <c r="J657">
        <f t="shared" si="60"/>
        <v>0</v>
      </c>
      <c r="K657" t="str">
        <f t="shared" si="61"/>
        <v>Nb102</v>
      </c>
    </row>
    <row r="658" spans="2:11" hidden="1" x14ac:dyDescent="0.2">
      <c r="B658" s="4">
        <v>41103</v>
      </c>
      <c r="C658" s="4">
        <v>0</v>
      </c>
      <c r="D658">
        <v>0</v>
      </c>
      <c r="E658" t="str">
        <f>VLOOKUP(B658,[1]Nuclides!A:E,5,FALSE)</f>
        <v>Nb103</v>
      </c>
      <c r="F658">
        <f>VLOOKUP(B658,[1]Nuclides!A:E,4,FALSE)</f>
        <v>1.5</v>
      </c>
      <c r="G658" t="str">
        <f t="shared" si="57"/>
        <v>1.5s</v>
      </c>
      <c r="H658">
        <f t="shared" si="58"/>
        <v>0.46209812037329684</v>
      </c>
      <c r="I658">
        <f t="shared" si="59"/>
        <v>0</v>
      </c>
      <c r="J658">
        <f t="shared" si="60"/>
        <v>0</v>
      </c>
      <c r="K658" t="str">
        <f t="shared" si="61"/>
        <v>Nb103</v>
      </c>
    </row>
    <row r="659" spans="2:11" hidden="1" x14ac:dyDescent="0.2">
      <c r="B659" s="4">
        <v>41104</v>
      </c>
      <c r="C659" s="4">
        <v>0</v>
      </c>
      <c r="D659">
        <v>0</v>
      </c>
      <c r="E659" t="str">
        <f>VLOOKUP(B659,[1]Nuclides!A:E,5,FALSE)</f>
        <v>Nb104</v>
      </c>
      <c r="F659">
        <f>VLOOKUP(B659,[1]Nuclides!A:E,4,FALSE)</f>
        <v>4.9000000000000004</v>
      </c>
      <c r="G659" t="str">
        <f t="shared" si="57"/>
        <v>4.9s</v>
      </c>
      <c r="H659">
        <f t="shared" si="58"/>
        <v>0.14145860827753984</v>
      </c>
      <c r="I659">
        <f t="shared" si="59"/>
        <v>0</v>
      </c>
      <c r="J659">
        <f t="shared" si="60"/>
        <v>0</v>
      </c>
      <c r="K659" t="str">
        <f t="shared" si="61"/>
        <v>Nb104</v>
      </c>
    </row>
    <row r="660" spans="2:11" hidden="1" x14ac:dyDescent="0.2">
      <c r="B660" s="4">
        <v>41105</v>
      </c>
      <c r="C660" s="4">
        <v>0</v>
      </c>
      <c r="D660">
        <v>0</v>
      </c>
      <c r="E660" t="str">
        <f>VLOOKUP(B660,[1]Nuclides!A:E,5,FALSE)</f>
        <v>Nb105</v>
      </c>
      <c r="F660">
        <f>VLOOKUP(B660,[1]Nuclides!A:E,4,FALSE)</f>
        <v>2.95</v>
      </c>
      <c r="G660" t="str">
        <f t="shared" si="57"/>
        <v>2.95s</v>
      </c>
      <c r="H660">
        <f t="shared" si="58"/>
        <v>0.23496514595252382</v>
      </c>
      <c r="I660">
        <f t="shared" si="59"/>
        <v>0</v>
      </c>
      <c r="J660">
        <f t="shared" si="60"/>
        <v>0</v>
      </c>
      <c r="K660" t="str">
        <f t="shared" si="61"/>
        <v>Nb105</v>
      </c>
    </row>
    <row r="661" spans="2:11" hidden="1" x14ac:dyDescent="0.2">
      <c r="B661" s="4">
        <v>41106</v>
      </c>
      <c r="C661" s="4">
        <v>0</v>
      </c>
      <c r="D661">
        <v>0</v>
      </c>
      <c r="E661" t="str">
        <f>VLOOKUP(B661,[1]Nuclides!A:E,5,FALSE)</f>
        <v>Nb106</v>
      </c>
      <c r="F661">
        <f>VLOOKUP(B661,[1]Nuclides!A:E,4,FALSE)</f>
        <v>1.02</v>
      </c>
      <c r="G661" t="str">
        <f t="shared" si="57"/>
        <v>1.02s</v>
      </c>
      <c r="H661">
        <f t="shared" si="58"/>
        <v>0.67955605937249541</v>
      </c>
      <c r="I661">
        <f t="shared" si="59"/>
        <v>0</v>
      </c>
      <c r="J661">
        <f t="shared" si="60"/>
        <v>0</v>
      </c>
      <c r="K661" t="str">
        <f t="shared" si="61"/>
        <v>Nb106</v>
      </c>
    </row>
    <row r="662" spans="2:11" hidden="1" x14ac:dyDescent="0.2">
      <c r="B662" s="4">
        <v>42087</v>
      </c>
      <c r="C662" s="4">
        <v>0</v>
      </c>
      <c r="D662">
        <v>0</v>
      </c>
      <c r="E662" t="str">
        <f>VLOOKUP(B662,[1]Nuclides!A:E,5,FALSE)</f>
        <v>Mo87</v>
      </c>
      <c r="F662">
        <f>VLOOKUP(B662,[1]Nuclides!A:E,4,FALSE)</f>
        <v>14.02</v>
      </c>
      <c r="G662" t="str">
        <f t="shared" si="57"/>
        <v>14.02s</v>
      </c>
      <c r="H662">
        <f t="shared" si="58"/>
        <v>4.9439884490723632E-2</v>
      </c>
      <c r="I662">
        <f t="shared" si="59"/>
        <v>0</v>
      </c>
      <c r="J662">
        <f t="shared" si="60"/>
        <v>0</v>
      </c>
      <c r="K662" t="str">
        <f t="shared" si="61"/>
        <v>Mo87</v>
      </c>
    </row>
    <row r="663" spans="2:11" hidden="1" x14ac:dyDescent="0.2">
      <c r="B663" s="4">
        <v>42088</v>
      </c>
      <c r="C663" s="4">
        <v>0</v>
      </c>
      <c r="D663">
        <v>0</v>
      </c>
      <c r="E663" t="str">
        <f>VLOOKUP(B663,[1]Nuclides!A:E,5,FALSE)</f>
        <v>Mo88</v>
      </c>
      <c r="F663">
        <f>VLOOKUP(B663,[1]Nuclides!A:E,4,FALSE)</f>
        <v>480</v>
      </c>
      <c r="G663" t="str">
        <f t="shared" si="57"/>
        <v>8min</v>
      </c>
      <c r="H663">
        <f t="shared" si="58"/>
        <v>1.4440566261665526E-3</v>
      </c>
      <c r="I663">
        <f t="shared" si="59"/>
        <v>0</v>
      </c>
      <c r="J663">
        <f t="shared" si="60"/>
        <v>0</v>
      </c>
      <c r="K663" t="str">
        <f t="shared" si="61"/>
        <v>Mo88</v>
      </c>
    </row>
    <row r="664" spans="2:11" hidden="1" x14ac:dyDescent="0.2">
      <c r="B664" s="4">
        <v>42089</v>
      </c>
      <c r="C664" s="4">
        <v>0</v>
      </c>
      <c r="D664">
        <v>0</v>
      </c>
      <c r="E664" t="str">
        <f>VLOOKUP(B664,[1]Nuclides!A:E,5,FALSE)</f>
        <v>Mo89</v>
      </c>
      <c r="F664">
        <f>VLOOKUP(B664,[1]Nuclides!A:E,4,FALSE)</f>
        <v>126.6</v>
      </c>
      <c r="G664" t="str">
        <f t="shared" si="57"/>
        <v>2.11min</v>
      </c>
      <c r="H664">
        <f t="shared" si="58"/>
        <v>5.4750962129537541E-3</v>
      </c>
      <c r="I664">
        <f t="shared" si="59"/>
        <v>0</v>
      </c>
      <c r="J664">
        <f t="shared" si="60"/>
        <v>0</v>
      </c>
      <c r="K664" t="str">
        <f t="shared" si="61"/>
        <v>Mo89</v>
      </c>
    </row>
    <row r="665" spans="2:11" hidden="1" x14ac:dyDescent="0.2">
      <c r="B665" s="4">
        <v>42090</v>
      </c>
      <c r="C665" s="4">
        <v>0</v>
      </c>
      <c r="D665">
        <v>0</v>
      </c>
      <c r="E665" t="str">
        <f>VLOOKUP(B665,[1]Nuclides!A:E,5,FALSE)</f>
        <v>Mo90</v>
      </c>
      <c r="F665">
        <f>VLOOKUP(B665,[1]Nuclides!A:E,4,FALSE)</f>
        <v>20016</v>
      </c>
      <c r="G665" t="str">
        <f t="shared" si="57"/>
        <v>5.56h</v>
      </c>
      <c r="H665">
        <f t="shared" si="58"/>
        <v>3.4629655303754263E-5</v>
      </c>
      <c r="I665">
        <f t="shared" si="59"/>
        <v>0</v>
      </c>
      <c r="J665">
        <f t="shared" si="60"/>
        <v>0</v>
      </c>
      <c r="K665" t="str">
        <f t="shared" si="61"/>
        <v>Mo90</v>
      </c>
    </row>
    <row r="666" spans="2:11" hidden="1" x14ac:dyDescent="0.2">
      <c r="B666" s="4">
        <v>42091</v>
      </c>
      <c r="C666" s="4">
        <v>0</v>
      </c>
      <c r="D666">
        <v>0</v>
      </c>
      <c r="E666" t="str">
        <f>VLOOKUP(B666,[1]Nuclides!A:E,5,FALSE)</f>
        <v>Mo91</v>
      </c>
      <c r="F666">
        <f>VLOOKUP(B666,[1]Nuclides!A:E,4,FALSE)</f>
        <v>929.4</v>
      </c>
      <c r="G666" t="str">
        <f t="shared" si="57"/>
        <v>15.49min</v>
      </c>
      <c r="H666">
        <f t="shared" si="58"/>
        <v>7.4580071073805177E-4</v>
      </c>
      <c r="I666">
        <f t="shared" si="59"/>
        <v>0</v>
      </c>
      <c r="J666">
        <f t="shared" si="60"/>
        <v>0</v>
      </c>
      <c r="K666" t="str">
        <f t="shared" si="61"/>
        <v>Mo91</v>
      </c>
    </row>
    <row r="667" spans="2:11" hidden="1" x14ac:dyDescent="0.2">
      <c r="B667" s="4">
        <v>42092</v>
      </c>
      <c r="C667" s="4">
        <v>9.9000000000000005E-7</v>
      </c>
      <c r="D667">
        <v>0.10050000000000001</v>
      </c>
      <c r="E667" t="str">
        <f>VLOOKUP(B667,[1]Nuclides!A:E,5,FALSE)</f>
        <v>Mo92</v>
      </c>
      <c r="F667" t="str">
        <f>VLOOKUP(B667,[1]Nuclides!A:E,4,FALSE)</f>
        <v>STABLE</v>
      </c>
      <c r="G667" t="str">
        <f t="shared" si="57"/>
        <v>STABLE</v>
      </c>
      <c r="H667" t="e">
        <f t="shared" si="58"/>
        <v>#VALUE!</v>
      </c>
      <c r="I667" t="e">
        <f t="shared" si="59"/>
        <v>#VALUE!</v>
      </c>
      <c r="J667" t="e">
        <f t="shared" si="60"/>
        <v>#VALUE!</v>
      </c>
      <c r="K667" t="str">
        <f t="shared" si="61"/>
        <v>Mo92</v>
      </c>
    </row>
    <row r="668" spans="2:11" hidden="1" x14ac:dyDescent="0.2">
      <c r="B668" s="4">
        <v>42093</v>
      </c>
      <c r="C668" s="4">
        <v>0</v>
      </c>
      <c r="D668">
        <v>0</v>
      </c>
      <c r="E668" t="str">
        <f>VLOOKUP(B668,[1]Nuclides!A:E,5,FALSE)</f>
        <v>Mo93</v>
      </c>
      <c r="F668">
        <f>VLOOKUP(B668,[1]Nuclides!A:E,4,FALSE)</f>
        <v>126230400000</v>
      </c>
      <c r="G668" t="str">
        <f t="shared" si="57"/>
        <v>4002.74y</v>
      </c>
      <c r="H668">
        <f t="shared" si="58"/>
        <v>5.4911271814075315E-12</v>
      </c>
      <c r="I668">
        <f t="shared" si="59"/>
        <v>0</v>
      </c>
      <c r="J668">
        <f t="shared" si="60"/>
        <v>0</v>
      </c>
      <c r="K668" t="str">
        <f t="shared" si="61"/>
        <v>Mo93</v>
      </c>
    </row>
    <row r="669" spans="2:11" hidden="1" x14ac:dyDescent="0.2">
      <c r="B669" s="4">
        <v>42094</v>
      </c>
      <c r="C669" s="4">
        <v>3.8000000000000001E-7</v>
      </c>
      <c r="D669">
        <v>0.16220000000000001</v>
      </c>
      <c r="E669" t="str">
        <f>VLOOKUP(B669,[1]Nuclides!A:E,5,FALSE)</f>
        <v>Mo94</v>
      </c>
      <c r="F669" t="str">
        <f>VLOOKUP(B669,[1]Nuclides!A:E,4,FALSE)</f>
        <v>STABLE</v>
      </c>
      <c r="G669" t="str">
        <f t="shared" si="57"/>
        <v>STABLE</v>
      </c>
      <c r="H669" t="e">
        <f t="shared" si="58"/>
        <v>#VALUE!</v>
      </c>
      <c r="I669" t="e">
        <f t="shared" si="59"/>
        <v>#VALUE!</v>
      </c>
      <c r="J669" t="e">
        <f t="shared" si="60"/>
        <v>#VALUE!</v>
      </c>
      <c r="K669" t="str">
        <f t="shared" si="61"/>
        <v>Mo94</v>
      </c>
    </row>
    <row r="670" spans="2:11" hidden="1" x14ac:dyDescent="0.2">
      <c r="B670" s="4">
        <v>42095</v>
      </c>
      <c r="C670" s="4">
        <v>5.5000000000000003E-7</v>
      </c>
      <c r="D670">
        <v>0.1348</v>
      </c>
      <c r="E670" t="str">
        <f>VLOOKUP(B670,[1]Nuclides!A:E,5,FALSE)</f>
        <v>Mo95</v>
      </c>
      <c r="F670" t="str">
        <f>VLOOKUP(B670,[1]Nuclides!A:E,4,FALSE)</f>
        <v>STABLE</v>
      </c>
      <c r="G670" t="str">
        <f t="shared" si="57"/>
        <v>STABLE</v>
      </c>
      <c r="H670" t="e">
        <f t="shared" si="58"/>
        <v>#VALUE!</v>
      </c>
      <c r="I670" t="e">
        <f t="shared" si="59"/>
        <v>#VALUE!</v>
      </c>
      <c r="J670" t="e">
        <f t="shared" si="60"/>
        <v>#VALUE!</v>
      </c>
      <c r="K670" t="str">
        <f t="shared" si="61"/>
        <v>Mo95</v>
      </c>
    </row>
    <row r="671" spans="2:11" hidden="1" x14ac:dyDescent="0.2">
      <c r="B671" s="4">
        <v>42096</v>
      </c>
      <c r="C671" s="4">
        <v>6.7000000000000004E-7</v>
      </c>
      <c r="D671">
        <v>0.1222</v>
      </c>
      <c r="E671" t="str">
        <f>VLOOKUP(B671,[1]Nuclides!A:E,5,FALSE)</f>
        <v>Mo96</v>
      </c>
      <c r="F671" t="str">
        <f>VLOOKUP(B671,[1]Nuclides!A:E,4,FALSE)</f>
        <v>STABLE</v>
      </c>
      <c r="G671" t="str">
        <f t="shared" si="57"/>
        <v>STABLE</v>
      </c>
      <c r="H671" t="e">
        <f t="shared" si="58"/>
        <v>#VALUE!</v>
      </c>
      <c r="I671" t="e">
        <f t="shared" si="59"/>
        <v>#VALUE!</v>
      </c>
      <c r="J671" t="e">
        <f t="shared" si="60"/>
        <v>#VALUE!</v>
      </c>
      <c r="K671" t="str">
        <f t="shared" si="61"/>
        <v>Mo96</v>
      </c>
    </row>
    <row r="672" spans="2:11" hidden="1" x14ac:dyDescent="0.2">
      <c r="B672" s="4">
        <v>42097</v>
      </c>
      <c r="C672" s="4">
        <v>2.4999999999999999E-7</v>
      </c>
      <c r="D672">
        <v>0.2</v>
      </c>
      <c r="E672" t="str">
        <f>VLOOKUP(B672,[1]Nuclides!A:E,5,FALSE)</f>
        <v>Mo97</v>
      </c>
      <c r="F672" t="str">
        <f>VLOOKUP(B672,[1]Nuclides!A:E,4,FALSE)</f>
        <v>STABLE</v>
      </c>
      <c r="G672" t="str">
        <f t="shared" si="57"/>
        <v>STABLE</v>
      </c>
      <c r="H672" t="e">
        <f t="shared" si="58"/>
        <v>#VALUE!</v>
      </c>
      <c r="I672" t="e">
        <f t="shared" si="59"/>
        <v>#VALUE!</v>
      </c>
      <c r="J672" t="e">
        <f t="shared" si="60"/>
        <v>#VALUE!</v>
      </c>
      <c r="K672" t="str">
        <f t="shared" si="61"/>
        <v>Mo97</v>
      </c>
    </row>
    <row r="673" spans="2:15" hidden="1" x14ac:dyDescent="0.2">
      <c r="B673" s="4">
        <v>42098</v>
      </c>
      <c r="C673" s="4">
        <v>8.6000000000000002E-7</v>
      </c>
      <c r="D673">
        <v>0.10780000000000001</v>
      </c>
      <c r="E673" t="str">
        <f>VLOOKUP(B673,[1]Nuclides!A:E,5,FALSE)</f>
        <v>Mo98</v>
      </c>
      <c r="F673" t="str">
        <f>VLOOKUP(B673,[1]Nuclides!A:E,4,FALSE)</f>
        <v>STABLE</v>
      </c>
      <c r="G673" t="str">
        <f t="shared" si="57"/>
        <v>STABLE</v>
      </c>
      <c r="H673" t="e">
        <f t="shared" si="58"/>
        <v>#VALUE!</v>
      </c>
      <c r="I673" t="e">
        <f t="shared" si="59"/>
        <v>#VALUE!</v>
      </c>
      <c r="J673" t="e">
        <f t="shared" si="60"/>
        <v>#VALUE!</v>
      </c>
      <c r="K673" t="str">
        <f t="shared" si="61"/>
        <v>Mo98</v>
      </c>
    </row>
    <row r="674" spans="2:15" hidden="1" x14ac:dyDescent="0.2">
      <c r="B674" s="4">
        <v>42099</v>
      </c>
      <c r="C674" s="4">
        <v>0</v>
      </c>
      <c r="D674">
        <v>0</v>
      </c>
      <c r="E674" t="str">
        <f>VLOOKUP(B674,[1]Nuclides!A:E,5,FALSE)</f>
        <v>Mo99</v>
      </c>
      <c r="F674">
        <f>VLOOKUP(B674,[1]Nuclides!A:E,4,FALSE)</f>
        <v>237513.60000000001</v>
      </c>
      <c r="G674" t="str">
        <f t="shared" si="57"/>
        <v>2.75d</v>
      </c>
      <c r="H674">
        <f t="shared" si="58"/>
        <v>2.9183473306789393E-6</v>
      </c>
      <c r="I674">
        <f t="shared" si="59"/>
        <v>0</v>
      </c>
      <c r="J674">
        <f t="shared" si="60"/>
        <v>0</v>
      </c>
      <c r="K674" t="str">
        <f t="shared" si="61"/>
        <v>Mo99</v>
      </c>
    </row>
    <row r="675" spans="2:15" hidden="1" x14ac:dyDescent="0.2">
      <c r="B675" s="4">
        <v>42100</v>
      </c>
      <c r="C675" s="4">
        <v>3.1E-7</v>
      </c>
      <c r="D675">
        <v>0.17960000000000001</v>
      </c>
      <c r="E675" t="str">
        <f>VLOOKUP(B675,[1]Nuclides!A:E,5,FALSE)</f>
        <v>Mo100</v>
      </c>
      <c r="F675">
        <f>VLOOKUP(B675,[1]Nuclides!A:E,4,FALSE)</f>
        <v>2.3037048000000002E+26</v>
      </c>
      <c r="G675" t="str">
        <f t="shared" si="57"/>
        <v>7305000000000000000y</v>
      </c>
      <c r="H675">
        <f t="shared" si="58"/>
        <v>3.0088368117301542E-27</v>
      </c>
      <c r="I675">
        <f t="shared" si="59"/>
        <v>0</v>
      </c>
      <c r="J675">
        <f t="shared" si="60"/>
        <v>0</v>
      </c>
      <c r="K675" t="str">
        <f t="shared" si="61"/>
        <v>Mo100</v>
      </c>
    </row>
    <row r="676" spans="2:15" hidden="1" x14ac:dyDescent="0.2">
      <c r="B676" s="4">
        <v>42101</v>
      </c>
      <c r="C676" s="4">
        <v>0</v>
      </c>
      <c r="D676">
        <v>0</v>
      </c>
      <c r="E676" t="str">
        <f>VLOOKUP(B676,[1]Nuclides!A:E,5,FALSE)</f>
        <v>Mo101</v>
      </c>
      <c r="F676">
        <f>VLOOKUP(B676,[1]Nuclides!A:E,4,FALSE)</f>
        <v>876.599999999999</v>
      </c>
      <c r="G676" t="str">
        <f t="shared" si="57"/>
        <v>14.61min</v>
      </c>
      <c r="H676">
        <f t="shared" si="58"/>
        <v>7.9072231412268543E-4</v>
      </c>
      <c r="I676">
        <f t="shared" si="59"/>
        <v>0</v>
      </c>
      <c r="J676">
        <f t="shared" si="60"/>
        <v>0</v>
      </c>
      <c r="K676" t="str">
        <f t="shared" si="61"/>
        <v>Mo101</v>
      </c>
    </row>
    <row r="677" spans="2:15" hidden="1" x14ac:dyDescent="0.2">
      <c r="B677" s="4">
        <v>42102</v>
      </c>
      <c r="C677" s="4">
        <v>0</v>
      </c>
      <c r="D677">
        <v>0</v>
      </c>
      <c r="E677" t="str">
        <f>VLOOKUP(B677,[1]Nuclides!A:E,5,FALSE)</f>
        <v>Mo102</v>
      </c>
      <c r="F677">
        <f>VLOOKUP(B677,[1]Nuclides!A:E,4,FALSE)</f>
        <v>678</v>
      </c>
      <c r="G677" t="str">
        <f t="shared" si="57"/>
        <v>11.3min</v>
      </c>
      <c r="H677">
        <f t="shared" si="58"/>
        <v>1.0223409742772054E-3</v>
      </c>
      <c r="I677">
        <f t="shared" si="59"/>
        <v>0</v>
      </c>
      <c r="J677">
        <f t="shared" si="60"/>
        <v>0</v>
      </c>
      <c r="K677" t="str">
        <f t="shared" si="61"/>
        <v>Mo102</v>
      </c>
    </row>
    <row r="678" spans="2:15" hidden="1" x14ac:dyDescent="0.2">
      <c r="B678" s="4">
        <v>42103</v>
      </c>
      <c r="C678" s="4">
        <v>0</v>
      </c>
      <c r="D678">
        <v>0</v>
      </c>
      <c r="E678" t="str">
        <f>VLOOKUP(B678,[1]Nuclides!A:E,5,FALSE)</f>
        <v>Mo103</v>
      </c>
      <c r="F678">
        <f>VLOOKUP(B678,[1]Nuclides!A:E,4,FALSE)</f>
        <v>67.5</v>
      </c>
      <c r="G678" t="str">
        <f t="shared" si="57"/>
        <v>1.13min</v>
      </c>
      <c r="H678">
        <f t="shared" si="58"/>
        <v>1.0268847119406597E-2</v>
      </c>
      <c r="I678">
        <f t="shared" si="59"/>
        <v>0</v>
      </c>
      <c r="J678">
        <f t="shared" si="60"/>
        <v>0</v>
      </c>
      <c r="K678" t="str">
        <f t="shared" si="61"/>
        <v>Mo103</v>
      </c>
    </row>
    <row r="679" spans="2:15" hidden="1" x14ac:dyDescent="0.2">
      <c r="B679" s="4">
        <v>42104</v>
      </c>
      <c r="C679" s="4">
        <v>0</v>
      </c>
      <c r="D679">
        <v>0</v>
      </c>
      <c r="E679" t="str">
        <f>VLOOKUP(B679,[1]Nuclides!A:E,5,FALSE)</f>
        <v>Mo104</v>
      </c>
      <c r="F679">
        <f>VLOOKUP(B679,[1]Nuclides!A:E,4,FALSE)</f>
        <v>60</v>
      </c>
      <c r="G679" t="str">
        <f t="shared" si="57"/>
        <v>1min</v>
      </c>
      <c r="H679">
        <f t="shared" si="58"/>
        <v>1.1552453009332421E-2</v>
      </c>
      <c r="I679">
        <f t="shared" si="59"/>
        <v>0</v>
      </c>
      <c r="J679">
        <f t="shared" si="60"/>
        <v>0</v>
      </c>
      <c r="K679" t="str">
        <f t="shared" si="61"/>
        <v>Mo104</v>
      </c>
    </row>
    <row r="680" spans="2:15" hidden="1" x14ac:dyDescent="0.2">
      <c r="B680" s="4">
        <v>42105</v>
      </c>
      <c r="C680" s="4">
        <v>0</v>
      </c>
      <c r="D680">
        <v>0</v>
      </c>
      <c r="E680" t="str">
        <f>VLOOKUP(B680,[1]Nuclides!A:E,5,FALSE)</f>
        <v>Mo105</v>
      </c>
      <c r="F680">
        <f>VLOOKUP(B680,[1]Nuclides!A:E,4,FALSE)</f>
        <v>35.6</v>
      </c>
      <c r="G680" t="str">
        <f t="shared" si="57"/>
        <v>35.6s</v>
      </c>
      <c r="H680">
        <f t="shared" si="58"/>
        <v>1.9470426420223182E-2</v>
      </c>
      <c r="I680">
        <f t="shared" si="59"/>
        <v>0</v>
      </c>
      <c r="J680">
        <f t="shared" si="60"/>
        <v>0</v>
      </c>
      <c r="K680" t="str">
        <f t="shared" si="61"/>
        <v>Mo105</v>
      </c>
    </row>
    <row r="681" spans="2:15" hidden="1" x14ac:dyDescent="0.2">
      <c r="B681" s="4">
        <v>42106</v>
      </c>
      <c r="C681" s="4">
        <v>0</v>
      </c>
      <c r="D681">
        <v>0</v>
      </c>
      <c r="E681" t="str">
        <f>VLOOKUP(B681,[1]Nuclides!A:E,5,FALSE)</f>
        <v>Mo106</v>
      </c>
      <c r="F681">
        <f>VLOOKUP(B681,[1]Nuclides!A:E,4,FALSE)</f>
        <v>8.73</v>
      </c>
      <c r="G681" t="str">
        <f t="shared" si="57"/>
        <v>8.73s</v>
      </c>
      <c r="H681">
        <f t="shared" si="58"/>
        <v>7.9398302469638637E-2</v>
      </c>
      <c r="I681">
        <f t="shared" si="59"/>
        <v>0</v>
      </c>
      <c r="J681">
        <f t="shared" si="60"/>
        <v>0</v>
      </c>
      <c r="K681" t="str">
        <f t="shared" si="61"/>
        <v>Mo106</v>
      </c>
    </row>
    <row r="682" spans="2:15" hidden="1" x14ac:dyDescent="0.2">
      <c r="B682" s="4">
        <v>42107</v>
      </c>
      <c r="C682" s="4">
        <v>0</v>
      </c>
      <c r="D682">
        <v>0</v>
      </c>
      <c r="E682" t="str">
        <f>VLOOKUP(B682,[1]Nuclides!A:E,5,FALSE)</f>
        <v>Mo107</v>
      </c>
      <c r="F682">
        <f>VLOOKUP(B682,[1]Nuclides!A:E,4,FALSE)</f>
        <v>3.5</v>
      </c>
      <c r="G682" t="str">
        <f t="shared" si="57"/>
        <v>3.5s</v>
      </c>
      <c r="H682">
        <f t="shared" si="58"/>
        <v>0.19804205158855578</v>
      </c>
      <c r="I682">
        <f t="shared" si="59"/>
        <v>0</v>
      </c>
      <c r="J682">
        <f t="shared" si="60"/>
        <v>0</v>
      </c>
      <c r="K682" t="str">
        <f t="shared" si="61"/>
        <v>Mo107</v>
      </c>
    </row>
    <row r="683" spans="2:15" hidden="1" x14ac:dyDescent="0.2">
      <c r="B683" s="4">
        <v>42108</v>
      </c>
      <c r="C683" s="4">
        <v>0</v>
      </c>
      <c r="D683">
        <v>0</v>
      </c>
      <c r="E683" t="str">
        <f>VLOOKUP(B683,[1]Nuclides!A:E,5,FALSE)</f>
        <v>Mo108</v>
      </c>
      <c r="F683">
        <f>VLOOKUP(B683,[1]Nuclides!A:E,4,FALSE)</f>
        <v>1.0900000000000001</v>
      </c>
      <c r="G683" t="str">
        <f t="shared" si="57"/>
        <v>1.09s</v>
      </c>
      <c r="H683">
        <f t="shared" si="58"/>
        <v>0.63591484455040848</v>
      </c>
      <c r="I683">
        <f t="shared" si="59"/>
        <v>0</v>
      </c>
      <c r="J683">
        <f t="shared" si="60"/>
        <v>0</v>
      </c>
      <c r="K683" t="str">
        <f t="shared" si="61"/>
        <v>Mo108</v>
      </c>
    </row>
    <row r="684" spans="2:15" hidden="1" x14ac:dyDescent="0.2">
      <c r="B684" s="4">
        <v>43090</v>
      </c>
      <c r="C684" s="4">
        <v>0</v>
      </c>
      <c r="D684">
        <v>0</v>
      </c>
      <c r="E684" t="str">
        <f>VLOOKUP(B684,[1]Nuclides!A:E,5,FALSE)</f>
        <v>Tc90</v>
      </c>
      <c r="F684">
        <f>VLOOKUP(B684,[1]Nuclides!A:E,4,FALSE)</f>
        <v>8.6999999999999993</v>
      </c>
      <c r="G684" t="str">
        <f t="shared" si="57"/>
        <v>8.7s</v>
      </c>
      <c r="H684">
        <f t="shared" si="58"/>
        <v>7.9672089719533948E-2</v>
      </c>
      <c r="I684">
        <f t="shared" si="59"/>
        <v>0</v>
      </c>
      <c r="J684">
        <f t="shared" si="60"/>
        <v>0</v>
      </c>
      <c r="K684" t="str">
        <f t="shared" si="61"/>
        <v>Tc90</v>
      </c>
    </row>
    <row r="685" spans="2:15" hidden="1" x14ac:dyDescent="0.2">
      <c r="B685" s="4">
        <v>43091</v>
      </c>
      <c r="C685" s="4">
        <v>0</v>
      </c>
      <c r="D685">
        <v>0</v>
      </c>
      <c r="E685" t="str">
        <f>VLOOKUP(B685,[1]Nuclides!A:E,5,FALSE)</f>
        <v>Tc91</v>
      </c>
      <c r="F685">
        <f>VLOOKUP(B685,[1]Nuclides!A:E,4,FALSE)</f>
        <v>188.4</v>
      </c>
      <c r="G685" t="str">
        <f t="shared" si="57"/>
        <v>3.14min</v>
      </c>
      <c r="H685">
        <f t="shared" si="58"/>
        <v>3.6791251622077773E-3</v>
      </c>
      <c r="I685">
        <f t="shared" si="59"/>
        <v>0</v>
      </c>
      <c r="J685">
        <f t="shared" si="60"/>
        <v>0</v>
      </c>
      <c r="K685" t="str">
        <f t="shared" si="61"/>
        <v>Tc91</v>
      </c>
    </row>
    <row r="686" spans="2:15" hidden="1" x14ac:dyDescent="0.2">
      <c r="B686" s="4">
        <v>43092</v>
      </c>
      <c r="C686" s="4">
        <v>1.4999999999999999E-7</v>
      </c>
      <c r="D686">
        <v>0.25819999999999999</v>
      </c>
      <c r="E686" t="str">
        <f>VLOOKUP(B686,[1]Nuclides!A:E,5,FALSE)</f>
        <v>Tc92</v>
      </c>
      <c r="F686">
        <f>VLOOKUP(B686,[1]Nuclides!A:E,4,FALSE)</f>
        <v>255</v>
      </c>
      <c r="G686" t="str">
        <f t="shared" si="57"/>
        <v>4.25min</v>
      </c>
      <c r="H686">
        <f t="shared" si="58"/>
        <v>2.7182242374899817E-3</v>
      </c>
      <c r="I686">
        <f t="shared" si="59"/>
        <v>56159999.822271682</v>
      </c>
      <c r="J686">
        <f t="shared" si="60"/>
        <v>0</v>
      </c>
      <c r="K686" t="str">
        <f t="shared" si="61"/>
        <v>Tc92</v>
      </c>
    </row>
    <row r="687" spans="2:15" hidden="1" x14ac:dyDescent="0.2">
      <c r="B687" s="4">
        <v>43093</v>
      </c>
      <c r="C687" s="4">
        <v>2.9999999999999997E-8</v>
      </c>
      <c r="D687">
        <v>0.57740000000000002</v>
      </c>
      <c r="E687" t="str">
        <f>VLOOKUP(B687,[1]Nuclides!A:E,5,FALSE)</f>
        <v>Tc93</v>
      </c>
      <c r="F687">
        <f>VLOOKUP(B687,[1]Nuclides!A:E,4,FALSE)</f>
        <v>9900</v>
      </c>
      <c r="G687" t="str">
        <f t="shared" si="57"/>
        <v>2.75h</v>
      </c>
      <c r="H687">
        <f t="shared" si="58"/>
        <v>7.0014866723226796E-5</v>
      </c>
      <c r="I687">
        <f t="shared" si="59"/>
        <v>4447369.6802246235</v>
      </c>
      <c r="J687">
        <f t="shared" si="60"/>
        <v>1.3785411863845957E-4</v>
      </c>
      <c r="K687" t="str">
        <f t="shared" si="61"/>
        <v>Tc93</v>
      </c>
    </row>
    <row r="688" spans="2:15" x14ac:dyDescent="0.2">
      <c r="B688" s="4">
        <v>43094</v>
      </c>
      <c r="C688" s="4">
        <v>5.2E-7</v>
      </c>
      <c r="D688">
        <v>0.13869999999999999</v>
      </c>
      <c r="E688" t="str">
        <f>VLOOKUP(B688,[1]Nuclides!A:E,5,FALSE)</f>
        <v>Tc94</v>
      </c>
      <c r="F688" s="4">
        <f>VLOOKUP(B688,[1]Nuclides!A:E,4,FALSE)</f>
        <v>17580</v>
      </c>
      <c r="G688" s="4" t="str">
        <f t="shared" si="57"/>
        <v>4.88h</v>
      </c>
      <c r="H688" s="4">
        <f t="shared" si="58"/>
        <v>3.9428167267346149E-5</v>
      </c>
      <c r="I688" s="4">
        <f t="shared" si="59"/>
        <v>48116190.899850667</v>
      </c>
      <c r="J688" s="4">
        <f t="shared" ref="J688:J690" si="62">I688*EXP(-H688*24*30*3600)</f>
        <v>1.9876800833147791E-37</v>
      </c>
      <c r="K688" s="4" t="str">
        <f t="shared" si="61"/>
        <v>Tc94</v>
      </c>
      <c r="M688" s="4" t="str">
        <f t="shared" ref="M688:M690" si="63">K688</f>
        <v>Tc94</v>
      </c>
      <c r="N688" s="4">
        <f t="shared" ref="N688:N690" si="64">J688</f>
        <v>1.9876800833147791E-37</v>
      </c>
      <c r="O688">
        <f>0</f>
        <v>0</v>
      </c>
    </row>
    <row r="689" spans="2:15" x14ac:dyDescent="0.2">
      <c r="B689" s="4">
        <v>43095</v>
      </c>
      <c r="C689" s="4">
        <v>6.4000000000000001E-7</v>
      </c>
      <c r="D689">
        <v>0.125</v>
      </c>
      <c r="E689" t="str">
        <f>VLOOKUP(B689,[1]Nuclides!A:E,5,FALSE)</f>
        <v>Tc95</v>
      </c>
      <c r="F689" s="4">
        <f>VLOOKUP(B689,[1]Nuclides!A:E,4,FALSE)</f>
        <v>72000</v>
      </c>
      <c r="G689" s="4" t="str">
        <f t="shared" si="57"/>
        <v>20h</v>
      </c>
      <c r="H689" s="4">
        <f t="shared" si="58"/>
        <v>9.6270441744436842E-6</v>
      </c>
      <c r="I689" s="4">
        <f t="shared" si="59"/>
        <v>16046366.699916355</v>
      </c>
      <c r="J689" s="4">
        <f t="shared" si="62"/>
        <v>2.3350536794047248E-4</v>
      </c>
      <c r="K689" s="4" t="str">
        <f t="shared" si="61"/>
        <v>Tc95</v>
      </c>
      <c r="M689" s="4" t="str">
        <f t="shared" si="63"/>
        <v>Tc95</v>
      </c>
      <c r="N689" s="4">
        <f t="shared" si="64"/>
        <v>2.3350536794047248E-4</v>
      </c>
      <c r="O689">
        <f>0</f>
        <v>0</v>
      </c>
    </row>
    <row r="690" spans="2:15" x14ac:dyDescent="0.2">
      <c r="B690" s="4">
        <v>43096</v>
      </c>
      <c r="C690" s="4">
        <v>6.4000000000000001E-7</v>
      </c>
      <c r="D690">
        <v>0.125</v>
      </c>
      <c r="E690" t="str">
        <f>VLOOKUP(B690,[1]Nuclides!A:E,5,FALSE)</f>
        <v>Tc96</v>
      </c>
      <c r="F690" s="4">
        <f>VLOOKUP(B690,[1]Nuclides!A:E,4,FALSE)</f>
        <v>369792</v>
      </c>
      <c r="G690" s="4" t="str">
        <f t="shared" si="57"/>
        <v>4.28d</v>
      </c>
      <c r="H690" s="4">
        <f t="shared" si="58"/>
        <v>1.8744244887935522E-6</v>
      </c>
      <c r="I690" s="4">
        <f t="shared" si="59"/>
        <v>3212099.3385623381</v>
      </c>
      <c r="J690" s="4">
        <f t="shared" si="62"/>
        <v>24932.488871752787</v>
      </c>
      <c r="K690" s="4" t="str">
        <f t="shared" si="61"/>
        <v>Tc96</v>
      </c>
      <c r="M690" s="4" t="str">
        <f t="shared" si="63"/>
        <v>Tc96</v>
      </c>
      <c r="N690" s="4">
        <f t="shared" si="64"/>
        <v>24932.488871752787</v>
      </c>
      <c r="O690">
        <f>0</f>
        <v>0</v>
      </c>
    </row>
    <row r="691" spans="2:15" hidden="1" x14ac:dyDescent="0.2">
      <c r="B691" s="4">
        <v>43097</v>
      </c>
      <c r="C691" s="4">
        <v>8.8999999999999995E-7</v>
      </c>
      <c r="D691">
        <v>0.106</v>
      </c>
      <c r="E691" t="str">
        <f>VLOOKUP(B691,[1]Nuclides!A:E,5,FALSE)</f>
        <v>Tc97</v>
      </c>
      <c r="F691">
        <f>VLOOKUP(B691,[1]Nuclides!A:E,4,FALSE)</f>
        <v>132857496000000</v>
      </c>
      <c r="G691" t="str">
        <f t="shared" si="57"/>
        <v>4212883.56y</v>
      </c>
      <c r="H691">
        <f t="shared" si="58"/>
        <v>5.2172229752090563E-15</v>
      </c>
      <c r="I691">
        <f t="shared" si="59"/>
        <v>1.2516909812632093E-2</v>
      </c>
      <c r="J691">
        <f t="shared" si="60"/>
        <v>1.25169097900632E-2</v>
      </c>
      <c r="K691" t="str">
        <f t="shared" si="61"/>
        <v>Tc97</v>
      </c>
    </row>
    <row r="692" spans="2:15" hidden="1" x14ac:dyDescent="0.2">
      <c r="B692" s="4">
        <v>43098</v>
      </c>
      <c r="C692" s="4">
        <v>1.6999999999999999E-7</v>
      </c>
      <c r="D692">
        <v>0.24249999999999999</v>
      </c>
      <c r="E692" t="str">
        <f>VLOOKUP(B692,[1]Nuclides!A:E,5,FALSE)</f>
        <v>Tc98</v>
      </c>
      <c r="F692">
        <f>VLOOKUP(B692,[1]Nuclides!A:E,4,FALSE)</f>
        <v>132541920000000</v>
      </c>
      <c r="G692" t="str">
        <f t="shared" si="57"/>
        <v>4202876.71y</v>
      </c>
      <c r="H692">
        <f t="shared" si="58"/>
        <v>5.2296449346738394E-15</v>
      </c>
      <c r="I692">
        <f t="shared" si="59"/>
        <v>2.3965658897395765E-3</v>
      </c>
      <c r="J692">
        <f t="shared" si="60"/>
        <v>2.3965658854081064E-3</v>
      </c>
      <c r="K692" t="str">
        <f t="shared" si="61"/>
        <v>Tc98</v>
      </c>
    </row>
    <row r="693" spans="2:15" hidden="1" x14ac:dyDescent="0.2">
      <c r="B693" s="4">
        <v>43099</v>
      </c>
      <c r="C693" s="4">
        <v>3.8000000000000001E-7</v>
      </c>
      <c r="D693">
        <v>0.16220000000000001</v>
      </c>
      <c r="E693" t="str">
        <f>VLOOKUP(B693,[1]Nuclides!A:E,5,FALSE)</f>
        <v>Tc99</v>
      </c>
      <c r="F693">
        <f>VLOOKUP(B693,[1]Nuclides!A:E,4,FALSE)</f>
        <v>6661809360000</v>
      </c>
      <c r="G693" t="str">
        <f t="shared" si="57"/>
        <v>211244.59y</v>
      </c>
      <c r="H693">
        <f t="shared" si="58"/>
        <v>1.040478859575089E-13</v>
      </c>
      <c r="I693">
        <f t="shared" si="59"/>
        <v>0.10658232133664569</v>
      </c>
      <c r="J693">
        <f t="shared" si="60"/>
        <v>0.10658231750405746</v>
      </c>
      <c r="K693" t="str">
        <f t="shared" si="61"/>
        <v>Tc99</v>
      </c>
    </row>
    <row r="694" spans="2:15" hidden="1" x14ac:dyDescent="0.2">
      <c r="B694" s="4">
        <v>43100</v>
      </c>
      <c r="C694" s="4">
        <v>4.0000000000000001E-8</v>
      </c>
      <c r="D694">
        <v>0.5</v>
      </c>
      <c r="E694" t="str">
        <f>VLOOKUP(B694,[1]Nuclides!A:E,5,FALSE)</f>
        <v>Tc100</v>
      </c>
      <c r="F694">
        <f>VLOOKUP(B694,[1]Nuclides!A:E,4,FALSE)</f>
        <v>15.46</v>
      </c>
      <c r="G694" t="str">
        <f t="shared" si="57"/>
        <v>15.46s</v>
      </c>
      <c r="H694">
        <f t="shared" si="58"/>
        <v>4.4834875844757129E-2</v>
      </c>
      <c r="I694">
        <f t="shared" si="59"/>
        <v>14976000</v>
      </c>
      <c r="J694">
        <f t="shared" si="60"/>
        <v>0</v>
      </c>
      <c r="K694" t="str">
        <f t="shared" si="61"/>
        <v>Tc100</v>
      </c>
    </row>
    <row r="695" spans="2:15" hidden="1" x14ac:dyDescent="0.2">
      <c r="B695" s="4">
        <v>43101</v>
      </c>
      <c r="C695" s="4">
        <v>0</v>
      </c>
      <c r="D695">
        <v>0</v>
      </c>
      <c r="E695" t="str">
        <f>VLOOKUP(B695,[1]Nuclides!A:E,5,FALSE)</f>
        <v>Tc101</v>
      </c>
      <c r="F695">
        <f>VLOOKUP(B695,[1]Nuclides!A:E,4,FALSE)</f>
        <v>841.19999999999902</v>
      </c>
      <c r="G695" t="str">
        <f t="shared" si="57"/>
        <v>14.02min</v>
      </c>
      <c r="H695">
        <f t="shared" si="58"/>
        <v>8.239980748453948E-4</v>
      </c>
      <c r="I695">
        <f t="shared" si="59"/>
        <v>0</v>
      </c>
      <c r="J695">
        <f t="shared" si="60"/>
        <v>0</v>
      </c>
      <c r="K695" t="str">
        <f t="shared" si="61"/>
        <v>Tc101</v>
      </c>
    </row>
    <row r="696" spans="2:15" hidden="1" x14ac:dyDescent="0.2">
      <c r="B696" s="4">
        <v>43102</v>
      </c>
      <c r="C696" s="4">
        <v>0</v>
      </c>
      <c r="D696">
        <v>0</v>
      </c>
      <c r="E696" t="str">
        <f>VLOOKUP(B696,[1]Nuclides!A:E,5,FALSE)</f>
        <v>Tc102</v>
      </c>
      <c r="F696">
        <f>VLOOKUP(B696,[1]Nuclides!A:E,4,FALSE)</f>
        <v>5.28</v>
      </c>
      <c r="G696" t="str">
        <f t="shared" si="57"/>
        <v>5.28s</v>
      </c>
      <c r="H696">
        <f t="shared" si="58"/>
        <v>0.13127787510605024</v>
      </c>
      <c r="I696">
        <f t="shared" si="59"/>
        <v>0</v>
      </c>
      <c r="J696">
        <f t="shared" si="60"/>
        <v>0</v>
      </c>
      <c r="K696" t="str">
        <f t="shared" si="61"/>
        <v>Tc102</v>
      </c>
    </row>
    <row r="697" spans="2:15" hidden="1" x14ac:dyDescent="0.2">
      <c r="B697" s="4">
        <v>43103</v>
      </c>
      <c r="C697" s="4">
        <v>0</v>
      </c>
      <c r="D697">
        <v>0</v>
      </c>
      <c r="E697" t="str">
        <f>VLOOKUP(B697,[1]Nuclides!A:E,5,FALSE)</f>
        <v>Tc103</v>
      </c>
      <c r="F697">
        <f>VLOOKUP(B697,[1]Nuclides!A:E,4,FALSE)</f>
        <v>54.2</v>
      </c>
      <c r="G697" t="str">
        <f t="shared" si="57"/>
        <v>54.2s</v>
      </c>
      <c r="H697">
        <f t="shared" si="58"/>
        <v>1.2788693368264673E-2</v>
      </c>
      <c r="I697">
        <f t="shared" si="59"/>
        <v>0</v>
      </c>
      <c r="J697">
        <f t="shared" si="60"/>
        <v>0</v>
      </c>
      <c r="K697" t="str">
        <f t="shared" si="61"/>
        <v>Tc103</v>
      </c>
    </row>
    <row r="698" spans="2:15" hidden="1" x14ac:dyDescent="0.2">
      <c r="B698" s="4">
        <v>43104</v>
      </c>
      <c r="C698" s="4">
        <v>0</v>
      </c>
      <c r="D698">
        <v>0</v>
      </c>
      <c r="E698" t="str">
        <f>VLOOKUP(B698,[1]Nuclides!A:E,5,FALSE)</f>
        <v>Tc104</v>
      </c>
      <c r="F698">
        <f>VLOOKUP(B698,[1]Nuclides!A:E,4,FALSE)</f>
        <v>1098</v>
      </c>
      <c r="G698" t="str">
        <f t="shared" si="57"/>
        <v>18.3min</v>
      </c>
      <c r="H698">
        <f t="shared" si="58"/>
        <v>6.3128158520942197E-4</v>
      </c>
      <c r="I698">
        <f t="shared" si="59"/>
        <v>0</v>
      </c>
      <c r="J698">
        <f t="shared" si="60"/>
        <v>0</v>
      </c>
      <c r="K698" t="str">
        <f t="shared" si="61"/>
        <v>Tc104</v>
      </c>
    </row>
    <row r="699" spans="2:15" hidden="1" x14ac:dyDescent="0.2">
      <c r="B699" s="4">
        <v>43105</v>
      </c>
      <c r="C699" s="4">
        <v>0</v>
      </c>
      <c r="D699">
        <v>0</v>
      </c>
      <c r="E699" t="str">
        <f>VLOOKUP(B699,[1]Nuclides!A:E,5,FALSE)</f>
        <v>Tc105</v>
      </c>
      <c r="F699">
        <f>VLOOKUP(B699,[1]Nuclides!A:E,4,FALSE)</f>
        <v>456</v>
      </c>
      <c r="G699" t="str">
        <f t="shared" si="57"/>
        <v>7.6min</v>
      </c>
      <c r="H699">
        <f t="shared" si="58"/>
        <v>1.520059606491108E-3</v>
      </c>
      <c r="I699">
        <f t="shared" si="59"/>
        <v>0</v>
      </c>
      <c r="J699">
        <f t="shared" si="60"/>
        <v>0</v>
      </c>
      <c r="K699" t="str">
        <f t="shared" si="61"/>
        <v>Tc105</v>
      </c>
    </row>
    <row r="700" spans="2:15" hidden="1" x14ac:dyDescent="0.2">
      <c r="B700" s="4">
        <v>43106</v>
      </c>
      <c r="C700" s="4">
        <v>0</v>
      </c>
      <c r="D700">
        <v>0</v>
      </c>
      <c r="E700" t="str">
        <f>VLOOKUP(B700,[1]Nuclides!A:E,5,FALSE)</f>
        <v>Tc106</v>
      </c>
      <c r="F700">
        <f>VLOOKUP(B700,[1]Nuclides!A:E,4,FALSE)</f>
        <v>35.6</v>
      </c>
      <c r="G700" t="str">
        <f t="shared" si="57"/>
        <v>35.6s</v>
      </c>
      <c r="H700">
        <f t="shared" si="58"/>
        <v>1.9470426420223182E-2</v>
      </c>
      <c r="I700">
        <f t="shared" si="59"/>
        <v>0</v>
      </c>
      <c r="J700">
        <f t="shared" si="60"/>
        <v>0</v>
      </c>
      <c r="K700" t="str">
        <f t="shared" si="61"/>
        <v>Tc106</v>
      </c>
    </row>
    <row r="701" spans="2:15" hidden="1" x14ac:dyDescent="0.2">
      <c r="B701" s="4">
        <v>43107</v>
      </c>
      <c r="C701" s="4">
        <v>0</v>
      </c>
      <c r="D701">
        <v>0</v>
      </c>
      <c r="E701" t="str">
        <f>VLOOKUP(B701,[1]Nuclides!A:E,5,FALSE)</f>
        <v>Tc107</v>
      </c>
      <c r="F701">
        <f>VLOOKUP(B701,[1]Nuclides!A:E,4,FALSE)</f>
        <v>21.2</v>
      </c>
      <c r="G701" t="str">
        <f t="shared" si="57"/>
        <v>21.2s</v>
      </c>
      <c r="H701">
        <f t="shared" si="58"/>
        <v>3.2695621724525725E-2</v>
      </c>
      <c r="I701">
        <f t="shared" si="59"/>
        <v>0</v>
      </c>
      <c r="J701">
        <f t="shared" si="60"/>
        <v>0</v>
      </c>
      <c r="K701" t="str">
        <f t="shared" si="61"/>
        <v>Tc107</v>
      </c>
    </row>
    <row r="702" spans="2:15" hidden="1" x14ac:dyDescent="0.2">
      <c r="B702" s="4">
        <v>43108</v>
      </c>
      <c r="C702" s="4">
        <v>0</v>
      </c>
      <c r="D702">
        <v>0</v>
      </c>
      <c r="E702" t="str">
        <f>VLOOKUP(B702,[1]Nuclides!A:E,5,FALSE)</f>
        <v>Tc108</v>
      </c>
      <c r="F702">
        <f>VLOOKUP(B702,[1]Nuclides!A:E,4,FALSE)</f>
        <v>5.17</v>
      </c>
      <c r="G702" t="str">
        <f t="shared" si="57"/>
        <v>5.17s</v>
      </c>
      <c r="H702">
        <f t="shared" si="58"/>
        <v>0.13407102138490237</v>
      </c>
      <c r="I702">
        <f t="shared" si="59"/>
        <v>0</v>
      </c>
      <c r="J702">
        <f t="shared" si="60"/>
        <v>0</v>
      </c>
      <c r="K702" t="str">
        <f t="shared" si="61"/>
        <v>Tc108</v>
      </c>
    </row>
    <row r="703" spans="2:15" hidden="1" x14ac:dyDescent="0.2">
      <c r="B703" s="4">
        <v>43109</v>
      </c>
      <c r="C703" s="4">
        <v>0</v>
      </c>
      <c r="D703">
        <v>0</v>
      </c>
      <c r="E703" t="str">
        <f>VLOOKUP(B703,[1]Nuclides!A:E,5,FALSE)</f>
        <v>Tc109</v>
      </c>
      <c r="F703">
        <f>VLOOKUP(B703,[1]Nuclides!A:E,4,FALSE)</f>
        <v>0.86</v>
      </c>
      <c r="G703" t="str">
        <f t="shared" si="57"/>
        <v>0.86s</v>
      </c>
      <c r="H703">
        <f t="shared" si="58"/>
        <v>0.805985093674355</v>
      </c>
      <c r="I703">
        <f t="shared" si="59"/>
        <v>0</v>
      </c>
      <c r="J703">
        <f t="shared" si="60"/>
        <v>0</v>
      </c>
      <c r="K703" t="str">
        <f t="shared" si="61"/>
        <v>Tc109</v>
      </c>
    </row>
    <row r="704" spans="2:15" hidden="1" x14ac:dyDescent="0.2">
      <c r="B704" s="4">
        <v>43110</v>
      </c>
      <c r="C704" s="4">
        <v>0</v>
      </c>
      <c r="D704">
        <v>0</v>
      </c>
      <c r="E704" t="str">
        <f>VLOOKUP(B704,[1]Nuclides!A:E,5,FALSE)</f>
        <v>Tc110</v>
      </c>
      <c r="F704">
        <f>VLOOKUP(B704,[1]Nuclides!A:E,4,FALSE)</f>
        <v>0.92</v>
      </c>
      <c r="G704" t="str">
        <f t="shared" si="57"/>
        <v>0.92s</v>
      </c>
      <c r="H704">
        <f t="shared" si="58"/>
        <v>0.75342084843472312</v>
      </c>
      <c r="I704">
        <f t="shared" si="59"/>
        <v>0</v>
      </c>
      <c r="J704">
        <f t="shared" si="60"/>
        <v>0</v>
      </c>
      <c r="K704" t="str">
        <f t="shared" si="61"/>
        <v>Tc110</v>
      </c>
    </row>
    <row r="705" spans="2:11" hidden="1" x14ac:dyDescent="0.2">
      <c r="B705" s="4">
        <v>44092</v>
      </c>
      <c r="C705" s="4">
        <v>0</v>
      </c>
      <c r="D705">
        <v>0</v>
      </c>
      <c r="E705" t="str">
        <f>VLOOKUP(B705,[1]Nuclides!A:E,5,FALSE)</f>
        <v>Ru92</v>
      </c>
      <c r="F705">
        <f>VLOOKUP(B705,[1]Nuclides!A:E,4,FALSE)</f>
        <v>219</v>
      </c>
      <c r="G705" t="str">
        <f t="shared" si="57"/>
        <v>3.65min</v>
      </c>
      <c r="H705">
        <f t="shared" si="58"/>
        <v>3.1650556189951841E-3</v>
      </c>
      <c r="I705">
        <f t="shared" si="59"/>
        <v>0</v>
      </c>
      <c r="J705">
        <f t="shared" si="60"/>
        <v>0</v>
      </c>
      <c r="K705" t="str">
        <f t="shared" si="61"/>
        <v>Ru92</v>
      </c>
    </row>
    <row r="706" spans="2:11" hidden="1" x14ac:dyDescent="0.2">
      <c r="B706" s="4">
        <v>44093</v>
      </c>
      <c r="C706" s="4">
        <v>0</v>
      </c>
      <c r="D706">
        <v>0</v>
      </c>
      <c r="E706" t="str">
        <f>VLOOKUP(B706,[1]Nuclides!A:E,5,FALSE)</f>
        <v>Ru93</v>
      </c>
      <c r="F706">
        <f>VLOOKUP(B706,[1]Nuclides!A:E,4,FALSE)</f>
        <v>59.7</v>
      </c>
      <c r="G706" t="str">
        <f t="shared" si="57"/>
        <v>59.7s</v>
      </c>
      <c r="H706">
        <f t="shared" si="58"/>
        <v>1.1610505537017509E-2</v>
      </c>
      <c r="I706">
        <f t="shared" si="59"/>
        <v>0</v>
      </c>
      <c r="J706">
        <f t="shared" si="60"/>
        <v>0</v>
      </c>
      <c r="K706" t="str">
        <f t="shared" si="61"/>
        <v>Ru93</v>
      </c>
    </row>
    <row r="707" spans="2:11" hidden="1" x14ac:dyDescent="0.2">
      <c r="B707" s="4">
        <v>44094</v>
      </c>
      <c r="C707" s="4">
        <v>0</v>
      </c>
      <c r="D707">
        <v>0</v>
      </c>
      <c r="E707" t="str">
        <f>VLOOKUP(B707,[1]Nuclides!A:E,5,FALSE)</f>
        <v>Ru94</v>
      </c>
      <c r="F707">
        <f>VLOOKUP(B707,[1]Nuclides!A:E,4,FALSE)</f>
        <v>3108</v>
      </c>
      <c r="G707" t="str">
        <f t="shared" si="57"/>
        <v>51.8min</v>
      </c>
      <c r="H707">
        <f t="shared" si="58"/>
        <v>2.2302032836549077E-4</v>
      </c>
      <c r="I707">
        <f t="shared" si="59"/>
        <v>0</v>
      </c>
      <c r="J707">
        <f t="shared" si="60"/>
        <v>0</v>
      </c>
      <c r="K707" t="str">
        <f t="shared" si="61"/>
        <v>Ru94</v>
      </c>
    </row>
    <row r="708" spans="2:11" hidden="1" x14ac:dyDescent="0.2">
      <c r="B708" s="4">
        <v>44095</v>
      </c>
      <c r="C708" s="4">
        <v>0</v>
      </c>
      <c r="D708">
        <v>0</v>
      </c>
      <c r="E708" t="str">
        <f>VLOOKUP(B708,[1]Nuclides!A:E,5,FALSE)</f>
        <v>Ru95</v>
      </c>
      <c r="F708">
        <f>VLOOKUP(B708,[1]Nuclides!A:E,4,FALSE)</f>
        <v>5914.8</v>
      </c>
      <c r="G708" t="str">
        <f t="shared" si="57"/>
        <v>1.64h</v>
      </c>
      <c r="H708">
        <f t="shared" si="58"/>
        <v>1.171886083316334E-4</v>
      </c>
      <c r="I708">
        <f t="shared" si="59"/>
        <v>0</v>
      </c>
      <c r="J708">
        <f t="shared" si="60"/>
        <v>0</v>
      </c>
      <c r="K708" t="str">
        <f t="shared" si="61"/>
        <v>Ru95</v>
      </c>
    </row>
    <row r="709" spans="2:11" hidden="1" x14ac:dyDescent="0.2">
      <c r="B709" s="4">
        <v>44096</v>
      </c>
      <c r="C709" s="4">
        <v>0</v>
      </c>
      <c r="D709">
        <v>0</v>
      </c>
      <c r="E709" t="str">
        <f>VLOOKUP(B709,[1]Nuclides!A:E,5,FALSE)</f>
        <v>Ru96</v>
      </c>
      <c r="F709" t="str">
        <f>VLOOKUP(B709,[1]Nuclides!A:E,4,FALSE)</f>
        <v>STABLE</v>
      </c>
      <c r="G709" t="str">
        <f t="shared" ref="G709:G772" si="65">IF(F709="STABLE", "STABLE", IF(F709&lt;60, F709&amp;"s", IF(F709&lt;3600, ROUND(F709/60,2)&amp;"min", IF(F709&lt;86400, ROUND(F709/3600,2)&amp;"h", IF(F709&lt;31536000, ROUND(F709/86400,2)&amp;"d", ROUND(F709/31536000,2)&amp;"y")))))</f>
        <v>STABLE</v>
      </c>
      <c r="H709" t="e">
        <f t="shared" ref="H709:H772" si="66">LN(2)/F709</f>
        <v>#VALUE!</v>
      </c>
      <c r="I709" t="e">
        <f t="shared" ref="I709:I772" si="67">60*6240000000000*C709*(1-EXP(-H709*2*3600))</f>
        <v>#VALUE!</v>
      </c>
      <c r="J709" t="e">
        <f t="shared" ref="J709:J772" si="68">I709*EXP(-H709*96*3600)</f>
        <v>#VALUE!</v>
      </c>
      <c r="K709" t="str">
        <f t="shared" ref="K709:K772" si="69">E709</f>
        <v>Ru96</v>
      </c>
    </row>
    <row r="710" spans="2:11" hidden="1" x14ac:dyDescent="0.2">
      <c r="B710" s="4">
        <v>44097</v>
      </c>
      <c r="C710" s="4">
        <v>0</v>
      </c>
      <c r="D710">
        <v>0</v>
      </c>
      <c r="E710" t="str">
        <f>VLOOKUP(B710,[1]Nuclides!A:E,5,FALSE)</f>
        <v>Ru97</v>
      </c>
      <c r="F710">
        <f>VLOOKUP(B710,[1]Nuclides!A:E,4,FALSE)</f>
        <v>244512</v>
      </c>
      <c r="G710" t="str">
        <f t="shared" si="65"/>
        <v>2.83d</v>
      </c>
      <c r="H710">
        <f t="shared" si="66"/>
        <v>2.8348186614969625E-6</v>
      </c>
      <c r="I710">
        <f t="shared" si="67"/>
        <v>0</v>
      </c>
      <c r="J710">
        <f t="shared" si="68"/>
        <v>0</v>
      </c>
      <c r="K710" t="str">
        <f t="shared" si="69"/>
        <v>Ru97</v>
      </c>
    </row>
    <row r="711" spans="2:11" hidden="1" x14ac:dyDescent="0.2">
      <c r="B711" s="4">
        <v>44098</v>
      </c>
      <c r="C711" s="4">
        <v>0</v>
      </c>
      <c r="D711">
        <v>0</v>
      </c>
      <c r="E711" t="str">
        <f>VLOOKUP(B711,[1]Nuclides!A:E,5,FALSE)</f>
        <v>Ru98</v>
      </c>
      <c r="F711" t="str">
        <f>VLOOKUP(B711,[1]Nuclides!A:E,4,FALSE)</f>
        <v>STABLE</v>
      </c>
      <c r="G711" t="str">
        <f t="shared" si="65"/>
        <v>STABLE</v>
      </c>
      <c r="H711" t="e">
        <f t="shared" si="66"/>
        <v>#VALUE!</v>
      </c>
      <c r="I711" t="e">
        <f t="shared" si="67"/>
        <v>#VALUE!</v>
      </c>
      <c r="J711" t="e">
        <f t="shared" si="68"/>
        <v>#VALUE!</v>
      </c>
      <c r="K711" t="str">
        <f t="shared" si="69"/>
        <v>Ru98</v>
      </c>
    </row>
    <row r="712" spans="2:11" hidden="1" x14ac:dyDescent="0.2">
      <c r="B712" s="4">
        <v>44099</v>
      </c>
      <c r="C712" s="4">
        <v>0</v>
      </c>
      <c r="D712">
        <v>0</v>
      </c>
      <c r="E712" t="str">
        <f>VLOOKUP(B712,[1]Nuclides!A:E,5,FALSE)</f>
        <v>Ru99</v>
      </c>
      <c r="F712" t="str">
        <f>VLOOKUP(B712,[1]Nuclides!A:E,4,FALSE)</f>
        <v>STABLE</v>
      </c>
      <c r="G712" t="str">
        <f t="shared" si="65"/>
        <v>STABLE</v>
      </c>
      <c r="H712" t="e">
        <f t="shared" si="66"/>
        <v>#VALUE!</v>
      </c>
      <c r="I712" t="e">
        <f t="shared" si="67"/>
        <v>#VALUE!</v>
      </c>
      <c r="J712" t="e">
        <f t="shared" si="68"/>
        <v>#VALUE!</v>
      </c>
      <c r="K712" t="str">
        <f t="shared" si="69"/>
        <v>Ru99</v>
      </c>
    </row>
    <row r="713" spans="2:11" hidden="1" x14ac:dyDescent="0.2">
      <c r="B713" s="4">
        <v>44100</v>
      </c>
      <c r="C713" s="4">
        <v>0</v>
      </c>
      <c r="D713">
        <v>0</v>
      </c>
      <c r="E713" t="str">
        <f>VLOOKUP(B713,[1]Nuclides!A:E,5,FALSE)</f>
        <v>Ru100</v>
      </c>
      <c r="F713" t="str">
        <f>VLOOKUP(B713,[1]Nuclides!A:E,4,FALSE)</f>
        <v>STABLE</v>
      </c>
      <c r="G713" t="str">
        <f t="shared" si="65"/>
        <v>STABLE</v>
      </c>
      <c r="H713" t="e">
        <f t="shared" si="66"/>
        <v>#VALUE!</v>
      </c>
      <c r="I713" t="e">
        <f t="shared" si="67"/>
        <v>#VALUE!</v>
      </c>
      <c r="J713" t="e">
        <f t="shared" si="68"/>
        <v>#VALUE!</v>
      </c>
      <c r="K713" t="str">
        <f t="shared" si="69"/>
        <v>Ru100</v>
      </c>
    </row>
    <row r="714" spans="2:11" hidden="1" x14ac:dyDescent="0.2">
      <c r="B714" s="4">
        <v>44101</v>
      </c>
      <c r="C714" s="4">
        <v>0</v>
      </c>
      <c r="D714">
        <v>0</v>
      </c>
      <c r="E714" t="str">
        <f>VLOOKUP(B714,[1]Nuclides!A:E,5,FALSE)</f>
        <v>Ru101</v>
      </c>
      <c r="F714" t="str">
        <f>VLOOKUP(B714,[1]Nuclides!A:E,4,FALSE)</f>
        <v>STABLE</v>
      </c>
      <c r="G714" t="str">
        <f t="shared" si="65"/>
        <v>STABLE</v>
      </c>
      <c r="H714" t="e">
        <f t="shared" si="66"/>
        <v>#VALUE!</v>
      </c>
      <c r="I714" t="e">
        <f t="shared" si="67"/>
        <v>#VALUE!</v>
      </c>
      <c r="J714" t="e">
        <f t="shared" si="68"/>
        <v>#VALUE!</v>
      </c>
      <c r="K714" t="str">
        <f t="shared" si="69"/>
        <v>Ru101</v>
      </c>
    </row>
    <row r="715" spans="2:11" hidden="1" x14ac:dyDescent="0.2">
      <c r="B715" s="4">
        <v>44102</v>
      </c>
      <c r="C715" s="4">
        <v>0</v>
      </c>
      <c r="D715">
        <v>0</v>
      </c>
      <c r="E715" t="str">
        <f>VLOOKUP(B715,[1]Nuclides!A:E,5,FALSE)</f>
        <v>Ru102</v>
      </c>
      <c r="F715" t="str">
        <f>VLOOKUP(B715,[1]Nuclides!A:E,4,FALSE)</f>
        <v>STABLE</v>
      </c>
      <c r="G715" t="str">
        <f t="shared" si="65"/>
        <v>STABLE</v>
      </c>
      <c r="H715" t="e">
        <f t="shared" si="66"/>
        <v>#VALUE!</v>
      </c>
      <c r="I715" t="e">
        <f t="shared" si="67"/>
        <v>#VALUE!</v>
      </c>
      <c r="J715" t="e">
        <f t="shared" si="68"/>
        <v>#VALUE!</v>
      </c>
      <c r="K715" t="str">
        <f t="shared" si="69"/>
        <v>Ru102</v>
      </c>
    </row>
    <row r="716" spans="2:11" hidden="1" x14ac:dyDescent="0.2">
      <c r="B716" s="4">
        <v>44103</v>
      </c>
      <c r="C716" s="4">
        <v>0</v>
      </c>
      <c r="D716">
        <v>0</v>
      </c>
      <c r="E716" t="str">
        <f>VLOOKUP(B716,[1]Nuclides!A:E,5,FALSE)</f>
        <v>Ru103</v>
      </c>
      <c r="F716">
        <f>VLOOKUP(B716,[1]Nuclides!A:E,4,FALSE)</f>
        <v>3390940.8</v>
      </c>
      <c r="G716" t="str">
        <f t="shared" si="65"/>
        <v>39.25d</v>
      </c>
      <c r="H716">
        <f t="shared" si="66"/>
        <v>2.0441146615120656E-7</v>
      </c>
      <c r="I716">
        <f t="shared" si="67"/>
        <v>0</v>
      </c>
      <c r="J716">
        <f t="shared" si="68"/>
        <v>0</v>
      </c>
      <c r="K716" t="str">
        <f t="shared" si="69"/>
        <v>Ru103</v>
      </c>
    </row>
    <row r="717" spans="2:11" hidden="1" x14ac:dyDescent="0.2">
      <c r="B717" s="4">
        <v>44104</v>
      </c>
      <c r="C717" s="4">
        <v>0</v>
      </c>
      <c r="D717">
        <v>0</v>
      </c>
      <c r="E717" t="str">
        <f>VLOOKUP(B717,[1]Nuclides!A:E,5,FALSE)</f>
        <v>Ru104</v>
      </c>
      <c r="F717" t="str">
        <f>VLOOKUP(B717,[1]Nuclides!A:E,4,FALSE)</f>
        <v>STABLE</v>
      </c>
      <c r="G717" t="str">
        <f t="shared" si="65"/>
        <v>STABLE</v>
      </c>
      <c r="H717" t="e">
        <f t="shared" si="66"/>
        <v>#VALUE!</v>
      </c>
      <c r="I717" t="e">
        <f t="shared" si="67"/>
        <v>#VALUE!</v>
      </c>
      <c r="J717" t="e">
        <f t="shared" si="68"/>
        <v>#VALUE!</v>
      </c>
      <c r="K717" t="str">
        <f t="shared" si="69"/>
        <v>Ru104</v>
      </c>
    </row>
    <row r="718" spans="2:11" hidden="1" x14ac:dyDescent="0.2">
      <c r="B718" s="4">
        <v>44105</v>
      </c>
      <c r="C718" s="4">
        <v>0</v>
      </c>
      <c r="D718">
        <v>0</v>
      </c>
      <c r="E718" t="str">
        <f>VLOOKUP(B718,[1]Nuclides!A:E,5,FALSE)</f>
        <v>Ru105</v>
      </c>
      <c r="F718">
        <f>VLOOKUP(B718,[1]Nuclides!A:E,4,FALSE)</f>
        <v>15984</v>
      </c>
      <c r="G718" t="str">
        <f t="shared" si="65"/>
        <v>4.44h</v>
      </c>
      <c r="H718">
        <f t="shared" si="66"/>
        <v>4.3365063848845423E-5</v>
      </c>
      <c r="I718">
        <f t="shared" si="67"/>
        <v>0</v>
      </c>
      <c r="J718">
        <f t="shared" si="68"/>
        <v>0</v>
      </c>
      <c r="K718" t="str">
        <f t="shared" si="69"/>
        <v>Ru105</v>
      </c>
    </row>
    <row r="719" spans="2:11" hidden="1" x14ac:dyDescent="0.2">
      <c r="B719" s="4">
        <v>44106</v>
      </c>
      <c r="C719" s="4">
        <v>0</v>
      </c>
      <c r="D719">
        <v>0</v>
      </c>
      <c r="E719" t="str">
        <f>VLOOKUP(B719,[1]Nuclides!A:E,5,FALSE)</f>
        <v>Ru106</v>
      </c>
      <c r="F719">
        <f>VLOOKUP(B719,[1]Nuclides!A:E,4,FALSE)</f>
        <v>32123520</v>
      </c>
      <c r="G719" t="str">
        <f t="shared" si="65"/>
        <v>1.02y</v>
      </c>
      <c r="H719">
        <f t="shared" si="66"/>
        <v>2.1577560010856383E-8</v>
      </c>
      <c r="I719">
        <f t="shared" si="67"/>
        <v>0</v>
      </c>
      <c r="J719">
        <f t="shared" si="68"/>
        <v>0</v>
      </c>
      <c r="K719" t="str">
        <f t="shared" si="69"/>
        <v>Ru106</v>
      </c>
    </row>
    <row r="720" spans="2:11" hidden="1" x14ac:dyDescent="0.2">
      <c r="B720" s="4">
        <v>44107</v>
      </c>
      <c r="C720" s="4">
        <v>0</v>
      </c>
      <c r="D720">
        <v>0</v>
      </c>
      <c r="E720" t="str">
        <f>VLOOKUP(B720,[1]Nuclides!A:E,5,FALSE)</f>
        <v>Ru107</v>
      </c>
      <c r="F720">
        <f>VLOOKUP(B720,[1]Nuclides!A:E,4,FALSE)</f>
        <v>225</v>
      </c>
      <c r="G720" t="str">
        <f t="shared" si="65"/>
        <v>3.75min</v>
      </c>
      <c r="H720">
        <f t="shared" si="66"/>
        <v>3.080654135821979E-3</v>
      </c>
      <c r="I720">
        <f t="shared" si="67"/>
        <v>0</v>
      </c>
      <c r="J720">
        <f t="shared" si="68"/>
        <v>0</v>
      </c>
      <c r="K720" t="str">
        <f t="shared" si="69"/>
        <v>Ru107</v>
      </c>
    </row>
    <row r="721" spans="2:11" hidden="1" x14ac:dyDescent="0.2">
      <c r="B721" s="4">
        <v>44108</v>
      </c>
      <c r="C721" s="4">
        <v>0</v>
      </c>
      <c r="D721">
        <v>0</v>
      </c>
      <c r="E721" t="str">
        <f>VLOOKUP(B721,[1]Nuclides!A:E,5,FALSE)</f>
        <v>Ru108</v>
      </c>
      <c r="F721">
        <f>VLOOKUP(B721,[1]Nuclides!A:E,4,FALSE)</f>
        <v>273</v>
      </c>
      <c r="G721" t="str">
        <f t="shared" si="65"/>
        <v>4.55min</v>
      </c>
      <c r="H721">
        <f t="shared" si="66"/>
        <v>2.5390006613917409E-3</v>
      </c>
      <c r="I721">
        <f t="shared" si="67"/>
        <v>0</v>
      </c>
      <c r="J721">
        <f t="shared" si="68"/>
        <v>0</v>
      </c>
      <c r="K721" t="str">
        <f t="shared" si="69"/>
        <v>Ru108</v>
      </c>
    </row>
    <row r="722" spans="2:11" hidden="1" x14ac:dyDescent="0.2">
      <c r="B722" s="4">
        <v>44109</v>
      </c>
      <c r="C722" s="4">
        <v>0</v>
      </c>
      <c r="D722">
        <v>0</v>
      </c>
      <c r="E722" t="str">
        <f>VLOOKUP(B722,[1]Nuclides!A:E,5,FALSE)</f>
        <v>Ru109</v>
      </c>
      <c r="F722">
        <f>VLOOKUP(B722,[1]Nuclides!A:E,4,FALSE)</f>
        <v>34.5</v>
      </c>
      <c r="G722" t="str">
        <f t="shared" si="65"/>
        <v>34.5s</v>
      </c>
      <c r="H722">
        <f t="shared" si="66"/>
        <v>2.009122262492595E-2</v>
      </c>
      <c r="I722">
        <f t="shared" si="67"/>
        <v>0</v>
      </c>
      <c r="J722">
        <f t="shared" si="68"/>
        <v>0</v>
      </c>
      <c r="K722" t="str">
        <f t="shared" si="69"/>
        <v>Ru109</v>
      </c>
    </row>
    <row r="723" spans="2:11" hidden="1" x14ac:dyDescent="0.2">
      <c r="B723" s="4">
        <v>44110</v>
      </c>
      <c r="C723" s="4">
        <v>0</v>
      </c>
      <c r="D723">
        <v>0</v>
      </c>
      <c r="E723" t="str">
        <f>VLOOKUP(B723,[1]Nuclides!A:E,5,FALSE)</f>
        <v>Ru110</v>
      </c>
      <c r="F723">
        <f>VLOOKUP(B723,[1]Nuclides!A:E,4,FALSE)</f>
        <v>11.6</v>
      </c>
      <c r="G723" t="str">
        <f t="shared" si="65"/>
        <v>11.6s</v>
      </c>
      <c r="H723">
        <f t="shared" si="66"/>
        <v>5.9754067289650457E-2</v>
      </c>
      <c r="I723">
        <f t="shared" si="67"/>
        <v>0</v>
      </c>
      <c r="J723">
        <f t="shared" si="68"/>
        <v>0</v>
      </c>
      <c r="K723" t="str">
        <f t="shared" si="69"/>
        <v>Ru110</v>
      </c>
    </row>
    <row r="724" spans="2:11" hidden="1" x14ac:dyDescent="0.2">
      <c r="B724" s="4">
        <v>44111</v>
      </c>
      <c r="C724" s="4">
        <v>0</v>
      </c>
      <c r="D724">
        <v>0</v>
      </c>
      <c r="E724" t="str">
        <f>VLOOKUP(B724,[1]Nuclides!A:E,5,FALSE)</f>
        <v>Ru111</v>
      </c>
      <c r="F724">
        <f>VLOOKUP(B724,[1]Nuclides!A:E,4,FALSE)</f>
        <v>2.12</v>
      </c>
      <c r="G724" t="str">
        <f t="shared" si="65"/>
        <v>2.12s</v>
      </c>
      <c r="H724">
        <f t="shared" si="66"/>
        <v>0.3269562172452572</v>
      </c>
      <c r="I724">
        <f t="shared" si="67"/>
        <v>0</v>
      </c>
      <c r="J724">
        <f t="shared" si="68"/>
        <v>0</v>
      </c>
      <c r="K724" t="str">
        <f t="shared" si="69"/>
        <v>Ru111</v>
      </c>
    </row>
    <row r="725" spans="2:11" hidden="1" x14ac:dyDescent="0.2">
      <c r="B725" s="4">
        <v>44112</v>
      </c>
      <c r="C725" s="4">
        <v>0</v>
      </c>
      <c r="D725">
        <v>0</v>
      </c>
      <c r="E725" t="str">
        <f>VLOOKUP(B725,[1]Nuclides!A:E,5,FALSE)</f>
        <v>Ru112</v>
      </c>
      <c r="F725">
        <f>VLOOKUP(B725,[1]Nuclides!A:E,4,FALSE)</f>
        <v>1.75</v>
      </c>
      <c r="G725" t="str">
        <f t="shared" si="65"/>
        <v>1.75s</v>
      </c>
      <c r="H725">
        <f t="shared" si="66"/>
        <v>0.39608410317711157</v>
      </c>
      <c r="I725">
        <f t="shared" si="67"/>
        <v>0</v>
      </c>
      <c r="J725">
        <f t="shared" si="68"/>
        <v>0</v>
      </c>
      <c r="K725" t="str">
        <f t="shared" si="69"/>
        <v>Ru112</v>
      </c>
    </row>
    <row r="726" spans="2:11" hidden="1" x14ac:dyDescent="0.2">
      <c r="B726" s="4">
        <v>44113</v>
      </c>
      <c r="C726" s="4">
        <v>0</v>
      </c>
      <c r="D726">
        <v>0</v>
      </c>
      <c r="E726" t="str">
        <f>VLOOKUP(B726,[1]Nuclides!A:E,5,FALSE)</f>
        <v>Ru113</v>
      </c>
      <c r="F726">
        <f>VLOOKUP(B726,[1]Nuclides!A:E,4,FALSE)</f>
        <v>0.8</v>
      </c>
      <c r="G726" t="str">
        <f t="shared" si="65"/>
        <v>0.8s</v>
      </c>
      <c r="H726">
        <f t="shared" si="66"/>
        <v>0.86643397569993152</v>
      </c>
      <c r="I726">
        <f t="shared" si="67"/>
        <v>0</v>
      </c>
      <c r="J726">
        <f t="shared" si="68"/>
        <v>0</v>
      </c>
      <c r="K726" t="str">
        <f t="shared" si="69"/>
        <v>Ru113</v>
      </c>
    </row>
    <row r="727" spans="2:11" hidden="1" x14ac:dyDescent="0.2">
      <c r="B727" s="4">
        <v>45094</v>
      </c>
      <c r="C727" s="4">
        <v>0</v>
      </c>
      <c r="D727">
        <v>0</v>
      </c>
      <c r="E727" t="str">
        <f>VLOOKUP(B727,[1]Nuclides!A:E,5,FALSE)</f>
        <v>Rh94</v>
      </c>
      <c r="F727">
        <f>VLOOKUP(B727,[1]Nuclides!A:E,4,FALSE)</f>
        <v>66</v>
      </c>
      <c r="G727" t="str">
        <f t="shared" si="65"/>
        <v>1.1min</v>
      </c>
      <c r="H727">
        <f t="shared" si="66"/>
        <v>1.050223000848402E-2</v>
      </c>
      <c r="I727">
        <f t="shared" si="67"/>
        <v>0</v>
      </c>
      <c r="J727">
        <f t="shared" si="68"/>
        <v>0</v>
      </c>
      <c r="K727" t="str">
        <f t="shared" si="69"/>
        <v>Rh94</v>
      </c>
    </row>
    <row r="728" spans="2:11" hidden="1" x14ac:dyDescent="0.2">
      <c r="B728" s="4">
        <v>45095</v>
      </c>
      <c r="C728" s="4">
        <v>0</v>
      </c>
      <c r="D728">
        <v>0</v>
      </c>
      <c r="E728" t="str">
        <f>VLOOKUP(B728,[1]Nuclides!A:E,5,FALSE)</f>
        <v>Rh95</v>
      </c>
      <c r="F728">
        <f>VLOOKUP(B728,[1]Nuclides!A:E,4,FALSE)</f>
        <v>301.2</v>
      </c>
      <c r="G728" t="str">
        <f t="shared" si="65"/>
        <v>5.02min</v>
      </c>
      <c r="H728">
        <f t="shared" si="66"/>
        <v>2.3012854600263787E-3</v>
      </c>
      <c r="I728">
        <f t="shared" si="67"/>
        <v>0</v>
      </c>
      <c r="J728">
        <f t="shared" si="68"/>
        <v>0</v>
      </c>
      <c r="K728" t="str">
        <f t="shared" si="69"/>
        <v>Rh95</v>
      </c>
    </row>
    <row r="729" spans="2:11" hidden="1" x14ac:dyDescent="0.2">
      <c r="B729" s="4">
        <v>45096</v>
      </c>
      <c r="C729" s="4">
        <v>0</v>
      </c>
      <c r="D729">
        <v>0</v>
      </c>
      <c r="E729" t="str">
        <f>VLOOKUP(B729,[1]Nuclides!A:E,5,FALSE)</f>
        <v>Rh96</v>
      </c>
      <c r="F729">
        <f>VLOOKUP(B729,[1]Nuclides!A:E,4,FALSE)</f>
        <v>594</v>
      </c>
      <c r="G729" t="str">
        <f t="shared" si="65"/>
        <v>9.9min</v>
      </c>
      <c r="H729">
        <f t="shared" si="66"/>
        <v>1.1669144453871133E-3</v>
      </c>
      <c r="I729">
        <f t="shared" si="67"/>
        <v>0</v>
      </c>
      <c r="J729">
        <f t="shared" si="68"/>
        <v>0</v>
      </c>
      <c r="K729" t="str">
        <f t="shared" si="69"/>
        <v>Rh96</v>
      </c>
    </row>
    <row r="730" spans="2:11" hidden="1" x14ac:dyDescent="0.2">
      <c r="B730" s="4">
        <v>45097</v>
      </c>
      <c r="C730" s="4">
        <v>0</v>
      </c>
      <c r="D730">
        <v>0</v>
      </c>
      <c r="E730" t="str">
        <f>VLOOKUP(B730,[1]Nuclides!A:E,5,FALSE)</f>
        <v>Rh97</v>
      </c>
      <c r="F730">
        <f>VLOOKUP(B730,[1]Nuclides!A:E,4,FALSE)</f>
        <v>1842</v>
      </c>
      <c r="G730" t="str">
        <f t="shared" si="65"/>
        <v>30.7min</v>
      </c>
      <c r="H730">
        <f t="shared" si="66"/>
        <v>3.7630140095545346E-4</v>
      </c>
      <c r="I730">
        <f t="shared" si="67"/>
        <v>0</v>
      </c>
      <c r="J730">
        <f t="shared" si="68"/>
        <v>0</v>
      </c>
      <c r="K730" t="str">
        <f t="shared" si="69"/>
        <v>Rh97</v>
      </c>
    </row>
    <row r="731" spans="2:11" hidden="1" x14ac:dyDescent="0.2">
      <c r="B731" s="4">
        <v>45098</v>
      </c>
      <c r="C731" s="4">
        <v>0</v>
      </c>
      <c r="D731">
        <v>0</v>
      </c>
      <c r="E731" t="str">
        <f>VLOOKUP(B731,[1]Nuclides!A:E,5,FALSE)</f>
        <v>Rh98</v>
      </c>
      <c r="F731">
        <f>VLOOKUP(B731,[1]Nuclides!A:E,4,FALSE)</f>
        <v>523.20000000000005</v>
      </c>
      <c r="G731" t="str">
        <f t="shared" si="65"/>
        <v>8.72min</v>
      </c>
      <c r="H731">
        <f t="shared" si="66"/>
        <v>1.3248225928133509E-3</v>
      </c>
      <c r="I731">
        <f t="shared" si="67"/>
        <v>0</v>
      </c>
      <c r="J731">
        <f t="shared" si="68"/>
        <v>0</v>
      </c>
      <c r="K731" t="str">
        <f t="shared" si="69"/>
        <v>Rh98</v>
      </c>
    </row>
    <row r="732" spans="2:11" hidden="1" x14ac:dyDescent="0.2">
      <c r="B732" s="4">
        <v>45099</v>
      </c>
      <c r="C732" s="4">
        <v>0</v>
      </c>
      <c r="D732">
        <v>0</v>
      </c>
      <c r="E732" t="str">
        <f>VLOOKUP(B732,[1]Nuclides!A:E,5,FALSE)</f>
        <v>Rh99</v>
      </c>
      <c r="F732">
        <f>VLOOKUP(B732,[1]Nuclides!A:E,4,FALSE)</f>
        <v>1391040</v>
      </c>
      <c r="G732" t="str">
        <f t="shared" si="65"/>
        <v>16.1d</v>
      </c>
      <c r="H732">
        <f t="shared" si="66"/>
        <v>4.9829421192772694E-7</v>
      </c>
      <c r="I732">
        <f t="shared" si="67"/>
        <v>0</v>
      </c>
      <c r="J732">
        <f t="shared" si="68"/>
        <v>0</v>
      </c>
      <c r="K732" t="str">
        <f t="shared" si="69"/>
        <v>Rh99</v>
      </c>
    </row>
    <row r="733" spans="2:11" hidden="1" x14ac:dyDescent="0.2">
      <c r="B733" s="4">
        <v>45100</v>
      </c>
      <c r="C733" s="4">
        <v>0</v>
      </c>
      <c r="D733">
        <v>0</v>
      </c>
      <c r="E733" t="str">
        <f>VLOOKUP(B733,[1]Nuclides!A:E,5,FALSE)</f>
        <v>Rh100</v>
      </c>
      <c r="F733">
        <f>VLOOKUP(B733,[1]Nuclides!A:E,4,FALSE)</f>
        <v>74880</v>
      </c>
      <c r="G733" t="str">
        <f t="shared" si="65"/>
        <v>20.8h</v>
      </c>
      <c r="H733">
        <f t="shared" si="66"/>
        <v>9.2567732446573882E-6</v>
      </c>
      <c r="I733">
        <f t="shared" si="67"/>
        <v>0</v>
      </c>
      <c r="J733">
        <f t="shared" si="68"/>
        <v>0</v>
      </c>
      <c r="K733" t="str">
        <f t="shared" si="69"/>
        <v>Rh100</v>
      </c>
    </row>
    <row r="734" spans="2:11" hidden="1" x14ac:dyDescent="0.2">
      <c r="B734" s="4">
        <v>45101</v>
      </c>
      <c r="C734" s="4">
        <v>0</v>
      </c>
      <c r="D734">
        <v>0</v>
      </c>
      <c r="E734" t="str">
        <f>VLOOKUP(B734,[1]Nuclides!A:E,5,FALSE)</f>
        <v>Rh101</v>
      </c>
      <c r="F734">
        <f>VLOOKUP(B734,[1]Nuclides!A:E,4,FALSE)</f>
        <v>104140080</v>
      </c>
      <c r="G734" t="str">
        <f t="shared" si="65"/>
        <v>3.3y</v>
      </c>
      <c r="H734">
        <f t="shared" si="66"/>
        <v>6.6559117350394321E-9</v>
      </c>
      <c r="I734">
        <f t="shared" si="67"/>
        <v>0</v>
      </c>
      <c r="J734">
        <f t="shared" si="68"/>
        <v>0</v>
      </c>
      <c r="K734" t="str">
        <f t="shared" si="69"/>
        <v>Rh101</v>
      </c>
    </row>
    <row r="735" spans="2:11" hidden="1" x14ac:dyDescent="0.2">
      <c r="B735" s="4">
        <v>45102</v>
      </c>
      <c r="C735" s="4">
        <v>0</v>
      </c>
      <c r="D735">
        <v>0</v>
      </c>
      <c r="E735" t="str">
        <f>VLOOKUP(B735,[1]Nuclides!A:E,5,FALSE)</f>
        <v>Rh102</v>
      </c>
      <c r="F735">
        <f>VLOOKUP(B735,[1]Nuclides!A:E,4,FALSE)</f>
        <v>17910720</v>
      </c>
      <c r="G735" t="str">
        <f t="shared" si="65"/>
        <v>207.3d</v>
      </c>
      <c r="H735">
        <f t="shared" si="66"/>
        <v>3.8700129339297656E-8</v>
      </c>
      <c r="I735">
        <f t="shared" si="67"/>
        <v>0</v>
      </c>
      <c r="J735">
        <f t="shared" si="68"/>
        <v>0</v>
      </c>
      <c r="K735" t="str">
        <f t="shared" si="69"/>
        <v>Rh102</v>
      </c>
    </row>
    <row r="736" spans="2:11" hidden="1" x14ac:dyDescent="0.2">
      <c r="B736" s="4">
        <v>45103</v>
      </c>
      <c r="C736" s="4">
        <v>0</v>
      </c>
      <c r="D736">
        <v>0</v>
      </c>
      <c r="E736" t="str">
        <f>VLOOKUP(B736,[1]Nuclides!A:E,5,FALSE)</f>
        <v>Rh103</v>
      </c>
      <c r="F736" t="str">
        <f>VLOOKUP(B736,[1]Nuclides!A:E,4,FALSE)</f>
        <v>STABLE</v>
      </c>
      <c r="G736" t="str">
        <f t="shared" si="65"/>
        <v>STABLE</v>
      </c>
      <c r="H736" t="e">
        <f t="shared" si="66"/>
        <v>#VALUE!</v>
      </c>
      <c r="I736" t="e">
        <f t="shared" si="67"/>
        <v>#VALUE!</v>
      </c>
      <c r="J736" t="e">
        <f t="shared" si="68"/>
        <v>#VALUE!</v>
      </c>
      <c r="K736" t="str">
        <f t="shared" si="69"/>
        <v>Rh103</v>
      </c>
    </row>
    <row r="737" spans="2:11" hidden="1" x14ac:dyDescent="0.2">
      <c r="B737" s="4">
        <v>45104</v>
      </c>
      <c r="C737" s="4">
        <v>0</v>
      </c>
      <c r="D737">
        <v>0</v>
      </c>
      <c r="E737" t="str">
        <f>VLOOKUP(B737,[1]Nuclides!A:E,5,FALSE)</f>
        <v>Rh104</v>
      </c>
      <c r="F737">
        <f>VLOOKUP(B737,[1]Nuclides!A:E,4,FALSE)</f>
        <v>42.3</v>
      </c>
      <c r="G737" t="str">
        <f t="shared" si="65"/>
        <v>42.3s</v>
      </c>
      <c r="H737">
        <f t="shared" si="66"/>
        <v>1.6386458169265847E-2</v>
      </c>
      <c r="I737">
        <f t="shared" si="67"/>
        <v>0</v>
      </c>
      <c r="J737">
        <f t="shared" si="68"/>
        <v>0</v>
      </c>
      <c r="K737" t="str">
        <f t="shared" si="69"/>
        <v>Rh104</v>
      </c>
    </row>
    <row r="738" spans="2:11" hidden="1" x14ac:dyDescent="0.2">
      <c r="B738" s="4">
        <v>45105</v>
      </c>
      <c r="C738" s="4">
        <v>0</v>
      </c>
      <c r="D738">
        <v>0</v>
      </c>
      <c r="E738" t="str">
        <f>VLOOKUP(B738,[1]Nuclides!A:E,5,FALSE)</f>
        <v>Rh105</v>
      </c>
      <c r="F738">
        <f>VLOOKUP(B738,[1]Nuclides!A:E,4,FALSE)</f>
        <v>127296</v>
      </c>
      <c r="G738" t="str">
        <f t="shared" si="65"/>
        <v>1.47d</v>
      </c>
      <c r="H738">
        <f t="shared" si="66"/>
        <v>5.4451607321514057E-6</v>
      </c>
      <c r="I738">
        <f t="shared" si="67"/>
        <v>0</v>
      </c>
      <c r="J738">
        <f t="shared" si="68"/>
        <v>0</v>
      </c>
      <c r="K738" t="str">
        <f t="shared" si="69"/>
        <v>Rh105</v>
      </c>
    </row>
    <row r="739" spans="2:11" hidden="1" x14ac:dyDescent="0.2">
      <c r="B739" s="4">
        <v>45106</v>
      </c>
      <c r="C739" s="4">
        <v>0</v>
      </c>
      <c r="D739">
        <v>0</v>
      </c>
      <c r="E739" t="str">
        <f>VLOOKUP(B739,[1]Nuclides!A:E,5,FALSE)</f>
        <v>Rh106</v>
      </c>
      <c r="F739">
        <f>VLOOKUP(B739,[1]Nuclides!A:E,4,FALSE)</f>
        <v>30.07</v>
      </c>
      <c r="G739" t="str">
        <f t="shared" si="65"/>
        <v>30.07s</v>
      </c>
      <c r="H739">
        <f t="shared" si="66"/>
        <v>2.3051120071830571E-2</v>
      </c>
      <c r="I739">
        <f t="shared" si="67"/>
        <v>0</v>
      </c>
      <c r="J739">
        <f t="shared" si="68"/>
        <v>0</v>
      </c>
      <c r="K739" t="str">
        <f t="shared" si="69"/>
        <v>Rh106</v>
      </c>
    </row>
    <row r="740" spans="2:11" hidden="1" x14ac:dyDescent="0.2">
      <c r="B740" s="4">
        <v>45107</v>
      </c>
      <c r="C740" s="4">
        <v>0</v>
      </c>
      <c r="D740">
        <v>0</v>
      </c>
      <c r="E740" t="str">
        <f>VLOOKUP(B740,[1]Nuclides!A:E,5,FALSE)</f>
        <v>Rh107</v>
      </c>
      <c r="F740">
        <f>VLOOKUP(B740,[1]Nuclides!A:E,4,FALSE)</f>
        <v>1302</v>
      </c>
      <c r="G740" t="str">
        <f t="shared" si="65"/>
        <v>21.7min</v>
      </c>
      <c r="H740">
        <f t="shared" si="66"/>
        <v>5.3237110642084893E-4</v>
      </c>
      <c r="I740">
        <f t="shared" si="67"/>
        <v>0</v>
      </c>
      <c r="J740">
        <f t="shared" si="68"/>
        <v>0</v>
      </c>
      <c r="K740" t="str">
        <f t="shared" si="69"/>
        <v>Rh107</v>
      </c>
    </row>
    <row r="741" spans="2:11" hidden="1" x14ac:dyDescent="0.2">
      <c r="B741" s="4">
        <v>45108</v>
      </c>
      <c r="C741" s="4">
        <v>0</v>
      </c>
      <c r="D741">
        <v>0</v>
      </c>
      <c r="E741" t="str">
        <f>VLOOKUP(B741,[1]Nuclides!A:E,5,FALSE)</f>
        <v>Rh108</v>
      </c>
      <c r="F741">
        <f>VLOOKUP(B741,[1]Nuclides!A:E,4,FALSE)</f>
        <v>16.8</v>
      </c>
      <c r="G741" t="str">
        <f t="shared" si="65"/>
        <v>16.8s</v>
      </c>
      <c r="H741">
        <f t="shared" si="66"/>
        <v>4.1258760747615787E-2</v>
      </c>
      <c r="I741">
        <f t="shared" si="67"/>
        <v>0</v>
      </c>
      <c r="J741">
        <f t="shared" si="68"/>
        <v>0</v>
      </c>
      <c r="K741" t="str">
        <f t="shared" si="69"/>
        <v>Rh108</v>
      </c>
    </row>
    <row r="742" spans="2:11" hidden="1" x14ac:dyDescent="0.2">
      <c r="B742" s="4">
        <v>45109</v>
      </c>
      <c r="C742" s="4">
        <v>0</v>
      </c>
      <c r="D742">
        <v>0</v>
      </c>
      <c r="E742" t="str">
        <f>VLOOKUP(B742,[1]Nuclides!A:E,5,FALSE)</f>
        <v>Rh109</v>
      </c>
      <c r="F742">
        <f>VLOOKUP(B742,[1]Nuclides!A:E,4,FALSE)</f>
        <v>80</v>
      </c>
      <c r="G742" t="str">
        <f t="shared" si="65"/>
        <v>1.33min</v>
      </c>
      <c r="H742">
        <f t="shared" si="66"/>
        <v>8.6643397569993157E-3</v>
      </c>
      <c r="I742">
        <f t="shared" si="67"/>
        <v>0</v>
      </c>
      <c r="J742">
        <f t="shared" si="68"/>
        <v>0</v>
      </c>
      <c r="K742" t="str">
        <f t="shared" si="69"/>
        <v>Rh109</v>
      </c>
    </row>
    <row r="743" spans="2:11" hidden="1" x14ac:dyDescent="0.2">
      <c r="B743" s="4">
        <v>45110</v>
      </c>
      <c r="C743" s="4">
        <v>0</v>
      </c>
      <c r="D743">
        <v>0</v>
      </c>
      <c r="E743" t="str">
        <f>VLOOKUP(B743,[1]Nuclides!A:E,5,FALSE)</f>
        <v>Rh110</v>
      </c>
      <c r="F743">
        <f>VLOOKUP(B743,[1]Nuclides!A:E,4,FALSE)</f>
        <v>28.5</v>
      </c>
      <c r="G743" t="str">
        <f t="shared" si="65"/>
        <v>28.5s</v>
      </c>
      <c r="H743">
        <f t="shared" si="66"/>
        <v>2.4320953703857728E-2</v>
      </c>
      <c r="I743">
        <f t="shared" si="67"/>
        <v>0</v>
      </c>
      <c r="J743">
        <f t="shared" si="68"/>
        <v>0</v>
      </c>
      <c r="K743" t="str">
        <f t="shared" si="69"/>
        <v>Rh110</v>
      </c>
    </row>
    <row r="744" spans="2:11" hidden="1" x14ac:dyDescent="0.2">
      <c r="B744" s="4">
        <v>45111</v>
      </c>
      <c r="C744" s="4">
        <v>0</v>
      </c>
      <c r="D744">
        <v>0</v>
      </c>
      <c r="E744" t="str">
        <f>VLOOKUP(B744,[1]Nuclides!A:E,5,FALSE)</f>
        <v>Rh111</v>
      </c>
      <c r="F744">
        <f>VLOOKUP(B744,[1]Nuclides!A:E,4,FALSE)</f>
        <v>11</v>
      </c>
      <c r="G744" t="str">
        <f t="shared" si="65"/>
        <v>11s</v>
      </c>
      <c r="H744">
        <f t="shared" si="66"/>
        <v>6.3013380050904122E-2</v>
      </c>
      <c r="I744">
        <f t="shared" si="67"/>
        <v>0</v>
      </c>
      <c r="J744">
        <f t="shared" si="68"/>
        <v>0</v>
      </c>
      <c r="K744" t="str">
        <f t="shared" si="69"/>
        <v>Rh111</v>
      </c>
    </row>
    <row r="745" spans="2:11" hidden="1" x14ac:dyDescent="0.2">
      <c r="B745" s="4">
        <v>45112</v>
      </c>
      <c r="C745" s="4">
        <v>0</v>
      </c>
      <c r="D745">
        <v>0</v>
      </c>
      <c r="E745" t="str">
        <f>VLOOKUP(B745,[1]Nuclides!A:E,5,FALSE)</f>
        <v>Rh112</v>
      </c>
      <c r="F745">
        <f>VLOOKUP(B745,[1]Nuclides!A:E,4,FALSE)</f>
        <v>3.6</v>
      </c>
      <c r="G745" t="str">
        <f t="shared" si="65"/>
        <v>3.6s</v>
      </c>
      <c r="H745">
        <f t="shared" si="66"/>
        <v>0.19254088348887369</v>
      </c>
      <c r="I745">
        <f t="shared" si="67"/>
        <v>0</v>
      </c>
      <c r="J745">
        <f t="shared" si="68"/>
        <v>0</v>
      </c>
      <c r="K745" t="str">
        <f t="shared" si="69"/>
        <v>Rh112</v>
      </c>
    </row>
    <row r="746" spans="2:11" hidden="1" x14ac:dyDescent="0.2">
      <c r="B746" s="4">
        <v>45113</v>
      </c>
      <c r="C746" s="4">
        <v>0</v>
      </c>
      <c r="D746">
        <v>0</v>
      </c>
      <c r="E746" t="str">
        <f>VLOOKUP(B746,[1]Nuclides!A:E,5,FALSE)</f>
        <v>Rh113</v>
      </c>
      <c r="F746">
        <f>VLOOKUP(B746,[1]Nuclides!A:E,4,FALSE)</f>
        <v>2.8</v>
      </c>
      <c r="G746" t="str">
        <f t="shared" si="65"/>
        <v>2.8s</v>
      </c>
      <c r="H746">
        <f t="shared" si="66"/>
        <v>0.24755256448569476</v>
      </c>
      <c r="I746">
        <f t="shared" si="67"/>
        <v>0</v>
      </c>
      <c r="J746">
        <f t="shared" si="68"/>
        <v>0</v>
      </c>
      <c r="K746" t="str">
        <f t="shared" si="69"/>
        <v>Rh113</v>
      </c>
    </row>
    <row r="747" spans="2:11" hidden="1" x14ac:dyDescent="0.2">
      <c r="B747" s="4">
        <v>45114</v>
      </c>
      <c r="C747" s="4">
        <v>0</v>
      </c>
      <c r="D747">
        <v>0</v>
      </c>
      <c r="E747" t="str">
        <f>VLOOKUP(B747,[1]Nuclides!A:E,5,FALSE)</f>
        <v>Rh114</v>
      </c>
      <c r="F747">
        <f>VLOOKUP(B747,[1]Nuclides!A:E,4,FALSE)</f>
        <v>1.85</v>
      </c>
      <c r="G747" t="str">
        <f t="shared" si="65"/>
        <v>1.85s</v>
      </c>
      <c r="H747">
        <f t="shared" si="66"/>
        <v>0.37467415165402446</v>
      </c>
      <c r="I747">
        <f t="shared" si="67"/>
        <v>0</v>
      </c>
      <c r="J747">
        <f t="shared" si="68"/>
        <v>0</v>
      </c>
      <c r="K747" t="str">
        <f t="shared" si="69"/>
        <v>Rh114</v>
      </c>
    </row>
    <row r="748" spans="2:11" hidden="1" x14ac:dyDescent="0.2">
      <c r="B748" s="4">
        <v>46096</v>
      </c>
      <c r="C748" s="4">
        <v>0</v>
      </c>
      <c r="D748">
        <v>0</v>
      </c>
      <c r="E748" t="str">
        <f>VLOOKUP(B748,[1]Nuclides!A:E,5,FALSE)</f>
        <v>Pd96</v>
      </c>
      <c r="F748">
        <f>VLOOKUP(B748,[1]Nuclides!A:E,4,FALSE)</f>
        <v>122</v>
      </c>
      <c r="G748" t="str">
        <f t="shared" si="65"/>
        <v>2.03min</v>
      </c>
      <c r="H748">
        <f t="shared" si="66"/>
        <v>5.6815342668847975E-3</v>
      </c>
      <c r="I748">
        <f t="shared" si="67"/>
        <v>0</v>
      </c>
      <c r="J748">
        <f t="shared" si="68"/>
        <v>0</v>
      </c>
      <c r="K748" t="str">
        <f t="shared" si="69"/>
        <v>Pd96</v>
      </c>
    </row>
    <row r="749" spans="2:11" hidden="1" x14ac:dyDescent="0.2">
      <c r="B749" s="4">
        <v>46097</v>
      </c>
      <c r="C749" s="4">
        <v>0</v>
      </c>
      <c r="D749">
        <v>0</v>
      </c>
      <c r="E749" t="str">
        <f>VLOOKUP(B749,[1]Nuclides!A:E,5,FALSE)</f>
        <v>Pd97</v>
      </c>
      <c r="F749">
        <f>VLOOKUP(B749,[1]Nuclides!A:E,4,FALSE)</f>
        <v>186</v>
      </c>
      <c r="G749" t="str">
        <f t="shared" si="65"/>
        <v>3.1min</v>
      </c>
      <c r="H749">
        <f t="shared" si="66"/>
        <v>3.7265977449459425E-3</v>
      </c>
      <c r="I749">
        <f t="shared" si="67"/>
        <v>0</v>
      </c>
      <c r="J749">
        <f t="shared" si="68"/>
        <v>0</v>
      </c>
      <c r="K749" t="str">
        <f t="shared" si="69"/>
        <v>Pd97</v>
      </c>
    </row>
    <row r="750" spans="2:11" hidden="1" x14ac:dyDescent="0.2">
      <c r="B750" s="4">
        <v>46098</v>
      </c>
      <c r="C750" s="4">
        <v>0</v>
      </c>
      <c r="D750">
        <v>0</v>
      </c>
      <c r="E750" t="str">
        <f>VLOOKUP(B750,[1]Nuclides!A:E,5,FALSE)</f>
        <v>Pd98</v>
      </c>
      <c r="F750">
        <f>VLOOKUP(B750,[1]Nuclides!A:E,4,FALSE)</f>
        <v>1062</v>
      </c>
      <c r="G750" t="str">
        <f t="shared" si="65"/>
        <v>17.7min</v>
      </c>
      <c r="H750">
        <f t="shared" si="66"/>
        <v>6.5268096097923281E-4</v>
      </c>
      <c r="I750">
        <f t="shared" si="67"/>
        <v>0</v>
      </c>
      <c r="J750">
        <f t="shared" si="68"/>
        <v>0</v>
      </c>
      <c r="K750" t="str">
        <f t="shared" si="69"/>
        <v>Pd98</v>
      </c>
    </row>
    <row r="751" spans="2:11" hidden="1" x14ac:dyDescent="0.2">
      <c r="B751" s="4">
        <v>46099</v>
      </c>
      <c r="C751" s="4">
        <v>0</v>
      </c>
      <c r="D751">
        <v>0</v>
      </c>
      <c r="E751" t="str">
        <f>VLOOKUP(B751,[1]Nuclides!A:E,5,FALSE)</f>
        <v>Pd99</v>
      </c>
      <c r="F751">
        <f>VLOOKUP(B751,[1]Nuclides!A:E,4,FALSE)</f>
        <v>1284</v>
      </c>
      <c r="G751" t="str">
        <f t="shared" si="65"/>
        <v>21.4min</v>
      </c>
      <c r="H751">
        <f t="shared" si="66"/>
        <v>5.3983425277254302E-4</v>
      </c>
      <c r="I751">
        <f t="shared" si="67"/>
        <v>0</v>
      </c>
      <c r="J751">
        <f t="shared" si="68"/>
        <v>0</v>
      </c>
      <c r="K751" t="str">
        <f t="shared" si="69"/>
        <v>Pd99</v>
      </c>
    </row>
    <row r="752" spans="2:11" hidden="1" x14ac:dyDescent="0.2">
      <c r="B752" s="4">
        <v>46100</v>
      </c>
      <c r="C752" s="4">
        <v>0</v>
      </c>
      <c r="D752">
        <v>0</v>
      </c>
      <c r="E752" t="str">
        <f>VLOOKUP(B752,[1]Nuclides!A:E,5,FALSE)</f>
        <v>Pd100</v>
      </c>
      <c r="F752">
        <f>VLOOKUP(B752,[1]Nuclides!A:E,4,FALSE)</f>
        <v>313632</v>
      </c>
      <c r="G752" t="str">
        <f t="shared" si="65"/>
        <v>3.63d</v>
      </c>
      <c r="H752">
        <f t="shared" si="66"/>
        <v>2.2100652374755931E-6</v>
      </c>
      <c r="I752">
        <f t="shared" si="67"/>
        <v>0</v>
      </c>
      <c r="J752">
        <f t="shared" si="68"/>
        <v>0</v>
      </c>
      <c r="K752" t="str">
        <f t="shared" si="69"/>
        <v>Pd100</v>
      </c>
    </row>
    <row r="753" spans="2:11" hidden="1" x14ac:dyDescent="0.2">
      <c r="B753" s="4">
        <v>46101</v>
      </c>
      <c r="C753" s="4">
        <v>0</v>
      </c>
      <c r="D753">
        <v>0</v>
      </c>
      <c r="E753" t="str">
        <f>VLOOKUP(B753,[1]Nuclides!A:E,5,FALSE)</f>
        <v>Pd101</v>
      </c>
      <c r="F753">
        <f>VLOOKUP(B753,[1]Nuclides!A:E,4,FALSE)</f>
        <v>30492</v>
      </c>
      <c r="G753" t="str">
        <f t="shared" si="65"/>
        <v>8.47h</v>
      </c>
      <c r="H753">
        <f t="shared" si="66"/>
        <v>2.2732099585463247E-5</v>
      </c>
      <c r="I753">
        <f t="shared" si="67"/>
        <v>0</v>
      </c>
      <c r="J753">
        <f t="shared" si="68"/>
        <v>0</v>
      </c>
      <c r="K753" t="str">
        <f t="shared" si="69"/>
        <v>Pd101</v>
      </c>
    </row>
    <row r="754" spans="2:11" hidden="1" x14ac:dyDescent="0.2">
      <c r="B754" s="4">
        <v>46102</v>
      </c>
      <c r="C754" s="4">
        <v>0</v>
      </c>
      <c r="D754">
        <v>0</v>
      </c>
      <c r="E754" t="str">
        <f>VLOOKUP(B754,[1]Nuclides!A:E,5,FALSE)</f>
        <v>Pd102</v>
      </c>
      <c r="F754" t="str">
        <f>VLOOKUP(B754,[1]Nuclides!A:E,4,FALSE)</f>
        <v>STABLE</v>
      </c>
      <c r="G754" t="str">
        <f t="shared" si="65"/>
        <v>STABLE</v>
      </c>
      <c r="H754" t="e">
        <f t="shared" si="66"/>
        <v>#VALUE!</v>
      </c>
      <c r="I754" t="e">
        <f t="shared" si="67"/>
        <v>#VALUE!</v>
      </c>
      <c r="J754" t="e">
        <f t="shared" si="68"/>
        <v>#VALUE!</v>
      </c>
      <c r="K754" t="str">
        <f t="shared" si="69"/>
        <v>Pd102</v>
      </c>
    </row>
    <row r="755" spans="2:11" hidden="1" x14ac:dyDescent="0.2">
      <c r="B755" s="4">
        <v>46103</v>
      </c>
      <c r="C755" s="4">
        <v>0</v>
      </c>
      <c r="D755">
        <v>0</v>
      </c>
      <c r="E755" t="str">
        <f>VLOOKUP(B755,[1]Nuclides!A:E,5,FALSE)</f>
        <v>Pd103</v>
      </c>
      <c r="F755">
        <f>VLOOKUP(B755,[1]Nuclides!A:E,4,FALSE)</f>
        <v>1468022.4</v>
      </c>
      <c r="G755" t="str">
        <f t="shared" si="65"/>
        <v>16.99d</v>
      </c>
      <c r="H755">
        <f t="shared" si="66"/>
        <v>4.7216389924291711E-7</v>
      </c>
      <c r="I755">
        <f t="shared" si="67"/>
        <v>0</v>
      </c>
      <c r="J755">
        <f t="shared" si="68"/>
        <v>0</v>
      </c>
      <c r="K755" t="str">
        <f t="shared" si="69"/>
        <v>Pd103</v>
      </c>
    </row>
    <row r="756" spans="2:11" hidden="1" x14ac:dyDescent="0.2">
      <c r="B756" s="4">
        <v>46104</v>
      </c>
      <c r="C756" s="4">
        <v>0</v>
      </c>
      <c r="D756">
        <v>0</v>
      </c>
      <c r="E756" t="str">
        <f>VLOOKUP(B756,[1]Nuclides!A:E,5,FALSE)</f>
        <v>Pd104</v>
      </c>
      <c r="F756" t="str">
        <f>VLOOKUP(B756,[1]Nuclides!A:E,4,FALSE)</f>
        <v>STABLE</v>
      </c>
      <c r="G756" t="str">
        <f t="shared" si="65"/>
        <v>STABLE</v>
      </c>
      <c r="H756" t="e">
        <f t="shared" si="66"/>
        <v>#VALUE!</v>
      </c>
      <c r="I756" t="e">
        <f t="shared" si="67"/>
        <v>#VALUE!</v>
      </c>
      <c r="J756" t="e">
        <f t="shared" si="68"/>
        <v>#VALUE!</v>
      </c>
      <c r="K756" t="str">
        <f t="shared" si="69"/>
        <v>Pd104</v>
      </c>
    </row>
    <row r="757" spans="2:11" hidden="1" x14ac:dyDescent="0.2">
      <c r="B757" s="4">
        <v>46105</v>
      </c>
      <c r="C757" s="4">
        <v>0</v>
      </c>
      <c r="D757">
        <v>0</v>
      </c>
      <c r="E757" t="str">
        <f>VLOOKUP(B757,[1]Nuclides!A:E,5,FALSE)</f>
        <v>Pd105</v>
      </c>
      <c r="F757" t="str">
        <f>VLOOKUP(B757,[1]Nuclides!A:E,4,FALSE)</f>
        <v>STABLE</v>
      </c>
      <c r="G757" t="str">
        <f t="shared" si="65"/>
        <v>STABLE</v>
      </c>
      <c r="H757" t="e">
        <f t="shared" si="66"/>
        <v>#VALUE!</v>
      </c>
      <c r="I757" t="e">
        <f t="shared" si="67"/>
        <v>#VALUE!</v>
      </c>
      <c r="J757" t="e">
        <f t="shared" si="68"/>
        <v>#VALUE!</v>
      </c>
      <c r="K757" t="str">
        <f t="shared" si="69"/>
        <v>Pd105</v>
      </c>
    </row>
    <row r="758" spans="2:11" hidden="1" x14ac:dyDescent="0.2">
      <c r="B758" s="4">
        <v>46106</v>
      </c>
      <c r="C758" s="4">
        <v>0</v>
      </c>
      <c r="D758">
        <v>0</v>
      </c>
      <c r="E758" t="str">
        <f>VLOOKUP(B758,[1]Nuclides!A:E,5,FALSE)</f>
        <v>Pd106</v>
      </c>
      <c r="F758" t="str">
        <f>VLOOKUP(B758,[1]Nuclides!A:E,4,FALSE)</f>
        <v>STABLE</v>
      </c>
      <c r="G758" t="str">
        <f t="shared" si="65"/>
        <v>STABLE</v>
      </c>
      <c r="H758" t="e">
        <f t="shared" si="66"/>
        <v>#VALUE!</v>
      </c>
      <c r="I758" t="e">
        <f t="shared" si="67"/>
        <v>#VALUE!</v>
      </c>
      <c r="J758" t="e">
        <f t="shared" si="68"/>
        <v>#VALUE!</v>
      </c>
      <c r="K758" t="str">
        <f t="shared" si="69"/>
        <v>Pd106</v>
      </c>
    </row>
    <row r="759" spans="2:11" hidden="1" x14ac:dyDescent="0.2">
      <c r="B759" s="4">
        <v>46107</v>
      </c>
      <c r="C759" s="4">
        <v>0</v>
      </c>
      <c r="D759">
        <v>0</v>
      </c>
      <c r="E759" t="str">
        <f>VLOOKUP(B759,[1]Nuclides!A:E,5,FALSE)</f>
        <v>Pd107</v>
      </c>
      <c r="F759">
        <f>VLOOKUP(B759,[1]Nuclides!A:E,4,FALSE)</f>
        <v>205124400000000</v>
      </c>
      <c r="G759" t="str">
        <f t="shared" si="65"/>
        <v>6504452.05y</v>
      </c>
      <c r="H759">
        <f t="shared" si="66"/>
        <v>3.3791551885584809E-15</v>
      </c>
      <c r="I759">
        <f t="shared" si="67"/>
        <v>0</v>
      </c>
      <c r="J759">
        <f t="shared" si="68"/>
        <v>0</v>
      </c>
      <c r="K759" t="str">
        <f t="shared" si="69"/>
        <v>Pd107</v>
      </c>
    </row>
    <row r="760" spans="2:11" hidden="1" x14ac:dyDescent="0.2">
      <c r="B760" s="4">
        <v>46108</v>
      </c>
      <c r="C760" s="4">
        <v>0</v>
      </c>
      <c r="D760">
        <v>0</v>
      </c>
      <c r="E760" t="str">
        <f>VLOOKUP(B760,[1]Nuclides!A:E,5,FALSE)</f>
        <v>Pd108</v>
      </c>
      <c r="F760" t="str">
        <f>VLOOKUP(B760,[1]Nuclides!A:E,4,FALSE)</f>
        <v>STABLE</v>
      </c>
      <c r="G760" t="str">
        <f t="shared" si="65"/>
        <v>STABLE</v>
      </c>
      <c r="H760" t="e">
        <f t="shared" si="66"/>
        <v>#VALUE!</v>
      </c>
      <c r="I760" t="e">
        <f t="shared" si="67"/>
        <v>#VALUE!</v>
      </c>
      <c r="J760" t="e">
        <f t="shared" si="68"/>
        <v>#VALUE!</v>
      </c>
      <c r="K760" t="str">
        <f t="shared" si="69"/>
        <v>Pd108</v>
      </c>
    </row>
    <row r="761" spans="2:11" hidden="1" x14ac:dyDescent="0.2">
      <c r="B761" s="4">
        <v>46109</v>
      </c>
      <c r="C761" s="4">
        <v>0</v>
      </c>
      <c r="D761">
        <v>0</v>
      </c>
      <c r="E761" t="str">
        <f>VLOOKUP(B761,[1]Nuclides!A:E,5,FALSE)</f>
        <v>Pd109</v>
      </c>
      <c r="F761">
        <f>VLOOKUP(B761,[1]Nuclides!A:E,4,FALSE)</f>
        <v>49324.32</v>
      </c>
      <c r="G761" t="str">
        <f t="shared" si="65"/>
        <v>13.7h</v>
      </c>
      <c r="H761">
        <f t="shared" si="66"/>
        <v>1.4052848180369142E-5</v>
      </c>
      <c r="I761">
        <f t="shared" si="67"/>
        <v>0</v>
      </c>
      <c r="J761">
        <f t="shared" si="68"/>
        <v>0</v>
      </c>
      <c r="K761" t="str">
        <f t="shared" si="69"/>
        <v>Pd109</v>
      </c>
    </row>
    <row r="762" spans="2:11" hidden="1" x14ac:dyDescent="0.2">
      <c r="B762" s="4">
        <v>46110</v>
      </c>
      <c r="C762" s="4">
        <v>0</v>
      </c>
      <c r="D762">
        <v>0</v>
      </c>
      <c r="E762" t="str">
        <f>VLOOKUP(B762,[1]Nuclides!A:E,5,FALSE)</f>
        <v>Pd110</v>
      </c>
      <c r="F762" t="str">
        <f>VLOOKUP(B762,[1]Nuclides!A:E,4,FALSE)</f>
        <v>STABLE</v>
      </c>
      <c r="G762" t="str">
        <f t="shared" si="65"/>
        <v>STABLE</v>
      </c>
      <c r="H762" t="e">
        <f t="shared" si="66"/>
        <v>#VALUE!</v>
      </c>
      <c r="I762" t="e">
        <f t="shared" si="67"/>
        <v>#VALUE!</v>
      </c>
      <c r="J762" t="e">
        <f t="shared" si="68"/>
        <v>#VALUE!</v>
      </c>
      <c r="K762" t="str">
        <f t="shared" si="69"/>
        <v>Pd110</v>
      </c>
    </row>
    <row r="763" spans="2:11" hidden="1" x14ac:dyDescent="0.2">
      <c r="B763" s="4">
        <v>46111</v>
      </c>
      <c r="C763" s="4">
        <v>0</v>
      </c>
      <c r="D763">
        <v>0</v>
      </c>
      <c r="E763" t="str">
        <f>VLOOKUP(B763,[1]Nuclides!A:E,5,FALSE)</f>
        <v>Pd111</v>
      </c>
      <c r="F763">
        <f>VLOOKUP(B763,[1]Nuclides!A:E,4,FALSE)</f>
        <v>1404</v>
      </c>
      <c r="G763" t="str">
        <f t="shared" si="65"/>
        <v>23.4min</v>
      </c>
      <c r="H763">
        <f t="shared" si="66"/>
        <v>4.9369457304839404E-4</v>
      </c>
      <c r="I763">
        <f t="shared" si="67"/>
        <v>0</v>
      </c>
      <c r="J763">
        <f t="shared" si="68"/>
        <v>0</v>
      </c>
      <c r="K763" t="str">
        <f t="shared" si="69"/>
        <v>Pd111</v>
      </c>
    </row>
    <row r="764" spans="2:11" hidden="1" x14ac:dyDescent="0.2">
      <c r="B764" s="4">
        <v>46112</v>
      </c>
      <c r="C764" s="4">
        <v>0</v>
      </c>
      <c r="D764">
        <v>0</v>
      </c>
      <c r="E764" t="str">
        <f>VLOOKUP(B764,[1]Nuclides!A:E,5,FALSE)</f>
        <v>Pd112</v>
      </c>
      <c r="F764">
        <f>VLOOKUP(B764,[1]Nuclides!A:E,4,FALSE)</f>
        <v>75744</v>
      </c>
      <c r="G764" t="str">
        <f t="shared" si="65"/>
        <v>21.04h</v>
      </c>
      <c r="H764">
        <f t="shared" si="66"/>
        <v>9.151182675326696E-6</v>
      </c>
      <c r="I764">
        <f t="shared" si="67"/>
        <v>0</v>
      </c>
      <c r="J764">
        <f t="shared" si="68"/>
        <v>0</v>
      </c>
      <c r="K764" t="str">
        <f t="shared" si="69"/>
        <v>Pd112</v>
      </c>
    </row>
    <row r="765" spans="2:11" hidden="1" x14ac:dyDescent="0.2">
      <c r="B765" s="4">
        <v>46113</v>
      </c>
      <c r="C765" s="4">
        <v>0</v>
      </c>
      <c r="D765">
        <v>0</v>
      </c>
      <c r="E765" t="str">
        <f>VLOOKUP(B765,[1]Nuclides!A:E,5,FALSE)</f>
        <v>Pd113</v>
      </c>
      <c r="F765">
        <f>VLOOKUP(B765,[1]Nuclides!A:E,4,FALSE)</f>
        <v>93</v>
      </c>
      <c r="G765" t="str">
        <f t="shared" si="65"/>
        <v>1.55min</v>
      </c>
      <c r="H765">
        <f t="shared" si="66"/>
        <v>7.453195489891885E-3</v>
      </c>
      <c r="I765">
        <f t="shared" si="67"/>
        <v>0</v>
      </c>
      <c r="J765">
        <f t="shared" si="68"/>
        <v>0</v>
      </c>
      <c r="K765" t="str">
        <f t="shared" si="69"/>
        <v>Pd113</v>
      </c>
    </row>
    <row r="766" spans="2:11" hidden="1" x14ac:dyDescent="0.2">
      <c r="B766" s="4">
        <v>46114</v>
      </c>
      <c r="C766" s="4">
        <v>0</v>
      </c>
      <c r="D766">
        <v>0</v>
      </c>
      <c r="E766" t="str">
        <f>VLOOKUP(B766,[1]Nuclides!A:E,5,FALSE)</f>
        <v>Pd114</v>
      </c>
      <c r="F766">
        <f>VLOOKUP(B766,[1]Nuclides!A:E,4,FALSE)</f>
        <v>145.19999999999999</v>
      </c>
      <c r="G766" t="str">
        <f t="shared" si="65"/>
        <v>2.42min</v>
      </c>
      <c r="H766">
        <f t="shared" si="66"/>
        <v>4.7737409129472823E-3</v>
      </c>
      <c r="I766">
        <f t="shared" si="67"/>
        <v>0</v>
      </c>
      <c r="J766">
        <f t="shared" si="68"/>
        <v>0</v>
      </c>
      <c r="K766" t="str">
        <f t="shared" si="69"/>
        <v>Pd114</v>
      </c>
    </row>
    <row r="767" spans="2:11" hidden="1" x14ac:dyDescent="0.2">
      <c r="B767" s="4">
        <v>46115</v>
      </c>
      <c r="C767" s="4">
        <v>0</v>
      </c>
      <c r="D767">
        <v>0</v>
      </c>
      <c r="E767" t="str">
        <f>VLOOKUP(B767,[1]Nuclides!A:E,5,FALSE)</f>
        <v>Pd115</v>
      </c>
      <c r="F767">
        <f>VLOOKUP(B767,[1]Nuclides!A:E,4,FALSE)</f>
        <v>25</v>
      </c>
      <c r="G767" t="str">
        <f t="shared" si="65"/>
        <v>25s</v>
      </c>
      <c r="H767">
        <f t="shared" si="66"/>
        <v>2.7725887222397813E-2</v>
      </c>
      <c r="I767">
        <f t="shared" si="67"/>
        <v>0</v>
      </c>
      <c r="J767">
        <f t="shared" si="68"/>
        <v>0</v>
      </c>
      <c r="K767" t="str">
        <f t="shared" si="69"/>
        <v>Pd115</v>
      </c>
    </row>
    <row r="768" spans="2:11" hidden="1" x14ac:dyDescent="0.2">
      <c r="B768" s="4">
        <v>46116</v>
      </c>
      <c r="C768" s="4">
        <v>0</v>
      </c>
      <c r="D768">
        <v>0</v>
      </c>
      <c r="E768" t="str">
        <f>VLOOKUP(B768,[1]Nuclides!A:E,5,FALSE)</f>
        <v>Pd116</v>
      </c>
      <c r="F768">
        <f>VLOOKUP(B768,[1]Nuclides!A:E,4,FALSE)</f>
        <v>11.8</v>
      </c>
      <c r="G768" t="str">
        <f t="shared" si="65"/>
        <v>11.8s</v>
      </c>
      <c r="H768">
        <f t="shared" si="66"/>
        <v>5.8741286488130956E-2</v>
      </c>
      <c r="I768">
        <f t="shared" si="67"/>
        <v>0</v>
      </c>
      <c r="J768">
        <f t="shared" si="68"/>
        <v>0</v>
      </c>
      <c r="K768" t="str">
        <f t="shared" si="69"/>
        <v>Pd116</v>
      </c>
    </row>
    <row r="769" spans="2:11" hidden="1" x14ac:dyDescent="0.2">
      <c r="B769" s="4">
        <v>46117</v>
      </c>
      <c r="C769" s="4">
        <v>0</v>
      </c>
      <c r="D769">
        <v>0</v>
      </c>
      <c r="E769" t="str">
        <f>VLOOKUP(B769,[1]Nuclides!A:E,5,FALSE)</f>
        <v>Pd117</v>
      </c>
      <c r="F769">
        <f>VLOOKUP(B769,[1]Nuclides!A:E,4,FALSE)</f>
        <v>4.3</v>
      </c>
      <c r="G769" t="str">
        <f t="shared" si="65"/>
        <v>4.3s</v>
      </c>
      <c r="H769">
        <f t="shared" si="66"/>
        <v>0.16119701873487099</v>
      </c>
      <c r="I769">
        <f t="shared" si="67"/>
        <v>0</v>
      </c>
      <c r="J769">
        <f t="shared" si="68"/>
        <v>0</v>
      </c>
      <c r="K769" t="str">
        <f t="shared" si="69"/>
        <v>Pd117</v>
      </c>
    </row>
    <row r="770" spans="2:11" hidden="1" x14ac:dyDescent="0.2">
      <c r="B770" s="4">
        <v>46118</v>
      </c>
      <c r="C770" s="4">
        <v>0</v>
      </c>
      <c r="D770">
        <v>0</v>
      </c>
      <c r="E770" t="str">
        <f>VLOOKUP(B770,[1]Nuclides!A:E,5,FALSE)</f>
        <v>Pd118</v>
      </c>
      <c r="F770">
        <f>VLOOKUP(B770,[1]Nuclides!A:E,4,FALSE)</f>
        <v>1.9</v>
      </c>
      <c r="G770" t="str">
        <f t="shared" si="65"/>
        <v>1.9s</v>
      </c>
      <c r="H770">
        <f t="shared" si="66"/>
        <v>0.36481430555786598</v>
      </c>
      <c r="I770">
        <f t="shared" si="67"/>
        <v>0</v>
      </c>
      <c r="J770">
        <f t="shared" si="68"/>
        <v>0</v>
      </c>
      <c r="K770" t="str">
        <f t="shared" si="69"/>
        <v>Pd118</v>
      </c>
    </row>
    <row r="771" spans="2:11" hidden="1" x14ac:dyDescent="0.2">
      <c r="B771" s="4">
        <v>47096</v>
      </c>
      <c r="C771" s="4">
        <v>0</v>
      </c>
      <c r="D771">
        <v>0</v>
      </c>
      <c r="E771" t="str">
        <f>VLOOKUP(B771,[1]Nuclides!A:E,5,FALSE)</f>
        <v>Ag96</v>
      </c>
      <c r="F771">
        <f>VLOOKUP(B771,[1]Nuclides!A:E,4,FALSE)</f>
        <v>4.4000000000000004</v>
      </c>
      <c r="G771" t="str">
        <f t="shared" si="65"/>
        <v>4.4s</v>
      </c>
      <c r="H771">
        <f t="shared" si="66"/>
        <v>0.15753345012726028</v>
      </c>
      <c r="I771">
        <f t="shared" si="67"/>
        <v>0</v>
      </c>
      <c r="J771">
        <f t="shared" si="68"/>
        <v>0</v>
      </c>
      <c r="K771" t="str">
        <f t="shared" si="69"/>
        <v>Ag96</v>
      </c>
    </row>
    <row r="772" spans="2:11" hidden="1" x14ac:dyDescent="0.2">
      <c r="B772" s="4">
        <v>47097</v>
      </c>
      <c r="C772" s="4">
        <v>0</v>
      </c>
      <c r="D772">
        <v>0</v>
      </c>
      <c r="E772" t="str">
        <f>VLOOKUP(B772,[1]Nuclides!A:E,5,FALSE)</f>
        <v>Ag97</v>
      </c>
      <c r="F772">
        <f>VLOOKUP(B772,[1]Nuclides!A:E,4,FALSE)</f>
        <v>25.5</v>
      </c>
      <c r="G772" t="str">
        <f t="shared" si="65"/>
        <v>25.5s</v>
      </c>
      <c r="H772">
        <f t="shared" si="66"/>
        <v>2.7182242374899815E-2</v>
      </c>
      <c r="I772">
        <f t="shared" si="67"/>
        <v>0</v>
      </c>
      <c r="J772">
        <f t="shared" si="68"/>
        <v>0</v>
      </c>
      <c r="K772" t="str">
        <f t="shared" si="69"/>
        <v>Ag97</v>
      </c>
    </row>
    <row r="773" spans="2:11" hidden="1" x14ac:dyDescent="0.2">
      <c r="B773" s="4">
        <v>47098</v>
      </c>
      <c r="C773" s="4">
        <v>0</v>
      </c>
      <c r="D773">
        <v>0</v>
      </c>
      <c r="E773" t="str">
        <f>VLOOKUP(B773,[1]Nuclides!A:E,5,FALSE)</f>
        <v>Ag98</v>
      </c>
      <c r="F773">
        <f>VLOOKUP(B773,[1]Nuclides!A:E,4,FALSE)</f>
        <v>47.5</v>
      </c>
      <c r="G773" t="str">
        <f t="shared" ref="G773:G836" si="70">IF(F773="STABLE", "STABLE", IF(F773&lt;60, F773&amp;"s", IF(F773&lt;3600, ROUND(F773/60,2)&amp;"min", IF(F773&lt;86400, ROUND(F773/3600,2)&amp;"h", IF(F773&lt;31536000, ROUND(F773/86400,2)&amp;"d", ROUND(F773/31536000,2)&amp;"y")))))</f>
        <v>47.5s</v>
      </c>
      <c r="H773">
        <f t="shared" ref="H773:H836" si="71">LN(2)/F773</f>
        <v>1.4592572222314637E-2</v>
      </c>
      <c r="I773">
        <f t="shared" ref="I773:I836" si="72">60*6240000000000*C773*(1-EXP(-H773*2*3600))</f>
        <v>0</v>
      </c>
      <c r="J773">
        <f t="shared" ref="J773:J836" si="73">I773*EXP(-H773*96*3600)</f>
        <v>0</v>
      </c>
      <c r="K773" t="str">
        <f t="shared" ref="K773:K836" si="74">E773</f>
        <v>Ag98</v>
      </c>
    </row>
    <row r="774" spans="2:11" hidden="1" x14ac:dyDescent="0.2">
      <c r="B774" s="4">
        <v>47099</v>
      </c>
      <c r="C774" s="4">
        <v>0</v>
      </c>
      <c r="D774">
        <v>0</v>
      </c>
      <c r="E774" t="str">
        <f>VLOOKUP(B774,[1]Nuclides!A:E,5,FALSE)</f>
        <v>Ag99</v>
      </c>
      <c r="F774">
        <f>VLOOKUP(B774,[1]Nuclides!A:E,4,FALSE)</f>
        <v>124</v>
      </c>
      <c r="G774" t="str">
        <f t="shared" si="70"/>
        <v>2.07min</v>
      </c>
      <c r="H774">
        <f t="shared" si="71"/>
        <v>5.5898966174189133E-3</v>
      </c>
      <c r="I774">
        <f t="shared" si="72"/>
        <v>0</v>
      </c>
      <c r="J774">
        <f t="shared" si="73"/>
        <v>0</v>
      </c>
      <c r="K774" t="str">
        <f t="shared" si="74"/>
        <v>Ag99</v>
      </c>
    </row>
    <row r="775" spans="2:11" hidden="1" x14ac:dyDescent="0.2">
      <c r="B775" s="4">
        <v>47100</v>
      </c>
      <c r="C775" s="4">
        <v>0</v>
      </c>
      <c r="D775">
        <v>0</v>
      </c>
      <c r="E775" t="str">
        <f>VLOOKUP(B775,[1]Nuclides!A:E,5,FALSE)</f>
        <v>Ag100</v>
      </c>
      <c r="F775">
        <f>VLOOKUP(B775,[1]Nuclides!A:E,4,FALSE)</f>
        <v>120.6</v>
      </c>
      <c r="G775" t="str">
        <f t="shared" si="70"/>
        <v>2.01min</v>
      </c>
      <c r="H775">
        <f t="shared" si="71"/>
        <v>5.7474890593693642E-3</v>
      </c>
      <c r="I775">
        <f t="shared" si="72"/>
        <v>0</v>
      </c>
      <c r="J775">
        <f t="shared" si="73"/>
        <v>0</v>
      </c>
      <c r="K775" t="str">
        <f t="shared" si="74"/>
        <v>Ag100</v>
      </c>
    </row>
    <row r="776" spans="2:11" hidden="1" x14ac:dyDescent="0.2">
      <c r="B776" s="4">
        <v>47101</v>
      </c>
      <c r="C776" s="4">
        <v>0</v>
      </c>
      <c r="D776">
        <v>0</v>
      </c>
      <c r="E776" t="str">
        <f>VLOOKUP(B776,[1]Nuclides!A:E,5,FALSE)</f>
        <v>Ag101</v>
      </c>
      <c r="F776">
        <f>VLOOKUP(B776,[1]Nuclides!A:E,4,FALSE)</f>
        <v>666</v>
      </c>
      <c r="G776" t="str">
        <f t="shared" si="70"/>
        <v>11.1min</v>
      </c>
      <c r="H776">
        <f t="shared" si="71"/>
        <v>1.0407615323722902E-3</v>
      </c>
      <c r="I776">
        <f t="shared" si="72"/>
        <v>0</v>
      </c>
      <c r="J776">
        <f t="shared" si="73"/>
        <v>0</v>
      </c>
      <c r="K776" t="str">
        <f t="shared" si="74"/>
        <v>Ag101</v>
      </c>
    </row>
    <row r="777" spans="2:11" hidden="1" x14ac:dyDescent="0.2">
      <c r="B777" s="4">
        <v>47102</v>
      </c>
      <c r="C777" s="4">
        <v>0</v>
      </c>
      <c r="D777">
        <v>0</v>
      </c>
      <c r="E777" t="str">
        <f>VLOOKUP(B777,[1]Nuclides!A:E,5,FALSE)</f>
        <v>Ag102</v>
      </c>
      <c r="F777">
        <f>VLOOKUP(B777,[1]Nuclides!A:E,4,FALSE)</f>
        <v>774</v>
      </c>
      <c r="G777" t="str">
        <f t="shared" si="70"/>
        <v>12.9min</v>
      </c>
      <c r="H777">
        <f t="shared" si="71"/>
        <v>8.9553899297150556E-4</v>
      </c>
      <c r="I777">
        <f t="shared" si="72"/>
        <v>0</v>
      </c>
      <c r="J777">
        <f t="shared" si="73"/>
        <v>0</v>
      </c>
      <c r="K777" t="str">
        <f t="shared" si="74"/>
        <v>Ag102</v>
      </c>
    </row>
    <row r="778" spans="2:11" hidden="1" x14ac:dyDescent="0.2">
      <c r="B778" s="4">
        <v>47103</v>
      </c>
      <c r="C778" s="4">
        <v>0</v>
      </c>
      <c r="D778">
        <v>0</v>
      </c>
      <c r="E778" t="str">
        <f>VLOOKUP(B778,[1]Nuclides!A:E,5,FALSE)</f>
        <v>Ag103</v>
      </c>
      <c r="F778">
        <f>VLOOKUP(B778,[1]Nuclides!A:E,4,FALSE)</f>
        <v>3942</v>
      </c>
      <c r="G778" t="str">
        <f t="shared" si="70"/>
        <v>1.1h</v>
      </c>
      <c r="H778">
        <f t="shared" si="71"/>
        <v>1.7583642327751023E-4</v>
      </c>
      <c r="I778">
        <f t="shared" si="72"/>
        <v>0</v>
      </c>
      <c r="J778">
        <f t="shared" si="73"/>
        <v>0</v>
      </c>
      <c r="K778" t="str">
        <f t="shared" si="74"/>
        <v>Ag103</v>
      </c>
    </row>
    <row r="779" spans="2:11" hidden="1" x14ac:dyDescent="0.2">
      <c r="B779" s="4">
        <v>47104</v>
      </c>
      <c r="C779" s="4">
        <v>0</v>
      </c>
      <c r="D779">
        <v>0</v>
      </c>
      <c r="E779" t="str">
        <f>VLOOKUP(B779,[1]Nuclides!A:E,5,FALSE)</f>
        <v>Ag104</v>
      </c>
      <c r="F779">
        <f>VLOOKUP(B779,[1]Nuclides!A:E,4,FALSE)</f>
        <v>4152</v>
      </c>
      <c r="G779" t="str">
        <f t="shared" si="70"/>
        <v>1.15h</v>
      </c>
      <c r="H779">
        <f t="shared" si="71"/>
        <v>1.6694296256260726E-4</v>
      </c>
      <c r="I779">
        <f t="shared" si="72"/>
        <v>0</v>
      </c>
      <c r="J779">
        <f t="shared" si="73"/>
        <v>0</v>
      </c>
      <c r="K779" t="str">
        <f t="shared" si="74"/>
        <v>Ag104</v>
      </c>
    </row>
    <row r="780" spans="2:11" hidden="1" x14ac:dyDescent="0.2">
      <c r="B780" s="4">
        <v>47105</v>
      </c>
      <c r="C780" s="4">
        <v>0</v>
      </c>
      <c r="D780">
        <v>0</v>
      </c>
      <c r="E780" t="str">
        <f>VLOOKUP(B780,[1]Nuclides!A:E,5,FALSE)</f>
        <v>Ag105</v>
      </c>
      <c r="F780">
        <f>VLOOKUP(B780,[1]Nuclides!A:E,4,FALSE)</f>
        <v>3567456</v>
      </c>
      <c r="G780" t="str">
        <f t="shared" si="70"/>
        <v>41.29d</v>
      </c>
      <c r="H780">
        <f t="shared" si="71"/>
        <v>1.9429733136440794E-7</v>
      </c>
      <c r="I780">
        <f t="shared" si="72"/>
        <v>0</v>
      </c>
      <c r="J780">
        <f t="shared" si="73"/>
        <v>0</v>
      </c>
      <c r="K780" t="str">
        <f t="shared" si="74"/>
        <v>Ag105</v>
      </c>
    </row>
    <row r="781" spans="2:11" hidden="1" x14ac:dyDescent="0.2">
      <c r="B781" s="4">
        <v>47106</v>
      </c>
      <c r="C781" s="4">
        <v>0</v>
      </c>
      <c r="D781">
        <v>0</v>
      </c>
      <c r="E781" t="str">
        <f>VLOOKUP(B781,[1]Nuclides!A:E,5,FALSE)</f>
        <v>Ag106</v>
      </c>
      <c r="F781">
        <f>VLOOKUP(B781,[1]Nuclides!A:E,4,FALSE)</f>
        <v>1437.6</v>
      </c>
      <c r="G781" t="str">
        <f t="shared" si="70"/>
        <v>23.96min</v>
      </c>
      <c r="H781">
        <f t="shared" si="71"/>
        <v>4.8215580172505934E-4</v>
      </c>
      <c r="I781">
        <f t="shared" si="72"/>
        <v>0</v>
      </c>
      <c r="J781">
        <f t="shared" si="73"/>
        <v>0</v>
      </c>
      <c r="K781" t="str">
        <f t="shared" si="74"/>
        <v>Ag106</v>
      </c>
    </row>
    <row r="782" spans="2:11" hidden="1" x14ac:dyDescent="0.2">
      <c r="B782" s="4">
        <v>47107</v>
      </c>
      <c r="C782" s="4">
        <v>0</v>
      </c>
      <c r="D782">
        <v>0</v>
      </c>
      <c r="E782" t="str">
        <f>VLOOKUP(B782,[1]Nuclides!A:E,5,FALSE)</f>
        <v>Ag107</v>
      </c>
      <c r="F782" t="str">
        <f>VLOOKUP(B782,[1]Nuclides!A:E,4,FALSE)</f>
        <v>STABLE</v>
      </c>
      <c r="G782" t="str">
        <f t="shared" si="70"/>
        <v>STABLE</v>
      </c>
      <c r="H782" t="e">
        <f t="shared" si="71"/>
        <v>#VALUE!</v>
      </c>
      <c r="I782" t="e">
        <f t="shared" si="72"/>
        <v>#VALUE!</v>
      </c>
      <c r="J782" t="e">
        <f t="shared" si="73"/>
        <v>#VALUE!</v>
      </c>
      <c r="K782" t="str">
        <f t="shared" si="74"/>
        <v>Ag107</v>
      </c>
    </row>
    <row r="783" spans="2:11" hidden="1" x14ac:dyDescent="0.2">
      <c r="B783" s="4">
        <v>47108</v>
      </c>
      <c r="C783" s="4">
        <v>0</v>
      </c>
      <c r="D783">
        <v>0</v>
      </c>
      <c r="E783" t="str">
        <f>VLOOKUP(B783,[1]Nuclides!A:E,5,FALSE)</f>
        <v>Ag108</v>
      </c>
      <c r="F783">
        <f>VLOOKUP(B783,[1]Nuclides!A:E,4,FALSE)</f>
        <v>142.91999999999999</v>
      </c>
      <c r="G783" t="str">
        <f t="shared" si="70"/>
        <v>2.38min</v>
      </c>
      <c r="H783">
        <f t="shared" si="71"/>
        <v>4.849896309543418E-3</v>
      </c>
      <c r="I783">
        <f t="shared" si="72"/>
        <v>0</v>
      </c>
      <c r="J783">
        <f t="shared" si="73"/>
        <v>0</v>
      </c>
      <c r="K783" t="str">
        <f t="shared" si="74"/>
        <v>Ag108</v>
      </c>
    </row>
    <row r="784" spans="2:11" hidden="1" x14ac:dyDescent="0.2">
      <c r="B784" s="4">
        <v>47109</v>
      </c>
      <c r="C784" s="4">
        <v>0</v>
      </c>
      <c r="D784">
        <v>0</v>
      </c>
      <c r="E784" t="str">
        <f>VLOOKUP(B784,[1]Nuclides!A:E,5,FALSE)</f>
        <v>Ag109</v>
      </c>
      <c r="F784" t="str">
        <f>VLOOKUP(B784,[1]Nuclides!A:E,4,FALSE)</f>
        <v>STABLE</v>
      </c>
      <c r="G784" t="str">
        <f t="shared" si="70"/>
        <v>STABLE</v>
      </c>
      <c r="H784" t="e">
        <f t="shared" si="71"/>
        <v>#VALUE!</v>
      </c>
      <c r="I784" t="e">
        <f t="shared" si="72"/>
        <v>#VALUE!</v>
      </c>
      <c r="J784" t="e">
        <f t="shared" si="73"/>
        <v>#VALUE!</v>
      </c>
      <c r="K784" t="str">
        <f t="shared" si="74"/>
        <v>Ag109</v>
      </c>
    </row>
    <row r="785" spans="2:11" hidden="1" x14ac:dyDescent="0.2">
      <c r="B785" s="4">
        <v>47110</v>
      </c>
      <c r="C785" s="4">
        <v>0</v>
      </c>
      <c r="D785">
        <v>0</v>
      </c>
      <c r="E785" t="str">
        <f>VLOOKUP(B785,[1]Nuclides!A:E,5,FALSE)</f>
        <v>Ag110</v>
      </c>
      <c r="F785">
        <f>VLOOKUP(B785,[1]Nuclides!A:E,4,FALSE)</f>
        <v>24.6</v>
      </c>
      <c r="G785" t="str">
        <f t="shared" si="70"/>
        <v>24.6s</v>
      </c>
      <c r="H785">
        <f t="shared" si="71"/>
        <v>2.8176714656908342E-2</v>
      </c>
      <c r="I785">
        <f t="shared" si="72"/>
        <v>0</v>
      </c>
      <c r="J785">
        <f t="shared" si="73"/>
        <v>0</v>
      </c>
      <c r="K785" t="str">
        <f t="shared" si="74"/>
        <v>Ag110</v>
      </c>
    </row>
    <row r="786" spans="2:11" hidden="1" x14ac:dyDescent="0.2">
      <c r="B786" s="4">
        <v>47111</v>
      </c>
      <c r="C786" s="4">
        <v>0</v>
      </c>
      <c r="D786">
        <v>0</v>
      </c>
      <c r="E786" t="str">
        <f>VLOOKUP(B786,[1]Nuclides!A:E,5,FALSE)</f>
        <v>Ag111</v>
      </c>
      <c r="F786">
        <f>VLOOKUP(B786,[1]Nuclides!A:E,4,FALSE)</f>
        <v>643680</v>
      </c>
      <c r="G786" t="str">
        <f t="shared" si="70"/>
        <v>7.45d</v>
      </c>
      <c r="H786">
        <f t="shared" si="71"/>
        <v>1.0768505787968328E-6</v>
      </c>
      <c r="I786">
        <f t="shared" si="72"/>
        <v>0</v>
      </c>
      <c r="J786">
        <f t="shared" si="73"/>
        <v>0</v>
      </c>
      <c r="K786" t="str">
        <f t="shared" si="74"/>
        <v>Ag111</v>
      </c>
    </row>
    <row r="787" spans="2:11" hidden="1" x14ac:dyDescent="0.2">
      <c r="B787" s="4">
        <v>47112</v>
      </c>
      <c r="C787" s="4">
        <v>0</v>
      </c>
      <c r="D787">
        <v>0</v>
      </c>
      <c r="E787" t="str">
        <f>VLOOKUP(B787,[1]Nuclides!A:E,5,FALSE)</f>
        <v>Ag112</v>
      </c>
      <c r="F787">
        <f>VLOOKUP(B787,[1]Nuclides!A:E,4,FALSE)</f>
        <v>11268</v>
      </c>
      <c r="G787" t="str">
        <f t="shared" si="70"/>
        <v>3.13h</v>
      </c>
      <c r="H787">
        <f t="shared" si="71"/>
        <v>6.1514659261620983E-5</v>
      </c>
      <c r="I787">
        <f t="shared" si="72"/>
        <v>0</v>
      </c>
      <c r="J787">
        <f t="shared" si="73"/>
        <v>0</v>
      </c>
      <c r="K787" t="str">
        <f t="shared" si="74"/>
        <v>Ag112</v>
      </c>
    </row>
    <row r="788" spans="2:11" hidden="1" x14ac:dyDescent="0.2">
      <c r="B788" s="4">
        <v>47113</v>
      </c>
      <c r="C788" s="4">
        <v>0</v>
      </c>
      <c r="D788">
        <v>0</v>
      </c>
      <c r="E788" t="str">
        <f>VLOOKUP(B788,[1]Nuclides!A:E,5,FALSE)</f>
        <v>Ag113</v>
      </c>
      <c r="F788">
        <f>VLOOKUP(B788,[1]Nuclides!A:E,4,FALSE)</f>
        <v>19332</v>
      </c>
      <c r="G788" t="str">
        <f t="shared" si="70"/>
        <v>5.37h</v>
      </c>
      <c r="H788">
        <f t="shared" si="71"/>
        <v>3.5854913126419684E-5</v>
      </c>
      <c r="I788">
        <f t="shared" si="72"/>
        <v>0</v>
      </c>
      <c r="J788">
        <f t="shared" si="73"/>
        <v>0</v>
      </c>
      <c r="K788" t="str">
        <f t="shared" si="74"/>
        <v>Ag113</v>
      </c>
    </row>
    <row r="789" spans="2:11" hidden="1" x14ac:dyDescent="0.2">
      <c r="B789" s="4">
        <v>47114</v>
      </c>
      <c r="C789" s="4">
        <v>0</v>
      </c>
      <c r="D789">
        <v>0</v>
      </c>
      <c r="E789" t="str">
        <f>VLOOKUP(B789,[1]Nuclides!A:E,5,FALSE)</f>
        <v>Ag114</v>
      </c>
      <c r="F789">
        <f>VLOOKUP(B789,[1]Nuclides!A:E,4,FALSE)</f>
        <v>4.5999999999999996</v>
      </c>
      <c r="G789" t="str">
        <f t="shared" si="70"/>
        <v>4.6s</v>
      </c>
      <c r="H789">
        <f t="shared" si="71"/>
        <v>0.15068416968694465</v>
      </c>
      <c r="I789">
        <f t="shared" si="72"/>
        <v>0</v>
      </c>
      <c r="J789">
        <f t="shared" si="73"/>
        <v>0</v>
      </c>
      <c r="K789" t="str">
        <f t="shared" si="74"/>
        <v>Ag114</v>
      </c>
    </row>
    <row r="790" spans="2:11" hidden="1" x14ac:dyDescent="0.2">
      <c r="B790" s="4">
        <v>47115</v>
      </c>
      <c r="C790" s="4">
        <v>0</v>
      </c>
      <c r="D790">
        <v>0</v>
      </c>
      <c r="E790" t="str">
        <f>VLOOKUP(B790,[1]Nuclides!A:E,5,FALSE)</f>
        <v>Ag115</v>
      </c>
      <c r="F790">
        <f>VLOOKUP(B790,[1]Nuclides!A:E,4,FALSE)</f>
        <v>1200</v>
      </c>
      <c r="G790" t="str">
        <f t="shared" si="70"/>
        <v>20min</v>
      </c>
      <c r="H790">
        <f t="shared" si="71"/>
        <v>5.7762265046662107E-4</v>
      </c>
      <c r="I790">
        <f t="shared" si="72"/>
        <v>0</v>
      </c>
      <c r="J790">
        <f t="shared" si="73"/>
        <v>0</v>
      </c>
      <c r="K790" t="str">
        <f t="shared" si="74"/>
        <v>Ag115</v>
      </c>
    </row>
    <row r="791" spans="2:11" hidden="1" x14ac:dyDescent="0.2">
      <c r="B791" s="4">
        <v>47116</v>
      </c>
      <c r="C791" s="4">
        <v>0</v>
      </c>
      <c r="D791">
        <v>0</v>
      </c>
      <c r="E791" t="str">
        <f>VLOOKUP(B791,[1]Nuclides!A:E,5,FALSE)</f>
        <v>Ag116</v>
      </c>
      <c r="F791">
        <f>VLOOKUP(B791,[1]Nuclides!A:E,4,FALSE)</f>
        <v>237</v>
      </c>
      <c r="G791" t="str">
        <f t="shared" si="70"/>
        <v>3.95min</v>
      </c>
      <c r="H791">
        <f t="shared" si="71"/>
        <v>2.9246716479322584E-3</v>
      </c>
      <c r="I791">
        <f t="shared" si="72"/>
        <v>0</v>
      </c>
      <c r="J791">
        <f t="shared" si="73"/>
        <v>0</v>
      </c>
      <c r="K791" t="str">
        <f t="shared" si="74"/>
        <v>Ag116</v>
      </c>
    </row>
    <row r="792" spans="2:11" hidden="1" x14ac:dyDescent="0.2">
      <c r="B792" s="4">
        <v>47117</v>
      </c>
      <c r="C792" s="4">
        <v>0</v>
      </c>
      <c r="D792">
        <v>0</v>
      </c>
      <c r="E792" t="str">
        <f>VLOOKUP(B792,[1]Nuclides!A:E,5,FALSE)</f>
        <v>Ag117</v>
      </c>
      <c r="F792">
        <f>VLOOKUP(B792,[1]Nuclides!A:E,4,FALSE)</f>
        <v>72.8</v>
      </c>
      <c r="G792" t="str">
        <f t="shared" si="70"/>
        <v>1.21min</v>
      </c>
      <c r="H792">
        <f t="shared" si="71"/>
        <v>9.5212524802190286E-3</v>
      </c>
      <c r="I792">
        <f t="shared" si="72"/>
        <v>0</v>
      </c>
      <c r="J792">
        <f t="shared" si="73"/>
        <v>0</v>
      </c>
      <c r="K792" t="str">
        <f t="shared" si="74"/>
        <v>Ag117</v>
      </c>
    </row>
    <row r="793" spans="2:11" hidden="1" x14ac:dyDescent="0.2">
      <c r="B793" s="4">
        <v>47118</v>
      </c>
      <c r="C793" s="4">
        <v>0</v>
      </c>
      <c r="D793">
        <v>0</v>
      </c>
      <c r="E793" t="str">
        <f>VLOOKUP(B793,[1]Nuclides!A:E,5,FALSE)</f>
        <v>Ag118</v>
      </c>
      <c r="F793">
        <f>VLOOKUP(B793,[1]Nuclides!A:E,4,FALSE)</f>
        <v>3.76</v>
      </c>
      <c r="G793" t="str">
        <f t="shared" si="70"/>
        <v>3.76s</v>
      </c>
      <c r="H793">
        <f t="shared" si="71"/>
        <v>0.18434765440424078</v>
      </c>
      <c r="I793">
        <f t="shared" si="72"/>
        <v>0</v>
      </c>
      <c r="J793">
        <f t="shared" si="73"/>
        <v>0</v>
      </c>
      <c r="K793" t="str">
        <f t="shared" si="74"/>
        <v>Ag118</v>
      </c>
    </row>
    <row r="794" spans="2:11" hidden="1" x14ac:dyDescent="0.2">
      <c r="B794" s="4">
        <v>47119</v>
      </c>
      <c r="C794" s="4">
        <v>0</v>
      </c>
      <c r="D794">
        <v>0</v>
      </c>
      <c r="E794" t="str">
        <f>VLOOKUP(B794,[1]Nuclides!A:E,5,FALSE)</f>
        <v>Ag119</v>
      </c>
      <c r="F794">
        <f>VLOOKUP(B794,[1]Nuclides!A:E,4,FALSE)</f>
        <v>6</v>
      </c>
      <c r="G794" t="str">
        <f t="shared" si="70"/>
        <v>6s</v>
      </c>
      <c r="H794">
        <f t="shared" si="71"/>
        <v>0.11552453009332421</v>
      </c>
      <c r="I794">
        <f t="shared" si="72"/>
        <v>0</v>
      </c>
      <c r="J794">
        <f t="shared" si="73"/>
        <v>0</v>
      </c>
      <c r="K794" t="str">
        <f t="shared" si="74"/>
        <v>Ag119</v>
      </c>
    </row>
    <row r="795" spans="2:11" hidden="1" x14ac:dyDescent="0.2">
      <c r="B795" s="4">
        <v>47120</v>
      </c>
      <c r="C795" s="4">
        <v>0</v>
      </c>
      <c r="D795">
        <v>0</v>
      </c>
      <c r="E795" t="str">
        <f>VLOOKUP(B795,[1]Nuclides!A:E,5,FALSE)</f>
        <v>Ag120</v>
      </c>
      <c r="F795">
        <f>VLOOKUP(B795,[1]Nuclides!A:E,4,FALSE)</f>
        <v>1.23</v>
      </c>
      <c r="G795" t="str">
        <f t="shared" si="70"/>
        <v>1.23s</v>
      </c>
      <c r="H795">
        <f t="shared" si="71"/>
        <v>0.56353429313816694</v>
      </c>
      <c r="I795">
        <f t="shared" si="72"/>
        <v>0</v>
      </c>
      <c r="J795">
        <f t="shared" si="73"/>
        <v>0</v>
      </c>
      <c r="K795" t="str">
        <f t="shared" si="74"/>
        <v>Ag120</v>
      </c>
    </row>
    <row r="796" spans="2:11" hidden="1" x14ac:dyDescent="0.2">
      <c r="B796" s="4">
        <v>47121</v>
      </c>
      <c r="C796" s="4">
        <v>0</v>
      </c>
      <c r="D796">
        <v>0</v>
      </c>
      <c r="E796" t="str">
        <f>VLOOKUP(B796,[1]Nuclides!A:E,5,FALSE)</f>
        <v>Ag121</v>
      </c>
      <c r="F796">
        <f>VLOOKUP(B796,[1]Nuclides!A:E,4,FALSE)</f>
        <v>0.78</v>
      </c>
      <c r="G796" t="str">
        <f t="shared" si="70"/>
        <v>0.78s</v>
      </c>
      <c r="H796">
        <f t="shared" si="71"/>
        <v>0.88865023148710931</v>
      </c>
      <c r="I796">
        <f t="shared" si="72"/>
        <v>0</v>
      </c>
      <c r="J796">
        <f t="shared" si="73"/>
        <v>0</v>
      </c>
      <c r="K796" t="str">
        <f t="shared" si="74"/>
        <v>Ag121</v>
      </c>
    </row>
    <row r="797" spans="2:11" hidden="1" x14ac:dyDescent="0.2">
      <c r="B797" s="4">
        <v>47122</v>
      </c>
      <c r="C797" s="4">
        <v>0</v>
      </c>
      <c r="D797">
        <v>0</v>
      </c>
      <c r="E797" t="str">
        <f>VLOOKUP(B797,[1]Nuclides!A:E,5,FALSE)</f>
        <v>Ag122</v>
      </c>
      <c r="F797">
        <f>VLOOKUP(B797,[1]Nuclides!A:E,4,FALSE)</f>
        <v>0.52900000000000003</v>
      </c>
      <c r="G797" t="str">
        <f t="shared" si="70"/>
        <v>0.529s</v>
      </c>
      <c r="H797">
        <f t="shared" si="71"/>
        <v>1.3102971277125619</v>
      </c>
      <c r="I797">
        <f t="shared" si="72"/>
        <v>0</v>
      </c>
      <c r="J797">
        <f t="shared" si="73"/>
        <v>0</v>
      </c>
      <c r="K797" t="str">
        <f t="shared" si="74"/>
        <v>Ag122</v>
      </c>
    </row>
    <row r="798" spans="2:11" hidden="1" x14ac:dyDescent="0.2">
      <c r="B798" s="4">
        <v>47123</v>
      </c>
      <c r="C798" s="4">
        <v>0</v>
      </c>
      <c r="D798">
        <v>0</v>
      </c>
      <c r="E798" t="str">
        <f>VLOOKUP(B798,[1]Nuclides!A:E,5,FALSE)</f>
        <v>Ag123</v>
      </c>
      <c r="F798">
        <f>VLOOKUP(B798,[1]Nuclides!A:E,4,FALSE)</f>
        <v>0.3</v>
      </c>
      <c r="G798" t="str">
        <f t="shared" si="70"/>
        <v>0.3s</v>
      </c>
      <c r="H798">
        <f t="shared" si="71"/>
        <v>2.3104906018664844</v>
      </c>
      <c r="I798">
        <f t="shared" si="72"/>
        <v>0</v>
      </c>
      <c r="J798">
        <f t="shared" si="73"/>
        <v>0</v>
      </c>
      <c r="K798" t="str">
        <f t="shared" si="74"/>
        <v>Ag123</v>
      </c>
    </row>
    <row r="799" spans="2:11" hidden="1" x14ac:dyDescent="0.2">
      <c r="B799" s="4">
        <v>48097</v>
      </c>
      <c r="C799" s="4">
        <v>0</v>
      </c>
      <c r="D799">
        <v>0</v>
      </c>
      <c r="E799" t="str">
        <f>VLOOKUP(B799,[1]Nuclides!A:E,5,FALSE)</f>
        <v>Cd97</v>
      </c>
      <c r="F799">
        <f>VLOOKUP(B799,[1]Nuclides!A:E,4,FALSE)</f>
        <v>1.1000000000000001</v>
      </c>
      <c r="G799" t="str">
        <f t="shared" si="70"/>
        <v>1.1s</v>
      </c>
      <c r="H799">
        <f t="shared" si="71"/>
        <v>0.63013380050904111</v>
      </c>
      <c r="I799">
        <f t="shared" si="72"/>
        <v>0</v>
      </c>
      <c r="J799">
        <f t="shared" si="73"/>
        <v>0</v>
      </c>
      <c r="K799" t="str">
        <f t="shared" si="74"/>
        <v>Cd97</v>
      </c>
    </row>
    <row r="800" spans="2:11" hidden="1" x14ac:dyDescent="0.2">
      <c r="B800" s="4">
        <v>48098</v>
      </c>
      <c r="C800" s="4">
        <v>0</v>
      </c>
      <c r="D800">
        <v>0</v>
      </c>
      <c r="E800" t="str">
        <f>VLOOKUP(B800,[1]Nuclides!A:E,5,FALSE)</f>
        <v>Cd98</v>
      </c>
      <c r="F800">
        <f>VLOOKUP(B800,[1]Nuclides!A:E,4,FALSE)</f>
        <v>9.1999999999999993</v>
      </c>
      <c r="G800" t="str">
        <f t="shared" si="70"/>
        <v>9.2s</v>
      </c>
      <c r="H800">
        <f t="shared" si="71"/>
        <v>7.5342084843472323E-2</v>
      </c>
      <c r="I800">
        <f t="shared" si="72"/>
        <v>0</v>
      </c>
      <c r="J800">
        <f t="shared" si="73"/>
        <v>0</v>
      </c>
      <c r="K800" t="str">
        <f t="shared" si="74"/>
        <v>Cd98</v>
      </c>
    </row>
    <row r="801" spans="2:11" hidden="1" x14ac:dyDescent="0.2">
      <c r="B801" s="4">
        <v>48099</v>
      </c>
      <c r="C801" s="4">
        <v>0</v>
      </c>
      <c r="D801">
        <v>0</v>
      </c>
      <c r="E801" t="str">
        <f>VLOOKUP(B801,[1]Nuclides!A:E,5,FALSE)</f>
        <v>Cd99</v>
      </c>
      <c r="F801">
        <f>VLOOKUP(B801,[1]Nuclides!A:E,4,FALSE)</f>
        <v>16</v>
      </c>
      <c r="G801" t="str">
        <f t="shared" si="70"/>
        <v>16s</v>
      </c>
      <c r="H801">
        <f t="shared" si="71"/>
        <v>4.332169878499658E-2</v>
      </c>
      <c r="I801">
        <f t="shared" si="72"/>
        <v>0</v>
      </c>
      <c r="J801">
        <f t="shared" si="73"/>
        <v>0</v>
      </c>
      <c r="K801" t="str">
        <f t="shared" si="74"/>
        <v>Cd99</v>
      </c>
    </row>
    <row r="802" spans="2:11" hidden="1" x14ac:dyDescent="0.2">
      <c r="B802" s="4">
        <v>48100</v>
      </c>
      <c r="C802" s="4">
        <v>0</v>
      </c>
      <c r="D802">
        <v>0</v>
      </c>
      <c r="E802" t="str">
        <f>VLOOKUP(B802,[1]Nuclides!A:E,5,FALSE)</f>
        <v>Cd100</v>
      </c>
      <c r="F802">
        <f>VLOOKUP(B802,[1]Nuclides!A:E,4,FALSE)</f>
        <v>49.1</v>
      </c>
      <c r="G802" t="str">
        <f t="shared" si="70"/>
        <v>49.1s</v>
      </c>
      <c r="H802">
        <f t="shared" si="71"/>
        <v>1.4117050520569149E-2</v>
      </c>
      <c r="I802">
        <f t="shared" si="72"/>
        <v>0</v>
      </c>
      <c r="J802">
        <f t="shared" si="73"/>
        <v>0</v>
      </c>
      <c r="K802" t="str">
        <f t="shared" si="74"/>
        <v>Cd100</v>
      </c>
    </row>
    <row r="803" spans="2:11" hidden="1" x14ac:dyDescent="0.2">
      <c r="B803" s="4">
        <v>48101</v>
      </c>
      <c r="C803" s="4">
        <v>0</v>
      </c>
      <c r="D803">
        <v>0</v>
      </c>
      <c r="E803" t="str">
        <f>VLOOKUP(B803,[1]Nuclides!A:E,5,FALSE)</f>
        <v>Cd101</v>
      </c>
      <c r="F803">
        <f>VLOOKUP(B803,[1]Nuclides!A:E,4,FALSE)</f>
        <v>81.599999999999994</v>
      </c>
      <c r="G803" t="str">
        <f t="shared" si="70"/>
        <v>1.36min</v>
      </c>
      <c r="H803">
        <f t="shared" si="71"/>
        <v>8.494450742156193E-3</v>
      </c>
      <c r="I803">
        <f t="shared" si="72"/>
        <v>0</v>
      </c>
      <c r="J803">
        <f t="shared" si="73"/>
        <v>0</v>
      </c>
      <c r="K803" t="str">
        <f t="shared" si="74"/>
        <v>Cd101</v>
      </c>
    </row>
    <row r="804" spans="2:11" hidden="1" x14ac:dyDescent="0.2">
      <c r="B804" s="4">
        <v>48102</v>
      </c>
      <c r="C804" s="4">
        <v>0</v>
      </c>
      <c r="D804">
        <v>0</v>
      </c>
      <c r="E804" t="str">
        <f>VLOOKUP(B804,[1]Nuclides!A:E,5,FALSE)</f>
        <v>Cd102</v>
      </c>
      <c r="F804">
        <f>VLOOKUP(B804,[1]Nuclides!A:E,4,FALSE)</f>
        <v>330</v>
      </c>
      <c r="G804" t="str">
        <f t="shared" si="70"/>
        <v>5.5min</v>
      </c>
      <c r="H804">
        <f t="shared" si="71"/>
        <v>2.1004460016968039E-3</v>
      </c>
      <c r="I804">
        <f t="shared" si="72"/>
        <v>0</v>
      </c>
      <c r="J804">
        <f t="shared" si="73"/>
        <v>0</v>
      </c>
      <c r="K804" t="str">
        <f t="shared" si="74"/>
        <v>Cd102</v>
      </c>
    </row>
    <row r="805" spans="2:11" hidden="1" x14ac:dyDescent="0.2">
      <c r="B805" s="4">
        <v>48103</v>
      </c>
      <c r="C805" s="4">
        <v>0</v>
      </c>
      <c r="D805">
        <v>0</v>
      </c>
      <c r="E805" t="str">
        <f>VLOOKUP(B805,[1]Nuclides!A:E,5,FALSE)</f>
        <v>Cd103</v>
      </c>
      <c r="F805">
        <f>VLOOKUP(B805,[1]Nuclides!A:E,4,FALSE)</f>
        <v>438</v>
      </c>
      <c r="G805" t="str">
        <f t="shared" si="70"/>
        <v>7.3min</v>
      </c>
      <c r="H805">
        <f t="shared" si="71"/>
        <v>1.582527809497592E-3</v>
      </c>
      <c r="I805">
        <f t="shared" si="72"/>
        <v>0</v>
      </c>
      <c r="J805">
        <f t="shared" si="73"/>
        <v>0</v>
      </c>
      <c r="K805" t="str">
        <f t="shared" si="74"/>
        <v>Cd103</v>
      </c>
    </row>
    <row r="806" spans="2:11" hidden="1" x14ac:dyDescent="0.2">
      <c r="B806" s="4">
        <v>48104</v>
      </c>
      <c r="C806" s="4">
        <v>0</v>
      </c>
      <c r="D806">
        <v>0</v>
      </c>
      <c r="E806" t="str">
        <f>VLOOKUP(B806,[1]Nuclides!A:E,5,FALSE)</f>
        <v>Cd104</v>
      </c>
      <c r="F806">
        <f>VLOOKUP(B806,[1]Nuclides!A:E,4,FALSE)</f>
        <v>3462</v>
      </c>
      <c r="G806" t="str">
        <f t="shared" si="70"/>
        <v>57.7min</v>
      </c>
      <c r="H806">
        <f t="shared" si="71"/>
        <v>2.002158233853106E-4</v>
      </c>
      <c r="I806">
        <f t="shared" si="72"/>
        <v>0</v>
      </c>
      <c r="J806">
        <f t="shared" si="73"/>
        <v>0</v>
      </c>
      <c r="K806" t="str">
        <f t="shared" si="74"/>
        <v>Cd104</v>
      </c>
    </row>
    <row r="807" spans="2:11" hidden="1" x14ac:dyDescent="0.2">
      <c r="B807" s="4">
        <v>48105</v>
      </c>
      <c r="C807" s="4">
        <v>0</v>
      </c>
      <c r="D807">
        <v>0</v>
      </c>
      <c r="E807" t="str">
        <f>VLOOKUP(B807,[1]Nuclides!A:E,5,FALSE)</f>
        <v>Cd105</v>
      </c>
      <c r="F807">
        <f>VLOOKUP(B807,[1]Nuclides!A:E,4,FALSE)</f>
        <v>3330</v>
      </c>
      <c r="G807" t="str">
        <f t="shared" si="70"/>
        <v>55.5min</v>
      </c>
      <c r="H807">
        <f t="shared" si="71"/>
        <v>2.0815230647445806E-4</v>
      </c>
      <c r="I807">
        <f t="shared" si="72"/>
        <v>0</v>
      </c>
      <c r="J807">
        <f t="shared" si="73"/>
        <v>0</v>
      </c>
      <c r="K807" t="str">
        <f t="shared" si="74"/>
        <v>Cd105</v>
      </c>
    </row>
    <row r="808" spans="2:11" hidden="1" x14ac:dyDescent="0.2">
      <c r="B808" s="4">
        <v>48106</v>
      </c>
      <c r="C808" s="4">
        <v>0</v>
      </c>
      <c r="D808">
        <v>0</v>
      </c>
      <c r="E808" t="str">
        <f>VLOOKUP(B808,[1]Nuclides!A:E,5,FALSE)</f>
        <v>Cd106</v>
      </c>
      <c r="F808">
        <f>VLOOKUP(B808,[1]Nuclides!A:E,4,FALSE)</f>
        <v>1.1360736E+28</v>
      </c>
      <c r="G808" t="str">
        <f t="shared" si="70"/>
        <v>3.60246575342466E+20y</v>
      </c>
      <c r="H808">
        <f t="shared" si="71"/>
        <v>6.1012524237861461E-29</v>
      </c>
      <c r="I808">
        <f t="shared" si="72"/>
        <v>0</v>
      </c>
      <c r="J808">
        <f t="shared" si="73"/>
        <v>0</v>
      </c>
      <c r="K808" t="str">
        <f t="shared" si="74"/>
        <v>Cd106</v>
      </c>
    </row>
    <row r="809" spans="2:11" hidden="1" x14ac:dyDescent="0.2">
      <c r="B809" s="4">
        <v>48107</v>
      </c>
      <c r="C809" s="4">
        <v>0</v>
      </c>
      <c r="D809">
        <v>0</v>
      </c>
      <c r="E809" t="str">
        <f>VLOOKUP(B809,[1]Nuclides!A:E,5,FALSE)</f>
        <v>Cd107</v>
      </c>
      <c r="F809">
        <f>VLOOKUP(B809,[1]Nuclides!A:E,4,FALSE)</f>
        <v>23400</v>
      </c>
      <c r="G809" t="str">
        <f t="shared" si="70"/>
        <v>6.5h</v>
      </c>
      <c r="H809">
        <f t="shared" si="71"/>
        <v>2.9621674382903646E-5</v>
      </c>
      <c r="I809">
        <f t="shared" si="72"/>
        <v>0</v>
      </c>
      <c r="J809">
        <f t="shared" si="73"/>
        <v>0</v>
      </c>
      <c r="K809" t="str">
        <f t="shared" si="74"/>
        <v>Cd107</v>
      </c>
    </row>
    <row r="810" spans="2:11" hidden="1" x14ac:dyDescent="0.2">
      <c r="B810" s="4">
        <v>48108</v>
      </c>
      <c r="C810" s="4">
        <v>0</v>
      </c>
      <c r="D810">
        <v>0</v>
      </c>
      <c r="E810" t="str">
        <f>VLOOKUP(B810,[1]Nuclides!A:E,5,FALSE)</f>
        <v>Cd108</v>
      </c>
      <c r="F810">
        <f>VLOOKUP(B810,[1]Nuclides!A:E,4,FALSE)</f>
        <v>5.9959439999999997E+25</v>
      </c>
      <c r="G810" t="str">
        <f t="shared" si="70"/>
        <v>1901301369863010000y</v>
      </c>
      <c r="H810">
        <f t="shared" si="71"/>
        <v>1.1560267750331646E-26</v>
      </c>
      <c r="I810">
        <f t="shared" si="72"/>
        <v>0</v>
      </c>
      <c r="J810">
        <f t="shared" si="73"/>
        <v>0</v>
      </c>
      <c r="K810" t="str">
        <f t="shared" si="74"/>
        <v>Cd108</v>
      </c>
    </row>
    <row r="811" spans="2:11" hidden="1" x14ac:dyDescent="0.2">
      <c r="B811" s="4">
        <v>48109</v>
      </c>
      <c r="C811" s="4">
        <v>0</v>
      </c>
      <c r="D811">
        <v>0</v>
      </c>
      <c r="E811" t="str">
        <f>VLOOKUP(B811,[1]Nuclides!A:E,5,FALSE)</f>
        <v>Cd109</v>
      </c>
      <c r="F811">
        <f>VLOOKUP(B811,[1]Nuclides!A:E,4,FALSE)</f>
        <v>39864960</v>
      </c>
      <c r="G811" t="str">
        <f t="shared" si="70"/>
        <v>1.26y</v>
      </c>
      <c r="H811">
        <f t="shared" si="71"/>
        <v>1.7387379306537502E-8</v>
      </c>
      <c r="I811">
        <f t="shared" si="72"/>
        <v>0</v>
      </c>
      <c r="J811">
        <f t="shared" si="73"/>
        <v>0</v>
      </c>
      <c r="K811" t="str">
        <f t="shared" si="74"/>
        <v>Cd109</v>
      </c>
    </row>
    <row r="812" spans="2:11" hidden="1" x14ac:dyDescent="0.2">
      <c r="B812" s="4">
        <v>48110</v>
      </c>
      <c r="C812" s="4">
        <v>0</v>
      </c>
      <c r="D812">
        <v>0</v>
      </c>
      <c r="E812" t="str">
        <f>VLOOKUP(B812,[1]Nuclides!A:E,5,FALSE)</f>
        <v>Cd110</v>
      </c>
      <c r="F812" t="str">
        <f>VLOOKUP(B812,[1]Nuclides!A:E,4,FALSE)</f>
        <v>STABLE</v>
      </c>
      <c r="G812" t="str">
        <f t="shared" si="70"/>
        <v>STABLE</v>
      </c>
      <c r="H812" t="e">
        <f t="shared" si="71"/>
        <v>#VALUE!</v>
      </c>
      <c r="I812" t="e">
        <f t="shared" si="72"/>
        <v>#VALUE!</v>
      </c>
      <c r="J812" t="e">
        <f t="shared" si="73"/>
        <v>#VALUE!</v>
      </c>
      <c r="K812" t="str">
        <f t="shared" si="74"/>
        <v>Cd110</v>
      </c>
    </row>
    <row r="813" spans="2:11" hidden="1" x14ac:dyDescent="0.2">
      <c r="B813" s="4">
        <v>48111</v>
      </c>
      <c r="C813" s="4">
        <v>0</v>
      </c>
      <c r="D813">
        <v>0</v>
      </c>
      <c r="E813" t="str">
        <f>VLOOKUP(B813,[1]Nuclides!A:E,5,FALSE)</f>
        <v>Cd111</v>
      </c>
      <c r="F813" t="str">
        <f>VLOOKUP(B813,[1]Nuclides!A:E,4,FALSE)</f>
        <v>STABLE</v>
      </c>
      <c r="G813" t="str">
        <f t="shared" si="70"/>
        <v>STABLE</v>
      </c>
      <c r="H813" t="e">
        <f t="shared" si="71"/>
        <v>#VALUE!</v>
      </c>
      <c r="I813" t="e">
        <f t="shared" si="72"/>
        <v>#VALUE!</v>
      </c>
      <c r="J813" t="e">
        <f t="shared" si="73"/>
        <v>#VALUE!</v>
      </c>
      <c r="K813" t="str">
        <f t="shared" si="74"/>
        <v>Cd111</v>
      </c>
    </row>
    <row r="814" spans="2:11" hidden="1" x14ac:dyDescent="0.2">
      <c r="B814" s="4">
        <v>48112</v>
      </c>
      <c r="C814" s="4">
        <v>0</v>
      </c>
      <c r="D814">
        <v>0</v>
      </c>
      <c r="E814" t="str">
        <f>VLOOKUP(B814,[1]Nuclides!A:E,5,FALSE)</f>
        <v>Cd112</v>
      </c>
      <c r="F814" t="str">
        <f>VLOOKUP(B814,[1]Nuclides!A:E,4,FALSE)</f>
        <v>STABLE</v>
      </c>
      <c r="G814" t="str">
        <f t="shared" si="70"/>
        <v>STABLE</v>
      </c>
      <c r="H814" t="e">
        <f t="shared" si="71"/>
        <v>#VALUE!</v>
      </c>
      <c r="I814" t="e">
        <f t="shared" si="72"/>
        <v>#VALUE!</v>
      </c>
      <c r="J814" t="e">
        <f t="shared" si="73"/>
        <v>#VALUE!</v>
      </c>
      <c r="K814" t="str">
        <f t="shared" si="74"/>
        <v>Cd112</v>
      </c>
    </row>
    <row r="815" spans="2:11" hidden="1" x14ac:dyDescent="0.2">
      <c r="B815" s="4">
        <v>48113</v>
      </c>
      <c r="C815" s="4">
        <v>0</v>
      </c>
      <c r="D815">
        <v>0</v>
      </c>
      <c r="E815" t="str">
        <f>VLOOKUP(B815,[1]Nuclides!A:E,5,FALSE)</f>
        <v>Cd113</v>
      </c>
      <c r="F815">
        <f>VLOOKUP(B815,[1]Nuclides!A:E,4,FALSE)</f>
        <v>2.5246080000000001E+23</v>
      </c>
      <c r="G815" t="str">
        <f t="shared" si="70"/>
        <v>8005479452054790y</v>
      </c>
      <c r="H815">
        <f t="shared" si="71"/>
        <v>2.7455635907037657E-24</v>
      </c>
      <c r="I815">
        <f t="shared" si="72"/>
        <v>0</v>
      </c>
      <c r="J815">
        <f t="shared" si="73"/>
        <v>0</v>
      </c>
      <c r="K815" t="str">
        <f t="shared" si="74"/>
        <v>Cd113</v>
      </c>
    </row>
    <row r="816" spans="2:11" hidden="1" x14ac:dyDescent="0.2">
      <c r="B816" s="4">
        <v>48114</v>
      </c>
      <c r="C816" s="4">
        <v>0</v>
      </c>
      <c r="D816">
        <v>0</v>
      </c>
      <c r="E816" t="str">
        <f>VLOOKUP(B816,[1]Nuclides!A:E,5,FALSE)</f>
        <v>Cd114</v>
      </c>
      <c r="F816">
        <f>VLOOKUP(B816,[1]Nuclides!A:E,4,FALSE)</f>
        <v>6.627096E+25</v>
      </c>
      <c r="G816" t="str">
        <f t="shared" si="70"/>
        <v>2101438356164380000y</v>
      </c>
      <c r="H816">
        <f t="shared" si="71"/>
        <v>1.045928986934768E-26</v>
      </c>
      <c r="I816">
        <f t="shared" si="72"/>
        <v>0</v>
      </c>
      <c r="J816">
        <f t="shared" si="73"/>
        <v>0</v>
      </c>
      <c r="K816" t="str">
        <f t="shared" si="74"/>
        <v>Cd114</v>
      </c>
    </row>
    <row r="817" spans="2:11" hidden="1" x14ac:dyDescent="0.2">
      <c r="B817" s="4">
        <v>48115</v>
      </c>
      <c r="C817" s="4">
        <v>0</v>
      </c>
      <c r="D817">
        <v>0</v>
      </c>
      <c r="E817" t="str">
        <f>VLOOKUP(B817,[1]Nuclides!A:E,5,FALSE)</f>
        <v>Cd115</v>
      </c>
      <c r="F817">
        <f>VLOOKUP(B817,[1]Nuclides!A:E,4,FALSE)</f>
        <v>192456</v>
      </c>
      <c r="G817" t="str">
        <f t="shared" si="70"/>
        <v>2.23d</v>
      </c>
      <c r="H817">
        <f t="shared" si="71"/>
        <v>3.6015877944046708E-6</v>
      </c>
      <c r="I817">
        <f t="shared" si="72"/>
        <v>0</v>
      </c>
      <c r="J817">
        <f t="shared" si="73"/>
        <v>0</v>
      </c>
      <c r="K817" t="str">
        <f t="shared" si="74"/>
        <v>Cd115</v>
      </c>
    </row>
    <row r="818" spans="2:11" hidden="1" x14ac:dyDescent="0.2">
      <c r="B818" s="4">
        <v>48116</v>
      </c>
      <c r="C818" s="4">
        <v>0</v>
      </c>
      <c r="D818">
        <v>0</v>
      </c>
      <c r="E818" t="str">
        <f>VLOOKUP(B818,[1]Nuclides!A:E,5,FALSE)</f>
        <v>Cd116</v>
      </c>
      <c r="F818">
        <f>VLOOKUP(B818,[1]Nuclides!A:E,4,FALSE)</f>
        <v>1.0414008E+27</v>
      </c>
      <c r="G818" t="str">
        <f t="shared" si="70"/>
        <v>33022602739726000000y</v>
      </c>
      <c r="H818">
        <f t="shared" si="71"/>
        <v>6.6559117350394328E-28</v>
      </c>
      <c r="I818">
        <f t="shared" si="72"/>
        <v>0</v>
      </c>
      <c r="J818">
        <f t="shared" si="73"/>
        <v>0</v>
      </c>
      <c r="K818" t="str">
        <f t="shared" si="74"/>
        <v>Cd116</v>
      </c>
    </row>
    <row r="819" spans="2:11" hidden="1" x14ac:dyDescent="0.2">
      <c r="B819" s="4">
        <v>48117</v>
      </c>
      <c r="C819" s="4">
        <v>0</v>
      </c>
      <c r="D819">
        <v>0</v>
      </c>
      <c r="E819" t="str">
        <f>VLOOKUP(B819,[1]Nuclides!A:E,5,FALSE)</f>
        <v>Cd117</v>
      </c>
      <c r="F819">
        <f>VLOOKUP(B819,[1]Nuclides!A:E,4,FALSE)</f>
        <v>8964</v>
      </c>
      <c r="G819" t="str">
        <f t="shared" si="70"/>
        <v>2.49h</v>
      </c>
      <c r="H819">
        <f t="shared" si="71"/>
        <v>7.7325656019627993E-5</v>
      </c>
      <c r="I819">
        <f t="shared" si="72"/>
        <v>0</v>
      </c>
      <c r="J819">
        <f t="shared" si="73"/>
        <v>0</v>
      </c>
      <c r="K819" t="str">
        <f t="shared" si="74"/>
        <v>Cd117</v>
      </c>
    </row>
    <row r="820" spans="2:11" hidden="1" x14ac:dyDescent="0.2">
      <c r="B820" s="4">
        <v>48118</v>
      </c>
      <c r="C820" s="4">
        <v>0</v>
      </c>
      <c r="D820">
        <v>0</v>
      </c>
      <c r="E820" t="str">
        <f>VLOOKUP(B820,[1]Nuclides!A:E,5,FALSE)</f>
        <v>Cd118</v>
      </c>
      <c r="F820">
        <f>VLOOKUP(B820,[1]Nuclides!A:E,4,FALSE)</f>
        <v>3018</v>
      </c>
      <c r="G820" t="str">
        <f t="shared" si="70"/>
        <v>50.3min</v>
      </c>
      <c r="H820">
        <f t="shared" si="71"/>
        <v>2.2967103398275192E-4</v>
      </c>
      <c r="I820">
        <f t="shared" si="72"/>
        <v>0</v>
      </c>
      <c r="J820">
        <f t="shared" si="73"/>
        <v>0</v>
      </c>
      <c r="K820" t="str">
        <f t="shared" si="74"/>
        <v>Cd118</v>
      </c>
    </row>
    <row r="821" spans="2:11" hidden="1" x14ac:dyDescent="0.2">
      <c r="B821" s="4">
        <v>48119</v>
      </c>
      <c r="C821" s="4">
        <v>0</v>
      </c>
      <c r="D821">
        <v>0</v>
      </c>
      <c r="E821" t="str">
        <f>VLOOKUP(B821,[1]Nuclides!A:E,5,FALSE)</f>
        <v>Cd119</v>
      </c>
      <c r="F821">
        <f>VLOOKUP(B821,[1]Nuclides!A:E,4,FALSE)</f>
        <v>161.4</v>
      </c>
      <c r="G821" t="str">
        <f t="shared" si="70"/>
        <v>2.69min</v>
      </c>
      <c r="H821">
        <f t="shared" si="71"/>
        <v>4.2945921967778517E-3</v>
      </c>
      <c r="I821">
        <f t="shared" si="72"/>
        <v>0</v>
      </c>
      <c r="J821">
        <f t="shared" si="73"/>
        <v>0</v>
      </c>
      <c r="K821" t="str">
        <f t="shared" si="74"/>
        <v>Cd119</v>
      </c>
    </row>
    <row r="822" spans="2:11" hidden="1" x14ac:dyDescent="0.2">
      <c r="B822" s="4">
        <v>48120</v>
      </c>
      <c r="C822" s="4">
        <v>0</v>
      </c>
      <c r="D822">
        <v>0</v>
      </c>
      <c r="E822" t="str">
        <f>VLOOKUP(B822,[1]Nuclides!A:E,5,FALSE)</f>
        <v>Cd120</v>
      </c>
      <c r="F822">
        <f>VLOOKUP(B822,[1]Nuclides!A:E,4,FALSE)</f>
        <v>50.8</v>
      </c>
      <c r="G822" t="str">
        <f t="shared" si="70"/>
        <v>50.8s</v>
      </c>
      <c r="H822">
        <f t="shared" si="71"/>
        <v>1.3644629538581601E-2</v>
      </c>
      <c r="I822">
        <f t="shared" si="72"/>
        <v>0</v>
      </c>
      <c r="J822">
        <f t="shared" si="73"/>
        <v>0</v>
      </c>
      <c r="K822" t="str">
        <f t="shared" si="74"/>
        <v>Cd120</v>
      </c>
    </row>
    <row r="823" spans="2:11" hidden="1" x14ac:dyDescent="0.2">
      <c r="B823" s="4">
        <v>48121</v>
      </c>
      <c r="C823" s="4">
        <v>0</v>
      </c>
      <c r="D823">
        <v>0</v>
      </c>
      <c r="E823" t="str">
        <f>VLOOKUP(B823,[1]Nuclides!A:E,5,FALSE)</f>
        <v>Cd121</v>
      </c>
      <c r="F823">
        <f>VLOOKUP(B823,[1]Nuclides!A:E,4,FALSE)</f>
        <v>13.5</v>
      </c>
      <c r="G823" t="str">
        <f t="shared" si="70"/>
        <v>13.5s</v>
      </c>
      <c r="H823">
        <f t="shared" si="71"/>
        <v>5.1344235597032988E-2</v>
      </c>
      <c r="I823">
        <f t="shared" si="72"/>
        <v>0</v>
      </c>
      <c r="J823">
        <f t="shared" si="73"/>
        <v>0</v>
      </c>
      <c r="K823" t="str">
        <f t="shared" si="74"/>
        <v>Cd121</v>
      </c>
    </row>
    <row r="824" spans="2:11" hidden="1" x14ac:dyDescent="0.2">
      <c r="B824" s="4">
        <v>48122</v>
      </c>
      <c r="C824" s="4">
        <v>0</v>
      </c>
      <c r="D824">
        <v>0</v>
      </c>
      <c r="E824" t="str">
        <f>VLOOKUP(B824,[1]Nuclides!A:E,5,FALSE)</f>
        <v>Cd122</v>
      </c>
      <c r="F824">
        <f>VLOOKUP(B824,[1]Nuclides!A:E,4,FALSE)</f>
        <v>5.24</v>
      </c>
      <c r="G824" t="str">
        <f t="shared" si="70"/>
        <v>5.24s</v>
      </c>
      <c r="H824">
        <f t="shared" si="71"/>
        <v>0.1322799962900659</v>
      </c>
      <c r="I824">
        <f t="shared" si="72"/>
        <v>0</v>
      </c>
      <c r="J824">
        <f t="shared" si="73"/>
        <v>0</v>
      </c>
      <c r="K824" t="str">
        <f t="shared" si="74"/>
        <v>Cd122</v>
      </c>
    </row>
    <row r="825" spans="2:11" hidden="1" x14ac:dyDescent="0.2">
      <c r="B825" s="4">
        <v>48123</v>
      </c>
      <c r="C825" s="4">
        <v>0</v>
      </c>
      <c r="D825">
        <v>0</v>
      </c>
      <c r="E825" t="str">
        <f>VLOOKUP(B825,[1]Nuclides!A:E,5,FALSE)</f>
        <v>Cd123</v>
      </c>
      <c r="F825">
        <f>VLOOKUP(B825,[1]Nuclides!A:E,4,FALSE)</f>
        <v>2.1</v>
      </c>
      <c r="G825" t="str">
        <f t="shared" si="70"/>
        <v>2.1s</v>
      </c>
      <c r="H825">
        <f t="shared" si="71"/>
        <v>0.3300700859809263</v>
      </c>
      <c r="I825">
        <f t="shared" si="72"/>
        <v>0</v>
      </c>
      <c r="J825">
        <f t="shared" si="73"/>
        <v>0</v>
      </c>
      <c r="K825" t="str">
        <f t="shared" si="74"/>
        <v>Cd123</v>
      </c>
    </row>
    <row r="826" spans="2:11" hidden="1" x14ac:dyDescent="0.2">
      <c r="B826" s="4">
        <v>48124</v>
      </c>
      <c r="C826" s="4">
        <v>0</v>
      </c>
      <c r="D826">
        <v>0</v>
      </c>
      <c r="E826" t="str">
        <f>VLOOKUP(B826,[1]Nuclides!A:E,5,FALSE)</f>
        <v>Cd124</v>
      </c>
      <c r="F826">
        <f>VLOOKUP(B826,[1]Nuclides!A:E,4,FALSE)</f>
        <v>1.25</v>
      </c>
      <c r="G826" t="str">
        <f t="shared" si="70"/>
        <v>1.25s</v>
      </c>
      <c r="H826">
        <f t="shared" si="71"/>
        <v>0.55451774444795621</v>
      </c>
      <c r="I826">
        <f t="shared" si="72"/>
        <v>0</v>
      </c>
      <c r="J826">
        <f t="shared" si="73"/>
        <v>0</v>
      </c>
      <c r="K826" t="str">
        <f t="shared" si="74"/>
        <v>Cd124</v>
      </c>
    </row>
    <row r="827" spans="2:11" hidden="1" x14ac:dyDescent="0.2">
      <c r="B827" s="4">
        <v>48125</v>
      </c>
      <c r="C827" s="4">
        <v>0</v>
      </c>
      <c r="D827">
        <v>0</v>
      </c>
      <c r="E827" t="str">
        <f>VLOOKUP(B827,[1]Nuclides!A:E,5,FALSE)</f>
        <v>Cd125</v>
      </c>
      <c r="F827">
        <f>VLOOKUP(B827,[1]Nuclides!A:E,4,FALSE)</f>
        <v>0.68</v>
      </c>
      <c r="G827" t="str">
        <f t="shared" si="70"/>
        <v>0.68s</v>
      </c>
      <c r="H827">
        <f t="shared" si="71"/>
        <v>1.019334089058743</v>
      </c>
      <c r="I827">
        <f t="shared" si="72"/>
        <v>0</v>
      </c>
      <c r="J827">
        <f t="shared" si="73"/>
        <v>0</v>
      </c>
      <c r="K827" t="str">
        <f t="shared" si="74"/>
        <v>Cd125</v>
      </c>
    </row>
    <row r="828" spans="2:11" hidden="1" x14ac:dyDescent="0.2">
      <c r="B828" s="4">
        <v>48126</v>
      </c>
      <c r="C828" s="4">
        <v>0</v>
      </c>
      <c r="D828">
        <v>0</v>
      </c>
      <c r="E828" t="str">
        <f>VLOOKUP(B828,[1]Nuclides!A:E,5,FALSE)</f>
        <v>Cd126</v>
      </c>
      <c r="F828">
        <f>VLOOKUP(B828,[1]Nuclides!A:E,4,FALSE)</f>
        <v>0.51500000000000001</v>
      </c>
      <c r="G828" t="str">
        <f t="shared" si="70"/>
        <v>0.515s</v>
      </c>
      <c r="H828">
        <f t="shared" si="71"/>
        <v>1.3459168554562044</v>
      </c>
      <c r="I828">
        <f t="shared" si="72"/>
        <v>0</v>
      </c>
      <c r="J828">
        <f t="shared" si="73"/>
        <v>0</v>
      </c>
      <c r="K828" t="str">
        <f t="shared" si="74"/>
        <v>Cd126</v>
      </c>
    </row>
    <row r="829" spans="2:11" hidden="1" x14ac:dyDescent="0.2">
      <c r="B829" s="4">
        <v>49100</v>
      </c>
      <c r="C829" s="4">
        <v>0</v>
      </c>
      <c r="D829">
        <v>0</v>
      </c>
      <c r="E829" t="str">
        <f>VLOOKUP(B829,[1]Nuclides!A:E,5,FALSE)</f>
        <v>In100</v>
      </c>
      <c r="F829">
        <f>VLOOKUP(B829,[1]Nuclides!A:E,4,FALSE)</f>
        <v>5.8</v>
      </c>
      <c r="G829" t="str">
        <f t="shared" si="70"/>
        <v>5.8s</v>
      </c>
      <c r="H829">
        <f t="shared" si="71"/>
        <v>0.11950813457930091</v>
      </c>
      <c r="I829">
        <f t="shared" si="72"/>
        <v>0</v>
      </c>
      <c r="J829">
        <f t="shared" si="73"/>
        <v>0</v>
      </c>
      <c r="K829" t="str">
        <f t="shared" si="74"/>
        <v>In100</v>
      </c>
    </row>
    <row r="830" spans="2:11" hidden="1" x14ac:dyDescent="0.2">
      <c r="B830" s="4">
        <v>49101</v>
      </c>
      <c r="C830" s="4">
        <v>0</v>
      </c>
      <c r="D830">
        <v>0</v>
      </c>
      <c r="E830" t="str">
        <f>VLOOKUP(B830,[1]Nuclides!A:E,5,FALSE)</f>
        <v>In101</v>
      </c>
      <c r="F830">
        <f>VLOOKUP(B830,[1]Nuclides!A:E,4,FALSE)</f>
        <v>15.1</v>
      </c>
      <c r="G830" t="str">
        <f t="shared" si="70"/>
        <v>15.1s</v>
      </c>
      <c r="H830">
        <f t="shared" si="71"/>
        <v>4.5903786792049359E-2</v>
      </c>
      <c r="I830">
        <f t="shared" si="72"/>
        <v>0</v>
      </c>
      <c r="J830">
        <f t="shared" si="73"/>
        <v>0</v>
      </c>
      <c r="K830" t="str">
        <f t="shared" si="74"/>
        <v>In101</v>
      </c>
    </row>
    <row r="831" spans="2:11" hidden="1" x14ac:dyDescent="0.2">
      <c r="B831" s="4">
        <v>49102</v>
      </c>
      <c r="C831" s="4">
        <v>0</v>
      </c>
      <c r="D831">
        <v>0</v>
      </c>
      <c r="E831" t="str">
        <f>VLOOKUP(B831,[1]Nuclides!A:E,5,FALSE)</f>
        <v>In102</v>
      </c>
      <c r="F831">
        <f>VLOOKUP(B831,[1]Nuclides!A:E,4,FALSE)</f>
        <v>23.3</v>
      </c>
      <c r="G831" t="str">
        <f t="shared" si="70"/>
        <v>23.3s</v>
      </c>
      <c r="H831">
        <f t="shared" si="71"/>
        <v>2.9748806032615677E-2</v>
      </c>
      <c r="I831">
        <f t="shared" si="72"/>
        <v>0</v>
      </c>
      <c r="J831">
        <f t="shared" si="73"/>
        <v>0</v>
      </c>
      <c r="K831" t="str">
        <f t="shared" si="74"/>
        <v>In102</v>
      </c>
    </row>
    <row r="832" spans="2:11" hidden="1" x14ac:dyDescent="0.2">
      <c r="B832" s="4">
        <v>49103</v>
      </c>
      <c r="C832" s="4">
        <v>0</v>
      </c>
      <c r="D832">
        <v>0</v>
      </c>
      <c r="E832" t="str">
        <f>VLOOKUP(B832,[1]Nuclides!A:E,5,FALSE)</f>
        <v>In103</v>
      </c>
      <c r="F832">
        <f>VLOOKUP(B832,[1]Nuclides!A:E,4,FALSE)</f>
        <v>65</v>
      </c>
      <c r="G832" t="str">
        <f t="shared" si="70"/>
        <v>1.08min</v>
      </c>
      <c r="H832">
        <f t="shared" si="71"/>
        <v>1.0663802777845312E-2</v>
      </c>
      <c r="I832">
        <f t="shared" si="72"/>
        <v>0</v>
      </c>
      <c r="J832">
        <f t="shared" si="73"/>
        <v>0</v>
      </c>
      <c r="K832" t="str">
        <f t="shared" si="74"/>
        <v>In103</v>
      </c>
    </row>
    <row r="833" spans="2:11" hidden="1" x14ac:dyDescent="0.2">
      <c r="B833" s="4">
        <v>49104</v>
      </c>
      <c r="C833" s="4">
        <v>0</v>
      </c>
      <c r="D833">
        <v>0</v>
      </c>
      <c r="E833" t="str">
        <f>VLOOKUP(B833,[1]Nuclides!A:E,5,FALSE)</f>
        <v>In104</v>
      </c>
      <c r="F833">
        <f>VLOOKUP(B833,[1]Nuclides!A:E,4,FALSE)</f>
        <v>108</v>
      </c>
      <c r="G833" t="str">
        <f t="shared" si="70"/>
        <v>1.8min</v>
      </c>
      <c r="H833">
        <f t="shared" si="71"/>
        <v>6.4180294496291234E-3</v>
      </c>
      <c r="I833">
        <f t="shared" si="72"/>
        <v>0</v>
      </c>
      <c r="J833">
        <f t="shared" si="73"/>
        <v>0</v>
      </c>
      <c r="K833" t="str">
        <f t="shared" si="74"/>
        <v>In104</v>
      </c>
    </row>
    <row r="834" spans="2:11" hidden="1" x14ac:dyDescent="0.2">
      <c r="B834" s="4">
        <v>49105</v>
      </c>
      <c r="C834" s="4">
        <v>0</v>
      </c>
      <c r="D834">
        <v>0</v>
      </c>
      <c r="E834" t="str">
        <f>VLOOKUP(B834,[1]Nuclides!A:E,5,FALSE)</f>
        <v>In105</v>
      </c>
      <c r="F834">
        <f>VLOOKUP(B834,[1]Nuclides!A:E,4,FALSE)</f>
        <v>304.2</v>
      </c>
      <c r="G834" t="str">
        <f t="shared" si="70"/>
        <v>5.07min</v>
      </c>
      <c r="H834">
        <f t="shared" si="71"/>
        <v>2.2785903371464341E-3</v>
      </c>
      <c r="I834">
        <f t="shared" si="72"/>
        <v>0</v>
      </c>
      <c r="J834">
        <f t="shared" si="73"/>
        <v>0</v>
      </c>
      <c r="K834" t="str">
        <f t="shared" si="74"/>
        <v>In105</v>
      </c>
    </row>
    <row r="835" spans="2:11" hidden="1" x14ac:dyDescent="0.2">
      <c r="B835" s="4">
        <v>49106</v>
      </c>
      <c r="C835" s="4">
        <v>0</v>
      </c>
      <c r="D835">
        <v>0</v>
      </c>
      <c r="E835" t="str">
        <f>VLOOKUP(B835,[1]Nuclides!A:E,5,FALSE)</f>
        <v>In106</v>
      </c>
      <c r="F835">
        <f>VLOOKUP(B835,[1]Nuclides!A:E,4,FALSE)</f>
        <v>372</v>
      </c>
      <c r="G835" t="str">
        <f t="shared" si="70"/>
        <v>6.2min</v>
      </c>
      <c r="H835">
        <f t="shared" si="71"/>
        <v>1.8632988724729713E-3</v>
      </c>
      <c r="I835">
        <f t="shared" si="72"/>
        <v>0</v>
      </c>
      <c r="J835">
        <f t="shared" si="73"/>
        <v>0</v>
      </c>
      <c r="K835" t="str">
        <f t="shared" si="74"/>
        <v>In106</v>
      </c>
    </row>
    <row r="836" spans="2:11" hidden="1" x14ac:dyDescent="0.2">
      <c r="B836" s="4">
        <v>49107</v>
      </c>
      <c r="C836" s="4">
        <v>0</v>
      </c>
      <c r="D836">
        <v>0</v>
      </c>
      <c r="E836" t="str">
        <f>VLOOKUP(B836,[1]Nuclides!A:E,5,FALSE)</f>
        <v>In107</v>
      </c>
      <c r="F836">
        <f>VLOOKUP(B836,[1]Nuclides!A:E,4,FALSE)</f>
        <v>1944</v>
      </c>
      <c r="G836" t="str">
        <f t="shared" si="70"/>
        <v>32.4min</v>
      </c>
      <c r="H836">
        <f t="shared" si="71"/>
        <v>3.5655719164606238E-4</v>
      </c>
      <c r="I836">
        <f t="shared" si="72"/>
        <v>0</v>
      </c>
      <c r="J836">
        <f t="shared" si="73"/>
        <v>0</v>
      </c>
      <c r="K836" t="str">
        <f t="shared" si="74"/>
        <v>In107</v>
      </c>
    </row>
    <row r="837" spans="2:11" hidden="1" x14ac:dyDescent="0.2">
      <c r="B837" s="4">
        <v>49108</v>
      </c>
      <c r="C837" s="4">
        <v>0</v>
      </c>
      <c r="D837">
        <v>0</v>
      </c>
      <c r="E837" t="str">
        <f>VLOOKUP(B837,[1]Nuclides!A:E,5,FALSE)</f>
        <v>In108</v>
      </c>
      <c r="F837">
        <f>VLOOKUP(B837,[1]Nuclides!A:E,4,FALSE)</f>
        <v>3480</v>
      </c>
      <c r="G837" t="str">
        <f t="shared" ref="G837:G900" si="75">IF(F837="STABLE", "STABLE", IF(F837&lt;60, F837&amp;"s", IF(F837&lt;3600, ROUND(F837/60,2)&amp;"min", IF(F837&lt;86400, ROUND(F837/3600,2)&amp;"h", IF(F837&lt;31536000, ROUND(F837/86400,2)&amp;"d", ROUND(F837/31536000,2)&amp;"y")))))</f>
        <v>58min</v>
      </c>
      <c r="H837">
        <f t="shared" ref="H837:H900" si="76">LN(2)/F837</f>
        <v>1.9918022429883485E-4</v>
      </c>
      <c r="I837">
        <f t="shared" ref="I837:I900" si="77">60*6240000000000*C837*(1-EXP(-H837*2*3600))</f>
        <v>0</v>
      </c>
      <c r="J837">
        <f t="shared" ref="J837:J900" si="78">I837*EXP(-H837*96*3600)</f>
        <v>0</v>
      </c>
      <c r="K837" t="str">
        <f t="shared" ref="K837:K900" si="79">E837</f>
        <v>In108</v>
      </c>
    </row>
    <row r="838" spans="2:11" hidden="1" x14ac:dyDescent="0.2">
      <c r="B838" s="4">
        <v>49109</v>
      </c>
      <c r="C838" s="4">
        <v>0</v>
      </c>
      <c r="D838">
        <v>0</v>
      </c>
      <c r="E838" t="str">
        <f>VLOOKUP(B838,[1]Nuclides!A:E,5,FALSE)</f>
        <v>In109</v>
      </c>
      <c r="F838">
        <f>VLOOKUP(B838,[1]Nuclides!A:E,4,FALSE)</f>
        <v>15001.199999999901</v>
      </c>
      <c r="G838" t="str">
        <f t="shared" si="75"/>
        <v>4.17h</v>
      </c>
      <c r="H838">
        <f t="shared" si="76"/>
        <v>4.6206115548086146E-5</v>
      </c>
      <c r="I838">
        <f t="shared" si="77"/>
        <v>0</v>
      </c>
      <c r="J838">
        <f t="shared" si="78"/>
        <v>0</v>
      </c>
      <c r="K838" t="str">
        <f t="shared" si="79"/>
        <v>In109</v>
      </c>
    </row>
    <row r="839" spans="2:11" hidden="1" x14ac:dyDescent="0.2">
      <c r="B839" s="4">
        <v>49110</v>
      </c>
      <c r="C839" s="4">
        <v>0</v>
      </c>
      <c r="D839">
        <v>0</v>
      </c>
      <c r="E839" t="str">
        <f>VLOOKUP(B839,[1]Nuclides!A:E,5,FALSE)</f>
        <v>In110</v>
      </c>
      <c r="F839">
        <f>VLOOKUP(B839,[1]Nuclides!A:E,4,FALSE)</f>
        <v>17640</v>
      </c>
      <c r="G839" t="str">
        <f t="shared" si="75"/>
        <v>4.9h</v>
      </c>
      <c r="H839">
        <f t="shared" si="76"/>
        <v>3.9294057854872179E-5</v>
      </c>
      <c r="I839">
        <f t="shared" si="77"/>
        <v>0</v>
      </c>
      <c r="J839">
        <f t="shared" si="78"/>
        <v>0</v>
      </c>
      <c r="K839" t="str">
        <f t="shared" si="79"/>
        <v>In110</v>
      </c>
    </row>
    <row r="840" spans="2:11" hidden="1" x14ac:dyDescent="0.2">
      <c r="B840" s="4">
        <v>49111</v>
      </c>
      <c r="C840" s="4">
        <v>0</v>
      </c>
      <c r="D840">
        <v>0</v>
      </c>
      <c r="E840" t="str">
        <f>VLOOKUP(B840,[1]Nuclides!A:E,5,FALSE)</f>
        <v>In111</v>
      </c>
      <c r="F840">
        <f>VLOOKUP(B840,[1]Nuclides!A:E,4,FALSE)</f>
        <v>242326.08</v>
      </c>
      <c r="G840" t="str">
        <f t="shared" si="75"/>
        <v>2.8d</v>
      </c>
      <c r="H840">
        <f t="shared" si="76"/>
        <v>2.8603903490699198E-6</v>
      </c>
      <c r="I840">
        <f t="shared" si="77"/>
        <v>0</v>
      </c>
      <c r="J840">
        <f t="shared" si="78"/>
        <v>0</v>
      </c>
      <c r="K840" t="str">
        <f t="shared" si="79"/>
        <v>In111</v>
      </c>
    </row>
    <row r="841" spans="2:11" hidden="1" x14ac:dyDescent="0.2">
      <c r="B841" s="4">
        <v>49112</v>
      </c>
      <c r="C841" s="4">
        <v>0</v>
      </c>
      <c r="D841">
        <v>0</v>
      </c>
      <c r="E841" t="str">
        <f>VLOOKUP(B841,[1]Nuclides!A:E,5,FALSE)</f>
        <v>In112</v>
      </c>
      <c r="F841">
        <f>VLOOKUP(B841,[1]Nuclides!A:E,4,FALSE)</f>
        <v>892.8</v>
      </c>
      <c r="G841" t="str">
        <f t="shared" si="75"/>
        <v>14.88min</v>
      </c>
      <c r="H841">
        <f t="shared" si="76"/>
        <v>7.7637453019707139E-4</v>
      </c>
      <c r="I841">
        <f t="shared" si="77"/>
        <v>0</v>
      </c>
      <c r="J841">
        <f t="shared" si="78"/>
        <v>0</v>
      </c>
      <c r="K841" t="str">
        <f t="shared" si="79"/>
        <v>In112</v>
      </c>
    </row>
    <row r="842" spans="2:11" hidden="1" x14ac:dyDescent="0.2">
      <c r="B842" s="4">
        <v>49113</v>
      </c>
      <c r="C842" s="4">
        <v>0</v>
      </c>
      <c r="D842">
        <v>0</v>
      </c>
      <c r="E842" t="str">
        <f>VLOOKUP(B842,[1]Nuclides!A:E,5,FALSE)</f>
        <v>In113</v>
      </c>
      <c r="F842" t="str">
        <f>VLOOKUP(B842,[1]Nuclides!A:E,4,FALSE)</f>
        <v>STABLE</v>
      </c>
      <c r="G842" t="str">
        <f t="shared" si="75"/>
        <v>STABLE</v>
      </c>
      <c r="H842" t="e">
        <f t="shared" si="76"/>
        <v>#VALUE!</v>
      </c>
      <c r="I842" t="e">
        <f t="shared" si="77"/>
        <v>#VALUE!</v>
      </c>
      <c r="J842" t="e">
        <f t="shared" si="78"/>
        <v>#VALUE!</v>
      </c>
      <c r="K842" t="str">
        <f t="shared" si="79"/>
        <v>In113</v>
      </c>
    </row>
    <row r="843" spans="2:11" hidden="1" x14ac:dyDescent="0.2">
      <c r="B843" s="4">
        <v>49114</v>
      </c>
      <c r="C843" s="4">
        <v>0</v>
      </c>
      <c r="D843">
        <v>0</v>
      </c>
      <c r="E843" t="str">
        <f>VLOOKUP(B843,[1]Nuclides!A:E,5,FALSE)</f>
        <v>In114</v>
      </c>
      <c r="F843">
        <f>VLOOKUP(B843,[1]Nuclides!A:E,4,FALSE)</f>
        <v>71.900000000000006</v>
      </c>
      <c r="G843" t="str">
        <f t="shared" si="75"/>
        <v>1.2min</v>
      </c>
      <c r="H843">
        <f t="shared" si="76"/>
        <v>9.6404336656459692E-3</v>
      </c>
      <c r="I843">
        <f t="shared" si="77"/>
        <v>0</v>
      </c>
      <c r="J843">
        <f t="shared" si="78"/>
        <v>0</v>
      </c>
      <c r="K843" t="str">
        <f t="shared" si="79"/>
        <v>In114</v>
      </c>
    </row>
    <row r="844" spans="2:11" hidden="1" x14ac:dyDescent="0.2">
      <c r="B844" s="4">
        <v>49115</v>
      </c>
      <c r="C844" s="4">
        <v>0</v>
      </c>
      <c r="D844">
        <v>0</v>
      </c>
      <c r="E844" t="str">
        <f>VLOOKUP(B844,[1]Nuclides!A:E,5,FALSE)</f>
        <v>In115</v>
      </c>
      <c r="F844">
        <f>VLOOKUP(B844,[1]Nuclides!A:E,4,FALSE)</f>
        <v>1.3916901599999999E+22</v>
      </c>
      <c r="G844" t="str">
        <f t="shared" si="75"/>
        <v>441302054794520y</v>
      </c>
      <c r="H844">
        <f t="shared" si="76"/>
        <v>4.980614223498895E-23</v>
      </c>
      <c r="I844">
        <f t="shared" si="77"/>
        <v>0</v>
      </c>
      <c r="J844">
        <f t="shared" si="78"/>
        <v>0</v>
      </c>
      <c r="K844" t="str">
        <f t="shared" si="79"/>
        <v>In115</v>
      </c>
    </row>
    <row r="845" spans="2:11" hidden="1" x14ac:dyDescent="0.2">
      <c r="B845" s="4">
        <v>49116</v>
      </c>
      <c r="C845" s="4">
        <v>0</v>
      </c>
      <c r="D845">
        <v>0</v>
      </c>
      <c r="E845" t="str">
        <f>VLOOKUP(B845,[1]Nuclides!A:E,5,FALSE)</f>
        <v>In116</v>
      </c>
      <c r="F845">
        <f>VLOOKUP(B845,[1]Nuclides!A:E,4,FALSE)</f>
        <v>14.1</v>
      </c>
      <c r="G845" t="str">
        <f t="shared" si="75"/>
        <v>14.1s</v>
      </c>
      <c r="H845">
        <f t="shared" si="76"/>
        <v>4.9159374507797539E-2</v>
      </c>
      <c r="I845">
        <f t="shared" si="77"/>
        <v>0</v>
      </c>
      <c r="J845">
        <f t="shared" si="78"/>
        <v>0</v>
      </c>
      <c r="K845" t="str">
        <f t="shared" si="79"/>
        <v>In116</v>
      </c>
    </row>
    <row r="846" spans="2:11" hidden="1" x14ac:dyDescent="0.2">
      <c r="B846" s="4">
        <v>49117</v>
      </c>
      <c r="C846" s="4">
        <v>0</v>
      </c>
      <c r="D846">
        <v>0</v>
      </c>
      <c r="E846" t="str">
        <f>VLOOKUP(B846,[1]Nuclides!A:E,5,FALSE)</f>
        <v>In117</v>
      </c>
      <c r="F846">
        <f>VLOOKUP(B846,[1]Nuclides!A:E,4,FALSE)</f>
        <v>2592</v>
      </c>
      <c r="G846" t="str">
        <f t="shared" si="75"/>
        <v>43.2min</v>
      </c>
      <c r="H846">
        <f t="shared" si="76"/>
        <v>2.6741789373454681E-4</v>
      </c>
      <c r="I846">
        <f t="shared" si="77"/>
        <v>0</v>
      </c>
      <c r="J846">
        <f t="shared" si="78"/>
        <v>0</v>
      </c>
      <c r="K846" t="str">
        <f t="shared" si="79"/>
        <v>In117</v>
      </c>
    </row>
    <row r="847" spans="2:11" hidden="1" x14ac:dyDescent="0.2">
      <c r="B847" s="4">
        <v>49118</v>
      </c>
      <c r="C847" s="4">
        <v>0</v>
      </c>
      <c r="D847">
        <v>0</v>
      </c>
      <c r="E847" t="str">
        <f>VLOOKUP(B847,[1]Nuclides!A:E,5,FALSE)</f>
        <v>In118</v>
      </c>
      <c r="F847">
        <f>VLOOKUP(B847,[1]Nuclides!A:E,4,FALSE)</f>
        <v>5</v>
      </c>
      <c r="G847" t="str">
        <f t="shared" si="75"/>
        <v>5s</v>
      </c>
      <c r="H847">
        <f t="shared" si="76"/>
        <v>0.13862943611198905</v>
      </c>
      <c r="I847">
        <f t="shared" si="77"/>
        <v>0</v>
      </c>
      <c r="J847">
        <f t="shared" si="78"/>
        <v>0</v>
      </c>
      <c r="K847" t="str">
        <f t="shared" si="79"/>
        <v>In118</v>
      </c>
    </row>
    <row r="848" spans="2:11" hidden="1" x14ac:dyDescent="0.2">
      <c r="B848" s="4">
        <v>49119</v>
      </c>
      <c r="C848" s="4">
        <v>0</v>
      </c>
      <c r="D848">
        <v>0</v>
      </c>
      <c r="E848" t="str">
        <f>VLOOKUP(B848,[1]Nuclides!A:E,5,FALSE)</f>
        <v>In119</v>
      </c>
      <c r="F848">
        <f>VLOOKUP(B848,[1]Nuclides!A:E,4,FALSE)</f>
        <v>144</v>
      </c>
      <c r="G848" t="str">
        <f t="shared" si="75"/>
        <v>2.4min</v>
      </c>
      <c r="H848">
        <f t="shared" si="76"/>
        <v>4.8135220872218424E-3</v>
      </c>
      <c r="I848">
        <f t="shared" si="77"/>
        <v>0</v>
      </c>
      <c r="J848">
        <f t="shared" si="78"/>
        <v>0</v>
      </c>
      <c r="K848" t="str">
        <f t="shared" si="79"/>
        <v>In119</v>
      </c>
    </row>
    <row r="849" spans="2:11" hidden="1" x14ac:dyDescent="0.2">
      <c r="B849" s="4">
        <v>49120</v>
      </c>
      <c r="C849" s="4">
        <v>0</v>
      </c>
      <c r="D849">
        <v>0</v>
      </c>
      <c r="E849" t="str">
        <f>VLOOKUP(B849,[1]Nuclides!A:E,5,FALSE)</f>
        <v>In120</v>
      </c>
      <c r="F849">
        <f>VLOOKUP(B849,[1]Nuclides!A:E,4,FALSE)</f>
        <v>3.08</v>
      </c>
      <c r="G849" t="str">
        <f t="shared" si="75"/>
        <v>3.08s</v>
      </c>
      <c r="H849">
        <f t="shared" si="76"/>
        <v>0.22504778589608612</v>
      </c>
      <c r="I849">
        <f t="shared" si="77"/>
        <v>0</v>
      </c>
      <c r="J849">
        <f t="shared" si="78"/>
        <v>0</v>
      </c>
      <c r="K849" t="str">
        <f t="shared" si="79"/>
        <v>In120</v>
      </c>
    </row>
    <row r="850" spans="2:11" hidden="1" x14ac:dyDescent="0.2">
      <c r="B850" s="4">
        <v>49121</v>
      </c>
      <c r="C850" s="4">
        <v>0</v>
      </c>
      <c r="D850">
        <v>0</v>
      </c>
      <c r="E850" t="str">
        <f>VLOOKUP(B850,[1]Nuclides!A:E,5,FALSE)</f>
        <v>In121</v>
      </c>
      <c r="F850">
        <f>VLOOKUP(B850,[1]Nuclides!A:E,4,FALSE)</f>
        <v>23.1</v>
      </c>
      <c r="G850" t="str">
        <f t="shared" si="75"/>
        <v>23.1s</v>
      </c>
      <c r="H850">
        <f t="shared" si="76"/>
        <v>3.0006371452811483E-2</v>
      </c>
      <c r="I850">
        <f t="shared" si="77"/>
        <v>0</v>
      </c>
      <c r="J850">
        <f t="shared" si="78"/>
        <v>0</v>
      </c>
      <c r="K850" t="str">
        <f t="shared" si="79"/>
        <v>In121</v>
      </c>
    </row>
    <row r="851" spans="2:11" hidden="1" x14ac:dyDescent="0.2">
      <c r="B851" s="4">
        <v>49122</v>
      </c>
      <c r="C851" s="4">
        <v>0</v>
      </c>
      <c r="D851">
        <v>0</v>
      </c>
      <c r="E851" t="str">
        <f>VLOOKUP(B851,[1]Nuclides!A:E,5,FALSE)</f>
        <v>In122</v>
      </c>
      <c r="F851">
        <f>VLOOKUP(B851,[1]Nuclides!A:E,4,FALSE)</f>
        <v>1.5</v>
      </c>
      <c r="G851" t="str">
        <f t="shared" si="75"/>
        <v>1.5s</v>
      </c>
      <c r="H851">
        <f t="shared" si="76"/>
        <v>0.46209812037329684</v>
      </c>
      <c r="I851">
        <f t="shared" si="77"/>
        <v>0</v>
      </c>
      <c r="J851">
        <f t="shared" si="78"/>
        <v>0</v>
      </c>
      <c r="K851" t="str">
        <f t="shared" si="79"/>
        <v>In122</v>
      </c>
    </row>
    <row r="852" spans="2:11" hidden="1" x14ac:dyDescent="0.2">
      <c r="B852" s="4">
        <v>49123</v>
      </c>
      <c r="C852" s="4">
        <v>0</v>
      </c>
      <c r="D852">
        <v>0</v>
      </c>
      <c r="E852" t="str">
        <f>VLOOKUP(B852,[1]Nuclides!A:E,5,FALSE)</f>
        <v>In123</v>
      </c>
      <c r="F852">
        <f>VLOOKUP(B852,[1]Nuclides!A:E,4,FALSE)</f>
        <v>6.17</v>
      </c>
      <c r="G852" t="str">
        <f t="shared" si="75"/>
        <v>6.17s</v>
      </c>
      <c r="H852">
        <f t="shared" si="76"/>
        <v>0.11234152035007217</v>
      </c>
      <c r="I852">
        <f t="shared" si="77"/>
        <v>0</v>
      </c>
      <c r="J852">
        <f t="shared" si="78"/>
        <v>0</v>
      </c>
      <c r="K852" t="str">
        <f t="shared" si="79"/>
        <v>In123</v>
      </c>
    </row>
    <row r="853" spans="2:11" hidden="1" x14ac:dyDescent="0.2">
      <c r="B853" s="4">
        <v>49124</v>
      </c>
      <c r="C853" s="4">
        <v>0</v>
      </c>
      <c r="D853">
        <v>0</v>
      </c>
      <c r="E853" t="str">
        <f>VLOOKUP(B853,[1]Nuclides!A:E,5,FALSE)</f>
        <v>In124</v>
      </c>
      <c r="F853">
        <f>VLOOKUP(B853,[1]Nuclides!A:E,4,FALSE)</f>
        <v>3.12</v>
      </c>
      <c r="G853" t="str">
        <f t="shared" si="75"/>
        <v>3.12s</v>
      </c>
      <c r="H853">
        <f t="shared" si="76"/>
        <v>0.22216255787177733</v>
      </c>
      <c r="I853">
        <f t="shared" si="77"/>
        <v>0</v>
      </c>
      <c r="J853">
        <f t="shared" si="78"/>
        <v>0</v>
      </c>
      <c r="K853" t="str">
        <f t="shared" si="79"/>
        <v>In124</v>
      </c>
    </row>
    <row r="854" spans="2:11" hidden="1" x14ac:dyDescent="0.2">
      <c r="B854" s="4">
        <v>49125</v>
      </c>
      <c r="C854" s="4">
        <v>0</v>
      </c>
      <c r="D854">
        <v>0</v>
      </c>
      <c r="E854" t="str">
        <f>VLOOKUP(B854,[1]Nuclides!A:E,5,FALSE)</f>
        <v>In125</v>
      </c>
      <c r="F854">
        <f>VLOOKUP(B854,[1]Nuclides!A:E,4,FALSE)</f>
        <v>2.36</v>
      </c>
      <c r="G854" t="str">
        <f t="shared" si="75"/>
        <v>2.36s</v>
      </c>
      <c r="H854">
        <f t="shared" si="76"/>
        <v>0.29370643244065481</v>
      </c>
      <c r="I854">
        <f t="shared" si="77"/>
        <v>0</v>
      </c>
      <c r="J854">
        <f t="shared" si="78"/>
        <v>0</v>
      </c>
      <c r="K854" t="str">
        <f t="shared" si="79"/>
        <v>In125</v>
      </c>
    </row>
    <row r="855" spans="2:11" hidden="1" x14ac:dyDescent="0.2">
      <c r="B855" s="4">
        <v>49126</v>
      </c>
      <c r="C855" s="4">
        <v>0</v>
      </c>
      <c r="D855">
        <v>0</v>
      </c>
      <c r="E855" t="str">
        <f>VLOOKUP(B855,[1]Nuclides!A:E,5,FALSE)</f>
        <v>In126</v>
      </c>
      <c r="F855">
        <f>VLOOKUP(B855,[1]Nuclides!A:E,4,FALSE)</f>
        <v>1.53</v>
      </c>
      <c r="G855" t="str">
        <f t="shared" si="75"/>
        <v>1.53s</v>
      </c>
      <c r="H855">
        <f t="shared" si="76"/>
        <v>0.45303737291499691</v>
      </c>
      <c r="I855">
        <f t="shared" si="77"/>
        <v>0</v>
      </c>
      <c r="J855">
        <f t="shared" si="78"/>
        <v>0</v>
      </c>
      <c r="K855" t="str">
        <f t="shared" si="79"/>
        <v>In126</v>
      </c>
    </row>
    <row r="856" spans="2:11" hidden="1" x14ac:dyDescent="0.2">
      <c r="B856" s="4">
        <v>49127</v>
      </c>
      <c r="C856" s="4">
        <v>0</v>
      </c>
      <c r="D856">
        <v>0</v>
      </c>
      <c r="E856" t="str">
        <f>VLOOKUP(B856,[1]Nuclides!A:E,5,FALSE)</f>
        <v>In127</v>
      </c>
      <c r="F856">
        <f>VLOOKUP(B856,[1]Nuclides!A:E,4,FALSE)</f>
        <v>1.0900000000000001</v>
      </c>
      <c r="G856" t="str">
        <f t="shared" si="75"/>
        <v>1.09s</v>
      </c>
      <c r="H856">
        <f t="shared" si="76"/>
        <v>0.63591484455040848</v>
      </c>
      <c r="I856">
        <f t="shared" si="77"/>
        <v>0</v>
      </c>
      <c r="J856">
        <f t="shared" si="78"/>
        <v>0</v>
      </c>
      <c r="K856" t="str">
        <f t="shared" si="79"/>
        <v>In127</v>
      </c>
    </row>
    <row r="857" spans="2:11" hidden="1" x14ac:dyDescent="0.2">
      <c r="B857" s="4">
        <v>49128</v>
      </c>
      <c r="C857" s="4">
        <v>0</v>
      </c>
      <c r="D857">
        <v>0</v>
      </c>
      <c r="E857" t="str">
        <f>VLOOKUP(B857,[1]Nuclides!A:E,5,FALSE)</f>
        <v>In128</v>
      </c>
      <c r="F857">
        <f>VLOOKUP(B857,[1]Nuclides!A:E,4,FALSE)</f>
        <v>0.84</v>
      </c>
      <c r="G857" t="str">
        <f t="shared" si="75"/>
        <v>0.84s</v>
      </c>
      <c r="H857">
        <f t="shared" si="76"/>
        <v>0.82517521495231583</v>
      </c>
      <c r="I857">
        <f t="shared" si="77"/>
        <v>0</v>
      </c>
      <c r="J857">
        <f t="shared" si="78"/>
        <v>0</v>
      </c>
      <c r="K857" t="str">
        <f t="shared" si="79"/>
        <v>In128</v>
      </c>
    </row>
    <row r="858" spans="2:11" hidden="1" x14ac:dyDescent="0.2">
      <c r="B858" s="4">
        <v>49129</v>
      </c>
      <c r="C858" s="4">
        <v>0</v>
      </c>
      <c r="D858">
        <v>0</v>
      </c>
      <c r="E858" t="str">
        <f>VLOOKUP(B858,[1]Nuclides!A:E,5,FALSE)</f>
        <v>In129</v>
      </c>
      <c r="F858">
        <f>VLOOKUP(B858,[1]Nuclides!A:E,4,FALSE)</f>
        <v>0.61099999999999999</v>
      </c>
      <c r="G858" t="str">
        <f t="shared" si="75"/>
        <v>0.611s</v>
      </c>
      <c r="H858">
        <f t="shared" si="76"/>
        <v>1.1344471040260971</v>
      </c>
      <c r="I858">
        <f t="shared" si="77"/>
        <v>0</v>
      </c>
      <c r="J858">
        <f t="shared" si="78"/>
        <v>0</v>
      </c>
      <c r="K858" t="str">
        <f t="shared" si="79"/>
        <v>In129</v>
      </c>
    </row>
    <row r="859" spans="2:11" hidden="1" x14ac:dyDescent="0.2">
      <c r="B859" s="4">
        <v>49130</v>
      </c>
      <c r="C859" s="4">
        <v>0</v>
      </c>
      <c r="D859">
        <v>0</v>
      </c>
      <c r="E859" t="str">
        <f>VLOOKUP(B859,[1]Nuclides!A:E,5,FALSE)</f>
        <v>In130</v>
      </c>
      <c r="F859">
        <f>VLOOKUP(B859,[1]Nuclides!A:E,4,FALSE)</f>
        <v>0.28999999999999998</v>
      </c>
      <c r="G859" t="str">
        <f t="shared" si="75"/>
        <v>0.29s</v>
      </c>
      <c r="H859">
        <f t="shared" si="76"/>
        <v>2.3901626915860184</v>
      </c>
      <c r="I859">
        <f t="shared" si="77"/>
        <v>0</v>
      </c>
      <c r="J859">
        <f t="shared" si="78"/>
        <v>0</v>
      </c>
      <c r="K859" t="str">
        <f t="shared" si="79"/>
        <v>In130</v>
      </c>
    </row>
    <row r="860" spans="2:11" hidden="1" x14ac:dyDescent="0.2">
      <c r="B860" s="4">
        <v>49131</v>
      </c>
      <c r="C860" s="4">
        <v>0</v>
      </c>
      <c r="D860">
        <v>0</v>
      </c>
      <c r="E860" t="str">
        <f>VLOOKUP(B860,[1]Nuclides!A:E,5,FALSE)</f>
        <v>In131</v>
      </c>
      <c r="F860">
        <f>VLOOKUP(B860,[1]Nuclides!A:E,4,FALSE)</f>
        <v>0.28000000000000003</v>
      </c>
      <c r="G860" t="str">
        <f t="shared" si="75"/>
        <v>0.28s</v>
      </c>
      <c r="H860">
        <f t="shared" si="76"/>
        <v>2.4755256448569471</v>
      </c>
      <c r="I860">
        <f t="shared" si="77"/>
        <v>0</v>
      </c>
      <c r="J860">
        <f t="shared" si="78"/>
        <v>0</v>
      </c>
      <c r="K860" t="str">
        <f t="shared" si="79"/>
        <v>In131</v>
      </c>
    </row>
    <row r="861" spans="2:11" hidden="1" x14ac:dyDescent="0.2">
      <c r="B861" s="4">
        <v>49132</v>
      </c>
      <c r="C861" s="4">
        <v>0</v>
      </c>
      <c r="D861">
        <v>0</v>
      </c>
      <c r="E861" t="str">
        <f>VLOOKUP(B861,[1]Nuclides!A:E,5,FALSE)</f>
        <v>In132</v>
      </c>
      <c r="F861">
        <f>VLOOKUP(B861,[1]Nuclides!A:E,4,FALSE)</f>
        <v>0.20699999999999999</v>
      </c>
      <c r="G861" t="str">
        <f t="shared" si="75"/>
        <v>0.207s</v>
      </c>
      <c r="H861">
        <f t="shared" si="76"/>
        <v>3.348537104154325</v>
      </c>
      <c r="I861">
        <f t="shared" si="77"/>
        <v>0</v>
      </c>
      <c r="J861">
        <f t="shared" si="78"/>
        <v>0</v>
      </c>
      <c r="K861" t="str">
        <f t="shared" si="79"/>
        <v>In132</v>
      </c>
    </row>
    <row r="862" spans="2:11" hidden="1" x14ac:dyDescent="0.2">
      <c r="B862" s="4">
        <v>50103</v>
      </c>
      <c r="C862" s="4">
        <v>0</v>
      </c>
      <c r="D862">
        <v>0</v>
      </c>
      <c r="E862" t="str">
        <f>VLOOKUP(B862,[1]Nuclides!A:E,5,FALSE)</f>
        <v>Sn103</v>
      </c>
      <c r="F862">
        <f>VLOOKUP(B862,[1]Nuclides!A:E,4,FALSE)</f>
        <v>7</v>
      </c>
      <c r="G862" t="str">
        <f t="shared" si="75"/>
        <v>7s</v>
      </c>
      <c r="H862">
        <f t="shared" si="76"/>
        <v>9.9021025794277892E-2</v>
      </c>
      <c r="I862">
        <f t="shared" si="77"/>
        <v>0</v>
      </c>
      <c r="J862">
        <f t="shared" si="78"/>
        <v>0</v>
      </c>
      <c r="K862" t="str">
        <f t="shared" si="79"/>
        <v>Sn103</v>
      </c>
    </row>
    <row r="863" spans="2:11" hidden="1" x14ac:dyDescent="0.2">
      <c r="B863" s="4">
        <v>50104</v>
      </c>
      <c r="C863" s="4">
        <v>0</v>
      </c>
      <c r="D863">
        <v>0</v>
      </c>
      <c r="E863" t="str">
        <f>VLOOKUP(B863,[1]Nuclides!A:E,5,FALSE)</f>
        <v>Sn104</v>
      </c>
      <c r="F863">
        <f>VLOOKUP(B863,[1]Nuclides!A:E,4,FALSE)</f>
        <v>20.8</v>
      </c>
      <c r="G863" t="str">
        <f t="shared" si="75"/>
        <v>20.8s</v>
      </c>
      <c r="H863">
        <f t="shared" si="76"/>
        <v>3.3324383680766602E-2</v>
      </c>
      <c r="I863">
        <f t="shared" si="77"/>
        <v>0</v>
      </c>
      <c r="J863">
        <f t="shared" si="78"/>
        <v>0</v>
      </c>
      <c r="K863" t="str">
        <f t="shared" si="79"/>
        <v>Sn104</v>
      </c>
    </row>
    <row r="864" spans="2:11" hidden="1" x14ac:dyDescent="0.2">
      <c r="B864" s="4">
        <v>50105</v>
      </c>
      <c r="C864" s="4">
        <v>0</v>
      </c>
      <c r="D864">
        <v>0</v>
      </c>
      <c r="E864" t="str">
        <f>VLOOKUP(B864,[1]Nuclides!A:E,5,FALSE)</f>
        <v>Sn105</v>
      </c>
      <c r="F864">
        <f>VLOOKUP(B864,[1]Nuclides!A:E,4,FALSE)</f>
        <v>32.700000000000003</v>
      </c>
      <c r="G864" t="str">
        <f t="shared" si="75"/>
        <v>32.7s</v>
      </c>
      <c r="H864">
        <f t="shared" si="76"/>
        <v>2.1197161485013615E-2</v>
      </c>
      <c r="I864">
        <f t="shared" si="77"/>
        <v>0</v>
      </c>
      <c r="J864">
        <f t="shared" si="78"/>
        <v>0</v>
      </c>
      <c r="K864" t="str">
        <f t="shared" si="79"/>
        <v>Sn105</v>
      </c>
    </row>
    <row r="865" spans="2:11" hidden="1" x14ac:dyDescent="0.2">
      <c r="B865" s="4">
        <v>50106</v>
      </c>
      <c r="C865" s="4">
        <v>0</v>
      </c>
      <c r="D865">
        <v>0</v>
      </c>
      <c r="E865" t="str">
        <f>VLOOKUP(B865,[1]Nuclides!A:E,5,FALSE)</f>
        <v>Sn106</v>
      </c>
      <c r="F865">
        <f>VLOOKUP(B865,[1]Nuclides!A:E,4,FALSE)</f>
        <v>115</v>
      </c>
      <c r="G865" t="str">
        <f t="shared" si="75"/>
        <v>1.92min</v>
      </c>
      <c r="H865">
        <f t="shared" si="76"/>
        <v>6.0273667874777854E-3</v>
      </c>
      <c r="I865">
        <f t="shared" si="77"/>
        <v>0</v>
      </c>
      <c r="J865">
        <f t="shared" si="78"/>
        <v>0</v>
      </c>
      <c r="K865" t="str">
        <f t="shared" si="79"/>
        <v>Sn106</v>
      </c>
    </row>
    <row r="866" spans="2:11" hidden="1" x14ac:dyDescent="0.2">
      <c r="B866" s="4">
        <v>50107</v>
      </c>
      <c r="C866" s="4">
        <v>0</v>
      </c>
      <c r="D866">
        <v>0</v>
      </c>
      <c r="E866" t="str">
        <f>VLOOKUP(B866,[1]Nuclides!A:E,5,FALSE)</f>
        <v>Sn107</v>
      </c>
      <c r="F866">
        <f>VLOOKUP(B866,[1]Nuclides!A:E,4,FALSE)</f>
        <v>174</v>
      </c>
      <c r="G866" t="str">
        <f t="shared" si="75"/>
        <v>2.9min</v>
      </c>
      <c r="H866">
        <f t="shared" si="76"/>
        <v>3.9836044859766972E-3</v>
      </c>
      <c r="I866">
        <f t="shared" si="77"/>
        <v>0</v>
      </c>
      <c r="J866">
        <f t="shared" si="78"/>
        <v>0</v>
      </c>
      <c r="K866" t="str">
        <f t="shared" si="79"/>
        <v>Sn107</v>
      </c>
    </row>
    <row r="867" spans="2:11" hidden="1" x14ac:dyDescent="0.2">
      <c r="B867" s="4">
        <v>50108</v>
      </c>
      <c r="C867" s="4">
        <v>0</v>
      </c>
      <c r="D867">
        <v>0</v>
      </c>
      <c r="E867" t="str">
        <f>VLOOKUP(B867,[1]Nuclides!A:E,5,FALSE)</f>
        <v>Sn108</v>
      </c>
      <c r="F867">
        <f>VLOOKUP(B867,[1]Nuclides!A:E,4,FALSE)</f>
        <v>618</v>
      </c>
      <c r="G867" t="str">
        <f t="shared" si="75"/>
        <v>10.3min</v>
      </c>
      <c r="H867">
        <f t="shared" si="76"/>
        <v>1.1215973795468371E-3</v>
      </c>
      <c r="I867">
        <f t="shared" si="77"/>
        <v>0</v>
      </c>
      <c r="J867">
        <f t="shared" si="78"/>
        <v>0</v>
      </c>
      <c r="K867" t="str">
        <f t="shared" si="79"/>
        <v>Sn108</v>
      </c>
    </row>
    <row r="868" spans="2:11" hidden="1" x14ac:dyDescent="0.2">
      <c r="B868" s="4">
        <v>50109</v>
      </c>
      <c r="C868" s="4">
        <v>0</v>
      </c>
      <c r="D868">
        <v>0</v>
      </c>
      <c r="E868" t="str">
        <f>VLOOKUP(B868,[1]Nuclides!A:E,5,FALSE)</f>
        <v>Sn109</v>
      </c>
      <c r="F868">
        <f>VLOOKUP(B868,[1]Nuclides!A:E,4,FALSE)</f>
        <v>1080</v>
      </c>
      <c r="G868" t="str">
        <f t="shared" si="75"/>
        <v>18min</v>
      </c>
      <c r="H868">
        <f t="shared" si="76"/>
        <v>6.418029449629123E-4</v>
      </c>
      <c r="I868">
        <f t="shared" si="77"/>
        <v>0</v>
      </c>
      <c r="J868">
        <f t="shared" si="78"/>
        <v>0</v>
      </c>
      <c r="K868" t="str">
        <f t="shared" si="79"/>
        <v>Sn109</v>
      </c>
    </row>
    <row r="869" spans="2:11" hidden="1" x14ac:dyDescent="0.2">
      <c r="B869" s="4">
        <v>50110</v>
      </c>
      <c r="C869" s="4">
        <v>0</v>
      </c>
      <c r="D869">
        <v>0</v>
      </c>
      <c r="E869" t="str">
        <f>VLOOKUP(B869,[1]Nuclides!A:E,5,FALSE)</f>
        <v>Sn110</v>
      </c>
      <c r="F869">
        <f>VLOOKUP(B869,[1]Nuclides!A:E,4,FALSE)</f>
        <v>14796</v>
      </c>
      <c r="G869" t="str">
        <f t="shared" si="75"/>
        <v>4.11h</v>
      </c>
      <c r="H869">
        <f t="shared" si="76"/>
        <v>4.6846930289263672E-5</v>
      </c>
      <c r="I869">
        <f t="shared" si="77"/>
        <v>0</v>
      </c>
      <c r="J869">
        <f t="shared" si="78"/>
        <v>0</v>
      </c>
      <c r="K869" t="str">
        <f t="shared" si="79"/>
        <v>Sn110</v>
      </c>
    </row>
    <row r="870" spans="2:11" hidden="1" x14ac:dyDescent="0.2">
      <c r="B870" s="4">
        <v>50111</v>
      </c>
      <c r="C870" s="4">
        <v>0</v>
      </c>
      <c r="D870">
        <v>0</v>
      </c>
      <c r="E870" t="str">
        <f>VLOOKUP(B870,[1]Nuclides!A:E,5,FALSE)</f>
        <v>Sn111</v>
      </c>
      <c r="F870">
        <f>VLOOKUP(B870,[1]Nuclides!A:E,4,FALSE)</f>
        <v>2118</v>
      </c>
      <c r="G870" t="str">
        <f t="shared" si="75"/>
        <v>35.3min</v>
      </c>
      <c r="H870">
        <f t="shared" si="76"/>
        <v>3.2726495777145672E-4</v>
      </c>
      <c r="I870">
        <f t="shared" si="77"/>
        <v>0</v>
      </c>
      <c r="J870">
        <f t="shared" si="78"/>
        <v>0</v>
      </c>
      <c r="K870" t="str">
        <f t="shared" si="79"/>
        <v>Sn111</v>
      </c>
    </row>
    <row r="871" spans="2:11" hidden="1" x14ac:dyDescent="0.2">
      <c r="B871" s="4">
        <v>50112</v>
      </c>
      <c r="C871" s="4">
        <v>0</v>
      </c>
      <c r="D871">
        <v>0</v>
      </c>
      <c r="E871" t="e">
        <f>VLOOKUP(B871,[1]Nuclides!A:E,5,FALSE)</f>
        <v>#N/A</v>
      </c>
      <c r="F871" t="e">
        <f>VLOOKUP(B871,[1]Nuclides!A:E,4,FALSE)</f>
        <v>#N/A</v>
      </c>
      <c r="G871" t="e">
        <f t="shared" si="75"/>
        <v>#N/A</v>
      </c>
      <c r="H871" t="e">
        <f t="shared" si="76"/>
        <v>#N/A</v>
      </c>
      <c r="I871" t="e">
        <f t="shared" si="77"/>
        <v>#N/A</v>
      </c>
      <c r="J871" t="e">
        <f t="shared" si="78"/>
        <v>#N/A</v>
      </c>
      <c r="K871" t="e">
        <f t="shared" si="79"/>
        <v>#N/A</v>
      </c>
    </row>
    <row r="872" spans="2:11" hidden="1" x14ac:dyDescent="0.2">
      <c r="B872" s="4">
        <v>50113</v>
      </c>
      <c r="C872" s="4">
        <v>0</v>
      </c>
      <c r="D872">
        <v>0</v>
      </c>
      <c r="E872" t="str">
        <f>VLOOKUP(B872,[1]Nuclides!A:E,5,FALSE)</f>
        <v>Sn113</v>
      </c>
      <c r="F872">
        <f>VLOOKUP(B872,[1]Nuclides!A:E,4,FALSE)</f>
        <v>9943776</v>
      </c>
      <c r="G872" t="str">
        <f t="shared" si="75"/>
        <v>115.09d</v>
      </c>
      <c r="H872">
        <f t="shared" si="76"/>
        <v>6.9706636649894903E-8</v>
      </c>
      <c r="I872">
        <f t="shared" si="77"/>
        <v>0</v>
      </c>
      <c r="J872">
        <f t="shared" si="78"/>
        <v>0</v>
      </c>
      <c r="K872" t="str">
        <f t="shared" si="79"/>
        <v>Sn113</v>
      </c>
    </row>
    <row r="873" spans="2:11" hidden="1" x14ac:dyDescent="0.2">
      <c r="B873" s="4">
        <v>50114</v>
      </c>
      <c r="C873" s="4">
        <v>0</v>
      </c>
      <c r="D873">
        <v>0</v>
      </c>
      <c r="E873" t="str">
        <f>VLOOKUP(B873,[1]Nuclides!A:E,5,FALSE)</f>
        <v>Sn114</v>
      </c>
      <c r="F873" t="str">
        <f>VLOOKUP(B873,[1]Nuclides!A:E,4,FALSE)</f>
        <v>STABLE</v>
      </c>
      <c r="G873" t="str">
        <f t="shared" si="75"/>
        <v>STABLE</v>
      </c>
      <c r="H873" t="e">
        <f t="shared" si="76"/>
        <v>#VALUE!</v>
      </c>
      <c r="I873" t="e">
        <f t="shared" si="77"/>
        <v>#VALUE!</v>
      </c>
      <c r="J873" t="e">
        <f t="shared" si="78"/>
        <v>#VALUE!</v>
      </c>
      <c r="K873" t="str">
        <f t="shared" si="79"/>
        <v>Sn114</v>
      </c>
    </row>
    <row r="874" spans="2:11" hidden="1" x14ac:dyDescent="0.2">
      <c r="B874" s="4">
        <v>50115</v>
      </c>
      <c r="C874" s="4">
        <v>0</v>
      </c>
      <c r="D874">
        <v>0</v>
      </c>
      <c r="E874" t="str">
        <f>VLOOKUP(B874,[1]Nuclides!A:E,5,FALSE)</f>
        <v>Sn115</v>
      </c>
      <c r="F874" t="str">
        <f>VLOOKUP(B874,[1]Nuclides!A:E,4,FALSE)</f>
        <v>STABLE</v>
      </c>
      <c r="G874" t="str">
        <f t="shared" si="75"/>
        <v>STABLE</v>
      </c>
      <c r="H874" t="e">
        <f t="shared" si="76"/>
        <v>#VALUE!</v>
      </c>
      <c r="I874" t="e">
        <f t="shared" si="77"/>
        <v>#VALUE!</v>
      </c>
      <c r="J874" t="e">
        <f t="shared" si="78"/>
        <v>#VALUE!</v>
      </c>
      <c r="K874" t="str">
        <f t="shared" si="79"/>
        <v>Sn115</v>
      </c>
    </row>
    <row r="875" spans="2:11" hidden="1" x14ac:dyDescent="0.2">
      <c r="B875" s="4">
        <v>50116</v>
      </c>
      <c r="C875" s="4">
        <v>0</v>
      </c>
      <c r="D875">
        <v>0</v>
      </c>
      <c r="E875" t="str">
        <f>VLOOKUP(B875,[1]Nuclides!A:E,5,FALSE)</f>
        <v>Sn116</v>
      </c>
      <c r="F875" t="str">
        <f>VLOOKUP(B875,[1]Nuclides!A:E,4,FALSE)</f>
        <v>STABLE</v>
      </c>
      <c r="G875" t="str">
        <f t="shared" si="75"/>
        <v>STABLE</v>
      </c>
      <c r="H875" t="e">
        <f t="shared" si="76"/>
        <v>#VALUE!</v>
      </c>
      <c r="I875" t="e">
        <f t="shared" si="77"/>
        <v>#VALUE!</v>
      </c>
      <c r="J875" t="e">
        <f t="shared" si="78"/>
        <v>#VALUE!</v>
      </c>
      <c r="K875" t="str">
        <f t="shared" si="79"/>
        <v>Sn116</v>
      </c>
    </row>
    <row r="876" spans="2:11" hidden="1" x14ac:dyDescent="0.2">
      <c r="B876" s="4">
        <v>50117</v>
      </c>
      <c r="C876" s="4">
        <v>0</v>
      </c>
      <c r="D876">
        <v>0</v>
      </c>
      <c r="E876" t="str">
        <f>VLOOKUP(B876,[1]Nuclides!A:E,5,FALSE)</f>
        <v>Sn117</v>
      </c>
      <c r="F876" t="str">
        <f>VLOOKUP(B876,[1]Nuclides!A:E,4,FALSE)</f>
        <v>STABLE</v>
      </c>
      <c r="G876" t="str">
        <f t="shared" si="75"/>
        <v>STABLE</v>
      </c>
      <c r="H876" t="e">
        <f t="shared" si="76"/>
        <v>#VALUE!</v>
      </c>
      <c r="I876" t="e">
        <f t="shared" si="77"/>
        <v>#VALUE!</v>
      </c>
      <c r="J876" t="e">
        <f t="shared" si="78"/>
        <v>#VALUE!</v>
      </c>
      <c r="K876" t="str">
        <f t="shared" si="79"/>
        <v>Sn117</v>
      </c>
    </row>
    <row r="877" spans="2:11" hidden="1" x14ac:dyDescent="0.2">
      <c r="B877" s="4">
        <v>50118</v>
      </c>
      <c r="C877" s="4">
        <v>0</v>
      </c>
      <c r="D877">
        <v>0</v>
      </c>
      <c r="E877" t="str">
        <f>VLOOKUP(B877,[1]Nuclides!A:E,5,FALSE)</f>
        <v>Sn118</v>
      </c>
      <c r="F877" t="str">
        <f>VLOOKUP(B877,[1]Nuclides!A:E,4,FALSE)</f>
        <v>STABLE</v>
      </c>
      <c r="G877" t="str">
        <f t="shared" si="75"/>
        <v>STABLE</v>
      </c>
      <c r="H877" t="e">
        <f t="shared" si="76"/>
        <v>#VALUE!</v>
      </c>
      <c r="I877" t="e">
        <f t="shared" si="77"/>
        <v>#VALUE!</v>
      </c>
      <c r="J877" t="e">
        <f t="shared" si="78"/>
        <v>#VALUE!</v>
      </c>
      <c r="K877" t="str">
        <f t="shared" si="79"/>
        <v>Sn118</v>
      </c>
    </row>
    <row r="878" spans="2:11" hidden="1" x14ac:dyDescent="0.2">
      <c r="B878" s="4">
        <v>50119</v>
      </c>
      <c r="C878" s="4">
        <v>0</v>
      </c>
      <c r="D878">
        <v>0</v>
      </c>
      <c r="E878" t="str">
        <f>VLOOKUP(B878,[1]Nuclides!A:E,5,FALSE)</f>
        <v>Sn119</v>
      </c>
      <c r="F878" t="str">
        <f>VLOOKUP(B878,[1]Nuclides!A:E,4,FALSE)</f>
        <v>STABLE</v>
      </c>
      <c r="G878" t="str">
        <f t="shared" si="75"/>
        <v>STABLE</v>
      </c>
      <c r="H878" t="e">
        <f t="shared" si="76"/>
        <v>#VALUE!</v>
      </c>
      <c r="I878" t="e">
        <f t="shared" si="77"/>
        <v>#VALUE!</v>
      </c>
      <c r="J878" t="e">
        <f t="shared" si="78"/>
        <v>#VALUE!</v>
      </c>
      <c r="K878" t="str">
        <f t="shared" si="79"/>
        <v>Sn119</v>
      </c>
    </row>
    <row r="879" spans="2:11" hidden="1" x14ac:dyDescent="0.2">
      <c r="B879" s="4">
        <v>50120</v>
      </c>
      <c r="C879" s="4">
        <v>0</v>
      </c>
      <c r="D879">
        <v>0</v>
      </c>
      <c r="E879" t="str">
        <f>VLOOKUP(B879,[1]Nuclides!A:E,5,FALSE)</f>
        <v>Sn120</v>
      </c>
      <c r="F879" t="str">
        <f>VLOOKUP(B879,[1]Nuclides!A:E,4,FALSE)</f>
        <v>STABLE</v>
      </c>
      <c r="G879" t="str">
        <f t="shared" si="75"/>
        <v>STABLE</v>
      </c>
      <c r="H879" t="e">
        <f t="shared" si="76"/>
        <v>#VALUE!</v>
      </c>
      <c r="I879" t="e">
        <f t="shared" si="77"/>
        <v>#VALUE!</v>
      </c>
      <c r="J879" t="e">
        <f t="shared" si="78"/>
        <v>#VALUE!</v>
      </c>
      <c r="K879" t="str">
        <f t="shared" si="79"/>
        <v>Sn120</v>
      </c>
    </row>
    <row r="880" spans="2:11" hidden="1" x14ac:dyDescent="0.2">
      <c r="B880" s="4">
        <v>50121</v>
      </c>
      <c r="C880" s="4">
        <v>0</v>
      </c>
      <c r="D880">
        <v>0</v>
      </c>
      <c r="E880" t="str">
        <f>VLOOKUP(B880,[1]Nuclides!A:E,5,FALSE)</f>
        <v>Sn121</v>
      </c>
      <c r="F880">
        <f>VLOOKUP(B880,[1]Nuclides!A:E,4,FALSE)</f>
        <v>97308</v>
      </c>
      <c r="G880" t="str">
        <f t="shared" si="75"/>
        <v>1.13d</v>
      </c>
      <c r="H880">
        <f t="shared" si="76"/>
        <v>7.1232291338835997E-6</v>
      </c>
      <c r="I880">
        <f t="shared" si="77"/>
        <v>0</v>
      </c>
      <c r="J880">
        <f t="shared" si="78"/>
        <v>0</v>
      </c>
      <c r="K880" t="str">
        <f t="shared" si="79"/>
        <v>Sn121</v>
      </c>
    </row>
    <row r="881" spans="2:11" hidden="1" x14ac:dyDescent="0.2">
      <c r="B881" s="4">
        <v>50122</v>
      </c>
      <c r="C881" s="4">
        <v>0</v>
      </c>
      <c r="D881">
        <v>0</v>
      </c>
      <c r="E881" t="str">
        <f>VLOOKUP(B881,[1]Nuclides!A:E,5,FALSE)</f>
        <v>Sn122</v>
      </c>
      <c r="F881" t="str">
        <f>VLOOKUP(B881,[1]Nuclides!A:E,4,FALSE)</f>
        <v>STABLE</v>
      </c>
      <c r="G881" t="str">
        <f t="shared" si="75"/>
        <v>STABLE</v>
      </c>
      <c r="H881" t="e">
        <f t="shared" si="76"/>
        <v>#VALUE!</v>
      </c>
      <c r="I881" t="e">
        <f t="shared" si="77"/>
        <v>#VALUE!</v>
      </c>
      <c r="J881" t="e">
        <f t="shared" si="78"/>
        <v>#VALUE!</v>
      </c>
      <c r="K881" t="str">
        <f t="shared" si="79"/>
        <v>Sn122</v>
      </c>
    </row>
    <row r="882" spans="2:11" hidden="1" x14ac:dyDescent="0.2">
      <c r="B882" s="4">
        <v>50123</v>
      </c>
      <c r="C882" s="4">
        <v>0</v>
      </c>
      <c r="D882">
        <v>0</v>
      </c>
      <c r="E882" t="str">
        <f>VLOOKUP(B882,[1]Nuclides!A:E,5,FALSE)</f>
        <v>Sn123</v>
      </c>
      <c r="F882">
        <f>VLOOKUP(B882,[1]Nuclides!A:E,4,FALSE)</f>
        <v>11162879.999999899</v>
      </c>
      <c r="G882" t="str">
        <f t="shared" si="75"/>
        <v>129.2d</v>
      </c>
      <c r="H882">
        <f t="shared" si="76"/>
        <v>6.2093938173656935E-8</v>
      </c>
      <c r="I882">
        <f t="shared" si="77"/>
        <v>0</v>
      </c>
      <c r="J882">
        <f t="shared" si="78"/>
        <v>0</v>
      </c>
      <c r="K882" t="str">
        <f t="shared" si="79"/>
        <v>Sn123</v>
      </c>
    </row>
    <row r="883" spans="2:11" hidden="1" x14ac:dyDescent="0.2">
      <c r="B883" s="4">
        <v>50124</v>
      </c>
      <c r="C883" s="4">
        <v>0</v>
      </c>
      <c r="D883">
        <v>0</v>
      </c>
      <c r="E883" t="str">
        <f>VLOOKUP(B883,[1]Nuclides!A:E,5,FALSE)</f>
        <v>Sn124</v>
      </c>
      <c r="F883">
        <f>VLOOKUP(B883,[1]Nuclides!A:E,4,FALSE)</f>
        <v>3.786912E+28</v>
      </c>
      <c r="G883" t="str">
        <f t="shared" si="75"/>
        <v>1.20082191780822E+21y</v>
      </c>
      <c r="H883">
        <f t="shared" si="76"/>
        <v>1.8303757271358439E-29</v>
      </c>
      <c r="I883">
        <f t="shared" si="77"/>
        <v>0</v>
      </c>
      <c r="J883">
        <f t="shared" si="78"/>
        <v>0</v>
      </c>
      <c r="K883" t="str">
        <f t="shared" si="79"/>
        <v>Sn124</v>
      </c>
    </row>
    <row r="884" spans="2:11" hidden="1" x14ac:dyDescent="0.2">
      <c r="B884" s="4">
        <v>50125</v>
      </c>
      <c r="C884" s="4">
        <v>0</v>
      </c>
      <c r="D884">
        <v>0</v>
      </c>
      <c r="E884" t="str">
        <f>VLOOKUP(B884,[1]Nuclides!A:E,5,FALSE)</f>
        <v>Sn125</v>
      </c>
      <c r="F884">
        <f>VLOOKUP(B884,[1]Nuclides!A:E,4,FALSE)</f>
        <v>832896</v>
      </c>
      <c r="G884" t="str">
        <f t="shared" si="75"/>
        <v>9.64d</v>
      </c>
      <c r="H884">
        <f t="shared" si="76"/>
        <v>8.3221336224444019E-7</v>
      </c>
      <c r="I884">
        <f t="shared" si="77"/>
        <v>0</v>
      </c>
      <c r="J884">
        <f t="shared" si="78"/>
        <v>0</v>
      </c>
      <c r="K884" t="str">
        <f t="shared" si="79"/>
        <v>Sn125</v>
      </c>
    </row>
    <row r="885" spans="2:11" hidden="1" x14ac:dyDescent="0.2">
      <c r="B885" s="4">
        <v>50126</v>
      </c>
      <c r="C885" s="4">
        <v>0</v>
      </c>
      <c r="D885">
        <v>0</v>
      </c>
      <c r="E885" t="str">
        <f>VLOOKUP(B885,[1]Nuclides!A:E,5,FALSE)</f>
        <v>Sn126</v>
      </c>
      <c r="F885">
        <f>VLOOKUP(B885,[1]Nuclides!A:E,4,FALSE)</f>
        <v>7258248000000</v>
      </c>
      <c r="G885" t="str">
        <f t="shared" si="75"/>
        <v>230157.53y</v>
      </c>
      <c r="H885">
        <f t="shared" si="76"/>
        <v>9.5497864024478811E-14</v>
      </c>
      <c r="I885">
        <f t="shared" si="77"/>
        <v>0</v>
      </c>
      <c r="J885">
        <f t="shared" si="78"/>
        <v>0</v>
      </c>
      <c r="K885" t="str">
        <f t="shared" si="79"/>
        <v>Sn126</v>
      </c>
    </row>
    <row r="886" spans="2:11" hidden="1" x14ac:dyDescent="0.2">
      <c r="B886" s="4">
        <v>50127</v>
      </c>
      <c r="C886" s="4">
        <v>0</v>
      </c>
      <c r="D886">
        <v>0</v>
      </c>
      <c r="E886" t="str">
        <f>VLOOKUP(B886,[1]Nuclides!A:E,5,FALSE)</f>
        <v>Sn127</v>
      </c>
      <c r="F886">
        <f>VLOOKUP(B886,[1]Nuclides!A:E,4,FALSE)</f>
        <v>7560</v>
      </c>
      <c r="G886" t="str">
        <f t="shared" si="75"/>
        <v>2.1h</v>
      </c>
      <c r="H886">
        <f t="shared" si="76"/>
        <v>9.1686134994701753E-5</v>
      </c>
      <c r="I886">
        <f t="shared" si="77"/>
        <v>0</v>
      </c>
      <c r="J886">
        <f t="shared" si="78"/>
        <v>0</v>
      </c>
      <c r="K886" t="str">
        <f t="shared" si="79"/>
        <v>Sn127</v>
      </c>
    </row>
    <row r="887" spans="2:11" hidden="1" x14ac:dyDescent="0.2">
      <c r="B887" s="4">
        <v>50128</v>
      </c>
      <c r="C887" s="4">
        <v>0</v>
      </c>
      <c r="D887">
        <v>0</v>
      </c>
      <c r="E887" t="str">
        <f>VLOOKUP(B887,[1]Nuclides!A:E,5,FALSE)</f>
        <v>Sn128</v>
      </c>
      <c r="F887">
        <f>VLOOKUP(B887,[1]Nuclides!A:E,4,FALSE)</f>
        <v>3544.2</v>
      </c>
      <c r="G887" t="str">
        <f t="shared" si="75"/>
        <v>59.07min</v>
      </c>
      <c r="H887">
        <f t="shared" si="76"/>
        <v>1.9557225341683464E-4</v>
      </c>
      <c r="I887">
        <f t="shared" si="77"/>
        <v>0</v>
      </c>
      <c r="J887">
        <f t="shared" si="78"/>
        <v>0</v>
      </c>
      <c r="K887" t="str">
        <f t="shared" si="79"/>
        <v>Sn128</v>
      </c>
    </row>
    <row r="888" spans="2:11" hidden="1" x14ac:dyDescent="0.2">
      <c r="B888" s="4">
        <v>50129</v>
      </c>
      <c r="C888" s="4">
        <v>0</v>
      </c>
      <c r="D888">
        <v>0</v>
      </c>
      <c r="E888" t="str">
        <f>VLOOKUP(B888,[1]Nuclides!A:E,5,FALSE)</f>
        <v>Sn129</v>
      </c>
      <c r="F888">
        <f>VLOOKUP(B888,[1]Nuclides!A:E,4,FALSE)</f>
        <v>133.80000000000001</v>
      </c>
      <c r="G888" t="str">
        <f t="shared" si="75"/>
        <v>2.23min</v>
      </c>
      <c r="H888">
        <f t="shared" si="76"/>
        <v>5.1804722014943587E-3</v>
      </c>
      <c r="I888">
        <f t="shared" si="77"/>
        <v>0</v>
      </c>
      <c r="J888">
        <f t="shared" si="78"/>
        <v>0</v>
      </c>
      <c r="K888" t="str">
        <f t="shared" si="79"/>
        <v>Sn129</v>
      </c>
    </row>
    <row r="889" spans="2:11" hidden="1" x14ac:dyDescent="0.2">
      <c r="B889" s="4">
        <v>50130</v>
      </c>
      <c r="C889" s="4">
        <v>0</v>
      </c>
      <c r="D889">
        <v>0</v>
      </c>
      <c r="E889" t="str">
        <f>VLOOKUP(B889,[1]Nuclides!A:E,5,FALSE)</f>
        <v>Sn130</v>
      </c>
      <c r="F889">
        <f>VLOOKUP(B889,[1]Nuclides!A:E,4,FALSE)</f>
        <v>223.2</v>
      </c>
      <c r="G889" t="str">
        <f t="shared" si="75"/>
        <v>3.72min</v>
      </c>
      <c r="H889">
        <f t="shared" si="76"/>
        <v>3.1054981207882856E-3</v>
      </c>
      <c r="I889">
        <f t="shared" si="77"/>
        <v>0</v>
      </c>
      <c r="J889">
        <f t="shared" si="78"/>
        <v>0</v>
      </c>
      <c r="K889" t="str">
        <f t="shared" si="79"/>
        <v>Sn130</v>
      </c>
    </row>
    <row r="890" spans="2:11" hidden="1" x14ac:dyDescent="0.2">
      <c r="B890" s="4">
        <v>50131</v>
      </c>
      <c r="C890" s="4">
        <v>0</v>
      </c>
      <c r="D890">
        <v>0</v>
      </c>
      <c r="E890" t="str">
        <f>VLOOKUP(B890,[1]Nuclides!A:E,5,FALSE)</f>
        <v>Sn131</v>
      </c>
      <c r="F890">
        <f>VLOOKUP(B890,[1]Nuclides!A:E,4,FALSE)</f>
        <v>56</v>
      </c>
      <c r="G890" t="str">
        <f t="shared" si="75"/>
        <v>56s</v>
      </c>
      <c r="H890">
        <f t="shared" si="76"/>
        <v>1.2377628224284737E-2</v>
      </c>
      <c r="I890">
        <f t="shared" si="77"/>
        <v>0</v>
      </c>
      <c r="J890">
        <f t="shared" si="78"/>
        <v>0</v>
      </c>
      <c r="K890" t="str">
        <f t="shared" si="79"/>
        <v>Sn131</v>
      </c>
    </row>
    <row r="891" spans="2:11" hidden="1" x14ac:dyDescent="0.2">
      <c r="B891" s="4">
        <v>50132</v>
      </c>
      <c r="C891" s="4">
        <v>0</v>
      </c>
      <c r="D891">
        <v>0</v>
      </c>
      <c r="E891" t="str">
        <f>VLOOKUP(B891,[1]Nuclides!A:E,5,FALSE)</f>
        <v>Sn132</v>
      </c>
      <c r="F891">
        <f>VLOOKUP(B891,[1]Nuclides!A:E,4,FALSE)</f>
        <v>39.700000000000003</v>
      </c>
      <c r="G891" t="str">
        <f t="shared" si="75"/>
        <v>39.7s</v>
      </c>
      <c r="H891">
        <f t="shared" si="76"/>
        <v>1.7459626714356302E-2</v>
      </c>
      <c r="I891">
        <f t="shared" si="77"/>
        <v>0</v>
      </c>
      <c r="J891">
        <f t="shared" si="78"/>
        <v>0</v>
      </c>
      <c r="K891" t="str">
        <f t="shared" si="79"/>
        <v>Sn132</v>
      </c>
    </row>
    <row r="892" spans="2:11" hidden="1" x14ac:dyDescent="0.2">
      <c r="B892" s="4">
        <v>50133</v>
      </c>
      <c r="C892" s="4">
        <v>0</v>
      </c>
      <c r="D892">
        <v>0</v>
      </c>
      <c r="E892" t="str">
        <f>VLOOKUP(B892,[1]Nuclides!A:E,5,FALSE)</f>
        <v>Sn133</v>
      </c>
      <c r="F892">
        <f>VLOOKUP(B892,[1]Nuclides!A:E,4,FALSE)</f>
        <v>1.46</v>
      </c>
      <c r="G892" t="str">
        <f t="shared" si="75"/>
        <v>1.46s</v>
      </c>
      <c r="H892">
        <f t="shared" si="76"/>
        <v>0.47475834284927759</v>
      </c>
      <c r="I892">
        <f t="shared" si="77"/>
        <v>0</v>
      </c>
      <c r="J892">
        <f t="shared" si="78"/>
        <v>0</v>
      </c>
      <c r="K892" t="str">
        <f t="shared" si="79"/>
        <v>Sn133</v>
      </c>
    </row>
    <row r="893" spans="2:11" hidden="1" x14ac:dyDescent="0.2">
      <c r="B893" s="4">
        <v>50134</v>
      </c>
      <c r="C893" s="4">
        <v>0</v>
      </c>
      <c r="D893">
        <v>0</v>
      </c>
      <c r="E893" t="str">
        <f>VLOOKUP(B893,[1]Nuclides!A:E,5,FALSE)</f>
        <v>Sn134</v>
      </c>
      <c r="F893">
        <f>VLOOKUP(B893,[1]Nuclides!A:E,4,FALSE)</f>
        <v>1.05</v>
      </c>
      <c r="G893" t="str">
        <f t="shared" si="75"/>
        <v>1.05s</v>
      </c>
      <c r="H893">
        <f t="shared" si="76"/>
        <v>0.6601401719618526</v>
      </c>
      <c r="I893">
        <f t="shared" si="77"/>
        <v>0</v>
      </c>
      <c r="J893">
        <f t="shared" si="78"/>
        <v>0</v>
      </c>
      <c r="K893" t="str">
        <f t="shared" si="79"/>
        <v>Sn134</v>
      </c>
    </row>
    <row r="894" spans="2:11" hidden="1" x14ac:dyDescent="0.2">
      <c r="B894" s="4">
        <v>51108</v>
      </c>
      <c r="C894" s="4">
        <v>0</v>
      </c>
      <c r="D894">
        <v>0</v>
      </c>
      <c r="E894" t="str">
        <f>VLOOKUP(B894,[1]Nuclides!A:E,5,FALSE)</f>
        <v>Sb108</v>
      </c>
      <c r="F894">
        <f>VLOOKUP(B894,[1]Nuclides!A:E,4,FALSE)</f>
        <v>7.4</v>
      </c>
      <c r="G894" t="str">
        <f t="shared" si="75"/>
        <v>7.4s</v>
      </c>
      <c r="H894">
        <f t="shared" si="76"/>
        <v>9.3668537913506114E-2</v>
      </c>
      <c r="I894">
        <f t="shared" si="77"/>
        <v>0</v>
      </c>
      <c r="J894">
        <f t="shared" si="78"/>
        <v>0</v>
      </c>
      <c r="K894" t="str">
        <f t="shared" si="79"/>
        <v>Sb108</v>
      </c>
    </row>
    <row r="895" spans="2:11" hidden="1" x14ac:dyDescent="0.2">
      <c r="B895" s="4">
        <v>51109</v>
      </c>
      <c r="C895" s="4">
        <v>0</v>
      </c>
      <c r="D895">
        <v>0</v>
      </c>
      <c r="E895" t="str">
        <f>VLOOKUP(B895,[1]Nuclides!A:E,5,FALSE)</f>
        <v>Sb109</v>
      </c>
      <c r="F895">
        <f>VLOOKUP(B895,[1]Nuclides!A:E,4,FALSE)</f>
        <v>17</v>
      </c>
      <c r="G895" t="str">
        <f t="shared" si="75"/>
        <v>17s</v>
      </c>
      <c r="H895">
        <f t="shared" si="76"/>
        <v>4.0773363562349722E-2</v>
      </c>
      <c r="I895">
        <f t="shared" si="77"/>
        <v>0</v>
      </c>
      <c r="J895">
        <f t="shared" si="78"/>
        <v>0</v>
      </c>
      <c r="K895" t="str">
        <f t="shared" si="79"/>
        <v>Sb109</v>
      </c>
    </row>
    <row r="896" spans="2:11" hidden="1" x14ac:dyDescent="0.2">
      <c r="B896" s="4">
        <v>51110</v>
      </c>
      <c r="C896" s="4">
        <v>0</v>
      </c>
      <c r="D896">
        <v>0</v>
      </c>
      <c r="E896" t="str">
        <f>VLOOKUP(B896,[1]Nuclides!A:E,5,FALSE)</f>
        <v>Sb110</v>
      </c>
      <c r="F896">
        <f>VLOOKUP(B896,[1]Nuclides!A:E,4,FALSE)</f>
        <v>23</v>
      </c>
      <c r="G896" t="str">
        <f t="shared" si="75"/>
        <v>23s</v>
      </c>
      <c r="H896">
        <f t="shared" si="76"/>
        <v>3.0136833937388925E-2</v>
      </c>
      <c r="I896">
        <f t="shared" si="77"/>
        <v>0</v>
      </c>
      <c r="J896">
        <f t="shared" si="78"/>
        <v>0</v>
      </c>
      <c r="K896" t="str">
        <f t="shared" si="79"/>
        <v>Sb110</v>
      </c>
    </row>
    <row r="897" spans="2:11" hidden="1" x14ac:dyDescent="0.2">
      <c r="B897" s="4">
        <v>51111</v>
      </c>
      <c r="C897" s="4">
        <v>0</v>
      </c>
      <c r="D897">
        <v>0</v>
      </c>
      <c r="E897" t="str">
        <f>VLOOKUP(B897,[1]Nuclides!A:E,5,FALSE)</f>
        <v>Sb111</v>
      </c>
      <c r="F897">
        <f>VLOOKUP(B897,[1]Nuclides!A:E,4,FALSE)</f>
        <v>75</v>
      </c>
      <c r="G897" t="str">
        <f t="shared" si="75"/>
        <v>1.25min</v>
      </c>
      <c r="H897">
        <f t="shared" si="76"/>
        <v>9.2419624074659371E-3</v>
      </c>
      <c r="I897">
        <f t="shared" si="77"/>
        <v>0</v>
      </c>
      <c r="J897">
        <f t="shared" si="78"/>
        <v>0</v>
      </c>
      <c r="K897" t="str">
        <f t="shared" si="79"/>
        <v>Sb111</v>
      </c>
    </row>
    <row r="898" spans="2:11" hidden="1" x14ac:dyDescent="0.2">
      <c r="B898" s="4">
        <v>51112</v>
      </c>
      <c r="C898" s="4">
        <v>0</v>
      </c>
      <c r="D898">
        <v>0</v>
      </c>
      <c r="E898" t="str">
        <f>VLOOKUP(B898,[1]Nuclides!A:E,5,FALSE)</f>
        <v>Sb112</v>
      </c>
      <c r="F898">
        <f>VLOOKUP(B898,[1]Nuclides!A:E,4,FALSE)</f>
        <v>53.5</v>
      </c>
      <c r="G898" t="str">
        <f t="shared" si="75"/>
        <v>53.5s</v>
      </c>
      <c r="H898">
        <f t="shared" si="76"/>
        <v>1.2956022066541034E-2</v>
      </c>
      <c r="I898">
        <f t="shared" si="77"/>
        <v>0</v>
      </c>
      <c r="J898">
        <f t="shared" si="78"/>
        <v>0</v>
      </c>
      <c r="K898" t="str">
        <f t="shared" si="79"/>
        <v>Sb112</v>
      </c>
    </row>
    <row r="899" spans="2:11" hidden="1" x14ac:dyDescent="0.2">
      <c r="B899" s="4">
        <v>51113</v>
      </c>
      <c r="C899" s="4">
        <v>0</v>
      </c>
      <c r="D899">
        <v>0</v>
      </c>
      <c r="E899" t="str">
        <f>VLOOKUP(B899,[1]Nuclides!A:E,5,FALSE)</f>
        <v>Sb113</v>
      </c>
      <c r="F899">
        <f>VLOOKUP(B899,[1]Nuclides!A:E,4,FALSE)</f>
        <v>400.2</v>
      </c>
      <c r="G899" t="str">
        <f t="shared" si="75"/>
        <v>6.67min</v>
      </c>
      <c r="H899">
        <f t="shared" si="76"/>
        <v>1.732001950424651E-3</v>
      </c>
      <c r="I899">
        <f t="shared" si="77"/>
        <v>0</v>
      </c>
      <c r="J899">
        <f t="shared" si="78"/>
        <v>0</v>
      </c>
      <c r="K899" t="str">
        <f t="shared" si="79"/>
        <v>Sb113</v>
      </c>
    </row>
    <row r="900" spans="2:11" hidden="1" x14ac:dyDescent="0.2">
      <c r="B900" s="4">
        <v>51114</v>
      </c>
      <c r="C900" s="4">
        <v>0</v>
      </c>
      <c r="D900">
        <v>0</v>
      </c>
      <c r="E900" t="str">
        <f>VLOOKUP(B900,[1]Nuclides!A:E,5,FALSE)</f>
        <v>Sb114</v>
      </c>
      <c r="F900">
        <f>VLOOKUP(B900,[1]Nuclides!A:E,4,FALSE)</f>
        <v>209.4</v>
      </c>
      <c r="G900" t="str">
        <f t="shared" si="75"/>
        <v>3.49min</v>
      </c>
      <c r="H900">
        <f t="shared" si="76"/>
        <v>3.3101584553961094E-3</v>
      </c>
      <c r="I900">
        <f t="shared" si="77"/>
        <v>0</v>
      </c>
      <c r="J900">
        <f t="shared" si="78"/>
        <v>0</v>
      </c>
      <c r="K900" t="str">
        <f t="shared" si="79"/>
        <v>Sb114</v>
      </c>
    </row>
    <row r="901" spans="2:11" hidden="1" x14ac:dyDescent="0.2">
      <c r="B901" s="4">
        <v>51115</v>
      </c>
      <c r="C901" s="4">
        <v>0</v>
      </c>
      <c r="D901">
        <v>0</v>
      </c>
      <c r="E901" t="str">
        <f>VLOOKUP(B901,[1]Nuclides!A:E,5,FALSE)</f>
        <v>Sb115</v>
      </c>
      <c r="F901">
        <f>VLOOKUP(B901,[1]Nuclides!A:E,4,FALSE)</f>
        <v>1926</v>
      </c>
      <c r="G901" t="str">
        <f t="shared" ref="G901:G964" si="80">IF(F901="STABLE", "STABLE", IF(F901&lt;60, F901&amp;"s", IF(F901&lt;3600, ROUND(F901/60,2)&amp;"min", IF(F901&lt;86400, ROUND(F901/3600,2)&amp;"h", IF(F901&lt;31536000, ROUND(F901/86400,2)&amp;"d", ROUND(F901/31536000,2)&amp;"y")))))</f>
        <v>32.1min</v>
      </c>
      <c r="H901">
        <f t="shared" ref="H901:H964" si="81">LN(2)/F901</f>
        <v>3.5988950184836203E-4</v>
      </c>
      <c r="I901">
        <f t="shared" ref="I901:I964" si="82">60*6240000000000*C901*(1-EXP(-H901*2*3600))</f>
        <v>0</v>
      </c>
      <c r="J901">
        <f t="shared" ref="J901:J964" si="83">I901*EXP(-H901*96*3600)</f>
        <v>0</v>
      </c>
      <c r="K901" t="str">
        <f t="shared" ref="K901:K964" si="84">E901</f>
        <v>Sb115</v>
      </c>
    </row>
    <row r="902" spans="2:11" hidden="1" x14ac:dyDescent="0.2">
      <c r="B902" s="4">
        <v>51116</v>
      </c>
      <c r="C902" s="4">
        <v>0</v>
      </c>
      <c r="D902">
        <v>0</v>
      </c>
      <c r="E902" t="str">
        <f>VLOOKUP(B902,[1]Nuclides!A:E,5,FALSE)</f>
        <v>Sb116</v>
      </c>
      <c r="F902">
        <f>VLOOKUP(B902,[1]Nuclides!A:E,4,FALSE)</f>
        <v>948</v>
      </c>
      <c r="G902" t="str">
        <f t="shared" si="80"/>
        <v>15.8min</v>
      </c>
      <c r="H902">
        <f t="shared" si="81"/>
        <v>7.311679119830646E-4</v>
      </c>
      <c r="I902">
        <f t="shared" si="82"/>
        <v>0</v>
      </c>
      <c r="J902">
        <f t="shared" si="83"/>
        <v>0</v>
      </c>
      <c r="K902" t="str">
        <f t="shared" si="84"/>
        <v>Sb116</v>
      </c>
    </row>
    <row r="903" spans="2:11" hidden="1" x14ac:dyDescent="0.2">
      <c r="B903" s="4">
        <v>51117</v>
      </c>
      <c r="C903" s="4">
        <v>0</v>
      </c>
      <c r="D903">
        <v>0</v>
      </c>
      <c r="E903" t="str">
        <f>VLOOKUP(B903,[1]Nuclides!A:E,5,FALSE)</f>
        <v>Sb117</v>
      </c>
      <c r="F903">
        <f>VLOOKUP(B903,[1]Nuclides!A:E,4,FALSE)</f>
        <v>10080</v>
      </c>
      <c r="G903" t="str">
        <f t="shared" si="80"/>
        <v>2.8h</v>
      </c>
      <c r="H903">
        <f t="shared" si="81"/>
        <v>6.8764601246026322E-5</v>
      </c>
      <c r="I903">
        <f t="shared" si="82"/>
        <v>0</v>
      </c>
      <c r="J903">
        <f t="shared" si="83"/>
        <v>0</v>
      </c>
      <c r="K903" t="str">
        <f t="shared" si="84"/>
        <v>Sb117</v>
      </c>
    </row>
    <row r="904" spans="2:11" hidden="1" x14ac:dyDescent="0.2">
      <c r="B904" s="4">
        <v>51118</v>
      </c>
      <c r="C904" s="4">
        <v>0</v>
      </c>
      <c r="D904">
        <v>0</v>
      </c>
      <c r="E904" t="str">
        <f>VLOOKUP(B904,[1]Nuclides!A:E,5,FALSE)</f>
        <v>Sb118</v>
      </c>
      <c r="F904">
        <f>VLOOKUP(B904,[1]Nuclides!A:E,4,FALSE)</f>
        <v>216</v>
      </c>
      <c r="G904" t="str">
        <f t="shared" si="80"/>
        <v>3.6min</v>
      </c>
      <c r="H904">
        <f t="shared" si="81"/>
        <v>3.2090147248145617E-3</v>
      </c>
      <c r="I904">
        <f t="shared" si="82"/>
        <v>0</v>
      </c>
      <c r="J904">
        <f t="shared" si="83"/>
        <v>0</v>
      </c>
      <c r="K904" t="str">
        <f t="shared" si="84"/>
        <v>Sb118</v>
      </c>
    </row>
    <row r="905" spans="2:11" hidden="1" x14ac:dyDescent="0.2">
      <c r="B905" s="4">
        <v>51119</v>
      </c>
      <c r="C905" s="4">
        <v>0</v>
      </c>
      <c r="D905">
        <v>0</v>
      </c>
      <c r="E905" t="str">
        <f>VLOOKUP(B905,[1]Nuclides!A:E,5,FALSE)</f>
        <v>Sb119</v>
      </c>
      <c r="F905">
        <f>VLOOKUP(B905,[1]Nuclides!A:E,4,FALSE)</f>
        <v>137484</v>
      </c>
      <c r="G905" t="str">
        <f t="shared" si="80"/>
        <v>1.59d</v>
      </c>
      <c r="H905">
        <f t="shared" si="81"/>
        <v>5.0416570696222494E-6</v>
      </c>
      <c r="I905">
        <f t="shared" si="82"/>
        <v>0</v>
      </c>
      <c r="J905">
        <f t="shared" si="83"/>
        <v>0</v>
      </c>
      <c r="K905" t="str">
        <f t="shared" si="84"/>
        <v>Sb119</v>
      </c>
    </row>
    <row r="906" spans="2:11" hidden="1" x14ac:dyDescent="0.2">
      <c r="B906" s="4">
        <v>51120</v>
      </c>
      <c r="C906" s="4">
        <v>0</v>
      </c>
      <c r="D906">
        <v>0</v>
      </c>
      <c r="E906" t="str">
        <f>VLOOKUP(B906,[1]Nuclides!A:E,5,FALSE)</f>
        <v>Sb120</v>
      </c>
      <c r="F906">
        <f>VLOOKUP(B906,[1]Nuclides!A:E,4,FALSE)</f>
        <v>953.4</v>
      </c>
      <c r="G906" t="str">
        <f t="shared" si="80"/>
        <v>15.89min</v>
      </c>
      <c r="H906">
        <f t="shared" si="81"/>
        <v>7.2702662110336197E-4</v>
      </c>
      <c r="I906">
        <f t="shared" si="82"/>
        <v>0</v>
      </c>
      <c r="J906">
        <f t="shared" si="83"/>
        <v>0</v>
      </c>
      <c r="K906" t="str">
        <f t="shared" si="84"/>
        <v>Sb120</v>
      </c>
    </row>
    <row r="907" spans="2:11" hidden="1" x14ac:dyDescent="0.2">
      <c r="B907" s="4">
        <v>51121</v>
      </c>
      <c r="C907" s="4">
        <v>0</v>
      </c>
      <c r="D907">
        <v>0</v>
      </c>
      <c r="E907" t="str">
        <f>VLOOKUP(B907,[1]Nuclides!A:E,5,FALSE)</f>
        <v>Sb121</v>
      </c>
      <c r="F907" t="str">
        <f>VLOOKUP(B907,[1]Nuclides!A:E,4,FALSE)</f>
        <v>STABLE</v>
      </c>
      <c r="G907" t="str">
        <f t="shared" si="80"/>
        <v>STABLE</v>
      </c>
      <c r="H907" t="e">
        <f t="shared" si="81"/>
        <v>#VALUE!</v>
      </c>
      <c r="I907" t="e">
        <f t="shared" si="82"/>
        <v>#VALUE!</v>
      </c>
      <c r="J907" t="e">
        <f t="shared" si="83"/>
        <v>#VALUE!</v>
      </c>
      <c r="K907" t="str">
        <f t="shared" si="84"/>
        <v>Sb121</v>
      </c>
    </row>
    <row r="908" spans="2:11" hidden="1" x14ac:dyDescent="0.2">
      <c r="B908" s="4">
        <v>51122</v>
      </c>
      <c r="C908" s="4">
        <v>0</v>
      </c>
      <c r="D908">
        <v>0</v>
      </c>
      <c r="E908" t="str">
        <f>VLOOKUP(B908,[1]Nuclides!A:E,5,FALSE)</f>
        <v>Sb122</v>
      </c>
      <c r="F908">
        <f>VLOOKUP(B908,[1]Nuclides!A:E,4,FALSE)</f>
        <v>235336.32000000001</v>
      </c>
      <c r="G908" t="str">
        <f t="shared" si="80"/>
        <v>2.72d</v>
      </c>
      <c r="H908">
        <f t="shared" si="81"/>
        <v>2.9453472398988192E-6</v>
      </c>
      <c r="I908">
        <f t="shared" si="82"/>
        <v>0</v>
      </c>
      <c r="J908">
        <f t="shared" si="83"/>
        <v>0</v>
      </c>
      <c r="K908" t="str">
        <f t="shared" si="84"/>
        <v>Sb122</v>
      </c>
    </row>
    <row r="909" spans="2:11" hidden="1" x14ac:dyDescent="0.2">
      <c r="B909" s="4">
        <v>51123</v>
      </c>
      <c r="C909" s="4">
        <v>0</v>
      </c>
      <c r="D909">
        <v>0</v>
      </c>
      <c r="E909" t="str">
        <f>VLOOKUP(B909,[1]Nuclides!A:E,5,FALSE)</f>
        <v>Sb123</v>
      </c>
      <c r="F909" t="str">
        <f>VLOOKUP(B909,[1]Nuclides!A:E,4,FALSE)</f>
        <v>STABLE</v>
      </c>
      <c r="G909" t="str">
        <f t="shared" si="80"/>
        <v>STABLE</v>
      </c>
      <c r="H909" t="e">
        <f t="shared" si="81"/>
        <v>#VALUE!</v>
      </c>
      <c r="I909" t="e">
        <f t="shared" si="82"/>
        <v>#VALUE!</v>
      </c>
      <c r="J909" t="e">
        <f t="shared" si="83"/>
        <v>#VALUE!</v>
      </c>
      <c r="K909" t="str">
        <f t="shared" si="84"/>
        <v>Sb123</v>
      </c>
    </row>
    <row r="910" spans="2:11" hidden="1" x14ac:dyDescent="0.2">
      <c r="B910" s="4">
        <v>51124</v>
      </c>
      <c r="C910" s="4">
        <v>0</v>
      </c>
      <c r="D910">
        <v>0</v>
      </c>
      <c r="E910" t="str">
        <f>VLOOKUP(B910,[1]Nuclides!A:E,5,FALSE)</f>
        <v>Sb124</v>
      </c>
      <c r="F910">
        <f>VLOOKUP(B910,[1]Nuclides!A:E,4,FALSE)</f>
        <v>5201280</v>
      </c>
      <c r="G910" t="str">
        <f t="shared" si="80"/>
        <v>60.2d</v>
      </c>
      <c r="H910">
        <f t="shared" si="81"/>
        <v>1.3326473109695023E-7</v>
      </c>
      <c r="I910">
        <f t="shared" si="82"/>
        <v>0</v>
      </c>
      <c r="J910">
        <f t="shared" si="83"/>
        <v>0</v>
      </c>
      <c r="K910" t="str">
        <f t="shared" si="84"/>
        <v>Sb124</v>
      </c>
    </row>
    <row r="911" spans="2:11" hidden="1" x14ac:dyDescent="0.2">
      <c r="B911" s="4">
        <v>51125</v>
      </c>
      <c r="C911" s="4">
        <v>0</v>
      </c>
      <c r="D911">
        <v>0</v>
      </c>
      <c r="E911" t="str">
        <f>VLOOKUP(B911,[1]Nuclides!A:E,5,FALSE)</f>
        <v>Sb125</v>
      </c>
      <c r="F911">
        <f>VLOOKUP(B911,[1]Nuclides!A:E,4,FALSE)</f>
        <v>87053533.055999994</v>
      </c>
      <c r="G911" t="str">
        <f t="shared" si="80"/>
        <v>2.76y</v>
      </c>
      <c r="H911">
        <f t="shared" si="81"/>
        <v>7.9623095838517667E-9</v>
      </c>
      <c r="I911">
        <f t="shared" si="82"/>
        <v>0</v>
      </c>
      <c r="J911">
        <f t="shared" si="83"/>
        <v>0</v>
      </c>
      <c r="K911" t="str">
        <f t="shared" si="84"/>
        <v>Sb125</v>
      </c>
    </row>
    <row r="912" spans="2:11" hidden="1" x14ac:dyDescent="0.2">
      <c r="B912" s="4">
        <v>51126</v>
      </c>
      <c r="C912" s="4">
        <v>0</v>
      </c>
      <c r="D912">
        <v>0</v>
      </c>
      <c r="E912" t="str">
        <f>VLOOKUP(B912,[1]Nuclides!A:E,5,FALSE)</f>
        <v>Sb126</v>
      </c>
      <c r="F912">
        <f>VLOOKUP(B912,[1]Nuclides!A:E,4,FALSE)</f>
        <v>1067040</v>
      </c>
      <c r="G912" t="str">
        <f t="shared" si="80"/>
        <v>12.35d</v>
      </c>
      <c r="H912">
        <f t="shared" si="81"/>
        <v>6.4959812243209751E-7</v>
      </c>
      <c r="I912">
        <f t="shared" si="82"/>
        <v>0</v>
      </c>
      <c r="J912">
        <f t="shared" si="83"/>
        <v>0</v>
      </c>
      <c r="K912" t="str">
        <f t="shared" si="84"/>
        <v>Sb126</v>
      </c>
    </row>
    <row r="913" spans="2:11" hidden="1" x14ac:dyDescent="0.2">
      <c r="B913" s="4">
        <v>51127</v>
      </c>
      <c r="C913" s="4">
        <v>0</v>
      </c>
      <c r="D913">
        <v>0</v>
      </c>
      <c r="E913" t="str">
        <f>VLOOKUP(B913,[1]Nuclides!A:E,5,FALSE)</f>
        <v>Sb127</v>
      </c>
      <c r="F913">
        <f>VLOOKUP(B913,[1]Nuclides!A:E,4,FALSE)</f>
        <v>332640</v>
      </c>
      <c r="G913" t="str">
        <f t="shared" si="80"/>
        <v>3.85d</v>
      </c>
      <c r="H913">
        <f t="shared" si="81"/>
        <v>2.083775795334131E-6</v>
      </c>
      <c r="I913">
        <f t="shared" si="82"/>
        <v>0</v>
      </c>
      <c r="J913">
        <f t="shared" si="83"/>
        <v>0</v>
      </c>
      <c r="K913" t="str">
        <f t="shared" si="84"/>
        <v>Sb127</v>
      </c>
    </row>
    <row r="914" spans="2:11" hidden="1" x14ac:dyDescent="0.2">
      <c r="B914" s="4">
        <v>51128</v>
      </c>
      <c r="C914" s="4">
        <v>0</v>
      </c>
      <c r="D914">
        <v>0</v>
      </c>
      <c r="E914" t="str">
        <f>VLOOKUP(B914,[1]Nuclides!A:E,5,FALSE)</f>
        <v>Sb128</v>
      </c>
      <c r="F914">
        <f>VLOOKUP(B914,[1]Nuclides!A:E,4,FALSE)</f>
        <v>32580</v>
      </c>
      <c r="G914" t="str">
        <f t="shared" si="80"/>
        <v>9.05h</v>
      </c>
      <c r="H914">
        <f t="shared" si="81"/>
        <v>2.1275235744626926E-5</v>
      </c>
      <c r="I914">
        <f t="shared" si="82"/>
        <v>0</v>
      </c>
      <c r="J914">
        <f t="shared" si="83"/>
        <v>0</v>
      </c>
      <c r="K914" t="str">
        <f t="shared" si="84"/>
        <v>Sb128</v>
      </c>
    </row>
    <row r="915" spans="2:11" hidden="1" x14ac:dyDescent="0.2">
      <c r="B915" s="4">
        <v>51129</v>
      </c>
      <c r="C915" s="4">
        <v>0</v>
      </c>
      <c r="D915">
        <v>0</v>
      </c>
      <c r="E915" t="str">
        <f>VLOOKUP(B915,[1]Nuclides!A:E,5,FALSE)</f>
        <v>Sb129</v>
      </c>
      <c r="F915">
        <f>VLOOKUP(B915,[1]Nuclides!A:E,4,FALSE)</f>
        <v>15717.5999999999</v>
      </c>
      <c r="G915" t="str">
        <f t="shared" si="80"/>
        <v>4.37h</v>
      </c>
      <c r="H915">
        <f t="shared" si="81"/>
        <v>4.4100064931029528E-5</v>
      </c>
      <c r="I915">
        <f t="shared" si="82"/>
        <v>0</v>
      </c>
      <c r="J915">
        <f t="shared" si="83"/>
        <v>0</v>
      </c>
      <c r="K915" t="str">
        <f t="shared" si="84"/>
        <v>Sb129</v>
      </c>
    </row>
    <row r="916" spans="2:11" hidden="1" x14ac:dyDescent="0.2">
      <c r="B916" s="4">
        <v>51130</v>
      </c>
      <c r="C916" s="4">
        <v>0</v>
      </c>
      <c r="D916">
        <v>0</v>
      </c>
      <c r="E916" t="str">
        <f>VLOOKUP(B916,[1]Nuclides!A:E,5,FALSE)</f>
        <v>Sb130</v>
      </c>
      <c r="F916">
        <f>VLOOKUP(B916,[1]Nuclides!A:E,4,FALSE)</f>
        <v>2370</v>
      </c>
      <c r="G916" t="str">
        <f t="shared" si="80"/>
        <v>39.5min</v>
      </c>
      <c r="H916">
        <f t="shared" si="81"/>
        <v>2.9246716479322586E-4</v>
      </c>
      <c r="I916">
        <f t="shared" si="82"/>
        <v>0</v>
      </c>
      <c r="J916">
        <f t="shared" si="83"/>
        <v>0</v>
      </c>
      <c r="K916" t="str">
        <f t="shared" si="84"/>
        <v>Sb130</v>
      </c>
    </row>
    <row r="917" spans="2:11" hidden="1" x14ac:dyDescent="0.2">
      <c r="B917" s="4">
        <v>51131</v>
      </c>
      <c r="C917" s="4">
        <v>0</v>
      </c>
      <c r="D917">
        <v>0</v>
      </c>
      <c r="E917" t="str">
        <f>VLOOKUP(B917,[1]Nuclides!A:E,5,FALSE)</f>
        <v>Sb131</v>
      </c>
      <c r="F917">
        <f>VLOOKUP(B917,[1]Nuclides!A:E,4,FALSE)</f>
        <v>1381.8</v>
      </c>
      <c r="G917" t="str">
        <f t="shared" si="80"/>
        <v>23.03min</v>
      </c>
      <c r="H917">
        <f t="shared" si="81"/>
        <v>5.0162627048773E-4</v>
      </c>
      <c r="I917">
        <f t="shared" si="82"/>
        <v>0</v>
      </c>
      <c r="J917">
        <f t="shared" si="83"/>
        <v>0</v>
      </c>
      <c r="K917" t="str">
        <f t="shared" si="84"/>
        <v>Sb131</v>
      </c>
    </row>
    <row r="918" spans="2:11" hidden="1" x14ac:dyDescent="0.2">
      <c r="B918" s="4">
        <v>51132</v>
      </c>
      <c r="C918" s="4">
        <v>0</v>
      </c>
      <c r="D918">
        <v>0</v>
      </c>
      <c r="E918" t="str">
        <f>VLOOKUP(B918,[1]Nuclides!A:E,5,FALSE)</f>
        <v>Sb132</v>
      </c>
      <c r="F918">
        <f>VLOOKUP(B918,[1]Nuclides!A:E,4,FALSE)</f>
        <v>167.4</v>
      </c>
      <c r="G918" t="str">
        <f t="shared" si="80"/>
        <v>2.79min</v>
      </c>
      <c r="H918">
        <f t="shared" si="81"/>
        <v>4.1406641610510471E-3</v>
      </c>
      <c r="I918">
        <f t="shared" si="82"/>
        <v>0</v>
      </c>
      <c r="J918">
        <f t="shared" si="83"/>
        <v>0</v>
      </c>
      <c r="K918" t="str">
        <f t="shared" si="84"/>
        <v>Sb132</v>
      </c>
    </row>
    <row r="919" spans="2:11" hidden="1" x14ac:dyDescent="0.2">
      <c r="B919" s="4">
        <v>51133</v>
      </c>
      <c r="C919" s="4">
        <v>0</v>
      </c>
      <c r="D919">
        <v>0</v>
      </c>
      <c r="E919" t="str">
        <f>VLOOKUP(B919,[1]Nuclides!A:E,5,FALSE)</f>
        <v>Sb133</v>
      </c>
      <c r="F919">
        <f>VLOOKUP(B919,[1]Nuclides!A:E,4,FALSE)</f>
        <v>140.39999999999901</v>
      </c>
      <c r="G919" t="str">
        <f t="shared" si="80"/>
        <v>2.34min</v>
      </c>
      <c r="H919">
        <f t="shared" si="81"/>
        <v>4.9369457304839753E-3</v>
      </c>
      <c r="I919">
        <f t="shared" si="82"/>
        <v>0</v>
      </c>
      <c r="J919">
        <f t="shared" si="83"/>
        <v>0</v>
      </c>
      <c r="K919" t="str">
        <f t="shared" si="84"/>
        <v>Sb133</v>
      </c>
    </row>
    <row r="920" spans="2:11" hidden="1" x14ac:dyDescent="0.2">
      <c r="B920" s="4">
        <v>51134</v>
      </c>
      <c r="C920" s="4">
        <v>0</v>
      </c>
      <c r="D920">
        <v>0</v>
      </c>
      <c r="E920" t="str">
        <f>VLOOKUP(B920,[1]Nuclides!A:E,5,FALSE)</f>
        <v>Sb134</v>
      </c>
      <c r="F920">
        <f>VLOOKUP(B920,[1]Nuclides!A:E,4,FALSE)</f>
        <v>0.78</v>
      </c>
      <c r="G920" t="str">
        <f t="shared" si="80"/>
        <v>0.78s</v>
      </c>
      <c r="H920">
        <f t="shared" si="81"/>
        <v>0.88865023148710931</v>
      </c>
      <c r="I920">
        <f t="shared" si="82"/>
        <v>0</v>
      </c>
      <c r="J920">
        <f t="shared" si="83"/>
        <v>0</v>
      </c>
      <c r="K920" t="str">
        <f t="shared" si="84"/>
        <v>Sb134</v>
      </c>
    </row>
    <row r="921" spans="2:11" hidden="1" x14ac:dyDescent="0.2">
      <c r="B921" s="4">
        <v>51135</v>
      </c>
      <c r="C921" s="4">
        <v>0</v>
      </c>
      <c r="D921">
        <v>0</v>
      </c>
      <c r="E921" t="str">
        <f>VLOOKUP(B921,[1]Nuclides!A:E,5,FALSE)</f>
        <v>Sb135</v>
      </c>
      <c r="F921">
        <f>VLOOKUP(B921,[1]Nuclides!A:E,4,FALSE)</f>
        <v>1.679</v>
      </c>
      <c r="G921" t="str">
        <f t="shared" si="80"/>
        <v>1.679s</v>
      </c>
      <c r="H921">
        <f t="shared" si="81"/>
        <v>0.41283334160806745</v>
      </c>
      <c r="I921">
        <f t="shared" si="82"/>
        <v>0</v>
      </c>
      <c r="J921">
        <f t="shared" si="83"/>
        <v>0</v>
      </c>
      <c r="K921" t="str">
        <f t="shared" si="84"/>
        <v>Sb135</v>
      </c>
    </row>
    <row r="922" spans="2:11" hidden="1" x14ac:dyDescent="0.2">
      <c r="B922" s="4">
        <v>51136</v>
      </c>
      <c r="C922" s="4">
        <v>0</v>
      </c>
      <c r="D922">
        <v>0</v>
      </c>
      <c r="E922" t="str">
        <f>VLOOKUP(B922,[1]Nuclides!A:E,5,FALSE)</f>
        <v>Sb136</v>
      </c>
      <c r="F922">
        <f>VLOOKUP(B922,[1]Nuclides!A:E,4,FALSE)</f>
        <v>0.92300000000000004</v>
      </c>
      <c r="G922" t="str">
        <f t="shared" si="80"/>
        <v>0.923s</v>
      </c>
      <c r="H922">
        <f t="shared" si="81"/>
        <v>0.75097202660882478</v>
      </c>
      <c r="I922">
        <f t="shared" si="82"/>
        <v>0</v>
      </c>
      <c r="J922">
        <f t="shared" si="83"/>
        <v>0</v>
      </c>
      <c r="K922" t="str">
        <f t="shared" si="84"/>
        <v>Sb136</v>
      </c>
    </row>
    <row r="923" spans="2:11" hidden="1" x14ac:dyDescent="0.2">
      <c r="B923" s="4">
        <v>52106</v>
      </c>
      <c r="C923" s="4">
        <v>0</v>
      </c>
      <c r="D923">
        <v>0</v>
      </c>
      <c r="E923" t="str">
        <f>VLOOKUP(B923,[1]Nuclides!A:E,5,FALSE)</f>
        <v>Te106</v>
      </c>
      <c r="F923">
        <f>VLOOKUP(B923,[1]Nuclides!A:E,4,FALSE)</f>
        <v>6.9999999999999994E-5</v>
      </c>
      <c r="G923" t="str">
        <f t="shared" si="80"/>
        <v>0.00007s</v>
      </c>
      <c r="H923">
        <f t="shared" si="81"/>
        <v>9902.1025794277903</v>
      </c>
      <c r="I923">
        <f t="shared" si="82"/>
        <v>0</v>
      </c>
      <c r="J923">
        <f t="shared" si="83"/>
        <v>0</v>
      </c>
      <c r="K923" t="str">
        <f t="shared" si="84"/>
        <v>Te106</v>
      </c>
    </row>
    <row r="924" spans="2:11" hidden="1" x14ac:dyDescent="0.2">
      <c r="B924" s="4">
        <v>52107</v>
      </c>
      <c r="C924" s="4">
        <v>0</v>
      </c>
      <c r="D924">
        <v>0</v>
      </c>
      <c r="E924" t="str">
        <f>VLOOKUP(B924,[1]Nuclides!A:E,5,FALSE)</f>
        <v>Te107</v>
      </c>
      <c r="F924">
        <f>VLOOKUP(B924,[1]Nuclides!A:E,4,FALSE)</f>
        <v>3.0999999999999999E-3</v>
      </c>
      <c r="G924" t="str">
        <f t="shared" si="80"/>
        <v>0.0031s</v>
      </c>
      <c r="H924">
        <f t="shared" si="81"/>
        <v>223.59586469675656</v>
      </c>
      <c r="I924">
        <f t="shared" si="82"/>
        <v>0</v>
      </c>
      <c r="J924">
        <f t="shared" si="83"/>
        <v>0</v>
      </c>
      <c r="K924" t="str">
        <f t="shared" si="84"/>
        <v>Te107</v>
      </c>
    </row>
    <row r="925" spans="2:11" hidden="1" x14ac:dyDescent="0.2">
      <c r="B925" s="4">
        <v>52108</v>
      </c>
      <c r="C925" s="4">
        <v>0</v>
      </c>
      <c r="D925">
        <v>0</v>
      </c>
      <c r="E925" t="str">
        <f>VLOOKUP(B925,[1]Nuclides!A:E,5,FALSE)</f>
        <v>Te108</v>
      </c>
      <c r="F925">
        <f>VLOOKUP(B925,[1]Nuclides!A:E,4,FALSE)</f>
        <v>2.1</v>
      </c>
      <c r="G925" t="str">
        <f t="shared" si="80"/>
        <v>2.1s</v>
      </c>
      <c r="H925">
        <f t="shared" si="81"/>
        <v>0.3300700859809263</v>
      </c>
      <c r="I925">
        <f t="shared" si="82"/>
        <v>0</v>
      </c>
      <c r="J925">
        <f t="shared" si="83"/>
        <v>0</v>
      </c>
      <c r="K925" t="str">
        <f t="shared" si="84"/>
        <v>Te108</v>
      </c>
    </row>
    <row r="926" spans="2:11" hidden="1" x14ac:dyDescent="0.2">
      <c r="B926" s="4">
        <v>52109</v>
      </c>
      <c r="C926" s="4">
        <v>0</v>
      </c>
      <c r="D926">
        <v>0</v>
      </c>
      <c r="E926" t="str">
        <f>VLOOKUP(B926,[1]Nuclides!A:E,5,FALSE)</f>
        <v>Te109</v>
      </c>
      <c r="F926">
        <f>VLOOKUP(B926,[1]Nuclides!A:E,4,FALSE)</f>
        <v>4.5999999999999996</v>
      </c>
      <c r="G926" t="str">
        <f t="shared" si="80"/>
        <v>4.6s</v>
      </c>
      <c r="H926">
        <f t="shared" si="81"/>
        <v>0.15068416968694465</v>
      </c>
      <c r="I926">
        <f t="shared" si="82"/>
        <v>0</v>
      </c>
      <c r="J926">
        <f t="shared" si="83"/>
        <v>0</v>
      </c>
      <c r="K926" t="str">
        <f t="shared" si="84"/>
        <v>Te109</v>
      </c>
    </row>
    <row r="927" spans="2:11" hidden="1" x14ac:dyDescent="0.2">
      <c r="B927" s="4">
        <v>52110</v>
      </c>
      <c r="C927" s="4">
        <v>0</v>
      </c>
      <c r="D927">
        <v>0</v>
      </c>
      <c r="E927" t="str">
        <f>VLOOKUP(B927,[1]Nuclides!A:E,5,FALSE)</f>
        <v>Te110</v>
      </c>
      <c r="F927">
        <f>VLOOKUP(B927,[1]Nuclides!A:E,4,FALSE)</f>
        <v>18.600000000000001</v>
      </c>
      <c r="G927" t="str">
        <f t="shared" si="80"/>
        <v>18.6s</v>
      </c>
      <c r="H927">
        <f t="shared" si="81"/>
        <v>3.726597744945942E-2</v>
      </c>
      <c r="I927">
        <f t="shared" si="82"/>
        <v>0</v>
      </c>
      <c r="J927">
        <f t="shared" si="83"/>
        <v>0</v>
      </c>
      <c r="K927" t="str">
        <f t="shared" si="84"/>
        <v>Te110</v>
      </c>
    </row>
    <row r="928" spans="2:11" hidden="1" x14ac:dyDescent="0.2">
      <c r="B928" s="4">
        <v>52111</v>
      </c>
      <c r="C928" s="4">
        <v>0</v>
      </c>
      <c r="D928">
        <v>0</v>
      </c>
      <c r="E928" t="str">
        <f>VLOOKUP(B928,[1]Nuclides!A:E,5,FALSE)</f>
        <v>Te111</v>
      </c>
      <c r="F928">
        <f>VLOOKUP(B928,[1]Nuclides!A:E,4,FALSE)</f>
        <v>19.3</v>
      </c>
      <c r="G928" t="str">
        <f t="shared" si="80"/>
        <v>19.3s</v>
      </c>
      <c r="H928">
        <f t="shared" si="81"/>
        <v>3.5914361687043796E-2</v>
      </c>
      <c r="I928">
        <f t="shared" si="82"/>
        <v>0</v>
      </c>
      <c r="J928">
        <f t="shared" si="83"/>
        <v>0</v>
      </c>
      <c r="K928" t="str">
        <f t="shared" si="84"/>
        <v>Te111</v>
      </c>
    </row>
    <row r="929" spans="2:11" hidden="1" x14ac:dyDescent="0.2">
      <c r="B929" s="4">
        <v>52112</v>
      </c>
      <c r="C929" s="4">
        <v>0</v>
      </c>
      <c r="D929">
        <v>0</v>
      </c>
      <c r="E929" t="str">
        <f>VLOOKUP(B929,[1]Nuclides!A:E,5,FALSE)</f>
        <v>Te112</v>
      </c>
      <c r="F929">
        <f>VLOOKUP(B929,[1]Nuclides!A:E,4,FALSE)</f>
        <v>120</v>
      </c>
      <c r="G929" t="str">
        <f t="shared" si="80"/>
        <v>2min</v>
      </c>
      <c r="H929">
        <f t="shared" si="81"/>
        <v>5.7762265046662105E-3</v>
      </c>
      <c r="I929">
        <f t="shared" si="82"/>
        <v>0</v>
      </c>
      <c r="J929">
        <f t="shared" si="83"/>
        <v>0</v>
      </c>
      <c r="K929" t="str">
        <f t="shared" si="84"/>
        <v>Te112</v>
      </c>
    </row>
    <row r="930" spans="2:11" hidden="1" x14ac:dyDescent="0.2">
      <c r="B930" s="4">
        <v>52113</v>
      </c>
      <c r="C930" s="4">
        <v>0</v>
      </c>
      <c r="D930">
        <v>0</v>
      </c>
      <c r="E930" t="str">
        <f>VLOOKUP(B930,[1]Nuclides!A:E,5,FALSE)</f>
        <v>Te113</v>
      </c>
      <c r="F930">
        <f>VLOOKUP(B930,[1]Nuclides!A:E,4,FALSE)</f>
        <v>102</v>
      </c>
      <c r="G930" t="str">
        <f t="shared" si="80"/>
        <v>1.7min</v>
      </c>
      <c r="H930">
        <f t="shared" si="81"/>
        <v>6.7955605937249537E-3</v>
      </c>
      <c r="I930">
        <f t="shared" si="82"/>
        <v>0</v>
      </c>
      <c r="J930">
        <f t="shared" si="83"/>
        <v>0</v>
      </c>
      <c r="K930" t="str">
        <f t="shared" si="84"/>
        <v>Te113</v>
      </c>
    </row>
    <row r="931" spans="2:11" hidden="1" x14ac:dyDescent="0.2">
      <c r="B931" s="4">
        <v>52114</v>
      </c>
      <c r="C931" s="4">
        <v>0</v>
      </c>
      <c r="D931">
        <v>0</v>
      </c>
      <c r="E931" t="str">
        <f>VLOOKUP(B931,[1]Nuclides!A:E,5,FALSE)</f>
        <v>Te114</v>
      </c>
      <c r="F931">
        <f>VLOOKUP(B931,[1]Nuclides!A:E,4,FALSE)</f>
        <v>912</v>
      </c>
      <c r="G931" t="str">
        <f t="shared" si="80"/>
        <v>15.2min</v>
      </c>
      <c r="H931">
        <f t="shared" si="81"/>
        <v>7.6002980324555401E-4</v>
      </c>
      <c r="I931">
        <f t="shared" si="82"/>
        <v>0</v>
      </c>
      <c r="J931">
        <f t="shared" si="83"/>
        <v>0</v>
      </c>
      <c r="K931" t="str">
        <f t="shared" si="84"/>
        <v>Te114</v>
      </c>
    </row>
    <row r="932" spans="2:11" hidden="1" x14ac:dyDescent="0.2">
      <c r="B932" s="4">
        <v>52115</v>
      </c>
      <c r="C932" s="4">
        <v>0</v>
      </c>
      <c r="D932">
        <v>0</v>
      </c>
      <c r="E932" t="str">
        <f>VLOOKUP(B932,[1]Nuclides!A:E,5,FALSE)</f>
        <v>Te115</v>
      </c>
      <c r="F932">
        <f>VLOOKUP(B932,[1]Nuclides!A:E,4,FALSE)</f>
        <v>348</v>
      </c>
      <c r="G932" t="str">
        <f t="shared" si="80"/>
        <v>5.8min</v>
      </c>
      <c r="H932">
        <f t="shared" si="81"/>
        <v>1.9918022429883486E-3</v>
      </c>
      <c r="I932">
        <f t="shared" si="82"/>
        <v>0</v>
      </c>
      <c r="J932">
        <f t="shared" si="83"/>
        <v>0</v>
      </c>
      <c r="K932" t="str">
        <f t="shared" si="84"/>
        <v>Te115</v>
      </c>
    </row>
    <row r="933" spans="2:11" hidden="1" x14ac:dyDescent="0.2">
      <c r="B933" s="4">
        <v>52116</v>
      </c>
      <c r="C933" s="4">
        <v>0</v>
      </c>
      <c r="D933">
        <v>0</v>
      </c>
      <c r="E933" t="str">
        <f>VLOOKUP(B933,[1]Nuclides!A:E,5,FALSE)</f>
        <v>Te116</v>
      </c>
      <c r="F933">
        <f>VLOOKUP(B933,[1]Nuclides!A:E,4,FALSE)</f>
        <v>8964</v>
      </c>
      <c r="G933" t="str">
        <f t="shared" si="80"/>
        <v>2.49h</v>
      </c>
      <c r="H933">
        <f t="shared" si="81"/>
        <v>7.7325656019627993E-5</v>
      </c>
      <c r="I933">
        <f t="shared" si="82"/>
        <v>0</v>
      </c>
      <c r="J933">
        <f t="shared" si="83"/>
        <v>0</v>
      </c>
      <c r="K933" t="str">
        <f t="shared" si="84"/>
        <v>Te116</v>
      </c>
    </row>
    <row r="934" spans="2:11" hidden="1" x14ac:dyDescent="0.2">
      <c r="B934" s="4">
        <v>52117</v>
      </c>
      <c r="C934" s="4">
        <v>0</v>
      </c>
      <c r="D934">
        <v>0</v>
      </c>
      <c r="E934" t="str">
        <f>VLOOKUP(B934,[1]Nuclides!A:E,5,FALSE)</f>
        <v>Te117</v>
      </c>
      <c r="F934">
        <f>VLOOKUP(B934,[1]Nuclides!A:E,4,FALSE)</f>
        <v>3720</v>
      </c>
      <c r="G934" t="str">
        <f t="shared" si="80"/>
        <v>1.03h</v>
      </c>
      <c r="H934">
        <f t="shared" si="81"/>
        <v>1.8632988724729711E-4</v>
      </c>
      <c r="I934">
        <f t="shared" si="82"/>
        <v>0</v>
      </c>
      <c r="J934">
        <f t="shared" si="83"/>
        <v>0</v>
      </c>
      <c r="K934" t="str">
        <f t="shared" si="84"/>
        <v>Te117</v>
      </c>
    </row>
    <row r="935" spans="2:11" hidden="1" x14ac:dyDescent="0.2">
      <c r="B935" s="4">
        <v>52118</v>
      </c>
      <c r="C935" s="4">
        <v>0</v>
      </c>
      <c r="D935">
        <v>0</v>
      </c>
      <c r="E935" t="str">
        <f>VLOOKUP(B935,[1]Nuclides!A:E,5,FALSE)</f>
        <v>Te118</v>
      </c>
      <c r="F935">
        <f>VLOOKUP(B935,[1]Nuclides!A:E,4,FALSE)</f>
        <v>518400</v>
      </c>
      <c r="G935" t="str">
        <f t="shared" si="80"/>
        <v>6d</v>
      </c>
      <c r="H935">
        <f t="shared" si="81"/>
        <v>1.3370894686727339E-6</v>
      </c>
      <c r="I935">
        <f t="shared" si="82"/>
        <v>0</v>
      </c>
      <c r="J935">
        <f t="shared" si="83"/>
        <v>0</v>
      </c>
      <c r="K935" t="str">
        <f t="shared" si="84"/>
        <v>Te118</v>
      </c>
    </row>
    <row r="936" spans="2:11" hidden="1" x14ac:dyDescent="0.2">
      <c r="B936" s="4">
        <v>52119</v>
      </c>
      <c r="C936" s="4">
        <v>0</v>
      </c>
      <c r="D936">
        <v>0</v>
      </c>
      <c r="E936" t="str">
        <f>VLOOKUP(B936,[1]Nuclides!A:E,5,FALSE)</f>
        <v>Te119</v>
      </c>
      <c r="F936">
        <f>VLOOKUP(B936,[1]Nuclides!A:E,4,FALSE)</f>
        <v>57780</v>
      </c>
      <c r="G936" t="str">
        <f t="shared" si="80"/>
        <v>16.05h</v>
      </c>
      <c r="H936">
        <f t="shared" si="81"/>
        <v>1.1996316728278734E-5</v>
      </c>
      <c r="I936">
        <f t="shared" si="82"/>
        <v>0</v>
      </c>
      <c r="J936">
        <f t="shared" si="83"/>
        <v>0</v>
      </c>
      <c r="K936" t="str">
        <f t="shared" si="84"/>
        <v>Te119</v>
      </c>
    </row>
    <row r="937" spans="2:11" hidden="1" x14ac:dyDescent="0.2">
      <c r="B937" s="4">
        <v>52120</v>
      </c>
      <c r="C937" s="4">
        <v>0</v>
      </c>
      <c r="D937">
        <v>0</v>
      </c>
      <c r="E937" t="str">
        <f>VLOOKUP(B937,[1]Nuclides!A:E,5,FALSE)</f>
        <v>Te120</v>
      </c>
      <c r="F937" t="str">
        <f>VLOOKUP(B937,[1]Nuclides!A:E,4,FALSE)</f>
        <v>STABLE</v>
      </c>
      <c r="G937" t="str">
        <f t="shared" si="80"/>
        <v>STABLE</v>
      </c>
      <c r="H937" t="e">
        <f t="shared" si="81"/>
        <v>#VALUE!</v>
      </c>
      <c r="I937" t="e">
        <f t="shared" si="82"/>
        <v>#VALUE!</v>
      </c>
      <c r="J937" t="e">
        <f t="shared" si="83"/>
        <v>#VALUE!</v>
      </c>
      <c r="K937" t="str">
        <f t="shared" si="84"/>
        <v>Te120</v>
      </c>
    </row>
    <row r="938" spans="2:11" hidden="1" x14ac:dyDescent="0.2">
      <c r="B938" s="4">
        <v>52121</v>
      </c>
      <c r="C938" s="4">
        <v>0</v>
      </c>
      <c r="D938">
        <v>0</v>
      </c>
      <c r="E938" t="str">
        <f>VLOOKUP(B938,[1]Nuclides!A:E,5,FALSE)</f>
        <v>Te121</v>
      </c>
      <c r="F938">
        <f>VLOOKUP(B938,[1]Nuclides!A:E,4,FALSE)</f>
        <v>1656288</v>
      </c>
      <c r="G938" t="str">
        <f t="shared" si="80"/>
        <v>19.17d</v>
      </c>
      <c r="H938">
        <f t="shared" si="81"/>
        <v>4.1849435639209198E-7</v>
      </c>
      <c r="I938">
        <f t="shared" si="82"/>
        <v>0</v>
      </c>
      <c r="J938">
        <f t="shared" si="83"/>
        <v>0</v>
      </c>
      <c r="K938" t="str">
        <f t="shared" si="84"/>
        <v>Te121</v>
      </c>
    </row>
    <row r="939" spans="2:11" hidden="1" x14ac:dyDescent="0.2">
      <c r="B939" s="4">
        <v>52122</v>
      </c>
      <c r="C939" s="4">
        <v>0</v>
      </c>
      <c r="D939">
        <v>0</v>
      </c>
      <c r="E939" t="str">
        <f>VLOOKUP(B939,[1]Nuclides!A:E,5,FALSE)</f>
        <v>Te122</v>
      </c>
      <c r="F939" t="str">
        <f>VLOOKUP(B939,[1]Nuclides!A:E,4,FALSE)</f>
        <v>STABLE</v>
      </c>
      <c r="G939" t="str">
        <f t="shared" si="80"/>
        <v>STABLE</v>
      </c>
      <c r="H939" t="e">
        <f t="shared" si="81"/>
        <v>#VALUE!</v>
      </c>
      <c r="I939" t="e">
        <f t="shared" si="82"/>
        <v>#VALUE!</v>
      </c>
      <c r="J939" t="e">
        <f t="shared" si="83"/>
        <v>#VALUE!</v>
      </c>
      <c r="K939" t="str">
        <f t="shared" si="84"/>
        <v>Te122</v>
      </c>
    </row>
    <row r="940" spans="2:11" hidden="1" x14ac:dyDescent="0.2">
      <c r="B940" s="4">
        <v>52123</v>
      </c>
      <c r="C940" s="4">
        <v>0</v>
      </c>
      <c r="D940">
        <v>0</v>
      </c>
      <c r="E940" t="str">
        <f>VLOOKUP(B940,[1]Nuclides!A:E,5,FALSE)</f>
        <v>Te123</v>
      </c>
      <c r="F940">
        <f>VLOOKUP(B940,[1]Nuclides!A:E,4,FALSE)</f>
        <v>2.9032991999999999E+24</v>
      </c>
      <c r="G940" t="str">
        <f t="shared" si="80"/>
        <v>92063013698630100y</v>
      </c>
      <c r="H940">
        <f t="shared" si="81"/>
        <v>2.3874466006119702E-25</v>
      </c>
      <c r="I940">
        <f t="shared" si="82"/>
        <v>0</v>
      </c>
      <c r="J940">
        <f t="shared" si="83"/>
        <v>0</v>
      </c>
      <c r="K940" t="str">
        <f t="shared" si="84"/>
        <v>Te123</v>
      </c>
    </row>
    <row r="941" spans="2:11" hidden="1" x14ac:dyDescent="0.2">
      <c r="B941" s="4">
        <v>52124</v>
      </c>
      <c r="C941" s="4">
        <v>0</v>
      </c>
      <c r="D941">
        <v>0</v>
      </c>
      <c r="E941" t="str">
        <f>VLOOKUP(B941,[1]Nuclides!A:E,5,FALSE)</f>
        <v>Te124</v>
      </c>
      <c r="F941" t="str">
        <f>VLOOKUP(B941,[1]Nuclides!A:E,4,FALSE)</f>
        <v>STABLE</v>
      </c>
      <c r="G941" t="str">
        <f t="shared" si="80"/>
        <v>STABLE</v>
      </c>
      <c r="H941" t="e">
        <f t="shared" si="81"/>
        <v>#VALUE!</v>
      </c>
      <c r="I941" t="e">
        <f t="shared" si="82"/>
        <v>#VALUE!</v>
      </c>
      <c r="J941" t="e">
        <f t="shared" si="83"/>
        <v>#VALUE!</v>
      </c>
      <c r="K941" t="str">
        <f t="shared" si="84"/>
        <v>Te124</v>
      </c>
    </row>
    <row r="942" spans="2:11" hidden="1" x14ac:dyDescent="0.2">
      <c r="B942" s="4">
        <v>52125</v>
      </c>
      <c r="C942" s="4">
        <v>0</v>
      </c>
      <c r="D942">
        <v>0</v>
      </c>
      <c r="E942" t="str">
        <f>VLOOKUP(B942,[1]Nuclides!A:E,5,FALSE)</f>
        <v>Te125</v>
      </c>
      <c r="F942" t="str">
        <f>VLOOKUP(B942,[1]Nuclides!A:E,4,FALSE)</f>
        <v>STABLE</v>
      </c>
      <c r="G942" t="str">
        <f t="shared" si="80"/>
        <v>STABLE</v>
      </c>
      <c r="H942" t="e">
        <f t="shared" si="81"/>
        <v>#VALUE!</v>
      </c>
      <c r="I942" t="e">
        <f t="shared" si="82"/>
        <v>#VALUE!</v>
      </c>
      <c r="J942" t="e">
        <f t="shared" si="83"/>
        <v>#VALUE!</v>
      </c>
      <c r="K942" t="str">
        <f t="shared" si="84"/>
        <v>Te125</v>
      </c>
    </row>
    <row r="943" spans="2:11" hidden="1" x14ac:dyDescent="0.2">
      <c r="B943" s="4">
        <v>52126</v>
      </c>
      <c r="C943" s="4">
        <v>0</v>
      </c>
      <c r="D943">
        <v>0</v>
      </c>
      <c r="E943" t="str">
        <f>VLOOKUP(B943,[1]Nuclides!A:E,5,FALSE)</f>
        <v>Te126</v>
      </c>
      <c r="F943" t="str">
        <f>VLOOKUP(B943,[1]Nuclides!A:E,4,FALSE)</f>
        <v>STABLE</v>
      </c>
      <c r="G943" t="str">
        <f t="shared" si="80"/>
        <v>STABLE</v>
      </c>
      <c r="H943" t="e">
        <f t="shared" si="81"/>
        <v>#VALUE!</v>
      </c>
      <c r="I943" t="e">
        <f t="shared" si="82"/>
        <v>#VALUE!</v>
      </c>
      <c r="J943" t="e">
        <f t="shared" si="83"/>
        <v>#VALUE!</v>
      </c>
      <c r="K943" t="str">
        <f t="shared" si="84"/>
        <v>Te126</v>
      </c>
    </row>
    <row r="944" spans="2:11" hidden="1" x14ac:dyDescent="0.2">
      <c r="B944" s="4">
        <v>52127</v>
      </c>
      <c r="C944" s="4">
        <v>0</v>
      </c>
      <c r="D944">
        <v>0</v>
      </c>
      <c r="E944" t="str">
        <f>VLOOKUP(B944,[1]Nuclides!A:E,5,FALSE)</f>
        <v>Te127</v>
      </c>
      <c r="F944">
        <f>VLOOKUP(B944,[1]Nuclides!A:E,4,FALSE)</f>
        <v>33660</v>
      </c>
      <c r="G944" t="str">
        <f t="shared" si="80"/>
        <v>9.35h</v>
      </c>
      <c r="H944">
        <f t="shared" si="81"/>
        <v>2.0592607859772586E-5</v>
      </c>
      <c r="I944">
        <f t="shared" si="82"/>
        <v>0</v>
      </c>
      <c r="J944">
        <f t="shared" si="83"/>
        <v>0</v>
      </c>
      <c r="K944" t="str">
        <f t="shared" si="84"/>
        <v>Te127</v>
      </c>
    </row>
    <row r="945" spans="2:11" hidden="1" x14ac:dyDescent="0.2">
      <c r="B945" s="4">
        <v>52128</v>
      </c>
      <c r="C945" s="4">
        <v>0</v>
      </c>
      <c r="D945">
        <v>0</v>
      </c>
      <c r="E945" t="str">
        <f>VLOOKUP(B945,[1]Nuclides!A:E,5,FALSE)</f>
        <v>Te128</v>
      </c>
      <c r="F945">
        <f>VLOOKUP(B945,[1]Nuclides!A:E,4,FALSE)</f>
        <v>7.6053815999999996E+31</v>
      </c>
      <c r="G945" t="str">
        <f t="shared" si="80"/>
        <v>2.41165068493151E+24y</v>
      </c>
      <c r="H945">
        <f t="shared" si="81"/>
        <v>9.1139040355311737E-33</v>
      </c>
      <c r="I945">
        <f t="shared" si="82"/>
        <v>0</v>
      </c>
      <c r="J945">
        <f t="shared" si="83"/>
        <v>0</v>
      </c>
      <c r="K945" t="str">
        <f t="shared" si="84"/>
        <v>Te128</v>
      </c>
    </row>
    <row r="946" spans="2:11" hidden="1" x14ac:dyDescent="0.2">
      <c r="B946" s="4">
        <v>52129</v>
      </c>
      <c r="C946" s="4">
        <v>0</v>
      </c>
      <c r="D946">
        <v>0</v>
      </c>
      <c r="E946" t="str">
        <f>VLOOKUP(B946,[1]Nuclides!A:E,5,FALSE)</f>
        <v>Te129</v>
      </c>
      <c r="F946">
        <f>VLOOKUP(B946,[1]Nuclides!A:E,4,FALSE)</f>
        <v>4194</v>
      </c>
      <c r="G946" t="str">
        <f t="shared" si="80"/>
        <v>1.17h</v>
      </c>
      <c r="H946">
        <f t="shared" si="81"/>
        <v>1.6527114462564266E-4</v>
      </c>
      <c r="I946">
        <f t="shared" si="82"/>
        <v>0</v>
      </c>
      <c r="J946">
        <f t="shared" si="83"/>
        <v>0</v>
      </c>
      <c r="K946" t="str">
        <f t="shared" si="84"/>
        <v>Te129</v>
      </c>
    </row>
    <row r="947" spans="2:11" hidden="1" x14ac:dyDescent="0.2">
      <c r="B947" s="4">
        <v>52130</v>
      </c>
      <c r="C947" s="4">
        <v>0</v>
      </c>
      <c r="D947">
        <v>0</v>
      </c>
      <c r="E947" t="str">
        <f>VLOOKUP(B947,[1]Nuclides!A:E,5,FALSE)</f>
        <v>Te130</v>
      </c>
      <c r="F947">
        <f>VLOOKUP(B947,[1]Nuclides!A:E,4,FALSE)</f>
        <v>9.46728E+31</v>
      </c>
      <c r="G947" t="str">
        <f t="shared" si="80"/>
        <v>3.00205479452055E+24y</v>
      </c>
      <c r="H947">
        <f t="shared" si="81"/>
        <v>7.321502908543376E-33</v>
      </c>
      <c r="I947">
        <f t="shared" si="82"/>
        <v>0</v>
      </c>
      <c r="J947">
        <f t="shared" si="83"/>
        <v>0</v>
      </c>
      <c r="K947" t="str">
        <f t="shared" si="84"/>
        <v>Te130</v>
      </c>
    </row>
    <row r="948" spans="2:11" hidden="1" x14ac:dyDescent="0.2">
      <c r="B948" s="4">
        <v>52131</v>
      </c>
      <c r="C948" s="4">
        <v>0</v>
      </c>
      <c r="D948">
        <v>0</v>
      </c>
      <c r="E948" t="str">
        <f>VLOOKUP(B948,[1]Nuclides!A:E,5,FALSE)</f>
        <v>Te131</v>
      </c>
      <c r="F948">
        <f>VLOOKUP(B948,[1]Nuclides!A:E,4,FALSE)</f>
        <v>1500</v>
      </c>
      <c r="G948" t="str">
        <f t="shared" si="80"/>
        <v>25min</v>
      </c>
      <c r="H948">
        <f t="shared" si="81"/>
        <v>4.6209812037329687E-4</v>
      </c>
      <c r="I948">
        <f t="shared" si="82"/>
        <v>0</v>
      </c>
      <c r="J948">
        <f t="shared" si="83"/>
        <v>0</v>
      </c>
      <c r="K948" t="str">
        <f t="shared" si="84"/>
        <v>Te131</v>
      </c>
    </row>
    <row r="949" spans="2:11" hidden="1" x14ac:dyDescent="0.2">
      <c r="B949" s="4">
        <v>52132</v>
      </c>
      <c r="C949" s="4">
        <v>0</v>
      </c>
      <c r="D949">
        <v>0</v>
      </c>
      <c r="E949" t="str">
        <f>VLOOKUP(B949,[1]Nuclides!A:E,5,FALSE)</f>
        <v>Te132</v>
      </c>
      <c r="F949">
        <f>VLOOKUP(B949,[1]Nuclides!A:E,4,FALSE)</f>
        <v>276825.59999999998</v>
      </c>
      <c r="G949" t="str">
        <f t="shared" si="80"/>
        <v>3.2d</v>
      </c>
      <c r="H949">
        <f t="shared" si="81"/>
        <v>2.5039128626830225E-6</v>
      </c>
      <c r="I949">
        <f t="shared" si="82"/>
        <v>0</v>
      </c>
      <c r="J949">
        <f t="shared" si="83"/>
        <v>0</v>
      </c>
      <c r="K949" t="str">
        <f t="shared" si="84"/>
        <v>Te132</v>
      </c>
    </row>
    <row r="950" spans="2:11" hidden="1" x14ac:dyDescent="0.2">
      <c r="B950" s="4">
        <v>52133</v>
      </c>
      <c r="C950" s="4">
        <v>0</v>
      </c>
      <c r="D950">
        <v>0</v>
      </c>
      <c r="E950" t="str">
        <f>VLOOKUP(B950,[1]Nuclides!A:E,5,FALSE)</f>
        <v>Te133</v>
      </c>
      <c r="F950">
        <f>VLOOKUP(B950,[1]Nuclides!A:E,4,FALSE)</f>
        <v>750</v>
      </c>
      <c r="G950" t="str">
        <f t="shared" si="80"/>
        <v>12.5min</v>
      </c>
      <c r="H950">
        <f t="shared" si="81"/>
        <v>9.2419624074659373E-4</v>
      </c>
      <c r="I950">
        <f t="shared" si="82"/>
        <v>0</v>
      </c>
      <c r="J950">
        <f t="shared" si="83"/>
        <v>0</v>
      </c>
      <c r="K950" t="str">
        <f t="shared" si="84"/>
        <v>Te133</v>
      </c>
    </row>
    <row r="951" spans="2:11" hidden="1" x14ac:dyDescent="0.2">
      <c r="B951" s="4">
        <v>52134</v>
      </c>
      <c r="C951" s="4">
        <v>0</v>
      </c>
      <c r="D951">
        <v>0</v>
      </c>
      <c r="E951" t="str">
        <f>VLOOKUP(B951,[1]Nuclides!A:E,5,FALSE)</f>
        <v>Te134</v>
      </c>
      <c r="F951">
        <f>VLOOKUP(B951,[1]Nuclides!A:E,4,FALSE)</f>
        <v>2508</v>
      </c>
      <c r="G951" t="str">
        <f t="shared" si="80"/>
        <v>41.8min</v>
      </c>
      <c r="H951">
        <f t="shared" si="81"/>
        <v>2.7637447390747421E-4</v>
      </c>
      <c r="I951">
        <f t="shared" si="82"/>
        <v>0</v>
      </c>
      <c r="J951">
        <f t="shared" si="83"/>
        <v>0</v>
      </c>
      <c r="K951" t="str">
        <f t="shared" si="84"/>
        <v>Te134</v>
      </c>
    </row>
    <row r="952" spans="2:11" hidden="1" x14ac:dyDescent="0.2">
      <c r="B952" s="4">
        <v>52135</v>
      </c>
      <c r="C952" s="4">
        <v>0</v>
      </c>
      <c r="D952">
        <v>0</v>
      </c>
      <c r="E952" t="str">
        <f>VLOOKUP(B952,[1]Nuclides!A:E,5,FALSE)</f>
        <v>Te135</v>
      </c>
      <c r="F952">
        <f>VLOOKUP(B952,[1]Nuclides!A:E,4,FALSE)</f>
        <v>19</v>
      </c>
      <c r="G952" t="str">
        <f t="shared" si="80"/>
        <v>19s</v>
      </c>
      <c r="H952">
        <f t="shared" si="81"/>
        <v>3.6481430555786593E-2</v>
      </c>
      <c r="I952">
        <f t="shared" si="82"/>
        <v>0</v>
      </c>
      <c r="J952">
        <f t="shared" si="83"/>
        <v>0</v>
      </c>
      <c r="K952" t="str">
        <f t="shared" si="84"/>
        <v>Te135</v>
      </c>
    </row>
    <row r="953" spans="2:11" hidden="1" x14ac:dyDescent="0.2">
      <c r="B953" s="4">
        <v>52136</v>
      </c>
      <c r="C953" s="4">
        <v>0</v>
      </c>
      <c r="D953">
        <v>0</v>
      </c>
      <c r="E953" t="str">
        <f>VLOOKUP(B953,[1]Nuclides!A:E,5,FALSE)</f>
        <v>Te136</v>
      </c>
      <c r="F953">
        <f>VLOOKUP(B953,[1]Nuclides!A:E,4,FALSE)</f>
        <v>17.63</v>
      </c>
      <c r="G953" t="str">
        <f t="shared" si="80"/>
        <v>17.63s</v>
      </c>
      <c r="H953">
        <f t="shared" si="81"/>
        <v>3.9316346032895369E-2</v>
      </c>
      <c r="I953">
        <f t="shared" si="82"/>
        <v>0</v>
      </c>
      <c r="J953">
        <f t="shared" si="83"/>
        <v>0</v>
      </c>
      <c r="K953" t="str">
        <f t="shared" si="84"/>
        <v>Te136</v>
      </c>
    </row>
    <row r="954" spans="2:11" hidden="1" x14ac:dyDescent="0.2">
      <c r="B954" s="4">
        <v>52137</v>
      </c>
      <c r="C954" s="4">
        <v>0</v>
      </c>
      <c r="D954">
        <v>0</v>
      </c>
      <c r="E954" t="str">
        <f>VLOOKUP(B954,[1]Nuclides!A:E,5,FALSE)</f>
        <v>Te137</v>
      </c>
      <c r="F954">
        <f>VLOOKUP(B954,[1]Nuclides!A:E,4,FALSE)</f>
        <v>2.4900000000000002</v>
      </c>
      <c r="G954" t="str">
        <f t="shared" si="80"/>
        <v>2.49s</v>
      </c>
      <c r="H954">
        <f t="shared" si="81"/>
        <v>0.27837236167066071</v>
      </c>
      <c r="I954">
        <f t="shared" si="82"/>
        <v>0</v>
      </c>
      <c r="J954">
        <f t="shared" si="83"/>
        <v>0</v>
      </c>
      <c r="K954" t="str">
        <f t="shared" si="84"/>
        <v>Te137</v>
      </c>
    </row>
    <row r="955" spans="2:11" hidden="1" x14ac:dyDescent="0.2">
      <c r="B955" s="4">
        <v>52138</v>
      </c>
      <c r="C955" s="4">
        <v>0</v>
      </c>
      <c r="D955">
        <v>0</v>
      </c>
      <c r="E955" t="str">
        <f>VLOOKUP(B955,[1]Nuclides!A:E,5,FALSE)</f>
        <v>Te138</v>
      </c>
      <c r="F955">
        <f>VLOOKUP(B955,[1]Nuclides!A:E,4,FALSE)</f>
        <v>1.4</v>
      </c>
      <c r="G955" t="str">
        <f t="shared" si="80"/>
        <v>1.4s</v>
      </c>
      <c r="H955">
        <f t="shared" si="81"/>
        <v>0.49510512897138953</v>
      </c>
      <c r="I955">
        <f t="shared" si="82"/>
        <v>0</v>
      </c>
      <c r="J955">
        <f t="shared" si="83"/>
        <v>0</v>
      </c>
      <c r="K955" t="str">
        <f t="shared" si="84"/>
        <v>Te138</v>
      </c>
    </row>
    <row r="956" spans="2:11" hidden="1" x14ac:dyDescent="0.2">
      <c r="B956" s="4">
        <v>53110</v>
      </c>
      <c r="C956" s="4">
        <v>0</v>
      </c>
      <c r="D956">
        <v>0</v>
      </c>
      <c r="E956" t="str">
        <f>VLOOKUP(B956,[1]Nuclides!A:E,5,FALSE)</f>
        <v>I110</v>
      </c>
      <c r="F956">
        <f>VLOOKUP(B956,[1]Nuclides!A:E,4,FALSE)</f>
        <v>0.65</v>
      </c>
      <c r="G956" t="str">
        <f t="shared" si="80"/>
        <v>0.65s</v>
      </c>
      <c r="H956">
        <f t="shared" si="81"/>
        <v>1.0663802777845313</v>
      </c>
      <c r="I956">
        <f t="shared" si="82"/>
        <v>0</v>
      </c>
      <c r="J956">
        <f t="shared" si="83"/>
        <v>0</v>
      </c>
      <c r="K956" t="str">
        <f t="shared" si="84"/>
        <v>I110</v>
      </c>
    </row>
    <row r="957" spans="2:11" hidden="1" x14ac:dyDescent="0.2">
      <c r="B957" s="4">
        <v>53111</v>
      </c>
      <c r="C957" s="4">
        <v>0</v>
      </c>
      <c r="D957">
        <v>0</v>
      </c>
      <c r="E957" t="str">
        <f>VLOOKUP(B957,[1]Nuclides!A:E,5,FALSE)</f>
        <v>I111</v>
      </c>
      <c r="F957">
        <f>VLOOKUP(B957,[1]Nuclides!A:E,4,FALSE)</f>
        <v>2.5</v>
      </c>
      <c r="G957" t="str">
        <f t="shared" si="80"/>
        <v>2.5s</v>
      </c>
      <c r="H957">
        <f t="shared" si="81"/>
        <v>0.2772588722239781</v>
      </c>
      <c r="I957">
        <f t="shared" si="82"/>
        <v>0</v>
      </c>
      <c r="J957">
        <f t="shared" si="83"/>
        <v>0</v>
      </c>
      <c r="K957" t="str">
        <f t="shared" si="84"/>
        <v>I111</v>
      </c>
    </row>
    <row r="958" spans="2:11" hidden="1" x14ac:dyDescent="0.2">
      <c r="B958" s="4">
        <v>53112</v>
      </c>
      <c r="C958" s="4">
        <v>0</v>
      </c>
      <c r="D958">
        <v>0</v>
      </c>
      <c r="E958" t="str">
        <f>VLOOKUP(B958,[1]Nuclides!A:E,5,FALSE)</f>
        <v>I112</v>
      </c>
      <c r="F958">
        <f>VLOOKUP(B958,[1]Nuclides!A:E,4,FALSE)</f>
        <v>3.34</v>
      </c>
      <c r="G958" t="str">
        <f t="shared" si="80"/>
        <v>3.34s</v>
      </c>
      <c r="H958">
        <f t="shared" si="81"/>
        <v>0.20752909597603153</v>
      </c>
      <c r="I958">
        <f t="shared" si="82"/>
        <v>0</v>
      </c>
      <c r="J958">
        <f t="shared" si="83"/>
        <v>0</v>
      </c>
      <c r="K958" t="str">
        <f t="shared" si="84"/>
        <v>I112</v>
      </c>
    </row>
    <row r="959" spans="2:11" hidden="1" x14ac:dyDescent="0.2">
      <c r="B959" s="4">
        <v>53113</v>
      </c>
      <c r="C959" s="4">
        <v>0</v>
      </c>
      <c r="D959">
        <v>0</v>
      </c>
      <c r="E959" t="str">
        <f>VLOOKUP(B959,[1]Nuclides!A:E,5,FALSE)</f>
        <v>I113</v>
      </c>
      <c r="F959">
        <f>VLOOKUP(B959,[1]Nuclides!A:E,4,FALSE)</f>
        <v>6.6</v>
      </c>
      <c r="G959" t="str">
        <f t="shared" si="80"/>
        <v>6.6s</v>
      </c>
      <c r="H959">
        <f t="shared" si="81"/>
        <v>0.1050223000848402</v>
      </c>
      <c r="I959">
        <f t="shared" si="82"/>
        <v>0</v>
      </c>
      <c r="J959">
        <f t="shared" si="83"/>
        <v>0</v>
      </c>
      <c r="K959" t="str">
        <f t="shared" si="84"/>
        <v>I113</v>
      </c>
    </row>
    <row r="960" spans="2:11" hidden="1" x14ac:dyDescent="0.2">
      <c r="B960" s="4">
        <v>53114</v>
      </c>
      <c r="C960" s="4">
        <v>0</v>
      </c>
      <c r="D960">
        <v>0</v>
      </c>
      <c r="E960" t="str">
        <f>VLOOKUP(B960,[1]Nuclides!A:E,5,FALSE)</f>
        <v>I114</v>
      </c>
      <c r="F960">
        <f>VLOOKUP(B960,[1]Nuclides!A:E,4,FALSE)</f>
        <v>2.1</v>
      </c>
      <c r="G960" t="str">
        <f t="shared" si="80"/>
        <v>2.1s</v>
      </c>
      <c r="H960">
        <f t="shared" si="81"/>
        <v>0.3300700859809263</v>
      </c>
      <c r="I960">
        <f t="shared" si="82"/>
        <v>0</v>
      </c>
      <c r="J960">
        <f t="shared" si="83"/>
        <v>0</v>
      </c>
      <c r="K960" t="str">
        <f t="shared" si="84"/>
        <v>I114</v>
      </c>
    </row>
    <row r="961" spans="2:11" hidden="1" x14ac:dyDescent="0.2">
      <c r="B961" s="4">
        <v>53115</v>
      </c>
      <c r="C961" s="4">
        <v>0</v>
      </c>
      <c r="D961">
        <v>0</v>
      </c>
      <c r="E961" t="str">
        <f>VLOOKUP(B961,[1]Nuclides!A:E,5,FALSE)</f>
        <v>I115</v>
      </c>
      <c r="F961">
        <f>VLOOKUP(B961,[1]Nuclides!A:E,4,FALSE)</f>
        <v>78</v>
      </c>
      <c r="G961" t="str">
        <f t="shared" si="80"/>
        <v>1.3min</v>
      </c>
      <c r="H961">
        <f t="shared" si="81"/>
        <v>8.8865023148710937E-3</v>
      </c>
      <c r="I961">
        <f t="shared" si="82"/>
        <v>0</v>
      </c>
      <c r="J961">
        <f t="shared" si="83"/>
        <v>0</v>
      </c>
      <c r="K961" t="str">
        <f t="shared" si="84"/>
        <v>I115</v>
      </c>
    </row>
    <row r="962" spans="2:11" hidden="1" x14ac:dyDescent="0.2">
      <c r="B962" s="4">
        <v>53116</v>
      </c>
      <c r="C962" s="4">
        <v>0</v>
      </c>
      <c r="D962">
        <v>0</v>
      </c>
      <c r="E962" t="str">
        <f>VLOOKUP(B962,[1]Nuclides!A:E,5,FALSE)</f>
        <v>I116</v>
      </c>
      <c r="F962">
        <f>VLOOKUP(B962,[1]Nuclides!A:E,4,FALSE)</f>
        <v>2.91</v>
      </c>
      <c r="G962" t="str">
        <f t="shared" si="80"/>
        <v>2.91s</v>
      </c>
      <c r="H962">
        <f t="shared" si="81"/>
        <v>0.23819490740891588</v>
      </c>
      <c r="I962">
        <f t="shared" si="82"/>
        <v>0</v>
      </c>
      <c r="J962">
        <f t="shared" si="83"/>
        <v>0</v>
      </c>
      <c r="K962" t="str">
        <f t="shared" si="84"/>
        <v>I116</v>
      </c>
    </row>
    <row r="963" spans="2:11" hidden="1" x14ac:dyDescent="0.2">
      <c r="B963" s="4">
        <v>53117</v>
      </c>
      <c r="C963" s="4">
        <v>0</v>
      </c>
      <c r="D963">
        <v>0</v>
      </c>
      <c r="E963" t="str">
        <f>VLOOKUP(B963,[1]Nuclides!A:E,5,FALSE)</f>
        <v>I117</v>
      </c>
      <c r="F963">
        <f>VLOOKUP(B963,[1]Nuclides!A:E,4,FALSE)</f>
        <v>133.19999999999999</v>
      </c>
      <c r="G963" t="str">
        <f t="shared" si="80"/>
        <v>2.22min</v>
      </c>
      <c r="H963">
        <f t="shared" si="81"/>
        <v>5.2038076618614515E-3</v>
      </c>
      <c r="I963">
        <f t="shared" si="82"/>
        <v>0</v>
      </c>
      <c r="J963">
        <f t="shared" si="83"/>
        <v>0</v>
      </c>
      <c r="K963" t="str">
        <f t="shared" si="84"/>
        <v>I117</v>
      </c>
    </row>
    <row r="964" spans="2:11" hidden="1" x14ac:dyDescent="0.2">
      <c r="B964" s="4">
        <v>53118</v>
      </c>
      <c r="C964" s="4">
        <v>0</v>
      </c>
      <c r="D964">
        <v>0</v>
      </c>
      <c r="E964" t="str">
        <f>VLOOKUP(B964,[1]Nuclides!A:E,5,FALSE)</f>
        <v>I118</v>
      </c>
      <c r="F964">
        <f>VLOOKUP(B964,[1]Nuclides!A:E,4,FALSE)</f>
        <v>822</v>
      </c>
      <c r="G964" t="str">
        <f t="shared" si="80"/>
        <v>13.7min</v>
      </c>
      <c r="H964">
        <f t="shared" si="81"/>
        <v>8.4324474520674608E-4</v>
      </c>
      <c r="I964">
        <f t="shared" si="82"/>
        <v>0</v>
      </c>
      <c r="J964">
        <f t="shared" si="83"/>
        <v>0</v>
      </c>
      <c r="K964" t="str">
        <f t="shared" si="84"/>
        <v>I118</v>
      </c>
    </row>
    <row r="965" spans="2:11" hidden="1" x14ac:dyDescent="0.2">
      <c r="B965" s="4">
        <v>53119</v>
      </c>
      <c r="C965" s="4">
        <v>0</v>
      </c>
      <c r="D965">
        <v>0</v>
      </c>
      <c r="E965" t="str">
        <f>VLOOKUP(B965,[1]Nuclides!A:E,5,FALSE)</f>
        <v>I119</v>
      </c>
      <c r="F965">
        <f>VLOOKUP(B965,[1]Nuclides!A:E,4,FALSE)</f>
        <v>1146</v>
      </c>
      <c r="G965" t="str">
        <f t="shared" ref="G965:G1028" si="85">IF(F965="STABLE", "STABLE", IF(F965&lt;60, F965&amp;"s", IF(F965&lt;3600, ROUND(F965/60,2)&amp;"min", IF(F965&lt;86400, ROUND(F965/3600,2)&amp;"h", IF(F965&lt;31536000, ROUND(F965/86400,2)&amp;"d", ROUND(F965/31536000,2)&amp;"y")))))</f>
        <v>19.1min</v>
      </c>
      <c r="H965">
        <f t="shared" ref="H965:H1028" si="86">LN(2)/F965</f>
        <v>6.0484047169279695E-4</v>
      </c>
      <c r="I965">
        <f t="shared" ref="I965:I1028" si="87">60*6240000000000*C965*(1-EXP(-H965*2*3600))</f>
        <v>0</v>
      </c>
      <c r="J965">
        <f t="shared" ref="J965:J1028" si="88">I965*EXP(-H965*96*3600)</f>
        <v>0</v>
      </c>
      <c r="K965" t="str">
        <f t="shared" ref="K965:K1028" si="89">E965</f>
        <v>I119</v>
      </c>
    </row>
    <row r="966" spans="2:11" hidden="1" x14ac:dyDescent="0.2">
      <c r="B966" s="4">
        <v>53120</v>
      </c>
      <c r="C966" s="4">
        <v>0</v>
      </c>
      <c r="D966">
        <v>0</v>
      </c>
      <c r="E966" t="str">
        <f>VLOOKUP(B966,[1]Nuclides!A:E,5,FALSE)</f>
        <v>I120</v>
      </c>
      <c r="F966">
        <f>VLOOKUP(B966,[1]Nuclides!A:E,4,FALSE)</f>
        <v>4896</v>
      </c>
      <c r="G966" t="str">
        <f t="shared" si="85"/>
        <v>1.36h</v>
      </c>
      <c r="H966">
        <f t="shared" si="86"/>
        <v>1.4157417903593654E-4</v>
      </c>
      <c r="I966">
        <f t="shared" si="87"/>
        <v>0</v>
      </c>
      <c r="J966">
        <f t="shared" si="88"/>
        <v>0</v>
      </c>
      <c r="K966" t="str">
        <f t="shared" si="89"/>
        <v>I120</v>
      </c>
    </row>
    <row r="967" spans="2:11" hidden="1" x14ac:dyDescent="0.2">
      <c r="B967" s="4">
        <v>53121</v>
      </c>
      <c r="C967" s="4">
        <v>0</v>
      </c>
      <c r="D967">
        <v>0</v>
      </c>
      <c r="E967" t="str">
        <f>VLOOKUP(B967,[1]Nuclides!A:E,5,FALSE)</f>
        <v>I121</v>
      </c>
      <c r="F967">
        <f>VLOOKUP(B967,[1]Nuclides!A:E,4,FALSE)</f>
        <v>7632</v>
      </c>
      <c r="G967" t="str">
        <f t="shared" si="85"/>
        <v>2.12h</v>
      </c>
      <c r="H967">
        <f t="shared" si="86"/>
        <v>9.0821171457015893E-5</v>
      </c>
      <c r="I967">
        <f t="shared" si="87"/>
        <v>0</v>
      </c>
      <c r="J967">
        <f t="shared" si="88"/>
        <v>0</v>
      </c>
      <c r="K967" t="str">
        <f t="shared" si="89"/>
        <v>I121</v>
      </c>
    </row>
    <row r="968" spans="2:11" hidden="1" x14ac:dyDescent="0.2">
      <c r="B968" s="4">
        <v>53122</v>
      </c>
      <c r="C968" s="4">
        <v>0</v>
      </c>
      <c r="D968">
        <v>0</v>
      </c>
      <c r="E968" t="str">
        <f>VLOOKUP(B968,[1]Nuclides!A:E,5,FALSE)</f>
        <v>I122</v>
      </c>
      <c r="F968">
        <f>VLOOKUP(B968,[1]Nuclides!A:E,4,FALSE)</f>
        <v>217.79999999999899</v>
      </c>
      <c r="G968" t="str">
        <f t="shared" si="85"/>
        <v>3.63min</v>
      </c>
      <c r="H968">
        <f t="shared" si="86"/>
        <v>3.1824939419648692E-3</v>
      </c>
      <c r="I968">
        <f t="shared" si="87"/>
        <v>0</v>
      </c>
      <c r="J968">
        <f t="shared" si="88"/>
        <v>0</v>
      </c>
      <c r="K968" t="str">
        <f t="shared" si="89"/>
        <v>I122</v>
      </c>
    </row>
    <row r="969" spans="2:11" hidden="1" x14ac:dyDescent="0.2">
      <c r="B969" s="4">
        <v>53123</v>
      </c>
      <c r="C969" s="4">
        <v>0</v>
      </c>
      <c r="D969">
        <v>0</v>
      </c>
      <c r="E969" t="str">
        <f>VLOOKUP(B969,[1]Nuclides!A:E,5,FALSE)</f>
        <v>I123</v>
      </c>
      <c r="F969">
        <f>VLOOKUP(B969,[1]Nuclides!A:E,4,FALSE)</f>
        <v>47604.6</v>
      </c>
      <c r="G969" t="str">
        <f t="shared" si="85"/>
        <v>13.22h</v>
      </c>
      <c r="H969">
        <f t="shared" si="86"/>
        <v>1.4560508450022588E-5</v>
      </c>
      <c r="I969">
        <f t="shared" si="87"/>
        <v>0</v>
      </c>
      <c r="J969">
        <f t="shared" si="88"/>
        <v>0</v>
      </c>
      <c r="K969" t="str">
        <f t="shared" si="89"/>
        <v>I123</v>
      </c>
    </row>
    <row r="970" spans="2:11" hidden="1" x14ac:dyDescent="0.2">
      <c r="B970" s="4">
        <v>53124</v>
      </c>
      <c r="C970" s="4">
        <v>0</v>
      </c>
      <c r="D970">
        <v>0</v>
      </c>
      <c r="E970" t="str">
        <f>VLOOKUP(B970,[1]Nuclides!A:E,5,FALSE)</f>
        <v>I124</v>
      </c>
      <c r="F970">
        <f>VLOOKUP(B970,[1]Nuclides!A:E,4,FALSE)</f>
        <v>360806.40000000002</v>
      </c>
      <c r="G970" t="str">
        <f t="shared" si="85"/>
        <v>4.18d</v>
      </c>
      <c r="H970">
        <f t="shared" si="86"/>
        <v>1.9211055584378362E-6</v>
      </c>
      <c r="I970">
        <f t="shared" si="87"/>
        <v>0</v>
      </c>
      <c r="J970">
        <f t="shared" si="88"/>
        <v>0</v>
      </c>
      <c r="K970" t="str">
        <f t="shared" si="89"/>
        <v>I124</v>
      </c>
    </row>
    <row r="971" spans="2:11" hidden="1" x14ac:dyDescent="0.2">
      <c r="B971" s="4">
        <v>53125</v>
      </c>
      <c r="C971" s="4">
        <v>0</v>
      </c>
      <c r="D971">
        <v>0</v>
      </c>
      <c r="E971" t="str">
        <f>VLOOKUP(B971,[1]Nuclides!A:E,5,FALSE)</f>
        <v>I125</v>
      </c>
      <c r="F971">
        <f>VLOOKUP(B971,[1]Nuclides!A:E,4,FALSE)</f>
        <v>5132764.8</v>
      </c>
      <c r="G971" t="str">
        <f t="shared" si="85"/>
        <v>59.41d</v>
      </c>
      <c r="H971">
        <f t="shared" si="86"/>
        <v>1.3504362805791244E-7</v>
      </c>
      <c r="I971">
        <f t="shared" si="87"/>
        <v>0</v>
      </c>
      <c r="J971">
        <f t="shared" si="88"/>
        <v>0</v>
      </c>
      <c r="K971" t="str">
        <f t="shared" si="89"/>
        <v>I125</v>
      </c>
    </row>
    <row r="972" spans="2:11" hidden="1" x14ac:dyDescent="0.2">
      <c r="B972" s="4">
        <v>53126</v>
      </c>
      <c r="C972" s="4">
        <v>0</v>
      </c>
      <c r="D972">
        <v>0</v>
      </c>
      <c r="E972" t="str">
        <f>VLOOKUP(B972,[1]Nuclides!A:E,5,FALSE)</f>
        <v>I126</v>
      </c>
      <c r="F972">
        <f>VLOOKUP(B972,[1]Nuclides!A:E,4,FALSE)</f>
        <v>1117152</v>
      </c>
      <c r="G972" t="str">
        <f t="shared" si="85"/>
        <v>12.93d</v>
      </c>
      <c r="H972">
        <f t="shared" si="86"/>
        <v>6.2045915019616423E-7</v>
      </c>
      <c r="I972">
        <f t="shared" si="87"/>
        <v>0</v>
      </c>
      <c r="J972">
        <f t="shared" si="88"/>
        <v>0</v>
      </c>
      <c r="K972" t="str">
        <f t="shared" si="89"/>
        <v>I126</v>
      </c>
    </row>
    <row r="973" spans="2:11" hidden="1" x14ac:dyDescent="0.2">
      <c r="B973" s="4">
        <v>53127</v>
      </c>
      <c r="C973" s="4">
        <v>0</v>
      </c>
      <c r="D973">
        <v>0</v>
      </c>
      <c r="E973" t="str">
        <f>VLOOKUP(B973,[1]Nuclides!A:E,5,FALSE)</f>
        <v>I127</v>
      </c>
      <c r="F973" t="str">
        <f>VLOOKUP(B973,[1]Nuclides!A:E,4,FALSE)</f>
        <v>STABLE</v>
      </c>
      <c r="G973" t="str">
        <f t="shared" si="85"/>
        <v>STABLE</v>
      </c>
      <c r="H973" t="e">
        <f t="shared" si="86"/>
        <v>#VALUE!</v>
      </c>
      <c r="I973" t="e">
        <f t="shared" si="87"/>
        <v>#VALUE!</v>
      </c>
      <c r="J973" t="e">
        <f t="shared" si="88"/>
        <v>#VALUE!</v>
      </c>
      <c r="K973" t="str">
        <f t="shared" si="89"/>
        <v>I127</v>
      </c>
    </row>
    <row r="974" spans="2:11" hidden="1" x14ac:dyDescent="0.2">
      <c r="B974" s="4">
        <v>53128</v>
      </c>
      <c r="C974" s="4">
        <v>0</v>
      </c>
      <c r="D974">
        <v>0</v>
      </c>
      <c r="E974" t="str">
        <f>VLOOKUP(B974,[1]Nuclides!A:E,5,FALSE)</f>
        <v>I128</v>
      </c>
      <c r="F974">
        <f>VLOOKUP(B974,[1]Nuclides!A:E,4,FALSE)</f>
        <v>1499.3999999999901</v>
      </c>
      <c r="G974" t="str">
        <f t="shared" si="85"/>
        <v>24.99min</v>
      </c>
      <c r="H974">
        <f t="shared" si="86"/>
        <v>4.622830335867346E-4</v>
      </c>
      <c r="I974">
        <f t="shared" si="87"/>
        <v>0</v>
      </c>
      <c r="J974">
        <f t="shared" si="88"/>
        <v>0</v>
      </c>
      <c r="K974" t="str">
        <f t="shared" si="89"/>
        <v>I128</v>
      </c>
    </row>
    <row r="975" spans="2:11" hidden="1" x14ac:dyDescent="0.2">
      <c r="B975" s="4">
        <v>53129</v>
      </c>
      <c r="C975" s="4">
        <v>0</v>
      </c>
      <c r="D975">
        <v>0</v>
      </c>
      <c r="E975" t="str">
        <f>VLOOKUP(B975,[1]Nuclides!A:E,5,FALSE)</f>
        <v>I129</v>
      </c>
      <c r="F975">
        <f>VLOOKUP(B975,[1]Nuclides!A:E,4,FALSE)</f>
        <v>495454320000000</v>
      </c>
      <c r="G975" t="str">
        <f t="shared" si="85"/>
        <v>15710753.42y</v>
      </c>
      <c r="H975">
        <f t="shared" si="86"/>
        <v>1.3990132946261228E-15</v>
      </c>
      <c r="I975">
        <f t="shared" si="87"/>
        <v>0</v>
      </c>
      <c r="J975">
        <f t="shared" si="88"/>
        <v>0</v>
      </c>
      <c r="K975" t="str">
        <f t="shared" si="89"/>
        <v>I129</v>
      </c>
    </row>
    <row r="976" spans="2:11" hidden="1" x14ac:dyDescent="0.2">
      <c r="B976" s="4">
        <v>53130</v>
      </c>
      <c r="C976" s="4">
        <v>0</v>
      </c>
      <c r="D976">
        <v>0</v>
      </c>
      <c r="E976" t="str">
        <f>VLOOKUP(B976,[1]Nuclides!A:E,5,FALSE)</f>
        <v>I130</v>
      </c>
      <c r="F976">
        <f>VLOOKUP(B976,[1]Nuclides!A:E,4,FALSE)</f>
        <v>44496</v>
      </c>
      <c r="G976" t="str">
        <f t="shared" si="85"/>
        <v>12.36h</v>
      </c>
      <c r="H976">
        <f t="shared" si="86"/>
        <v>1.5577741382594957E-5</v>
      </c>
      <c r="I976">
        <f t="shared" si="87"/>
        <v>0</v>
      </c>
      <c r="J976">
        <f t="shared" si="88"/>
        <v>0</v>
      </c>
      <c r="K976" t="str">
        <f t="shared" si="89"/>
        <v>I130</v>
      </c>
    </row>
    <row r="977" spans="2:11" hidden="1" x14ac:dyDescent="0.2">
      <c r="B977" s="4">
        <v>53131</v>
      </c>
      <c r="C977" s="4">
        <v>0</v>
      </c>
      <c r="D977">
        <v>0</v>
      </c>
      <c r="E977" t="str">
        <f>VLOOKUP(B977,[1]Nuclides!A:E,5,FALSE)</f>
        <v>I131</v>
      </c>
      <c r="F977">
        <f>VLOOKUP(B977,[1]Nuclides!A:E,4,FALSE)</f>
        <v>693377.28</v>
      </c>
      <c r="G977" t="str">
        <f t="shared" si="85"/>
        <v>8.03d</v>
      </c>
      <c r="H977">
        <f t="shared" si="86"/>
        <v>9.9966814684199819E-7</v>
      </c>
      <c r="I977">
        <f t="shared" si="87"/>
        <v>0</v>
      </c>
      <c r="J977">
        <f t="shared" si="88"/>
        <v>0</v>
      </c>
      <c r="K977" t="str">
        <f t="shared" si="89"/>
        <v>I131</v>
      </c>
    </row>
    <row r="978" spans="2:11" hidden="1" x14ac:dyDescent="0.2">
      <c r="B978" s="4">
        <v>53132</v>
      </c>
      <c r="C978" s="4">
        <v>0</v>
      </c>
      <c r="D978">
        <v>0</v>
      </c>
      <c r="E978" t="str">
        <f>VLOOKUP(B978,[1]Nuclides!A:E,5,FALSE)</f>
        <v>I132</v>
      </c>
      <c r="F978">
        <f>VLOOKUP(B978,[1]Nuclides!A:E,4,FALSE)</f>
        <v>8262</v>
      </c>
      <c r="G978" t="str">
        <f t="shared" si="85"/>
        <v>2.3h</v>
      </c>
      <c r="H978">
        <f t="shared" si="86"/>
        <v>8.389580979907351E-5</v>
      </c>
      <c r="I978">
        <f t="shared" si="87"/>
        <v>0</v>
      </c>
      <c r="J978">
        <f t="shared" si="88"/>
        <v>0</v>
      </c>
      <c r="K978" t="str">
        <f t="shared" si="89"/>
        <v>I132</v>
      </c>
    </row>
    <row r="979" spans="2:11" hidden="1" x14ac:dyDescent="0.2">
      <c r="B979" s="4">
        <v>53133</v>
      </c>
      <c r="C979" s="4">
        <v>0</v>
      </c>
      <c r="D979">
        <v>0</v>
      </c>
      <c r="E979" t="str">
        <f>VLOOKUP(B979,[1]Nuclides!A:E,5,FALSE)</f>
        <v>I133</v>
      </c>
      <c r="F979">
        <f>VLOOKUP(B979,[1]Nuclides!A:E,4,FALSE)</f>
        <v>74988</v>
      </c>
      <c r="G979" t="str">
        <f t="shared" si="85"/>
        <v>20.83h</v>
      </c>
      <c r="H979">
        <f t="shared" si="86"/>
        <v>9.2434413580832301E-6</v>
      </c>
      <c r="I979">
        <f t="shared" si="87"/>
        <v>0</v>
      </c>
      <c r="J979">
        <f t="shared" si="88"/>
        <v>0</v>
      </c>
      <c r="K979" t="str">
        <f t="shared" si="89"/>
        <v>I133</v>
      </c>
    </row>
    <row r="980" spans="2:11" hidden="1" x14ac:dyDescent="0.2">
      <c r="B980" s="4">
        <v>53134</v>
      </c>
      <c r="C980" s="4">
        <v>0</v>
      </c>
      <c r="D980">
        <v>0</v>
      </c>
      <c r="E980" t="str">
        <f>VLOOKUP(B980,[1]Nuclides!A:E,5,FALSE)</f>
        <v>I134</v>
      </c>
      <c r="F980">
        <f>VLOOKUP(B980,[1]Nuclides!A:E,4,FALSE)</f>
        <v>3150</v>
      </c>
      <c r="G980" t="str">
        <f t="shared" si="85"/>
        <v>52.5min</v>
      </c>
      <c r="H980">
        <f t="shared" si="86"/>
        <v>2.2004672398728421E-4</v>
      </c>
      <c r="I980">
        <f t="shared" si="87"/>
        <v>0</v>
      </c>
      <c r="J980">
        <f t="shared" si="88"/>
        <v>0</v>
      </c>
      <c r="K980" t="str">
        <f t="shared" si="89"/>
        <v>I134</v>
      </c>
    </row>
    <row r="981" spans="2:11" hidden="1" x14ac:dyDescent="0.2">
      <c r="B981" s="4">
        <v>53135</v>
      </c>
      <c r="C981" s="4">
        <v>0</v>
      </c>
      <c r="D981">
        <v>0</v>
      </c>
      <c r="E981" t="str">
        <f>VLOOKUP(B981,[1]Nuclides!A:E,5,FALSE)</f>
        <v>I135</v>
      </c>
      <c r="F981">
        <f>VLOOKUP(B981,[1]Nuclides!A:E,4,FALSE)</f>
        <v>23688</v>
      </c>
      <c r="G981" t="str">
        <f t="shared" si="85"/>
        <v>6.58h</v>
      </c>
      <c r="H981">
        <f t="shared" si="86"/>
        <v>2.9261532445117581E-5</v>
      </c>
      <c r="I981">
        <f t="shared" si="87"/>
        <v>0</v>
      </c>
      <c r="J981">
        <f t="shared" si="88"/>
        <v>0</v>
      </c>
      <c r="K981" t="str">
        <f t="shared" si="89"/>
        <v>I135</v>
      </c>
    </row>
    <row r="982" spans="2:11" hidden="1" x14ac:dyDescent="0.2">
      <c r="B982" s="4">
        <v>53136</v>
      </c>
      <c r="C982" s="4">
        <v>0</v>
      </c>
      <c r="D982">
        <v>0</v>
      </c>
      <c r="E982" t="str">
        <f>VLOOKUP(B982,[1]Nuclides!A:E,5,FALSE)</f>
        <v>I136</v>
      </c>
      <c r="F982">
        <f>VLOOKUP(B982,[1]Nuclides!A:E,4,FALSE)</f>
        <v>83.4</v>
      </c>
      <c r="G982" t="str">
        <f t="shared" si="85"/>
        <v>1.39min</v>
      </c>
      <c r="H982">
        <f t="shared" si="86"/>
        <v>8.3111172729010228E-3</v>
      </c>
      <c r="I982">
        <f t="shared" si="87"/>
        <v>0</v>
      </c>
      <c r="J982">
        <f t="shared" si="88"/>
        <v>0</v>
      </c>
      <c r="K982" t="str">
        <f t="shared" si="89"/>
        <v>I136</v>
      </c>
    </row>
    <row r="983" spans="2:11" hidden="1" x14ac:dyDescent="0.2">
      <c r="B983" s="4">
        <v>53137</v>
      </c>
      <c r="C983" s="4">
        <v>0</v>
      </c>
      <c r="D983">
        <v>0</v>
      </c>
      <c r="E983" t="str">
        <f>VLOOKUP(B983,[1]Nuclides!A:E,5,FALSE)</f>
        <v>I137</v>
      </c>
      <c r="F983">
        <f>VLOOKUP(B983,[1]Nuclides!A:E,4,FALSE)</f>
        <v>24.5</v>
      </c>
      <c r="G983" t="str">
        <f t="shared" si="85"/>
        <v>24.5s</v>
      </c>
      <c r="H983">
        <f t="shared" si="86"/>
        <v>2.829172165550797E-2</v>
      </c>
      <c r="I983">
        <f t="shared" si="87"/>
        <v>0</v>
      </c>
      <c r="J983">
        <f t="shared" si="88"/>
        <v>0</v>
      </c>
      <c r="K983" t="str">
        <f t="shared" si="89"/>
        <v>I137</v>
      </c>
    </row>
    <row r="984" spans="2:11" hidden="1" x14ac:dyDescent="0.2">
      <c r="B984" s="4">
        <v>53138</v>
      </c>
      <c r="C984" s="4">
        <v>0</v>
      </c>
      <c r="D984">
        <v>0</v>
      </c>
      <c r="E984" t="str">
        <f>VLOOKUP(B984,[1]Nuclides!A:E,5,FALSE)</f>
        <v>I138</v>
      </c>
      <c r="F984">
        <f>VLOOKUP(B984,[1]Nuclides!A:E,4,FALSE)</f>
        <v>6.23</v>
      </c>
      <c r="G984" t="str">
        <f t="shared" si="85"/>
        <v>6.23s</v>
      </c>
      <c r="H984">
        <f t="shared" si="86"/>
        <v>0.11125957954413246</v>
      </c>
      <c r="I984">
        <f t="shared" si="87"/>
        <v>0</v>
      </c>
      <c r="J984">
        <f t="shared" si="88"/>
        <v>0</v>
      </c>
      <c r="K984" t="str">
        <f t="shared" si="89"/>
        <v>I138</v>
      </c>
    </row>
    <row r="985" spans="2:11" hidden="1" x14ac:dyDescent="0.2">
      <c r="B985" s="4">
        <v>53139</v>
      </c>
      <c r="C985" s="4">
        <v>0</v>
      </c>
      <c r="D985">
        <v>0</v>
      </c>
      <c r="E985" t="str">
        <f>VLOOKUP(B985,[1]Nuclides!A:E,5,FALSE)</f>
        <v>I139</v>
      </c>
      <c r="F985">
        <f>VLOOKUP(B985,[1]Nuclides!A:E,4,FALSE)</f>
        <v>2.2799999999999998</v>
      </c>
      <c r="G985" t="str">
        <f t="shared" si="85"/>
        <v>2.28s</v>
      </c>
      <c r="H985">
        <f t="shared" si="86"/>
        <v>0.30401192129822163</v>
      </c>
      <c r="I985">
        <f t="shared" si="87"/>
        <v>0</v>
      </c>
      <c r="J985">
        <f t="shared" si="88"/>
        <v>0</v>
      </c>
      <c r="K985" t="str">
        <f t="shared" si="89"/>
        <v>I139</v>
      </c>
    </row>
    <row r="986" spans="2:11" hidden="1" x14ac:dyDescent="0.2">
      <c r="B986" s="4">
        <v>53140</v>
      </c>
      <c r="C986" s="4">
        <v>0</v>
      </c>
      <c r="D986">
        <v>0</v>
      </c>
      <c r="E986" t="str">
        <f>VLOOKUP(B986,[1]Nuclides!A:E,5,FALSE)</f>
        <v>I140</v>
      </c>
      <c r="F986">
        <f>VLOOKUP(B986,[1]Nuclides!A:E,4,FALSE)</f>
        <v>0.86</v>
      </c>
      <c r="G986" t="str">
        <f t="shared" si="85"/>
        <v>0.86s</v>
      </c>
      <c r="H986">
        <f t="shared" si="86"/>
        <v>0.805985093674355</v>
      </c>
      <c r="I986">
        <f t="shared" si="87"/>
        <v>0</v>
      </c>
      <c r="J986">
        <f t="shared" si="88"/>
        <v>0</v>
      </c>
      <c r="K986" t="str">
        <f t="shared" si="89"/>
        <v>I140</v>
      </c>
    </row>
    <row r="987" spans="2:11" hidden="1" x14ac:dyDescent="0.2">
      <c r="B987" s="4">
        <v>53141</v>
      </c>
      <c r="C987" s="4">
        <v>0</v>
      </c>
      <c r="D987">
        <v>0</v>
      </c>
      <c r="E987" t="str">
        <f>VLOOKUP(B987,[1]Nuclides!A:E,5,FALSE)</f>
        <v>I141</v>
      </c>
      <c r="F987">
        <f>VLOOKUP(B987,[1]Nuclides!A:E,4,FALSE)</f>
        <v>0.43</v>
      </c>
      <c r="G987" t="str">
        <f t="shared" si="85"/>
        <v>0.43s</v>
      </c>
      <c r="H987">
        <f t="shared" si="86"/>
        <v>1.61197018734871</v>
      </c>
      <c r="I987">
        <f t="shared" si="87"/>
        <v>0</v>
      </c>
      <c r="J987">
        <f t="shared" si="88"/>
        <v>0</v>
      </c>
      <c r="K987" t="str">
        <f t="shared" si="89"/>
        <v>I141</v>
      </c>
    </row>
    <row r="988" spans="2:11" hidden="1" x14ac:dyDescent="0.2">
      <c r="B988" s="4">
        <v>53142</v>
      </c>
      <c r="C988" s="4">
        <v>0</v>
      </c>
      <c r="D988">
        <v>0</v>
      </c>
      <c r="E988" t="str">
        <f>VLOOKUP(B988,[1]Nuclides!A:E,5,FALSE)</f>
        <v>I142</v>
      </c>
      <c r="F988">
        <f>VLOOKUP(B988,[1]Nuclides!A:E,4,FALSE)</f>
        <v>0.222</v>
      </c>
      <c r="G988" t="str">
        <f t="shared" si="85"/>
        <v>0.222s</v>
      </c>
      <c r="H988">
        <f t="shared" si="86"/>
        <v>3.1222845971168707</v>
      </c>
      <c r="I988">
        <f t="shared" si="87"/>
        <v>0</v>
      </c>
      <c r="J988">
        <f t="shared" si="88"/>
        <v>0</v>
      </c>
      <c r="K988" t="str">
        <f t="shared" si="89"/>
        <v>I142</v>
      </c>
    </row>
    <row r="989" spans="2:11" hidden="1" x14ac:dyDescent="0.2">
      <c r="B989" s="4">
        <v>54110</v>
      </c>
      <c r="C989" s="4">
        <v>0</v>
      </c>
      <c r="D989">
        <v>0</v>
      </c>
      <c r="E989" t="str">
        <f>VLOOKUP(B989,[1]Nuclides!A:E,5,FALSE)</f>
        <v>Xe110</v>
      </c>
      <c r="F989">
        <f>VLOOKUP(B989,[1]Nuclides!A:E,4,FALSE)</f>
        <v>9.2999999999999999E-2</v>
      </c>
      <c r="G989" t="str">
        <f t="shared" si="85"/>
        <v>0.093s</v>
      </c>
      <c r="H989">
        <f t="shared" si="86"/>
        <v>7.4531954898918853</v>
      </c>
      <c r="I989">
        <f t="shared" si="87"/>
        <v>0</v>
      </c>
      <c r="J989">
        <f t="shared" si="88"/>
        <v>0</v>
      </c>
      <c r="K989" t="str">
        <f t="shared" si="89"/>
        <v>Xe110</v>
      </c>
    </row>
    <row r="990" spans="2:11" hidden="1" x14ac:dyDescent="0.2">
      <c r="B990" s="4">
        <v>54111</v>
      </c>
      <c r="C990" s="4">
        <v>0</v>
      </c>
      <c r="D990">
        <v>0</v>
      </c>
      <c r="E990" t="str">
        <f>VLOOKUP(B990,[1]Nuclides!A:E,5,FALSE)</f>
        <v>Xe111</v>
      </c>
      <c r="F990">
        <f>VLOOKUP(B990,[1]Nuclides!A:E,4,FALSE)</f>
        <v>0.81</v>
      </c>
      <c r="G990" t="str">
        <f t="shared" si="85"/>
        <v>0.81s</v>
      </c>
      <c r="H990">
        <f t="shared" si="86"/>
        <v>0.85573725995054972</v>
      </c>
      <c r="I990">
        <f t="shared" si="87"/>
        <v>0</v>
      </c>
      <c r="J990">
        <f t="shared" si="88"/>
        <v>0</v>
      </c>
      <c r="K990" t="str">
        <f t="shared" si="89"/>
        <v>Xe111</v>
      </c>
    </row>
    <row r="991" spans="2:11" hidden="1" x14ac:dyDescent="0.2">
      <c r="B991" s="4">
        <v>54112</v>
      </c>
      <c r="C991" s="4">
        <v>0</v>
      </c>
      <c r="D991">
        <v>0</v>
      </c>
      <c r="E991" t="str">
        <f>VLOOKUP(B991,[1]Nuclides!A:E,5,FALSE)</f>
        <v>Xe112</v>
      </c>
      <c r="F991">
        <f>VLOOKUP(B991,[1]Nuclides!A:E,4,FALSE)</f>
        <v>2.7</v>
      </c>
      <c r="G991" t="str">
        <f t="shared" si="85"/>
        <v>2.7s</v>
      </c>
      <c r="H991">
        <f t="shared" si="86"/>
        <v>0.25672117798516492</v>
      </c>
      <c r="I991">
        <f t="shared" si="87"/>
        <v>0</v>
      </c>
      <c r="J991">
        <f t="shared" si="88"/>
        <v>0</v>
      </c>
      <c r="K991" t="str">
        <f t="shared" si="89"/>
        <v>Xe112</v>
      </c>
    </row>
    <row r="992" spans="2:11" hidden="1" x14ac:dyDescent="0.2">
      <c r="B992" s="4">
        <v>54113</v>
      </c>
      <c r="C992" s="4">
        <v>0</v>
      </c>
      <c r="D992">
        <v>0</v>
      </c>
      <c r="E992" t="str">
        <f>VLOOKUP(B992,[1]Nuclides!A:E,5,FALSE)</f>
        <v>Xe113</v>
      </c>
      <c r="F992">
        <f>VLOOKUP(B992,[1]Nuclides!A:E,4,FALSE)</f>
        <v>2.74</v>
      </c>
      <c r="G992" t="str">
        <f t="shared" si="85"/>
        <v>2.74s</v>
      </c>
      <c r="H992">
        <f t="shared" si="86"/>
        <v>0.25297342356202379</v>
      </c>
      <c r="I992">
        <f t="shared" si="87"/>
        <v>0</v>
      </c>
      <c r="J992">
        <f t="shared" si="88"/>
        <v>0</v>
      </c>
      <c r="K992" t="str">
        <f t="shared" si="89"/>
        <v>Xe113</v>
      </c>
    </row>
    <row r="993" spans="2:11" hidden="1" x14ac:dyDescent="0.2">
      <c r="B993" s="4">
        <v>54114</v>
      </c>
      <c r="C993" s="4">
        <v>0</v>
      </c>
      <c r="D993">
        <v>0</v>
      </c>
      <c r="E993" t="str">
        <f>VLOOKUP(B993,[1]Nuclides!A:E,5,FALSE)</f>
        <v>Xe114</v>
      </c>
      <c r="F993">
        <f>VLOOKUP(B993,[1]Nuclides!A:E,4,FALSE)</f>
        <v>10</v>
      </c>
      <c r="G993" t="str">
        <f t="shared" si="85"/>
        <v>10s</v>
      </c>
      <c r="H993">
        <f t="shared" si="86"/>
        <v>6.9314718055994526E-2</v>
      </c>
      <c r="I993">
        <f t="shared" si="87"/>
        <v>0</v>
      </c>
      <c r="J993">
        <f t="shared" si="88"/>
        <v>0</v>
      </c>
      <c r="K993" t="str">
        <f t="shared" si="89"/>
        <v>Xe114</v>
      </c>
    </row>
    <row r="994" spans="2:11" hidden="1" x14ac:dyDescent="0.2">
      <c r="B994" s="4">
        <v>54115</v>
      </c>
      <c r="C994" s="4">
        <v>0</v>
      </c>
      <c r="D994">
        <v>0</v>
      </c>
      <c r="E994" t="str">
        <f>VLOOKUP(B994,[1]Nuclides!A:E,5,FALSE)</f>
        <v>Xe115</v>
      </c>
      <c r="F994">
        <f>VLOOKUP(B994,[1]Nuclides!A:E,4,FALSE)</f>
        <v>18</v>
      </c>
      <c r="G994" t="str">
        <f t="shared" si="85"/>
        <v>18s</v>
      </c>
      <c r="H994">
        <f t="shared" si="86"/>
        <v>3.8508176697774739E-2</v>
      </c>
      <c r="I994">
        <f t="shared" si="87"/>
        <v>0</v>
      </c>
      <c r="J994">
        <f t="shared" si="88"/>
        <v>0</v>
      </c>
      <c r="K994" t="str">
        <f t="shared" si="89"/>
        <v>Xe115</v>
      </c>
    </row>
    <row r="995" spans="2:11" hidden="1" x14ac:dyDescent="0.2">
      <c r="B995" s="4">
        <v>54116</v>
      </c>
      <c r="C995" s="4">
        <v>0</v>
      </c>
      <c r="D995">
        <v>0</v>
      </c>
      <c r="E995" t="str">
        <f>VLOOKUP(B995,[1]Nuclides!A:E,5,FALSE)</f>
        <v>Xe116</v>
      </c>
      <c r="F995">
        <f>VLOOKUP(B995,[1]Nuclides!A:E,4,FALSE)</f>
        <v>59</v>
      </c>
      <c r="G995" t="str">
        <f t="shared" si="85"/>
        <v>59s</v>
      </c>
      <c r="H995">
        <f t="shared" si="86"/>
        <v>1.1748257297626191E-2</v>
      </c>
      <c r="I995">
        <f t="shared" si="87"/>
        <v>0</v>
      </c>
      <c r="J995">
        <f t="shared" si="88"/>
        <v>0</v>
      </c>
      <c r="K995" t="str">
        <f t="shared" si="89"/>
        <v>Xe116</v>
      </c>
    </row>
    <row r="996" spans="2:11" hidden="1" x14ac:dyDescent="0.2">
      <c r="B996" s="4">
        <v>54117</v>
      </c>
      <c r="C996" s="4">
        <v>0</v>
      </c>
      <c r="D996">
        <v>0</v>
      </c>
      <c r="E996" t="str">
        <f>VLOOKUP(B996,[1]Nuclides!A:E,5,FALSE)</f>
        <v>Xe117</v>
      </c>
      <c r="F996">
        <f>VLOOKUP(B996,[1]Nuclides!A:E,4,FALSE)</f>
        <v>61</v>
      </c>
      <c r="G996" t="str">
        <f t="shared" si="85"/>
        <v>1.02min</v>
      </c>
      <c r="H996">
        <f t="shared" si="86"/>
        <v>1.1363068533769595E-2</v>
      </c>
      <c r="I996">
        <f t="shared" si="87"/>
        <v>0</v>
      </c>
      <c r="J996">
        <f t="shared" si="88"/>
        <v>0</v>
      </c>
      <c r="K996" t="str">
        <f t="shared" si="89"/>
        <v>Xe117</v>
      </c>
    </row>
    <row r="997" spans="2:11" hidden="1" x14ac:dyDescent="0.2">
      <c r="B997" s="4">
        <v>54118</v>
      </c>
      <c r="C997" s="4">
        <v>0</v>
      </c>
      <c r="D997">
        <v>0</v>
      </c>
      <c r="E997" t="str">
        <f>VLOOKUP(B997,[1]Nuclides!A:E,5,FALSE)</f>
        <v>Xe118</v>
      </c>
      <c r="F997">
        <f>VLOOKUP(B997,[1]Nuclides!A:E,4,FALSE)</f>
        <v>228</v>
      </c>
      <c r="G997" t="str">
        <f t="shared" si="85"/>
        <v>3.8min</v>
      </c>
      <c r="H997">
        <f t="shared" si="86"/>
        <v>3.040119212982216E-3</v>
      </c>
      <c r="I997">
        <f t="shared" si="87"/>
        <v>0</v>
      </c>
      <c r="J997">
        <f t="shared" si="88"/>
        <v>0</v>
      </c>
      <c r="K997" t="str">
        <f t="shared" si="89"/>
        <v>Xe118</v>
      </c>
    </row>
    <row r="998" spans="2:11" hidden="1" x14ac:dyDescent="0.2">
      <c r="B998" s="4">
        <v>54119</v>
      </c>
      <c r="C998" s="4">
        <v>0</v>
      </c>
      <c r="D998">
        <v>0</v>
      </c>
      <c r="E998" t="str">
        <f>VLOOKUP(B998,[1]Nuclides!A:E,5,FALSE)</f>
        <v>Xe119</v>
      </c>
      <c r="F998">
        <f>VLOOKUP(B998,[1]Nuclides!A:E,4,FALSE)</f>
        <v>348</v>
      </c>
      <c r="G998" t="str">
        <f t="shared" si="85"/>
        <v>5.8min</v>
      </c>
      <c r="H998">
        <f t="shared" si="86"/>
        <v>1.9918022429883486E-3</v>
      </c>
      <c r="I998">
        <f t="shared" si="87"/>
        <v>0</v>
      </c>
      <c r="J998">
        <f t="shared" si="88"/>
        <v>0</v>
      </c>
      <c r="K998" t="str">
        <f t="shared" si="89"/>
        <v>Xe119</v>
      </c>
    </row>
    <row r="999" spans="2:11" hidden="1" x14ac:dyDescent="0.2">
      <c r="B999" s="4">
        <v>54120</v>
      </c>
      <c r="C999" s="4">
        <v>0</v>
      </c>
      <c r="D999">
        <v>0</v>
      </c>
      <c r="E999" t="str">
        <f>VLOOKUP(B999,[1]Nuclides!A:E,5,FALSE)</f>
        <v>Xe120</v>
      </c>
      <c r="F999">
        <f>VLOOKUP(B999,[1]Nuclides!A:E,4,FALSE)</f>
        <v>2400</v>
      </c>
      <c r="G999" t="str">
        <f t="shared" si="85"/>
        <v>40min</v>
      </c>
      <c r="H999">
        <f t="shared" si="86"/>
        <v>2.8881132523331054E-4</v>
      </c>
      <c r="I999">
        <f t="shared" si="87"/>
        <v>0</v>
      </c>
      <c r="J999">
        <f t="shared" si="88"/>
        <v>0</v>
      </c>
      <c r="K999" t="str">
        <f t="shared" si="89"/>
        <v>Xe120</v>
      </c>
    </row>
    <row r="1000" spans="2:11" hidden="1" x14ac:dyDescent="0.2">
      <c r="B1000" s="4">
        <v>54121</v>
      </c>
      <c r="C1000" s="4">
        <v>0</v>
      </c>
      <c r="D1000">
        <v>0</v>
      </c>
      <c r="E1000" t="str">
        <f>VLOOKUP(B1000,[1]Nuclides!A:E,5,FALSE)</f>
        <v>Xe121</v>
      </c>
      <c r="F1000">
        <f>VLOOKUP(B1000,[1]Nuclides!A:E,4,FALSE)</f>
        <v>2406</v>
      </c>
      <c r="G1000" t="str">
        <f t="shared" si="85"/>
        <v>40.1min</v>
      </c>
      <c r="H1000">
        <f t="shared" si="86"/>
        <v>2.8809109748958658E-4</v>
      </c>
      <c r="I1000">
        <f t="shared" si="87"/>
        <v>0</v>
      </c>
      <c r="J1000">
        <f t="shared" si="88"/>
        <v>0</v>
      </c>
      <c r="K1000" t="str">
        <f t="shared" si="89"/>
        <v>Xe121</v>
      </c>
    </row>
    <row r="1001" spans="2:11" hidden="1" x14ac:dyDescent="0.2">
      <c r="B1001" s="4">
        <v>54122</v>
      </c>
      <c r="C1001" s="4">
        <v>0</v>
      </c>
      <c r="D1001">
        <v>0</v>
      </c>
      <c r="E1001" t="str">
        <f>VLOOKUP(B1001,[1]Nuclides!A:E,5,FALSE)</f>
        <v>Xe122</v>
      </c>
      <c r="F1001">
        <f>VLOOKUP(B1001,[1]Nuclides!A:E,4,FALSE)</f>
        <v>72360</v>
      </c>
      <c r="G1001" t="str">
        <f t="shared" si="85"/>
        <v>20.1h</v>
      </c>
      <c r="H1001">
        <f t="shared" si="86"/>
        <v>9.5791484322822727E-6</v>
      </c>
      <c r="I1001">
        <f t="shared" si="87"/>
        <v>0</v>
      </c>
      <c r="J1001">
        <f t="shared" si="88"/>
        <v>0</v>
      </c>
      <c r="K1001" t="str">
        <f t="shared" si="89"/>
        <v>Xe122</v>
      </c>
    </row>
    <row r="1002" spans="2:11" hidden="1" x14ac:dyDescent="0.2">
      <c r="B1002" s="4">
        <v>54123</v>
      </c>
      <c r="C1002" s="4">
        <v>0</v>
      </c>
      <c r="D1002">
        <v>0</v>
      </c>
      <c r="E1002" t="str">
        <f>VLOOKUP(B1002,[1]Nuclides!A:E,5,FALSE)</f>
        <v>Xe123</v>
      </c>
      <c r="F1002">
        <f>VLOOKUP(B1002,[1]Nuclides!A:E,4,FALSE)</f>
        <v>7488</v>
      </c>
      <c r="G1002" t="str">
        <f t="shared" si="85"/>
        <v>2.08h</v>
      </c>
      <c r="H1002">
        <f t="shared" si="86"/>
        <v>9.2567732446573888E-5</v>
      </c>
      <c r="I1002">
        <f t="shared" si="87"/>
        <v>0</v>
      </c>
      <c r="J1002">
        <f t="shared" si="88"/>
        <v>0</v>
      </c>
      <c r="K1002" t="str">
        <f t="shared" si="89"/>
        <v>Xe123</v>
      </c>
    </row>
    <row r="1003" spans="2:11" hidden="1" x14ac:dyDescent="0.2">
      <c r="B1003" s="4">
        <v>54124</v>
      </c>
      <c r="C1003" s="4">
        <v>0</v>
      </c>
      <c r="D1003">
        <v>0</v>
      </c>
      <c r="E1003" t="str">
        <f>VLOOKUP(B1003,[1]Nuclides!A:E,5,FALSE)</f>
        <v>Xe124</v>
      </c>
      <c r="F1003">
        <f>VLOOKUP(B1003,[1]Nuclides!A:E,4,FALSE)</f>
        <v>5.049216E+21</v>
      </c>
      <c r="G1003" t="str">
        <f t="shared" si="85"/>
        <v>160109589041096y</v>
      </c>
      <c r="H1003">
        <f t="shared" si="86"/>
        <v>1.3727817953518829E-22</v>
      </c>
      <c r="I1003">
        <f t="shared" si="87"/>
        <v>0</v>
      </c>
      <c r="J1003">
        <f t="shared" si="88"/>
        <v>0</v>
      </c>
      <c r="K1003" t="str">
        <f t="shared" si="89"/>
        <v>Xe124</v>
      </c>
    </row>
    <row r="1004" spans="2:11" hidden="1" x14ac:dyDescent="0.2">
      <c r="B1004" s="4">
        <v>54125</v>
      </c>
      <c r="C1004" s="4">
        <v>0</v>
      </c>
      <c r="D1004">
        <v>0</v>
      </c>
      <c r="E1004" t="str">
        <f>VLOOKUP(B1004,[1]Nuclides!A:E,5,FALSE)</f>
        <v>Xe125</v>
      </c>
      <c r="F1004">
        <f>VLOOKUP(B1004,[1]Nuclides!A:E,4,FALSE)</f>
        <v>60839.999999999898</v>
      </c>
      <c r="G1004" t="str">
        <f t="shared" si="85"/>
        <v>16.9h</v>
      </c>
      <c r="H1004">
        <f t="shared" si="86"/>
        <v>1.1392951685732191E-5</v>
      </c>
      <c r="I1004">
        <f t="shared" si="87"/>
        <v>0</v>
      </c>
      <c r="J1004">
        <f t="shared" si="88"/>
        <v>0</v>
      </c>
      <c r="K1004" t="str">
        <f t="shared" si="89"/>
        <v>Xe125</v>
      </c>
    </row>
    <row r="1005" spans="2:11" hidden="1" x14ac:dyDescent="0.2">
      <c r="B1005" s="4">
        <v>54126</v>
      </c>
      <c r="C1005" s="4">
        <v>0</v>
      </c>
      <c r="D1005">
        <v>0</v>
      </c>
      <c r="E1005" t="str">
        <f>VLOOKUP(B1005,[1]Nuclides!A:E,5,FALSE)</f>
        <v>Xe126</v>
      </c>
      <c r="F1005" t="str">
        <f>VLOOKUP(B1005,[1]Nuclides!A:E,4,FALSE)</f>
        <v>STABLE</v>
      </c>
      <c r="G1005" t="str">
        <f t="shared" si="85"/>
        <v>STABLE</v>
      </c>
      <c r="H1005" t="e">
        <f t="shared" si="86"/>
        <v>#VALUE!</v>
      </c>
      <c r="I1005" t="e">
        <f t="shared" si="87"/>
        <v>#VALUE!</v>
      </c>
      <c r="J1005" t="e">
        <f t="shared" si="88"/>
        <v>#VALUE!</v>
      </c>
      <c r="K1005" t="str">
        <f t="shared" si="89"/>
        <v>Xe126</v>
      </c>
    </row>
    <row r="1006" spans="2:11" hidden="1" x14ac:dyDescent="0.2">
      <c r="B1006" s="4">
        <v>54127</v>
      </c>
      <c r="C1006" s="4">
        <v>0</v>
      </c>
      <c r="D1006">
        <v>0</v>
      </c>
      <c r="E1006" t="str">
        <f>VLOOKUP(B1006,[1]Nuclides!A:E,5,FALSE)</f>
        <v>Xe127</v>
      </c>
      <c r="F1006">
        <f>VLOOKUP(B1006,[1]Nuclides!A:E,4,FALSE)</f>
        <v>3140294.4</v>
      </c>
      <c r="G1006" t="str">
        <f t="shared" si="85"/>
        <v>36.35d</v>
      </c>
      <c r="H1006">
        <f t="shared" si="86"/>
        <v>2.2072681483619667E-7</v>
      </c>
      <c r="I1006">
        <f t="shared" si="87"/>
        <v>0</v>
      </c>
      <c r="J1006">
        <f t="shared" si="88"/>
        <v>0</v>
      </c>
      <c r="K1006" t="str">
        <f t="shared" si="89"/>
        <v>Xe127</v>
      </c>
    </row>
    <row r="1007" spans="2:11" hidden="1" x14ac:dyDescent="0.2">
      <c r="B1007" s="4">
        <v>54128</v>
      </c>
      <c r="C1007" s="4">
        <v>0</v>
      </c>
      <c r="D1007">
        <v>0</v>
      </c>
      <c r="E1007" t="str">
        <f>VLOOKUP(B1007,[1]Nuclides!A:E,5,FALSE)</f>
        <v>Xe128</v>
      </c>
      <c r="F1007" t="str">
        <f>VLOOKUP(B1007,[1]Nuclides!A:E,4,FALSE)</f>
        <v>STABLE</v>
      </c>
      <c r="G1007" t="str">
        <f t="shared" si="85"/>
        <v>STABLE</v>
      </c>
      <c r="H1007" t="e">
        <f t="shared" si="86"/>
        <v>#VALUE!</v>
      </c>
      <c r="I1007" t="e">
        <f t="shared" si="87"/>
        <v>#VALUE!</v>
      </c>
      <c r="J1007" t="e">
        <f t="shared" si="88"/>
        <v>#VALUE!</v>
      </c>
      <c r="K1007" t="str">
        <f t="shared" si="89"/>
        <v>Xe128</v>
      </c>
    </row>
    <row r="1008" spans="2:11" hidden="1" x14ac:dyDescent="0.2">
      <c r="B1008" s="4">
        <v>54129</v>
      </c>
      <c r="C1008" s="4">
        <v>0</v>
      </c>
      <c r="D1008">
        <v>0</v>
      </c>
      <c r="E1008" t="str">
        <f>VLOOKUP(B1008,[1]Nuclides!A:E,5,FALSE)</f>
        <v>Xe129</v>
      </c>
      <c r="F1008" t="str">
        <f>VLOOKUP(B1008,[1]Nuclides!A:E,4,FALSE)</f>
        <v>STABLE</v>
      </c>
      <c r="G1008" t="str">
        <f t="shared" si="85"/>
        <v>STABLE</v>
      </c>
      <c r="H1008" t="e">
        <f t="shared" si="86"/>
        <v>#VALUE!</v>
      </c>
      <c r="I1008" t="e">
        <f t="shared" si="87"/>
        <v>#VALUE!</v>
      </c>
      <c r="J1008" t="e">
        <f t="shared" si="88"/>
        <v>#VALUE!</v>
      </c>
      <c r="K1008" t="str">
        <f t="shared" si="89"/>
        <v>Xe129</v>
      </c>
    </row>
    <row r="1009" spans="2:11" hidden="1" x14ac:dyDescent="0.2">
      <c r="B1009" s="4">
        <v>54130</v>
      </c>
      <c r="C1009" s="4">
        <v>0</v>
      </c>
      <c r="D1009">
        <v>0</v>
      </c>
      <c r="E1009" t="str">
        <f>VLOOKUP(B1009,[1]Nuclides!A:E,5,FALSE)</f>
        <v>Xe130</v>
      </c>
      <c r="F1009" t="str">
        <f>VLOOKUP(B1009,[1]Nuclides!A:E,4,FALSE)</f>
        <v>STABLE</v>
      </c>
      <c r="G1009" t="str">
        <f t="shared" si="85"/>
        <v>STABLE</v>
      </c>
      <c r="H1009" t="e">
        <f t="shared" si="86"/>
        <v>#VALUE!</v>
      </c>
      <c r="I1009" t="e">
        <f t="shared" si="87"/>
        <v>#VALUE!</v>
      </c>
      <c r="J1009" t="e">
        <f t="shared" si="88"/>
        <v>#VALUE!</v>
      </c>
      <c r="K1009" t="str">
        <f t="shared" si="89"/>
        <v>Xe130</v>
      </c>
    </row>
    <row r="1010" spans="2:11" hidden="1" x14ac:dyDescent="0.2">
      <c r="B1010" s="4">
        <v>54131</v>
      </c>
      <c r="C1010" s="4">
        <v>0</v>
      </c>
      <c r="D1010">
        <v>0</v>
      </c>
      <c r="E1010" t="str">
        <f>VLOOKUP(B1010,[1]Nuclides!A:E,5,FALSE)</f>
        <v>Xe131</v>
      </c>
      <c r="F1010" t="str">
        <f>VLOOKUP(B1010,[1]Nuclides!A:E,4,FALSE)</f>
        <v>STABLE</v>
      </c>
      <c r="G1010" t="str">
        <f t="shared" si="85"/>
        <v>STABLE</v>
      </c>
      <c r="H1010" t="e">
        <f t="shared" si="86"/>
        <v>#VALUE!</v>
      </c>
      <c r="I1010" t="e">
        <f t="shared" si="87"/>
        <v>#VALUE!</v>
      </c>
      <c r="J1010" t="e">
        <f t="shared" si="88"/>
        <v>#VALUE!</v>
      </c>
      <c r="K1010" t="str">
        <f t="shared" si="89"/>
        <v>Xe131</v>
      </c>
    </row>
    <row r="1011" spans="2:11" hidden="1" x14ac:dyDescent="0.2">
      <c r="B1011" s="4">
        <v>54132</v>
      </c>
      <c r="C1011" s="4">
        <v>0</v>
      </c>
      <c r="D1011">
        <v>0</v>
      </c>
      <c r="E1011" t="str">
        <f>VLOOKUP(B1011,[1]Nuclides!A:E,5,FALSE)</f>
        <v>Xe132</v>
      </c>
      <c r="F1011" t="str">
        <f>VLOOKUP(B1011,[1]Nuclides!A:E,4,FALSE)</f>
        <v>STABLE</v>
      </c>
      <c r="G1011" t="str">
        <f t="shared" si="85"/>
        <v>STABLE</v>
      </c>
      <c r="H1011" t="e">
        <f t="shared" si="86"/>
        <v>#VALUE!</v>
      </c>
      <c r="I1011" t="e">
        <f t="shared" si="87"/>
        <v>#VALUE!</v>
      </c>
      <c r="J1011" t="e">
        <f t="shared" si="88"/>
        <v>#VALUE!</v>
      </c>
      <c r="K1011" t="str">
        <f t="shared" si="89"/>
        <v>Xe132</v>
      </c>
    </row>
    <row r="1012" spans="2:11" hidden="1" x14ac:dyDescent="0.2">
      <c r="B1012" s="4">
        <v>54133</v>
      </c>
      <c r="C1012" s="4">
        <v>0</v>
      </c>
      <c r="D1012">
        <v>0</v>
      </c>
      <c r="E1012" t="str">
        <f>VLOOKUP(B1012,[1]Nuclides!A:E,5,FALSE)</f>
        <v>Xe133</v>
      </c>
      <c r="F1012">
        <f>VLOOKUP(B1012,[1]Nuclides!A:E,4,FALSE)</f>
        <v>453383.99999999901</v>
      </c>
      <c r="G1012" t="str">
        <f t="shared" si="85"/>
        <v>5.25d</v>
      </c>
      <c r="H1012">
        <f t="shared" si="86"/>
        <v>1.5288302643232817E-6</v>
      </c>
      <c r="I1012">
        <f t="shared" si="87"/>
        <v>0</v>
      </c>
      <c r="J1012">
        <f t="shared" si="88"/>
        <v>0</v>
      </c>
      <c r="K1012" t="str">
        <f t="shared" si="89"/>
        <v>Xe133</v>
      </c>
    </row>
    <row r="1013" spans="2:11" hidden="1" x14ac:dyDescent="0.2">
      <c r="B1013" s="4">
        <v>54134</v>
      </c>
      <c r="C1013" s="4">
        <v>0</v>
      </c>
      <c r="D1013">
        <v>0</v>
      </c>
      <c r="E1013" t="str">
        <f>VLOOKUP(B1013,[1]Nuclides!A:E,5,FALSE)</f>
        <v>Xe134</v>
      </c>
      <c r="F1013">
        <f>VLOOKUP(B1013,[1]Nuclides!A:E,4,FALSE)</f>
        <v>1.8303407999999899E+30</v>
      </c>
      <c r="G1013" t="str">
        <f t="shared" si="85"/>
        <v>5.80397260273969E+22y</v>
      </c>
      <c r="H1013">
        <f t="shared" si="86"/>
        <v>3.7869842630396979E-31</v>
      </c>
      <c r="I1013">
        <f t="shared" si="87"/>
        <v>0</v>
      </c>
      <c r="J1013">
        <f t="shared" si="88"/>
        <v>0</v>
      </c>
      <c r="K1013" t="str">
        <f t="shared" si="89"/>
        <v>Xe134</v>
      </c>
    </row>
    <row r="1014" spans="2:11" hidden="1" x14ac:dyDescent="0.2">
      <c r="B1014" s="4">
        <v>54135</v>
      </c>
      <c r="C1014" s="4">
        <v>0</v>
      </c>
      <c r="D1014">
        <v>0</v>
      </c>
      <c r="E1014" t="str">
        <f>VLOOKUP(B1014,[1]Nuclides!A:E,5,FALSE)</f>
        <v>Xe135</v>
      </c>
      <c r="F1014">
        <f>VLOOKUP(B1014,[1]Nuclides!A:E,4,FALSE)</f>
        <v>32904</v>
      </c>
      <c r="G1014" t="str">
        <f t="shared" si="85"/>
        <v>9.14h</v>
      </c>
      <c r="H1014">
        <f t="shared" si="86"/>
        <v>2.1065742176025568E-5</v>
      </c>
      <c r="I1014">
        <f t="shared" si="87"/>
        <v>0</v>
      </c>
      <c r="J1014">
        <f t="shared" si="88"/>
        <v>0</v>
      </c>
      <c r="K1014" t="str">
        <f t="shared" si="89"/>
        <v>Xe135</v>
      </c>
    </row>
    <row r="1015" spans="2:11" hidden="1" x14ac:dyDescent="0.2">
      <c r="B1015" s="4">
        <v>54136</v>
      </c>
      <c r="C1015" s="4">
        <v>0</v>
      </c>
      <c r="D1015">
        <v>0</v>
      </c>
      <c r="E1015" t="str">
        <f>VLOOKUP(B1015,[1]Nuclides!A:E,5,FALSE)</f>
        <v>Xe136</v>
      </c>
      <c r="F1015">
        <f>VLOOKUP(B1015,[1]Nuclides!A:E,4,FALSE)</f>
        <v>7.573824E+28</v>
      </c>
      <c r="G1015" t="str">
        <f t="shared" si="85"/>
        <v>2.40164383561644E+21y</v>
      </c>
      <c r="H1015">
        <f t="shared" si="86"/>
        <v>9.1518786356792195E-30</v>
      </c>
      <c r="I1015">
        <f t="shared" si="87"/>
        <v>0</v>
      </c>
      <c r="J1015">
        <f t="shared" si="88"/>
        <v>0</v>
      </c>
      <c r="K1015" t="str">
        <f t="shared" si="89"/>
        <v>Xe136</v>
      </c>
    </row>
    <row r="1016" spans="2:11" hidden="1" x14ac:dyDescent="0.2">
      <c r="B1016" s="4">
        <v>54137</v>
      </c>
      <c r="C1016" s="4">
        <v>0</v>
      </c>
      <c r="D1016">
        <v>0</v>
      </c>
      <c r="E1016" t="str">
        <f>VLOOKUP(B1016,[1]Nuclides!A:E,5,FALSE)</f>
        <v>Xe137</v>
      </c>
      <c r="F1016">
        <f>VLOOKUP(B1016,[1]Nuclides!A:E,4,FALSE)</f>
        <v>229.08</v>
      </c>
      <c r="G1016" t="str">
        <f t="shared" si="85"/>
        <v>3.82min</v>
      </c>
      <c r="H1016">
        <f t="shared" si="86"/>
        <v>3.0257865398984865E-3</v>
      </c>
      <c r="I1016">
        <f t="shared" si="87"/>
        <v>0</v>
      </c>
      <c r="J1016">
        <f t="shared" si="88"/>
        <v>0</v>
      </c>
      <c r="K1016" t="str">
        <f t="shared" si="89"/>
        <v>Xe137</v>
      </c>
    </row>
    <row r="1017" spans="2:11" hidden="1" x14ac:dyDescent="0.2">
      <c r="B1017" s="4">
        <v>54138</v>
      </c>
      <c r="C1017" s="4">
        <v>0</v>
      </c>
      <c r="D1017">
        <v>0</v>
      </c>
      <c r="E1017" t="str">
        <f>VLOOKUP(B1017,[1]Nuclides!A:E,5,FALSE)</f>
        <v>Xe138</v>
      </c>
      <c r="F1017">
        <f>VLOOKUP(B1017,[1]Nuclides!A:E,4,FALSE)</f>
        <v>848.4</v>
      </c>
      <c r="G1017" t="str">
        <f t="shared" si="85"/>
        <v>14.14min</v>
      </c>
      <c r="H1017">
        <f t="shared" si="86"/>
        <v>8.170051633191246E-4</v>
      </c>
      <c r="I1017">
        <f t="shared" si="87"/>
        <v>0</v>
      </c>
      <c r="J1017">
        <f t="shared" si="88"/>
        <v>0</v>
      </c>
      <c r="K1017" t="str">
        <f t="shared" si="89"/>
        <v>Xe138</v>
      </c>
    </row>
    <row r="1018" spans="2:11" hidden="1" x14ac:dyDescent="0.2">
      <c r="B1018" s="4">
        <v>54139</v>
      </c>
      <c r="C1018" s="4">
        <v>0</v>
      </c>
      <c r="D1018">
        <v>0</v>
      </c>
      <c r="E1018" t="str">
        <f>VLOOKUP(B1018,[1]Nuclides!A:E,5,FALSE)</f>
        <v>Xe139</v>
      </c>
      <c r="F1018">
        <f>VLOOKUP(B1018,[1]Nuclides!A:E,4,FALSE)</f>
        <v>39.68</v>
      </c>
      <c r="G1018" t="str">
        <f t="shared" si="85"/>
        <v>39.68s</v>
      </c>
      <c r="H1018">
        <f t="shared" si="86"/>
        <v>1.7468426929434105E-2</v>
      </c>
      <c r="I1018">
        <f t="shared" si="87"/>
        <v>0</v>
      </c>
      <c r="J1018">
        <f t="shared" si="88"/>
        <v>0</v>
      </c>
      <c r="K1018" t="str">
        <f t="shared" si="89"/>
        <v>Xe139</v>
      </c>
    </row>
    <row r="1019" spans="2:11" hidden="1" x14ac:dyDescent="0.2">
      <c r="B1019" s="4">
        <v>54140</v>
      </c>
      <c r="C1019" s="4">
        <v>0</v>
      </c>
      <c r="D1019">
        <v>0</v>
      </c>
      <c r="E1019" t="str">
        <f>VLOOKUP(B1019,[1]Nuclides!A:E,5,FALSE)</f>
        <v>Xe140</v>
      </c>
      <c r="F1019">
        <f>VLOOKUP(B1019,[1]Nuclides!A:E,4,FALSE)</f>
        <v>13.6</v>
      </c>
      <c r="G1019" t="str">
        <f t="shared" si="85"/>
        <v>13.6s</v>
      </c>
      <c r="H1019">
        <f t="shared" si="86"/>
        <v>5.0966704452937155E-2</v>
      </c>
      <c r="I1019">
        <f t="shared" si="87"/>
        <v>0</v>
      </c>
      <c r="J1019">
        <f t="shared" si="88"/>
        <v>0</v>
      </c>
      <c r="K1019" t="str">
        <f t="shared" si="89"/>
        <v>Xe140</v>
      </c>
    </row>
    <row r="1020" spans="2:11" hidden="1" x14ac:dyDescent="0.2">
      <c r="B1020" s="4">
        <v>54141</v>
      </c>
      <c r="C1020" s="4">
        <v>0</v>
      </c>
      <c r="D1020">
        <v>0</v>
      </c>
      <c r="E1020" t="str">
        <f>VLOOKUP(B1020,[1]Nuclides!A:E,5,FALSE)</f>
        <v>Xe141</v>
      </c>
      <c r="F1020">
        <f>VLOOKUP(B1020,[1]Nuclides!A:E,4,FALSE)</f>
        <v>1.73</v>
      </c>
      <c r="G1020" t="str">
        <f t="shared" si="85"/>
        <v>1.73s</v>
      </c>
      <c r="H1020">
        <f t="shared" si="86"/>
        <v>0.40066311015025741</v>
      </c>
      <c r="I1020">
        <f t="shared" si="87"/>
        <v>0</v>
      </c>
      <c r="J1020">
        <f t="shared" si="88"/>
        <v>0</v>
      </c>
      <c r="K1020" t="str">
        <f t="shared" si="89"/>
        <v>Xe141</v>
      </c>
    </row>
    <row r="1021" spans="2:11" hidden="1" x14ac:dyDescent="0.2">
      <c r="B1021" s="4">
        <v>54142</v>
      </c>
      <c r="C1021" s="4">
        <v>0</v>
      </c>
      <c r="D1021">
        <v>0</v>
      </c>
      <c r="E1021" t="str">
        <f>VLOOKUP(B1021,[1]Nuclides!A:E,5,FALSE)</f>
        <v>Xe142</v>
      </c>
      <c r="F1021">
        <f>VLOOKUP(B1021,[1]Nuclides!A:E,4,FALSE)</f>
        <v>1.23</v>
      </c>
      <c r="G1021" t="str">
        <f t="shared" si="85"/>
        <v>1.23s</v>
      </c>
      <c r="H1021">
        <f t="shared" si="86"/>
        <v>0.56353429313816694</v>
      </c>
      <c r="I1021">
        <f t="shared" si="87"/>
        <v>0</v>
      </c>
      <c r="J1021">
        <f t="shared" si="88"/>
        <v>0</v>
      </c>
      <c r="K1021" t="str">
        <f t="shared" si="89"/>
        <v>Xe142</v>
      </c>
    </row>
    <row r="1022" spans="2:11" hidden="1" x14ac:dyDescent="0.2">
      <c r="B1022" s="4">
        <v>54143</v>
      </c>
      <c r="C1022" s="4">
        <v>0</v>
      </c>
      <c r="D1022">
        <v>0</v>
      </c>
      <c r="E1022" t="str">
        <f>VLOOKUP(B1022,[1]Nuclides!A:E,5,FALSE)</f>
        <v>Xe143</v>
      </c>
      <c r="F1022">
        <f>VLOOKUP(B1022,[1]Nuclides!A:E,4,FALSE)</f>
        <v>0.51100000000000001</v>
      </c>
      <c r="G1022" t="str">
        <f t="shared" si="85"/>
        <v>0.511s</v>
      </c>
      <c r="H1022">
        <f t="shared" si="86"/>
        <v>1.3564524081407932</v>
      </c>
      <c r="I1022">
        <f t="shared" si="87"/>
        <v>0</v>
      </c>
      <c r="J1022">
        <f t="shared" si="88"/>
        <v>0</v>
      </c>
      <c r="K1022" t="str">
        <f t="shared" si="89"/>
        <v>Xe143</v>
      </c>
    </row>
    <row r="1023" spans="2:11" hidden="1" x14ac:dyDescent="0.2">
      <c r="B1023" s="4">
        <v>54144</v>
      </c>
      <c r="C1023" s="4">
        <v>0</v>
      </c>
      <c r="D1023">
        <v>0</v>
      </c>
      <c r="E1023" t="str">
        <f>VLOOKUP(B1023,[1]Nuclides!A:E,5,FALSE)</f>
        <v>Xe144</v>
      </c>
      <c r="F1023">
        <f>VLOOKUP(B1023,[1]Nuclides!A:E,4,FALSE)</f>
        <v>0.38800000000000001</v>
      </c>
      <c r="G1023" t="str">
        <f t="shared" si="85"/>
        <v>0.388s</v>
      </c>
      <c r="H1023">
        <f t="shared" si="86"/>
        <v>1.7864618055668693</v>
      </c>
      <c r="I1023">
        <f t="shared" si="87"/>
        <v>0</v>
      </c>
      <c r="J1023">
        <f t="shared" si="88"/>
        <v>0</v>
      </c>
      <c r="K1023" t="str">
        <f t="shared" si="89"/>
        <v>Xe144</v>
      </c>
    </row>
    <row r="1024" spans="2:11" hidden="1" x14ac:dyDescent="0.2">
      <c r="B1024" s="4">
        <v>54145</v>
      </c>
      <c r="C1024" s="4">
        <v>0</v>
      </c>
      <c r="D1024">
        <v>0</v>
      </c>
      <c r="E1024" t="str">
        <f>VLOOKUP(B1024,[1]Nuclides!A:E,5,FALSE)</f>
        <v>Xe145</v>
      </c>
      <c r="F1024">
        <f>VLOOKUP(B1024,[1]Nuclides!A:E,4,FALSE)</f>
        <v>0.188</v>
      </c>
      <c r="G1024" t="str">
        <f t="shared" si="85"/>
        <v>0.188s</v>
      </c>
      <c r="H1024">
        <f t="shared" si="86"/>
        <v>3.6869530880848154</v>
      </c>
      <c r="I1024">
        <f t="shared" si="87"/>
        <v>0</v>
      </c>
      <c r="J1024">
        <f t="shared" si="88"/>
        <v>0</v>
      </c>
      <c r="K1024" t="str">
        <f t="shared" si="89"/>
        <v>Xe145</v>
      </c>
    </row>
    <row r="1025" spans="2:11" hidden="1" x14ac:dyDescent="0.2">
      <c r="B1025" s="4">
        <v>55114</v>
      </c>
      <c r="C1025" s="4">
        <v>0</v>
      </c>
      <c r="D1025">
        <v>0</v>
      </c>
      <c r="E1025" t="str">
        <f>VLOOKUP(B1025,[1]Nuclides!A:E,5,FALSE)</f>
        <v>Cs114</v>
      </c>
      <c r="F1025">
        <f>VLOOKUP(B1025,[1]Nuclides!A:E,4,FALSE)</f>
        <v>0.56999999999999995</v>
      </c>
      <c r="G1025" t="str">
        <f t="shared" si="85"/>
        <v>0.57s</v>
      </c>
      <c r="H1025">
        <f t="shared" si="86"/>
        <v>1.2160476851928865</v>
      </c>
      <c r="I1025">
        <f t="shared" si="87"/>
        <v>0</v>
      </c>
      <c r="J1025">
        <f t="shared" si="88"/>
        <v>0</v>
      </c>
      <c r="K1025" t="str">
        <f t="shared" si="89"/>
        <v>Cs114</v>
      </c>
    </row>
    <row r="1026" spans="2:11" hidden="1" x14ac:dyDescent="0.2">
      <c r="B1026" s="4">
        <v>55115</v>
      </c>
      <c r="C1026" s="4">
        <v>0</v>
      </c>
      <c r="D1026">
        <v>0</v>
      </c>
      <c r="E1026" t="str">
        <f>VLOOKUP(B1026,[1]Nuclides!A:E,5,FALSE)</f>
        <v>Cs115</v>
      </c>
      <c r="F1026">
        <f>VLOOKUP(B1026,[1]Nuclides!A:E,4,FALSE)</f>
        <v>1.4</v>
      </c>
      <c r="G1026" t="str">
        <f t="shared" si="85"/>
        <v>1.4s</v>
      </c>
      <c r="H1026">
        <f t="shared" si="86"/>
        <v>0.49510512897138953</v>
      </c>
      <c r="I1026">
        <f t="shared" si="87"/>
        <v>0</v>
      </c>
      <c r="J1026">
        <f t="shared" si="88"/>
        <v>0</v>
      </c>
      <c r="K1026" t="str">
        <f t="shared" si="89"/>
        <v>Cs115</v>
      </c>
    </row>
    <row r="1027" spans="2:11" hidden="1" x14ac:dyDescent="0.2">
      <c r="B1027" s="4">
        <v>55116</v>
      </c>
      <c r="C1027" s="4">
        <v>0</v>
      </c>
      <c r="D1027">
        <v>0</v>
      </c>
      <c r="E1027" t="str">
        <f>VLOOKUP(B1027,[1]Nuclides!A:E,5,FALSE)</f>
        <v>Cs116</v>
      </c>
      <c r="F1027">
        <f>VLOOKUP(B1027,[1]Nuclides!A:E,4,FALSE)</f>
        <v>0.7</v>
      </c>
      <c r="G1027" t="str">
        <f t="shared" si="85"/>
        <v>0.7s</v>
      </c>
      <c r="H1027">
        <f t="shared" si="86"/>
        <v>0.99021025794277906</v>
      </c>
      <c r="I1027">
        <f t="shared" si="87"/>
        <v>0</v>
      </c>
      <c r="J1027">
        <f t="shared" si="88"/>
        <v>0</v>
      </c>
      <c r="K1027" t="str">
        <f t="shared" si="89"/>
        <v>Cs116</v>
      </c>
    </row>
    <row r="1028" spans="2:11" hidden="1" x14ac:dyDescent="0.2">
      <c r="B1028" s="4">
        <v>55117</v>
      </c>
      <c r="C1028" s="4">
        <v>0</v>
      </c>
      <c r="D1028">
        <v>0</v>
      </c>
      <c r="E1028" t="str">
        <f>VLOOKUP(B1028,[1]Nuclides!A:E,5,FALSE)</f>
        <v>Cs117</v>
      </c>
      <c r="F1028">
        <f>VLOOKUP(B1028,[1]Nuclides!A:E,4,FALSE)</f>
        <v>8.4</v>
      </c>
      <c r="G1028" t="str">
        <f t="shared" si="85"/>
        <v>8.4s</v>
      </c>
      <c r="H1028">
        <f t="shared" si="86"/>
        <v>8.2517521495231574E-2</v>
      </c>
      <c r="I1028">
        <f t="shared" si="87"/>
        <v>0</v>
      </c>
      <c r="J1028">
        <f t="shared" si="88"/>
        <v>0</v>
      </c>
      <c r="K1028" t="str">
        <f t="shared" si="89"/>
        <v>Cs117</v>
      </c>
    </row>
    <row r="1029" spans="2:11" hidden="1" x14ac:dyDescent="0.2">
      <c r="B1029" s="4">
        <v>55118</v>
      </c>
      <c r="C1029" s="4">
        <v>0</v>
      </c>
      <c r="D1029">
        <v>0</v>
      </c>
      <c r="E1029" t="str">
        <f>VLOOKUP(B1029,[1]Nuclides!A:E,5,FALSE)</f>
        <v>Cs118</v>
      </c>
      <c r="F1029">
        <f>VLOOKUP(B1029,[1]Nuclides!A:E,4,FALSE)</f>
        <v>14</v>
      </c>
      <c r="G1029" t="str">
        <f t="shared" ref="G1029:G1092" si="90">IF(F1029="STABLE", "STABLE", IF(F1029&lt;60, F1029&amp;"s", IF(F1029&lt;3600, ROUND(F1029/60,2)&amp;"min", IF(F1029&lt;86400, ROUND(F1029/3600,2)&amp;"h", IF(F1029&lt;31536000, ROUND(F1029/86400,2)&amp;"d", ROUND(F1029/31536000,2)&amp;"y")))))</f>
        <v>14s</v>
      </c>
      <c r="H1029">
        <f t="shared" ref="H1029:H1092" si="91">LN(2)/F1029</f>
        <v>4.9510512897138946E-2</v>
      </c>
      <c r="I1029">
        <f t="shared" ref="I1029:I1092" si="92">60*6240000000000*C1029*(1-EXP(-H1029*2*3600))</f>
        <v>0</v>
      </c>
      <c r="J1029">
        <f t="shared" ref="J1029:J1092" si="93">I1029*EXP(-H1029*96*3600)</f>
        <v>0</v>
      </c>
      <c r="K1029" t="str">
        <f t="shared" ref="K1029:K1092" si="94">E1029</f>
        <v>Cs118</v>
      </c>
    </row>
    <row r="1030" spans="2:11" hidden="1" x14ac:dyDescent="0.2">
      <c r="B1030" s="4">
        <v>55119</v>
      </c>
      <c r="C1030" s="4">
        <v>0</v>
      </c>
      <c r="D1030">
        <v>0</v>
      </c>
      <c r="E1030" t="str">
        <f>VLOOKUP(B1030,[1]Nuclides!A:E,5,FALSE)</f>
        <v>Cs119</v>
      </c>
      <c r="F1030">
        <f>VLOOKUP(B1030,[1]Nuclides!A:E,4,FALSE)</f>
        <v>43</v>
      </c>
      <c r="G1030" t="str">
        <f t="shared" si="90"/>
        <v>43s</v>
      </c>
      <c r="H1030">
        <f t="shared" si="91"/>
        <v>1.6119701873487099E-2</v>
      </c>
      <c r="I1030">
        <f t="shared" si="92"/>
        <v>0</v>
      </c>
      <c r="J1030">
        <f t="shared" si="93"/>
        <v>0</v>
      </c>
      <c r="K1030" t="str">
        <f t="shared" si="94"/>
        <v>Cs119</v>
      </c>
    </row>
    <row r="1031" spans="2:11" hidden="1" x14ac:dyDescent="0.2">
      <c r="B1031" s="4">
        <v>55120</v>
      </c>
      <c r="C1031" s="4">
        <v>0</v>
      </c>
      <c r="D1031">
        <v>0</v>
      </c>
      <c r="E1031" t="str">
        <f>VLOOKUP(B1031,[1]Nuclides!A:E,5,FALSE)</f>
        <v>Cs120</v>
      </c>
      <c r="F1031">
        <f>VLOOKUP(B1031,[1]Nuclides!A:E,4,FALSE)</f>
        <v>61.3</v>
      </c>
      <c r="G1031" t="str">
        <f t="shared" si="90"/>
        <v>1.02min</v>
      </c>
      <c r="H1031">
        <f t="shared" si="91"/>
        <v>1.1307458084175291E-2</v>
      </c>
      <c r="I1031">
        <f t="shared" si="92"/>
        <v>0</v>
      </c>
      <c r="J1031">
        <f t="shared" si="93"/>
        <v>0</v>
      </c>
      <c r="K1031" t="str">
        <f t="shared" si="94"/>
        <v>Cs120</v>
      </c>
    </row>
    <row r="1032" spans="2:11" hidden="1" x14ac:dyDescent="0.2">
      <c r="B1032" s="4">
        <v>55121</v>
      </c>
      <c r="C1032" s="4">
        <v>0</v>
      </c>
      <c r="D1032">
        <v>0</v>
      </c>
      <c r="E1032" t="str">
        <f>VLOOKUP(B1032,[1]Nuclides!A:E,5,FALSE)</f>
        <v>Cs121</v>
      </c>
      <c r="F1032">
        <f>VLOOKUP(B1032,[1]Nuclides!A:E,4,FALSE)</f>
        <v>155</v>
      </c>
      <c r="G1032" t="str">
        <f t="shared" si="90"/>
        <v>2.58min</v>
      </c>
      <c r="H1032">
        <f t="shared" si="91"/>
        <v>4.4719172939351312E-3</v>
      </c>
      <c r="I1032">
        <f t="shared" si="92"/>
        <v>0</v>
      </c>
      <c r="J1032">
        <f t="shared" si="93"/>
        <v>0</v>
      </c>
      <c r="K1032" t="str">
        <f t="shared" si="94"/>
        <v>Cs121</v>
      </c>
    </row>
    <row r="1033" spans="2:11" hidden="1" x14ac:dyDescent="0.2">
      <c r="B1033" s="4">
        <v>55122</v>
      </c>
      <c r="C1033" s="4">
        <v>0</v>
      </c>
      <c r="D1033">
        <v>0</v>
      </c>
      <c r="E1033" t="str">
        <f>VLOOKUP(B1033,[1]Nuclides!A:E,5,FALSE)</f>
        <v>Cs122</v>
      </c>
      <c r="F1033">
        <f>VLOOKUP(B1033,[1]Nuclides!A:E,4,FALSE)</f>
        <v>21.18</v>
      </c>
      <c r="G1033" t="str">
        <f t="shared" si="90"/>
        <v>21.18s</v>
      </c>
      <c r="H1033">
        <f t="shared" si="91"/>
        <v>3.2726495777145669E-2</v>
      </c>
      <c r="I1033">
        <f t="shared" si="92"/>
        <v>0</v>
      </c>
      <c r="J1033">
        <f t="shared" si="93"/>
        <v>0</v>
      </c>
      <c r="K1033" t="str">
        <f t="shared" si="94"/>
        <v>Cs122</v>
      </c>
    </row>
    <row r="1034" spans="2:11" hidden="1" x14ac:dyDescent="0.2">
      <c r="B1034" s="4">
        <v>55123</v>
      </c>
      <c r="C1034" s="4">
        <v>0</v>
      </c>
      <c r="D1034">
        <v>0</v>
      </c>
      <c r="E1034" t="str">
        <f>VLOOKUP(B1034,[1]Nuclides!A:E,5,FALSE)</f>
        <v>Cs123</v>
      </c>
      <c r="F1034">
        <f>VLOOKUP(B1034,[1]Nuclides!A:E,4,FALSE)</f>
        <v>352.8</v>
      </c>
      <c r="G1034" t="str">
        <f t="shared" si="90"/>
        <v>5.88min</v>
      </c>
      <c r="H1034">
        <f t="shared" si="91"/>
        <v>1.9647028927436091E-3</v>
      </c>
      <c r="I1034">
        <f t="shared" si="92"/>
        <v>0</v>
      </c>
      <c r="J1034">
        <f t="shared" si="93"/>
        <v>0</v>
      </c>
      <c r="K1034" t="str">
        <f t="shared" si="94"/>
        <v>Cs123</v>
      </c>
    </row>
    <row r="1035" spans="2:11" hidden="1" x14ac:dyDescent="0.2">
      <c r="B1035" s="4">
        <v>55124</v>
      </c>
      <c r="C1035" s="4">
        <v>0</v>
      </c>
      <c r="D1035">
        <v>0</v>
      </c>
      <c r="E1035" t="str">
        <f>VLOOKUP(B1035,[1]Nuclides!A:E,5,FALSE)</f>
        <v>Cs124</v>
      </c>
      <c r="F1035">
        <f>VLOOKUP(B1035,[1]Nuclides!A:E,4,FALSE)</f>
        <v>30.9</v>
      </c>
      <c r="G1035" t="str">
        <f t="shared" si="90"/>
        <v>30.9s</v>
      </c>
      <c r="H1035">
        <f t="shared" si="91"/>
        <v>2.2431947590936741E-2</v>
      </c>
      <c r="I1035">
        <f t="shared" si="92"/>
        <v>0</v>
      </c>
      <c r="J1035">
        <f t="shared" si="93"/>
        <v>0</v>
      </c>
      <c r="K1035" t="str">
        <f t="shared" si="94"/>
        <v>Cs124</v>
      </c>
    </row>
    <row r="1036" spans="2:11" hidden="1" x14ac:dyDescent="0.2">
      <c r="B1036" s="4">
        <v>55125</v>
      </c>
      <c r="C1036" s="4">
        <v>0</v>
      </c>
      <c r="D1036">
        <v>0</v>
      </c>
      <c r="E1036" t="str">
        <f>VLOOKUP(B1036,[1]Nuclides!A:E,5,FALSE)</f>
        <v>Cs125</v>
      </c>
      <c r="F1036">
        <f>VLOOKUP(B1036,[1]Nuclides!A:E,4,FALSE)</f>
        <v>2802</v>
      </c>
      <c r="G1036" t="str">
        <f t="shared" si="90"/>
        <v>46.7min</v>
      </c>
      <c r="H1036">
        <f t="shared" si="91"/>
        <v>2.4737586743752506E-4</v>
      </c>
      <c r="I1036">
        <f t="shared" si="92"/>
        <v>0</v>
      </c>
      <c r="J1036">
        <f t="shared" si="93"/>
        <v>0</v>
      </c>
      <c r="K1036" t="str">
        <f t="shared" si="94"/>
        <v>Cs125</v>
      </c>
    </row>
    <row r="1037" spans="2:11" hidden="1" x14ac:dyDescent="0.2">
      <c r="B1037" s="4">
        <v>55126</v>
      </c>
      <c r="C1037" s="4">
        <v>0</v>
      </c>
      <c r="D1037">
        <v>0</v>
      </c>
      <c r="E1037" t="str">
        <f>VLOOKUP(B1037,[1]Nuclides!A:E,5,FALSE)</f>
        <v>Cs126</v>
      </c>
      <c r="F1037">
        <f>VLOOKUP(B1037,[1]Nuclides!A:E,4,FALSE)</f>
        <v>98.399999999999906</v>
      </c>
      <c r="G1037" t="str">
        <f t="shared" si="90"/>
        <v>1.64min</v>
      </c>
      <c r="H1037">
        <f t="shared" si="91"/>
        <v>7.0441786642270934E-3</v>
      </c>
      <c r="I1037">
        <f t="shared" si="92"/>
        <v>0</v>
      </c>
      <c r="J1037">
        <f t="shared" si="93"/>
        <v>0</v>
      </c>
      <c r="K1037" t="str">
        <f t="shared" si="94"/>
        <v>Cs126</v>
      </c>
    </row>
    <row r="1038" spans="2:11" hidden="1" x14ac:dyDescent="0.2">
      <c r="B1038" s="4">
        <v>55127</v>
      </c>
      <c r="C1038" s="4">
        <v>0</v>
      </c>
      <c r="D1038">
        <v>0</v>
      </c>
      <c r="E1038" t="str">
        <f>VLOOKUP(B1038,[1]Nuclides!A:E,5,FALSE)</f>
        <v>Cs127</v>
      </c>
      <c r="F1038">
        <f>VLOOKUP(B1038,[1]Nuclides!A:E,4,FALSE)</f>
        <v>22500</v>
      </c>
      <c r="G1038" t="str">
        <f t="shared" si="90"/>
        <v>6.25h</v>
      </c>
      <c r="H1038">
        <f t="shared" si="91"/>
        <v>3.0806541358219791E-5</v>
      </c>
      <c r="I1038">
        <f t="shared" si="92"/>
        <v>0</v>
      </c>
      <c r="J1038">
        <f t="shared" si="93"/>
        <v>0</v>
      </c>
      <c r="K1038" t="str">
        <f t="shared" si="94"/>
        <v>Cs127</v>
      </c>
    </row>
    <row r="1039" spans="2:11" hidden="1" x14ac:dyDescent="0.2">
      <c r="B1039" s="4">
        <v>55128</v>
      </c>
      <c r="C1039" s="4">
        <v>0</v>
      </c>
      <c r="D1039">
        <v>0</v>
      </c>
      <c r="E1039" t="str">
        <f>VLOOKUP(B1039,[1]Nuclides!A:E,5,FALSE)</f>
        <v>Cs128</v>
      </c>
      <c r="F1039">
        <f>VLOOKUP(B1039,[1]Nuclides!A:E,4,FALSE)</f>
        <v>219.6</v>
      </c>
      <c r="G1039" t="str">
        <f t="shared" si="90"/>
        <v>3.66min</v>
      </c>
      <c r="H1039">
        <f t="shared" si="91"/>
        <v>3.1564079260471096E-3</v>
      </c>
      <c r="I1039">
        <f t="shared" si="92"/>
        <v>0</v>
      </c>
      <c r="J1039">
        <f t="shared" si="93"/>
        <v>0</v>
      </c>
      <c r="K1039" t="str">
        <f t="shared" si="94"/>
        <v>Cs128</v>
      </c>
    </row>
    <row r="1040" spans="2:11" hidden="1" x14ac:dyDescent="0.2">
      <c r="B1040" s="4">
        <v>55129</v>
      </c>
      <c r="C1040" s="4">
        <v>0</v>
      </c>
      <c r="D1040">
        <v>0</v>
      </c>
      <c r="E1040" t="str">
        <f>VLOOKUP(B1040,[1]Nuclides!A:E,5,FALSE)</f>
        <v>Cs129</v>
      </c>
      <c r="F1040">
        <f>VLOOKUP(B1040,[1]Nuclides!A:E,4,FALSE)</f>
        <v>115416</v>
      </c>
      <c r="G1040" t="str">
        <f t="shared" si="90"/>
        <v>1.34d</v>
      </c>
      <c r="H1040">
        <f t="shared" si="91"/>
        <v>6.0056420302206393E-6</v>
      </c>
      <c r="I1040">
        <f t="shared" si="92"/>
        <v>0</v>
      </c>
      <c r="J1040">
        <f t="shared" si="93"/>
        <v>0</v>
      </c>
      <c r="K1040" t="str">
        <f t="shared" si="94"/>
        <v>Cs129</v>
      </c>
    </row>
    <row r="1041" spans="2:11" hidden="1" x14ac:dyDescent="0.2">
      <c r="B1041" s="4">
        <v>55130</v>
      </c>
      <c r="C1041" s="4">
        <v>0</v>
      </c>
      <c r="D1041">
        <v>0</v>
      </c>
      <c r="E1041" t="str">
        <f>VLOOKUP(B1041,[1]Nuclides!A:E,5,FALSE)</f>
        <v>Cs130</v>
      </c>
      <c r="F1041">
        <f>VLOOKUP(B1041,[1]Nuclides!A:E,4,FALSE)</f>
        <v>1752.6</v>
      </c>
      <c r="G1041" t="str">
        <f t="shared" si="90"/>
        <v>29.21min</v>
      </c>
      <c r="H1041">
        <f t="shared" si="91"/>
        <v>3.9549650836468407E-4</v>
      </c>
      <c r="I1041">
        <f t="shared" si="92"/>
        <v>0</v>
      </c>
      <c r="J1041">
        <f t="shared" si="93"/>
        <v>0</v>
      </c>
      <c r="K1041" t="str">
        <f t="shared" si="94"/>
        <v>Cs130</v>
      </c>
    </row>
    <row r="1042" spans="2:11" hidden="1" x14ac:dyDescent="0.2">
      <c r="B1042" s="4">
        <v>55131</v>
      </c>
      <c r="C1042" s="4">
        <v>0</v>
      </c>
      <c r="D1042">
        <v>0</v>
      </c>
      <c r="E1042" t="str">
        <f>VLOOKUP(B1042,[1]Nuclides!A:E,5,FALSE)</f>
        <v>Cs131</v>
      </c>
      <c r="F1042">
        <f>VLOOKUP(B1042,[1]Nuclides!A:E,4,FALSE)</f>
        <v>837129.6</v>
      </c>
      <c r="G1042" t="str">
        <f t="shared" si="90"/>
        <v>9.69d</v>
      </c>
      <c r="H1042">
        <f t="shared" si="91"/>
        <v>8.2800462504246091E-7</v>
      </c>
      <c r="I1042">
        <f t="shared" si="92"/>
        <v>0</v>
      </c>
      <c r="J1042">
        <f t="shared" si="93"/>
        <v>0</v>
      </c>
      <c r="K1042" t="str">
        <f t="shared" si="94"/>
        <v>Cs131</v>
      </c>
    </row>
    <row r="1043" spans="2:11" hidden="1" x14ac:dyDescent="0.2">
      <c r="B1043" s="4">
        <v>55132</v>
      </c>
      <c r="C1043" s="4">
        <v>0</v>
      </c>
      <c r="D1043">
        <v>0</v>
      </c>
      <c r="E1043" t="str">
        <f>VLOOKUP(B1043,[1]Nuclides!A:E,5,FALSE)</f>
        <v>Cs132</v>
      </c>
      <c r="F1043">
        <f>VLOOKUP(B1043,[1]Nuclides!A:E,4,FALSE)</f>
        <v>559872</v>
      </c>
      <c r="G1043" t="str">
        <f t="shared" si="90"/>
        <v>6.48d</v>
      </c>
      <c r="H1043">
        <f t="shared" si="91"/>
        <v>1.2380458043266055E-6</v>
      </c>
      <c r="I1043">
        <f t="shared" si="92"/>
        <v>0</v>
      </c>
      <c r="J1043">
        <f t="shared" si="93"/>
        <v>0</v>
      </c>
      <c r="K1043" t="str">
        <f t="shared" si="94"/>
        <v>Cs132</v>
      </c>
    </row>
    <row r="1044" spans="2:11" hidden="1" x14ac:dyDescent="0.2">
      <c r="B1044" s="4">
        <v>55133</v>
      </c>
      <c r="C1044" s="4">
        <v>0</v>
      </c>
      <c r="D1044">
        <v>0</v>
      </c>
      <c r="E1044" t="str">
        <f>VLOOKUP(B1044,[1]Nuclides!A:E,5,FALSE)</f>
        <v>Cs133</v>
      </c>
      <c r="F1044" t="str">
        <f>VLOOKUP(B1044,[1]Nuclides!A:E,4,FALSE)</f>
        <v>STABLE</v>
      </c>
      <c r="G1044" t="str">
        <f t="shared" si="90"/>
        <v>STABLE</v>
      </c>
      <c r="H1044" t="e">
        <f t="shared" si="91"/>
        <v>#VALUE!</v>
      </c>
      <c r="I1044" t="e">
        <f t="shared" si="92"/>
        <v>#VALUE!</v>
      </c>
      <c r="J1044" t="e">
        <f t="shared" si="93"/>
        <v>#VALUE!</v>
      </c>
      <c r="K1044" t="str">
        <f t="shared" si="94"/>
        <v>Cs133</v>
      </c>
    </row>
    <row r="1045" spans="2:11" hidden="1" x14ac:dyDescent="0.2">
      <c r="B1045" s="4">
        <v>55134</v>
      </c>
      <c r="C1045" s="4">
        <v>0</v>
      </c>
      <c r="D1045">
        <v>0</v>
      </c>
      <c r="E1045" t="str">
        <f>VLOOKUP(B1045,[1]Nuclides!A:E,5,FALSE)</f>
        <v>Cs134</v>
      </c>
      <c r="F1045">
        <f>VLOOKUP(B1045,[1]Nuclides!A:E,4,FALSE)</f>
        <v>65172755.519999899</v>
      </c>
      <c r="G1045" t="str">
        <f t="shared" si="90"/>
        <v>2.07y</v>
      </c>
      <c r="H1045">
        <f t="shared" si="91"/>
        <v>1.0635535892712647E-8</v>
      </c>
      <c r="I1045">
        <f t="shared" si="92"/>
        <v>0</v>
      </c>
      <c r="J1045">
        <f t="shared" si="93"/>
        <v>0</v>
      </c>
      <c r="K1045" t="str">
        <f t="shared" si="94"/>
        <v>Cs134</v>
      </c>
    </row>
    <row r="1046" spans="2:11" hidden="1" x14ac:dyDescent="0.2">
      <c r="B1046" s="4">
        <v>55135</v>
      </c>
      <c r="C1046" s="4">
        <v>0</v>
      </c>
      <c r="D1046">
        <v>0</v>
      </c>
      <c r="E1046" t="str">
        <f>VLOOKUP(B1046,[1]Nuclides!A:E,5,FALSE)</f>
        <v>Cs135</v>
      </c>
      <c r="F1046">
        <f>VLOOKUP(B1046,[1]Nuclides!A:E,4,FALSE)</f>
        <v>72582480000000</v>
      </c>
      <c r="G1046" t="str">
        <f t="shared" si="90"/>
        <v>2301575.34y</v>
      </c>
      <c r="H1046">
        <f t="shared" si="91"/>
        <v>9.5497864024478811E-15</v>
      </c>
      <c r="I1046">
        <f t="shared" si="92"/>
        <v>0</v>
      </c>
      <c r="J1046">
        <f t="shared" si="93"/>
        <v>0</v>
      </c>
      <c r="K1046" t="str">
        <f t="shared" si="94"/>
        <v>Cs135</v>
      </c>
    </row>
    <row r="1047" spans="2:11" hidden="1" x14ac:dyDescent="0.2">
      <c r="B1047" s="4">
        <v>55136</v>
      </c>
      <c r="C1047" s="4">
        <v>0</v>
      </c>
      <c r="D1047">
        <v>0</v>
      </c>
      <c r="E1047" t="str">
        <f>VLOOKUP(B1047,[1]Nuclides!A:E,5,FALSE)</f>
        <v>Cs136</v>
      </c>
      <c r="F1047">
        <f>VLOOKUP(B1047,[1]Nuclides!A:E,4,FALSE)</f>
        <v>1126656</v>
      </c>
      <c r="G1047" t="str">
        <f t="shared" si="90"/>
        <v>13.04d</v>
      </c>
      <c r="H1047">
        <f t="shared" si="91"/>
        <v>6.1522521564696349E-7</v>
      </c>
      <c r="I1047">
        <f t="shared" si="92"/>
        <v>0</v>
      </c>
      <c r="J1047">
        <f t="shared" si="93"/>
        <v>0</v>
      </c>
      <c r="K1047" t="str">
        <f t="shared" si="94"/>
        <v>Cs136</v>
      </c>
    </row>
    <row r="1048" spans="2:11" hidden="1" x14ac:dyDescent="0.2">
      <c r="B1048" s="4">
        <v>55137</v>
      </c>
      <c r="C1048" s="4">
        <v>0</v>
      </c>
      <c r="D1048">
        <v>0</v>
      </c>
      <c r="E1048" t="str">
        <f>VLOOKUP(B1048,[1]Nuclides!A:E,5,FALSE)</f>
        <v>Cs137</v>
      </c>
      <c r="F1048">
        <f>VLOOKUP(B1048,[1]Nuclides!A:E,4,FALSE)</f>
        <v>949252608</v>
      </c>
      <c r="G1048" t="str">
        <f t="shared" si="90"/>
        <v>30.1y</v>
      </c>
      <c r="H1048">
        <f t="shared" si="91"/>
        <v>7.3020308263398025E-10</v>
      </c>
      <c r="I1048">
        <f t="shared" si="92"/>
        <v>0</v>
      </c>
      <c r="J1048">
        <f t="shared" si="93"/>
        <v>0</v>
      </c>
      <c r="K1048" t="str">
        <f t="shared" si="94"/>
        <v>Cs137</v>
      </c>
    </row>
    <row r="1049" spans="2:11" hidden="1" x14ac:dyDescent="0.2">
      <c r="B1049" s="4">
        <v>55138</v>
      </c>
      <c r="C1049" s="4">
        <v>0</v>
      </c>
      <c r="D1049">
        <v>0</v>
      </c>
      <c r="E1049" t="str">
        <f>VLOOKUP(B1049,[1]Nuclides!A:E,5,FALSE)</f>
        <v>Cs138</v>
      </c>
      <c r="F1049">
        <f>VLOOKUP(B1049,[1]Nuclides!A:E,4,FALSE)</f>
        <v>2004.6</v>
      </c>
      <c r="G1049" t="str">
        <f t="shared" si="90"/>
        <v>33.41min</v>
      </c>
      <c r="H1049">
        <f t="shared" si="91"/>
        <v>3.4577830018953673E-4</v>
      </c>
      <c r="I1049">
        <f t="shared" si="92"/>
        <v>0</v>
      </c>
      <c r="J1049">
        <f t="shared" si="93"/>
        <v>0</v>
      </c>
      <c r="K1049" t="str">
        <f t="shared" si="94"/>
        <v>Cs138</v>
      </c>
    </row>
    <row r="1050" spans="2:11" hidden="1" x14ac:dyDescent="0.2">
      <c r="B1050" s="4">
        <v>55139</v>
      </c>
      <c r="C1050" s="4">
        <v>0</v>
      </c>
      <c r="D1050">
        <v>0</v>
      </c>
      <c r="E1050" t="str">
        <f>VLOOKUP(B1050,[1]Nuclides!A:E,5,FALSE)</f>
        <v>Cs139</v>
      </c>
      <c r="F1050">
        <f>VLOOKUP(B1050,[1]Nuclides!A:E,4,FALSE)</f>
        <v>556.19999999999902</v>
      </c>
      <c r="G1050" t="str">
        <f t="shared" si="90"/>
        <v>9.27min</v>
      </c>
      <c r="H1050">
        <f t="shared" si="91"/>
        <v>1.2462193106075989E-3</v>
      </c>
      <c r="I1050">
        <f t="shared" si="92"/>
        <v>0</v>
      </c>
      <c r="J1050">
        <f t="shared" si="93"/>
        <v>0</v>
      </c>
      <c r="K1050" t="str">
        <f t="shared" si="94"/>
        <v>Cs139</v>
      </c>
    </row>
    <row r="1051" spans="2:11" hidden="1" x14ac:dyDescent="0.2">
      <c r="B1051" s="4">
        <v>55140</v>
      </c>
      <c r="C1051" s="4">
        <v>0</v>
      </c>
      <c r="D1051">
        <v>0</v>
      </c>
      <c r="E1051" t="str">
        <f>VLOOKUP(B1051,[1]Nuclides!A:E,5,FALSE)</f>
        <v>Cs140</v>
      </c>
      <c r="F1051">
        <f>VLOOKUP(B1051,[1]Nuclides!A:E,4,FALSE)</f>
        <v>63.7</v>
      </c>
      <c r="G1051" t="str">
        <f t="shared" si="90"/>
        <v>1.06min</v>
      </c>
      <c r="H1051">
        <f t="shared" si="91"/>
        <v>1.0881431405964604E-2</v>
      </c>
      <c r="I1051">
        <f t="shared" si="92"/>
        <v>0</v>
      </c>
      <c r="J1051">
        <f t="shared" si="93"/>
        <v>0</v>
      </c>
      <c r="K1051" t="str">
        <f t="shared" si="94"/>
        <v>Cs140</v>
      </c>
    </row>
    <row r="1052" spans="2:11" hidden="1" x14ac:dyDescent="0.2">
      <c r="B1052" s="4">
        <v>55141</v>
      </c>
      <c r="C1052" s="4">
        <v>0</v>
      </c>
      <c r="D1052">
        <v>0</v>
      </c>
      <c r="E1052" t="str">
        <f>VLOOKUP(B1052,[1]Nuclides!A:E,5,FALSE)</f>
        <v>Cs141</v>
      </c>
      <c r="F1052">
        <f>VLOOKUP(B1052,[1]Nuclides!A:E,4,FALSE)</f>
        <v>24.84</v>
      </c>
      <c r="G1052" t="str">
        <f t="shared" si="90"/>
        <v>24.84s</v>
      </c>
      <c r="H1052">
        <f t="shared" si="91"/>
        <v>2.7904475867952708E-2</v>
      </c>
      <c r="I1052">
        <f t="shared" si="92"/>
        <v>0</v>
      </c>
      <c r="J1052">
        <f t="shared" si="93"/>
        <v>0</v>
      </c>
      <c r="K1052" t="str">
        <f t="shared" si="94"/>
        <v>Cs141</v>
      </c>
    </row>
    <row r="1053" spans="2:11" hidden="1" x14ac:dyDescent="0.2">
      <c r="B1053" s="4">
        <v>55142</v>
      </c>
      <c r="C1053" s="4">
        <v>0</v>
      </c>
      <c r="D1053">
        <v>0</v>
      </c>
      <c r="E1053" t="str">
        <f>VLOOKUP(B1053,[1]Nuclides!A:E,5,FALSE)</f>
        <v>Cs142</v>
      </c>
      <c r="F1053">
        <f>VLOOKUP(B1053,[1]Nuclides!A:E,4,FALSE)</f>
        <v>1.6839999999999999</v>
      </c>
      <c r="G1053" t="str">
        <f t="shared" si="90"/>
        <v>1.684s</v>
      </c>
      <c r="H1053">
        <f t="shared" si="91"/>
        <v>0.41160758940614328</v>
      </c>
      <c r="I1053">
        <f t="shared" si="92"/>
        <v>0</v>
      </c>
      <c r="J1053">
        <f t="shared" si="93"/>
        <v>0</v>
      </c>
      <c r="K1053" t="str">
        <f t="shared" si="94"/>
        <v>Cs142</v>
      </c>
    </row>
    <row r="1054" spans="2:11" hidden="1" x14ac:dyDescent="0.2">
      <c r="B1054" s="4">
        <v>55143</v>
      </c>
      <c r="C1054" s="4">
        <v>0</v>
      </c>
      <c r="D1054">
        <v>0</v>
      </c>
      <c r="E1054" t="str">
        <f>VLOOKUP(B1054,[1]Nuclides!A:E,5,FALSE)</f>
        <v>Cs143</v>
      </c>
      <c r="F1054">
        <f>VLOOKUP(B1054,[1]Nuclides!A:E,4,FALSE)</f>
        <v>1.7909999999999999</v>
      </c>
      <c r="G1054" t="str">
        <f t="shared" si="90"/>
        <v>1.791s</v>
      </c>
      <c r="H1054">
        <f t="shared" si="91"/>
        <v>0.38701685123391699</v>
      </c>
      <c r="I1054">
        <f t="shared" si="92"/>
        <v>0</v>
      </c>
      <c r="J1054">
        <f t="shared" si="93"/>
        <v>0</v>
      </c>
      <c r="K1054" t="str">
        <f t="shared" si="94"/>
        <v>Cs143</v>
      </c>
    </row>
    <row r="1055" spans="2:11" hidden="1" x14ac:dyDescent="0.2">
      <c r="B1055" s="4">
        <v>55144</v>
      </c>
      <c r="C1055" s="4">
        <v>0</v>
      </c>
      <c r="D1055">
        <v>0</v>
      </c>
      <c r="E1055" t="str">
        <f>VLOOKUP(B1055,[1]Nuclides!A:E,5,FALSE)</f>
        <v>Cs144</v>
      </c>
      <c r="F1055">
        <f>VLOOKUP(B1055,[1]Nuclides!A:E,4,FALSE)</f>
        <v>0.99399999999999999</v>
      </c>
      <c r="G1055" t="str">
        <f t="shared" si="90"/>
        <v>0.994s</v>
      </c>
      <c r="H1055">
        <f t="shared" si="91"/>
        <v>0.69733116756533731</v>
      </c>
      <c r="I1055">
        <f t="shared" si="92"/>
        <v>0</v>
      </c>
      <c r="J1055">
        <f t="shared" si="93"/>
        <v>0</v>
      </c>
      <c r="K1055" t="str">
        <f t="shared" si="94"/>
        <v>Cs144</v>
      </c>
    </row>
    <row r="1056" spans="2:11" hidden="1" x14ac:dyDescent="0.2">
      <c r="B1056" s="4">
        <v>55145</v>
      </c>
      <c r="C1056" s="4">
        <v>0</v>
      </c>
      <c r="D1056">
        <v>0</v>
      </c>
      <c r="E1056" t="str">
        <f>VLOOKUP(B1056,[1]Nuclides!A:E,5,FALSE)</f>
        <v>Cs145</v>
      </c>
      <c r="F1056">
        <f>VLOOKUP(B1056,[1]Nuclides!A:E,4,FALSE)</f>
        <v>0.58699999999999997</v>
      </c>
      <c r="G1056" t="str">
        <f t="shared" si="90"/>
        <v>0.587s</v>
      </c>
      <c r="H1056">
        <f t="shared" si="91"/>
        <v>1.1808299498465848</v>
      </c>
      <c r="I1056">
        <f t="shared" si="92"/>
        <v>0</v>
      </c>
      <c r="J1056">
        <f t="shared" si="93"/>
        <v>0</v>
      </c>
      <c r="K1056" t="str">
        <f t="shared" si="94"/>
        <v>Cs145</v>
      </c>
    </row>
    <row r="1057" spans="2:11" hidden="1" x14ac:dyDescent="0.2">
      <c r="B1057" s="4">
        <v>55146</v>
      </c>
      <c r="C1057" s="4">
        <v>0</v>
      </c>
      <c r="D1057">
        <v>0</v>
      </c>
      <c r="E1057" t="str">
        <f>VLOOKUP(B1057,[1]Nuclides!A:E,5,FALSE)</f>
        <v>Cs146</v>
      </c>
      <c r="F1057">
        <f>VLOOKUP(B1057,[1]Nuclides!A:E,4,FALSE)</f>
        <v>0.32200000000000001</v>
      </c>
      <c r="G1057" t="str">
        <f t="shared" si="90"/>
        <v>0.322s</v>
      </c>
      <c r="H1057">
        <f t="shared" si="91"/>
        <v>2.1526309955277805</v>
      </c>
      <c r="I1057">
        <f t="shared" si="92"/>
        <v>0</v>
      </c>
      <c r="J1057">
        <f t="shared" si="93"/>
        <v>0</v>
      </c>
      <c r="K1057" t="str">
        <f t="shared" si="94"/>
        <v>Cs146</v>
      </c>
    </row>
    <row r="1058" spans="2:11" hidden="1" x14ac:dyDescent="0.2">
      <c r="B1058" s="4">
        <v>55147</v>
      </c>
      <c r="C1058" s="4">
        <v>0</v>
      </c>
      <c r="D1058">
        <v>0</v>
      </c>
      <c r="E1058" t="str">
        <f>VLOOKUP(B1058,[1]Nuclides!A:E,5,FALSE)</f>
        <v>Cs147</v>
      </c>
      <c r="F1058">
        <f>VLOOKUP(B1058,[1]Nuclides!A:E,4,FALSE)</f>
        <v>0.23</v>
      </c>
      <c r="G1058" t="str">
        <f t="shared" si="90"/>
        <v>0.23s</v>
      </c>
      <c r="H1058">
        <f t="shared" si="91"/>
        <v>3.0136833937388925</v>
      </c>
      <c r="I1058">
        <f t="shared" si="92"/>
        <v>0</v>
      </c>
      <c r="J1058">
        <f t="shared" si="93"/>
        <v>0</v>
      </c>
      <c r="K1058" t="str">
        <f t="shared" si="94"/>
        <v>Cs147</v>
      </c>
    </row>
    <row r="1059" spans="2:11" hidden="1" x14ac:dyDescent="0.2">
      <c r="B1059" s="4">
        <v>55148</v>
      </c>
      <c r="C1059" s="4">
        <v>0</v>
      </c>
      <c r="D1059">
        <v>0</v>
      </c>
      <c r="E1059" t="str">
        <f>VLOOKUP(B1059,[1]Nuclides!A:E,5,FALSE)</f>
        <v>Cs148</v>
      </c>
      <c r="F1059">
        <f>VLOOKUP(B1059,[1]Nuclides!A:E,4,FALSE)</f>
        <v>0.14599999999999999</v>
      </c>
      <c r="G1059" t="str">
        <f t="shared" si="90"/>
        <v>0.146s</v>
      </c>
      <c r="H1059">
        <f t="shared" si="91"/>
        <v>4.747583428492776</v>
      </c>
      <c r="I1059">
        <f t="shared" si="92"/>
        <v>0</v>
      </c>
      <c r="J1059">
        <f t="shared" si="93"/>
        <v>0</v>
      </c>
      <c r="K1059" t="str">
        <f t="shared" si="94"/>
        <v>Cs148</v>
      </c>
    </row>
    <row r="1060" spans="2:11" hidden="1" x14ac:dyDescent="0.2">
      <c r="B1060" s="4">
        <v>56117</v>
      </c>
      <c r="C1060" s="4">
        <v>0</v>
      </c>
      <c r="D1060">
        <v>0</v>
      </c>
      <c r="E1060" t="str">
        <f>VLOOKUP(B1060,[1]Nuclides!A:E,5,FALSE)</f>
        <v>Ba117</v>
      </c>
      <c r="F1060">
        <f>VLOOKUP(B1060,[1]Nuclides!A:E,4,FALSE)</f>
        <v>1.75</v>
      </c>
      <c r="G1060" t="str">
        <f t="shared" si="90"/>
        <v>1.75s</v>
      </c>
      <c r="H1060">
        <f t="shared" si="91"/>
        <v>0.39608410317711157</v>
      </c>
      <c r="I1060">
        <f t="shared" si="92"/>
        <v>0</v>
      </c>
      <c r="J1060">
        <f t="shared" si="93"/>
        <v>0</v>
      </c>
      <c r="K1060" t="str">
        <f t="shared" si="94"/>
        <v>Ba117</v>
      </c>
    </row>
    <row r="1061" spans="2:11" hidden="1" x14ac:dyDescent="0.2">
      <c r="B1061" s="4">
        <v>56118</v>
      </c>
      <c r="C1061" s="4">
        <v>0</v>
      </c>
      <c r="D1061">
        <v>0</v>
      </c>
      <c r="E1061" t="str">
        <f>VLOOKUP(B1061,[1]Nuclides!A:E,5,FALSE)</f>
        <v>Ba118</v>
      </c>
      <c r="F1061">
        <f>VLOOKUP(B1061,[1]Nuclides!A:E,4,FALSE)</f>
        <v>5.5</v>
      </c>
      <c r="G1061" t="str">
        <f t="shared" si="90"/>
        <v>5.5s</v>
      </c>
      <c r="H1061">
        <f t="shared" si="91"/>
        <v>0.12602676010180824</v>
      </c>
      <c r="I1061">
        <f t="shared" si="92"/>
        <v>0</v>
      </c>
      <c r="J1061">
        <f t="shared" si="93"/>
        <v>0</v>
      </c>
      <c r="K1061" t="str">
        <f t="shared" si="94"/>
        <v>Ba118</v>
      </c>
    </row>
    <row r="1062" spans="2:11" hidden="1" x14ac:dyDescent="0.2">
      <c r="B1062" s="4">
        <v>56119</v>
      </c>
      <c r="C1062" s="4">
        <v>0</v>
      </c>
      <c r="D1062">
        <v>0</v>
      </c>
      <c r="E1062" t="str">
        <f>VLOOKUP(B1062,[1]Nuclides!A:E,5,FALSE)</f>
        <v>Ba119</v>
      </c>
      <c r="F1062">
        <f>VLOOKUP(B1062,[1]Nuclides!A:E,4,FALSE)</f>
        <v>5.4</v>
      </c>
      <c r="G1062" t="str">
        <f t="shared" si="90"/>
        <v>5.4s</v>
      </c>
      <c r="H1062">
        <f t="shared" si="91"/>
        <v>0.12836058899258246</v>
      </c>
      <c r="I1062">
        <f t="shared" si="92"/>
        <v>0</v>
      </c>
      <c r="J1062">
        <f t="shared" si="93"/>
        <v>0</v>
      </c>
      <c r="K1062" t="str">
        <f t="shared" si="94"/>
        <v>Ba119</v>
      </c>
    </row>
    <row r="1063" spans="2:11" hidden="1" x14ac:dyDescent="0.2">
      <c r="B1063" s="4">
        <v>56120</v>
      </c>
      <c r="C1063" s="4">
        <v>0</v>
      </c>
      <c r="D1063">
        <v>0</v>
      </c>
      <c r="E1063" t="str">
        <f>VLOOKUP(B1063,[1]Nuclides!A:E,5,FALSE)</f>
        <v>Ba120</v>
      </c>
      <c r="F1063">
        <f>VLOOKUP(B1063,[1]Nuclides!A:E,4,FALSE)</f>
        <v>24</v>
      </c>
      <c r="G1063" t="str">
        <f t="shared" si="90"/>
        <v>24s</v>
      </c>
      <c r="H1063">
        <f t="shared" si="91"/>
        <v>2.8881132523331052E-2</v>
      </c>
      <c r="I1063">
        <f t="shared" si="92"/>
        <v>0</v>
      </c>
      <c r="J1063">
        <f t="shared" si="93"/>
        <v>0</v>
      </c>
      <c r="K1063" t="str">
        <f t="shared" si="94"/>
        <v>Ba120</v>
      </c>
    </row>
    <row r="1064" spans="2:11" hidden="1" x14ac:dyDescent="0.2">
      <c r="B1064" s="4">
        <v>56121</v>
      </c>
      <c r="C1064" s="4">
        <v>0</v>
      </c>
      <c r="D1064">
        <v>0</v>
      </c>
      <c r="E1064" t="str">
        <f>VLOOKUP(B1064,[1]Nuclides!A:E,5,FALSE)</f>
        <v>Ba121</v>
      </c>
      <c r="F1064">
        <f>VLOOKUP(B1064,[1]Nuclides!A:E,4,FALSE)</f>
        <v>29.7</v>
      </c>
      <c r="G1064" t="str">
        <f t="shared" si="90"/>
        <v>29.7s</v>
      </c>
      <c r="H1064">
        <f t="shared" si="91"/>
        <v>2.3338288907742265E-2</v>
      </c>
      <c r="I1064">
        <f t="shared" si="92"/>
        <v>0</v>
      </c>
      <c r="J1064">
        <f t="shared" si="93"/>
        <v>0</v>
      </c>
      <c r="K1064" t="str">
        <f t="shared" si="94"/>
        <v>Ba121</v>
      </c>
    </row>
    <row r="1065" spans="2:11" hidden="1" x14ac:dyDescent="0.2">
      <c r="B1065" s="4">
        <v>56122</v>
      </c>
      <c r="C1065" s="4">
        <v>0</v>
      </c>
      <c r="D1065">
        <v>0</v>
      </c>
      <c r="E1065" t="str">
        <f>VLOOKUP(B1065,[1]Nuclides!A:E,5,FALSE)</f>
        <v>Ba122</v>
      </c>
      <c r="F1065">
        <f>VLOOKUP(B1065,[1]Nuclides!A:E,4,FALSE)</f>
        <v>117</v>
      </c>
      <c r="G1065" t="str">
        <f t="shared" si="90"/>
        <v>1.95min</v>
      </c>
      <c r="H1065">
        <f t="shared" si="91"/>
        <v>5.9243348765807289E-3</v>
      </c>
      <c r="I1065">
        <f t="shared" si="92"/>
        <v>0</v>
      </c>
      <c r="J1065">
        <f t="shared" si="93"/>
        <v>0</v>
      </c>
      <c r="K1065" t="str">
        <f t="shared" si="94"/>
        <v>Ba122</v>
      </c>
    </row>
    <row r="1066" spans="2:11" hidden="1" x14ac:dyDescent="0.2">
      <c r="B1066" s="4">
        <v>56123</v>
      </c>
      <c r="C1066" s="4">
        <v>0</v>
      </c>
      <c r="D1066">
        <v>0</v>
      </c>
      <c r="E1066" t="str">
        <f>VLOOKUP(B1066,[1]Nuclides!A:E,5,FALSE)</f>
        <v>Ba123</v>
      </c>
      <c r="F1066">
        <f>VLOOKUP(B1066,[1]Nuclides!A:E,4,FALSE)</f>
        <v>162</v>
      </c>
      <c r="G1066" t="str">
        <f t="shared" si="90"/>
        <v>2.7min</v>
      </c>
      <c r="H1066">
        <f t="shared" si="91"/>
        <v>4.278686299752749E-3</v>
      </c>
      <c r="I1066">
        <f t="shared" si="92"/>
        <v>0</v>
      </c>
      <c r="J1066">
        <f t="shared" si="93"/>
        <v>0</v>
      </c>
      <c r="K1066" t="str">
        <f t="shared" si="94"/>
        <v>Ba123</v>
      </c>
    </row>
    <row r="1067" spans="2:11" hidden="1" x14ac:dyDescent="0.2">
      <c r="B1067" s="4">
        <v>56124</v>
      </c>
      <c r="C1067" s="4">
        <v>0</v>
      </c>
      <c r="D1067">
        <v>0</v>
      </c>
      <c r="E1067" t="str">
        <f>VLOOKUP(B1067,[1]Nuclides!A:E,5,FALSE)</f>
        <v>Ba124</v>
      </c>
      <c r="F1067">
        <f>VLOOKUP(B1067,[1]Nuclides!A:E,4,FALSE)</f>
        <v>660</v>
      </c>
      <c r="G1067" t="str">
        <f t="shared" si="90"/>
        <v>11min</v>
      </c>
      <c r="H1067">
        <f t="shared" si="91"/>
        <v>1.0502230008484019E-3</v>
      </c>
      <c r="I1067">
        <f t="shared" si="92"/>
        <v>0</v>
      </c>
      <c r="J1067">
        <f t="shared" si="93"/>
        <v>0</v>
      </c>
      <c r="K1067" t="str">
        <f t="shared" si="94"/>
        <v>Ba124</v>
      </c>
    </row>
    <row r="1068" spans="2:11" hidden="1" x14ac:dyDescent="0.2">
      <c r="B1068" s="4">
        <v>56125</v>
      </c>
      <c r="C1068" s="4">
        <v>0</v>
      </c>
      <c r="D1068">
        <v>0</v>
      </c>
      <c r="E1068" t="str">
        <f>VLOOKUP(B1068,[1]Nuclides!A:E,5,FALSE)</f>
        <v>Ba125</v>
      </c>
      <c r="F1068">
        <f>VLOOKUP(B1068,[1]Nuclides!A:E,4,FALSE)</f>
        <v>198</v>
      </c>
      <c r="G1068" t="str">
        <f t="shared" si="90"/>
        <v>3.3min</v>
      </c>
      <c r="H1068">
        <f t="shared" si="91"/>
        <v>3.5007433361613398E-3</v>
      </c>
      <c r="I1068">
        <f t="shared" si="92"/>
        <v>0</v>
      </c>
      <c r="J1068">
        <f t="shared" si="93"/>
        <v>0</v>
      </c>
      <c r="K1068" t="str">
        <f t="shared" si="94"/>
        <v>Ba125</v>
      </c>
    </row>
    <row r="1069" spans="2:11" hidden="1" x14ac:dyDescent="0.2">
      <c r="B1069" s="4">
        <v>56126</v>
      </c>
      <c r="C1069" s="4">
        <v>0</v>
      </c>
      <c r="D1069">
        <v>0</v>
      </c>
      <c r="E1069" t="str">
        <f>VLOOKUP(B1069,[1]Nuclides!A:E,5,FALSE)</f>
        <v>Ba126</v>
      </c>
      <c r="F1069">
        <f>VLOOKUP(B1069,[1]Nuclides!A:E,4,FALSE)</f>
        <v>6000</v>
      </c>
      <c r="G1069" t="str">
        <f t="shared" si="90"/>
        <v>1.67h</v>
      </c>
      <c r="H1069">
        <f t="shared" si="91"/>
        <v>1.1552453009332422E-4</v>
      </c>
      <c r="I1069">
        <f t="shared" si="92"/>
        <v>0</v>
      </c>
      <c r="J1069">
        <f t="shared" si="93"/>
        <v>0</v>
      </c>
      <c r="K1069" t="str">
        <f t="shared" si="94"/>
        <v>Ba126</v>
      </c>
    </row>
    <row r="1070" spans="2:11" hidden="1" x14ac:dyDescent="0.2">
      <c r="B1070" s="4">
        <v>56127</v>
      </c>
      <c r="C1070" s="4">
        <v>0</v>
      </c>
      <c r="D1070">
        <v>0</v>
      </c>
      <c r="E1070" t="str">
        <f>VLOOKUP(B1070,[1]Nuclides!A:E,5,FALSE)</f>
        <v>Ba127</v>
      </c>
      <c r="F1070">
        <f>VLOOKUP(B1070,[1]Nuclides!A:E,4,FALSE)</f>
        <v>762</v>
      </c>
      <c r="G1070" t="str">
        <f t="shared" si="90"/>
        <v>12.7min</v>
      </c>
      <c r="H1070">
        <f t="shared" si="91"/>
        <v>9.0964196923877332E-4</v>
      </c>
      <c r="I1070">
        <f t="shared" si="92"/>
        <v>0</v>
      </c>
      <c r="J1070">
        <f t="shared" si="93"/>
        <v>0</v>
      </c>
      <c r="K1070" t="str">
        <f t="shared" si="94"/>
        <v>Ba127</v>
      </c>
    </row>
    <row r="1071" spans="2:11" hidden="1" x14ac:dyDescent="0.2">
      <c r="B1071" s="4">
        <v>56128</v>
      </c>
      <c r="C1071" s="4">
        <v>0</v>
      </c>
      <c r="D1071">
        <v>0</v>
      </c>
      <c r="E1071" t="str">
        <f>VLOOKUP(B1071,[1]Nuclides!A:E,5,FALSE)</f>
        <v>Ba128</v>
      </c>
      <c r="F1071">
        <f>VLOOKUP(B1071,[1]Nuclides!A:E,4,FALSE)</f>
        <v>209952</v>
      </c>
      <c r="G1071" t="str">
        <f t="shared" si="90"/>
        <v>2.43d</v>
      </c>
      <c r="H1071">
        <f t="shared" si="91"/>
        <v>3.3014554782042812E-6</v>
      </c>
      <c r="I1071">
        <f t="shared" si="92"/>
        <v>0</v>
      </c>
      <c r="J1071">
        <f t="shared" si="93"/>
        <v>0</v>
      </c>
      <c r="K1071" t="str">
        <f t="shared" si="94"/>
        <v>Ba128</v>
      </c>
    </row>
    <row r="1072" spans="2:11" hidden="1" x14ac:dyDescent="0.2">
      <c r="B1072" s="4">
        <v>56129</v>
      </c>
      <c r="C1072" s="4">
        <v>0</v>
      </c>
      <c r="D1072">
        <v>0</v>
      </c>
      <c r="E1072" t="str">
        <f>VLOOKUP(B1072,[1]Nuclides!A:E,5,FALSE)</f>
        <v>Ba129</v>
      </c>
      <c r="F1072">
        <f>VLOOKUP(B1072,[1]Nuclides!A:E,4,FALSE)</f>
        <v>8028</v>
      </c>
      <c r="G1072" t="str">
        <f t="shared" si="90"/>
        <v>2.23h</v>
      </c>
      <c r="H1072">
        <f t="shared" si="91"/>
        <v>8.6341203358239325E-5</v>
      </c>
      <c r="I1072">
        <f t="shared" si="92"/>
        <v>0</v>
      </c>
      <c r="J1072">
        <f t="shared" si="93"/>
        <v>0</v>
      </c>
      <c r="K1072" t="str">
        <f t="shared" si="94"/>
        <v>Ba129</v>
      </c>
    </row>
    <row r="1073" spans="2:11" hidden="1" x14ac:dyDescent="0.2">
      <c r="B1073" s="4">
        <v>56130</v>
      </c>
      <c r="C1073" s="4">
        <v>0</v>
      </c>
      <c r="D1073">
        <v>0</v>
      </c>
      <c r="E1073" t="str">
        <f>VLOOKUP(B1073,[1]Nuclides!A:E,5,FALSE)</f>
        <v>Ba130</v>
      </c>
      <c r="F1073" t="str">
        <f>VLOOKUP(B1073,[1]Nuclides!A:E,4,FALSE)</f>
        <v>STABLE</v>
      </c>
      <c r="G1073" t="str">
        <f t="shared" si="90"/>
        <v>STABLE</v>
      </c>
      <c r="H1073" t="e">
        <f t="shared" si="91"/>
        <v>#VALUE!</v>
      </c>
      <c r="I1073" t="e">
        <f t="shared" si="92"/>
        <v>#VALUE!</v>
      </c>
      <c r="J1073" t="e">
        <f t="shared" si="93"/>
        <v>#VALUE!</v>
      </c>
      <c r="K1073" t="str">
        <f t="shared" si="94"/>
        <v>Ba130</v>
      </c>
    </row>
    <row r="1074" spans="2:11" hidden="1" x14ac:dyDescent="0.2">
      <c r="B1074" s="4">
        <v>56131</v>
      </c>
      <c r="C1074" s="4">
        <v>0</v>
      </c>
      <c r="D1074">
        <v>0</v>
      </c>
      <c r="E1074" t="str">
        <f>VLOOKUP(B1074,[1]Nuclides!A:E,5,FALSE)</f>
        <v>Ba131</v>
      </c>
      <c r="F1074">
        <f>VLOOKUP(B1074,[1]Nuclides!A:E,4,FALSE)</f>
        <v>993600</v>
      </c>
      <c r="G1074" t="str">
        <f t="shared" si="90"/>
        <v>11.5d</v>
      </c>
      <c r="H1074">
        <f t="shared" si="91"/>
        <v>6.976118966988177E-7</v>
      </c>
      <c r="I1074">
        <f t="shared" si="92"/>
        <v>0</v>
      </c>
      <c r="J1074">
        <f t="shared" si="93"/>
        <v>0</v>
      </c>
      <c r="K1074" t="str">
        <f t="shared" si="94"/>
        <v>Ba131</v>
      </c>
    </row>
    <row r="1075" spans="2:11" hidden="1" x14ac:dyDescent="0.2">
      <c r="B1075" s="4">
        <v>56132</v>
      </c>
      <c r="C1075" s="4">
        <v>0</v>
      </c>
      <c r="D1075">
        <v>0</v>
      </c>
      <c r="E1075" t="str">
        <f>VLOOKUP(B1075,[1]Nuclides!A:E,5,FALSE)</f>
        <v>Ba132</v>
      </c>
      <c r="F1075">
        <f>VLOOKUP(B1075,[1]Nuclides!A:E,4,FALSE)</f>
        <v>9.4672799999999999E+28</v>
      </c>
      <c r="G1075" t="str">
        <f t="shared" si="90"/>
        <v>3.00205479452055E+21y</v>
      </c>
      <c r="H1075">
        <f t="shared" si="91"/>
        <v>7.3215029085433761E-30</v>
      </c>
      <c r="I1075">
        <f t="shared" si="92"/>
        <v>0</v>
      </c>
      <c r="J1075">
        <f t="shared" si="93"/>
        <v>0</v>
      </c>
      <c r="K1075" t="str">
        <f t="shared" si="94"/>
        <v>Ba132</v>
      </c>
    </row>
    <row r="1076" spans="2:11" hidden="1" x14ac:dyDescent="0.2">
      <c r="B1076" s="4">
        <v>56133</v>
      </c>
      <c r="C1076" s="4">
        <v>0</v>
      </c>
      <c r="D1076">
        <v>0</v>
      </c>
      <c r="E1076" t="str">
        <f>VLOOKUP(B1076,[1]Nuclides!A:E,5,FALSE)</f>
        <v>Ba133</v>
      </c>
      <c r="F1076">
        <f>VLOOKUP(B1076,[1]Nuclides!A:E,4,FALSE)</f>
        <v>332964237.60000002</v>
      </c>
      <c r="G1076" t="str">
        <f t="shared" si="90"/>
        <v>10.56y</v>
      </c>
      <c r="H1076">
        <f t="shared" si="91"/>
        <v>2.0817466330802885E-9</v>
      </c>
      <c r="I1076">
        <f t="shared" si="92"/>
        <v>0</v>
      </c>
      <c r="J1076">
        <f t="shared" si="93"/>
        <v>0</v>
      </c>
      <c r="K1076" t="str">
        <f t="shared" si="94"/>
        <v>Ba133</v>
      </c>
    </row>
    <row r="1077" spans="2:11" hidden="1" x14ac:dyDescent="0.2">
      <c r="B1077" s="4">
        <v>56134</v>
      </c>
      <c r="C1077" s="4">
        <v>0</v>
      </c>
      <c r="D1077">
        <v>0</v>
      </c>
      <c r="E1077" t="str">
        <f>VLOOKUP(B1077,[1]Nuclides!A:E,5,FALSE)</f>
        <v>Ba134</v>
      </c>
      <c r="F1077" t="str">
        <f>VLOOKUP(B1077,[1]Nuclides!A:E,4,FALSE)</f>
        <v>STABLE</v>
      </c>
      <c r="G1077" t="str">
        <f t="shared" si="90"/>
        <v>STABLE</v>
      </c>
      <c r="H1077" t="e">
        <f t="shared" si="91"/>
        <v>#VALUE!</v>
      </c>
      <c r="I1077" t="e">
        <f t="shared" si="92"/>
        <v>#VALUE!</v>
      </c>
      <c r="J1077" t="e">
        <f t="shared" si="93"/>
        <v>#VALUE!</v>
      </c>
      <c r="K1077" t="str">
        <f t="shared" si="94"/>
        <v>Ba134</v>
      </c>
    </row>
    <row r="1078" spans="2:11" hidden="1" x14ac:dyDescent="0.2">
      <c r="B1078" s="4">
        <v>56135</v>
      </c>
      <c r="C1078" s="4">
        <v>0</v>
      </c>
      <c r="D1078">
        <v>0</v>
      </c>
      <c r="E1078" t="str">
        <f>VLOOKUP(B1078,[1]Nuclides!A:E,5,FALSE)</f>
        <v>Ba135</v>
      </c>
      <c r="F1078" t="str">
        <f>VLOOKUP(B1078,[1]Nuclides!A:E,4,FALSE)</f>
        <v>STABLE</v>
      </c>
      <c r="G1078" t="str">
        <f t="shared" si="90"/>
        <v>STABLE</v>
      </c>
      <c r="H1078" t="e">
        <f t="shared" si="91"/>
        <v>#VALUE!</v>
      </c>
      <c r="I1078" t="e">
        <f t="shared" si="92"/>
        <v>#VALUE!</v>
      </c>
      <c r="J1078" t="e">
        <f t="shared" si="93"/>
        <v>#VALUE!</v>
      </c>
      <c r="K1078" t="str">
        <f t="shared" si="94"/>
        <v>Ba135</v>
      </c>
    </row>
    <row r="1079" spans="2:11" hidden="1" x14ac:dyDescent="0.2">
      <c r="B1079" s="4">
        <v>56136</v>
      </c>
      <c r="C1079" s="4">
        <v>0</v>
      </c>
      <c r="D1079">
        <v>0</v>
      </c>
      <c r="E1079" t="str">
        <f>VLOOKUP(B1079,[1]Nuclides!A:E,5,FALSE)</f>
        <v>Ba136</v>
      </c>
      <c r="F1079" t="str">
        <f>VLOOKUP(B1079,[1]Nuclides!A:E,4,FALSE)</f>
        <v>STABLE</v>
      </c>
      <c r="G1079" t="str">
        <f t="shared" si="90"/>
        <v>STABLE</v>
      </c>
      <c r="H1079" t="e">
        <f t="shared" si="91"/>
        <v>#VALUE!</v>
      </c>
      <c r="I1079" t="e">
        <f t="shared" si="92"/>
        <v>#VALUE!</v>
      </c>
      <c r="J1079" t="e">
        <f t="shared" si="93"/>
        <v>#VALUE!</v>
      </c>
      <c r="K1079" t="str">
        <f t="shared" si="94"/>
        <v>Ba136</v>
      </c>
    </row>
    <row r="1080" spans="2:11" hidden="1" x14ac:dyDescent="0.2">
      <c r="B1080" s="4">
        <v>56137</v>
      </c>
      <c r="C1080" s="4">
        <v>0</v>
      </c>
      <c r="D1080">
        <v>0</v>
      </c>
      <c r="E1080" t="str">
        <f>VLOOKUP(B1080,[1]Nuclides!A:E,5,FALSE)</f>
        <v>Ba137</v>
      </c>
      <c r="F1080" t="str">
        <f>VLOOKUP(B1080,[1]Nuclides!A:E,4,FALSE)</f>
        <v>STABLE</v>
      </c>
      <c r="G1080" t="str">
        <f t="shared" si="90"/>
        <v>STABLE</v>
      </c>
      <c r="H1080" t="e">
        <f t="shared" si="91"/>
        <v>#VALUE!</v>
      </c>
      <c r="I1080" t="e">
        <f t="shared" si="92"/>
        <v>#VALUE!</v>
      </c>
      <c r="J1080" t="e">
        <f t="shared" si="93"/>
        <v>#VALUE!</v>
      </c>
      <c r="K1080" t="str">
        <f t="shared" si="94"/>
        <v>Ba137</v>
      </c>
    </row>
    <row r="1081" spans="2:11" hidden="1" x14ac:dyDescent="0.2">
      <c r="B1081" s="4">
        <v>56138</v>
      </c>
      <c r="C1081" s="4">
        <v>0</v>
      </c>
      <c r="D1081">
        <v>0</v>
      </c>
      <c r="E1081" t="str">
        <f>VLOOKUP(B1081,[1]Nuclides!A:E,5,FALSE)</f>
        <v>Ba138</v>
      </c>
      <c r="F1081" t="str">
        <f>VLOOKUP(B1081,[1]Nuclides!A:E,4,FALSE)</f>
        <v>STABLE</v>
      </c>
      <c r="G1081" t="str">
        <f t="shared" si="90"/>
        <v>STABLE</v>
      </c>
      <c r="H1081" t="e">
        <f t="shared" si="91"/>
        <v>#VALUE!</v>
      </c>
      <c r="I1081" t="e">
        <f t="shared" si="92"/>
        <v>#VALUE!</v>
      </c>
      <c r="J1081" t="e">
        <f t="shared" si="93"/>
        <v>#VALUE!</v>
      </c>
      <c r="K1081" t="str">
        <f t="shared" si="94"/>
        <v>Ba138</v>
      </c>
    </row>
    <row r="1082" spans="2:11" hidden="1" x14ac:dyDescent="0.2">
      <c r="B1082" s="4">
        <v>56139</v>
      </c>
      <c r="C1082" s="4">
        <v>0</v>
      </c>
      <c r="D1082">
        <v>0</v>
      </c>
      <c r="E1082" t="str">
        <f>VLOOKUP(B1082,[1]Nuclides!A:E,5,FALSE)</f>
        <v>Ba139</v>
      </c>
      <c r="F1082">
        <f>VLOOKUP(B1082,[1]Nuclides!A:E,4,FALSE)</f>
        <v>4983.6000000000004</v>
      </c>
      <c r="G1082" t="str">
        <f t="shared" si="90"/>
        <v>1.38h</v>
      </c>
      <c r="H1082">
        <f t="shared" si="91"/>
        <v>1.3908563700135349E-4</v>
      </c>
      <c r="I1082">
        <f t="shared" si="92"/>
        <v>0</v>
      </c>
      <c r="J1082">
        <f t="shared" si="93"/>
        <v>0</v>
      </c>
      <c r="K1082" t="str">
        <f t="shared" si="94"/>
        <v>Ba139</v>
      </c>
    </row>
    <row r="1083" spans="2:11" hidden="1" x14ac:dyDescent="0.2">
      <c r="B1083" s="4">
        <v>56140</v>
      </c>
      <c r="C1083" s="4">
        <v>0</v>
      </c>
      <c r="D1083">
        <v>0</v>
      </c>
      <c r="E1083" t="str">
        <f>VLOOKUP(B1083,[1]Nuclides!A:E,5,FALSE)</f>
        <v>Ba140</v>
      </c>
      <c r="F1083">
        <f>VLOOKUP(B1083,[1]Nuclides!A:E,4,FALSE)</f>
        <v>1101833.28</v>
      </c>
      <c r="G1083" t="str">
        <f t="shared" si="90"/>
        <v>12.75d</v>
      </c>
      <c r="H1083">
        <f t="shared" si="91"/>
        <v>6.2908535541778636E-7</v>
      </c>
      <c r="I1083">
        <f t="shared" si="92"/>
        <v>0</v>
      </c>
      <c r="J1083">
        <f t="shared" si="93"/>
        <v>0</v>
      </c>
      <c r="K1083" t="str">
        <f t="shared" si="94"/>
        <v>Ba140</v>
      </c>
    </row>
    <row r="1084" spans="2:11" hidden="1" x14ac:dyDescent="0.2">
      <c r="B1084" s="4">
        <v>56141</v>
      </c>
      <c r="C1084" s="4">
        <v>0</v>
      </c>
      <c r="D1084">
        <v>0</v>
      </c>
      <c r="E1084" t="str">
        <f>VLOOKUP(B1084,[1]Nuclides!A:E,5,FALSE)</f>
        <v>Ba141</v>
      </c>
      <c r="F1084">
        <f>VLOOKUP(B1084,[1]Nuclides!A:E,4,FALSE)</f>
        <v>1096.2</v>
      </c>
      <c r="G1084" t="str">
        <f t="shared" si="90"/>
        <v>18.27min</v>
      </c>
      <c r="H1084">
        <f t="shared" si="91"/>
        <v>6.3231817237725352E-4</v>
      </c>
      <c r="I1084">
        <f t="shared" si="92"/>
        <v>0</v>
      </c>
      <c r="J1084">
        <f t="shared" si="93"/>
        <v>0</v>
      </c>
      <c r="K1084" t="str">
        <f t="shared" si="94"/>
        <v>Ba141</v>
      </c>
    </row>
    <row r="1085" spans="2:11" hidden="1" x14ac:dyDescent="0.2">
      <c r="B1085" s="4">
        <v>56142</v>
      </c>
      <c r="C1085" s="4">
        <v>0</v>
      </c>
      <c r="D1085">
        <v>0</v>
      </c>
      <c r="E1085" t="str">
        <f>VLOOKUP(B1085,[1]Nuclides!A:E,5,FALSE)</f>
        <v>Ba142</v>
      </c>
      <c r="F1085">
        <f>VLOOKUP(B1085,[1]Nuclides!A:E,4,FALSE)</f>
        <v>636</v>
      </c>
      <c r="G1085" t="str">
        <f t="shared" si="90"/>
        <v>10.6min</v>
      </c>
      <c r="H1085">
        <f t="shared" si="91"/>
        <v>1.0898540574841907E-3</v>
      </c>
      <c r="I1085">
        <f t="shared" si="92"/>
        <v>0</v>
      </c>
      <c r="J1085">
        <f t="shared" si="93"/>
        <v>0</v>
      </c>
      <c r="K1085" t="str">
        <f t="shared" si="94"/>
        <v>Ba142</v>
      </c>
    </row>
    <row r="1086" spans="2:11" hidden="1" x14ac:dyDescent="0.2">
      <c r="B1086" s="4">
        <v>56143</v>
      </c>
      <c r="C1086" s="4">
        <v>0</v>
      </c>
      <c r="D1086">
        <v>0</v>
      </c>
      <c r="E1086" t="str">
        <f>VLOOKUP(B1086,[1]Nuclides!A:E,5,FALSE)</f>
        <v>Ba143</v>
      </c>
      <c r="F1086">
        <f>VLOOKUP(B1086,[1]Nuclides!A:E,4,FALSE)</f>
        <v>14.5</v>
      </c>
      <c r="G1086" t="str">
        <f t="shared" si="90"/>
        <v>14.5s</v>
      </c>
      <c r="H1086">
        <f t="shared" si="91"/>
        <v>4.7803253831720363E-2</v>
      </c>
      <c r="I1086">
        <f t="shared" si="92"/>
        <v>0</v>
      </c>
      <c r="J1086">
        <f t="shared" si="93"/>
        <v>0</v>
      </c>
      <c r="K1086" t="str">
        <f t="shared" si="94"/>
        <v>Ba143</v>
      </c>
    </row>
    <row r="1087" spans="2:11" hidden="1" x14ac:dyDescent="0.2">
      <c r="B1087" s="4">
        <v>56144</v>
      </c>
      <c r="C1087" s="4">
        <v>0</v>
      </c>
      <c r="D1087">
        <v>0</v>
      </c>
      <c r="E1087" t="str">
        <f>VLOOKUP(B1087,[1]Nuclides!A:E,5,FALSE)</f>
        <v>Ba144</v>
      </c>
      <c r="F1087">
        <f>VLOOKUP(B1087,[1]Nuclides!A:E,4,FALSE)</f>
        <v>11.5</v>
      </c>
      <c r="G1087" t="str">
        <f t="shared" si="90"/>
        <v>11.5s</v>
      </c>
      <c r="H1087">
        <f t="shared" si="91"/>
        <v>6.027366787477785E-2</v>
      </c>
      <c r="I1087">
        <f t="shared" si="92"/>
        <v>0</v>
      </c>
      <c r="J1087">
        <f t="shared" si="93"/>
        <v>0</v>
      </c>
      <c r="K1087" t="str">
        <f t="shared" si="94"/>
        <v>Ba144</v>
      </c>
    </row>
    <row r="1088" spans="2:11" hidden="1" x14ac:dyDescent="0.2">
      <c r="B1088" s="4">
        <v>56145</v>
      </c>
      <c r="C1088" s="4">
        <v>0</v>
      </c>
      <c r="D1088">
        <v>0</v>
      </c>
      <c r="E1088" t="str">
        <f>VLOOKUP(B1088,[1]Nuclides!A:E,5,FALSE)</f>
        <v>Ba145</v>
      </c>
      <c r="F1088">
        <f>VLOOKUP(B1088,[1]Nuclides!A:E,4,FALSE)</f>
        <v>4.3099999999999996</v>
      </c>
      <c r="G1088" t="str">
        <f t="shared" si="90"/>
        <v>4.31s</v>
      </c>
      <c r="H1088">
        <f t="shared" si="91"/>
        <v>0.16082301173084579</v>
      </c>
      <c r="I1088">
        <f t="shared" si="92"/>
        <v>0</v>
      </c>
      <c r="J1088">
        <f t="shared" si="93"/>
        <v>0</v>
      </c>
      <c r="K1088" t="str">
        <f t="shared" si="94"/>
        <v>Ba145</v>
      </c>
    </row>
    <row r="1089" spans="2:11" hidden="1" x14ac:dyDescent="0.2">
      <c r="B1089" s="4">
        <v>56146</v>
      </c>
      <c r="C1089" s="4">
        <v>0</v>
      </c>
      <c r="D1089">
        <v>0</v>
      </c>
      <c r="E1089" t="str">
        <f>VLOOKUP(B1089,[1]Nuclides!A:E,5,FALSE)</f>
        <v>Ba146</v>
      </c>
      <c r="F1089">
        <f>VLOOKUP(B1089,[1]Nuclides!A:E,4,FALSE)</f>
        <v>2.2200000000000002</v>
      </c>
      <c r="G1089" t="str">
        <f t="shared" si="90"/>
        <v>2.22s</v>
      </c>
      <c r="H1089">
        <f t="shared" si="91"/>
        <v>0.31222845971168706</v>
      </c>
      <c r="I1089">
        <f t="shared" si="92"/>
        <v>0</v>
      </c>
      <c r="J1089">
        <f t="shared" si="93"/>
        <v>0</v>
      </c>
      <c r="K1089" t="str">
        <f t="shared" si="94"/>
        <v>Ba146</v>
      </c>
    </row>
    <row r="1090" spans="2:11" hidden="1" x14ac:dyDescent="0.2">
      <c r="B1090" s="4">
        <v>56147</v>
      </c>
      <c r="C1090" s="4">
        <v>0</v>
      </c>
      <c r="D1090">
        <v>0</v>
      </c>
      <c r="E1090" t="str">
        <f>VLOOKUP(B1090,[1]Nuclides!A:E,5,FALSE)</f>
        <v>Ba147</v>
      </c>
      <c r="F1090">
        <f>VLOOKUP(B1090,[1]Nuclides!A:E,4,FALSE)</f>
        <v>0.89400000000000002</v>
      </c>
      <c r="G1090" t="str">
        <f t="shared" si="90"/>
        <v>0.894s</v>
      </c>
      <c r="H1090">
        <f t="shared" si="91"/>
        <v>0.77533241673371955</v>
      </c>
      <c r="I1090">
        <f t="shared" si="92"/>
        <v>0</v>
      </c>
      <c r="J1090">
        <f t="shared" si="93"/>
        <v>0</v>
      </c>
      <c r="K1090" t="str">
        <f t="shared" si="94"/>
        <v>Ba147</v>
      </c>
    </row>
    <row r="1091" spans="2:11" hidden="1" x14ac:dyDescent="0.2">
      <c r="B1091" s="4">
        <v>56148</v>
      </c>
      <c r="C1091" s="4">
        <v>0</v>
      </c>
      <c r="D1091">
        <v>0</v>
      </c>
      <c r="E1091" t="str">
        <f>VLOOKUP(B1091,[1]Nuclides!A:E,5,FALSE)</f>
        <v>Ba148</v>
      </c>
      <c r="F1091">
        <f>VLOOKUP(B1091,[1]Nuclides!A:E,4,FALSE)</f>
        <v>0.61199999999999999</v>
      </c>
      <c r="G1091" t="str">
        <f t="shared" si="90"/>
        <v>0.612s</v>
      </c>
      <c r="H1091">
        <f t="shared" si="91"/>
        <v>1.1325934322874924</v>
      </c>
      <c r="I1091">
        <f t="shared" si="92"/>
        <v>0</v>
      </c>
      <c r="J1091">
        <f t="shared" si="93"/>
        <v>0</v>
      </c>
      <c r="K1091" t="str">
        <f t="shared" si="94"/>
        <v>Ba148</v>
      </c>
    </row>
    <row r="1092" spans="2:11" hidden="1" x14ac:dyDescent="0.2">
      <c r="B1092" s="4">
        <v>57123</v>
      </c>
      <c r="C1092" s="4">
        <v>0</v>
      </c>
      <c r="D1092">
        <v>0</v>
      </c>
      <c r="E1092" t="str">
        <f>VLOOKUP(B1092,[1]Nuclides!A:E,5,FALSE)</f>
        <v>La123</v>
      </c>
      <c r="F1092">
        <f>VLOOKUP(B1092,[1]Nuclides!A:E,4,FALSE)</f>
        <v>17</v>
      </c>
      <c r="G1092" t="str">
        <f t="shared" si="90"/>
        <v>17s</v>
      </c>
      <c r="H1092">
        <f t="shared" si="91"/>
        <v>4.0773363562349722E-2</v>
      </c>
      <c r="I1092">
        <f t="shared" si="92"/>
        <v>0</v>
      </c>
      <c r="J1092">
        <f t="shared" si="93"/>
        <v>0</v>
      </c>
      <c r="K1092" t="str">
        <f t="shared" si="94"/>
        <v>La123</v>
      </c>
    </row>
    <row r="1093" spans="2:11" hidden="1" x14ac:dyDescent="0.2">
      <c r="B1093" s="4">
        <v>57124</v>
      </c>
      <c r="C1093" s="4">
        <v>0</v>
      </c>
      <c r="D1093">
        <v>0</v>
      </c>
      <c r="E1093" t="str">
        <f>VLOOKUP(B1093,[1]Nuclides!A:E,5,FALSE)</f>
        <v>La124</v>
      </c>
      <c r="F1093">
        <f>VLOOKUP(B1093,[1]Nuclides!A:E,4,FALSE)</f>
        <v>29.21</v>
      </c>
      <c r="G1093" t="str">
        <f t="shared" ref="G1093:G1156" si="95">IF(F1093="STABLE", "STABLE", IF(F1093&lt;60, F1093&amp;"s", IF(F1093&lt;3600, ROUND(F1093/60,2)&amp;"min", IF(F1093&lt;86400, ROUND(F1093/3600,2)&amp;"h", IF(F1093&lt;31536000, ROUND(F1093/86400,2)&amp;"d", ROUND(F1093/31536000,2)&amp;"y")))))</f>
        <v>29.21s</v>
      </c>
      <c r="H1093">
        <f t="shared" ref="H1093:H1156" si="96">LN(2)/F1093</f>
        <v>2.3729790501881044E-2</v>
      </c>
      <c r="I1093">
        <f t="shared" ref="I1093:I1156" si="97">60*6240000000000*C1093*(1-EXP(-H1093*2*3600))</f>
        <v>0</v>
      </c>
      <c r="J1093">
        <f t="shared" ref="J1093:J1156" si="98">I1093*EXP(-H1093*96*3600)</f>
        <v>0</v>
      </c>
      <c r="K1093" t="str">
        <f t="shared" ref="K1093:K1156" si="99">E1093</f>
        <v>La124</v>
      </c>
    </row>
    <row r="1094" spans="2:11" hidden="1" x14ac:dyDescent="0.2">
      <c r="B1094" s="4">
        <v>57125</v>
      </c>
      <c r="C1094" s="4">
        <v>0</v>
      </c>
      <c r="D1094">
        <v>0</v>
      </c>
      <c r="E1094" t="str">
        <f>VLOOKUP(B1094,[1]Nuclides!A:E,5,FALSE)</f>
        <v>La125</v>
      </c>
      <c r="F1094">
        <f>VLOOKUP(B1094,[1]Nuclides!A:E,4,FALSE)</f>
        <v>64.8</v>
      </c>
      <c r="G1094" t="str">
        <f t="shared" si="95"/>
        <v>1.08min</v>
      </c>
      <c r="H1094">
        <f t="shared" si="96"/>
        <v>1.0696715749381872E-2</v>
      </c>
      <c r="I1094">
        <f t="shared" si="97"/>
        <v>0</v>
      </c>
      <c r="J1094">
        <f t="shared" si="98"/>
        <v>0</v>
      </c>
      <c r="K1094" t="str">
        <f t="shared" si="99"/>
        <v>La125</v>
      </c>
    </row>
    <row r="1095" spans="2:11" hidden="1" x14ac:dyDescent="0.2">
      <c r="B1095" s="4">
        <v>57126</v>
      </c>
      <c r="C1095" s="4">
        <v>0</v>
      </c>
      <c r="D1095">
        <v>0</v>
      </c>
      <c r="E1095" t="str">
        <f>VLOOKUP(B1095,[1]Nuclides!A:E,5,FALSE)</f>
        <v>La126</v>
      </c>
      <c r="F1095">
        <f>VLOOKUP(B1095,[1]Nuclides!A:E,4,FALSE)</f>
        <v>54</v>
      </c>
      <c r="G1095" t="str">
        <f t="shared" si="95"/>
        <v>54s</v>
      </c>
      <c r="H1095">
        <f t="shared" si="96"/>
        <v>1.2836058899258247E-2</v>
      </c>
      <c r="I1095">
        <f t="shared" si="97"/>
        <v>0</v>
      </c>
      <c r="J1095">
        <f t="shared" si="98"/>
        <v>0</v>
      </c>
      <c r="K1095" t="str">
        <f t="shared" si="99"/>
        <v>La126</v>
      </c>
    </row>
    <row r="1096" spans="2:11" hidden="1" x14ac:dyDescent="0.2">
      <c r="B1096" s="4">
        <v>57127</v>
      </c>
      <c r="C1096" s="4">
        <v>0</v>
      </c>
      <c r="D1096">
        <v>0</v>
      </c>
      <c r="E1096" t="str">
        <f>VLOOKUP(B1096,[1]Nuclides!A:E,5,FALSE)</f>
        <v>La127</v>
      </c>
      <c r="F1096">
        <f>VLOOKUP(B1096,[1]Nuclides!A:E,4,FALSE)</f>
        <v>306</v>
      </c>
      <c r="G1096" t="str">
        <f t="shared" si="95"/>
        <v>5.1min</v>
      </c>
      <c r="H1096">
        <f t="shared" si="96"/>
        <v>2.2651868645749847E-3</v>
      </c>
      <c r="I1096">
        <f t="shared" si="97"/>
        <v>0</v>
      </c>
      <c r="J1096">
        <f t="shared" si="98"/>
        <v>0</v>
      </c>
      <c r="K1096" t="str">
        <f t="shared" si="99"/>
        <v>La127</v>
      </c>
    </row>
    <row r="1097" spans="2:11" hidden="1" x14ac:dyDescent="0.2">
      <c r="B1097" s="4">
        <v>57128</v>
      </c>
      <c r="C1097" s="4">
        <v>0</v>
      </c>
      <c r="D1097">
        <v>0</v>
      </c>
      <c r="E1097" t="str">
        <f>VLOOKUP(B1097,[1]Nuclides!A:E,5,FALSE)</f>
        <v>La128</v>
      </c>
      <c r="F1097">
        <f>VLOOKUP(B1097,[1]Nuclides!A:E,4,FALSE)</f>
        <v>310.79999999999899</v>
      </c>
      <c r="G1097" t="str">
        <f t="shared" si="95"/>
        <v>5.18min</v>
      </c>
      <c r="H1097">
        <f t="shared" si="96"/>
        <v>2.2302032836549147E-3</v>
      </c>
      <c r="I1097">
        <f t="shared" si="97"/>
        <v>0</v>
      </c>
      <c r="J1097">
        <f t="shared" si="98"/>
        <v>0</v>
      </c>
      <c r="K1097" t="str">
        <f t="shared" si="99"/>
        <v>La128</v>
      </c>
    </row>
    <row r="1098" spans="2:11" hidden="1" x14ac:dyDescent="0.2">
      <c r="B1098" s="4">
        <v>57129</v>
      </c>
      <c r="C1098" s="4">
        <v>0</v>
      </c>
      <c r="D1098">
        <v>0</v>
      </c>
      <c r="E1098" t="str">
        <f>VLOOKUP(B1098,[1]Nuclides!A:E,5,FALSE)</f>
        <v>La129</v>
      </c>
      <c r="F1098">
        <f>VLOOKUP(B1098,[1]Nuclides!A:E,4,FALSE)</f>
        <v>696</v>
      </c>
      <c r="G1098" t="str">
        <f t="shared" si="95"/>
        <v>11.6min</v>
      </c>
      <c r="H1098">
        <f t="shared" si="96"/>
        <v>9.959011214941743E-4</v>
      </c>
      <c r="I1098">
        <f t="shared" si="97"/>
        <v>0</v>
      </c>
      <c r="J1098">
        <f t="shared" si="98"/>
        <v>0</v>
      </c>
      <c r="K1098" t="str">
        <f t="shared" si="99"/>
        <v>La129</v>
      </c>
    </row>
    <row r="1099" spans="2:11" hidden="1" x14ac:dyDescent="0.2">
      <c r="B1099" s="4">
        <v>57130</v>
      </c>
      <c r="C1099" s="4">
        <v>0</v>
      </c>
      <c r="D1099">
        <v>0</v>
      </c>
      <c r="E1099" t="str">
        <f>VLOOKUP(B1099,[1]Nuclides!A:E,5,FALSE)</f>
        <v>La130</v>
      </c>
      <c r="F1099">
        <f>VLOOKUP(B1099,[1]Nuclides!A:E,4,FALSE)</f>
        <v>522</v>
      </c>
      <c r="G1099" t="str">
        <f t="shared" si="95"/>
        <v>8.7min</v>
      </c>
      <c r="H1099">
        <f t="shared" si="96"/>
        <v>1.3278681619922324E-3</v>
      </c>
      <c r="I1099">
        <f t="shared" si="97"/>
        <v>0</v>
      </c>
      <c r="J1099">
        <f t="shared" si="98"/>
        <v>0</v>
      </c>
      <c r="K1099" t="str">
        <f t="shared" si="99"/>
        <v>La130</v>
      </c>
    </row>
    <row r="1100" spans="2:11" hidden="1" x14ac:dyDescent="0.2">
      <c r="B1100" s="4">
        <v>57131</v>
      </c>
      <c r="C1100" s="4">
        <v>0</v>
      </c>
      <c r="D1100">
        <v>0</v>
      </c>
      <c r="E1100" t="str">
        <f>VLOOKUP(B1100,[1]Nuclides!A:E,5,FALSE)</f>
        <v>La131</v>
      </c>
      <c r="F1100">
        <f>VLOOKUP(B1100,[1]Nuclides!A:E,4,FALSE)</f>
        <v>3540</v>
      </c>
      <c r="G1100" t="str">
        <f t="shared" si="95"/>
        <v>59min</v>
      </c>
      <c r="H1100">
        <f t="shared" si="96"/>
        <v>1.9580428829376985E-4</v>
      </c>
      <c r="I1100">
        <f t="shared" si="97"/>
        <v>0</v>
      </c>
      <c r="J1100">
        <f t="shared" si="98"/>
        <v>0</v>
      </c>
      <c r="K1100" t="str">
        <f t="shared" si="99"/>
        <v>La131</v>
      </c>
    </row>
    <row r="1101" spans="2:11" hidden="1" x14ac:dyDescent="0.2">
      <c r="B1101" s="4">
        <v>57132</v>
      </c>
      <c r="C1101" s="4">
        <v>0</v>
      </c>
      <c r="D1101">
        <v>0</v>
      </c>
      <c r="E1101" t="str">
        <f>VLOOKUP(B1101,[1]Nuclides!A:E,5,FALSE)</f>
        <v>La132</v>
      </c>
      <c r="F1101">
        <f>VLOOKUP(B1101,[1]Nuclides!A:E,4,FALSE)</f>
        <v>17280</v>
      </c>
      <c r="G1101" t="str">
        <f t="shared" si="95"/>
        <v>4.8h</v>
      </c>
      <c r="H1101">
        <f t="shared" si="96"/>
        <v>4.0112684060182019E-5</v>
      </c>
      <c r="I1101">
        <f t="shared" si="97"/>
        <v>0</v>
      </c>
      <c r="J1101">
        <f t="shared" si="98"/>
        <v>0</v>
      </c>
      <c r="K1101" t="str">
        <f t="shared" si="99"/>
        <v>La132</v>
      </c>
    </row>
    <row r="1102" spans="2:11" hidden="1" x14ac:dyDescent="0.2">
      <c r="B1102" s="4">
        <v>57133</v>
      </c>
      <c r="C1102" s="4">
        <v>0</v>
      </c>
      <c r="D1102">
        <v>0</v>
      </c>
      <c r="E1102" t="str">
        <f>VLOOKUP(B1102,[1]Nuclides!A:E,5,FALSE)</f>
        <v>La133</v>
      </c>
      <c r="F1102">
        <f>VLOOKUP(B1102,[1]Nuclides!A:E,4,FALSE)</f>
        <v>14083.199999999901</v>
      </c>
      <c r="G1102" t="str">
        <f t="shared" si="95"/>
        <v>3.91h</v>
      </c>
      <c r="H1102">
        <f t="shared" si="96"/>
        <v>4.9218017251757425E-5</v>
      </c>
      <c r="I1102">
        <f t="shared" si="97"/>
        <v>0</v>
      </c>
      <c r="J1102">
        <f t="shared" si="98"/>
        <v>0</v>
      </c>
      <c r="K1102" t="str">
        <f t="shared" si="99"/>
        <v>La133</v>
      </c>
    </row>
    <row r="1103" spans="2:11" hidden="1" x14ac:dyDescent="0.2">
      <c r="B1103" s="4">
        <v>57134</v>
      </c>
      <c r="C1103" s="4">
        <v>0</v>
      </c>
      <c r="D1103">
        <v>0</v>
      </c>
      <c r="E1103" t="str">
        <f>VLOOKUP(B1103,[1]Nuclides!A:E,5,FALSE)</f>
        <v>La134</v>
      </c>
      <c r="F1103">
        <f>VLOOKUP(B1103,[1]Nuclides!A:E,4,FALSE)</f>
        <v>387</v>
      </c>
      <c r="G1103" t="str">
        <f t="shared" si="95"/>
        <v>6.45min</v>
      </c>
      <c r="H1103">
        <f t="shared" si="96"/>
        <v>1.7910779859430111E-3</v>
      </c>
      <c r="I1103">
        <f t="shared" si="97"/>
        <v>0</v>
      </c>
      <c r="J1103">
        <f t="shared" si="98"/>
        <v>0</v>
      </c>
      <c r="K1103" t="str">
        <f t="shared" si="99"/>
        <v>La134</v>
      </c>
    </row>
    <row r="1104" spans="2:11" hidden="1" x14ac:dyDescent="0.2">
      <c r="B1104" s="4">
        <v>57135</v>
      </c>
      <c r="C1104" s="4">
        <v>0</v>
      </c>
      <c r="D1104">
        <v>0</v>
      </c>
      <c r="E1104" t="str">
        <f>VLOOKUP(B1104,[1]Nuclides!A:E,5,FALSE)</f>
        <v>La135</v>
      </c>
      <c r="F1104">
        <f>VLOOKUP(B1104,[1]Nuclides!A:E,4,FALSE)</f>
        <v>70200</v>
      </c>
      <c r="G1104" t="str">
        <f t="shared" si="95"/>
        <v>19.5h</v>
      </c>
      <c r="H1104">
        <f t="shared" si="96"/>
        <v>9.8738914609678821E-6</v>
      </c>
      <c r="I1104">
        <f t="shared" si="97"/>
        <v>0</v>
      </c>
      <c r="J1104">
        <f t="shared" si="98"/>
        <v>0</v>
      </c>
      <c r="K1104" t="str">
        <f t="shared" si="99"/>
        <v>La135</v>
      </c>
    </row>
    <row r="1105" spans="2:11" hidden="1" x14ac:dyDescent="0.2">
      <c r="B1105" s="4">
        <v>57136</v>
      </c>
      <c r="C1105" s="4">
        <v>0</v>
      </c>
      <c r="D1105">
        <v>0</v>
      </c>
      <c r="E1105" t="str">
        <f>VLOOKUP(B1105,[1]Nuclides!A:E,5,FALSE)</f>
        <v>La136</v>
      </c>
      <c r="F1105">
        <f>VLOOKUP(B1105,[1]Nuclides!A:E,4,FALSE)</f>
        <v>592.19999999999902</v>
      </c>
      <c r="G1105" t="str">
        <f t="shared" si="95"/>
        <v>9.87min</v>
      </c>
      <c r="H1105">
        <f t="shared" si="96"/>
        <v>1.1704612978047052E-3</v>
      </c>
      <c r="I1105">
        <f t="shared" si="97"/>
        <v>0</v>
      </c>
      <c r="J1105">
        <f t="shared" si="98"/>
        <v>0</v>
      </c>
      <c r="K1105" t="str">
        <f t="shared" si="99"/>
        <v>La136</v>
      </c>
    </row>
    <row r="1106" spans="2:11" hidden="1" x14ac:dyDescent="0.2">
      <c r="B1106" s="4">
        <v>57137</v>
      </c>
      <c r="C1106" s="4">
        <v>0</v>
      </c>
      <c r="D1106">
        <v>0</v>
      </c>
      <c r="E1106" t="str">
        <f>VLOOKUP(B1106,[1]Nuclides!A:E,5,FALSE)</f>
        <v>La137</v>
      </c>
      <c r="F1106">
        <f>VLOOKUP(B1106,[1]Nuclides!A:E,4,FALSE)</f>
        <v>1893456000000</v>
      </c>
      <c r="G1106" t="str">
        <f t="shared" si="95"/>
        <v>60041.1y</v>
      </c>
      <c r="H1106">
        <f t="shared" si="96"/>
        <v>3.6607514542716879E-13</v>
      </c>
      <c r="I1106">
        <f t="shared" si="97"/>
        <v>0</v>
      </c>
      <c r="J1106">
        <f t="shared" si="98"/>
        <v>0</v>
      </c>
      <c r="K1106" t="str">
        <f t="shared" si="99"/>
        <v>La137</v>
      </c>
    </row>
    <row r="1107" spans="2:11" hidden="1" x14ac:dyDescent="0.2">
      <c r="B1107" s="4">
        <v>57138</v>
      </c>
      <c r="C1107" s="4">
        <v>0</v>
      </c>
      <c r="D1107">
        <v>0</v>
      </c>
      <c r="E1107" t="str">
        <f>VLOOKUP(B1107,[1]Nuclides!A:E,5,FALSE)</f>
        <v>La138</v>
      </c>
      <c r="F1107">
        <f>VLOOKUP(B1107,[1]Nuclides!A:E,4,FALSE)</f>
        <v>3.2188752E+18</v>
      </c>
      <c r="G1107" t="str">
        <f t="shared" si="95"/>
        <v>102069863013.7y</v>
      </c>
      <c r="H1107">
        <f t="shared" si="96"/>
        <v>2.1533832083951104E-19</v>
      </c>
      <c r="I1107">
        <f t="shared" si="97"/>
        <v>0</v>
      </c>
      <c r="J1107">
        <f t="shared" si="98"/>
        <v>0</v>
      </c>
      <c r="K1107" t="str">
        <f t="shared" si="99"/>
        <v>La138</v>
      </c>
    </row>
    <row r="1108" spans="2:11" hidden="1" x14ac:dyDescent="0.2">
      <c r="B1108" s="4">
        <v>57139</v>
      </c>
      <c r="C1108" s="4">
        <v>0</v>
      </c>
      <c r="D1108">
        <v>0</v>
      </c>
      <c r="E1108" t="str">
        <f>VLOOKUP(B1108,[1]Nuclides!A:E,5,FALSE)</f>
        <v>La139</v>
      </c>
      <c r="F1108" t="str">
        <f>VLOOKUP(B1108,[1]Nuclides!A:E,4,FALSE)</f>
        <v>STABLE</v>
      </c>
      <c r="G1108" t="str">
        <f t="shared" si="95"/>
        <v>STABLE</v>
      </c>
      <c r="H1108" t="e">
        <f t="shared" si="96"/>
        <v>#VALUE!</v>
      </c>
      <c r="I1108" t="e">
        <f t="shared" si="97"/>
        <v>#VALUE!</v>
      </c>
      <c r="J1108" t="e">
        <f t="shared" si="98"/>
        <v>#VALUE!</v>
      </c>
      <c r="K1108" t="str">
        <f t="shared" si="99"/>
        <v>La139</v>
      </c>
    </row>
    <row r="1109" spans="2:11" hidden="1" x14ac:dyDescent="0.2">
      <c r="B1109" s="4">
        <v>57140</v>
      </c>
      <c r="C1109" s="4">
        <v>0</v>
      </c>
      <c r="D1109">
        <v>0</v>
      </c>
      <c r="E1109" t="str">
        <f>VLOOKUP(B1109,[1]Nuclides!A:E,5,FALSE)</f>
        <v>La140</v>
      </c>
      <c r="F1109">
        <f>VLOOKUP(B1109,[1]Nuclides!A:E,4,FALSE)</f>
        <v>145026.72</v>
      </c>
      <c r="G1109" t="str">
        <f t="shared" si="95"/>
        <v>1.68d</v>
      </c>
      <c r="H1109">
        <f t="shared" si="96"/>
        <v>4.77944464688952E-6</v>
      </c>
      <c r="I1109">
        <f t="shared" si="97"/>
        <v>0</v>
      </c>
      <c r="J1109">
        <f t="shared" si="98"/>
        <v>0</v>
      </c>
      <c r="K1109" t="str">
        <f t="shared" si="99"/>
        <v>La140</v>
      </c>
    </row>
    <row r="1110" spans="2:11" hidden="1" x14ac:dyDescent="0.2">
      <c r="B1110" s="4">
        <v>57141</v>
      </c>
      <c r="C1110" s="4">
        <v>0</v>
      </c>
      <c r="D1110">
        <v>0</v>
      </c>
      <c r="E1110" t="str">
        <f>VLOOKUP(B1110,[1]Nuclides!A:E,5,FALSE)</f>
        <v>La141</v>
      </c>
      <c r="F1110">
        <f>VLOOKUP(B1110,[1]Nuclides!A:E,4,FALSE)</f>
        <v>14112</v>
      </c>
      <c r="G1110" t="str">
        <f t="shared" si="95"/>
        <v>3.92h</v>
      </c>
      <c r="H1110">
        <f t="shared" si="96"/>
        <v>4.9117572318590229E-5</v>
      </c>
      <c r="I1110">
        <f t="shared" si="97"/>
        <v>0</v>
      </c>
      <c r="J1110">
        <f t="shared" si="98"/>
        <v>0</v>
      </c>
      <c r="K1110" t="str">
        <f t="shared" si="99"/>
        <v>La141</v>
      </c>
    </row>
    <row r="1111" spans="2:11" hidden="1" x14ac:dyDescent="0.2">
      <c r="B1111" s="4">
        <v>57142</v>
      </c>
      <c r="C1111" s="4">
        <v>0</v>
      </c>
      <c r="D1111">
        <v>0</v>
      </c>
      <c r="E1111" t="str">
        <f>VLOOKUP(B1111,[1]Nuclides!A:E,5,FALSE)</f>
        <v>La142</v>
      </c>
      <c r="F1111">
        <f>VLOOKUP(B1111,[1]Nuclides!A:E,4,FALSE)</f>
        <v>5466</v>
      </c>
      <c r="G1111" t="str">
        <f t="shared" si="95"/>
        <v>1.52h</v>
      </c>
      <c r="H1111">
        <f t="shared" si="96"/>
        <v>1.2681068067324283E-4</v>
      </c>
      <c r="I1111">
        <f t="shared" si="97"/>
        <v>0</v>
      </c>
      <c r="J1111">
        <f t="shared" si="98"/>
        <v>0</v>
      </c>
      <c r="K1111" t="str">
        <f t="shared" si="99"/>
        <v>La142</v>
      </c>
    </row>
    <row r="1112" spans="2:11" hidden="1" x14ac:dyDescent="0.2">
      <c r="B1112" s="4">
        <v>57143</v>
      </c>
      <c r="C1112" s="4">
        <v>0</v>
      </c>
      <c r="D1112">
        <v>0</v>
      </c>
      <c r="E1112" t="str">
        <f>VLOOKUP(B1112,[1]Nuclides!A:E,5,FALSE)</f>
        <v>La143</v>
      </c>
      <c r="F1112">
        <f>VLOOKUP(B1112,[1]Nuclides!A:E,4,FALSE)</f>
        <v>852</v>
      </c>
      <c r="G1112" t="str">
        <f t="shared" si="95"/>
        <v>14.2min</v>
      </c>
      <c r="H1112">
        <f t="shared" si="96"/>
        <v>8.1355302882622684E-4</v>
      </c>
      <c r="I1112">
        <f t="shared" si="97"/>
        <v>0</v>
      </c>
      <c r="J1112">
        <f t="shared" si="98"/>
        <v>0</v>
      </c>
      <c r="K1112" t="str">
        <f t="shared" si="99"/>
        <v>La143</v>
      </c>
    </row>
    <row r="1113" spans="2:11" hidden="1" x14ac:dyDescent="0.2">
      <c r="B1113" s="4">
        <v>57144</v>
      </c>
      <c r="C1113" s="4">
        <v>0</v>
      </c>
      <c r="D1113">
        <v>0</v>
      </c>
      <c r="E1113" t="str">
        <f>VLOOKUP(B1113,[1]Nuclides!A:E,5,FALSE)</f>
        <v>La144</v>
      </c>
      <c r="F1113">
        <f>VLOOKUP(B1113,[1]Nuclides!A:E,4,FALSE)</f>
        <v>40.799999999999997</v>
      </c>
      <c r="G1113" t="str">
        <f t="shared" si="95"/>
        <v>40.8s</v>
      </c>
      <c r="H1113">
        <f t="shared" si="96"/>
        <v>1.6988901484312386E-2</v>
      </c>
      <c r="I1113">
        <f t="shared" si="97"/>
        <v>0</v>
      </c>
      <c r="J1113">
        <f t="shared" si="98"/>
        <v>0</v>
      </c>
      <c r="K1113" t="str">
        <f t="shared" si="99"/>
        <v>La144</v>
      </c>
    </row>
    <row r="1114" spans="2:11" hidden="1" x14ac:dyDescent="0.2">
      <c r="B1114" s="4">
        <v>57145</v>
      </c>
      <c r="C1114" s="4">
        <v>0</v>
      </c>
      <c r="D1114">
        <v>0</v>
      </c>
      <c r="E1114" t="str">
        <f>VLOOKUP(B1114,[1]Nuclides!A:E,5,FALSE)</f>
        <v>La145</v>
      </c>
      <c r="F1114">
        <f>VLOOKUP(B1114,[1]Nuclides!A:E,4,FALSE)</f>
        <v>24.8</v>
      </c>
      <c r="G1114" t="str">
        <f t="shared" si="95"/>
        <v>24.8s</v>
      </c>
      <c r="H1114">
        <f t="shared" si="96"/>
        <v>2.7949483087094568E-2</v>
      </c>
      <c r="I1114">
        <f t="shared" si="97"/>
        <v>0</v>
      </c>
      <c r="J1114">
        <f t="shared" si="98"/>
        <v>0</v>
      </c>
      <c r="K1114" t="str">
        <f t="shared" si="99"/>
        <v>La145</v>
      </c>
    </row>
    <row r="1115" spans="2:11" hidden="1" x14ac:dyDescent="0.2">
      <c r="B1115" s="4">
        <v>57146</v>
      </c>
      <c r="C1115" s="4">
        <v>0</v>
      </c>
      <c r="D1115">
        <v>0</v>
      </c>
      <c r="E1115" t="str">
        <f>VLOOKUP(B1115,[1]Nuclides!A:E,5,FALSE)</f>
        <v>La146</v>
      </c>
      <c r="F1115">
        <f>VLOOKUP(B1115,[1]Nuclides!A:E,4,FALSE)</f>
        <v>6.27</v>
      </c>
      <c r="G1115" t="str">
        <f t="shared" si="95"/>
        <v>6.27s</v>
      </c>
      <c r="H1115">
        <f t="shared" si="96"/>
        <v>0.11054978956298969</v>
      </c>
      <c r="I1115">
        <f t="shared" si="97"/>
        <v>0</v>
      </c>
      <c r="J1115">
        <f t="shared" si="98"/>
        <v>0</v>
      </c>
      <c r="K1115" t="str">
        <f t="shared" si="99"/>
        <v>La146</v>
      </c>
    </row>
    <row r="1116" spans="2:11" hidden="1" x14ac:dyDescent="0.2">
      <c r="B1116" s="4">
        <v>57147</v>
      </c>
      <c r="C1116" s="4">
        <v>0</v>
      </c>
      <c r="D1116">
        <v>0</v>
      </c>
      <c r="E1116" t="str">
        <f>VLOOKUP(B1116,[1]Nuclides!A:E,5,FALSE)</f>
        <v>La147</v>
      </c>
      <c r="F1116">
        <f>VLOOKUP(B1116,[1]Nuclides!A:E,4,FALSE)</f>
        <v>4.0599999999999996</v>
      </c>
      <c r="G1116" t="str">
        <f t="shared" si="95"/>
        <v>4.06s</v>
      </c>
      <c r="H1116">
        <f t="shared" si="96"/>
        <v>0.17072590654185846</v>
      </c>
      <c r="I1116">
        <f t="shared" si="97"/>
        <v>0</v>
      </c>
      <c r="J1116">
        <f t="shared" si="98"/>
        <v>0</v>
      </c>
      <c r="K1116" t="str">
        <f t="shared" si="99"/>
        <v>La147</v>
      </c>
    </row>
    <row r="1117" spans="2:11" hidden="1" x14ac:dyDescent="0.2">
      <c r="B1117" s="4">
        <v>57148</v>
      </c>
      <c r="C1117" s="4">
        <v>0</v>
      </c>
      <c r="D1117">
        <v>0</v>
      </c>
      <c r="E1117" t="str">
        <f>VLOOKUP(B1117,[1]Nuclides!A:E,5,FALSE)</f>
        <v>La148</v>
      </c>
      <c r="F1117">
        <f>VLOOKUP(B1117,[1]Nuclides!A:E,4,FALSE)</f>
        <v>1.26</v>
      </c>
      <c r="G1117" t="str">
        <f t="shared" si="95"/>
        <v>1.26s</v>
      </c>
      <c r="H1117">
        <f t="shared" si="96"/>
        <v>0.55011680996821055</v>
      </c>
      <c r="I1117">
        <f t="shared" si="97"/>
        <v>0</v>
      </c>
      <c r="J1117">
        <f t="shared" si="98"/>
        <v>0</v>
      </c>
      <c r="K1117" t="str">
        <f t="shared" si="99"/>
        <v>La148</v>
      </c>
    </row>
    <row r="1118" spans="2:11" hidden="1" x14ac:dyDescent="0.2">
      <c r="B1118" s="4">
        <v>57149</v>
      </c>
      <c r="C1118" s="4">
        <v>0</v>
      </c>
      <c r="D1118">
        <v>0</v>
      </c>
      <c r="E1118" t="str">
        <f>VLOOKUP(B1118,[1]Nuclides!A:E,5,FALSE)</f>
        <v>La149</v>
      </c>
      <c r="F1118">
        <f>VLOOKUP(B1118,[1]Nuclides!A:E,4,FALSE)</f>
        <v>1.05</v>
      </c>
      <c r="G1118" t="str">
        <f t="shared" si="95"/>
        <v>1.05s</v>
      </c>
      <c r="H1118">
        <f t="shared" si="96"/>
        <v>0.6601401719618526</v>
      </c>
      <c r="I1118">
        <f t="shared" si="97"/>
        <v>0</v>
      </c>
      <c r="J1118">
        <f t="shared" si="98"/>
        <v>0</v>
      </c>
      <c r="K1118" t="str">
        <f t="shared" si="99"/>
        <v>La149</v>
      </c>
    </row>
    <row r="1119" spans="2:11" hidden="1" x14ac:dyDescent="0.2">
      <c r="B1119" s="4">
        <v>58124</v>
      </c>
      <c r="C1119" s="4">
        <v>0</v>
      </c>
      <c r="D1119">
        <v>0</v>
      </c>
      <c r="E1119" t="str">
        <f>VLOOKUP(B1119,[1]Nuclides!A:E,5,FALSE)</f>
        <v>Ce124</v>
      </c>
      <c r="F1119">
        <f>VLOOKUP(B1119,[1]Nuclides!A:E,4,FALSE)</f>
        <v>6</v>
      </c>
      <c r="G1119" t="str">
        <f t="shared" si="95"/>
        <v>6s</v>
      </c>
      <c r="H1119">
        <f t="shared" si="96"/>
        <v>0.11552453009332421</v>
      </c>
      <c r="I1119">
        <f t="shared" si="97"/>
        <v>0</v>
      </c>
      <c r="J1119">
        <f t="shared" si="98"/>
        <v>0</v>
      </c>
      <c r="K1119" t="str">
        <f t="shared" si="99"/>
        <v>Ce124</v>
      </c>
    </row>
    <row r="1120" spans="2:11" hidden="1" x14ac:dyDescent="0.2">
      <c r="B1120" s="4">
        <v>58125</v>
      </c>
      <c r="C1120" s="4">
        <v>0</v>
      </c>
      <c r="D1120">
        <v>0</v>
      </c>
      <c r="E1120" t="str">
        <f>VLOOKUP(B1120,[1]Nuclides!A:E,5,FALSE)</f>
        <v>Ce125</v>
      </c>
      <c r="F1120">
        <f>VLOOKUP(B1120,[1]Nuclides!A:E,4,FALSE)</f>
        <v>9.6999999999999993</v>
      </c>
      <c r="G1120" t="str">
        <f t="shared" si="95"/>
        <v>9.7s</v>
      </c>
      <c r="H1120">
        <f t="shared" si="96"/>
        <v>7.1458472222674776E-2</v>
      </c>
      <c r="I1120">
        <f t="shared" si="97"/>
        <v>0</v>
      </c>
      <c r="J1120">
        <f t="shared" si="98"/>
        <v>0</v>
      </c>
      <c r="K1120" t="str">
        <f t="shared" si="99"/>
        <v>Ce125</v>
      </c>
    </row>
    <row r="1121" spans="2:11" hidden="1" x14ac:dyDescent="0.2">
      <c r="B1121" s="4">
        <v>58126</v>
      </c>
      <c r="C1121" s="4">
        <v>0</v>
      </c>
      <c r="D1121">
        <v>0</v>
      </c>
      <c r="E1121" t="str">
        <f>VLOOKUP(B1121,[1]Nuclides!A:E,5,FALSE)</f>
        <v>Ce126</v>
      </c>
      <c r="F1121">
        <f>VLOOKUP(B1121,[1]Nuclides!A:E,4,FALSE)</f>
        <v>51</v>
      </c>
      <c r="G1121" t="str">
        <f t="shared" si="95"/>
        <v>51s</v>
      </c>
      <c r="H1121">
        <f t="shared" si="96"/>
        <v>1.3591121187449907E-2</v>
      </c>
      <c r="I1121">
        <f t="shared" si="97"/>
        <v>0</v>
      </c>
      <c r="J1121">
        <f t="shared" si="98"/>
        <v>0</v>
      </c>
      <c r="K1121" t="str">
        <f t="shared" si="99"/>
        <v>Ce126</v>
      </c>
    </row>
    <row r="1122" spans="2:11" hidden="1" x14ac:dyDescent="0.2">
      <c r="B1122" s="4">
        <v>58127</v>
      </c>
      <c r="C1122" s="4">
        <v>0</v>
      </c>
      <c r="D1122">
        <v>0</v>
      </c>
      <c r="E1122" t="str">
        <f>VLOOKUP(B1122,[1]Nuclides!A:E,5,FALSE)</f>
        <v>Ce127</v>
      </c>
      <c r="F1122">
        <f>VLOOKUP(B1122,[1]Nuclides!A:E,4,FALSE)</f>
        <v>34</v>
      </c>
      <c r="G1122" t="str">
        <f t="shared" si="95"/>
        <v>34s</v>
      </c>
      <c r="H1122">
        <f t="shared" si="96"/>
        <v>2.0386681781174861E-2</v>
      </c>
      <c r="I1122">
        <f t="shared" si="97"/>
        <v>0</v>
      </c>
      <c r="J1122">
        <f t="shared" si="98"/>
        <v>0</v>
      </c>
      <c r="K1122" t="str">
        <f t="shared" si="99"/>
        <v>Ce127</v>
      </c>
    </row>
    <row r="1123" spans="2:11" hidden="1" x14ac:dyDescent="0.2">
      <c r="B1123" s="4">
        <v>58128</v>
      </c>
      <c r="C1123" s="4">
        <v>0</v>
      </c>
      <c r="D1123">
        <v>0</v>
      </c>
      <c r="E1123" t="str">
        <f>VLOOKUP(B1123,[1]Nuclides!A:E,5,FALSE)</f>
        <v>Ce128</v>
      </c>
      <c r="F1123">
        <f>VLOOKUP(B1123,[1]Nuclides!A:E,4,FALSE)</f>
        <v>235.8</v>
      </c>
      <c r="G1123" t="str">
        <f t="shared" si="95"/>
        <v>3.93min</v>
      </c>
      <c r="H1123">
        <f t="shared" si="96"/>
        <v>2.9395554731125751E-3</v>
      </c>
      <c r="I1123">
        <f t="shared" si="97"/>
        <v>0</v>
      </c>
      <c r="J1123">
        <f t="shared" si="98"/>
        <v>0</v>
      </c>
      <c r="K1123" t="str">
        <f t="shared" si="99"/>
        <v>Ce128</v>
      </c>
    </row>
    <row r="1124" spans="2:11" hidden="1" x14ac:dyDescent="0.2">
      <c r="B1124" s="4">
        <v>58129</v>
      </c>
      <c r="C1124" s="4">
        <v>0</v>
      </c>
      <c r="D1124">
        <v>0</v>
      </c>
      <c r="E1124" t="str">
        <f>VLOOKUP(B1124,[1]Nuclides!A:E,5,FALSE)</f>
        <v>Ce129</v>
      </c>
      <c r="F1124">
        <f>VLOOKUP(B1124,[1]Nuclides!A:E,4,FALSE)</f>
        <v>210</v>
      </c>
      <c r="G1124" t="str">
        <f t="shared" si="95"/>
        <v>3.5min</v>
      </c>
      <c r="H1124">
        <f t="shared" si="96"/>
        <v>3.3007008598092634E-3</v>
      </c>
      <c r="I1124">
        <f t="shared" si="97"/>
        <v>0</v>
      </c>
      <c r="J1124">
        <f t="shared" si="98"/>
        <v>0</v>
      </c>
      <c r="K1124" t="str">
        <f t="shared" si="99"/>
        <v>Ce129</v>
      </c>
    </row>
    <row r="1125" spans="2:11" hidden="1" x14ac:dyDescent="0.2">
      <c r="B1125" s="4">
        <v>58130</v>
      </c>
      <c r="C1125" s="4">
        <v>0</v>
      </c>
      <c r="D1125">
        <v>0</v>
      </c>
      <c r="E1125" t="str">
        <f>VLOOKUP(B1125,[1]Nuclides!A:E,5,FALSE)</f>
        <v>Ce130</v>
      </c>
      <c r="F1125">
        <f>VLOOKUP(B1125,[1]Nuclides!A:E,4,FALSE)</f>
        <v>1374</v>
      </c>
      <c r="G1125" t="str">
        <f t="shared" si="95"/>
        <v>22.9min</v>
      </c>
      <c r="H1125">
        <f t="shared" si="96"/>
        <v>5.0447393053853367E-4</v>
      </c>
      <c r="I1125">
        <f t="shared" si="97"/>
        <v>0</v>
      </c>
      <c r="J1125">
        <f t="shared" si="98"/>
        <v>0</v>
      </c>
      <c r="K1125" t="str">
        <f t="shared" si="99"/>
        <v>Ce130</v>
      </c>
    </row>
    <row r="1126" spans="2:11" hidden="1" x14ac:dyDescent="0.2">
      <c r="B1126" s="4">
        <v>58131</v>
      </c>
      <c r="C1126" s="4">
        <v>0</v>
      </c>
      <c r="D1126">
        <v>0</v>
      </c>
      <c r="E1126" t="str">
        <f>VLOOKUP(B1126,[1]Nuclides!A:E,5,FALSE)</f>
        <v>Ce131</v>
      </c>
      <c r="F1126">
        <f>VLOOKUP(B1126,[1]Nuclides!A:E,4,FALSE)</f>
        <v>618</v>
      </c>
      <c r="G1126" t="str">
        <f t="shared" si="95"/>
        <v>10.3min</v>
      </c>
      <c r="H1126">
        <f t="shared" si="96"/>
        <v>1.1215973795468371E-3</v>
      </c>
      <c r="I1126">
        <f t="shared" si="97"/>
        <v>0</v>
      </c>
      <c r="J1126">
        <f t="shared" si="98"/>
        <v>0</v>
      </c>
      <c r="K1126" t="str">
        <f t="shared" si="99"/>
        <v>Ce131</v>
      </c>
    </row>
    <row r="1127" spans="2:11" hidden="1" x14ac:dyDescent="0.2">
      <c r="B1127" s="4">
        <v>58132</v>
      </c>
      <c r="C1127" s="4">
        <v>0</v>
      </c>
      <c r="D1127">
        <v>0</v>
      </c>
      <c r="E1127" t="str">
        <f>VLOOKUP(B1127,[1]Nuclides!A:E,5,FALSE)</f>
        <v>Ce132</v>
      </c>
      <c r="F1127">
        <f>VLOOKUP(B1127,[1]Nuclides!A:E,4,FALSE)</f>
        <v>12636</v>
      </c>
      <c r="G1127" t="str">
        <f t="shared" si="95"/>
        <v>3.51h</v>
      </c>
      <c r="H1127">
        <f t="shared" si="96"/>
        <v>5.4854952560932673E-5</v>
      </c>
      <c r="I1127">
        <f t="shared" si="97"/>
        <v>0</v>
      </c>
      <c r="J1127">
        <f t="shared" si="98"/>
        <v>0</v>
      </c>
      <c r="K1127" t="str">
        <f t="shared" si="99"/>
        <v>Ce132</v>
      </c>
    </row>
    <row r="1128" spans="2:11" hidden="1" x14ac:dyDescent="0.2">
      <c r="B1128" s="4">
        <v>58133</v>
      </c>
      <c r="C1128" s="4">
        <v>0</v>
      </c>
      <c r="D1128">
        <v>0</v>
      </c>
      <c r="E1128" t="str">
        <f>VLOOKUP(B1128,[1]Nuclides!A:E,5,FALSE)</f>
        <v>Ce133</v>
      </c>
      <c r="F1128">
        <f>VLOOKUP(B1128,[1]Nuclides!A:E,4,FALSE)</f>
        <v>5820</v>
      </c>
      <c r="G1128" t="str">
        <f t="shared" si="95"/>
        <v>1.62h</v>
      </c>
      <c r="H1128">
        <f t="shared" si="96"/>
        <v>1.1909745370445796E-4</v>
      </c>
      <c r="I1128">
        <f t="shared" si="97"/>
        <v>0</v>
      </c>
      <c r="J1128">
        <f t="shared" si="98"/>
        <v>0</v>
      </c>
      <c r="K1128" t="str">
        <f t="shared" si="99"/>
        <v>Ce133</v>
      </c>
    </row>
    <row r="1129" spans="2:11" hidden="1" x14ac:dyDescent="0.2">
      <c r="B1129" s="4">
        <v>58134</v>
      </c>
      <c r="C1129" s="4">
        <v>0</v>
      </c>
      <c r="D1129">
        <v>0</v>
      </c>
      <c r="E1129" t="str">
        <f>VLOOKUP(B1129,[1]Nuclides!A:E,5,FALSE)</f>
        <v>Ce134</v>
      </c>
      <c r="F1129">
        <f>VLOOKUP(B1129,[1]Nuclides!A:E,4,FALSE)</f>
        <v>273024</v>
      </c>
      <c r="G1129" t="str">
        <f t="shared" si="95"/>
        <v>3.16d</v>
      </c>
      <c r="H1129">
        <f t="shared" si="96"/>
        <v>2.5387774721634191E-6</v>
      </c>
      <c r="I1129">
        <f t="shared" si="97"/>
        <v>0</v>
      </c>
      <c r="J1129">
        <f t="shared" si="98"/>
        <v>0</v>
      </c>
      <c r="K1129" t="str">
        <f t="shared" si="99"/>
        <v>Ce134</v>
      </c>
    </row>
    <row r="1130" spans="2:11" hidden="1" x14ac:dyDescent="0.2">
      <c r="B1130" s="4">
        <v>58135</v>
      </c>
      <c r="C1130" s="4">
        <v>0</v>
      </c>
      <c r="D1130">
        <v>0</v>
      </c>
      <c r="E1130" t="str">
        <f>VLOOKUP(B1130,[1]Nuclides!A:E,5,FALSE)</f>
        <v>Ce135</v>
      </c>
      <c r="F1130">
        <f>VLOOKUP(B1130,[1]Nuclides!A:E,4,FALSE)</f>
        <v>63720</v>
      </c>
      <c r="G1130" t="str">
        <f t="shared" si="95"/>
        <v>17.7h</v>
      </c>
      <c r="H1130">
        <f t="shared" si="96"/>
        <v>1.0878016016320548E-5</v>
      </c>
      <c r="I1130">
        <f t="shared" si="97"/>
        <v>0</v>
      </c>
      <c r="J1130">
        <f t="shared" si="98"/>
        <v>0</v>
      </c>
      <c r="K1130" t="str">
        <f t="shared" si="99"/>
        <v>Ce135</v>
      </c>
    </row>
    <row r="1131" spans="2:11" hidden="1" x14ac:dyDescent="0.2">
      <c r="B1131" s="4">
        <v>58136</v>
      </c>
      <c r="C1131" s="4">
        <v>0</v>
      </c>
      <c r="D1131">
        <v>0</v>
      </c>
      <c r="E1131" t="str">
        <f>VLOOKUP(B1131,[1]Nuclides!A:E,5,FALSE)</f>
        <v>Ce136</v>
      </c>
      <c r="F1131">
        <f>VLOOKUP(B1131,[1]Nuclides!A:E,4,FALSE)</f>
        <v>2.209032E+21</v>
      </c>
      <c r="G1131" t="str">
        <f t="shared" si="95"/>
        <v>70047945205479.5y</v>
      </c>
      <c r="H1131">
        <f t="shared" si="96"/>
        <v>3.1377869608043036E-22</v>
      </c>
      <c r="I1131">
        <f t="shared" si="97"/>
        <v>0</v>
      </c>
      <c r="J1131">
        <f t="shared" si="98"/>
        <v>0</v>
      </c>
      <c r="K1131" t="str">
        <f t="shared" si="99"/>
        <v>Ce136</v>
      </c>
    </row>
    <row r="1132" spans="2:11" hidden="1" x14ac:dyDescent="0.2">
      <c r="B1132" s="4">
        <v>58137</v>
      </c>
      <c r="C1132" s="4">
        <v>0</v>
      </c>
      <c r="D1132">
        <v>0</v>
      </c>
      <c r="E1132" t="str">
        <f>VLOOKUP(B1132,[1]Nuclides!A:E,5,FALSE)</f>
        <v>Ce137</v>
      </c>
      <c r="F1132">
        <f>VLOOKUP(B1132,[1]Nuclides!A:E,4,FALSE)</f>
        <v>32400</v>
      </c>
      <c r="G1132" t="str">
        <f t="shared" si="95"/>
        <v>9h</v>
      </c>
      <c r="H1132">
        <f t="shared" si="96"/>
        <v>2.1393431498763742E-5</v>
      </c>
      <c r="I1132">
        <f t="shared" si="97"/>
        <v>0</v>
      </c>
      <c r="J1132">
        <f t="shared" si="98"/>
        <v>0</v>
      </c>
      <c r="K1132" t="str">
        <f t="shared" si="99"/>
        <v>Ce137</v>
      </c>
    </row>
    <row r="1133" spans="2:11" hidden="1" x14ac:dyDescent="0.2">
      <c r="B1133" s="4">
        <v>58138</v>
      </c>
      <c r="C1133" s="4">
        <v>0</v>
      </c>
      <c r="D1133">
        <v>0</v>
      </c>
      <c r="E1133" t="str">
        <f>VLOOKUP(B1133,[1]Nuclides!A:E,5,FALSE)</f>
        <v>Ce138</v>
      </c>
      <c r="F1133">
        <f>VLOOKUP(B1133,[1]Nuclides!A:E,4,FALSE)</f>
        <v>2.8401840000000003E+21</v>
      </c>
      <c r="G1133" t="str">
        <f t="shared" si="95"/>
        <v>90061643835616.5y</v>
      </c>
      <c r="H1133">
        <f t="shared" si="96"/>
        <v>2.4405009695144583E-22</v>
      </c>
      <c r="I1133">
        <f t="shared" si="97"/>
        <v>0</v>
      </c>
      <c r="J1133">
        <f t="shared" si="98"/>
        <v>0</v>
      </c>
      <c r="K1133" t="str">
        <f t="shared" si="99"/>
        <v>Ce138</v>
      </c>
    </row>
    <row r="1134" spans="2:11" hidden="1" x14ac:dyDescent="0.2">
      <c r="B1134" s="4">
        <v>58139</v>
      </c>
      <c r="C1134" s="4">
        <v>0</v>
      </c>
      <c r="D1134">
        <v>0</v>
      </c>
      <c r="E1134" t="str">
        <f>VLOOKUP(B1134,[1]Nuclides!A:E,5,FALSE)</f>
        <v>Ce139</v>
      </c>
      <c r="F1134">
        <f>VLOOKUP(B1134,[1]Nuclides!A:E,4,FALSE)</f>
        <v>11892182.3999999</v>
      </c>
      <c r="G1134" t="str">
        <f t="shared" si="95"/>
        <v>137.64d</v>
      </c>
      <c r="H1134">
        <f t="shared" si="96"/>
        <v>5.8285952674250198E-8</v>
      </c>
      <c r="I1134">
        <f t="shared" si="97"/>
        <v>0</v>
      </c>
      <c r="J1134">
        <f t="shared" si="98"/>
        <v>0</v>
      </c>
      <c r="K1134" t="str">
        <f t="shared" si="99"/>
        <v>Ce139</v>
      </c>
    </row>
    <row r="1135" spans="2:11" hidden="1" x14ac:dyDescent="0.2">
      <c r="B1135" s="4">
        <v>58140</v>
      </c>
      <c r="C1135" s="4">
        <v>0</v>
      </c>
      <c r="D1135">
        <v>0</v>
      </c>
      <c r="E1135" t="str">
        <f>VLOOKUP(B1135,[1]Nuclides!A:E,5,FALSE)</f>
        <v>Ce140</v>
      </c>
      <c r="F1135" t="str">
        <f>VLOOKUP(B1135,[1]Nuclides!A:E,4,FALSE)</f>
        <v>STABLE</v>
      </c>
      <c r="G1135" t="str">
        <f t="shared" si="95"/>
        <v>STABLE</v>
      </c>
      <c r="H1135" t="e">
        <f t="shared" si="96"/>
        <v>#VALUE!</v>
      </c>
      <c r="I1135" t="e">
        <f t="shared" si="97"/>
        <v>#VALUE!</v>
      </c>
      <c r="J1135" t="e">
        <f t="shared" si="98"/>
        <v>#VALUE!</v>
      </c>
      <c r="K1135" t="str">
        <f t="shared" si="99"/>
        <v>Ce140</v>
      </c>
    </row>
    <row r="1136" spans="2:11" hidden="1" x14ac:dyDescent="0.2">
      <c r="B1136" s="4">
        <v>58141</v>
      </c>
      <c r="C1136" s="4">
        <v>0</v>
      </c>
      <c r="D1136">
        <v>0</v>
      </c>
      <c r="E1136" t="str">
        <f>VLOOKUP(B1136,[1]Nuclides!A:E,5,FALSE)</f>
        <v>Ce141</v>
      </c>
      <c r="F1136">
        <f>VLOOKUP(B1136,[1]Nuclides!A:E,4,FALSE)</f>
        <v>2808950.4</v>
      </c>
      <c r="G1136" t="str">
        <f t="shared" si="95"/>
        <v>32.51d</v>
      </c>
      <c r="H1136">
        <f t="shared" si="96"/>
        <v>2.4676376648015759E-7</v>
      </c>
      <c r="I1136">
        <f t="shared" si="97"/>
        <v>0</v>
      </c>
      <c r="J1136">
        <f t="shared" si="98"/>
        <v>0</v>
      </c>
      <c r="K1136" t="str">
        <f t="shared" si="99"/>
        <v>Ce141</v>
      </c>
    </row>
    <row r="1137" spans="2:11" hidden="1" x14ac:dyDescent="0.2">
      <c r="B1137" s="4">
        <v>58142</v>
      </c>
      <c r="C1137" s="4">
        <v>0</v>
      </c>
      <c r="D1137">
        <v>0</v>
      </c>
      <c r="E1137" t="str">
        <f>VLOOKUP(B1137,[1]Nuclides!A:E,5,FALSE)</f>
        <v>Ce142</v>
      </c>
      <c r="F1137">
        <f>VLOOKUP(B1137,[1]Nuclides!A:E,4,FALSE)</f>
        <v>1.57788E+24</v>
      </c>
      <c r="G1137" t="str">
        <f t="shared" si="95"/>
        <v>50034246575342500y</v>
      </c>
      <c r="H1137">
        <f t="shared" si="96"/>
        <v>4.3929017451260252E-25</v>
      </c>
      <c r="I1137">
        <f t="shared" si="97"/>
        <v>0</v>
      </c>
      <c r="J1137">
        <f t="shared" si="98"/>
        <v>0</v>
      </c>
      <c r="K1137" t="str">
        <f t="shared" si="99"/>
        <v>Ce142</v>
      </c>
    </row>
    <row r="1138" spans="2:11" hidden="1" x14ac:dyDescent="0.2">
      <c r="B1138" s="4">
        <v>58143</v>
      </c>
      <c r="C1138" s="4">
        <v>0</v>
      </c>
      <c r="D1138">
        <v>0</v>
      </c>
      <c r="E1138" t="str">
        <f>VLOOKUP(B1138,[1]Nuclides!A:E,5,FALSE)</f>
        <v>Ce143</v>
      </c>
      <c r="F1138">
        <f>VLOOKUP(B1138,[1]Nuclides!A:E,4,FALSE)</f>
        <v>118940.4</v>
      </c>
      <c r="G1138" t="str">
        <f t="shared" si="95"/>
        <v>1.38d</v>
      </c>
      <c r="H1138">
        <f t="shared" si="96"/>
        <v>5.8276849628885168E-6</v>
      </c>
      <c r="I1138">
        <f t="shared" si="97"/>
        <v>0</v>
      </c>
      <c r="J1138">
        <f t="shared" si="98"/>
        <v>0</v>
      </c>
      <c r="K1138" t="str">
        <f t="shared" si="99"/>
        <v>Ce143</v>
      </c>
    </row>
    <row r="1139" spans="2:11" hidden="1" x14ac:dyDescent="0.2">
      <c r="B1139" s="4">
        <v>58144</v>
      </c>
      <c r="C1139" s="4">
        <v>0</v>
      </c>
      <c r="D1139">
        <v>0</v>
      </c>
      <c r="E1139" t="str">
        <f>VLOOKUP(B1139,[1]Nuclides!A:E,5,FALSE)</f>
        <v>Ce144</v>
      </c>
      <c r="F1139">
        <f>VLOOKUP(B1139,[1]Nuclides!A:E,4,FALSE)</f>
        <v>24616224</v>
      </c>
      <c r="G1139" t="str">
        <f t="shared" si="95"/>
        <v>284.91d</v>
      </c>
      <c r="H1139">
        <f t="shared" si="96"/>
        <v>2.8158144017536781E-8</v>
      </c>
      <c r="I1139">
        <f t="shared" si="97"/>
        <v>0</v>
      </c>
      <c r="J1139">
        <f t="shared" si="98"/>
        <v>0</v>
      </c>
      <c r="K1139" t="str">
        <f t="shared" si="99"/>
        <v>Ce144</v>
      </c>
    </row>
    <row r="1140" spans="2:11" hidden="1" x14ac:dyDescent="0.2">
      <c r="B1140" s="4">
        <v>58145</v>
      </c>
      <c r="C1140" s="4">
        <v>0</v>
      </c>
      <c r="D1140">
        <v>0</v>
      </c>
      <c r="E1140" t="str">
        <f>VLOOKUP(B1140,[1]Nuclides!A:E,5,FALSE)</f>
        <v>Ce145</v>
      </c>
      <c r="F1140">
        <f>VLOOKUP(B1140,[1]Nuclides!A:E,4,FALSE)</f>
        <v>180.6</v>
      </c>
      <c r="G1140" t="str">
        <f t="shared" si="95"/>
        <v>3.01min</v>
      </c>
      <c r="H1140">
        <f t="shared" si="96"/>
        <v>3.8380242555921666E-3</v>
      </c>
      <c r="I1140">
        <f t="shared" si="97"/>
        <v>0</v>
      </c>
      <c r="J1140">
        <f t="shared" si="98"/>
        <v>0</v>
      </c>
      <c r="K1140" t="str">
        <f t="shared" si="99"/>
        <v>Ce145</v>
      </c>
    </row>
    <row r="1141" spans="2:11" hidden="1" x14ac:dyDescent="0.2">
      <c r="B1141" s="4">
        <v>58146</v>
      </c>
      <c r="C1141" s="4">
        <v>0</v>
      </c>
      <c r="D1141">
        <v>0</v>
      </c>
      <c r="E1141" t="str">
        <f>VLOOKUP(B1141,[1]Nuclides!A:E,5,FALSE)</f>
        <v>Ce146</v>
      </c>
      <c r="F1141">
        <f>VLOOKUP(B1141,[1]Nuclides!A:E,4,FALSE)</f>
        <v>809.4</v>
      </c>
      <c r="G1141" t="str">
        <f t="shared" si="95"/>
        <v>13.49min</v>
      </c>
      <c r="H1141">
        <f t="shared" si="96"/>
        <v>8.5637160929076517E-4</v>
      </c>
      <c r="I1141">
        <f t="shared" si="97"/>
        <v>0</v>
      </c>
      <c r="J1141">
        <f t="shared" si="98"/>
        <v>0</v>
      </c>
      <c r="K1141" t="str">
        <f t="shared" si="99"/>
        <v>Ce146</v>
      </c>
    </row>
    <row r="1142" spans="2:11" hidden="1" x14ac:dyDescent="0.2">
      <c r="B1142" s="4">
        <v>58147</v>
      </c>
      <c r="C1142" s="4">
        <v>0</v>
      </c>
      <c r="D1142">
        <v>0</v>
      </c>
      <c r="E1142" t="str">
        <f>VLOOKUP(B1142,[1]Nuclides!A:E,5,FALSE)</f>
        <v>Ce147</v>
      </c>
      <c r="F1142">
        <f>VLOOKUP(B1142,[1]Nuclides!A:E,4,FALSE)</f>
        <v>56.4</v>
      </c>
      <c r="G1142" t="str">
        <f t="shared" si="95"/>
        <v>56.4s</v>
      </c>
      <c r="H1142">
        <f t="shared" si="96"/>
        <v>1.2289843626949385E-2</v>
      </c>
      <c r="I1142">
        <f t="shared" si="97"/>
        <v>0</v>
      </c>
      <c r="J1142">
        <f t="shared" si="98"/>
        <v>0</v>
      </c>
      <c r="K1142" t="str">
        <f t="shared" si="99"/>
        <v>Ce147</v>
      </c>
    </row>
    <row r="1143" spans="2:11" hidden="1" x14ac:dyDescent="0.2">
      <c r="B1143" s="4">
        <v>58148</v>
      </c>
      <c r="C1143" s="4">
        <v>0</v>
      </c>
      <c r="D1143">
        <v>0</v>
      </c>
      <c r="E1143" t="str">
        <f>VLOOKUP(B1143,[1]Nuclides!A:E,5,FALSE)</f>
        <v>Ce148</v>
      </c>
      <c r="F1143">
        <f>VLOOKUP(B1143,[1]Nuclides!A:E,4,FALSE)</f>
        <v>56.8</v>
      </c>
      <c r="G1143" t="str">
        <f t="shared" si="95"/>
        <v>56.8s</v>
      </c>
      <c r="H1143">
        <f t="shared" si="96"/>
        <v>1.2203295432393403E-2</v>
      </c>
      <c r="I1143">
        <f t="shared" si="97"/>
        <v>0</v>
      </c>
      <c r="J1143">
        <f t="shared" si="98"/>
        <v>0</v>
      </c>
      <c r="K1143" t="str">
        <f t="shared" si="99"/>
        <v>Ce148</v>
      </c>
    </row>
    <row r="1144" spans="2:11" hidden="1" x14ac:dyDescent="0.2">
      <c r="B1144" s="4">
        <v>58149</v>
      </c>
      <c r="C1144" s="4">
        <v>0</v>
      </c>
      <c r="D1144">
        <v>0</v>
      </c>
      <c r="E1144" t="str">
        <f>VLOOKUP(B1144,[1]Nuclides!A:E,5,FALSE)</f>
        <v>Ce149</v>
      </c>
      <c r="F1144">
        <f>VLOOKUP(B1144,[1]Nuclides!A:E,4,FALSE)</f>
        <v>5.3</v>
      </c>
      <c r="G1144" t="str">
        <f t="shared" si="95"/>
        <v>5.3s</v>
      </c>
      <c r="H1144">
        <f t="shared" si="96"/>
        <v>0.1307824868981029</v>
      </c>
      <c r="I1144">
        <f t="shared" si="97"/>
        <v>0</v>
      </c>
      <c r="J1144">
        <f t="shared" si="98"/>
        <v>0</v>
      </c>
      <c r="K1144" t="str">
        <f t="shared" si="99"/>
        <v>Ce149</v>
      </c>
    </row>
    <row r="1145" spans="2:11" hidden="1" x14ac:dyDescent="0.2">
      <c r="B1145" s="4">
        <v>58150</v>
      </c>
      <c r="C1145" s="4">
        <v>0</v>
      </c>
      <c r="D1145">
        <v>0</v>
      </c>
      <c r="E1145" t="str">
        <f>VLOOKUP(B1145,[1]Nuclides!A:E,5,FALSE)</f>
        <v>Ce150</v>
      </c>
      <c r="F1145">
        <f>VLOOKUP(B1145,[1]Nuclides!A:E,4,FALSE)</f>
        <v>4</v>
      </c>
      <c r="G1145" t="str">
        <f t="shared" si="95"/>
        <v>4s</v>
      </c>
      <c r="H1145">
        <f t="shared" si="96"/>
        <v>0.17328679513998632</v>
      </c>
      <c r="I1145">
        <f t="shared" si="97"/>
        <v>0</v>
      </c>
      <c r="J1145">
        <f t="shared" si="98"/>
        <v>0</v>
      </c>
      <c r="K1145" t="str">
        <f t="shared" si="99"/>
        <v>Ce150</v>
      </c>
    </row>
    <row r="1146" spans="2:11" hidden="1" x14ac:dyDescent="0.2">
      <c r="B1146" s="4">
        <v>58151</v>
      </c>
      <c r="C1146" s="4">
        <v>0</v>
      </c>
      <c r="D1146">
        <v>0</v>
      </c>
      <c r="E1146" t="str">
        <f>VLOOKUP(B1146,[1]Nuclides!A:E,5,FALSE)</f>
        <v>Ce151</v>
      </c>
      <c r="F1146">
        <f>VLOOKUP(B1146,[1]Nuclides!A:E,4,FALSE)</f>
        <v>1.76</v>
      </c>
      <c r="G1146" t="str">
        <f t="shared" si="95"/>
        <v>1.76s</v>
      </c>
      <c r="H1146">
        <f t="shared" si="96"/>
        <v>0.39383362531815075</v>
      </c>
      <c r="I1146">
        <f t="shared" si="97"/>
        <v>0</v>
      </c>
      <c r="J1146">
        <f t="shared" si="98"/>
        <v>0</v>
      </c>
      <c r="K1146" t="str">
        <f t="shared" si="99"/>
        <v>Ce151</v>
      </c>
    </row>
    <row r="1147" spans="2:11" hidden="1" x14ac:dyDescent="0.2">
      <c r="B1147" s="4">
        <v>59129</v>
      </c>
      <c r="C1147" s="4">
        <v>0</v>
      </c>
      <c r="D1147">
        <v>0</v>
      </c>
      <c r="E1147" t="str">
        <f>VLOOKUP(B1147,[1]Nuclides!A:E,5,FALSE)</f>
        <v>Pr129</v>
      </c>
      <c r="F1147">
        <f>VLOOKUP(B1147,[1]Nuclides!A:E,4,FALSE)</f>
        <v>30</v>
      </c>
      <c r="G1147" t="str">
        <f t="shared" si="95"/>
        <v>30s</v>
      </c>
      <c r="H1147">
        <f t="shared" si="96"/>
        <v>2.3104906018664842E-2</v>
      </c>
      <c r="I1147">
        <f t="shared" si="97"/>
        <v>0</v>
      </c>
      <c r="J1147">
        <f t="shared" si="98"/>
        <v>0</v>
      </c>
      <c r="K1147" t="str">
        <f t="shared" si="99"/>
        <v>Pr129</v>
      </c>
    </row>
    <row r="1148" spans="2:11" hidden="1" x14ac:dyDescent="0.2">
      <c r="B1148" s="4">
        <v>59130</v>
      </c>
      <c r="C1148" s="4">
        <v>0</v>
      </c>
      <c r="D1148">
        <v>0</v>
      </c>
      <c r="E1148" t="str">
        <f>VLOOKUP(B1148,[1]Nuclides!A:E,5,FALSE)</f>
        <v>Pr130</v>
      </c>
      <c r="F1148">
        <f>VLOOKUP(B1148,[1]Nuclides!A:E,4,FALSE)</f>
        <v>40</v>
      </c>
      <c r="G1148" t="str">
        <f t="shared" si="95"/>
        <v>40s</v>
      </c>
      <c r="H1148">
        <f t="shared" si="96"/>
        <v>1.7328679513998631E-2</v>
      </c>
      <c r="I1148">
        <f t="shared" si="97"/>
        <v>0</v>
      </c>
      <c r="J1148">
        <f t="shared" si="98"/>
        <v>0</v>
      </c>
      <c r="K1148" t="str">
        <f t="shared" si="99"/>
        <v>Pr130</v>
      </c>
    </row>
    <row r="1149" spans="2:11" hidden="1" x14ac:dyDescent="0.2">
      <c r="B1149" s="4">
        <v>59131</v>
      </c>
      <c r="C1149" s="4">
        <v>0</v>
      </c>
      <c r="D1149">
        <v>0</v>
      </c>
      <c r="E1149" t="str">
        <f>VLOOKUP(B1149,[1]Nuclides!A:E,5,FALSE)</f>
        <v>Pr131</v>
      </c>
      <c r="F1149">
        <f>VLOOKUP(B1149,[1]Nuclides!A:E,4,FALSE)</f>
        <v>90.6</v>
      </c>
      <c r="G1149" t="str">
        <f t="shared" si="95"/>
        <v>1.51min</v>
      </c>
      <c r="H1149">
        <f t="shared" si="96"/>
        <v>7.650631132008227E-3</v>
      </c>
      <c r="I1149">
        <f t="shared" si="97"/>
        <v>0</v>
      </c>
      <c r="J1149">
        <f t="shared" si="98"/>
        <v>0</v>
      </c>
      <c r="K1149" t="str">
        <f t="shared" si="99"/>
        <v>Pr131</v>
      </c>
    </row>
    <row r="1150" spans="2:11" hidden="1" x14ac:dyDescent="0.2">
      <c r="B1150" s="4">
        <v>59132</v>
      </c>
      <c r="C1150" s="4">
        <v>0</v>
      </c>
      <c r="D1150">
        <v>0</v>
      </c>
      <c r="E1150" t="str">
        <f>VLOOKUP(B1150,[1]Nuclides!A:E,5,FALSE)</f>
        <v>Pr132</v>
      </c>
      <c r="F1150">
        <f>VLOOKUP(B1150,[1]Nuclides!A:E,4,FALSE)</f>
        <v>96</v>
      </c>
      <c r="G1150" t="str">
        <f t="shared" si="95"/>
        <v>1.6min</v>
      </c>
      <c r="H1150">
        <f t="shared" si="96"/>
        <v>7.2202831308327631E-3</v>
      </c>
      <c r="I1150">
        <f t="shared" si="97"/>
        <v>0</v>
      </c>
      <c r="J1150">
        <f t="shared" si="98"/>
        <v>0</v>
      </c>
      <c r="K1150" t="str">
        <f t="shared" si="99"/>
        <v>Pr132</v>
      </c>
    </row>
    <row r="1151" spans="2:11" hidden="1" x14ac:dyDescent="0.2">
      <c r="B1151" s="4">
        <v>59133</v>
      </c>
      <c r="C1151" s="4">
        <v>0</v>
      </c>
      <c r="D1151">
        <v>0</v>
      </c>
      <c r="E1151" t="str">
        <f>VLOOKUP(B1151,[1]Nuclides!A:E,5,FALSE)</f>
        <v>Pr133</v>
      </c>
      <c r="F1151">
        <f>VLOOKUP(B1151,[1]Nuclides!A:E,4,FALSE)</f>
        <v>390</v>
      </c>
      <c r="G1151" t="str">
        <f t="shared" si="95"/>
        <v>6.5min</v>
      </c>
      <c r="H1151">
        <f t="shared" si="96"/>
        <v>1.7773004629742187E-3</v>
      </c>
      <c r="I1151">
        <f t="shared" si="97"/>
        <v>0</v>
      </c>
      <c r="J1151">
        <f t="shared" si="98"/>
        <v>0</v>
      </c>
      <c r="K1151" t="str">
        <f t="shared" si="99"/>
        <v>Pr133</v>
      </c>
    </row>
    <row r="1152" spans="2:11" hidden="1" x14ac:dyDescent="0.2">
      <c r="B1152" s="4">
        <v>59134</v>
      </c>
      <c r="C1152" s="4">
        <v>0</v>
      </c>
      <c r="D1152">
        <v>0</v>
      </c>
      <c r="E1152" t="str">
        <f>VLOOKUP(B1152,[1]Nuclides!A:E,5,FALSE)</f>
        <v>Pr134</v>
      </c>
      <c r="F1152">
        <f>VLOOKUP(B1152,[1]Nuclides!A:E,4,FALSE)</f>
        <v>660</v>
      </c>
      <c r="G1152" t="str">
        <f t="shared" si="95"/>
        <v>11min</v>
      </c>
      <c r="H1152">
        <f t="shared" si="96"/>
        <v>1.0502230008484019E-3</v>
      </c>
      <c r="I1152">
        <f t="shared" si="97"/>
        <v>0</v>
      </c>
      <c r="J1152">
        <f t="shared" si="98"/>
        <v>0</v>
      </c>
      <c r="K1152" t="str">
        <f t="shared" si="99"/>
        <v>Pr134</v>
      </c>
    </row>
    <row r="1153" spans="2:11" hidden="1" x14ac:dyDescent="0.2">
      <c r="B1153" s="4">
        <v>59135</v>
      </c>
      <c r="C1153" s="4">
        <v>0</v>
      </c>
      <c r="D1153">
        <v>0</v>
      </c>
      <c r="E1153" t="str">
        <f>VLOOKUP(B1153,[1]Nuclides!A:E,5,FALSE)</f>
        <v>Pr135</v>
      </c>
      <c r="F1153">
        <f>VLOOKUP(B1153,[1]Nuclides!A:E,4,FALSE)</f>
        <v>1440</v>
      </c>
      <c r="G1153" t="str">
        <f t="shared" si="95"/>
        <v>24min</v>
      </c>
      <c r="H1153">
        <f t="shared" si="96"/>
        <v>4.8135220872218423E-4</v>
      </c>
      <c r="I1153">
        <f t="shared" si="97"/>
        <v>0</v>
      </c>
      <c r="J1153">
        <f t="shared" si="98"/>
        <v>0</v>
      </c>
      <c r="K1153" t="str">
        <f t="shared" si="99"/>
        <v>Pr135</v>
      </c>
    </row>
    <row r="1154" spans="2:11" hidden="1" x14ac:dyDescent="0.2">
      <c r="B1154" s="4">
        <v>59136</v>
      </c>
      <c r="C1154" s="4">
        <v>0</v>
      </c>
      <c r="D1154">
        <v>0</v>
      </c>
      <c r="E1154" t="str">
        <f>VLOOKUP(B1154,[1]Nuclides!A:E,5,FALSE)</f>
        <v>Pr136</v>
      </c>
      <c r="F1154">
        <f>VLOOKUP(B1154,[1]Nuclides!A:E,4,FALSE)</f>
        <v>786</v>
      </c>
      <c r="G1154" t="str">
        <f t="shared" si="95"/>
        <v>13.1min</v>
      </c>
      <c r="H1154">
        <f t="shared" si="96"/>
        <v>8.8186664193377266E-4</v>
      </c>
      <c r="I1154">
        <f t="shared" si="97"/>
        <v>0</v>
      </c>
      <c r="J1154">
        <f t="shared" si="98"/>
        <v>0</v>
      </c>
      <c r="K1154" t="str">
        <f t="shared" si="99"/>
        <v>Pr136</v>
      </c>
    </row>
    <row r="1155" spans="2:11" hidden="1" x14ac:dyDescent="0.2">
      <c r="B1155" s="4">
        <v>59137</v>
      </c>
      <c r="C1155" s="4">
        <v>0</v>
      </c>
      <c r="D1155">
        <v>0</v>
      </c>
      <c r="E1155" t="str">
        <f>VLOOKUP(B1155,[1]Nuclides!A:E,5,FALSE)</f>
        <v>Pr137</v>
      </c>
      <c r="F1155">
        <f>VLOOKUP(B1155,[1]Nuclides!A:E,4,FALSE)</f>
        <v>4608</v>
      </c>
      <c r="G1155" t="str">
        <f t="shared" si="95"/>
        <v>1.28h</v>
      </c>
      <c r="H1155">
        <f t="shared" si="96"/>
        <v>1.5042256522568257E-4</v>
      </c>
      <c r="I1155">
        <f t="shared" si="97"/>
        <v>0</v>
      </c>
      <c r="J1155">
        <f t="shared" si="98"/>
        <v>0</v>
      </c>
      <c r="K1155" t="str">
        <f t="shared" si="99"/>
        <v>Pr137</v>
      </c>
    </row>
    <row r="1156" spans="2:11" hidden="1" x14ac:dyDescent="0.2">
      <c r="B1156" s="4">
        <v>59138</v>
      </c>
      <c r="C1156" s="4">
        <v>0</v>
      </c>
      <c r="D1156">
        <v>0</v>
      </c>
      <c r="E1156" t="str">
        <f>VLOOKUP(B1156,[1]Nuclides!A:E,5,FALSE)</f>
        <v>Pr138</v>
      </c>
      <c r="F1156">
        <f>VLOOKUP(B1156,[1]Nuclides!A:E,4,FALSE)</f>
        <v>87</v>
      </c>
      <c r="G1156" t="str">
        <f t="shared" si="95"/>
        <v>1.45min</v>
      </c>
      <c r="H1156">
        <f t="shared" si="96"/>
        <v>7.9672089719533944E-3</v>
      </c>
      <c r="I1156">
        <f t="shared" si="97"/>
        <v>0</v>
      </c>
      <c r="J1156">
        <f t="shared" si="98"/>
        <v>0</v>
      </c>
      <c r="K1156" t="str">
        <f t="shared" si="99"/>
        <v>Pr138</v>
      </c>
    </row>
    <row r="1157" spans="2:11" hidden="1" x14ac:dyDescent="0.2">
      <c r="B1157" s="4">
        <v>59139</v>
      </c>
      <c r="C1157" s="4">
        <v>0</v>
      </c>
      <c r="D1157">
        <v>0</v>
      </c>
      <c r="E1157" t="str">
        <f>VLOOKUP(B1157,[1]Nuclides!A:E,5,FALSE)</f>
        <v>Pr139</v>
      </c>
      <c r="F1157">
        <f>VLOOKUP(B1157,[1]Nuclides!A:E,4,FALSE)</f>
        <v>15876</v>
      </c>
      <c r="G1157" t="str">
        <f t="shared" ref="G1157:G1220" si="100">IF(F1157="STABLE", "STABLE", IF(F1157&lt;60, F1157&amp;"s", IF(F1157&lt;3600, ROUND(F1157/60,2)&amp;"min", IF(F1157&lt;86400, ROUND(F1157/3600,2)&amp;"h", IF(F1157&lt;31536000, ROUND(F1157/86400,2)&amp;"d", ROUND(F1157/31536000,2)&amp;"y")))))</f>
        <v>4.41h</v>
      </c>
      <c r="H1157">
        <f t="shared" ref="H1157:H1220" si="101">LN(2)/F1157</f>
        <v>4.3660064283191311E-5</v>
      </c>
      <c r="I1157">
        <f t="shared" ref="I1157:I1220" si="102">60*6240000000000*C1157*(1-EXP(-H1157*2*3600))</f>
        <v>0</v>
      </c>
      <c r="J1157">
        <f t="shared" ref="J1157:J1220" si="103">I1157*EXP(-H1157*96*3600)</f>
        <v>0</v>
      </c>
      <c r="K1157" t="str">
        <f t="shared" ref="K1157:K1220" si="104">E1157</f>
        <v>Pr139</v>
      </c>
    </row>
    <row r="1158" spans="2:11" hidden="1" x14ac:dyDescent="0.2">
      <c r="B1158" s="4">
        <v>59140</v>
      </c>
      <c r="C1158" s="4">
        <v>0</v>
      </c>
      <c r="D1158">
        <v>0</v>
      </c>
      <c r="E1158" t="str">
        <f>VLOOKUP(B1158,[1]Nuclides!A:E,5,FALSE)</f>
        <v>Pr140</v>
      </c>
      <c r="F1158">
        <f>VLOOKUP(B1158,[1]Nuclides!A:E,4,FALSE)</f>
        <v>203.4</v>
      </c>
      <c r="G1158" t="str">
        <f t="shared" si="100"/>
        <v>3.39min</v>
      </c>
      <c r="H1158">
        <f t="shared" si="101"/>
        <v>3.4078032475906845E-3</v>
      </c>
      <c r="I1158">
        <f t="shared" si="102"/>
        <v>0</v>
      </c>
      <c r="J1158">
        <f t="shared" si="103"/>
        <v>0</v>
      </c>
      <c r="K1158" t="str">
        <f t="shared" si="104"/>
        <v>Pr140</v>
      </c>
    </row>
    <row r="1159" spans="2:11" hidden="1" x14ac:dyDescent="0.2">
      <c r="B1159" s="4">
        <v>59141</v>
      </c>
      <c r="C1159" s="4">
        <v>0</v>
      </c>
      <c r="D1159">
        <v>0</v>
      </c>
      <c r="E1159" t="str">
        <f>VLOOKUP(B1159,[1]Nuclides!A:E,5,FALSE)</f>
        <v>Pr141</v>
      </c>
      <c r="F1159" t="str">
        <f>VLOOKUP(B1159,[1]Nuclides!A:E,4,FALSE)</f>
        <v>STABLE</v>
      </c>
      <c r="G1159" t="str">
        <f t="shared" si="100"/>
        <v>STABLE</v>
      </c>
      <c r="H1159" t="e">
        <f t="shared" si="101"/>
        <v>#VALUE!</v>
      </c>
      <c r="I1159" t="e">
        <f t="shared" si="102"/>
        <v>#VALUE!</v>
      </c>
      <c r="J1159" t="e">
        <f t="shared" si="103"/>
        <v>#VALUE!</v>
      </c>
      <c r="K1159" t="str">
        <f t="shared" si="104"/>
        <v>Pr141</v>
      </c>
    </row>
    <row r="1160" spans="2:11" hidden="1" x14ac:dyDescent="0.2">
      <c r="B1160" s="4">
        <v>59142</v>
      </c>
      <c r="C1160" s="4">
        <v>0</v>
      </c>
      <c r="D1160">
        <v>0</v>
      </c>
      <c r="E1160" t="str">
        <f>VLOOKUP(B1160,[1]Nuclides!A:E,5,FALSE)</f>
        <v>Pr142</v>
      </c>
      <c r="F1160">
        <f>VLOOKUP(B1160,[1]Nuclides!A:E,4,FALSE)</f>
        <v>68832</v>
      </c>
      <c r="G1160" t="str">
        <f t="shared" si="100"/>
        <v>19.12h</v>
      </c>
      <c r="H1160">
        <f t="shared" si="101"/>
        <v>1.0070129889585444E-5</v>
      </c>
      <c r="I1160">
        <f t="shared" si="102"/>
        <v>0</v>
      </c>
      <c r="J1160">
        <f t="shared" si="103"/>
        <v>0</v>
      </c>
      <c r="K1160" t="str">
        <f t="shared" si="104"/>
        <v>Pr142</v>
      </c>
    </row>
    <row r="1161" spans="2:11" hidden="1" x14ac:dyDescent="0.2">
      <c r="B1161" s="4">
        <v>59143</v>
      </c>
      <c r="C1161" s="4">
        <v>0</v>
      </c>
      <c r="D1161">
        <v>0</v>
      </c>
      <c r="E1161" t="str">
        <f>VLOOKUP(B1161,[1]Nuclides!A:E,5,FALSE)</f>
        <v>Pr143</v>
      </c>
      <c r="F1161">
        <f>VLOOKUP(B1161,[1]Nuclides!A:E,4,FALSE)</f>
        <v>1172448</v>
      </c>
      <c r="G1161" t="str">
        <f t="shared" si="100"/>
        <v>13.57d</v>
      </c>
      <c r="H1161">
        <f t="shared" si="101"/>
        <v>5.9119652262611673E-7</v>
      </c>
      <c r="I1161">
        <f t="shared" si="102"/>
        <v>0</v>
      </c>
      <c r="J1161">
        <f t="shared" si="103"/>
        <v>0</v>
      </c>
      <c r="K1161" t="str">
        <f t="shared" si="104"/>
        <v>Pr143</v>
      </c>
    </row>
    <row r="1162" spans="2:11" hidden="1" x14ac:dyDescent="0.2">
      <c r="B1162" s="4">
        <v>59144</v>
      </c>
      <c r="C1162" s="4">
        <v>0</v>
      </c>
      <c r="D1162">
        <v>0</v>
      </c>
      <c r="E1162" t="str">
        <f>VLOOKUP(B1162,[1]Nuclides!A:E,5,FALSE)</f>
        <v>Pr144</v>
      </c>
      <c r="F1162">
        <f>VLOOKUP(B1162,[1]Nuclides!A:E,4,FALSE)</f>
        <v>1036.8</v>
      </c>
      <c r="G1162" t="str">
        <f t="shared" si="100"/>
        <v>17.28min</v>
      </c>
      <c r="H1162">
        <f t="shared" si="101"/>
        <v>6.6854473433636697E-4</v>
      </c>
      <c r="I1162">
        <f t="shared" si="102"/>
        <v>0</v>
      </c>
      <c r="J1162">
        <f t="shared" si="103"/>
        <v>0</v>
      </c>
      <c r="K1162" t="str">
        <f t="shared" si="104"/>
        <v>Pr144</v>
      </c>
    </row>
    <row r="1163" spans="2:11" hidden="1" x14ac:dyDescent="0.2">
      <c r="B1163" s="4">
        <v>59145</v>
      </c>
      <c r="C1163" s="4">
        <v>0</v>
      </c>
      <c r="D1163">
        <v>0</v>
      </c>
      <c r="E1163" t="str">
        <f>VLOOKUP(B1163,[1]Nuclides!A:E,5,FALSE)</f>
        <v>Pr145</v>
      </c>
      <c r="F1163">
        <f>VLOOKUP(B1163,[1]Nuclides!A:E,4,FALSE)</f>
        <v>21542.400000000001</v>
      </c>
      <c r="G1163" t="str">
        <f t="shared" si="100"/>
        <v>5.98h</v>
      </c>
      <c r="H1163">
        <f t="shared" si="101"/>
        <v>3.2175949780894669E-5</v>
      </c>
      <c r="I1163">
        <f t="shared" si="102"/>
        <v>0</v>
      </c>
      <c r="J1163">
        <f t="shared" si="103"/>
        <v>0</v>
      </c>
      <c r="K1163" t="str">
        <f t="shared" si="104"/>
        <v>Pr145</v>
      </c>
    </row>
    <row r="1164" spans="2:11" hidden="1" x14ac:dyDescent="0.2">
      <c r="B1164" s="4">
        <v>59146</v>
      </c>
      <c r="C1164" s="4">
        <v>0</v>
      </c>
      <c r="D1164">
        <v>0</v>
      </c>
      <c r="E1164" t="str">
        <f>VLOOKUP(B1164,[1]Nuclides!A:E,5,FALSE)</f>
        <v>Pr146</v>
      </c>
      <c r="F1164">
        <f>VLOOKUP(B1164,[1]Nuclides!A:E,4,FALSE)</f>
        <v>1449</v>
      </c>
      <c r="G1164" t="str">
        <f t="shared" si="100"/>
        <v>24.15min</v>
      </c>
      <c r="H1164">
        <f t="shared" si="101"/>
        <v>4.7836244345061789E-4</v>
      </c>
      <c r="I1164">
        <f t="shared" si="102"/>
        <v>0</v>
      </c>
      <c r="J1164">
        <f t="shared" si="103"/>
        <v>0</v>
      </c>
      <c r="K1164" t="str">
        <f t="shared" si="104"/>
        <v>Pr146</v>
      </c>
    </row>
    <row r="1165" spans="2:11" hidden="1" x14ac:dyDescent="0.2">
      <c r="B1165" s="4">
        <v>59147</v>
      </c>
      <c r="C1165" s="4">
        <v>0</v>
      </c>
      <c r="D1165">
        <v>0</v>
      </c>
      <c r="E1165" t="str">
        <f>VLOOKUP(B1165,[1]Nuclides!A:E,5,FALSE)</f>
        <v>Pr147</v>
      </c>
      <c r="F1165">
        <f>VLOOKUP(B1165,[1]Nuclides!A:E,4,FALSE)</f>
        <v>804</v>
      </c>
      <c r="G1165" t="str">
        <f t="shared" si="100"/>
        <v>13.4min</v>
      </c>
      <c r="H1165">
        <f t="shared" si="101"/>
        <v>8.6212335890540454E-4</v>
      </c>
      <c r="I1165">
        <f t="shared" si="102"/>
        <v>0</v>
      </c>
      <c r="J1165">
        <f t="shared" si="103"/>
        <v>0</v>
      </c>
      <c r="K1165" t="str">
        <f t="shared" si="104"/>
        <v>Pr147</v>
      </c>
    </row>
    <row r="1166" spans="2:11" hidden="1" x14ac:dyDescent="0.2">
      <c r="B1166" s="4">
        <v>59148</v>
      </c>
      <c r="C1166" s="4">
        <v>0</v>
      </c>
      <c r="D1166">
        <v>0</v>
      </c>
      <c r="E1166" t="str">
        <f>VLOOKUP(B1166,[1]Nuclides!A:E,5,FALSE)</f>
        <v>Pr148</v>
      </c>
      <c r="F1166">
        <f>VLOOKUP(B1166,[1]Nuclides!A:E,4,FALSE)</f>
        <v>137.4</v>
      </c>
      <c r="G1166" t="str">
        <f t="shared" si="100"/>
        <v>2.29min</v>
      </c>
      <c r="H1166">
        <f t="shared" si="101"/>
        <v>5.0447393053853363E-3</v>
      </c>
      <c r="I1166">
        <f t="shared" si="102"/>
        <v>0</v>
      </c>
      <c r="J1166">
        <f t="shared" si="103"/>
        <v>0</v>
      </c>
      <c r="K1166" t="str">
        <f t="shared" si="104"/>
        <v>Pr148</v>
      </c>
    </row>
    <row r="1167" spans="2:11" hidden="1" x14ac:dyDescent="0.2">
      <c r="B1167" s="4">
        <v>59149</v>
      </c>
      <c r="C1167" s="4">
        <v>0</v>
      </c>
      <c r="D1167">
        <v>0</v>
      </c>
      <c r="E1167" t="str">
        <f>VLOOKUP(B1167,[1]Nuclides!A:E,5,FALSE)</f>
        <v>Pr149</v>
      </c>
      <c r="F1167">
        <f>VLOOKUP(B1167,[1]Nuclides!A:E,4,FALSE)</f>
        <v>135.6</v>
      </c>
      <c r="G1167" t="str">
        <f t="shared" si="100"/>
        <v>2.26min</v>
      </c>
      <c r="H1167">
        <f t="shared" si="101"/>
        <v>5.1117048713860275E-3</v>
      </c>
      <c r="I1167">
        <f t="shared" si="102"/>
        <v>0</v>
      </c>
      <c r="J1167">
        <f t="shared" si="103"/>
        <v>0</v>
      </c>
      <c r="K1167" t="str">
        <f t="shared" si="104"/>
        <v>Pr149</v>
      </c>
    </row>
    <row r="1168" spans="2:11" hidden="1" x14ac:dyDescent="0.2">
      <c r="B1168" s="4">
        <v>59150</v>
      </c>
      <c r="C1168" s="4">
        <v>0</v>
      </c>
      <c r="D1168">
        <v>0</v>
      </c>
      <c r="E1168" t="str">
        <f>VLOOKUP(B1168,[1]Nuclides!A:E,5,FALSE)</f>
        <v>Pr150</v>
      </c>
      <c r="F1168">
        <f>VLOOKUP(B1168,[1]Nuclides!A:E,4,FALSE)</f>
        <v>6.19</v>
      </c>
      <c r="G1168" t="str">
        <f t="shared" si="100"/>
        <v>6.19s</v>
      </c>
      <c r="H1168">
        <f t="shared" si="101"/>
        <v>0.11197854290144511</v>
      </c>
      <c r="I1168">
        <f t="shared" si="102"/>
        <v>0</v>
      </c>
      <c r="J1168">
        <f t="shared" si="103"/>
        <v>0</v>
      </c>
      <c r="K1168" t="str">
        <f t="shared" si="104"/>
        <v>Pr150</v>
      </c>
    </row>
    <row r="1169" spans="2:11" hidden="1" x14ac:dyDescent="0.2">
      <c r="B1169" s="4">
        <v>59151</v>
      </c>
      <c r="C1169" s="4">
        <v>0</v>
      </c>
      <c r="D1169">
        <v>0</v>
      </c>
      <c r="E1169" t="str">
        <f>VLOOKUP(B1169,[1]Nuclides!A:E,5,FALSE)</f>
        <v>Pr151</v>
      </c>
      <c r="F1169">
        <f>VLOOKUP(B1169,[1]Nuclides!A:E,4,FALSE)</f>
        <v>18.899999999999999</v>
      </c>
      <c r="G1169" t="str">
        <f t="shared" si="100"/>
        <v>18.9s</v>
      </c>
      <c r="H1169">
        <f t="shared" si="101"/>
        <v>3.6674453997880704E-2</v>
      </c>
      <c r="I1169">
        <f t="shared" si="102"/>
        <v>0</v>
      </c>
      <c r="J1169">
        <f t="shared" si="103"/>
        <v>0</v>
      </c>
      <c r="K1169" t="str">
        <f t="shared" si="104"/>
        <v>Pr151</v>
      </c>
    </row>
    <row r="1170" spans="2:11" hidden="1" x14ac:dyDescent="0.2">
      <c r="B1170" s="4">
        <v>59152</v>
      </c>
      <c r="C1170" s="4">
        <v>0</v>
      </c>
      <c r="D1170">
        <v>0</v>
      </c>
      <c r="E1170" t="str">
        <f>VLOOKUP(B1170,[1]Nuclides!A:E,5,FALSE)</f>
        <v>Pr152</v>
      </c>
      <c r="F1170">
        <f>VLOOKUP(B1170,[1]Nuclides!A:E,4,FALSE)</f>
        <v>3.57</v>
      </c>
      <c r="G1170" t="str">
        <f t="shared" si="100"/>
        <v>3.57s</v>
      </c>
      <c r="H1170">
        <f t="shared" si="101"/>
        <v>0.19415887410642726</v>
      </c>
      <c r="I1170">
        <f t="shared" si="102"/>
        <v>0</v>
      </c>
      <c r="J1170">
        <f t="shared" si="103"/>
        <v>0</v>
      </c>
      <c r="K1170" t="str">
        <f t="shared" si="104"/>
        <v>Pr152</v>
      </c>
    </row>
    <row r="1171" spans="2:11" hidden="1" x14ac:dyDescent="0.2">
      <c r="B1171" s="4">
        <v>60129</v>
      </c>
      <c r="C1171" s="4">
        <v>0</v>
      </c>
      <c r="D1171">
        <v>0</v>
      </c>
      <c r="E1171" t="str">
        <f>VLOOKUP(B1171,[1]Nuclides!A:E,5,FALSE)</f>
        <v>Nd129</v>
      </c>
      <c r="F1171">
        <f>VLOOKUP(B1171,[1]Nuclides!A:E,4,FALSE)</f>
        <v>6.7</v>
      </c>
      <c r="G1171" t="str">
        <f t="shared" si="100"/>
        <v>6.7s</v>
      </c>
      <c r="H1171">
        <f t="shared" si="101"/>
        <v>0.10345480306864854</v>
      </c>
      <c r="I1171">
        <f t="shared" si="102"/>
        <v>0</v>
      </c>
      <c r="J1171">
        <f t="shared" si="103"/>
        <v>0</v>
      </c>
      <c r="K1171" t="str">
        <f t="shared" si="104"/>
        <v>Nd129</v>
      </c>
    </row>
    <row r="1172" spans="2:11" hidden="1" x14ac:dyDescent="0.2">
      <c r="B1172" s="4">
        <v>60130</v>
      </c>
      <c r="C1172" s="4">
        <v>0</v>
      </c>
      <c r="D1172">
        <v>0</v>
      </c>
      <c r="E1172" t="str">
        <f>VLOOKUP(B1172,[1]Nuclides!A:E,5,FALSE)</f>
        <v>Nd130</v>
      </c>
      <c r="F1172">
        <f>VLOOKUP(B1172,[1]Nuclides!A:E,4,FALSE)</f>
        <v>21</v>
      </c>
      <c r="G1172" t="str">
        <f t="shared" si="100"/>
        <v>21s</v>
      </c>
      <c r="H1172">
        <f t="shared" si="101"/>
        <v>3.3007008598092635E-2</v>
      </c>
      <c r="I1172">
        <f t="shared" si="102"/>
        <v>0</v>
      </c>
      <c r="J1172">
        <f t="shared" si="103"/>
        <v>0</v>
      </c>
      <c r="K1172" t="str">
        <f t="shared" si="104"/>
        <v>Nd130</v>
      </c>
    </row>
    <row r="1173" spans="2:11" hidden="1" x14ac:dyDescent="0.2">
      <c r="B1173" s="4">
        <v>60131</v>
      </c>
      <c r="C1173" s="4">
        <v>0</v>
      </c>
      <c r="D1173">
        <v>0</v>
      </c>
      <c r="E1173" t="str">
        <f>VLOOKUP(B1173,[1]Nuclides!A:E,5,FALSE)</f>
        <v>Nd131</v>
      </c>
      <c r="F1173">
        <f>VLOOKUP(B1173,[1]Nuclides!A:E,4,FALSE)</f>
        <v>25.4</v>
      </c>
      <c r="G1173" t="str">
        <f t="shared" si="100"/>
        <v>25.4s</v>
      </c>
      <c r="H1173">
        <f t="shared" si="101"/>
        <v>2.7289259077163203E-2</v>
      </c>
      <c r="I1173">
        <f t="shared" si="102"/>
        <v>0</v>
      </c>
      <c r="J1173">
        <f t="shared" si="103"/>
        <v>0</v>
      </c>
      <c r="K1173" t="str">
        <f t="shared" si="104"/>
        <v>Nd131</v>
      </c>
    </row>
    <row r="1174" spans="2:11" hidden="1" x14ac:dyDescent="0.2">
      <c r="B1174" s="4">
        <v>60132</v>
      </c>
      <c r="C1174" s="4">
        <v>0</v>
      </c>
      <c r="D1174">
        <v>0</v>
      </c>
      <c r="E1174" t="str">
        <f>VLOOKUP(B1174,[1]Nuclides!A:E,5,FALSE)</f>
        <v>Nd132</v>
      </c>
      <c r="F1174">
        <f>VLOOKUP(B1174,[1]Nuclides!A:E,4,FALSE)</f>
        <v>94</v>
      </c>
      <c r="G1174" t="str">
        <f t="shared" si="100"/>
        <v>1.57min</v>
      </c>
      <c r="H1174">
        <f t="shared" si="101"/>
        <v>7.3739061761696305E-3</v>
      </c>
      <c r="I1174">
        <f t="shared" si="102"/>
        <v>0</v>
      </c>
      <c r="J1174">
        <f t="shared" si="103"/>
        <v>0</v>
      </c>
      <c r="K1174" t="str">
        <f t="shared" si="104"/>
        <v>Nd132</v>
      </c>
    </row>
    <row r="1175" spans="2:11" hidden="1" x14ac:dyDescent="0.2">
      <c r="B1175" s="4">
        <v>60133</v>
      </c>
      <c r="C1175" s="4">
        <v>0</v>
      </c>
      <c r="D1175">
        <v>0</v>
      </c>
      <c r="E1175" t="str">
        <f>VLOOKUP(B1175,[1]Nuclides!A:E,5,FALSE)</f>
        <v>Nd133</v>
      </c>
      <c r="F1175">
        <f>VLOOKUP(B1175,[1]Nuclides!A:E,4,FALSE)</f>
        <v>70</v>
      </c>
      <c r="G1175" t="str">
        <f t="shared" si="100"/>
        <v>1.17min</v>
      </c>
      <c r="H1175">
        <f t="shared" si="101"/>
        <v>9.9021025794277899E-3</v>
      </c>
      <c r="I1175">
        <f t="shared" si="102"/>
        <v>0</v>
      </c>
      <c r="J1175">
        <f t="shared" si="103"/>
        <v>0</v>
      </c>
      <c r="K1175" t="str">
        <f t="shared" si="104"/>
        <v>Nd133</v>
      </c>
    </row>
    <row r="1176" spans="2:11" hidden="1" x14ac:dyDescent="0.2">
      <c r="B1176" s="4">
        <v>60134</v>
      </c>
      <c r="C1176" s="4">
        <v>0</v>
      </c>
      <c r="D1176">
        <v>0</v>
      </c>
      <c r="E1176" t="str">
        <f>VLOOKUP(B1176,[1]Nuclides!A:E,5,FALSE)</f>
        <v>Nd134</v>
      </c>
      <c r="F1176">
        <f>VLOOKUP(B1176,[1]Nuclides!A:E,4,FALSE)</f>
        <v>510</v>
      </c>
      <c r="G1176" t="str">
        <f t="shared" si="100"/>
        <v>8.5min</v>
      </c>
      <c r="H1176">
        <f t="shared" si="101"/>
        <v>1.3591121187449908E-3</v>
      </c>
      <c r="I1176">
        <f t="shared" si="102"/>
        <v>0</v>
      </c>
      <c r="J1176">
        <f t="shared" si="103"/>
        <v>0</v>
      </c>
      <c r="K1176" t="str">
        <f t="shared" si="104"/>
        <v>Nd134</v>
      </c>
    </row>
    <row r="1177" spans="2:11" hidden="1" x14ac:dyDescent="0.2">
      <c r="B1177" s="4">
        <v>60135</v>
      </c>
      <c r="C1177" s="4">
        <v>0</v>
      </c>
      <c r="D1177">
        <v>0</v>
      </c>
      <c r="E1177" t="str">
        <f>VLOOKUP(B1177,[1]Nuclides!A:E,5,FALSE)</f>
        <v>Nd135</v>
      </c>
      <c r="F1177">
        <f>VLOOKUP(B1177,[1]Nuclides!A:E,4,FALSE)</f>
        <v>744</v>
      </c>
      <c r="G1177" t="str">
        <f t="shared" si="100"/>
        <v>12.4min</v>
      </c>
      <c r="H1177">
        <f t="shared" si="101"/>
        <v>9.3164943623648563E-4</v>
      </c>
      <c r="I1177">
        <f t="shared" si="102"/>
        <v>0</v>
      </c>
      <c r="J1177">
        <f t="shared" si="103"/>
        <v>0</v>
      </c>
      <c r="K1177" t="str">
        <f t="shared" si="104"/>
        <v>Nd135</v>
      </c>
    </row>
    <row r="1178" spans="2:11" hidden="1" x14ac:dyDescent="0.2">
      <c r="B1178" s="4">
        <v>60136</v>
      </c>
      <c r="C1178" s="4">
        <v>0</v>
      </c>
      <c r="D1178">
        <v>0</v>
      </c>
      <c r="E1178" t="str">
        <f>VLOOKUP(B1178,[1]Nuclides!A:E,5,FALSE)</f>
        <v>Nd136</v>
      </c>
      <c r="F1178">
        <f>VLOOKUP(B1178,[1]Nuclides!A:E,4,FALSE)</f>
        <v>3039</v>
      </c>
      <c r="G1178" t="str">
        <f t="shared" si="100"/>
        <v>50.65min</v>
      </c>
      <c r="H1178">
        <f t="shared" si="101"/>
        <v>2.2808396859491455E-4</v>
      </c>
      <c r="I1178">
        <f t="shared" si="102"/>
        <v>0</v>
      </c>
      <c r="J1178">
        <f t="shared" si="103"/>
        <v>0</v>
      </c>
      <c r="K1178" t="str">
        <f t="shared" si="104"/>
        <v>Nd136</v>
      </c>
    </row>
    <row r="1179" spans="2:11" hidden="1" x14ac:dyDescent="0.2">
      <c r="B1179" s="4">
        <v>60137</v>
      </c>
      <c r="C1179" s="4">
        <v>0</v>
      </c>
      <c r="D1179">
        <v>0</v>
      </c>
      <c r="E1179" t="str">
        <f>VLOOKUP(B1179,[1]Nuclides!A:E,5,FALSE)</f>
        <v>Nd137</v>
      </c>
      <c r="F1179">
        <f>VLOOKUP(B1179,[1]Nuclides!A:E,4,FALSE)</f>
        <v>2310</v>
      </c>
      <c r="G1179" t="str">
        <f t="shared" si="100"/>
        <v>38.5min</v>
      </c>
      <c r="H1179">
        <f t="shared" si="101"/>
        <v>3.0006371452811483E-4</v>
      </c>
      <c r="I1179">
        <f t="shared" si="102"/>
        <v>0</v>
      </c>
      <c r="J1179">
        <f t="shared" si="103"/>
        <v>0</v>
      </c>
      <c r="K1179" t="str">
        <f t="shared" si="104"/>
        <v>Nd137</v>
      </c>
    </row>
    <row r="1180" spans="2:11" hidden="1" x14ac:dyDescent="0.2">
      <c r="B1180" s="4">
        <v>60138</v>
      </c>
      <c r="C1180" s="4">
        <v>0</v>
      </c>
      <c r="D1180">
        <v>0</v>
      </c>
      <c r="E1180" t="str">
        <f>VLOOKUP(B1180,[1]Nuclides!A:E,5,FALSE)</f>
        <v>Nd138</v>
      </c>
      <c r="F1180">
        <f>VLOOKUP(B1180,[1]Nuclides!A:E,4,FALSE)</f>
        <v>18144</v>
      </c>
      <c r="G1180" t="str">
        <f t="shared" si="100"/>
        <v>5.04h</v>
      </c>
      <c r="H1180">
        <f t="shared" si="101"/>
        <v>3.8202556247792399E-5</v>
      </c>
      <c r="I1180">
        <f t="shared" si="102"/>
        <v>0</v>
      </c>
      <c r="J1180">
        <f t="shared" si="103"/>
        <v>0</v>
      </c>
      <c r="K1180" t="str">
        <f t="shared" si="104"/>
        <v>Nd138</v>
      </c>
    </row>
    <row r="1181" spans="2:11" hidden="1" x14ac:dyDescent="0.2">
      <c r="B1181" s="4">
        <v>60139</v>
      </c>
      <c r="C1181" s="4">
        <v>0</v>
      </c>
      <c r="D1181">
        <v>0</v>
      </c>
      <c r="E1181" t="str">
        <f>VLOOKUP(B1181,[1]Nuclides!A:E,5,FALSE)</f>
        <v>Nd139</v>
      </c>
      <c r="F1181">
        <f>VLOOKUP(B1181,[1]Nuclides!A:E,4,FALSE)</f>
        <v>1782</v>
      </c>
      <c r="G1181" t="str">
        <f t="shared" si="100"/>
        <v>29.7min</v>
      </c>
      <c r="H1181">
        <f t="shared" si="101"/>
        <v>3.8897148179570441E-4</v>
      </c>
      <c r="I1181">
        <f t="shared" si="102"/>
        <v>0</v>
      </c>
      <c r="J1181">
        <f t="shared" si="103"/>
        <v>0</v>
      </c>
      <c r="K1181" t="str">
        <f t="shared" si="104"/>
        <v>Nd139</v>
      </c>
    </row>
    <row r="1182" spans="2:11" hidden="1" x14ac:dyDescent="0.2">
      <c r="B1182" s="4">
        <v>60140</v>
      </c>
      <c r="C1182" s="4">
        <v>0</v>
      </c>
      <c r="D1182">
        <v>0</v>
      </c>
      <c r="E1182" t="str">
        <f>VLOOKUP(B1182,[1]Nuclides!A:E,5,FALSE)</f>
        <v>Nd140</v>
      </c>
      <c r="F1182">
        <f>VLOOKUP(B1182,[1]Nuclides!A:E,4,FALSE)</f>
        <v>291168</v>
      </c>
      <c r="G1182" t="str">
        <f t="shared" si="100"/>
        <v>3.37d</v>
      </c>
      <c r="H1182">
        <f t="shared" si="101"/>
        <v>2.3805747216725232E-6</v>
      </c>
      <c r="I1182">
        <f t="shared" si="102"/>
        <v>0</v>
      </c>
      <c r="J1182">
        <f t="shared" si="103"/>
        <v>0</v>
      </c>
      <c r="K1182" t="str">
        <f t="shared" si="104"/>
        <v>Nd140</v>
      </c>
    </row>
    <row r="1183" spans="2:11" hidden="1" x14ac:dyDescent="0.2">
      <c r="B1183" s="4">
        <v>60141</v>
      </c>
      <c r="C1183" s="4">
        <v>0</v>
      </c>
      <c r="D1183">
        <v>0</v>
      </c>
      <c r="E1183" t="str">
        <f>VLOOKUP(B1183,[1]Nuclides!A:E,5,FALSE)</f>
        <v>Nd141</v>
      </c>
      <c r="F1183">
        <f>VLOOKUP(B1183,[1]Nuclides!A:E,4,FALSE)</f>
        <v>8964</v>
      </c>
      <c r="G1183" t="str">
        <f t="shared" si="100"/>
        <v>2.49h</v>
      </c>
      <c r="H1183">
        <f t="shared" si="101"/>
        <v>7.7325656019627993E-5</v>
      </c>
      <c r="I1183">
        <f t="shared" si="102"/>
        <v>0</v>
      </c>
      <c r="J1183">
        <f t="shared" si="103"/>
        <v>0</v>
      </c>
      <c r="K1183" t="str">
        <f t="shared" si="104"/>
        <v>Nd141</v>
      </c>
    </row>
    <row r="1184" spans="2:11" hidden="1" x14ac:dyDescent="0.2">
      <c r="B1184" s="4">
        <v>60142</v>
      </c>
      <c r="C1184" s="4">
        <v>0</v>
      </c>
      <c r="D1184">
        <v>0</v>
      </c>
      <c r="E1184" t="str">
        <f>VLOOKUP(B1184,[1]Nuclides!A:E,5,FALSE)</f>
        <v>Nd142</v>
      </c>
      <c r="F1184" t="str">
        <f>VLOOKUP(B1184,[1]Nuclides!A:E,4,FALSE)</f>
        <v>STABLE</v>
      </c>
      <c r="G1184" t="str">
        <f t="shared" si="100"/>
        <v>STABLE</v>
      </c>
      <c r="H1184" t="e">
        <f t="shared" si="101"/>
        <v>#VALUE!</v>
      </c>
      <c r="I1184" t="e">
        <f t="shared" si="102"/>
        <v>#VALUE!</v>
      </c>
      <c r="J1184" t="e">
        <f t="shared" si="103"/>
        <v>#VALUE!</v>
      </c>
      <c r="K1184" t="str">
        <f t="shared" si="104"/>
        <v>Nd142</v>
      </c>
    </row>
    <row r="1185" spans="2:11" hidden="1" x14ac:dyDescent="0.2">
      <c r="B1185" s="4">
        <v>60143</v>
      </c>
      <c r="C1185" s="4">
        <v>0</v>
      </c>
      <c r="D1185">
        <v>0</v>
      </c>
      <c r="E1185" t="str">
        <f>VLOOKUP(B1185,[1]Nuclides!A:E,5,FALSE)</f>
        <v>Nd143</v>
      </c>
      <c r="F1185" t="str">
        <f>VLOOKUP(B1185,[1]Nuclides!A:E,4,FALSE)</f>
        <v>STABLE</v>
      </c>
      <c r="G1185" t="str">
        <f t="shared" si="100"/>
        <v>STABLE</v>
      </c>
      <c r="H1185" t="e">
        <f t="shared" si="101"/>
        <v>#VALUE!</v>
      </c>
      <c r="I1185" t="e">
        <f t="shared" si="102"/>
        <v>#VALUE!</v>
      </c>
      <c r="J1185" t="e">
        <f t="shared" si="103"/>
        <v>#VALUE!</v>
      </c>
      <c r="K1185" t="str">
        <f t="shared" si="104"/>
        <v>Nd143</v>
      </c>
    </row>
    <row r="1186" spans="2:11" hidden="1" x14ac:dyDescent="0.2">
      <c r="B1186" s="4">
        <v>60144</v>
      </c>
      <c r="C1186" s="4">
        <v>0</v>
      </c>
      <c r="D1186">
        <v>0</v>
      </c>
      <c r="E1186" t="str">
        <f>VLOOKUP(B1186,[1]Nuclides!A:E,5,FALSE)</f>
        <v>Nd144</v>
      </c>
      <c r="F1186">
        <f>VLOOKUP(B1186,[1]Nuclides!A:E,4,FALSE)</f>
        <v>7.2266904000000002E+22</v>
      </c>
      <c r="G1186" t="str">
        <f t="shared" si="100"/>
        <v>2291568493150680y</v>
      </c>
      <c r="H1186">
        <f t="shared" si="101"/>
        <v>9.5914885264760378E-24</v>
      </c>
      <c r="I1186">
        <f t="shared" si="102"/>
        <v>0</v>
      </c>
      <c r="J1186">
        <f t="shared" si="103"/>
        <v>0</v>
      </c>
      <c r="K1186" t="str">
        <f t="shared" si="104"/>
        <v>Nd144</v>
      </c>
    </row>
    <row r="1187" spans="2:11" hidden="1" x14ac:dyDescent="0.2">
      <c r="B1187" s="4">
        <v>60145</v>
      </c>
      <c r="C1187" s="4">
        <v>0</v>
      </c>
      <c r="D1187">
        <v>0</v>
      </c>
      <c r="E1187" t="str">
        <f>VLOOKUP(B1187,[1]Nuclides!A:E,5,FALSE)</f>
        <v>Nd145</v>
      </c>
      <c r="F1187" t="str">
        <f>VLOOKUP(B1187,[1]Nuclides!A:E,4,FALSE)</f>
        <v>STABLE</v>
      </c>
      <c r="G1187" t="str">
        <f t="shared" si="100"/>
        <v>STABLE</v>
      </c>
      <c r="H1187" t="e">
        <f t="shared" si="101"/>
        <v>#VALUE!</v>
      </c>
      <c r="I1187" t="e">
        <f t="shared" si="102"/>
        <v>#VALUE!</v>
      </c>
      <c r="J1187" t="e">
        <f t="shared" si="103"/>
        <v>#VALUE!</v>
      </c>
      <c r="K1187" t="str">
        <f t="shared" si="104"/>
        <v>Nd145</v>
      </c>
    </row>
    <row r="1188" spans="2:11" hidden="1" x14ac:dyDescent="0.2">
      <c r="B1188" s="4">
        <v>60146</v>
      </c>
      <c r="C1188" s="4">
        <v>0</v>
      </c>
      <c r="D1188">
        <v>0</v>
      </c>
      <c r="E1188" t="str">
        <f>VLOOKUP(B1188,[1]Nuclides!A:E,5,FALSE)</f>
        <v>Nd146</v>
      </c>
      <c r="F1188" t="str">
        <f>VLOOKUP(B1188,[1]Nuclides!A:E,4,FALSE)</f>
        <v>STABLE</v>
      </c>
      <c r="G1188" t="str">
        <f t="shared" si="100"/>
        <v>STABLE</v>
      </c>
      <c r="H1188" t="e">
        <f t="shared" si="101"/>
        <v>#VALUE!</v>
      </c>
      <c r="I1188" t="e">
        <f t="shared" si="102"/>
        <v>#VALUE!</v>
      </c>
      <c r="J1188" t="e">
        <f t="shared" si="103"/>
        <v>#VALUE!</v>
      </c>
      <c r="K1188" t="str">
        <f t="shared" si="104"/>
        <v>Nd146</v>
      </c>
    </row>
    <row r="1189" spans="2:11" hidden="1" x14ac:dyDescent="0.2">
      <c r="B1189" s="4">
        <v>60147</v>
      </c>
      <c r="C1189" s="4">
        <v>0</v>
      </c>
      <c r="D1189">
        <v>0</v>
      </c>
      <c r="E1189" t="str">
        <f>VLOOKUP(B1189,[1]Nuclides!A:E,5,FALSE)</f>
        <v>Nd147</v>
      </c>
      <c r="F1189">
        <f>VLOOKUP(B1189,[1]Nuclides!A:E,4,FALSE)</f>
        <v>948672</v>
      </c>
      <c r="G1189" t="str">
        <f t="shared" si="100"/>
        <v>10.98d</v>
      </c>
      <c r="H1189">
        <f t="shared" si="101"/>
        <v>7.306499828812754E-7</v>
      </c>
      <c r="I1189">
        <f t="shared" si="102"/>
        <v>0</v>
      </c>
      <c r="J1189">
        <f t="shared" si="103"/>
        <v>0</v>
      </c>
      <c r="K1189" t="str">
        <f t="shared" si="104"/>
        <v>Nd147</v>
      </c>
    </row>
    <row r="1190" spans="2:11" hidden="1" x14ac:dyDescent="0.2">
      <c r="B1190" s="4">
        <v>60148</v>
      </c>
      <c r="C1190" s="4">
        <v>0</v>
      </c>
      <c r="D1190">
        <v>0</v>
      </c>
      <c r="E1190" t="str">
        <f>VLOOKUP(B1190,[1]Nuclides!A:E,5,FALSE)</f>
        <v>Nd148</v>
      </c>
      <c r="F1190" t="str">
        <f>VLOOKUP(B1190,[1]Nuclides!A:E,4,FALSE)</f>
        <v>STABLE</v>
      </c>
      <c r="G1190" t="str">
        <f t="shared" si="100"/>
        <v>STABLE</v>
      </c>
      <c r="H1190" t="e">
        <f t="shared" si="101"/>
        <v>#VALUE!</v>
      </c>
      <c r="I1190" t="e">
        <f t="shared" si="102"/>
        <v>#VALUE!</v>
      </c>
      <c r="J1190" t="e">
        <f t="shared" si="103"/>
        <v>#VALUE!</v>
      </c>
      <c r="K1190" t="str">
        <f t="shared" si="104"/>
        <v>Nd148</v>
      </c>
    </row>
    <row r="1191" spans="2:11" hidden="1" x14ac:dyDescent="0.2">
      <c r="B1191" s="4">
        <v>60149</v>
      </c>
      <c r="C1191" s="4">
        <v>0</v>
      </c>
      <c r="D1191">
        <v>0</v>
      </c>
      <c r="E1191" t="str">
        <f>VLOOKUP(B1191,[1]Nuclides!A:E,5,FALSE)</f>
        <v>Nd149</v>
      </c>
      <c r="F1191">
        <f>VLOOKUP(B1191,[1]Nuclides!A:E,4,FALSE)</f>
        <v>6220.8</v>
      </c>
      <c r="G1191" t="str">
        <f t="shared" si="100"/>
        <v>1.73h</v>
      </c>
      <c r="H1191">
        <f t="shared" si="101"/>
        <v>1.114241223893945E-4</v>
      </c>
      <c r="I1191">
        <f t="shared" si="102"/>
        <v>0</v>
      </c>
      <c r="J1191">
        <f t="shared" si="103"/>
        <v>0</v>
      </c>
      <c r="K1191" t="str">
        <f t="shared" si="104"/>
        <v>Nd149</v>
      </c>
    </row>
    <row r="1192" spans="2:11" hidden="1" x14ac:dyDescent="0.2">
      <c r="B1192" s="4">
        <v>60150</v>
      </c>
      <c r="C1192" s="4">
        <v>0</v>
      </c>
      <c r="D1192">
        <v>0</v>
      </c>
      <c r="E1192" t="str">
        <f>VLOOKUP(B1192,[1]Nuclides!A:E,5,FALSE)</f>
        <v>Nd150</v>
      </c>
      <c r="F1192">
        <f>VLOOKUP(B1192,[1]Nuclides!A:E,4,FALSE)</f>
        <v>2.8717416000000001E+26</v>
      </c>
      <c r="G1192" t="str">
        <f t="shared" si="100"/>
        <v>9106232876712330000y</v>
      </c>
      <c r="H1192">
        <f t="shared" si="101"/>
        <v>2.4136822775417722E-27</v>
      </c>
      <c r="I1192">
        <f t="shared" si="102"/>
        <v>0</v>
      </c>
      <c r="J1192">
        <f t="shared" si="103"/>
        <v>0</v>
      </c>
      <c r="K1192" t="str">
        <f t="shared" si="104"/>
        <v>Nd150</v>
      </c>
    </row>
    <row r="1193" spans="2:11" hidden="1" x14ac:dyDescent="0.2">
      <c r="B1193" s="4">
        <v>60151</v>
      </c>
      <c r="C1193" s="4">
        <v>0</v>
      </c>
      <c r="D1193">
        <v>0</v>
      </c>
      <c r="E1193" t="str">
        <f>VLOOKUP(B1193,[1]Nuclides!A:E,5,FALSE)</f>
        <v>Nd151</v>
      </c>
      <c r="F1193">
        <f>VLOOKUP(B1193,[1]Nuclides!A:E,4,FALSE)</f>
        <v>746.4</v>
      </c>
      <c r="G1193" t="str">
        <f t="shared" si="100"/>
        <v>12.44min</v>
      </c>
      <c r="H1193">
        <f t="shared" si="101"/>
        <v>9.2865377888524286E-4</v>
      </c>
      <c r="I1193">
        <f t="shared" si="102"/>
        <v>0</v>
      </c>
      <c r="J1193">
        <f t="shared" si="103"/>
        <v>0</v>
      </c>
      <c r="K1193" t="str">
        <f t="shared" si="104"/>
        <v>Nd151</v>
      </c>
    </row>
    <row r="1194" spans="2:11" hidden="1" x14ac:dyDescent="0.2">
      <c r="B1194" s="4">
        <v>60152</v>
      </c>
      <c r="C1194" s="4">
        <v>0</v>
      </c>
      <c r="D1194">
        <v>0</v>
      </c>
      <c r="E1194" t="str">
        <f>VLOOKUP(B1194,[1]Nuclides!A:E,5,FALSE)</f>
        <v>Nd152</v>
      </c>
      <c r="F1194">
        <f>VLOOKUP(B1194,[1]Nuclides!A:E,4,FALSE)</f>
        <v>684</v>
      </c>
      <c r="G1194" t="str">
        <f t="shared" si="100"/>
        <v>11.4min</v>
      </c>
      <c r="H1194">
        <f t="shared" si="101"/>
        <v>1.0133730709940721E-3</v>
      </c>
      <c r="I1194">
        <f t="shared" si="102"/>
        <v>0</v>
      </c>
      <c r="J1194">
        <f t="shared" si="103"/>
        <v>0</v>
      </c>
      <c r="K1194" t="str">
        <f t="shared" si="104"/>
        <v>Nd152</v>
      </c>
    </row>
    <row r="1195" spans="2:11" hidden="1" x14ac:dyDescent="0.2">
      <c r="B1195" s="4">
        <v>60153</v>
      </c>
      <c r="C1195" s="4">
        <v>0</v>
      </c>
      <c r="D1195">
        <v>0</v>
      </c>
      <c r="E1195" t="str">
        <f>VLOOKUP(B1195,[1]Nuclides!A:E,5,FALSE)</f>
        <v>Nd153</v>
      </c>
      <c r="F1195">
        <f>VLOOKUP(B1195,[1]Nuclides!A:E,4,FALSE)</f>
        <v>31.6</v>
      </c>
      <c r="G1195" t="str">
        <f t="shared" si="100"/>
        <v>31.6s</v>
      </c>
      <c r="H1195">
        <f t="shared" si="101"/>
        <v>2.1935037359491937E-2</v>
      </c>
      <c r="I1195">
        <f t="shared" si="102"/>
        <v>0</v>
      </c>
      <c r="J1195">
        <f t="shared" si="103"/>
        <v>0</v>
      </c>
      <c r="K1195" t="str">
        <f t="shared" si="104"/>
        <v>Nd153</v>
      </c>
    </row>
    <row r="1196" spans="2:11" hidden="1" x14ac:dyDescent="0.2">
      <c r="B1196" s="4">
        <v>60154</v>
      </c>
      <c r="C1196" s="4">
        <v>0</v>
      </c>
      <c r="D1196">
        <v>0</v>
      </c>
      <c r="E1196" t="str">
        <f>VLOOKUP(B1196,[1]Nuclides!A:E,5,FALSE)</f>
        <v>Nd154</v>
      </c>
      <c r="F1196">
        <f>VLOOKUP(B1196,[1]Nuclides!A:E,4,FALSE)</f>
        <v>25.9</v>
      </c>
      <c r="G1196" t="str">
        <f t="shared" si="100"/>
        <v>25.9s</v>
      </c>
      <c r="H1196">
        <f t="shared" si="101"/>
        <v>2.6762439403858893E-2</v>
      </c>
      <c r="I1196">
        <f t="shared" si="102"/>
        <v>0</v>
      </c>
      <c r="J1196">
        <f t="shared" si="103"/>
        <v>0</v>
      </c>
      <c r="K1196" t="str">
        <f t="shared" si="104"/>
        <v>Nd154</v>
      </c>
    </row>
    <row r="1197" spans="2:11" hidden="1" x14ac:dyDescent="0.2">
      <c r="B1197" s="4">
        <v>61132</v>
      </c>
      <c r="C1197" s="4">
        <v>0</v>
      </c>
      <c r="D1197">
        <v>0</v>
      </c>
      <c r="E1197" t="str">
        <f>VLOOKUP(B1197,[1]Nuclides!A:E,5,FALSE)</f>
        <v>Pm132</v>
      </c>
      <c r="F1197">
        <f>VLOOKUP(B1197,[1]Nuclides!A:E,4,FALSE)</f>
        <v>6.2</v>
      </c>
      <c r="G1197" t="str">
        <f t="shared" si="100"/>
        <v>6.2s</v>
      </c>
      <c r="H1197">
        <f t="shared" si="101"/>
        <v>0.11179793234837827</v>
      </c>
      <c r="I1197">
        <f t="shared" si="102"/>
        <v>0</v>
      </c>
      <c r="J1197">
        <f t="shared" si="103"/>
        <v>0</v>
      </c>
      <c r="K1197" t="str">
        <f t="shared" si="104"/>
        <v>Pm132</v>
      </c>
    </row>
    <row r="1198" spans="2:11" hidden="1" x14ac:dyDescent="0.2">
      <c r="B1198" s="4">
        <v>61133</v>
      </c>
      <c r="C1198" s="4">
        <v>0</v>
      </c>
      <c r="D1198">
        <v>0</v>
      </c>
      <c r="E1198" t="str">
        <f>VLOOKUP(B1198,[1]Nuclides!A:E,5,FALSE)</f>
        <v>Pm133</v>
      </c>
      <c r="F1198">
        <f>VLOOKUP(B1198,[1]Nuclides!A:E,4,FALSE)</f>
        <v>13.5</v>
      </c>
      <c r="G1198" t="str">
        <f t="shared" si="100"/>
        <v>13.5s</v>
      </c>
      <c r="H1198">
        <f t="shared" si="101"/>
        <v>5.1344235597032988E-2</v>
      </c>
      <c r="I1198">
        <f t="shared" si="102"/>
        <v>0</v>
      </c>
      <c r="J1198">
        <f t="shared" si="103"/>
        <v>0</v>
      </c>
      <c r="K1198" t="str">
        <f t="shared" si="104"/>
        <v>Pm133</v>
      </c>
    </row>
    <row r="1199" spans="2:11" hidden="1" x14ac:dyDescent="0.2">
      <c r="B1199" s="4">
        <v>61134</v>
      </c>
      <c r="C1199" s="4">
        <v>0</v>
      </c>
      <c r="D1199">
        <v>0</v>
      </c>
      <c r="E1199" t="str">
        <f>VLOOKUP(B1199,[1]Nuclides!A:E,5,FALSE)</f>
        <v>Pm134</v>
      </c>
      <c r="F1199">
        <f>VLOOKUP(B1199,[1]Nuclides!A:E,4,FALSE)</f>
        <v>5</v>
      </c>
      <c r="G1199" t="str">
        <f t="shared" si="100"/>
        <v>5s</v>
      </c>
      <c r="H1199">
        <f t="shared" si="101"/>
        <v>0.13862943611198905</v>
      </c>
      <c r="I1199">
        <f t="shared" si="102"/>
        <v>0</v>
      </c>
      <c r="J1199">
        <f t="shared" si="103"/>
        <v>0</v>
      </c>
      <c r="K1199" t="str">
        <f t="shared" si="104"/>
        <v>Pm134</v>
      </c>
    </row>
    <row r="1200" spans="2:11" hidden="1" x14ac:dyDescent="0.2">
      <c r="B1200" s="4">
        <v>61135</v>
      </c>
      <c r="C1200" s="4">
        <v>0</v>
      </c>
      <c r="D1200">
        <v>0</v>
      </c>
      <c r="E1200" t="str">
        <f>VLOOKUP(B1200,[1]Nuclides!A:E,5,FALSE)</f>
        <v>Pm135</v>
      </c>
      <c r="F1200">
        <f>VLOOKUP(B1200,[1]Nuclides!A:E,4,FALSE)</f>
        <v>49</v>
      </c>
      <c r="G1200" t="str">
        <f t="shared" si="100"/>
        <v>49s</v>
      </c>
      <c r="H1200">
        <f t="shared" si="101"/>
        <v>1.4145860827753985E-2</v>
      </c>
      <c r="I1200">
        <f t="shared" si="102"/>
        <v>0</v>
      </c>
      <c r="J1200">
        <f t="shared" si="103"/>
        <v>0</v>
      </c>
      <c r="K1200" t="str">
        <f t="shared" si="104"/>
        <v>Pm135</v>
      </c>
    </row>
    <row r="1201" spans="2:11" hidden="1" x14ac:dyDescent="0.2">
      <c r="B1201" s="4">
        <v>61136</v>
      </c>
      <c r="C1201" s="4">
        <v>0</v>
      </c>
      <c r="D1201">
        <v>0</v>
      </c>
      <c r="E1201" t="str">
        <f>VLOOKUP(B1201,[1]Nuclides!A:E,5,FALSE)</f>
        <v>Pm136</v>
      </c>
      <c r="F1201">
        <f>VLOOKUP(B1201,[1]Nuclides!A:E,4,FALSE)</f>
        <v>107</v>
      </c>
      <c r="G1201" t="str">
        <f t="shared" si="100"/>
        <v>1.78min</v>
      </c>
      <c r="H1201">
        <f t="shared" si="101"/>
        <v>6.4780110332705171E-3</v>
      </c>
      <c r="I1201">
        <f t="shared" si="102"/>
        <v>0</v>
      </c>
      <c r="J1201">
        <f t="shared" si="103"/>
        <v>0</v>
      </c>
      <c r="K1201" t="str">
        <f t="shared" si="104"/>
        <v>Pm136</v>
      </c>
    </row>
    <row r="1202" spans="2:11" hidden="1" x14ac:dyDescent="0.2">
      <c r="B1202" s="4">
        <v>61137</v>
      </c>
      <c r="C1202" s="4">
        <v>0</v>
      </c>
      <c r="D1202">
        <v>0</v>
      </c>
      <c r="E1202" t="str">
        <f>VLOOKUP(B1202,[1]Nuclides!A:E,5,FALSE)</f>
        <v>Pm137</v>
      </c>
      <c r="F1202">
        <f>VLOOKUP(B1202,[1]Nuclides!A:E,4,FALSE)</f>
        <v>144</v>
      </c>
      <c r="G1202" t="str">
        <f t="shared" si="100"/>
        <v>2.4min</v>
      </c>
      <c r="H1202">
        <f t="shared" si="101"/>
        <v>4.8135220872218424E-3</v>
      </c>
      <c r="I1202">
        <f t="shared" si="102"/>
        <v>0</v>
      </c>
      <c r="J1202">
        <f t="shared" si="103"/>
        <v>0</v>
      </c>
      <c r="K1202" t="str">
        <f t="shared" si="104"/>
        <v>Pm137</v>
      </c>
    </row>
    <row r="1203" spans="2:11" hidden="1" x14ac:dyDescent="0.2">
      <c r="B1203" s="4">
        <v>61138</v>
      </c>
      <c r="C1203" s="4">
        <v>0</v>
      </c>
      <c r="D1203">
        <v>0</v>
      </c>
      <c r="E1203" t="str">
        <f>VLOOKUP(B1203,[1]Nuclides!A:E,5,FALSE)</f>
        <v>Pm138</v>
      </c>
      <c r="F1203">
        <f>VLOOKUP(B1203,[1]Nuclides!A:E,4,FALSE)</f>
        <v>10</v>
      </c>
      <c r="G1203" t="str">
        <f t="shared" si="100"/>
        <v>10s</v>
      </c>
      <c r="H1203">
        <f t="shared" si="101"/>
        <v>6.9314718055994526E-2</v>
      </c>
      <c r="I1203">
        <f t="shared" si="102"/>
        <v>0</v>
      </c>
      <c r="J1203">
        <f t="shared" si="103"/>
        <v>0</v>
      </c>
      <c r="K1203" t="str">
        <f t="shared" si="104"/>
        <v>Pm138</v>
      </c>
    </row>
    <row r="1204" spans="2:11" hidden="1" x14ac:dyDescent="0.2">
      <c r="B1204" s="4">
        <v>61139</v>
      </c>
      <c r="C1204" s="4">
        <v>0</v>
      </c>
      <c r="D1204">
        <v>0</v>
      </c>
      <c r="E1204" t="str">
        <f>VLOOKUP(B1204,[1]Nuclides!A:E,5,FALSE)</f>
        <v>Pm139</v>
      </c>
      <c r="F1204">
        <f>VLOOKUP(B1204,[1]Nuclides!A:E,4,FALSE)</f>
        <v>249</v>
      </c>
      <c r="G1204" t="str">
        <f t="shared" si="100"/>
        <v>4.15min</v>
      </c>
      <c r="H1204">
        <f t="shared" si="101"/>
        <v>2.7837236167066078E-3</v>
      </c>
      <c r="I1204">
        <f t="shared" si="102"/>
        <v>0</v>
      </c>
      <c r="J1204">
        <f t="shared" si="103"/>
        <v>0</v>
      </c>
      <c r="K1204" t="str">
        <f t="shared" si="104"/>
        <v>Pm139</v>
      </c>
    </row>
    <row r="1205" spans="2:11" hidden="1" x14ac:dyDescent="0.2">
      <c r="B1205" s="4">
        <v>61140</v>
      </c>
      <c r="C1205" s="4">
        <v>0</v>
      </c>
      <c r="D1205">
        <v>0</v>
      </c>
      <c r="E1205" t="str">
        <f>VLOOKUP(B1205,[1]Nuclides!A:E,5,FALSE)</f>
        <v>Pm140</v>
      </c>
      <c r="F1205">
        <f>VLOOKUP(B1205,[1]Nuclides!A:E,4,FALSE)</f>
        <v>9.1999999999999993</v>
      </c>
      <c r="G1205" t="str">
        <f t="shared" si="100"/>
        <v>9.2s</v>
      </c>
      <c r="H1205">
        <f t="shared" si="101"/>
        <v>7.5342084843472323E-2</v>
      </c>
      <c r="I1205">
        <f t="shared" si="102"/>
        <v>0</v>
      </c>
      <c r="J1205">
        <f t="shared" si="103"/>
        <v>0</v>
      </c>
      <c r="K1205" t="str">
        <f t="shared" si="104"/>
        <v>Pm140</v>
      </c>
    </row>
    <row r="1206" spans="2:11" hidden="1" x14ac:dyDescent="0.2">
      <c r="B1206" s="4">
        <v>61141</v>
      </c>
      <c r="C1206" s="4">
        <v>0</v>
      </c>
      <c r="D1206">
        <v>0</v>
      </c>
      <c r="E1206" t="str">
        <f>VLOOKUP(B1206,[1]Nuclides!A:E,5,FALSE)</f>
        <v>Pm141</v>
      </c>
      <c r="F1206">
        <f>VLOOKUP(B1206,[1]Nuclides!A:E,4,FALSE)</f>
        <v>1254</v>
      </c>
      <c r="G1206" t="str">
        <f t="shared" si="100"/>
        <v>20.9min</v>
      </c>
      <c r="H1206">
        <f t="shared" si="101"/>
        <v>5.5274894781494842E-4</v>
      </c>
      <c r="I1206">
        <f t="shared" si="102"/>
        <v>0</v>
      </c>
      <c r="J1206">
        <f t="shared" si="103"/>
        <v>0</v>
      </c>
      <c r="K1206" t="str">
        <f t="shared" si="104"/>
        <v>Pm141</v>
      </c>
    </row>
    <row r="1207" spans="2:11" hidden="1" x14ac:dyDescent="0.2">
      <c r="B1207" s="4">
        <v>61142</v>
      </c>
      <c r="C1207" s="4">
        <v>0</v>
      </c>
      <c r="D1207">
        <v>0</v>
      </c>
      <c r="E1207" t="str">
        <f>VLOOKUP(B1207,[1]Nuclides!A:E,5,FALSE)</f>
        <v>Pm142</v>
      </c>
      <c r="F1207">
        <f>VLOOKUP(B1207,[1]Nuclides!A:E,4,FALSE)</f>
        <v>40.5</v>
      </c>
      <c r="G1207" t="str">
        <f t="shared" si="100"/>
        <v>40.5s</v>
      </c>
      <c r="H1207">
        <f t="shared" si="101"/>
        <v>1.7114745199010996E-2</v>
      </c>
      <c r="I1207">
        <f t="shared" si="102"/>
        <v>0</v>
      </c>
      <c r="J1207">
        <f t="shared" si="103"/>
        <v>0</v>
      </c>
      <c r="K1207" t="str">
        <f t="shared" si="104"/>
        <v>Pm142</v>
      </c>
    </row>
    <row r="1208" spans="2:11" hidden="1" x14ac:dyDescent="0.2">
      <c r="B1208" s="4">
        <v>61143</v>
      </c>
      <c r="C1208" s="4">
        <v>0</v>
      </c>
      <c r="D1208">
        <v>0</v>
      </c>
      <c r="E1208" t="str">
        <f>VLOOKUP(B1208,[1]Nuclides!A:E,5,FALSE)</f>
        <v>Pm143</v>
      </c>
      <c r="F1208">
        <f>VLOOKUP(B1208,[1]Nuclides!A:E,4,FALSE)</f>
        <v>22896000</v>
      </c>
      <c r="G1208" t="str">
        <f t="shared" si="100"/>
        <v>265d</v>
      </c>
      <c r="H1208">
        <f t="shared" si="101"/>
        <v>3.02737238190053E-8</v>
      </c>
      <c r="I1208">
        <f t="shared" si="102"/>
        <v>0</v>
      </c>
      <c r="J1208">
        <f t="shared" si="103"/>
        <v>0</v>
      </c>
      <c r="K1208" t="str">
        <f t="shared" si="104"/>
        <v>Pm143</v>
      </c>
    </row>
    <row r="1209" spans="2:11" hidden="1" x14ac:dyDescent="0.2">
      <c r="B1209" s="4">
        <v>61144</v>
      </c>
      <c r="C1209" s="4">
        <v>0</v>
      </c>
      <c r="D1209">
        <v>0</v>
      </c>
      <c r="E1209" t="str">
        <f>VLOOKUP(B1209,[1]Nuclides!A:E,5,FALSE)</f>
        <v>Pm144</v>
      </c>
      <c r="F1209">
        <f>VLOOKUP(B1209,[1]Nuclides!A:E,4,FALSE)</f>
        <v>31363200</v>
      </c>
      <c r="G1209" t="str">
        <f t="shared" si="100"/>
        <v>363d</v>
      </c>
      <c r="H1209">
        <f t="shared" si="101"/>
        <v>2.2100652374755932E-8</v>
      </c>
      <c r="I1209">
        <f t="shared" si="102"/>
        <v>0</v>
      </c>
      <c r="J1209">
        <f t="shared" si="103"/>
        <v>0</v>
      </c>
      <c r="K1209" t="str">
        <f t="shared" si="104"/>
        <v>Pm144</v>
      </c>
    </row>
    <row r="1210" spans="2:11" hidden="1" x14ac:dyDescent="0.2">
      <c r="B1210" s="4">
        <v>61145</v>
      </c>
      <c r="C1210" s="4">
        <v>0</v>
      </c>
      <c r="D1210">
        <v>0</v>
      </c>
      <c r="E1210" t="str">
        <f>VLOOKUP(B1210,[1]Nuclides!A:E,5,FALSE)</f>
        <v>Pm145</v>
      </c>
      <c r="F1210">
        <f>VLOOKUP(B1210,[1]Nuclides!A:E,4,FALSE)</f>
        <v>558569520</v>
      </c>
      <c r="G1210" t="str">
        <f t="shared" si="100"/>
        <v>17.71y</v>
      </c>
      <c r="H1210">
        <f t="shared" si="101"/>
        <v>1.2409326963632839E-9</v>
      </c>
      <c r="I1210">
        <f t="shared" si="102"/>
        <v>0</v>
      </c>
      <c r="J1210">
        <f t="shared" si="103"/>
        <v>0</v>
      </c>
      <c r="K1210" t="str">
        <f t="shared" si="104"/>
        <v>Pm145</v>
      </c>
    </row>
    <row r="1211" spans="2:11" hidden="1" x14ac:dyDescent="0.2">
      <c r="B1211" s="4">
        <v>61146</v>
      </c>
      <c r="C1211" s="4">
        <v>0</v>
      </c>
      <c r="D1211">
        <v>0</v>
      </c>
      <c r="E1211" t="str">
        <f>VLOOKUP(B1211,[1]Nuclides!A:E,5,FALSE)</f>
        <v>Pm146</v>
      </c>
      <c r="F1211">
        <f>VLOOKUP(B1211,[1]Nuclides!A:E,4,FALSE)</f>
        <v>174513528</v>
      </c>
      <c r="G1211" t="str">
        <f t="shared" si="100"/>
        <v>5.53y</v>
      </c>
      <c r="H1211">
        <f t="shared" si="101"/>
        <v>3.9718822288662075E-9</v>
      </c>
      <c r="I1211">
        <f t="shared" si="102"/>
        <v>0</v>
      </c>
      <c r="J1211">
        <f t="shared" si="103"/>
        <v>0</v>
      </c>
      <c r="K1211" t="str">
        <f t="shared" si="104"/>
        <v>Pm146</v>
      </c>
    </row>
    <row r="1212" spans="2:11" hidden="1" x14ac:dyDescent="0.2">
      <c r="B1212" s="4">
        <v>61147</v>
      </c>
      <c r="C1212" s="4">
        <v>0</v>
      </c>
      <c r="D1212">
        <v>0</v>
      </c>
      <c r="E1212" t="str">
        <f>VLOOKUP(B1212,[1]Nuclides!A:E,5,FALSE)</f>
        <v>Pm147</v>
      </c>
      <c r="F1212">
        <f>VLOOKUP(B1212,[1]Nuclides!A:E,4,FALSE)</f>
        <v>82788207.840000004</v>
      </c>
      <c r="G1212" t="str">
        <f t="shared" si="100"/>
        <v>2.63y</v>
      </c>
      <c r="H1212">
        <f t="shared" si="101"/>
        <v>8.3725351550011917E-9</v>
      </c>
      <c r="I1212">
        <f t="shared" si="102"/>
        <v>0</v>
      </c>
      <c r="J1212">
        <f t="shared" si="103"/>
        <v>0</v>
      </c>
      <c r="K1212" t="str">
        <f t="shared" si="104"/>
        <v>Pm147</v>
      </c>
    </row>
    <row r="1213" spans="2:11" hidden="1" x14ac:dyDescent="0.2">
      <c r="B1213" s="4">
        <v>61148</v>
      </c>
      <c r="C1213" s="4">
        <v>0</v>
      </c>
      <c r="D1213">
        <v>0</v>
      </c>
      <c r="E1213" t="str">
        <f>VLOOKUP(B1213,[1]Nuclides!A:E,5,FALSE)</f>
        <v>Pm148</v>
      </c>
      <c r="F1213">
        <f>VLOOKUP(B1213,[1]Nuclides!A:E,4,FALSE)</f>
        <v>463795.20000000001</v>
      </c>
      <c r="G1213" t="str">
        <f t="shared" si="100"/>
        <v>5.37d</v>
      </c>
      <c r="H1213">
        <f t="shared" si="101"/>
        <v>1.4945113286207905E-6</v>
      </c>
      <c r="I1213">
        <f t="shared" si="102"/>
        <v>0</v>
      </c>
      <c r="J1213">
        <f t="shared" si="103"/>
        <v>0</v>
      </c>
      <c r="K1213" t="str">
        <f t="shared" si="104"/>
        <v>Pm148</v>
      </c>
    </row>
    <row r="1214" spans="2:11" hidden="1" x14ac:dyDescent="0.2">
      <c r="B1214" s="4">
        <v>61149</v>
      </c>
      <c r="C1214" s="4">
        <v>0</v>
      </c>
      <c r="D1214">
        <v>0</v>
      </c>
      <c r="E1214" t="str">
        <f>VLOOKUP(B1214,[1]Nuclides!A:E,5,FALSE)</f>
        <v>Pm149</v>
      </c>
      <c r="F1214">
        <f>VLOOKUP(B1214,[1]Nuclides!A:E,4,FALSE)</f>
        <v>191088</v>
      </c>
      <c r="G1214" t="str">
        <f t="shared" si="100"/>
        <v>2.21d</v>
      </c>
      <c r="H1214">
        <f t="shared" si="101"/>
        <v>3.6273715804233928E-6</v>
      </c>
      <c r="I1214">
        <f t="shared" si="102"/>
        <v>0</v>
      </c>
      <c r="J1214">
        <f t="shared" si="103"/>
        <v>0</v>
      </c>
      <c r="K1214" t="str">
        <f t="shared" si="104"/>
        <v>Pm149</v>
      </c>
    </row>
    <row r="1215" spans="2:11" hidden="1" x14ac:dyDescent="0.2">
      <c r="B1215" s="4">
        <v>61150</v>
      </c>
      <c r="C1215" s="4">
        <v>0</v>
      </c>
      <c r="D1215">
        <v>0</v>
      </c>
      <c r="E1215" t="str">
        <f>VLOOKUP(B1215,[1]Nuclides!A:E,5,FALSE)</f>
        <v>Pm150</v>
      </c>
      <c r="F1215">
        <f>VLOOKUP(B1215,[1]Nuclides!A:E,4,FALSE)</f>
        <v>9712.7999999999993</v>
      </c>
      <c r="G1215" t="str">
        <f t="shared" si="100"/>
        <v>2.7h</v>
      </c>
      <c r="H1215">
        <f t="shared" si="101"/>
        <v>7.1364300774230435E-5</v>
      </c>
      <c r="I1215">
        <f t="shared" si="102"/>
        <v>0</v>
      </c>
      <c r="J1215">
        <f t="shared" si="103"/>
        <v>0</v>
      </c>
      <c r="K1215" t="str">
        <f t="shared" si="104"/>
        <v>Pm150</v>
      </c>
    </row>
    <row r="1216" spans="2:11" hidden="1" x14ac:dyDescent="0.2">
      <c r="B1216" s="4">
        <v>61151</v>
      </c>
      <c r="C1216" s="4">
        <v>0</v>
      </c>
      <c r="D1216">
        <v>0</v>
      </c>
      <c r="E1216" t="str">
        <f>VLOOKUP(B1216,[1]Nuclides!A:E,5,FALSE)</f>
        <v>Pm151</v>
      </c>
      <c r="F1216">
        <f>VLOOKUP(B1216,[1]Nuclides!A:E,4,FALSE)</f>
        <v>102240</v>
      </c>
      <c r="G1216" t="str">
        <f t="shared" si="100"/>
        <v>1.18d</v>
      </c>
      <c r="H1216">
        <f t="shared" si="101"/>
        <v>6.7796085735518902E-6</v>
      </c>
      <c r="I1216">
        <f t="shared" si="102"/>
        <v>0</v>
      </c>
      <c r="J1216">
        <f t="shared" si="103"/>
        <v>0</v>
      </c>
      <c r="K1216" t="str">
        <f t="shared" si="104"/>
        <v>Pm151</v>
      </c>
    </row>
    <row r="1217" spans="2:11" hidden="1" x14ac:dyDescent="0.2">
      <c r="B1217" s="4">
        <v>61152</v>
      </c>
      <c r="C1217" s="4">
        <v>0</v>
      </c>
      <c r="D1217">
        <v>0</v>
      </c>
      <c r="E1217" t="str">
        <f>VLOOKUP(B1217,[1]Nuclides!A:E,5,FALSE)</f>
        <v>Pm152</v>
      </c>
      <c r="F1217">
        <f>VLOOKUP(B1217,[1]Nuclides!A:E,4,FALSE)</f>
        <v>247.2</v>
      </c>
      <c r="G1217" t="str">
        <f t="shared" si="100"/>
        <v>4.12min</v>
      </c>
      <c r="H1217">
        <f t="shared" si="101"/>
        <v>2.8039934488670927E-3</v>
      </c>
      <c r="I1217">
        <f t="shared" si="102"/>
        <v>0</v>
      </c>
      <c r="J1217">
        <f t="shared" si="103"/>
        <v>0</v>
      </c>
      <c r="K1217" t="str">
        <f t="shared" si="104"/>
        <v>Pm152</v>
      </c>
    </row>
    <row r="1218" spans="2:11" hidden="1" x14ac:dyDescent="0.2">
      <c r="B1218" s="4">
        <v>61153</v>
      </c>
      <c r="C1218" s="4">
        <v>0</v>
      </c>
      <c r="D1218">
        <v>0</v>
      </c>
      <c r="E1218" t="str">
        <f>VLOOKUP(B1218,[1]Nuclides!A:E,5,FALSE)</f>
        <v>Pm153</v>
      </c>
      <c r="F1218">
        <f>VLOOKUP(B1218,[1]Nuclides!A:E,4,FALSE)</f>
        <v>315</v>
      </c>
      <c r="G1218" t="str">
        <f t="shared" si="100"/>
        <v>5.25min</v>
      </c>
      <c r="H1218">
        <f t="shared" si="101"/>
        <v>2.2004672398728423E-3</v>
      </c>
      <c r="I1218">
        <f t="shared" si="102"/>
        <v>0</v>
      </c>
      <c r="J1218">
        <f t="shared" si="103"/>
        <v>0</v>
      </c>
      <c r="K1218" t="str">
        <f t="shared" si="104"/>
        <v>Pm153</v>
      </c>
    </row>
    <row r="1219" spans="2:11" hidden="1" x14ac:dyDescent="0.2">
      <c r="B1219" s="4">
        <v>61154</v>
      </c>
      <c r="C1219" s="4">
        <v>0</v>
      </c>
      <c r="D1219">
        <v>0</v>
      </c>
      <c r="E1219" t="str">
        <f>VLOOKUP(B1219,[1]Nuclides!A:E,5,FALSE)</f>
        <v>Pm154</v>
      </c>
      <c r="F1219">
        <f>VLOOKUP(B1219,[1]Nuclides!A:E,4,FALSE)</f>
        <v>160.80000000000001</v>
      </c>
      <c r="G1219" t="str">
        <f t="shared" si="100"/>
        <v>2.68min</v>
      </c>
      <c r="H1219">
        <f t="shared" si="101"/>
        <v>4.3106167945270229E-3</v>
      </c>
      <c r="I1219">
        <f t="shared" si="102"/>
        <v>0</v>
      </c>
      <c r="J1219">
        <f t="shared" si="103"/>
        <v>0</v>
      </c>
      <c r="K1219" t="str">
        <f t="shared" si="104"/>
        <v>Pm154</v>
      </c>
    </row>
    <row r="1220" spans="2:11" hidden="1" x14ac:dyDescent="0.2">
      <c r="B1220" s="4">
        <v>61155</v>
      </c>
      <c r="C1220" s="4">
        <v>0</v>
      </c>
      <c r="D1220">
        <v>0</v>
      </c>
      <c r="E1220" t="str">
        <f>VLOOKUP(B1220,[1]Nuclides!A:E,5,FALSE)</f>
        <v>Pm155</v>
      </c>
      <c r="F1220">
        <f>VLOOKUP(B1220,[1]Nuclides!A:E,4,FALSE)</f>
        <v>41.5</v>
      </c>
      <c r="G1220" t="str">
        <f t="shared" si="100"/>
        <v>41.5s</v>
      </c>
      <c r="H1220">
        <f t="shared" si="101"/>
        <v>1.6702341700239647E-2</v>
      </c>
      <c r="I1220">
        <f t="shared" si="102"/>
        <v>0</v>
      </c>
      <c r="J1220">
        <f t="shared" si="103"/>
        <v>0</v>
      </c>
      <c r="K1220" t="str">
        <f t="shared" si="104"/>
        <v>Pm155</v>
      </c>
    </row>
    <row r="1221" spans="2:11" hidden="1" x14ac:dyDescent="0.2">
      <c r="B1221" s="4">
        <v>62133</v>
      </c>
      <c r="C1221" s="4">
        <v>0</v>
      </c>
      <c r="D1221">
        <v>0</v>
      </c>
      <c r="E1221" t="str">
        <f>VLOOKUP(B1221,[1]Nuclides!A:E,5,FALSE)</f>
        <v>Sm133</v>
      </c>
      <c r="F1221">
        <f>VLOOKUP(B1221,[1]Nuclides!A:E,4,FALSE)</f>
        <v>2.89</v>
      </c>
      <c r="G1221" t="str">
        <f t="shared" ref="G1221:G1284" si="105">IF(F1221="STABLE", "STABLE", IF(F1221&lt;60, F1221&amp;"s", IF(F1221&lt;3600, ROUND(F1221/60,2)&amp;"min", IF(F1221&lt;86400, ROUND(F1221/3600,2)&amp;"h", IF(F1221&lt;31536000, ROUND(F1221/86400,2)&amp;"d", ROUND(F1221/31536000,2)&amp;"y")))))</f>
        <v>2.89s</v>
      </c>
      <c r="H1221">
        <f t="shared" ref="H1221:H1284" si="106">LN(2)/F1221</f>
        <v>0.23984331507264542</v>
      </c>
      <c r="I1221">
        <f t="shared" ref="I1221:I1284" si="107">60*6240000000000*C1221*(1-EXP(-H1221*2*3600))</f>
        <v>0</v>
      </c>
      <c r="J1221">
        <f t="shared" ref="J1221:J1284" si="108">I1221*EXP(-H1221*96*3600)</f>
        <v>0</v>
      </c>
      <c r="K1221" t="str">
        <f t="shared" ref="K1221:K1284" si="109">E1221</f>
        <v>Sm133</v>
      </c>
    </row>
    <row r="1222" spans="2:11" hidden="1" x14ac:dyDescent="0.2">
      <c r="B1222" s="4">
        <v>62134</v>
      </c>
      <c r="C1222" s="4">
        <v>0</v>
      </c>
      <c r="D1222">
        <v>0</v>
      </c>
      <c r="E1222" t="str">
        <f>VLOOKUP(B1222,[1]Nuclides!A:E,5,FALSE)</f>
        <v>Sm134</v>
      </c>
      <c r="F1222">
        <f>VLOOKUP(B1222,[1]Nuclides!A:E,4,FALSE)</f>
        <v>9.5</v>
      </c>
      <c r="G1222" t="str">
        <f t="shared" si="105"/>
        <v>9.5s</v>
      </c>
      <c r="H1222">
        <f t="shared" si="106"/>
        <v>7.2962861111573185E-2</v>
      </c>
      <c r="I1222">
        <f t="shared" si="107"/>
        <v>0</v>
      </c>
      <c r="J1222">
        <f t="shared" si="108"/>
        <v>0</v>
      </c>
      <c r="K1222" t="str">
        <f t="shared" si="109"/>
        <v>Sm134</v>
      </c>
    </row>
    <row r="1223" spans="2:11" hidden="1" x14ac:dyDescent="0.2">
      <c r="B1223" s="4">
        <v>62135</v>
      </c>
      <c r="C1223" s="4">
        <v>0</v>
      </c>
      <c r="D1223">
        <v>0</v>
      </c>
      <c r="E1223" t="str">
        <f>VLOOKUP(B1223,[1]Nuclides!A:E,5,FALSE)</f>
        <v>Sm135</v>
      </c>
      <c r="F1223">
        <f>VLOOKUP(B1223,[1]Nuclides!A:E,4,FALSE)</f>
        <v>10.3</v>
      </c>
      <c r="G1223" t="str">
        <f t="shared" si="105"/>
        <v>10.3s</v>
      </c>
      <c r="H1223">
        <f t="shared" si="106"/>
        <v>6.7295842772810213E-2</v>
      </c>
      <c r="I1223">
        <f t="shared" si="107"/>
        <v>0</v>
      </c>
      <c r="J1223">
        <f t="shared" si="108"/>
        <v>0</v>
      </c>
      <c r="K1223" t="str">
        <f t="shared" si="109"/>
        <v>Sm135</v>
      </c>
    </row>
    <row r="1224" spans="2:11" hidden="1" x14ac:dyDescent="0.2">
      <c r="B1224" s="4">
        <v>62136</v>
      </c>
      <c r="C1224" s="4">
        <v>0</v>
      </c>
      <c r="D1224">
        <v>0</v>
      </c>
      <c r="E1224" t="str">
        <f>VLOOKUP(B1224,[1]Nuclides!A:E,5,FALSE)</f>
        <v>Sm136</v>
      </c>
      <c r="F1224">
        <f>VLOOKUP(B1224,[1]Nuclides!A:E,4,FALSE)</f>
        <v>47</v>
      </c>
      <c r="G1224" t="str">
        <f t="shared" si="105"/>
        <v>47s</v>
      </c>
      <c r="H1224">
        <f t="shared" si="106"/>
        <v>1.4747812352339261E-2</v>
      </c>
      <c r="I1224">
        <f t="shared" si="107"/>
        <v>0</v>
      </c>
      <c r="J1224">
        <f t="shared" si="108"/>
        <v>0</v>
      </c>
      <c r="K1224" t="str">
        <f t="shared" si="109"/>
        <v>Sm136</v>
      </c>
    </row>
    <row r="1225" spans="2:11" hidden="1" x14ac:dyDescent="0.2">
      <c r="B1225" s="4">
        <v>62137</v>
      </c>
      <c r="C1225" s="4">
        <v>0</v>
      </c>
      <c r="D1225">
        <v>0</v>
      </c>
      <c r="E1225" t="str">
        <f>VLOOKUP(B1225,[1]Nuclides!A:E,5,FALSE)</f>
        <v>Sm137</v>
      </c>
      <c r="F1225">
        <f>VLOOKUP(B1225,[1]Nuclides!A:E,4,FALSE)</f>
        <v>45</v>
      </c>
      <c r="G1225" t="str">
        <f t="shared" si="105"/>
        <v>45s</v>
      </c>
      <c r="H1225">
        <f t="shared" si="106"/>
        <v>1.5403270679109895E-2</v>
      </c>
      <c r="I1225">
        <f t="shared" si="107"/>
        <v>0</v>
      </c>
      <c r="J1225">
        <f t="shared" si="108"/>
        <v>0</v>
      </c>
      <c r="K1225" t="str">
        <f t="shared" si="109"/>
        <v>Sm137</v>
      </c>
    </row>
    <row r="1226" spans="2:11" hidden="1" x14ac:dyDescent="0.2">
      <c r="B1226" s="4">
        <v>62138</v>
      </c>
      <c r="C1226" s="4">
        <v>0</v>
      </c>
      <c r="D1226">
        <v>0</v>
      </c>
      <c r="E1226" t="str">
        <f>VLOOKUP(B1226,[1]Nuclides!A:E,5,FALSE)</f>
        <v>Sm138</v>
      </c>
      <c r="F1226">
        <f>VLOOKUP(B1226,[1]Nuclides!A:E,4,FALSE)</f>
        <v>186</v>
      </c>
      <c r="G1226" t="str">
        <f t="shared" si="105"/>
        <v>3.1min</v>
      </c>
      <c r="H1226">
        <f t="shared" si="106"/>
        <v>3.7265977449459425E-3</v>
      </c>
      <c r="I1226">
        <f t="shared" si="107"/>
        <v>0</v>
      </c>
      <c r="J1226">
        <f t="shared" si="108"/>
        <v>0</v>
      </c>
      <c r="K1226" t="str">
        <f t="shared" si="109"/>
        <v>Sm138</v>
      </c>
    </row>
    <row r="1227" spans="2:11" hidden="1" x14ac:dyDescent="0.2">
      <c r="B1227" s="4">
        <v>62139</v>
      </c>
      <c r="C1227" s="4">
        <v>0</v>
      </c>
      <c r="D1227">
        <v>0</v>
      </c>
      <c r="E1227" t="str">
        <f>VLOOKUP(B1227,[1]Nuclides!A:E,5,FALSE)</f>
        <v>Sm139</v>
      </c>
      <c r="F1227">
        <f>VLOOKUP(B1227,[1]Nuclides!A:E,4,FALSE)</f>
        <v>154.19999999999999</v>
      </c>
      <c r="G1227" t="str">
        <f t="shared" si="105"/>
        <v>2.57min</v>
      </c>
      <c r="H1227">
        <f t="shared" si="106"/>
        <v>4.4951179024639775E-3</v>
      </c>
      <c r="I1227">
        <f t="shared" si="107"/>
        <v>0</v>
      </c>
      <c r="J1227">
        <f t="shared" si="108"/>
        <v>0</v>
      </c>
      <c r="K1227" t="str">
        <f t="shared" si="109"/>
        <v>Sm139</v>
      </c>
    </row>
    <row r="1228" spans="2:11" hidden="1" x14ac:dyDescent="0.2">
      <c r="B1228" s="4">
        <v>62140</v>
      </c>
      <c r="C1228" s="4">
        <v>0</v>
      </c>
      <c r="D1228">
        <v>0</v>
      </c>
      <c r="E1228" t="str">
        <f>VLOOKUP(B1228,[1]Nuclides!A:E,5,FALSE)</f>
        <v>Sm140</v>
      </c>
      <c r="F1228">
        <f>VLOOKUP(B1228,[1]Nuclides!A:E,4,FALSE)</f>
        <v>889.2</v>
      </c>
      <c r="G1228" t="str">
        <f t="shared" si="105"/>
        <v>14.82min</v>
      </c>
      <c r="H1228">
        <f t="shared" si="106"/>
        <v>7.7951774691851692E-4</v>
      </c>
      <c r="I1228">
        <f t="shared" si="107"/>
        <v>0</v>
      </c>
      <c r="J1228">
        <f t="shared" si="108"/>
        <v>0</v>
      </c>
      <c r="K1228" t="str">
        <f t="shared" si="109"/>
        <v>Sm140</v>
      </c>
    </row>
    <row r="1229" spans="2:11" hidden="1" x14ac:dyDescent="0.2">
      <c r="B1229" s="4">
        <v>62141</v>
      </c>
      <c r="C1229" s="4">
        <v>0</v>
      </c>
      <c r="D1229">
        <v>0</v>
      </c>
      <c r="E1229" t="str">
        <f>VLOOKUP(B1229,[1]Nuclides!A:E,5,FALSE)</f>
        <v>Sm141</v>
      </c>
      <c r="F1229">
        <f>VLOOKUP(B1229,[1]Nuclides!A:E,4,FALSE)</f>
        <v>612</v>
      </c>
      <c r="G1229" t="str">
        <f t="shared" si="105"/>
        <v>10.2min</v>
      </c>
      <c r="H1229">
        <f t="shared" si="106"/>
        <v>1.1325934322874924E-3</v>
      </c>
      <c r="I1229">
        <f t="shared" si="107"/>
        <v>0</v>
      </c>
      <c r="J1229">
        <f t="shared" si="108"/>
        <v>0</v>
      </c>
      <c r="K1229" t="str">
        <f t="shared" si="109"/>
        <v>Sm141</v>
      </c>
    </row>
    <row r="1230" spans="2:11" hidden="1" x14ac:dyDescent="0.2">
      <c r="B1230" s="4">
        <v>62142</v>
      </c>
      <c r="C1230" s="4">
        <v>0</v>
      </c>
      <c r="D1230">
        <v>0</v>
      </c>
      <c r="E1230" t="str">
        <f>VLOOKUP(B1230,[1]Nuclides!A:E,5,FALSE)</f>
        <v>Sm142</v>
      </c>
      <c r="F1230">
        <f>VLOOKUP(B1230,[1]Nuclides!A:E,4,FALSE)</f>
        <v>4349.3999999999996</v>
      </c>
      <c r="G1230" t="str">
        <f t="shared" si="105"/>
        <v>1.21h</v>
      </c>
      <c r="H1230">
        <f t="shared" si="106"/>
        <v>1.5936616097851321E-4</v>
      </c>
      <c r="I1230">
        <f t="shared" si="107"/>
        <v>0</v>
      </c>
      <c r="J1230">
        <f t="shared" si="108"/>
        <v>0</v>
      </c>
      <c r="K1230" t="str">
        <f t="shared" si="109"/>
        <v>Sm142</v>
      </c>
    </row>
    <row r="1231" spans="2:11" hidden="1" x14ac:dyDescent="0.2">
      <c r="B1231" s="4">
        <v>62143</v>
      </c>
      <c r="C1231" s="4">
        <v>0</v>
      </c>
      <c r="D1231">
        <v>0</v>
      </c>
      <c r="E1231" t="str">
        <f>VLOOKUP(B1231,[1]Nuclides!A:E,5,FALSE)</f>
        <v>Sm143</v>
      </c>
      <c r="F1231">
        <f>VLOOKUP(B1231,[1]Nuclides!A:E,4,FALSE)</f>
        <v>525</v>
      </c>
      <c r="G1231" t="str">
        <f t="shared" si="105"/>
        <v>8.75min</v>
      </c>
      <c r="H1231">
        <f t="shared" si="106"/>
        <v>1.3202803439237053E-3</v>
      </c>
      <c r="I1231">
        <f t="shared" si="107"/>
        <v>0</v>
      </c>
      <c r="J1231">
        <f t="shared" si="108"/>
        <v>0</v>
      </c>
      <c r="K1231" t="str">
        <f t="shared" si="109"/>
        <v>Sm143</v>
      </c>
    </row>
    <row r="1232" spans="2:11" hidden="1" x14ac:dyDescent="0.2">
      <c r="B1232" s="4">
        <v>62144</v>
      </c>
      <c r="C1232" s="4">
        <v>0</v>
      </c>
      <c r="D1232">
        <v>0</v>
      </c>
      <c r="E1232" t="str">
        <f>VLOOKUP(B1232,[1]Nuclides!A:E,5,FALSE)</f>
        <v>Sm144</v>
      </c>
      <c r="F1232" t="str">
        <f>VLOOKUP(B1232,[1]Nuclides!A:E,4,FALSE)</f>
        <v>STABLE</v>
      </c>
      <c r="G1232" t="str">
        <f t="shared" si="105"/>
        <v>STABLE</v>
      </c>
      <c r="H1232" t="e">
        <f t="shared" si="106"/>
        <v>#VALUE!</v>
      </c>
      <c r="I1232" t="e">
        <f t="shared" si="107"/>
        <v>#VALUE!</v>
      </c>
      <c r="J1232" t="e">
        <f t="shared" si="108"/>
        <v>#VALUE!</v>
      </c>
      <c r="K1232" t="str">
        <f t="shared" si="109"/>
        <v>Sm144</v>
      </c>
    </row>
    <row r="1233" spans="2:11" hidden="1" x14ac:dyDescent="0.2">
      <c r="B1233" s="4">
        <v>62145</v>
      </c>
      <c r="C1233" s="4">
        <v>0</v>
      </c>
      <c r="D1233">
        <v>0</v>
      </c>
      <c r="E1233" t="str">
        <f>VLOOKUP(B1233,[1]Nuclides!A:E,5,FALSE)</f>
        <v>Sm145</v>
      </c>
      <c r="F1233">
        <f>VLOOKUP(B1233,[1]Nuclides!A:E,4,FALSE)</f>
        <v>29376000</v>
      </c>
      <c r="G1233" t="str">
        <f t="shared" si="105"/>
        <v>340d</v>
      </c>
      <c r="H1233">
        <f t="shared" si="106"/>
        <v>2.3595696505989422E-8</v>
      </c>
      <c r="I1233">
        <f t="shared" si="107"/>
        <v>0</v>
      </c>
      <c r="J1233">
        <f t="shared" si="108"/>
        <v>0</v>
      </c>
      <c r="K1233" t="str">
        <f t="shared" si="109"/>
        <v>Sm145</v>
      </c>
    </row>
    <row r="1234" spans="2:11" hidden="1" x14ac:dyDescent="0.2">
      <c r="B1234" s="4">
        <v>62146</v>
      </c>
      <c r="C1234" s="4">
        <v>0</v>
      </c>
      <c r="D1234">
        <v>0</v>
      </c>
      <c r="E1234" t="str">
        <f>VLOOKUP(B1234,[1]Nuclides!A:E,5,FALSE)</f>
        <v>Sm146</v>
      </c>
      <c r="F1234">
        <f>VLOOKUP(B1234,[1]Nuclides!A:E,4,FALSE)</f>
        <v>3250432800000000</v>
      </c>
      <c r="G1234" t="str">
        <f t="shared" si="105"/>
        <v>103070547.95y</v>
      </c>
      <c r="H1234">
        <f t="shared" si="106"/>
        <v>2.1324765753038958E-16</v>
      </c>
      <c r="I1234">
        <f t="shared" si="107"/>
        <v>0</v>
      </c>
      <c r="J1234">
        <f t="shared" si="108"/>
        <v>0</v>
      </c>
      <c r="K1234" t="str">
        <f t="shared" si="109"/>
        <v>Sm146</v>
      </c>
    </row>
    <row r="1235" spans="2:11" hidden="1" x14ac:dyDescent="0.2">
      <c r="B1235" s="4">
        <v>62147</v>
      </c>
      <c r="C1235" s="4">
        <v>0</v>
      </c>
      <c r="D1235">
        <v>0</v>
      </c>
      <c r="E1235" t="str">
        <f>VLOOKUP(B1235,[1]Nuclides!A:E,5,FALSE)</f>
        <v>Sm147</v>
      </c>
      <c r="F1235">
        <f>VLOOKUP(B1235,[1]Nuclides!A:E,4,FALSE)</f>
        <v>3.3451056E+18</v>
      </c>
      <c r="G1235" t="str">
        <f t="shared" si="105"/>
        <v>106072602739.73y</v>
      </c>
      <c r="H1235">
        <f t="shared" si="106"/>
        <v>2.0721234646820874E-19</v>
      </c>
      <c r="I1235">
        <f t="shared" si="107"/>
        <v>0</v>
      </c>
      <c r="J1235">
        <f t="shared" si="108"/>
        <v>0</v>
      </c>
      <c r="K1235" t="str">
        <f t="shared" si="109"/>
        <v>Sm147</v>
      </c>
    </row>
    <row r="1236" spans="2:11" hidden="1" x14ac:dyDescent="0.2">
      <c r="B1236" s="4">
        <v>62148</v>
      </c>
      <c r="C1236" s="4">
        <v>0</v>
      </c>
      <c r="D1236">
        <v>0</v>
      </c>
      <c r="E1236" t="str">
        <f>VLOOKUP(B1236,[1]Nuclides!A:E,5,FALSE)</f>
        <v>Sm148</v>
      </c>
      <c r="F1236">
        <f>VLOOKUP(B1236,[1]Nuclides!A:E,4,FALSE)</f>
        <v>2.2090319999999999E+23</v>
      </c>
      <c r="G1236" t="str">
        <f t="shared" si="105"/>
        <v>7004794520547940y</v>
      </c>
      <c r="H1236">
        <f t="shared" si="106"/>
        <v>3.1377869608043039E-24</v>
      </c>
      <c r="I1236">
        <f t="shared" si="107"/>
        <v>0</v>
      </c>
      <c r="J1236">
        <f t="shared" si="108"/>
        <v>0</v>
      </c>
      <c r="K1236" t="str">
        <f t="shared" si="109"/>
        <v>Sm148</v>
      </c>
    </row>
    <row r="1237" spans="2:11" hidden="1" x14ac:dyDescent="0.2">
      <c r="B1237" s="4">
        <v>62149</v>
      </c>
      <c r="C1237" s="4">
        <v>0</v>
      </c>
      <c r="D1237">
        <v>0</v>
      </c>
      <c r="E1237" t="str">
        <f>VLOOKUP(B1237,[1]Nuclides!A:E,5,FALSE)</f>
        <v>Sm149</v>
      </c>
      <c r="F1237" t="str">
        <f>VLOOKUP(B1237,[1]Nuclides!A:E,4,FALSE)</f>
        <v>STABLE</v>
      </c>
      <c r="G1237" t="str">
        <f t="shared" si="105"/>
        <v>STABLE</v>
      </c>
      <c r="H1237" t="e">
        <f t="shared" si="106"/>
        <v>#VALUE!</v>
      </c>
      <c r="I1237" t="e">
        <f t="shared" si="107"/>
        <v>#VALUE!</v>
      </c>
      <c r="J1237" t="e">
        <f t="shared" si="108"/>
        <v>#VALUE!</v>
      </c>
      <c r="K1237" t="str">
        <f t="shared" si="109"/>
        <v>Sm149</v>
      </c>
    </row>
    <row r="1238" spans="2:11" hidden="1" x14ac:dyDescent="0.2">
      <c r="B1238" s="4">
        <v>62150</v>
      </c>
      <c r="C1238" s="4">
        <v>0</v>
      </c>
      <c r="D1238">
        <v>0</v>
      </c>
      <c r="E1238" t="str">
        <f>VLOOKUP(B1238,[1]Nuclides!A:E,5,FALSE)</f>
        <v>Sm150</v>
      </c>
      <c r="F1238" t="str">
        <f>VLOOKUP(B1238,[1]Nuclides!A:E,4,FALSE)</f>
        <v>STABLE</v>
      </c>
      <c r="G1238" t="str">
        <f t="shared" si="105"/>
        <v>STABLE</v>
      </c>
      <c r="H1238" t="e">
        <f t="shared" si="106"/>
        <v>#VALUE!</v>
      </c>
      <c r="I1238" t="e">
        <f t="shared" si="107"/>
        <v>#VALUE!</v>
      </c>
      <c r="J1238" t="e">
        <f t="shared" si="108"/>
        <v>#VALUE!</v>
      </c>
      <c r="K1238" t="str">
        <f t="shared" si="109"/>
        <v>Sm150</v>
      </c>
    </row>
    <row r="1239" spans="2:11" hidden="1" x14ac:dyDescent="0.2">
      <c r="B1239" s="4">
        <v>62151</v>
      </c>
      <c r="C1239" s="4">
        <v>0</v>
      </c>
      <c r="D1239">
        <v>0</v>
      </c>
      <c r="E1239" t="str">
        <f>VLOOKUP(B1239,[1]Nuclides!A:E,5,FALSE)</f>
        <v>Sm151</v>
      </c>
      <c r="F1239">
        <f>VLOOKUP(B1239,[1]Nuclides!A:E,4,FALSE)</f>
        <v>2840184000</v>
      </c>
      <c r="G1239" t="str">
        <f t="shared" si="105"/>
        <v>90.06y</v>
      </c>
      <c r="H1239">
        <f t="shared" si="106"/>
        <v>2.4405009695144584E-10</v>
      </c>
      <c r="I1239">
        <f t="shared" si="107"/>
        <v>0</v>
      </c>
      <c r="J1239">
        <f t="shared" si="108"/>
        <v>0</v>
      </c>
      <c r="K1239" t="str">
        <f t="shared" si="109"/>
        <v>Sm151</v>
      </c>
    </row>
    <row r="1240" spans="2:11" hidden="1" x14ac:dyDescent="0.2">
      <c r="B1240" s="4">
        <v>62152</v>
      </c>
      <c r="C1240" s="4">
        <v>0</v>
      </c>
      <c r="D1240">
        <v>0</v>
      </c>
      <c r="E1240" t="str">
        <f>VLOOKUP(B1240,[1]Nuclides!A:E,5,FALSE)</f>
        <v>Sm152</v>
      </c>
      <c r="F1240" t="str">
        <f>VLOOKUP(B1240,[1]Nuclides!A:E,4,FALSE)</f>
        <v>STABLE</v>
      </c>
      <c r="G1240" t="str">
        <f t="shared" si="105"/>
        <v>STABLE</v>
      </c>
      <c r="H1240" t="e">
        <f t="shared" si="106"/>
        <v>#VALUE!</v>
      </c>
      <c r="I1240" t="e">
        <f t="shared" si="107"/>
        <v>#VALUE!</v>
      </c>
      <c r="J1240" t="e">
        <f t="shared" si="108"/>
        <v>#VALUE!</v>
      </c>
      <c r="K1240" t="str">
        <f t="shared" si="109"/>
        <v>Sm152</v>
      </c>
    </row>
    <row r="1241" spans="2:11" hidden="1" x14ac:dyDescent="0.2">
      <c r="B1241" s="4">
        <v>62153</v>
      </c>
      <c r="C1241" s="4">
        <v>0</v>
      </c>
      <c r="D1241">
        <v>0</v>
      </c>
      <c r="E1241" t="str">
        <f>VLOOKUP(B1241,[1]Nuclides!A:E,5,FALSE)</f>
        <v>Sm153</v>
      </c>
      <c r="F1241">
        <f>VLOOKUP(B1241,[1]Nuclides!A:E,4,FALSE)</f>
        <v>166622.39999999999</v>
      </c>
      <c r="G1241" t="str">
        <f t="shared" si="105"/>
        <v>1.93d</v>
      </c>
      <c r="H1241">
        <f t="shared" si="106"/>
        <v>4.1599879761661417E-6</v>
      </c>
      <c r="I1241">
        <f t="shared" si="107"/>
        <v>0</v>
      </c>
      <c r="J1241">
        <f t="shared" si="108"/>
        <v>0</v>
      </c>
      <c r="K1241" t="str">
        <f t="shared" si="109"/>
        <v>Sm153</v>
      </c>
    </row>
    <row r="1242" spans="2:11" hidden="1" x14ac:dyDescent="0.2">
      <c r="B1242" s="4">
        <v>62154</v>
      </c>
      <c r="C1242" s="4">
        <v>0</v>
      </c>
      <c r="D1242">
        <v>0</v>
      </c>
      <c r="E1242" t="str">
        <f>VLOOKUP(B1242,[1]Nuclides!A:E,5,FALSE)</f>
        <v>Sm154</v>
      </c>
      <c r="F1242" t="str">
        <f>VLOOKUP(B1242,[1]Nuclides!A:E,4,FALSE)</f>
        <v>STABLE</v>
      </c>
      <c r="G1242" t="str">
        <f t="shared" si="105"/>
        <v>STABLE</v>
      </c>
      <c r="H1242" t="e">
        <f t="shared" si="106"/>
        <v>#VALUE!</v>
      </c>
      <c r="I1242" t="e">
        <f t="shared" si="107"/>
        <v>#VALUE!</v>
      </c>
      <c r="J1242" t="e">
        <f t="shared" si="108"/>
        <v>#VALUE!</v>
      </c>
      <c r="K1242" t="str">
        <f t="shared" si="109"/>
        <v>Sm154</v>
      </c>
    </row>
    <row r="1243" spans="2:11" hidden="1" x14ac:dyDescent="0.2">
      <c r="B1243" s="4">
        <v>62155</v>
      </c>
      <c r="C1243" s="4">
        <v>0</v>
      </c>
      <c r="D1243">
        <v>0</v>
      </c>
      <c r="E1243" t="str">
        <f>VLOOKUP(B1243,[1]Nuclides!A:E,5,FALSE)</f>
        <v>Sm155</v>
      </c>
      <c r="F1243">
        <f>VLOOKUP(B1243,[1]Nuclides!A:E,4,FALSE)</f>
        <v>1338</v>
      </c>
      <c r="G1243" t="str">
        <f t="shared" si="105"/>
        <v>22.3min</v>
      </c>
      <c r="H1243">
        <f t="shared" si="106"/>
        <v>5.1804722014943589E-4</v>
      </c>
      <c r="I1243">
        <f t="shared" si="107"/>
        <v>0</v>
      </c>
      <c r="J1243">
        <f t="shared" si="108"/>
        <v>0</v>
      </c>
      <c r="K1243" t="str">
        <f t="shared" si="109"/>
        <v>Sm155</v>
      </c>
    </row>
    <row r="1244" spans="2:11" hidden="1" x14ac:dyDescent="0.2">
      <c r="B1244" s="4">
        <v>62156</v>
      </c>
      <c r="C1244" s="4">
        <v>0</v>
      </c>
      <c r="D1244">
        <v>0</v>
      </c>
      <c r="E1244" t="str">
        <f>VLOOKUP(B1244,[1]Nuclides!A:E,5,FALSE)</f>
        <v>Sm156</v>
      </c>
      <c r="F1244">
        <f>VLOOKUP(B1244,[1]Nuclides!A:E,4,FALSE)</f>
        <v>33840</v>
      </c>
      <c r="G1244" t="str">
        <f t="shared" si="105"/>
        <v>9.4h</v>
      </c>
      <c r="H1244">
        <f t="shared" si="106"/>
        <v>2.0483072711582307E-5</v>
      </c>
      <c r="I1244">
        <f t="shared" si="107"/>
        <v>0</v>
      </c>
      <c r="J1244">
        <f t="shared" si="108"/>
        <v>0</v>
      </c>
      <c r="K1244" t="str">
        <f t="shared" si="109"/>
        <v>Sm156</v>
      </c>
    </row>
    <row r="1245" spans="2:11" hidden="1" x14ac:dyDescent="0.2">
      <c r="B1245" s="4">
        <v>62157</v>
      </c>
      <c r="C1245" s="4">
        <v>0</v>
      </c>
      <c r="D1245">
        <v>0</v>
      </c>
      <c r="E1245" t="str">
        <f>VLOOKUP(B1245,[1]Nuclides!A:E,5,FALSE)</f>
        <v>Sm157</v>
      </c>
      <c r="F1245">
        <f>VLOOKUP(B1245,[1]Nuclides!A:E,4,FALSE)</f>
        <v>481.79999999999899</v>
      </c>
      <c r="G1245" t="str">
        <f t="shared" si="105"/>
        <v>8.03min</v>
      </c>
      <c r="H1245">
        <f t="shared" si="106"/>
        <v>1.438661644997814E-3</v>
      </c>
      <c r="I1245">
        <f t="shared" si="107"/>
        <v>0</v>
      </c>
      <c r="J1245">
        <f t="shared" si="108"/>
        <v>0</v>
      </c>
      <c r="K1245" t="str">
        <f t="shared" si="109"/>
        <v>Sm157</v>
      </c>
    </row>
    <row r="1246" spans="2:11" hidden="1" x14ac:dyDescent="0.2">
      <c r="B1246" s="4">
        <v>62158</v>
      </c>
      <c r="C1246" s="4">
        <v>0</v>
      </c>
      <c r="D1246">
        <v>0</v>
      </c>
      <c r="E1246" t="str">
        <f>VLOOKUP(B1246,[1]Nuclides!A:E,5,FALSE)</f>
        <v>Sm158</v>
      </c>
      <c r="F1246">
        <f>VLOOKUP(B1246,[1]Nuclides!A:E,4,FALSE)</f>
        <v>318</v>
      </c>
      <c r="G1246" t="str">
        <f t="shared" si="105"/>
        <v>5.3min</v>
      </c>
      <c r="H1246">
        <f t="shared" si="106"/>
        <v>2.1797081149683814E-3</v>
      </c>
      <c r="I1246">
        <f t="shared" si="107"/>
        <v>0</v>
      </c>
      <c r="J1246">
        <f t="shared" si="108"/>
        <v>0</v>
      </c>
      <c r="K1246" t="str">
        <f t="shared" si="109"/>
        <v>Sm158</v>
      </c>
    </row>
    <row r="1247" spans="2:11" hidden="1" x14ac:dyDescent="0.2">
      <c r="B1247" s="4">
        <v>63138</v>
      </c>
      <c r="C1247" s="4">
        <v>0</v>
      </c>
      <c r="D1247">
        <v>0</v>
      </c>
      <c r="E1247" t="str">
        <f>VLOOKUP(B1247,[1]Nuclides!A:E,5,FALSE)</f>
        <v>Eu138</v>
      </c>
      <c r="F1247">
        <f>VLOOKUP(B1247,[1]Nuclides!A:E,4,FALSE)</f>
        <v>12.1</v>
      </c>
      <c r="G1247" t="str">
        <f t="shared" si="105"/>
        <v>12.1s</v>
      </c>
      <c r="H1247">
        <f t="shared" si="106"/>
        <v>5.728489095536738E-2</v>
      </c>
      <c r="I1247">
        <f t="shared" si="107"/>
        <v>0</v>
      </c>
      <c r="J1247">
        <f t="shared" si="108"/>
        <v>0</v>
      </c>
      <c r="K1247" t="str">
        <f t="shared" si="109"/>
        <v>Eu138</v>
      </c>
    </row>
    <row r="1248" spans="2:11" hidden="1" x14ac:dyDescent="0.2">
      <c r="B1248" s="4">
        <v>63139</v>
      </c>
      <c r="C1248" s="4">
        <v>0</v>
      </c>
      <c r="D1248">
        <v>0</v>
      </c>
      <c r="E1248" t="str">
        <f>VLOOKUP(B1248,[1]Nuclides!A:E,5,FALSE)</f>
        <v>Eu139</v>
      </c>
      <c r="F1248">
        <f>VLOOKUP(B1248,[1]Nuclides!A:E,4,FALSE)</f>
        <v>17.899999999999999</v>
      </c>
      <c r="G1248" t="str">
        <f t="shared" si="105"/>
        <v>17.9s</v>
      </c>
      <c r="H1248">
        <f t="shared" si="106"/>
        <v>3.8723306176533259E-2</v>
      </c>
      <c r="I1248">
        <f t="shared" si="107"/>
        <v>0</v>
      </c>
      <c r="J1248">
        <f t="shared" si="108"/>
        <v>0</v>
      </c>
      <c r="K1248" t="str">
        <f t="shared" si="109"/>
        <v>Eu139</v>
      </c>
    </row>
    <row r="1249" spans="2:11" hidden="1" x14ac:dyDescent="0.2">
      <c r="B1249" s="4">
        <v>63140</v>
      </c>
      <c r="C1249" s="4">
        <v>0</v>
      </c>
      <c r="D1249">
        <v>0</v>
      </c>
      <c r="E1249" t="str">
        <f>VLOOKUP(B1249,[1]Nuclides!A:E,5,FALSE)</f>
        <v>Eu140</v>
      </c>
      <c r="F1249">
        <f>VLOOKUP(B1249,[1]Nuclides!A:E,4,FALSE)</f>
        <v>1.51</v>
      </c>
      <c r="G1249" t="str">
        <f t="shared" si="105"/>
        <v>1.51s</v>
      </c>
      <c r="H1249">
        <f t="shared" si="106"/>
        <v>0.45903786792049356</v>
      </c>
      <c r="I1249">
        <f t="shared" si="107"/>
        <v>0</v>
      </c>
      <c r="J1249">
        <f t="shared" si="108"/>
        <v>0</v>
      </c>
      <c r="K1249" t="str">
        <f t="shared" si="109"/>
        <v>Eu140</v>
      </c>
    </row>
    <row r="1250" spans="2:11" hidden="1" x14ac:dyDescent="0.2">
      <c r="B1250" s="4">
        <v>63141</v>
      </c>
      <c r="C1250" s="4">
        <v>0</v>
      </c>
      <c r="D1250">
        <v>0</v>
      </c>
      <c r="E1250" t="str">
        <f>VLOOKUP(B1250,[1]Nuclides!A:E,5,FALSE)</f>
        <v>Eu141</v>
      </c>
      <c r="F1250">
        <f>VLOOKUP(B1250,[1]Nuclides!A:E,4,FALSE)</f>
        <v>40.700000000000003</v>
      </c>
      <c r="G1250" t="str">
        <f t="shared" si="105"/>
        <v>40.7s</v>
      </c>
      <c r="H1250">
        <f t="shared" si="106"/>
        <v>1.7030643257001113E-2</v>
      </c>
      <c r="I1250">
        <f t="shared" si="107"/>
        <v>0</v>
      </c>
      <c r="J1250">
        <f t="shared" si="108"/>
        <v>0</v>
      </c>
      <c r="K1250" t="str">
        <f t="shared" si="109"/>
        <v>Eu141</v>
      </c>
    </row>
    <row r="1251" spans="2:11" hidden="1" x14ac:dyDescent="0.2">
      <c r="B1251" s="4">
        <v>63142</v>
      </c>
      <c r="C1251" s="4">
        <v>0</v>
      </c>
      <c r="D1251">
        <v>0</v>
      </c>
      <c r="E1251" t="str">
        <f>VLOOKUP(B1251,[1]Nuclides!A:E,5,FALSE)</f>
        <v>Eu142</v>
      </c>
      <c r="F1251">
        <f>VLOOKUP(B1251,[1]Nuclides!A:E,4,FALSE)</f>
        <v>2.34</v>
      </c>
      <c r="G1251" t="str">
        <f t="shared" si="105"/>
        <v>2.34s</v>
      </c>
      <c r="H1251">
        <f t="shared" si="106"/>
        <v>0.29621674382903646</v>
      </c>
      <c r="I1251">
        <f t="shared" si="107"/>
        <v>0</v>
      </c>
      <c r="J1251">
        <f t="shared" si="108"/>
        <v>0</v>
      </c>
      <c r="K1251" t="str">
        <f t="shared" si="109"/>
        <v>Eu142</v>
      </c>
    </row>
    <row r="1252" spans="2:11" hidden="1" x14ac:dyDescent="0.2">
      <c r="B1252" s="4">
        <v>63143</v>
      </c>
      <c r="C1252" s="4">
        <v>0</v>
      </c>
      <c r="D1252">
        <v>0</v>
      </c>
      <c r="E1252" t="str">
        <f>VLOOKUP(B1252,[1]Nuclides!A:E,5,FALSE)</f>
        <v>Eu143</v>
      </c>
      <c r="F1252">
        <f>VLOOKUP(B1252,[1]Nuclides!A:E,4,FALSE)</f>
        <v>155.39999999999901</v>
      </c>
      <c r="G1252" t="str">
        <f t="shared" si="105"/>
        <v>2.59min</v>
      </c>
      <c r="H1252">
        <f t="shared" si="106"/>
        <v>4.4604065673098433E-3</v>
      </c>
      <c r="I1252">
        <f t="shared" si="107"/>
        <v>0</v>
      </c>
      <c r="J1252">
        <f t="shared" si="108"/>
        <v>0</v>
      </c>
      <c r="K1252" t="str">
        <f t="shared" si="109"/>
        <v>Eu143</v>
      </c>
    </row>
    <row r="1253" spans="2:11" hidden="1" x14ac:dyDescent="0.2">
      <c r="B1253" s="4">
        <v>63144</v>
      </c>
      <c r="C1253" s="4">
        <v>0</v>
      </c>
      <c r="D1253">
        <v>0</v>
      </c>
      <c r="E1253" t="str">
        <f>VLOOKUP(B1253,[1]Nuclides!A:E,5,FALSE)</f>
        <v>Eu144</v>
      </c>
      <c r="F1253">
        <f>VLOOKUP(B1253,[1]Nuclides!A:E,4,FALSE)</f>
        <v>10.199999999999999</v>
      </c>
      <c r="G1253" t="str">
        <f t="shared" si="105"/>
        <v>10.2s</v>
      </c>
      <c r="H1253">
        <f t="shared" si="106"/>
        <v>6.7955605937249544E-2</v>
      </c>
      <c r="I1253">
        <f t="shared" si="107"/>
        <v>0</v>
      </c>
      <c r="J1253">
        <f t="shared" si="108"/>
        <v>0</v>
      </c>
      <c r="K1253" t="str">
        <f t="shared" si="109"/>
        <v>Eu144</v>
      </c>
    </row>
    <row r="1254" spans="2:11" hidden="1" x14ac:dyDescent="0.2">
      <c r="B1254" s="4">
        <v>63145</v>
      </c>
      <c r="C1254" s="4">
        <v>0</v>
      </c>
      <c r="D1254">
        <v>0</v>
      </c>
      <c r="E1254" t="str">
        <f>VLOOKUP(B1254,[1]Nuclides!A:E,5,FALSE)</f>
        <v>Eu145</v>
      </c>
      <c r="F1254">
        <f>VLOOKUP(B1254,[1]Nuclides!A:E,4,FALSE)</f>
        <v>512352</v>
      </c>
      <c r="G1254" t="str">
        <f t="shared" si="105"/>
        <v>5.93d</v>
      </c>
      <c r="H1254">
        <f t="shared" si="106"/>
        <v>1.3528729868526819E-6</v>
      </c>
      <c r="I1254">
        <f t="shared" si="107"/>
        <v>0</v>
      </c>
      <c r="J1254">
        <f t="shared" si="108"/>
        <v>0</v>
      </c>
      <c r="K1254" t="str">
        <f t="shared" si="109"/>
        <v>Eu145</v>
      </c>
    </row>
    <row r="1255" spans="2:11" hidden="1" x14ac:dyDescent="0.2">
      <c r="B1255" s="4">
        <v>63146</v>
      </c>
      <c r="C1255" s="4">
        <v>0</v>
      </c>
      <c r="D1255">
        <v>0</v>
      </c>
      <c r="E1255" t="str">
        <f>VLOOKUP(B1255,[1]Nuclides!A:E,5,FALSE)</f>
        <v>Eu146</v>
      </c>
      <c r="F1255">
        <f>VLOOKUP(B1255,[1]Nuclides!A:E,4,FALSE)</f>
        <v>398304</v>
      </c>
      <c r="G1255" t="str">
        <f t="shared" si="105"/>
        <v>4.61d</v>
      </c>
      <c r="H1255">
        <f t="shared" si="106"/>
        <v>1.7402465969710203E-6</v>
      </c>
      <c r="I1255">
        <f t="shared" si="107"/>
        <v>0</v>
      </c>
      <c r="J1255">
        <f t="shared" si="108"/>
        <v>0</v>
      </c>
      <c r="K1255" t="str">
        <f t="shared" si="109"/>
        <v>Eu146</v>
      </c>
    </row>
    <row r="1256" spans="2:11" hidden="1" x14ac:dyDescent="0.2">
      <c r="B1256" s="4">
        <v>63147</v>
      </c>
      <c r="C1256" s="4">
        <v>0</v>
      </c>
      <c r="D1256">
        <v>0</v>
      </c>
      <c r="E1256" t="str">
        <f>VLOOKUP(B1256,[1]Nuclides!A:E,5,FALSE)</f>
        <v>Eu147</v>
      </c>
      <c r="F1256">
        <f>VLOOKUP(B1256,[1]Nuclides!A:E,4,FALSE)</f>
        <v>2082240</v>
      </c>
      <c r="G1256" t="str">
        <f t="shared" si="105"/>
        <v>24.1d</v>
      </c>
      <c r="H1256">
        <f t="shared" si="106"/>
        <v>3.3288534489777611E-7</v>
      </c>
      <c r="I1256">
        <f t="shared" si="107"/>
        <v>0</v>
      </c>
      <c r="J1256">
        <f t="shared" si="108"/>
        <v>0</v>
      </c>
      <c r="K1256" t="str">
        <f t="shared" si="109"/>
        <v>Eu147</v>
      </c>
    </row>
    <row r="1257" spans="2:11" hidden="1" x14ac:dyDescent="0.2">
      <c r="B1257" s="4">
        <v>63148</v>
      </c>
      <c r="C1257" s="4">
        <v>0</v>
      </c>
      <c r="D1257">
        <v>0</v>
      </c>
      <c r="E1257" t="str">
        <f>VLOOKUP(B1257,[1]Nuclides!A:E,5,FALSE)</f>
        <v>Eu148</v>
      </c>
      <c r="F1257">
        <f>VLOOKUP(B1257,[1]Nuclides!A:E,4,FALSE)</f>
        <v>4708800</v>
      </c>
      <c r="G1257" t="str">
        <f t="shared" si="105"/>
        <v>54.5d</v>
      </c>
      <c r="H1257">
        <f t="shared" si="106"/>
        <v>1.4720251031259457E-7</v>
      </c>
      <c r="I1257">
        <f t="shared" si="107"/>
        <v>0</v>
      </c>
      <c r="J1257">
        <f t="shared" si="108"/>
        <v>0</v>
      </c>
      <c r="K1257" t="str">
        <f t="shared" si="109"/>
        <v>Eu148</v>
      </c>
    </row>
    <row r="1258" spans="2:11" hidden="1" x14ac:dyDescent="0.2">
      <c r="B1258" s="4">
        <v>63149</v>
      </c>
      <c r="C1258" s="4">
        <v>0</v>
      </c>
      <c r="D1258">
        <v>0</v>
      </c>
      <c r="E1258" t="str">
        <f>VLOOKUP(B1258,[1]Nuclides!A:E,5,FALSE)</f>
        <v>Eu149</v>
      </c>
      <c r="F1258">
        <f>VLOOKUP(B1258,[1]Nuclides!A:E,4,FALSE)</f>
        <v>8043839.9999999898</v>
      </c>
      <c r="G1258" t="str">
        <f t="shared" si="105"/>
        <v>93.1d</v>
      </c>
      <c r="H1258">
        <f t="shared" si="106"/>
        <v>8.6171179506298749E-8</v>
      </c>
      <c r="I1258">
        <f t="shared" si="107"/>
        <v>0</v>
      </c>
      <c r="J1258">
        <f t="shared" si="108"/>
        <v>0</v>
      </c>
      <c r="K1258" t="str">
        <f t="shared" si="109"/>
        <v>Eu149</v>
      </c>
    </row>
    <row r="1259" spans="2:11" hidden="1" x14ac:dyDescent="0.2">
      <c r="B1259" s="4">
        <v>63150</v>
      </c>
      <c r="C1259" s="4">
        <v>0</v>
      </c>
      <c r="D1259">
        <v>0</v>
      </c>
      <c r="E1259" t="str">
        <f>VLOOKUP(B1259,[1]Nuclides!A:E,5,FALSE)</f>
        <v>Eu150</v>
      </c>
      <c r="F1259">
        <f>VLOOKUP(B1259,[1]Nuclides!A:E,4,FALSE)</f>
        <v>1164475440</v>
      </c>
      <c r="G1259" t="str">
        <f t="shared" si="105"/>
        <v>36.93y</v>
      </c>
      <c r="H1259">
        <f t="shared" si="106"/>
        <v>5.9524413890596548E-10</v>
      </c>
      <c r="I1259">
        <f t="shared" si="107"/>
        <v>0</v>
      </c>
      <c r="J1259">
        <f t="shared" si="108"/>
        <v>0</v>
      </c>
      <c r="K1259" t="str">
        <f t="shared" si="109"/>
        <v>Eu150</v>
      </c>
    </row>
    <row r="1260" spans="2:11" hidden="1" x14ac:dyDescent="0.2">
      <c r="B1260" s="4">
        <v>63151</v>
      </c>
      <c r="C1260" s="4">
        <v>0</v>
      </c>
      <c r="D1260">
        <v>0</v>
      </c>
      <c r="E1260" t="str">
        <f>VLOOKUP(B1260,[1]Nuclides!A:E,5,FALSE)</f>
        <v>Eu151</v>
      </c>
      <c r="F1260">
        <f>VLOOKUP(B1260,[1]Nuclides!A:E,4,FALSE)</f>
        <v>5.3647920000000002E+25</v>
      </c>
      <c r="G1260" t="str">
        <f t="shared" si="105"/>
        <v>1701164383561640000y</v>
      </c>
      <c r="H1260">
        <f t="shared" si="106"/>
        <v>1.2920299250370663E-26</v>
      </c>
      <c r="I1260">
        <f t="shared" si="107"/>
        <v>0</v>
      </c>
      <c r="J1260">
        <f t="shared" si="108"/>
        <v>0</v>
      </c>
      <c r="K1260" t="str">
        <f t="shared" si="109"/>
        <v>Eu151</v>
      </c>
    </row>
    <row r="1261" spans="2:11" hidden="1" x14ac:dyDescent="0.2">
      <c r="B1261" s="4">
        <v>63152</v>
      </c>
      <c r="C1261" s="4">
        <v>0</v>
      </c>
      <c r="D1261">
        <v>0</v>
      </c>
      <c r="E1261" t="str">
        <f>VLOOKUP(B1261,[1]Nuclides!A:E,5,FALSE)</f>
        <v>Eu152</v>
      </c>
      <c r="F1261">
        <f>VLOOKUP(B1261,[1]Nuclides!A:E,4,FALSE)</f>
        <v>426564079.19999999</v>
      </c>
      <c r="G1261" t="str">
        <f t="shared" si="105"/>
        <v>13.53y</v>
      </c>
      <c r="H1261">
        <f t="shared" si="106"/>
        <v>1.6249544074595049E-9</v>
      </c>
      <c r="I1261">
        <f t="shared" si="107"/>
        <v>0</v>
      </c>
      <c r="J1261">
        <f t="shared" si="108"/>
        <v>0</v>
      </c>
      <c r="K1261" t="str">
        <f t="shared" si="109"/>
        <v>Eu152</v>
      </c>
    </row>
    <row r="1262" spans="2:11" hidden="1" x14ac:dyDescent="0.2">
      <c r="B1262" s="4">
        <v>63153</v>
      </c>
      <c r="C1262" s="4">
        <v>0</v>
      </c>
      <c r="D1262">
        <v>0</v>
      </c>
      <c r="E1262" t="str">
        <f>VLOOKUP(B1262,[1]Nuclides!A:E,5,FALSE)</f>
        <v>Eu153</v>
      </c>
      <c r="F1262" t="str">
        <f>VLOOKUP(B1262,[1]Nuclides!A:E,4,FALSE)</f>
        <v>STABLE</v>
      </c>
      <c r="G1262" t="str">
        <f t="shared" si="105"/>
        <v>STABLE</v>
      </c>
      <c r="H1262" t="e">
        <f t="shared" si="106"/>
        <v>#VALUE!</v>
      </c>
      <c r="I1262" t="e">
        <f t="shared" si="107"/>
        <v>#VALUE!</v>
      </c>
      <c r="J1262" t="e">
        <f t="shared" si="108"/>
        <v>#VALUE!</v>
      </c>
      <c r="K1262" t="str">
        <f t="shared" si="109"/>
        <v>Eu153</v>
      </c>
    </row>
    <row r="1263" spans="2:11" hidden="1" x14ac:dyDescent="0.2">
      <c r="B1263" s="4">
        <v>63154</v>
      </c>
      <c r="C1263" s="4">
        <v>0</v>
      </c>
      <c r="D1263">
        <v>0</v>
      </c>
      <c r="E1263" t="str">
        <f>VLOOKUP(B1263,[1]Nuclides!A:E,5,FALSE)</f>
        <v>Eu154</v>
      </c>
      <c r="F1263">
        <f>VLOOKUP(B1263,[1]Nuclides!A:E,4,FALSE)</f>
        <v>271426917.60000002</v>
      </c>
      <c r="G1263" t="str">
        <f t="shared" si="105"/>
        <v>8.61y</v>
      </c>
      <c r="H1263">
        <f t="shared" si="106"/>
        <v>2.5537156988292206E-9</v>
      </c>
      <c r="I1263">
        <f t="shared" si="107"/>
        <v>0</v>
      </c>
      <c r="J1263">
        <f t="shared" si="108"/>
        <v>0</v>
      </c>
      <c r="K1263" t="str">
        <f t="shared" si="109"/>
        <v>Eu154</v>
      </c>
    </row>
    <row r="1264" spans="2:11" hidden="1" x14ac:dyDescent="0.2">
      <c r="B1264" s="4">
        <v>63155</v>
      </c>
      <c r="C1264" s="4">
        <v>0</v>
      </c>
      <c r="D1264">
        <v>0</v>
      </c>
      <c r="E1264" t="str">
        <f>VLOOKUP(B1264,[1]Nuclides!A:E,5,FALSE)</f>
        <v>Eu155</v>
      </c>
      <c r="F1264">
        <f>VLOOKUP(B1264,[1]Nuclides!A:E,4,FALSE)</f>
        <v>149993272.80000001</v>
      </c>
      <c r="G1264" t="str">
        <f t="shared" si="105"/>
        <v>4.76y</v>
      </c>
      <c r="H1264">
        <f t="shared" si="106"/>
        <v>4.6211884547927889E-9</v>
      </c>
      <c r="I1264">
        <f t="shared" si="107"/>
        <v>0</v>
      </c>
      <c r="J1264">
        <f t="shared" si="108"/>
        <v>0</v>
      </c>
      <c r="K1264" t="str">
        <f t="shared" si="109"/>
        <v>Eu155</v>
      </c>
    </row>
    <row r="1265" spans="2:11" hidden="1" x14ac:dyDescent="0.2">
      <c r="B1265" s="4">
        <v>63156</v>
      </c>
      <c r="C1265" s="4">
        <v>0</v>
      </c>
      <c r="D1265">
        <v>0</v>
      </c>
      <c r="E1265" t="str">
        <f>VLOOKUP(B1265,[1]Nuclides!A:E,5,FALSE)</f>
        <v>Eu156</v>
      </c>
      <c r="F1265">
        <f>VLOOKUP(B1265,[1]Nuclides!A:E,4,FALSE)</f>
        <v>1312416</v>
      </c>
      <c r="G1265" t="str">
        <f t="shared" si="105"/>
        <v>15.19d</v>
      </c>
      <c r="H1265">
        <f t="shared" si="106"/>
        <v>5.2814593890957231E-7</v>
      </c>
      <c r="I1265">
        <f t="shared" si="107"/>
        <v>0</v>
      </c>
      <c r="J1265">
        <f t="shared" si="108"/>
        <v>0</v>
      </c>
      <c r="K1265" t="str">
        <f t="shared" si="109"/>
        <v>Eu156</v>
      </c>
    </row>
    <row r="1266" spans="2:11" hidden="1" x14ac:dyDescent="0.2">
      <c r="B1266" s="4">
        <v>63157</v>
      </c>
      <c r="C1266" s="4">
        <v>0</v>
      </c>
      <c r="D1266">
        <v>0</v>
      </c>
      <c r="E1266" t="str">
        <f>VLOOKUP(B1266,[1]Nuclides!A:E,5,FALSE)</f>
        <v>Eu157</v>
      </c>
      <c r="F1266">
        <f>VLOOKUP(B1266,[1]Nuclides!A:E,4,FALSE)</f>
        <v>54648</v>
      </c>
      <c r="G1266" t="str">
        <f t="shared" si="105"/>
        <v>15.18h</v>
      </c>
      <c r="H1266">
        <f t="shared" si="106"/>
        <v>1.2683852667251232E-5</v>
      </c>
      <c r="I1266">
        <f t="shared" si="107"/>
        <v>0</v>
      </c>
      <c r="J1266">
        <f t="shared" si="108"/>
        <v>0</v>
      </c>
      <c r="K1266" t="str">
        <f t="shared" si="109"/>
        <v>Eu157</v>
      </c>
    </row>
    <row r="1267" spans="2:11" hidden="1" x14ac:dyDescent="0.2">
      <c r="B1267" s="4">
        <v>63158</v>
      </c>
      <c r="C1267" s="4">
        <v>0</v>
      </c>
      <c r="D1267">
        <v>0</v>
      </c>
      <c r="E1267" t="str">
        <f>VLOOKUP(B1267,[1]Nuclides!A:E,5,FALSE)</f>
        <v>Eu158</v>
      </c>
      <c r="F1267">
        <f>VLOOKUP(B1267,[1]Nuclides!A:E,4,FALSE)</f>
        <v>2754</v>
      </c>
      <c r="G1267" t="str">
        <f t="shared" si="105"/>
        <v>45.9min</v>
      </c>
      <c r="H1267">
        <f t="shared" si="106"/>
        <v>2.5168742939722053E-4</v>
      </c>
      <c r="I1267">
        <f t="shared" si="107"/>
        <v>0</v>
      </c>
      <c r="J1267">
        <f t="shared" si="108"/>
        <v>0</v>
      </c>
      <c r="K1267" t="str">
        <f t="shared" si="109"/>
        <v>Eu158</v>
      </c>
    </row>
    <row r="1268" spans="2:11" hidden="1" x14ac:dyDescent="0.2">
      <c r="B1268" s="4">
        <v>63159</v>
      </c>
      <c r="C1268" s="4">
        <v>0</v>
      </c>
      <c r="D1268">
        <v>0</v>
      </c>
      <c r="E1268" t="str">
        <f>VLOOKUP(B1268,[1]Nuclides!A:E,5,FALSE)</f>
        <v>Eu159</v>
      </c>
      <c r="F1268">
        <f>VLOOKUP(B1268,[1]Nuclides!A:E,4,FALSE)</f>
        <v>1086</v>
      </c>
      <c r="G1268" t="str">
        <f t="shared" si="105"/>
        <v>18.1min</v>
      </c>
      <c r="H1268">
        <f t="shared" si="106"/>
        <v>6.3825707233880783E-4</v>
      </c>
      <c r="I1268">
        <f t="shared" si="107"/>
        <v>0</v>
      </c>
      <c r="J1268">
        <f t="shared" si="108"/>
        <v>0</v>
      </c>
      <c r="K1268" t="str">
        <f t="shared" si="109"/>
        <v>Eu159</v>
      </c>
    </row>
    <row r="1269" spans="2:11" hidden="1" x14ac:dyDescent="0.2">
      <c r="B1269" s="4">
        <v>63160</v>
      </c>
      <c r="C1269" s="4">
        <v>0</v>
      </c>
      <c r="D1269">
        <v>0</v>
      </c>
      <c r="E1269" t="str">
        <f>VLOOKUP(B1269,[1]Nuclides!A:E,5,FALSE)</f>
        <v>Eu160</v>
      </c>
      <c r="F1269">
        <f>VLOOKUP(B1269,[1]Nuclides!A:E,4,FALSE)</f>
        <v>38</v>
      </c>
      <c r="G1269" t="str">
        <f t="shared" si="105"/>
        <v>38s</v>
      </c>
      <c r="H1269">
        <f t="shared" si="106"/>
        <v>1.8240715277893296E-2</v>
      </c>
      <c r="I1269">
        <f t="shared" si="107"/>
        <v>0</v>
      </c>
      <c r="J1269">
        <f t="shared" si="108"/>
        <v>0</v>
      </c>
      <c r="K1269" t="str">
        <f t="shared" si="109"/>
        <v>Eu160</v>
      </c>
    </row>
    <row r="1270" spans="2:11" hidden="1" x14ac:dyDescent="0.2">
      <c r="B1270" s="4">
        <v>64142</v>
      </c>
      <c r="C1270" s="4">
        <v>0</v>
      </c>
      <c r="D1270">
        <v>0</v>
      </c>
      <c r="E1270" t="str">
        <f>VLOOKUP(B1270,[1]Nuclides!A:E,5,FALSE)</f>
        <v>Gd142</v>
      </c>
      <c r="F1270">
        <f>VLOOKUP(B1270,[1]Nuclides!A:E,4,FALSE)</f>
        <v>70.2</v>
      </c>
      <c r="G1270" t="str">
        <f t="shared" si="105"/>
        <v>1.17min</v>
      </c>
      <c r="H1270">
        <f t="shared" si="106"/>
        <v>9.8738914609678811E-3</v>
      </c>
      <c r="I1270">
        <f t="shared" si="107"/>
        <v>0</v>
      </c>
      <c r="J1270">
        <f t="shared" si="108"/>
        <v>0</v>
      </c>
      <c r="K1270" t="str">
        <f t="shared" si="109"/>
        <v>Gd142</v>
      </c>
    </row>
    <row r="1271" spans="2:11" hidden="1" x14ac:dyDescent="0.2">
      <c r="B1271" s="4">
        <v>64143</v>
      </c>
      <c r="C1271" s="4">
        <v>0</v>
      </c>
      <c r="D1271">
        <v>0</v>
      </c>
      <c r="E1271" t="str">
        <f>VLOOKUP(B1271,[1]Nuclides!A:E,5,FALSE)</f>
        <v>Gd143</v>
      </c>
      <c r="F1271">
        <f>VLOOKUP(B1271,[1]Nuclides!A:E,4,FALSE)</f>
        <v>39</v>
      </c>
      <c r="G1271" t="str">
        <f t="shared" si="105"/>
        <v>39s</v>
      </c>
      <c r="H1271">
        <f t="shared" si="106"/>
        <v>1.7773004629742187E-2</v>
      </c>
      <c r="I1271">
        <f t="shared" si="107"/>
        <v>0</v>
      </c>
      <c r="J1271">
        <f t="shared" si="108"/>
        <v>0</v>
      </c>
      <c r="K1271" t="str">
        <f t="shared" si="109"/>
        <v>Gd143</v>
      </c>
    </row>
    <row r="1272" spans="2:11" hidden="1" x14ac:dyDescent="0.2">
      <c r="B1272" s="4">
        <v>64144</v>
      </c>
      <c r="C1272" s="4">
        <v>0</v>
      </c>
      <c r="D1272">
        <v>0</v>
      </c>
      <c r="E1272" t="str">
        <f>VLOOKUP(B1272,[1]Nuclides!A:E,5,FALSE)</f>
        <v>Gd144</v>
      </c>
      <c r="F1272">
        <f>VLOOKUP(B1272,[1]Nuclides!A:E,4,FALSE)</f>
        <v>268.2</v>
      </c>
      <c r="G1272" t="str">
        <f t="shared" si="105"/>
        <v>4.47min</v>
      </c>
      <c r="H1272">
        <f t="shared" si="106"/>
        <v>2.5844413891123988E-3</v>
      </c>
      <c r="I1272">
        <f t="shared" si="107"/>
        <v>0</v>
      </c>
      <c r="J1272">
        <f t="shared" si="108"/>
        <v>0</v>
      </c>
      <c r="K1272" t="str">
        <f t="shared" si="109"/>
        <v>Gd144</v>
      </c>
    </row>
    <row r="1273" spans="2:11" hidden="1" x14ac:dyDescent="0.2">
      <c r="B1273" s="4">
        <v>64145</v>
      </c>
      <c r="C1273" s="4">
        <v>0</v>
      </c>
      <c r="D1273">
        <v>0</v>
      </c>
      <c r="E1273" t="str">
        <f>VLOOKUP(B1273,[1]Nuclides!A:E,5,FALSE)</f>
        <v>Gd145</v>
      </c>
      <c r="F1273">
        <f>VLOOKUP(B1273,[1]Nuclides!A:E,4,FALSE)</f>
        <v>1380</v>
      </c>
      <c r="G1273" t="str">
        <f t="shared" si="105"/>
        <v>23min</v>
      </c>
      <c r="H1273">
        <f t="shared" si="106"/>
        <v>5.0228056562314871E-4</v>
      </c>
      <c r="I1273">
        <f t="shared" si="107"/>
        <v>0</v>
      </c>
      <c r="J1273">
        <f t="shared" si="108"/>
        <v>0</v>
      </c>
      <c r="K1273" t="str">
        <f t="shared" si="109"/>
        <v>Gd145</v>
      </c>
    </row>
    <row r="1274" spans="2:11" hidden="1" x14ac:dyDescent="0.2">
      <c r="B1274" s="4">
        <v>64146</v>
      </c>
      <c r="C1274" s="4">
        <v>0</v>
      </c>
      <c r="D1274">
        <v>0</v>
      </c>
      <c r="E1274" t="str">
        <f>VLOOKUP(B1274,[1]Nuclides!A:E,5,FALSE)</f>
        <v>Gd146</v>
      </c>
      <c r="F1274">
        <f>VLOOKUP(B1274,[1]Nuclides!A:E,4,FALSE)</f>
        <v>4170528</v>
      </c>
      <c r="G1274" t="str">
        <f t="shared" si="105"/>
        <v>48.27d</v>
      </c>
      <c r="H1274">
        <f t="shared" si="106"/>
        <v>1.6620130126447905E-7</v>
      </c>
      <c r="I1274">
        <f t="shared" si="107"/>
        <v>0</v>
      </c>
      <c r="J1274">
        <f t="shared" si="108"/>
        <v>0</v>
      </c>
      <c r="K1274" t="str">
        <f t="shared" si="109"/>
        <v>Gd146</v>
      </c>
    </row>
    <row r="1275" spans="2:11" hidden="1" x14ac:dyDescent="0.2">
      <c r="B1275" s="4">
        <v>64147</v>
      </c>
      <c r="C1275" s="4">
        <v>0</v>
      </c>
      <c r="D1275">
        <v>0</v>
      </c>
      <c r="E1275" t="str">
        <f>VLOOKUP(B1275,[1]Nuclides!A:E,5,FALSE)</f>
        <v>Gd147</v>
      </c>
      <c r="F1275">
        <f>VLOOKUP(B1275,[1]Nuclides!A:E,4,FALSE)</f>
        <v>137016</v>
      </c>
      <c r="G1275" t="str">
        <f t="shared" si="105"/>
        <v>1.59d</v>
      </c>
      <c r="H1275">
        <f t="shared" si="106"/>
        <v>5.0588776534123408E-6</v>
      </c>
      <c r="I1275">
        <f t="shared" si="107"/>
        <v>0</v>
      </c>
      <c r="J1275">
        <f t="shared" si="108"/>
        <v>0</v>
      </c>
      <c r="K1275" t="str">
        <f t="shared" si="109"/>
        <v>Gd147</v>
      </c>
    </row>
    <row r="1276" spans="2:11" hidden="1" x14ac:dyDescent="0.2">
      <c r="B1276" s="4">
        <v>64148</v>
      </c>
      <c r="C1276" s="4">
        <v>0</v>
      </c>
      <c r="D1276">
        <v>0</v>
      </c>
      <c r="E1276" t="str">
        <f>VLOOKUP(B1276,[1]Nuclides!A:E,5,FALSE)</f>
        <v>Gd148</v>
      </c>
      <c r="F1276">
        <f>VLOOKUP(B1276,[1]Nuclides!A:E,4,FALSE)</f>
        <v>2243745360</v>
      </c>
      <c r="G1276" t="str">
        <f t="shared" si="105"/>
        <v>71.15y</v>
      </c>
      <c r="H1276">
        <f t="shared" si="106"/>
        <v>3.0892417335626059E-10</v>
      </c>
      <c r="I1276">
        <f t="shared" si="107"/>
        <v>0</v>
      </c>
      <c r="J1276">
        <f t="shared" si="108"/>
        <v>0</v>
      </c>
      <c r="K1276" t="str">
        <f t="shared" si="109"/>
        <v>Gd148</v>
      </c>
    </row>
    <row r="1277" spans="2:11" hidden="1" x14ac:dyDescent="0.2">
      <c r="B1277" s="4">
        <v>64149</v>
      </c>
      <c r="C1277" s="4">
        <v>0</v>
      </c>
      <c r="D1277">
        <v>0</v>
      </c>
      <c r="E1277" t="str">
        <f>VLOOKUP(B1277,[1]Nuclides!A:E,5,FALSE)</f>
        <v>Gd149</v>
      </c>
      <c r="F1277">
        <f>VLOOKUP(B1277,[1]Nuclides!A:E,4,FALSE)</f>
        <v>801792</v>
      </c>
      <c r="G1277" t="str">
        <f t="shared" si="105"/>
        <v>9.28d</v>
      </c>
      <c r="H1277">
        <f t="shared" si="106"/>
        <v>8.6449750129702627E-7</v>
      </c>
      <c r="I1277">
        <f t="shared" si="107"/>
        <v>0</v>
      </c>
      <c r="J1277">
        <f t="shared" si="108"/>
        <v>0</v>
      </c>
      <c r="K1277" t="str">
        <f t="shared" si="109"/>
        <v>Gd149</v>
      </c>
    </row>
    <row r="1278" spans="2:11" hidden="1" x14ac:dyDescent="0.2">
      <c r="B1278" s="4">
        <v>64150</v>
      </c>
      <c r="C1278" s="4">
        <v>0</v>
      </c>
      <c r="D1278">
        <v>0</v>
      </c>
      <c r="E1278" t="str">
        <f>VLOOKUP(B1278,[1]Nuclides!A:E,5,FALSE)</f>
        <v>Gd150</v>
      </c>
      <c r="F1278">
        <f>VLOOKUP(B1278,[1]Nuclides!A:E,4,FALSE)</f>
        <v>56488104000000</v>
      </c>
      <c r="G1278" t="str">
        <f t="shared" si="105"/>
        <v>1791226.03y</v>
      </c>
      <c r="H1278">
        <f t="shared" si="106"/>
        <v>1.2270675265715155E-14</v>
      </c>
      <c r="I1278">
        <f t="shared" si="107"/>
        <v>0</v>
      </c>
      <c r="J1278">
        <f t="shared" si="108"/>
        <v>0</v>
      </c>
      <c r="K1278" t="str">
        <f t="shared" si="109"/>
        <v>Gd150</v>
      </c>
    </row>
    <row r="1279" spans="2:11" hidden="1" x14ac:dyDescent="0.2">
      <c r="B1279" s="4">
        <v>64151</v>
      </c>
      <c r="C1279" s="4">
        <v>0</v>
      </c>
      <c r="D1279">
        <v>0</v>
      </c>
      <c r="E1279" t="str">
        <f>VLOOKUP(B1279,[1]Nuclides!A:E,5,FALSE)</f>
        <v>Gd151</v>
      </c>
      <c r="F1279">
        <f>VLOOKUP(B1279,[1]Nuclides!A:E,4,FALSE)</f>
        <v>10704960</v>
      </c>
      <c r="G1279" t="str">
        <f t="shared" si="105"/>
        <v>123.9d</v>
      </c>
      <c r="H1279">
        <f t="shared" si="106"/>
        <v>6.4750095335241355E-8</v>
      </c>
      <c r="I1279">
        <f t="shared" si="107"/>
        <v>0</v>
      </c>
      <c r="J1279">
        <f t="shared" si="108"/>
        <v>0</v>
      </c>
      <c r="K1279" t="str">
        <f t="shared" si="109"/>
        <v>Gd151</v>
      </c>
    </row>
    <row r="1280" spans="2:11" hidden="1" x14ac:dyDescent="0.2">
      <c r="B1280" s="4">
        <v>64152</v>
      </c>
      <c r="C1280" s="4">
        <v>0</v>
      </c>
      <c r="D1280">
        <v>0</v>
      </c>
      <c r="E1280" t="str">
        <f>VLOOKUP(B1280,[1]Nuclides!A:E,5,FALSE)</f>
        <v>Gd152</v>
      </c>
      <c r="F1280">
        <f>VLOOKUP(B1280,[1]Nuclides!A:E,4,FALSE)</f>
        <v>3.4082208E+21</v>
      </c>
      <c r="G1280" t="str">
        <f t="shared" si="105"/>
        <v>108073972602740y</v>
      </c>
      <c r="H1280">
        <f t="shared" si="106"/>
        <v>2.0337508079287153E-22</v>
      </c>
      <c r="I1280">
        <f t="shared" si="107"/>
        <v>0</v>
      </c>
      <c r="J1280">
        <f t="shared" si="108"/>
        <v>0</v>
      </c>
      <c r="K1280" t="str">
        <f t="shared" si="109"/>
        <v>Gd152</v>
      </c>
    </row>
    <row r="1281" spans="2:11" hidden="1" x14ac:dyDescent="0.2">
      <c r="B1281" s="4">
        <v>64153</v>
      </c>
      <c r="C1281" s="4">
        <v>0</v>
      </c>
      <c r="D1281">
        <v>0</v>
      </c>
      <c r="E1281" t="str">
        <f>VLOOKUP(B1281,[1]Nuclides!A:E,5,FALSE)</f>
        <v>Gd153</v>
      </c>
      <c r="F1281">
        <f>VLOOKUP(B1281,[1]Nuclides!A:E,4,FALSE)</f>
        <v>20770560</v>
      </c>
      <c r="G1281" t="str">
        <f t="shared" si="105"/>
        <v>240.4d</v>
      </c>
      <c r="H1281">
        <f t="shared" si="106"/>
        <v>3.3371617354560749E-8</v>
      </c>
      <c r="I1281">
        <f t="shared" si="107"/>
        <v>0</v>
      </c>
      <c r="J1281">
        <f t="shared" si="108"/>
        <v>0</v>
      </c>
      <c r="K1281" t="str">
        <f t="shared" si="109"/>
        <v>Gd153</v>
      </c>
    </row>
    <row r="1282" spans="2:11" hidden="1" x14ac:dyDescent="0.2">
      <c r="B1282" s="4">
        <v>64154</v>
      </c>
      <c r="C1282" s="4">
        <v>0</v>
      </c>
      <c r="D1282">
        <v>0</v>
      </c>
      <c r="E1282" t="str">
        <f>VLOOKUP(B1282,[1]Nuclides!A:E,5,FALSE)</f>
        <v>Gd154</v>
      </c>
      <c r="F1282" t="str">
        <f>VLOOKUP(B1282,[1]Nuclides!A:E,4,FALSE)</f>
        <v>STABLE</v>
      </c>
      <c r="G1282" t="str">
        <f t="shared" si="105"/>
        <v>STABLE</v>
      </c>
      <c r="H1282" t="e">
        <f t="shared" si="106"/>
        <v>#VALUE!</v>
      </c>
      <c r="I1282" t="e">
        <f t="shared" si="107"/>
        <v>#VALUE!</v>
      </c>
      <c r="J1282" t="e">
        <f t="shared" si="108"/>
        <v>#VALUE!</v>
      </c>
      <c r="K1282" t="str">
        <f t="shared" si="109"/>
        <v>Gd154</v>
      </c>
    </row>
    <row r="1283" spans="2:11" hidden="1" x14ac:dyDescent="0.2">
      <c r="B1283" s="4">
        <v>64155</v>
      </c>
      <c r="C1283" s="4">
        <v>0</v>
      </c>
      <c r="D1283">
        <v>0</v>
      </c>
      <c r="E1283" t="str">
        <f>VLOOKUP(B1283,[1]Nuclides!A:E,5,FALSE)</f>
        <v>Gd155</v>
      </c>
      <c r="F1283" t="str">
        <f>VLOOKUP(B1283,[1]Nuclides!A:E,4,FALSE)</f>
        <v>STABLE</v>
      </c>
      <c r="G1283" t="str">
        <f t="shared" si="105"/>
        <v>STABLE</v>
      </c>
      <c r="H1283" t="e">
        <f t="shared" si="106"/>
        <v>#VALUE!</v>
      </c>
      <c r="I1283" t="e">
        <f t="shared" si="107"/>
        <v>#VALUE!</v>
      </c>
      <c r="J1283" t="e">
        <f t="shared" si="108"/>
        <v>#VALUE!</v>
      </c>
      <c r="K1283" t="str">
        <f t="shared" si="109"/>
        <v>Gd155</v>
      </c>
    </row>
    <row r="1284" spans="2:11" hidden="1" x14ac:dyDescent="0.2">
      <c r="B1284" s="4">
        <v>64156</v>
      </c>
      <c r="C1284" s="4">
        <v>0</v>
      </c>
      <c r="D1284">
        <v>0</v>
      </c>
      <c r="E1284" t="str">
        <f>VLOOKUP(B1284,[1]Nuclides!A:E,5,FALSE)</f>
        <v>Gd156</v>
      </c>
      <c r="F1284" t="str">
        <f>VLOOKUP(B1284,[1]Nuclides!A:E,4,FALSE)</f>
        <v>STABLE</v>
      </c>
      <c r="G1284" t="str">
        <f t="shared" si="105"/>
        <v>STABLE</v>
      </c>
      <c r="H1284" t="e">
        <f t="shared" si="106"/>
        <v>#VALUE!</v>
      </c>
      <c r="I1284" t="e">
        <f t="shared" si="107"/>
        <v>#VALUE!</v>
      </c>
      <c r="J1284" t="e">
        <f t="shared" si="108"/>
        <v>#VALUE!</v>
      </c>
      <c r="K1284" t="str">
        <f t="shared" si="109"/>
        <v>Gd156</v>
      </c>
    </row>
    <row r="1285" spans="2:11" hidden="1" x14ac:dyDescent="0.2">
      <c r="B1285" s="4">
        <v>64157</v>
      </c>
      <c r="C1285" s="4">
        <v>0</v>
      </c>
      <c r="D1285">
        <v>0</v>
      </c>
      <c r="E1285" t="str">
        <f>VLOOKUP(B1285,[1]Nuclides!A:E,5,FALSE)</f>
        <v>Gd157</v>
      </c>
      <c r="F1285" t="str">
        <f>VLOOKUP(B1285,[1]Nuclides!A:E,4,FALSE)</f>
        <v>STABLE</v>
      </c>
      <c r="G1285" t="str">
        <f t="shared" ref="G1285:G1348" si="110">IF(F1285="STABLE", "STABLE", IF(F1285&lt;60, F1285&amp;"s", IF(F1285&lt;3600, ROUND(F1285/60,2)&amp;"min", IF(F1285&lt;86400, ROUND(F1285/3600,2)&amp;"h", IF(F1285&lt;31536000, ROUND(F1285/86400,2)&amp;"d", ROUND(F1285/31536000,2)&amp;"y")))))</f>
        <v>STABLE</v>
      </c>
      <c r="H1285" t="e">
        <f t="shared" ref="H1285:H1348" si="111">LN(2)/F1285</f>
        <v>#VALUE!</v>
      </c>
      <c r="I1285" t="e">
        <f t="shared" ref="I1285:I1348" si="112">60*6240000000000*C1285*(1-EXP(-H1285*2*3600))</f>
        <v>#VALUE!</v>
      </c>
      <c r="J1285" t="e">
        <f t="shared" ref="J1285:J1348" si="113">I1285*EXP(-H1285*96*3600)</f>
        <v>#VALUE!</v>
      </c>
      <c r="K1285" t="str">
        <f t="shared" ref="K1285:K1348" si="114">E1285</f>
        <v>Gd157</v>
      </c>
    </row>
    <row r="1286" spans="2:11" hidden="1" x14ac:dyDescent="0.2">
      <c r="B1286" s="4">
        <v>64158</v>
      </c>
      <c r="C1286" s="4">
        <v>0</v>
      </c>
      <c r="D1286">
        <v>0</v>
      </c>
      <c r="E1286" t="str">
        <f>VLOOKUP(B1286,[1]Nuclides!A:E,5,FALSE)</f>
        <v>Gd158</v>
      </c>
      <c r="F1286" t="str">
        <f>VLOOKUP(B1286,[1]Nuclides!A:E,4,FALSE)</f>
        <v>STABLE</v>
      </c>
      <c r="G1286" t="str">
        <f t="shared" si="110"/>
        <v>STABLE</v>
      </c>
      <c r="H1286" t="e">
        <f t="shared" si="111"/>
        <v>#VALUE!</v>
      </c>
      <c r="I1286" t="e">
        <f t="shared" si="112"/>
        <v>#VALUE!</v>
      </c>
      <c r="J1286" t="e">
        <f t="shared" si="113"/>
        <v>#VALUE!</v>
      </c>
      <c r="K1286" t="str">
        <f t="shared" si="114"/>
        <v>Gd158</v>
      </c>
    </row>
    <row r="1287" spans="2:11" hidden="1" x14ac:dyDescent="0.2">
      <c r="B1287" s="4">
        <v>64159</v>
      </c>
      <c r="C1287" s="4">
        <v>0</v>
      </c>
      <c r="D1287">
        <v>0</v>
      </c>
      <c r="E1287" t="str">
        <f>VLOOKUP(B1287,[1]Nuclides!A:E,5,FALSE)</f>
        <v>Gd159</v>
      </c>
      <c r="F1287">
        <f>VLOOKUP(B1287,[1]Nuclides!A:E,4,FALSE)</f>
        <v>66524.399999999994</v>
      </c>
      <c r="G1287" t="str">
        <f t="shared" si="110"/>
        <v>18.48h</v>
      </c>
      <c r="H1287">
        <f t="shared" si="111"/>
        <v>1.0419442799332956E-5</v>
      </c>
      <c r="I1287">
        <f t="shared" si="112"/>
        <v>0</v>
      </c>
      <c r="J1287">
        <f t="shared" si="113"/>
        <v>0</v>
      </c>
      <c r="K1287" t="str">
        <f t="shared" si="114"/>
        <v>Gd159</v>
      </c>
    </row>
    <row r="1288" spans="2:11" hidden="1" x14ac:dyDescent="0.2">
      <c r="B1288" s="4">
        <v>64160</v>
      </c>
      <c r="C1288" s="4">
        <v>0</v>
      </c>
      <c r="D1288">
        <v>0</v>
      </c>
      <c r="E1288" t="str">
        <f>VLOOKUP(B1288,[1]Nuclides!A:E,5,FALSE)</f>
        <v>Gd160</v>
      </c>
      <c r="F1288">
        <f>VLOOKUP(B1288,[1]Nuclides!A:E,4,FALSE)</f>
        <v>9.7828559999999996E+26</v>
      </c>
      <c r="G1288" t="str">
        <f t="shared" si="110"/>
        <v>31021232876712300000y</v>
      </c>
      <c r="H1288">
        <f t="shared" si="111"/>
        <v>7.0853253953645573E-28</v>
      </c>
      <c r="I1288">
        <f t="shared" si="112"/>
        <v>0</v>
      </c>
      <c r="J1288">
        <f t="shared" si="113"/>
        <v>0</v>
      </c>
      <c r="K1288" t="str">
        <f t="shared" si="114"/>
        <v>Gd160</v>
      </c>
    </row>
    <row r="1289" spans="2:11" hidden="1" x14ac:dyDescent="0.2">
      <c r="B1289" s="4">
        <v>64161</v>
      </c>
      <c r="C1289" s="4">
        <v>0</v>
      </c>
      <c r="D1289">
        <v>0</v>
      </c>
      <c r="E1289" t="str">
        <f>VLOOKUP(B1289,[1]Nuclides!A:E,5,FALSE)</f>
        <v>Gd161</v>
      </c>
      <c r="F1289">
        <f>VLOOKUP(B1289,[1]Nuclides!A:E,4,FALSE)</f>
        <v>219.6</v>
      </c>
      <c r="G1289" t="str">
        <f t="shared" si="110"/>
        <v>3.66min</v>
      </c>
      <c r="H1289">
        <f t="shared" si="111"/>
        <v>3.1564079260471096E-3</v>
      </c>
      <c r="I1289">
        <f t="shared" si="112"/>
        <v>0</v>
      </c>
      <c r="J1289">
        <f t="shared" si="113"/>
        <v>0</v>
      </c>
      <c r="K1289" t="str">
        <f t="shared" si="114"/>
        <v>Gd161</v>
      </c>
    </row>
    <row r="1290" spans="2:11" hidden="1" x14ac:dyDescent="0.2">
      <c r="B1290" s="4">
        <v>64162</v>
      </c>
      <c r="C1290" s="4">
        <v>0</v>
      </c>
      <c r="D1290">
        <v>0</v>
      </c>
      <c r="E1290" t="str">
        <f>VLOOKUP(B1290,[1]Nuclides!A:E,5,FALSE)</f>
        <v>Gd162</v>
      </c>
      <c r="F1290">
        <f>VLOOKUP(B1290,[1]Nuclides!A:E,4,FALSE)</f>
        <v>504</v>
      </c>
      <c r="G1290" t="str">
        <f t="shared" si="110"/>
        <v>8.4min</v>
      </c>
      <c r="H1290">
        <f t="shared" si="111"/>
        <v>1.3752920249205263E-3</v>
      </c>
      <c r="I1290">
        <f t="shared" si="112"/>
        <v>0</v>
      </c>
      <c r="J1290">
        <f t="shared" si="113"/>
        <v>0</v>
      </c>
      <c r="K1290" t="str">
        <f t="shared" si="114"/>
        <v>Gd162</v>
      </c>
    </row>
    <row r="1291" spans="2:11" hidden="1" x14ac:dyDescent="0.2">
      <c r="B1291" s="4">
        <v>64163</v>
      </c>
      <c r="C1291" s="4">
        <v>0</v>
      </c>
      <c r="D1291">
        <v>0</v>
      </c>
      <c r="E1291" t="str">
        <f>VLOOKUP(B1291,[1]Nuclides!A:E,5,FALSE)</f>
        <v>Gd163</v>
      </c>
      <c r="F1291">
        <f>VLOOKUP(B1291,[1]Nuclides!A:E,4,FALSE)</f>
        <v>68</v>
      </c>
      <c r="G1291" t="str">
        <f t="shared" si="110"/>
        <v>1.13min</v>
      </c>
      <c r="H1291">
        <f t="shared" si="111"/>
        <v>1.0193340890587431E-2</v>
      </c>
      <c r="I1291">
        <f t="shared" si="112"/>
        <v>0</v>
      </c>
      <c r="J1291">
        <f t="shared" si="113"/>
        <v>0</v>
      </c>
      <c r="K1291" t="str">
        <f t="shared" si="114"/>
        <v>Gd163</v>
      </c>
    </row>
    <row r="1292" spans="2:11" hidden="1" x14ac:dyDescent="0.2">
      <c r="B1292" s="4">
        <v>65144</v>
      </c>
      <c r="C1292" s="4">
        <v>0</v>
      </c>
      <c r="D1292">
        <v>0</v>
      </c>
      <c r="E1292" t="str">
        <f>VLOOKUP(B1292,[1]Nuclides!A:E,5,FALSE)</f>
        <v>Tb144</v>
      </c>
      <c r="F1292">
        <f>VLOOKUP(B1292,[1]Nuclides!A:E,4,FALSE)</f>
        <v>1</v>
      </c>
      <c r="G1292" t="str">
        <f t="shared" si="110"/>
        <v>1s</v>
      </c>
      <c r="H1292">
        <f t="shared" si="111"/>
        <v>0.69314718055994529</v>
      </c>
      <c r="I1292">
        <f t="shared" si="112"/>
        <v>0</v>
      </c>
      <c r="J1292">
        <f t="shared" si="113"/>
        <v>0</v>
      </c>
      <c r="K1292" t="str">
        <f t="shared" si="114"/>
        <v>Tb144</v>
      </c>
    </row>
    <row r="1293" spans="2:11" hidden="1" x14ac:dyDescent="0.2">
      <c r="B1293" s="4">
        <v>65145</v>
      </c>
      <c r="C1293" s="4">
        <v>0</v>
      </c>
      <c r="D1293">
        <v>0</v>
      </c>
      <c r="E1293" t="str">
        <f>VLOOKUP(B1293,[1]Nuclides!A:E,5,FALSE)</f>
        <v>Tb145</v>
      </c>
      <c r="F1293">
        <f>VLOOKUP(B1293,[1]Nuclides!A:E,4,FALSE)</f>
        <v>30.9</v>
      </c>
      <c r="G1293" t="str">
        <f t="shared" si="110"/>
        <v>30.9s</v>
      </c>
      <c r="H1293">
        <f t="shared" si="111"/>
        <v>2.2431947590936741E-2</v>
      </c>
      <c r="I1293">
        <f t="shared" si="112"/>
        <v>0</v>
      </c>
      <c r="J1293">
        <f t="shared" si="113"/>
        <v>0</v>
      </c>
      <c r="K1293" t="str">
        <f t="shared" si="114"/>
        <v>Tb145</v>
      </c>
    </row>
    <row r="1294" spans="2:11" hidden="1" x14ac:dyDescent="0.2">
      <c r="B1294" s="4">
        <v>65146</v>
      </c>
      <c r="C1294" s="4">
        <v>0</v>
      </c>
      <c r="D1294">
        <v>0</v>
      </c>
      <c r="E1294" t="str">
        <f>VLOOKUP(B1294,[1]Nuclides!A:E,5,FALSE)</f>
        <v>Tb146</v>
      </c>
      <c r="F1294">
        <f>VLOOKUP(B1294,[1]Nuclides!A:E,4,FALSE)</f>
        <v>8</v>
      </c>
      <c r="G1294" t="str">
        <f t="shared" si="110"/>
        <v>8s</v>
      </c>
      <c r="H1294">
        <f t="shared" si="111"/>
        <v>8.6643397569993161E-2</v>
      </c>
      <c r="I1294">
        <f t="shared" si="112"/>
        <v>0</v>
      </c>
      <c r="J1294">
        <f t="shared" si="113"/>
        <v>0</v>
      </c>
      <c r="K1294" t="str">
        <f t="shared" si="114"/>
        <v>Tb146</v>
      </c>
    </row>
    <row r="1295" spans="2:11" hidden="1" x14ac:dyDescent="0.2">
      <c r="B1295" s="4">
        <v>65147</v>
      </c>
      <c r="C1295" s="4">
        <v>0</v>
      </c>
      <c r="D1295">
        <v>0</v>
      </c>
      <c r="E1295" t="str">
        <f>VLOOKUP(B1295,[1]Nuclides!A:E,5,FALSE)</f>
        <v>Tb147</v>
      </c>
      <c r="F1295">
        <f>VLOOKUP(B1295,[1]Nuclides!A:E,4,FALSE)</f>
        <v>5904</v>
      </c>
      <c r="G1295" t="str">
        <f t="shared" si="110"/>
        <v>1.64h</v>
      </c>
      <c r="H1295">
        <f t="shared" si="111"/>
        <v>1.174029777371181E-4</v>
      </c>
      <c r="I1295">
        <f t="shared" si="112"/>
        <v>0</v>
      </c>
      <c r="J1295">
        <f t="shared" si="113"/>
        <v>0</v>
      </c>
      <c r="K1295" t="str">
        <f t="shared" si="114"/>
        <v>Tb147</v>
      </c>
    </row>
    <row r="1296" spans="2:11" hidden="1" x14ac:dyDescent="0.2">
      <c r="B1296" s="4">
        <v>65148</v>
      </c>
      <c r="C1296" s="4">
        <v>0</v>
      </c>
      <c r="D1296">
        <v>0</v>
      </c>
      <c r="E1296" t="str">
        <f>VLOOKUP(B1296,[1]Nuclides!A:E,5,FALSE)</f>
        <v>Tb148</v>
      </c>
      <c r="F1296">
        <f>VLOOKUP(B1296,[1]Nuclides!A:E,4,FALSE)</f>
        <v>3600</v>
      </c>
      <c r="G1296" t="str">
        <f t="shared" si="110"/>
        <v>1h</v>
      </c>
      <c r="H1296">
        <f t="shared" si="111"/>
        <v>1.9254088348887369E-4</v>
      </c>
      <c r="I1296">
        <f t="shared" si="112"/>
        <v>0</v>
      </c>
      <c r="J1296">
        <f t="shared" si="113"/>
        <v>0</v>
      </c>
      <c r="K1296" t="str">
        <f t="shared" si="114"/>
        <v>Tb148</v>
      </c>
    </row>
    <row r="1297" spans="2:11" hidden="1" x14ac:dyDescent="0.2">
      <c r="B1297" s="4">
        <v>65149</v>
      </c>
      <c r="C1297" s="4">
        <v>0</v>
      </c>
      <c r="D1297">
        <v>0</v>
      </c>
      <c r="E1297" t="str">
        <f>VLOOKUP(B1297,[1]Nuclides!A:E,5,FALSE)</f>
        <v>Tb149</v>
      </c>
      <c r="F1297">
        <f>VLOOKUP(B1297,[1]Nuclides!A:E,4,FALSE)</f>
        <v>14824.8</v>
      </c>
      <c r="G1297" t="str">
        <f t="shared" si="110"/>
        <v>4.12h</v>
      </c>
      <c r="H1297">
        <f t="shared" si="111"/>
        <v>4.6755921196909595E-5</v>
      </c>
      <c r="I1297">
        <f t="shared" si="112"/>
        <v>0</v>
      </c>
      <c r="J1297">
        <f t="shared" si="113"/>
        <v>0</v>
      </c>
      <c r="K1297" t="str">
        <f t="shared" si="114"/>
        <v>Tb149</v>
      </c>
    </row>
    <row r="1298" spans="2:11" hidden="1" x14ac:dyDescent="0.2">
      <c r="B1298" s="4">
        <v>65150</v>
      </c>
      <c r="C1298" s="4">
        <v>0</v>
      </c>
      <c r="D1298">
        <v>0</v>
      </c>
      <c r="E1298" t="str">
        <f>VLOOKUP(B1298,[1]Nuclides!A:E,5,FALSE)</f>
        <v>Tb150</v>
      </c>
      <c r="F1298">
        <f>VLOOKUP(B1298,[1]Nuclides!A:E,4,FALSE)</f>
        <v>12528</v>
      </c>
      <c r="G1298" t="str">
        <f t="shared" si="110"/>
        <v>3.48h</v>
      </c>
      <c r="H1298">
        <f t="shared" si="111"/>
        <v>5.5327840083009681E-5</v>
      </c>
      <c r="I1298">
        <f t="shared" si="112"/>
        <v>0</v>
      </c>
      <c r="J1298">
        <f t="shared" si="113"/>
        <v>0</v>
      </c>
      <c r="K1298" t="str">
        <f t="shared" si="114"/>
        <v>Tb150</v>
      </c>
    </row>
    <row r="1299" spans="2:11" hidden="1" x14ac:dyDescent="0.2">
      <c r="B1299" s="4">
        <v>65151</v>
      </c>
      <c r="C1299" s="4">
        <v>0</v>
      </c>
      <c r="D1299">
        <v>0</v>
      </c>
      <c r="E1299" t="str">
        <f>VLOOKUP(B1299,[1]Nuclides!A:E,5,FALSE)</f>
        <v>Tb151</v>
      </c>
      <c r="F1299">
        <f>VLOOKUP(B1299,[1]Nuclides!A:E,4,FALSE)</f>
        <v>63392.4</v>
      </c>
      <c r="G1299" t="str">
        <f t="shared" si="110"/>
        <v>17.61h</v>
      </c>
      <c r="H1299">
        <f t="shared" si="111"/>
        <v>1.0934231557094309E-5</v>
      </c>
      <c r="I1299">
        <f t="shared" si="112"/>
        <v>0</v>
      </c>
      <c r="J1299">
        <f t="shared" si="113"/>
        <v>0</v>
      </c>
      <c r="K1299" t="str">
        <f t="shared" si="114"/>
        <v>Tb151</v>
      </c>
    </row>
    <row r="1300" spans="2:11" hidden="1" x14ac:dyDescent="0.2">
      <c r="B1300" s="4">
        <v>65152</v>
      </c>
      <c r="C1300" s="4">
        <v>0</v>
      </c>
      <c r="D1300">
        <v>0</v>
      </c>
      <c r="E1300" t="str">
        <f>VLOOKUP(B1300,[1]Nuclides!A:E,5,FALSE)</f>
        <v>Tb152</v>
      </c>
      <c r="F1300">
        <f>VLOOKUP(B1300,[1]Nuclides!A:E,4,FALSE)</f>
        <v>63000</v>
      </c>
      <c r="G1300" t="str">
        <f t="shared" si="110"/>
        <v>17.5h</v>
      </c>
      <c r="H1300">
        <f t="shared" si="111"/>
        <v>1.1002336199364212E-5</v>
      </c>
      <c r="I1300">
        <f t="shared" si="112"/>
        <v>0</v>
      </c>
      <c r="J1300">
        <f t="shared" si="113"/>
        <v>0</v>
      </c>
      <c r="K1300" t="str">
        <f t="shared" si="114"/>
        <v>Tb152</v>
      </c>
    </row>
    <row r="1301" spans="2:11" hidden="1" x14ac:dyDescent="0.2">
      <c r="B1301" s="4">
        <v>65153</v>
      </c>
      <c r="C1301" s="4">
        <v>0</v>
      </c>
      <c r="D1301">
        <v>0</v>
      </c>
      <c r="E1301" t="str">
        <f>VLOOKUP(B1301,[1]Nuclides!A:E,5,FALSE)</f>
        <v>Tb153</v>
      </c>
      <c r="F1301">
        <f>VLOOKUP(B1301,[1]Nuclides!A:E,4,FALSE)</f>
        <v>202176</v>
      </c>
      <c r="G1301" t="str">
        <f t="shared" si="110"/>
        <v>2.34d</v>
      </c>
      <c r="H1301">
        <f t="shared" si="111"/>
        <v>3.4284345350582921E-6</v>
      </c>
      <c r="I1301">
        <f t="shared" si="112"/>
        <v>0</v>
      </c>
      <c r="J1301">
        <f t="shared" si="113"/>
        <v>0</v>
      </c>
      <c r="K1301" t="str">
        <f t="shared" si="114"/>
        <v>Tb153</v>
      </c>
    </row>
    <row r="1302" spans="2:11" hidden="1" x14ac:dyDescent="0.2">
      <c r="B1302" s="4">
        <v>65154</v>
      </c>
      <c r="C1302" s="4">
        <v>0</v>
      </c>
      <c r="D1302">
        <v>0</v>
      </c>
      <c r="E1302" t="str">
        <f>VLOOKUP(B1302,[1]Nuclides!A:E,5,FALSE)</f>
        <v>Tb154</v>
      </c>
      <c r="F1302">
        <f>VLOOKUP(B1302,[1]Nuclides!A:E,4,FALSE)</f>
        <v>77400</v>
      </c>
      <c r="G1302" t="str">
        <f t="shared" si="110"/>
        <v>21.5h</v>
      </c>
      <c r="H1302">
        <f t="shared" si="111"/>
        <v>8.9553899297150559E-6</v>
      </c>
      <c r="I1302">
        <f t="shared" si="112"/>
        <v>0</v>
      </c>
      <c r="J1302">
        <f t="shared" si="113"/>
        <v>0</v>
      </c>
      <c r="K1302" t="str">
        <f t="shared" si="114"/>
        <v>Tb154</v>
      </c>
    </row>
    <row r="1303" spans="2:11" hidden="1" x14ac:dyDescent="0.2">
      <c r="B1303" s="4">
        <v>65155</v>
      </c>
      <c r="C1303" s="4">
        <v>0</v>
      </c>
      <c r="D1303">
        <v>0</v>
      </c>
      <c r="E1303" t="str">
        <f>VLOOKUP(B1303,[1]Nuclides!A:E,5,FALSE)</f>
        <v>Tb155</v>
      </c>
      <c r="F1303">
        <f>VLOOKUP(B1303,[1]Nuclides!A:E,4,FALSE)</f>
        <v>459648</v>
      </c>
      <c r="G1303" t="str">
        <f t="shared" si="110"/>
        <v>5.32d</v>
      </c>
      <c r="H1303">
        <f t="shared" si="111"/>
        <v>1.5079956413602264E-6</v>
      </c>
      <c r="I1303">
        <f t="shared" si="112"/>
        <v>0</v>
      </c>
      <c r="J1303">
        <f t="shared" si="113"/>
        <v>0</v>
      </c>
      <c r="K1303" t="str">
        <f t="shared" si="114"/>
        <v>Tb155</v>
      </c>
    </row>
    <row r="1304" spans="2:11" hidden="1" x14ac:dyDescent="0.2">
      <c r="B1304" s="4">
        <v>65156</v>
      </c>
      <c r="C1304" s="4">
        <v>0</v>
      </c>
      <c r="D1304">
        <v>0</v>
      </c>
      <c r="E1304" t="str">
        <f>VLOOKUP(B1304,[1]Nuclides!A:E,5,FALSE)</f>
        <v>Tb156</v>
      </c>
      <c r="F1304">
        <f>VLOOKUP(B1304,[1]Nuclides!A:E,4,FALSE)</f>
        <v>462239.99999999901</v>
      </c>
      <c r="G1304" t="str">
        <f t="shared" si="110"/>
        <v>5.35d</v>
      </c>
      <c r="H1304">
        <f t="shared" si="111"/>
        <v>1.499539591034845E-6</v>
      </c>
      <c r="I1304">
        <f t="shared" si="112"/>
        <v>0</v>
      </c>
      <c r="J1304">
        <f t="shared" si="113"/>
        <v>0</v>
      </c>
      <c r="K1304" t="str">
        <f t="shared" si="114"/>
        <v>Tb156</v>
      </c>
    </row>
    <row r="1305" spans="2:11" hidden="1" x14ac:dyDescent="0.2">
      <c r="B1305" s="4">
        <v>65157</v>
      </c>
      <c r="C1305" s="4">
        <v>0</v>
      </c>
      <c r="D1305">
        <v>0</v>
      </c>
      <c r="E1305" t="str">
        <f>VLOOKUP(B1305,[1]Nuclides!A:E,5,FALSE)</f>
        <v>Tb157</v>
      </c>
      <c r="F1305">
        <f>VLOOKUP(B1305,[1]Nuclides!A:E,4,FALSE)</f>
        <v>2240589600</v>
      </c>
      <c r="G1305" t="str">
        <f t="shared" si="110"/>
        <v>71.05y</v>
      </c>
      <c r="H1305">
        <f t="shared" si="111"/>
        <v>3.0935927782577644E-10</v>
      </c>
      <c r="I1305">
        <f t="shared" si="112"/>
        <v>0</v>
      </c>
      <c r="J1305">
        <f t="shared" si="113"/>
        <v>0</v>
      </c>
      <c r="K1305" t="str">
        <f t="shared" si="114"/>
        <v>Tb157</v>
      </c>
    </row>
    <row r="1306" spans="2:11" hidden="1" x14ac:dyDescent="0.2">
      <c r="B1306" s="4">
        <v>65158</v>
      </c>
      <c r="C1306" s="4">
        <v>0</v>
      </c>
      <c r="D1306">
        <v>0</v>
      </c>
      <c r="E1306" t="str">
        <f>VLOOKUP(B1306,[1]Nuclides!A:E,5,FALSE)</f>
        <v>Tb158</v>
      </c>
      <c r="F1306">
        <f>VLOOKUP(B1306,[1]Nuclides!A:E,4,FALSE)</f>
        <v>5680368000</v>
      </c>
      <c r="G1306" t="str">
        <f t="shared" si="110"/>
        <v>180.12y</v>
      </c>
      <c r="H1306">
        <f t="shared" si="111"/>
        <v>1.2202504847572292E-10</v>
      </c>
      <c r="I1306">
        <f t="shared" si="112"/>
        <v>0</v>
      </c>
      <c r="J1306">
        <f t="shared" si="113"/>
        <v>0</v>
      </c>
      <c r="K1306" t="str">
        <f t="shared" si="114"/>
        <v>Tb158</v>
      </c>
    </row>
    <row r="1307" spans="2:11" hidden="1" x14ac:dyDescent="0.2">
      <c r="B1307" s="4">
        <v>65159</v>
      </c>
      <c r="C1307" s="4">
        <v>0</v>
      </c>
      <c r="D1307">
        <v>0</v>
      </c>
      <c r="E1307" t="str">
        <f>VLOOKUP(B1307,[1]Nuclides!A:E,5,FALSE)</f>
        <v>Tb159</v>
      </c>
      <c r="F1307" t="str">
        <f>VLOOKUP(B1307,[1]Nuclides!A:E,4,FALSE)</f>
        <v>STABLE</v>
      </c>
      <c r="G1307" t="str">
        <f t="shared" si="110"/>
        <v>STABLE</v>
      </c>
      <c r="H1307" t="e">
        <f t="shared" si="111"/>
        <v>#VALUE!</v>
      </c>
      <c r="I1307" t="e">
        <f t="shared" si="112"/>
        <v>#VALUE!</v>
      </c>
      <c r="J1307" t="e">
        <f t="shared" si="113"/>
        <v>#VALUE!</v>
      </c>
      <c r="K1307" t="str">
        <f t="shared" si="114"/>
        <v>Tb159</v>
      </c>
    </row>
    <row r="1308" spans="2:11" hidden="1" x14ac:dyDescent="0.2">
      <c r="B1308" s="4">
        <v>65160</v>
      </c>
      <c r="C1308" s="4">
        <v>0</v>
      </c>
      <c r="D1308">
        <v>0</v>
      </c>
      <c r="E1308" t="str">
        <f>VLOOKUP(B1308,[1]Nuclides!A:E,5,FALSE)</f>
        <v>Tb160</v>
      </c>
      <c r="F1308">
        <f>VLOOKUP(B1308,[1]Nuclides!A:E,4,FALSE)</f>
        <v>6246720</v>
      </c>
      <c r="G1308" t="str">
        <f t="shared" si="110"/>
        <v>72.3d</v>
      </c>
      <c r="H1308">
        <f t="shared" si="111"/>
        <v>1.1096178163259204E-7</v>
      </c>
      <c r="I1308">
        <f t="shared" si="112"/>
        <v>0</v>
      </c>
      <c r="J1308">
        <f t="shared" si="113"/>
        <v>0</v>
      </c>
      <c r="K1308" t="str">
        <f t="shared" si="114"/>
        <v>Tb160</v>
      </c>
    </row>
    <row r="1309" spans="2:11" hidden="1" x14ac:dyDescent="0.2">
      <c r="B1309" s="4">
        <v>65161</v>
      </c>
      <c r="C1309" s="4">
        <v>0</v>
      </c>
      <c r="D1309">
        <v>0</v>
      </c>
      <c r="E1309" t="str">
        <f>VLOOKUP(B1309,[1]Nuclides!A:E,5,FALSE)</f>
        <v>Tb161</v>
      </c>
      <c r="F1309">
        <f>VLOOKUP(B1309,[1]Nuclides!A:E,4,FALSE)</f>
        <v>595296</v>
      </c>
      <c r="G1309" t="str">
        <f t="shared" si="110"/>
        <v>6.89d</v>
      </c>
      <c r="H1309">
        <f t="shared" si="111"/>
        <v>1.1643739930386654E-6</v>
      </c>
      <c r="I1309">
        <f t="shared" si="112"/>
        <v>0</v>
      </c>
      <c r="J1309">
        <f t="shared" si="113"/>
        <v>0</v>
      </c>
      <c r="K1309" t="str">
        <f t="shared" si="114"/>
        <v>Tb161</v>
      </c>
    </row>
    <row r="1310" spans="2:11" hidden="1" x14ac:dyDescent="0.2">
      <c r="B1310" s="4">
        <v>65162</v>
      </c>
      <c r="C1310" s="4">
        <v>0</v>
      </c>
      <c r="D1310">
        <v>0</v>
      </c>
      <c r="E1310" t="str">
        <f>VLOOKUP(B1310,[1]Nuclides!A:E,5,FALSE)</f>
        <v>Tb162</v>
      </c>
      <c r="F1310">
        <f>VLOOKUP(B1310,[1]Nuclides!A:E,4,FALSE)</f>
        <v>456</v>
      </c>
      <c r="G1310" t="str">
        <f t="shared" si="110"/>
        <v>7.6min</v>
      </c>
      <c r="H1310">
        <f t="shared" si="111"/>
        <v>1.520059606491108E-3</v>
      </c>
      <c r="I1310">
        <f t="shared" si="112"/>
        <v>0</v>
      </c>
      <c r="J1310">
        <f t="shared" si="113"/>
        <v>0</v>
      </c>
      <c r="K1310" t="str">
        <f t="shared" si="114"/>
        <v>Tb162</v>
      </c>
    </row>
    <row r="1311" spans="2:11" hidden="1" x14ac:dyDescent="0.2">
      <c r="B1311" s="4">
        <v>65163</v>
      </c>
      <c r="C1311" s="4">
        <v>0</v>
      </c>
      <c r="D1311">
        <v>0</v>
      </c>
      <c r="E1311" t="str">
        <f>VLOOKUP(B1311,[1]Nuclides!A:E,5,FALSE)</f>
        <v>Tb163</v>
      </c>
      <c r="F1311">
        <f>VLOOKUP(B1311,[1]Nuclides!A:E,4,FALSE)</f>
        <v>1170</v>
      </c>
      <c r="G1311" t="str">
        <f t="shared" si="110"/>
        <v>19.5min</v>
      </c>
      <c r="H1311">
        <f t="shared" si="111"/>
        <v>5.9243348765807284E-4</v>
      </c>
      <c r="I1311">
        <f t="shared" si="112"/>
        <v>0</v>
      </c>
      <c r="J1311">
        <f t="shared" si="113"/>
        <v>0</v>
      </c>
      <c r="K1311" t="str">
        <f t="shared" si="114"/>
        <v>Tb163</v>
      </c>
    </row>
    <row r="1312" spans="2:11" hidden="1" x14ac:dyDescent="0.2">
      <c r="B1312" s="4">
        <v>65164</v>
      </c>
      <c r="C1312" s="4">
        <v>0</v>
      </c>
      <c r="D1312">
        <v>0</v>
      </c>
      <c r="E1312" t="str">
        <f>VLOOKUP(B1312,[1]Nuclides!A:E,5,FALSE)</f>
        <v>Tb164</v>
      </c>
      <c r="F1312">
        <f>VLOOKUP(B1312,[1]Nuclides!A:E,4,FALSE)</f>
        <v>180</v>
      </c>
      <c r="G1312" t="str">
        <f t="shared" si="110"/>
        <v>3min</v>
      </c>
      <c r="H1312">
        <f t="shared" si="111"/>
        <v>3.8508176697774738E-3</v>
      </c>
      <c r="I1312">
        <f t="shared" si="112"/>
        <v>0</v>
      </c>
      <c r="J1312">
        <f t="shared" si="113"/>
        <v>0</v>
      </c>
      <c r="K1312" t="str">
        <f t="shared" si="114"/>
        <v>Tb164</v>
      </c>
    </row>
    <row r="1313" spans="2:11" hidden="1" x14ac:dyDescent="0.2">
      <c r="B1313" s="4">
        <v>65165</v>
      </c>
      <c r="C1313" s="4">
        <v>0</v>
      </c>
      <c r="D1313">
        <v>0</v>
      </c>
      <c r="E1313" t="str">
        <f>VLOOKUP(B1313,[1]Nuclides!A:E,5,FALSE)</f>
        <v>Tb165</v>
      </c>
      <c r="F1313">
        <f>VLOOKUP(B1313,[1]Nuclides!A:E,4,FALSE)</f>
        <v>126.6</v>
      </c>
      <c r="G1313" t="str">
        <f t="shared" si="110"/>
        <v>2.11min</v>
      </c>
      <c r="H1313">
        <f t="shared" si="111"/>
        <v>5.4750962129537541E-3</v>
      </c>
      <c r="I1313">
        <f t="shared" si="112"/>
        <v>0</v>
      </c>
      <c r="J1313">
        <f t="shared" si="113"/>
        <v>0</v>
      </c>
      <c r="K1313" t="str">
        <f t="shared" si="114"/>
        <v>Tb165</v>
      </c>
    </row>
    <row r="1314" spans="2:11" hidden="1" x14ac:dyDescent="0.2">
      <c r="B1314" s="4">
        <v>66145</v>
      </c>
      <c r="C1314" s="4">
        <v>0</v>
      </c>
      <c r="D1314">
        <v>0</v>
      </c>
      <c r="E1314" t="str">
        <f>VLOOKUP(B1314,[1]Nuclides!A:E,5,FALSE)</f>
        <v>Dy145</v>
      </c>
      <c r="F1314">
        <f>VLOOKUP(B1314,[1]Nuclides!A:E,4,FALSE)</f>
        <v>6</v>
      </c>
      <c r="G1314" t="str">
        <f t="shared" si="110"/>
        <v>6s</v>
      </c>
      <c r="H1314">
        <f t="shared" si="111"/>
        <v>0.11552453009332421</v>
      </c>
      <c r="I1314">
        <f t="shared" si="112"/>
        <v>0</v>
      </c>
      <c r="J1314">
        <f t="shared" si="113"/>
        <v>0</v>
      </c>
      <c r="K1314" t="str">
        <f t="shared" si="114"/>
        <v>Dy145</v>
      </c>
    </row>
    <row r="1315" spans="2:11" hidden="1" x14ac:dyDescent="0.2">
      <c r="B1315" s="4">
        <v>66146</v>
      </c>
      <c r="C1315" s="4">
        <v>0</v>
      </c>
      <c r="D1315">
        <v>0</v>
      </c>
      <c r="E1315" t="str">
        <f>VLOOKUP(B1315,[1]Nuclides!A:E,5,FALSE)</f>
        <v>Dy146</v>
      </c>
      <c r="F1315">
        <f>VLOOKUP(B1315,[1]Nuclides!A:E,4,FALSE)</f>
        <v>33.200000000000003</v>
      </c>
      <c r="G1315" t="str">
        <f t="shared" si="110"/>
        <v>33.2s</v>
      </c>
      <c r="H1315">
        <f t="shared" si="111"/>
        <v>2.0877927125299556E-2</v>
      </c>
      <c r="I1315">
        <f t="shared" si="112"/>
        <v>0</v>
      </c>
      <c r="J1315">
        <f t="shared" si="113"/>
        <v>0</v>
      </c>
      <c r="K1315" t="str">
        <f t="shared" si="114"/>
        <v>Dy146</v>
      </c>
    </row>
    <row r="1316" spans="2:11" hidden="1" x14ac:dyDescent="0.2">
      <c r="B1316" s="4">
        <v>66147</v>
      </c>
      <c r="C1316" s="4">
        <v>0</v>
      </c>
      <c r="D1316">
        <v>0</v>
      </c>
      <c r="E1316" t="str">
        <f>VLOOKUP(B1316,[1]Nuclides!A:E,5,FALSE)</f>
        <v>Dy147</v>
      </c>
      <c r="F1316">
        <f>VLOOKUP(B1316,[1]Nuclides!A:E,4,FALSE)</f>
        <v>67</v>
      </c>
      <c r="G1316" t="str">
        <f t="shared" si="110"/>
        <v>1.12min</v>
      </c>
      <c r="H1316">
        <f t="shared" si="111"/>
        <v>1.0345480306864855E-2</v>
      </c>
      <c r="I1316">
        <f t="shared" si="112"/>
        <v>0</v>
      </c>
      <c r="J1316">
        <f t="shared" si="113"/>
        <v>0</v>
      </c>
      <c r="K1316" t="str">
        <f t="shared" si="114"/>
        <v>Dy147</v>
      </c>
    </row>
    <row r="1317" spans="2:11" hidden="1" x14ac:dyDescent="0.2">
      <c r="B1317" s="4">
        <v>66148</v>
      </c>
      <c r="C1317" s="4">
        <v>0</v>
      </c>
      <c r="D1317">
        <v>0</v>
      </c>
      <c r="E1317" t="str">
        <f>VLOOKUP(B1317,[1]Nuclides!A:E,5,FALSE)</f>
        <v>Dy148</v>
      </c>
      <c r="F1317">
        <f>VLOOKUP(B1317,[1]Nuclides!A:E,4,FALSE)</f>
        <v>198</v>
      </c>
      <c r="G1317" t="str">
        <f t="shared" si="110"/>
        <v>3.3min</v>
      </c>
      <c r="H1317">
        <f t="shared" si="111"/>
        <v>3.5007433361613398E-3</v>
      </c>
      <c r="I1317">
        <f t="shared" si="112"/>
        <v>0</v>
      </c>
      <c r="J1317">
        <f t="shared" si="113"/>
        <v>0</v>
      </c>
      <c r="K1317" t="str">
        <f t="shared" si="114"/>
        <v>Dy148</v>
      </c>
    </row>
    <row r="1318" spans="2:11" hidden="1" x14ac:dyDescent="0.2">
      <c r="B1318" s="4">
        <v>66149</v>
      </c>
      <c r="C1318" s="4">
        <v>0</v>
      </c>
      <c r="D1318">
        <v>0</v>
      </c>
      <c r="E1318" t="str">
        <f>VLOOKUP(B1318,[1]Nuclides!A:E,5,FALSE)</f>
        <v>Dy149</v>
      </c>
      <c r="F1318">
        <f>VLOOKUP(B1318,[1]Nuclides!A:E,4,FALSE)</f>
        <v>252</v>
      </c>
      <c r="G1318" t="str">
        <f t="shared" si="110"/>
        <v>4.2min</v>
      </c>
      <c r="H1318">
        <f t="shared" si="111"/>
        <v>2.7505840498410527E-3</v>
      </c>
      <c r="I1318">
        <f t="shared" si="112"/>
        <v>0</v>
      </c>
      <c r="J1318">
        <f t="shared" si="113"/>
        <v>0</v>
      </c>
      <c r="K1318" t="str">
        <f t="shared" si="114"/>
        <v>Dy149</v>
      </c>
    </row>
    <row r="1319" spans="2:11" hidden="1" x14ac:dyDescent="0.2">
      <c r="B1319" s="4">
        <v>66150</v>
      </c>
      <c r="C1319" s="4">
        <v>0</v>
      </c>
      <c r="D1319">
        <v>0</v>
      </c>
      <c r="E1319" t="str">
        <f>VLOOKUP(B1319,[1]Nuclides!A:E,5,FALSE)</f>
        <v>Dy150</v>
      </c>
      <c r="F1319">
        <f>VLOOKUP(B1319,[1]Nuclides!A:E,4,FALSE)</f>
        <v>430.2</v>
      </c>
      <c r="G1319" t="str">
        <f t="shared" si="110"/>
        <v>7.17min</v>
      </c>
      <c r="H1319">
        <f t="shared" si="111"/>
        <v>1.6112207823336712E-3</v>
      </c>
      <c r="I1319">
        <f t="shared" si="112"/>
        <v>0</v>
      </c>
      <c r="J1319">
        <f t="shared" si="113"/>
        <v>0</v>
      </c>
      <c r="K1319" t="str">
        <f t="shared" si="114"/>
        <v>Dy150</v>
      </c>
    </row>
    <row r="1320" spans="2:11" hidden="1" x14ac:dyDescent="0.2">
      <c r="B1320" s="4">
        <v>66151</v>
      </c>
      <c r="C1320" s="4">
        <v>0</v>
      </c>
      <c r="D1320">
        <v>0</v>
      </c>
      <c r="E1320" t="str">
        <f>VLOOKUP(B1320,[1]Nuclides!A:E,5,FALSE)</f>
        <v>Dy151</v>
      </c>
      <c r="F1320">
        <f>VLOOKUP(B1320,[1]Nuclides!A:E,4,FALSE)</f>
        <v>1074</v>
      </c>
      <c r="G1320" t="str">
        <f t="shared" si="110"/>
        <v>17.9min</v>
      </c>
      <c r="H1320">
        <f t="shared" si="111"/>
        <v>6.4538843627555431E-4</v>
      </c>
      <c r="I1320">
        <f t="shared" si="112"/>
        <v>0</v>
      </c>
      <c r="J1320">
        <f t="shared" si="113"/>
        <v>0</v>
      </c>
      <c r="K1320" t="str">
        <f t="shared" si="114"/>
        <v>Dy151</v>
      </c>
    </row>
    <row r="1321" spans="2:11" hidden="1" x14ac:dyDescent="0.2">
      <c r="B1321" s="4">
        <v>66152</v>
      </c>
      <c r="C1321" s="4">
        <v>0</v>
      </c>
      <c r="D1321">
        <v>0</v>
      </c>
      <c r="E1321" t="str">
        <f>VLOOKUP(B1321,[1]Nuclides!A:E,5,FALSE)</f>
        <v>Dy152</v>
      </c>
      <c r="F1321">
        <f>VLOOKUP(B1321,[1]Nuclides!A:E,4,FALSE)</f>
        <v>8568</v>
      </c>
      <c r="G1321" t="str">
        <f t="shared" si="110"/>
        <v>2.38h</v>
      </c>
      <c r="H1321">
        <f t="shared" si="111"/>
        <v>8.0899530877678026E-5</v>
      </c>
      <c r="I1321">
        <f t="shared" si="112"/>
        <v>0</v>
      </c>
      <c r="J1321">
        <f t="shared" si="113"/>
        <v>0</v>
      </c>
      <c r="K1321" t="str">
        <f t="shared" si="114"/>
        <v>Dy152</v>
      </c>
    </row>
    <row r="1322" spans="2:11" hidden="1" x14ac:dyDescent="0.2">
      <c r="B1322" s="4">
        <v>66153</v>
      </c>
      <c r="C1322" s="4">
        <v>0</v>
      </c>
      <c r="D1322">
        <v>0</v>
      </c>
      <c r="E1322" t="str">
        <f>VLOOKUP(B1322,[1]Nuclides!A:E,5,FALSE)</f>
        <v>Dy153</v>
      </c>
      <c r="F1322">
        <f>VLOOKUP(B1322,[1]Nuclides!A:E,4,FALSE)</f>
        <v>23040</v>
      </c>
      <c r="G1322" t="str">
        <f t="shared" si="110"/>
        <v>6.4h</v>
      </c>
      <c r="H1322">
        <f t="shared" si="111"/>
        <v>3.0084513045136514E-5</v>
      </c>
      <c r="I1322">
        <f t="shared" si="112"/>
        <v>0</v>
      </c>
      <c r="J1322">
        <f t="shared" si="113"/>
        <v>0</v>
      </c>
      <c r="K1322" t="str">
        <f t="shared" si="114"/>
        <v>Dy153</v>
      </c>
    </row>
    <row r="1323" spans="2:11" hidden="1" x14ac:dyDescent="0.2">
      <c r="B1323" s="4">
        <v>66154</v>
      </c>
      <c r="C1323" s="4">
        <v>0</v>
      </c>
      <c r="D1323">
        <v>0</v>
      </c>
      <c r="E1323" t="str">
        <f>VLOOKUP(B1323,[1]Nuclides!A:E,5,FALSE)</f>
        <v>Dy154</v>
      </c>
      <c r="F1323">
        <f>VLOOKUP(B1323,[1]Nuclides!A:E,4,FALSE)</f>
        <v>94672800000000</v>
      </c>
      <c r="G1323" t="str">
        <f t="shared" si="110"/>
        <v>3002054.79y</v>
      </c>
      <c r="H1323">
        <f t="shared" si="111"/>
        <v>7.321502908543376E-15</v>
      </c>
      <c r="I1323">
        <f t="shared" si="112"/>
        <v>0</v>
      </c>
      <c r="J1323">
        <f t="shared" si="113"/>
        <v>0</v>
      </c>
      <c r="K1323" t="str">
        <f t="shared" si="114"/>
        <v>Dy154</v>
      </c>
    </row>
    <row r="1324" spans="2:11" hidden="1" x14ac:dyDescent="0.2">
      <c r="B1324" s="4">
        <v>66155</v>
      </c>
      <c r="C1324" s="4">
        <v>0</v>
      </c>
      <c r="D1324">
        <v>0</v>
      </c>
      <c r="E1324" t="str">
        <f>VLOOKUP(B1324,[1]Nuclides!A:E,5,FALSE)</f>
        <v>Dy155</v>
      </c>
      <c r="F1324">
        <f>VLOOKUP(B1324,[1]Nuclides!A:E,4,FALSE)</f>
        <v>35640</v>
      </c>
      <c r="G1324" t="str">
        <f t="shared" si="110"/>
        <v>9.9h</v>
      </c>
      <c r="H1324">
        <f t="shared" si="111"/>
        <v>1.9448574089785222E-5</v>
      </c>
      <c r="I1324">
        <f t="shared" si="112"/>
        <v>0</v>
      </c>
      <c r="J1324">
        <f t="shared" si="113"/>
        <v>0</v>
      </c>
      <c r="K1324" t="str">
        <f t="shared" si="114"/>
        <v>Dy155</v>
      </c>
    </row>
    <row r="1325" spans="2:11" hidden="1" x14ac:dyDescent="0.2">
      <c r="B1325" s="4">
        <v>66156</v>
      </c>
      <c r="C1325" s="4">
        <v>0</v>
      </c>
      <c r="D1325">
        <v>0</v>
      </c>
      <c r="E1325" t="str">
        <f>VLOOKUP(B1325,[1]Nuclides!A:E,5,FALSE)</f>
        <v>Dy156</v>
      </c>
      <c r="F1325" t="str">
        <f>VLOOKUP(B1325,[1]Nuclides!A:E,4,FALSE)</f>
        <v>STABLE</v>
      </c>
      <c r="G1325" t="str">
        <f t="shared" si="110"/>
        <v>STABLE</v>
      </c>
      <c r="H1325" t="e">
        <f t="shared" si="111"/>
        <v>#VALUE!</v>
      </c>
      <c r="I1325" t="e">
        <f t="shared" si="112"/>
        <v>#VALUE!</v>
      </c>
      <c r="J1325" t="e">
        <f t="shared" si="113"/>
        <v>#VALUE!</v>
      </c>
      <c r="K1325" t="str">
        <f t="shared" si="114"/>
        <v>Dy156</v>
      </c>
    </row>
    <row r="1326" spans="2:11" hidden="1" x14ac:dyDescent="0.2">
      <c r="B1326" s="4">
        <v>66157</v>
      </c>
      <c r="C1326" s="4">
        <v>0</v>
      </c>
      <c r="D1326">
        <v>0</v>
      </c>
      <c r="E1326" t="str">
        <f>VLOOKUP(B1326,[1]Nuclides!A:E,5,FALSE)</f>
        <v>Dy157</v>
      </c>
      <c r="F1326">
        <f>VLOOKUP(B1326,[1]Nuclides!A:E,4,FALSE)</f>
        <v>29304</v>
      </c>
      <c r="G1326" t="str">
        <f t="shared" si="110"/>
        <v>8.14h</v>
      </c>
      <c r="H1326">
        <f t="shared" si="111"/>
        <v>2.3653671190279322E-5</v>
      </c>
      <c r="I1326">
        <f t="shared" si="112"/>
        <v>0</v>
      </c>
      <c r="J1326">
        <f t="shared" si="113"/>
        <v>0</v>
      </c>
      <c r="K1326" t="str">
        <f t="shared" si="114"/>
        <v>Dy157</v>
      </c>
    </row>
    <row r="1327" spans="2:11" hidden="1" x14ac:dyDescent="0.2">
      <c r="B1327" s="4">
        <v>66158</v>
      </c>
      <c r="C1327" s="4">
        <v>0</v>
      </c>
      <c r="D1327">
        <v>0</v>
      </c>
      <c r="E1327" t="str">
        <f>VLOOKUP(B1327,[1]Nuclides!A:E,5,FALSE)</f>
        <v>Dy158</v>
      </c>
      <c r="F1327" t="str">
        <f>VLOOKUP(B1327,[1]Nuclides!A:E,4,FALSE)</f>
        <v>STABLE</v>
      </c>
      <c r="G1327" t="str">
        <f t="shared" si="110"/>
        <v>STABLE</v>
      </c>
      <c r="H1327" t="e">
        <f t="shared" si="111"/>
        <v>#VALUE!</v>
      </c>
      <c r="I1327" t="e">
        <f t="shared" si="112"/>
        <v>#VALUE!</v>
      </c>
      <c r="J1327" t="e">
        <f t="shared" si="113"/>
        <v>#VALUE!</v>
      </c>
      <c r="K1327" t="str">
        <f t="shared" si="114"/>
        <v>Dy158</v>
      </c>
    </row>
    <row r="1328" spans="2:11" hidden="1" x14ac:dyDescent="0.2">
      <c r="B1328" s="4">
        <v>66159</v>
      </c>
      <c r="C1328" s="4">
        <v>0</v>
      </c>
      <c r="D1328">
        <v>0</v>
      </c>
      <c r="E1328" t="str">
        <f>VLOOKUP(B1328,[1]Nuclides!A:E,5,FALSE)</f>
        <v>Dy159</v>
      </c>
      <c r="F1328">
        <f>VLOOKUP(B1328,[1]Nuclides!A:E,4,FALSE)</f>
        <v>12476160</v>
      </c>
      <c r="G1328" t="str">
        <f t="shared" si="110"/>
        <v>144.4d</v>
      </c>
      <c r="H1328">
        <f t="shared" si="111"/>
        <v>5.5557734155376761E-8</v>
      </c>
      <c r="I1328">
        <f t="shared" si="112"/>
        <v>0</v>
      </c>
      <c r="J1328">
        <f t="shared" si="113"/>
        <v>0</v>
      </c>
      <c r="K1328" t="str">
        <f t="shared" si="114"/>
        <v>Dy159</v>
      </c>
    </row>
    <row r="1329" spans="2:11" hidden="1" x14ac:dyDescent="0.2">
      <c r="B1329" s="4">
        <v>66160</v>
      </c>
      <c r="C1329" s="4">
        <v>0</v>
      </c>
      <c r="D1329">
        <v>0</v>
      </c>
      <c r="E1329" t="str">
        <f>VLOOKUP(B1329,[1]Nuclides!A:E,5,FALSE)</f>
        <v>Dy160</v>
      </c>
      <c r="F1329" t="str">
        <f>VLOOKUP(B1329,[1]Nuclides!A:E,4,FALSE)</f>
        <v>STABLE</v>
      </c>
      <c r="G1329" t="str">
        <f t="shared" si="110"/>
        <v>STABLE</v>
      </c>
      <c r="H1329" t="e">
        <f t="shared" si="111"/>
        <v>#VALUE!</v>
      </c>
      <c r="I1329" t="e">
        <f t="shared" si="112"/>
        <v>#VALUE!</v>
      </c>
      <c r="J1329" t="e">
        <f t="shared" si="113"/>
        <v>#VALUE!</v>
      </c>
      <c r="K1329" t="str">
        <f t="shared" si="114"/>
        <v>Dy160</v>
      </c>
    </row>
    <row r="1330" spans="2:11" hidden="1" x14ac:dyDescent="0.2">
      <c r="B1330" s="4">
        <v>66161</v>
      </c>
      <c r="C1330" s="4">
        <v>0</v>
      </c>
      <c r="D1330">
        <v>0</v>
      </c>
      <c r="E1330" t="str">
        <f>VLOOKUP(B1330,[1]Nuclides!A:E,5,FALSE)</f>
        <v>Dy161</v>
      </c>
      <c r="F1330" t="str">
        <f>VLOOKUP(B1330,[1]Nuclides!A:E,4,FALSE)</f>
        <v>STABLE</v>
      </c>
      <c r="G1330" t="str">
        <f t="shared" si="110"/>
        <v>STABLE</v>
      </c>
      <c r="H1330" t="e">
        <f t="shared" si="111"/>
        <v>#VALUE!</v>
      </c>
      <c r="I1330" t="e">
        <f t="shared" si="112"/>
        <v>#VALUE!</v>
      </c>
      <c r="J1330" t="e">
        <f t="shared" si="113"/>
        <v>#VALUE!</v>
      </c>
      <c r="K1330" t="str">
        <f t="shared" si="114"/>
        <v>Dy161</v>
      </c>
    </row>
    <row r="1331" spans="2:11" hidden="1" x14ac:dyDescent="0.2">
      <c r="B1331" s="4">
        <v>66162</v>
      </c>
      <c r="C1331" s="4">
        <v>0</v>
      </c>
      <c r="D1331">
        <v>0</v>
      </c>
      <c r="E1331" t="str">
        <f>VLOOKUP(B1331,[1]Nuclides!A:E,5,FALSE)</f>
        <v>Dy162</v>
      </c>
      <c r="F1331" t="str">
        <f>VLOOKUP(B1331,[1]Nuclides!A:E,4,FALSE)</f>
        <v>STABLE</v>
      </c>
      <c r="G1331" t="str">
        <f t="shared" si="110"/>
        <v>STABLE</v>
      </c>
      <c r="H1331" t="e">
        <f t="shared" si="111"/>
        <v>#VALUE!</v>
      </c>
      <c r="I1331" t="e">
        <f t="shared" si="112"/>
        <v>#VALUE!</v>
      </c>
      <c r="J1331" t="e">
        <f t="shared" si="113"/>
        <v>#VALUE!</v>
      </c>
      <c r="K1331" t="str">
        <f t="shared" si="114"/>
        <v>Dy162</v>
      </c>
    </row>
    <row r="1332" spans="2:11" hidden="1" x14ac:dyDescent="0.2">
      <c r="B1332" s="4">
        <v>66163</v>
      </c>
      <c r="C1332" s="4">
        <v>0</v>
      </c>
      <c r="D1332">
        <v>0</v>
      </c>
      <c r="E1332" t="str">
        <f>VLOOKUP(B1332,[1]Nuclides!A:E,5,FALSE)</f>
        <v>Dy163</v>
      </c>
      <c r="F1332" t="str">
        <f>VLOOKUP(B1332,[1]Nuclides!A:E,4,FALSE)</f>
        <v>STABLE</v>
      </c>
      <c r="G1332" t="str">
        <f t="shared" si="110"/>
        <v>STABLE</v>
      </c>
      <c r="H1332" t="e">
        <f t="shared" si="111"/>
        <v>#VALUE!</v>
      </c>
      <c r="I1332" t="e">
        <f t="shared" si="112"/>
        <v>#VALUE!</v>
      </c>
      <c r="J1332" t="e">
        <f t="shared" si="113"/>
        <v>#VALUE!</v>
      </c>
      <c r="K1332" t="str">
        <f t="shared" si="114"/>
        <v>Dy163</v>
      </c>
    </row>
    <row r="1333" spans="2:11" hidden="1" x14ac:dyDescent="0.2">
      <c r="B1333" s="4">
        <v>66164</v>
      </c>
      <c r="C1333" s="4">
        <v>0</v>
      </c>
      <c r="D1333">
        <v>0</v>
      </c>
      <c r="E1333" t="str">
        <f>VLOOKUP(B1333,[1]Nuclides!A:E,5,FALSE)</f>
        <v>Dy164</v>
      </c>
      <c r="F1333" t="str">
        <f>VLOOKUP(B1333,[1]Nuclides!A:E,4,FALSE)</f>
        <v>STABLE</v>
      </c>
      <c r="G1333" t="str">
        <f t="shared" si="110"/>
        <v>STABLE</v>
      </c>
      <c r="H1333" t="e">
        <f t="shared" si="111"/>
        <v>#VALUE!</v>
      </c>
      <c r="I1333" t="e">
        <f t="shared" si="112"/>
        <v>#VALUE!</v>
      </c>
      <c r="J1333" t="e">
        <f t="shared" si="113"/>
        <v>#VALUE!</v>
      </c>
      <c r="K1333" t="str">
        <f t="shared" si="114"/>
        <v>Dy164</v>
      </c>
    </row>
    <row r="1334" spans="2:11" hidden="1" x14ac:dyDescent="0.2">
      <c r="B1334" s="4">
        <v>66165</v>
      </c>
      <c r="C1334" s="4">
        <v>0</v>
      </c>
      <c r="D1334">
        <v>0</v>
      </c>
      <c r="E1334" t="str">
        <f>VLOOKUP(B1334,[1]Nuclides!A:E,5,FALSE)</f>
        <v>Dy165</v>
      </c>
      <c r="F1334">
        <f>VLOOKUP(B1334,[1]Nuclides!A:E,4,FALSE)</f>
        <v>8402.4</v>
      </c>
      <c r="G1334" t="str">
        <f t="shared" si="110"/>
        <v>2.33h</v>
      </c>
      <c r="H1334">
        <f t="shared" si="111"/>
        <v>8.2493951794718803E-5</v>
      </c>
      <c r="I1334">
        <f t="shared" si="112"/>
        <v>0</v>
      </c>
      <c r="J1334">
        <f t="shared" si="113"/>
        <v>0</v>
      </c>
      <c r="K1334" t="str">
        <f t="shared" si="114"/>
        <v>Dy165</v>
      </c>
    </row>
    <row r="1335" spans="2:11" hidden="1" x14ac:dyDescent="0.2">
      <c r="B1335" s="4">
        <v>66166</v>
      </c>
      <c r="C1335" s="4">
        <v>0</v>
      </c>
      <c r="D1335">
        <v>0</v>
      </c>
      <c r="E1335" t="str">
        <f>VLOOKUP(B1335,[1]Nuclides!A:E,5,FALSE)</f>
        <v>Dy166</v>
      </c>
      <c r="F1335">
        <f>VLOOKUP(B1335,[1]Nuclides!A:E,4,FALSE)</f>
        <v>293760</v>
      </c>
      <c r="G1335" t="str">
        <f t="shared" si="110"/>
        <v>3.4d</v>
      </c>
      <c r="H1335">
        <f t="shared" si="111"/>
        <v>2.3595696505989421E-6</v>
      </c>
      <c r="I1335">
        <f t="shared" si="112"/>
        <v>0</v>
      </c>
      <c r="J1335">
        <f t="shared" si="113"/>
        <v>0</v>
      </c>
      <c r="K1335" t="str">
        <f t="shared" si="114"/>
        <v>Dy166</v>
      </c>
    </row>
    <row r="1336" spans="2:11" hidden="1" x14ac:dyDescent="0.2">
      <c r="B1336" s="4">
        <v>66167</v>
      </c>
      <c r="C1336" s="4">
        <v>0</v>
      </c>
      <c r="D1336">
        <v>0</v>
      </c>
      <c r="E1336" t="str">
        <f>VLOOKUP(B1336,[1]Nuclides!A:E,5,FALSE)</f>
        <v>Dy167</v>
      </c>
      <c r="F1336">
        <f>VLOOKUP(B1336,[1]Nuclides!A:E,4,FALSE)</f>
        <v>372</v>
      </c>
      <c r="G1336" t="str">
        <f t="shared" si="110"/>
        <v>6.2min</v>
      </c>
      <c r="H1336">
        <f t="shared" si="111"/>
        <v>1.8632988724729713E-3</v>
      </c>
      <c r="I1336">
        <f t="shared" si="112"/>
        <v>0</v>
      </c>
      <c r="J1336">
        <f t="shared" si="113"/>
        <v>0</v>
      </c>
      <c r="K1336" t="str">
        <f t="shared" si="114"/>
        <v>Dy167</v>
      </c>
    </row>
    <row r="1337" spans="2:11" hidden="1" x14ac:dyDescent="0.2">
      <c r="B1337" s="4">
        <v>66168</v>
      </c>
      <c r="C1337" s="4">
        <v>0</v>
      </c>
      <c r="D1337">
        <v>0</v>
      </c>
      <c r="E1337" t="str">
        <f>VLOOKUP(B1337,[1]Nuclides!A:E,5,FALSE)</f>
        <v>Dy168</v>
      </c>
      <c r="F1337">
        <f>VLOOKUP(B1337,[1]Nuclides!A:E,4,FALSE)</f>
        <v>522</v>
      </c>
      <c r="G1337" t="str">
        <f t="shared" si="110"/>
        <v>8.7min</v>
      </c>
      <c r="H1337">
        <f t="shared" si="111"/>
        <v>1.3278681619922324E-3</v>
      </c>
      <c r="I1337">
        <f t="shared" si="112"/>
        <v>0</v>
      </c>
      <c r="J1337">
        <f t="shared" si="113"/>
        <v>0</v>
      </c>
      <c r="K1337" t="str">
        <f t="shared" si="114"/>
        <v>Dy168</v>
      </c>
    </row>
    <row r="1338" spans="2:11" hidden="1" x14ac:dyDescent="0.2">
      <c r="B1338" s="4">
        <v>67147</v>
      </c>
      <c r="C1338" s="4">
        <v>0</v>
      </c>
      <c r="D1338">
        <v>0</v>
      </c>
      <c r="E1338" t="str">
        <f>VLOOKUP(B1338,[1]Nuclides!A:E,5,FALSE)</f>
        <v>Ho147</v>
      </c>
      <c r="F1338">
        <f>VLOOKUP(B1338,[1]Nuclides!A:E,4,FALSE)</f>
        <v>5.8</v>
      </c>
      <c r="G1338" t="str">
        <f t="shared" si="110"/>
        <v>5.8s</v>
      </c>
      <c r="H1338">
        <f t="shared" si="111"/>
        <v>0.11950813457930091</v>
      </c>
      <c r="I1338">
        <f t="shared" si="112"/>
        <v>0</v>
      </c>
      <c r="J1338">
        <f t="shared" si="113"/>
        <v>0</v>
      </c>
      <c r="K1338" t="str">
        <f t="shared" si="114"/>
        <v>Ho147</v>
      </c>
    </row>
    <row r="1339" spans="2:11" hidden="1" x14ac:dyDescent="0.2">
      <c r="B1339" s="4">
        <v>67148</v>
      </c>
      <c r="C1339" s="4">
        <v>0</v>
      </c>
      <c r="D1339">
        <v>0</v>
      </c>
      <c r="E1339" t="str">
        <f>VLOOKUP(B1339,[1]Nuclides!A:E,5,FALSE)</f>
        <v>Ho148</v>
      </c>
      <c r="F1339">
        <f>VLOOKUP(B1339,[1]Nuclides!A:E,4,FALSE)</f>
        <v>2.2000000000000002</v>
      </c>
      <c r="G1339" t="str">
        <f t="shared" si="110"/>
        <v>2.2s</v>
      </c>
      <c r="H1339">
        <f t="shared" si="111"/>
        <v>0.31506690025452055</v>
      </c>
      <c r="I1339">
        <f t="shared" si="112"/>
        <v>0</v>
      </c>
      <c r="J1339">
        <f t="shared" si="113"/>
        <v>0</v>
      </c>
      <c r="K1339" t="str">
        <f t="shared" si="114"/>
        <v>Ho148</v>
      </c>
    </row>
    <row r="1340" spans="2:11" hidden="1" x14ac:dyDescent="0.2">
      <c r="B1340" s="4">
        <v>67149</v>
      </c>
      <c r="C1340" s="4">
        <v>0</v>
      </c>
      <c r="D1340">
        <v>0</v>
      </c>
      <c r="E1340" t="str">
        <f>VLOOKUP(B1340,[1]Nuclides!A:E,5,FALSE)</f>
        <v>Ho149</v>
      </c>
      <c r="F1340">
        <f>VLOOKUP(B1340,[1]Nuclides!A:E,4,FALSE)</f>
        <v>21.1</v>
      </c>
      <c r="G1340" t="str">
        <f t="shared" si="110"/>
        <v>21.1s</v>
      </c>
      <c r="H1340">
        <f t="shared" si="111"/>
        <v>3.2850577277722524E-2</v>
      </c>
      <c r="I1340">
        <f t="shared" si="112"/>
        <v>0</v>
      </c>
      <c r="J1340">
        <f t="shared" si="113"/>
        <v>0</v>
      </c>
      <c r="K1340" t="str">
        <f t="shared" si="114"/>
        <v>Ho149</v>
      </c>
    </row>
    <row r="1341" spans="2:11" hidden="1" x14ac:dyDescent="0.2">
      <c r="B1341" s="4">
        <v>67150</v>
      </c>
      <c r="C1341" s="4">
        <v>0</v>
      </c>
      <c r="D1341">
        <v>0</v>
      </c>
      <c r="E1341" t="str">
        <f>VLOOKUP(B1341,[1]Nuclides!A:E,5,FALSE)</f>
        <v>Ho150</v>
      </c>
      <c r="F1341">
        <f>VLOOKUP(B1341,[1]Nuclides!A:E,4,FALSE)</f>
        <v>72</v>
      </c>
      <c r="G1341" t="str">
        <f t="shared" si="110"/>
        <v>1.2min</v>
      </c>
      <c r="H1341">
        <f t="shared" si="111"/>
        <v>9.6270441744436847E-3</v>
      </c>
      <c r="I1341">
        <f t="shared" si="112"/>
        <v>0</v>
      </c>
      <c r="J1341">
        <f t="shared" si="113"/>
        <v>0</v>
      </c>
      <c r="K1341" t="str">
        <f t="shared" si="114"/>
        <v>Ho150</v>
      </c>
    </row>
    <row r="1342" spans="2:11" hidden="1" x14ac:dyDescent="0.2">
      <c r="B1342" s="4">
        <v>67151</v>
      </c>
      <c r="C1342" s="4">
        <v>0</v>
      </c>
      <c r="D1342">
        <v>0</v>
      </c>
      <c r="E1342" t="str">
        <f>VLOOKUP(B1342,[1]Nuclides!A:E,5,FALSE)</f>
        <v>Ho151</v>
      </c>
      <c r="F1342">
        <f>VLOOKUP(B1342,[1]Nuclides!A:E,4,FALSE)</f>
        <v>35.200000000000003</v>
      </c>
      <c r="G1342" t="str">
        <f t="shared" si="110"/>
        <v>35.2s</v>
      </c>
      <c r="H1342">
        <f t="shared" si="111"/>
        <v>1.9691681265907535E-2</v>
      </c>
      <c r="I1342">
        <f t="shared" si="112"/>
        <v>0</v>
      </c>
      <c r="J1342">
        <f t="shared" si="113"/>
        <v>0</v>
      </c>
      <c r="K1342" t="str">
        <f t="shared" si="114"/>
        <v>Ho151</v>
      </c>
    </row>
    <row r="1343" spans="2:11" hidden="1" x14ac:dyDescent="0.2">
      <c r="B1343" s="4">
        <v>67152</v>
      </c>
      <c r="C1343" s="4">
        <v>0</v>
      </c>
      <c r="D1343">
        <v>0</v>
      </c>
      <c r="E1343" t="str">
        <f>VLOOKUP(B1343,[1]Nuclides!A:E,5,FALSE)</f>
        <v>Ho152</v>
      </c>
      <c r="F1343">
        <f>VLOOKUP(B1343,[1]Nuclides!A:E,4,FALSE)</f>
        <v>161.80000000000001</v>
      </c>
      <c r="G1343" t="str">
        <f t="shared" si="110"/>
        <v>2.7min</v>
      </c>
      <c r="H1343">
        <f t="shared" si="111"/>
        <v>4.2839751579724673E-3</v>
      </c>
      <c r="I1343">
        <f t="shared" si="112"/>
        <v>0</v>
      </c>
      <c r="J1343">
        <f t="shared" si="113"/>
        <v>0</v>
      </c>
      <c r="K1343" t="str">
        <f t="shared" si="114"/>
        <v>Ho152</v>
      </c>
    </row>
    <row r="1344" spans="2:11" hidden="1" x14ac:dyDescent="0.2">
      <c r="B1344" s="4">
        <v>67153</v>
      </c>
      <c r="C1344" s="4">
        <v>0</v>
      </c>
      <c r="D1344">
        <v>0</v>
      </c>
      <c r="E1344" t="str">
        <f>VLOOKUP(B1344,[1]Nuclides!A:E,5,FALSE)</f>
        <v>Ho153</v>
      </c>
      <c r="F1344">
        <f>VLOOKUP(B1344,[1]Nuclides!A:E,4,FALSE)</f>
        <v>120.6</v>
      </c>
      <c r="G1344" t="str">
        <f t="shared" si="110"/>
        <v>2.01min</v>
      </c>
      <c r="H1344">
        <f t="shared" si="111"/>
        <v>5.7474890593693642E-3</v>
      </c>
      <c r="I1344">
        <f t="shared" si="112"/>
        <v>0</v>
      </c>
      <c r="J1344">
        <f t="shared" si="113"/>
        <v>0</v>
      </c>
      <c r="K1344" t="str">
        <f t="shared" si="114"/>
        <v>Ho153</v>
      </c>
    </row>
    <row r="1345" spans="2:11" hidden="1" x14ac:dyDescent="0.2">
      <c r="B1345" s="4">
        <v>67154</v>
      </c>
      <c r="C1345" s="4">
        <v>0</v>
      </c>
      <c r="D1345">
        <v>0</v>
      </c>
      <c r="E1345" t="str">
        <f>VLOOKUP(B1345,[1]Nuclides!A:E,5,FALSE)</f>
        <v>Ho154</v>
      </c>
      <c r="F1345">
        <f>VLOOKUP(B1345,[1]Nuclides!A:E,4,FALSE)</f>
        <v>705.6</v>
      </c>
      <c r="G1345" t="str">
        <f t="shared" si="110"/>
        <v>11.76min</v>
      </c>
      <c r="H1345">
        <f t="shared" si="111"/>
        <v>9.8235144637180455E-4</v>
      </c>
      <c r="I1345">
        <f t="shared" si="112"/>
        <v>0</v>
      </c>
      <c r="J1345">
        <f t="shared" si="113"/>
        <v>0</v>
      </c>
      <c r="K1345" t="str">
        <f t="shared" si="114"/>
        <v>Ho154</v>
      </c>
    </row>
    <row r="1346" spans="2:11" hidden="1" x14ac:dyDescent="0.2">
      <c r="B1346" s="4">
        <v>67155</v>
      </c>
      <c r="C1346" s="4">
        <v>0</v>
      </c>
      <c r="D1346">
        <v>0</v>
      </c>
      <c r="E1346" t="str">
        <f>VLOOKUP(B1346,[1]Nuclides!A:E,5,FALSE)</f>
        <v>Ho155</v>
      </c>
      <c r="F1346">
        <f>VLOOKUP(B1346,[1]Nuclides!A:E,4,FALSE)</f>
        <v>2880</v>
      </c>
      <c r="G1346" t="str">
        <f t="shared" si="110"/>
        <v>48min</v>
      </c>
      <c r="H1346">
        <f t="shared" si="111"/>
        <v>2.4067610436109211E-4</v>
      </c>
      <c r="I1346">
        <f t="shared" si="112"/>
        <v>0</v>
      </c>
      <c r="J1346">
        <f t="shared" si="113"/>
        <v>0</v>
      </c>
      <c r="K1346" t="str">
        <f t="shared" si="114"/>
        <v>Ho155</v>
      </c>
    </row>
    <row r="1347" spans="2:11" hidden="1" x14ac:dyDescent="0.2">
      <c r="B1347" s="4">
        <v>67156</v>
      </c>
      <c r="C1347" s="4">
        <v>0</v>
      </c>
      <c r="D1347">
        <v>0</v>
      </c>
      <c r="E1347" t="str">
        <f>VLOOKUP(B1347,[1]Nuclides!A:E,5,FALSE)</f>
        <v>Ho156</v>
      </c>
      <c r="F1347">
        <f>VLOOKUP(B1347,[1]Nuclides!A:E,4,FALSE)</f>
        <v>3360</v>
      </c>
      <c r="G1347" t="str">
        <f t="shared" si="110"/>
        <v>56min</v>
      </c>
      <c r="H1347">
        <f t="shared" si="111"/>
        <v>2.0629380373807897E-4</v>
      </c>
      <c r="I1347">
        <f t="shared" si="112"/>
        <v>0</v>
      </c>
      <c r="J1347">
        <f t="shared" si="113"/>
        <v>0</v>
      </c>
      <c r="K1347" t="str">
        <f t="shared" si="114"/>
        <v>Ho156</v>
      </c>
    </row>
    <row r="1348" spans="2:11" hidden="1" x14ac:dyDescent="0.2">
      <c r="B1348" s="4">
        <v>67157</v>
      </c>
      <c r="C1348" s="4">
        <v>0</v>
      </c>
      <c r="D1348">
        <v>0</v>
      </c>
      <c r="E1348" t="str">
        <f>VLOOKUP(B1348,[1]Nuclides!A:E,5,FALSE)</f>
        <v>Ho157</v>
      </c>
      <c r="F1348">
        <f>VLOOKUP(B1348,[1]Nuclides!A:E,4,FALSE)</f>
        <v>756</v>
      </c>
      <c r="G1348" t="str">
        <f t="shared" si="110"/>
        <v>12.6min</v>
      </c>
      <c r="H1348">
        <f t="shared" si="111"/>
        <v>9.1686134994701759E-4</v>
      </c>
      <c r="I1348">
        <f t="shared" si="112"/>
        <v>0</v>
      </c>
      <c r="J1348">
        <f t="shared" si="113"/>
        <v>0</v>
      </c>
      <c r="K1348" t="str">
        <f t="shared" si="114"/>
        <v>Ho157</v>
      </c>
    </row>
    <row r="1349" spans="2:11" hidden="1" x14ac:dyDescent="0.2">
      <c r="B1349" s="4">
        <v>67158</v>
      </c>
      <c r="C1349" s="4">
        <v>0</v>
      </c>
      <c r="D1349">
        <v>0</v>
      </c>
      <c r="E1349" t="str">
        <f>VLOOKUP(B1349,[1]Nuclides!A:E,5,FALSE)</f>
        <v>Ho158</v>
      </c>
      <c r="F1349">
        <f>VLOOKUP(B1349,[1]Nuclides!A:E,4,FALSE)</f>
        <v>678</v>
      </c>
      <c r="G1349" t="str">
        <f t="shared" ref="G1349:G1412" si="115">IF(F1349="STABLE", "STABLE", IF(F1349&lt;60, F1349&amp;"s", IF(F1349&lt;3600, ROUND(F1349/60,2)&amp;"min", IF(F1349&lt;86400, ROUND(F1349/3600,2)&amp;"h", IF(F1349&lt;31536000, ROUND(F1349/86400,2)&amp;"d", ROUND(F1349/31536000,2)&amp;"y")))))</f>
        <v>11.3min</v>
      </c>
      <c r="H1349">
        <f t="shared" ref="H1349:H1412" si="116">LN(2)/F1349</f>
        <v>1.0223409742772054E-3</v>
      </c>
      <c r="I1349">
        <f t="shared" ref="I1349:I1412" si="117">60*6240000000000*C1349*(1-EXP(-H1349*2*3600))</f>
        <v>0</v>
      </c>
      <c r="J1349">
        <f t="shared" ref="J1349:J1412" si="118">I1349*EXP(-H1349*96*3600)</f>
        <v>0</v>
      </c>
      <c r="K1349" t="str">
        <f t="shared" ref="K1349:K1412" si="119">E1349</f>
        <v>Ho158</v>
      </c>
    </row>
    <row r="1350" spans="2:11" hidden="1" x14ac:dyDescent="0.2">
      <c r="B1350" s="4">
        <v>67159</v>
      </c>
      <c r="C1350" s="4">
        <v>0</v>
      </c>
      <c r="D1350">
        <v>0</v>
      </c>
      <c r="E1350" t="str">
        <f>VLOOKUP(B1350,[1]Nuclides!A:E,5,FALSE)</f>
        <v>Ho159</v>
      </c>
      <c r="F1350">
        <f>VLOOKUP(B1350,[1]Nuclides!A:E,4,FALSE)</f>
        <v>1982.99999999999</v>
      </c>
      <c r="G1350" t="str">
        <f t="shared" si="115"/>
        <v>33.05min</v>
      </c>
      <c r="H1350">
        <f t="shared" si="116"/>
        <v>3.495447204034033E-4</v>
      </c>
      <c r="I1350">
        <f t="shared" si="117"/>
        <v>0</v>
      </c>
      <c r="J1350">
        <f t="shared" si="118"/>
        <v>0</v>
      </c>
      <c r="K1350" t="str">
        <f t="shared" si="119"/>
        <v>Ho159</v>
      </c>
    </row>
    <row r="1351" spans="2:11" hidden="1" x14ac:dyDescent="0.2">
      <c r="B1351" s="4">
        <v>67160</v>
      </c>
      <c r="C1351" s="4">
        <v>0</v>
      </c>
      <c r="D1351">
        <v>0</v>
      </c>
      <c r="E1351" t="str">
        <f>VLOOKUP(B1351,[1]Nuclides!A:E,5,FALSE)</f>
        <v>Ho160</v>
      </c>
      <c r="F1351">
        <f>VLOOKUP(B1351,[1]Nuclides!A:E,4,FALSE)</f>
        <v>1536</v>
      </c>
      <c r="G1351" t="str">
        <f t="shared" si="115"/>
        <v>25.6min</v>
      </c>
      <c r="H1351">
        <f t="shared" si="116"/>
        <v>4.5126769567704769E-4</v>
      </c>
      <c r="I1351">
        <f t="shared" si="117"/>
        <v>0</v>
      </c>
      <c r="J1351">
        <f t="shared" si="118"/>
        <v>0</v>
      </c>
      <c r="K1351" t="str">
        <f t="shared" si="119"/>
        <v>Ho160</v>
      </c>
    </row>
    <row r="1352" spans="2:11" hidden="1" x14ac:dyDescent="0.2">
      <c r="B1352" s="4">
        <v>67161</v>
      </c>
      <c r="C1352" s="4">
        <v>0</v>
      </c>
      <c r="D1352">
        <v>0</v>
      </c>
      <c r="E1352" t="str">
        <f>VLOOKUP(B1352,[1]Nuclides!A:E,5,FALSE)</f>
        <v>Ho161</v>
      </c>
      <c r="F1352">
        <f>VLOOKUP(B1352,[1]Nuclides!A:E,4,FALSE)</f>
        <v>8928</v>
      </c>
      <c r="G1352" t="str">
        <f t="shared" si="115"/>
        <v>2.48h</v>
      </c>
      <c r="H1352">
        <f t="shared" si="116"/>
        <v>7.7637453019707131E-5</v>
      </c>
      <c r="I1352">
        <f t="shared" si="117"/>
        <v>0</v>
      </c>
      <c r="J1352">
        <f t="shared" si="118"/>
        <v>0</v>
      </c>
      <c r="K1352" t="str">
        <f t="shared" si="119"/>
        <v>Ho161</v>
      </c>
    </row>
    <row r="1353" spans="2:11" hidden="1" x14ac:dyDescent="0.2">
      <c r="B1353" s="4">
        <v>67162</v>
      </c>
      <c r="C1353" s="4">
        <v>0</v>
      </c>
      <c r="D1353">
        <v>0</v>
      </c>
      <c r="E1353" t="str">
        <f>VLOOKUP(B1353,[1]Nuclides!A:E,5,FALSE)</f>
        <v>Ho162</v>
      </c>
      <c r="F1353">
        <f>VLOOKUP(B1353,[1]Nuclides!A:E,4,FALSE)</f>
        <v>900</v>
      </c>
      <c r="G1353" t="str">
        <f t="shared" si="115"/>
        <v>15min</v>
      </c>
      <c r="H1353">
        <f t="shared" si="116"/>
        <v>7.7016353395549476E-4</v>
      </c>
      <c r="I1353">
        <f t="shared" si="117"/>
        <v>0</v>
      </c>
      <c r="J1353">
        <f t="shared" si="118"/>
        <v>0</v>
      </c>
      <c r="K1353" t="str">
        <f t="shared" si="119"/>
        <v>Ho162</v>
      </c>
    </row>
    <row r="1354" spans="2:11" hidden="1" x14ac:dyDescent="0.2">
      <c r="B1354" s="4">
        <v>67163</v>
      </c>
      <c r="C1354" s="4">
        <v>0</v>
      </c>
      <c r="D1354">
        <v>0</v>
      </c>
      <c r="E1354" t="str">
        <f>VLOOKUP(B1354,[1]Nuclides!A:E,5,FALSE)</f>
        <v>Ho163</v>
      </c>
      <c r="F1354">
        <f>VLOOKUP(B1354,[1]Nuclides!A:E,4,FALSE)</f>
        <v>144218232000</v>
      </c>
      <c r="G1354" t="str">
        <f t="shared" si="115"/>
        <v>4573.13y</v>
      </c>
      <c r="H1354">
        <f t="shared" si="116"/>
        <v>4.8062382331794589E-12</v>
      </c>
      <c r="I1354">
        <f t="shared" si="117"/>
        <v>0</v>
      </c>
      <c r="J1354">
        <f t="shared" si="118"/>
        <v>0</v>
      </c>
      <c r="K1354" t="str">
        <f t="shared" si="119"/>
        <v>Ho163</v>
      </c>
    </row>
    <row r="1355" spans="2:11" hidden="1" x14ac:dyDescent="0.2">
      <c r="B1355" s="4">
        <v>67164</v>
      </c>
      <c r="C1355" s="4">
        <v>0</v>
      </c>
      <c r="D1355">
        <v>0</v>
      </c>
      <c r="E1355" t="str">
        <f>VLOOKUP(B1355,[1]Nuclides!A:E,5,FALSE)</f>
        <v>Ho164</v>
      </c>
      <c r="F1355">
        <f>VLOOKUP(B1355,[1]Nuclides!A:E,4,FALSE)</f>
        <v>1740</v>
      </c>
      <c r="G1355" t="str">
        <f t="shared" si="115"/>
        <v>29min</v>
      </c>
      <c r="H1355">
        <f t="shared" si="116"/>
        <v>3.983604485976697E-4</v>
      </c>
      <c r="I1355">
        <f t="shared" si="117"/>
        <v>0</v>
      </c>
      <c r="J1355">
        <f t="shared" si="118"/>
        <v>0</v>
      </c>
      <c r="K1355" t="str">
        <f t="shared" si="119"/>
        <v>Ho164</v>
      </c>
    </row>
    <row r="1356" spans="2:11" hidden="1" x14ac:dyDescent="0.2">
      <c r="B1356" s="4">
        <v>67165</v>
      </c>
      <c r="C1356" s="4">
        <v>0</v>
      </c>
      <c r="D1356">
        <v>0</v>
      </c>
      <c r="E1356" t="str">
        <f>VLOOKUP(B1356,[1]Nuclides!A:E,5,FALSE)</f>
        <v>Ho165</v>
      </c>
      <c r="F1356" t="str">
        <f>VLOOKUP(B1356,[1]Nuclides!A:E,4,FALSE)</f>
        <v>STABLE</v>
      </c>
      <c r="G1356" t="str">
        <f t="shared" si="115"/>
        <v>STABLE</v>
      </c>
      <c r="H1356" t="e">
        <f t="shared" si="116"/>
        <v>#VALUE!</v>
      </c>
      <c r="I1356" t="e">
        <f t="shared" si="117"/>
        <v>#VALUE!</v>
      </c>
      <c r="J1356" t="e">
        <f t="shared" si="118"/>
        <v>#VALUE!</v>
      </c>
      <c r="K1356" t="str">
        <f t="shared" si="119"/>
        <v>Ho165</v>
      </c>
    </row>
    <row r="1357" spans="2:11" hidden="1" x14ac:dyDescent="0.2">
      <c r="B1357" s="4">
        <v>67166</v>
      </c>
      <c r="C1357" s="4">
        <v>0</v>
      </c>
      <c r="D1357">
        <v>0</v>
      </c>
      <c r="E1357" t="str">
        <f>VLOOKUP(B1357,[1]Nuclides!A:E,5,FALSE)</f>
        <v>Ho166</v>
      </c>
      <c r="F1357">
        <f>VLOOKUP(B1357,[1]Nuclides!A:E,4,FALSE)</f>
        <v>96566.399999999994</v>
      </c>
      <c r="G1357" t="str">
        <f t="shared" si="115"/>
        <v>1.12d</v>
      </c>
      <c r="H1357">
        <f t="shared" si="116"/>
        <v>7.1779333242198666E-6</v>
      </c>
      <c r="I1357">
        <f t="shared" si="117"/>
        <v>0</v>
      </c>
      <c r="J1357">
        <f t="shared" si="118"/>
        <v>0</v>
      </c>
      <c r="K1357" t="str">
        <f t="shared" si="119"/>
        <v>Ho166</v>
      </c>
    </row>
    <row r="1358" spans="2:11" hidden="1" x14ac:dyDescent="0.2">
      <c r="B1358" s="4">
        <v>67167</v>
      </c>
      <c r="C1358" s="4">
        <v>0</v>
      </c>
      <c r="D1358">
        <v>0</v>
      </c>
      <c r="E1358" t="str">
        <f>VLOOKUP(B1358,[1]Nuclides!A:E,5,FALSE)</f>
        <v>Ho167</v>
      </c>
      <c r="F1358">
        <f>VLOOKUP(B1358,[1]Nuclides!A:E,4,FALSE)</f>
        <v>10810.8</v>
      </c>
      <c r="G1358" t="str">
        <f t="shared" si="115"/>
        <v>3h</v>
      </c>
      <c r="H1358">
        <f t="shared" si="116"/>
        <v>6.4116178317973256E-5</v>
      </c>
      <c r="I1358">
        <f t="shared" si="117"/>
        <v>0</v>
      </c>
      <c r="J1358">
        <f t="shared" si="118"/>
        <v>0</v>
      </c>
      <c r="K1358" t="str">
        <f t="shared" si="119"/>
        <v>Ho167</v>
      </c>
    </row>
    <row r="1359" spans="2:11" hidden="1" x14ac:dyDescent="0.2">
      <c r="B1359" s="4">
        <v>67168</v>
      </c>
      <c r="C1359" s="4">
        <v>0</v>
      </c>
      <c r="D1359">
        <v>0</v>
      </c>
      <c r="E1359" t="str">
        <f>VLOOKUP(B1359,[1]Nuclides!A:E,5,FALSE)</f>
        <v>Ho168</v>
      </c>
      <c r="F1359">
        <f>VLOOKUP(B1359,[1]Nuclides!A:E,4,FALSE)</f>
        <v>179.4</v>
      </c>
      <c r="G1359" t="str">
        <f t="shared" si="115"/>
        <v>2.99min</v>
      </c>
      <c r="H1359">
        <f t="shared" si="116"/>
        <v>3.8636966586396058E-3</v>
      </c>
      <c r="I1359">
        <f t="shared" si="117"/>
        <v>0</v>
      </c>
      <c r="J1359">
        <f t="shared" si="118"/>
        <v>0</v>
      </c>
      <c r="K1359" t="str">
        <f t="shared" si="119"/>
        <v>Ho168</v>
      </c>
    </row>
    <row r="1360" spans="2:11" hidden="1" x14ac:dyDescent="0.2">
      <c r="B1360" s="4">
        <v>67169</v>
      </c>
      <c r="C1360" s="4">
        <v>0</v>
      </c>
      <c r="D1360">
        <v>0</v>
      </c>
      <c r="E1360" t="str">
        <f>VLOOKUP(B1360,[1]Nuclides!A:E,5,FALSE)</f>
        <v>Ho169</v>
      </c>
      <c r="F1360">
        <f>VLOOKUP(B1360,[1]Nuclides!A:E,4,FALSE)</f>
        <v>283.2</v>
      </c>
      <c r="G1360" t="str">
        <f t="shared" si="115"/>
        <v>4.72min</v>
      </c>
      <c r="H1360">
        <f t="shared" si="116"/>
        <v>2.4475536036721235E-3</v>
      </c>
      <c r="I1360">
        <f t="shared" si="117"/>
        <v>0</v>
      </c>
      <c r="J1360">
        <f t="shared" si="118"/>
        <v>0</v>
      </c>
      <c r="K1360" t="str">
        <f t="shared" si="119"/>
        <v>Ho169</v>
      </c>
    </row>
    <row r="1361" spans="2:11" hidden="1" x14ac:dyDescent="0.2">
      <c r="B1361" s="4">
        <v>67170</v>
      </c>
      <c r="C1361" s="4">
        <v>0</v>
      </c>
      <c r="D1361">
        <v>0</v>
      </c>
      <c r="E1361" t="str">
        <f>VLOOKUP(B1361,[1]Nuclides!A:E,5,FALSE)</f>
        <v>Ho170</v>
      </c>
      <c r="F1361">
        <f>VLOOKUP(B1361,[1]Nuclides!A:E,4,FALSE)</f>
        <v>165.6</v>
      </c>
      <c r="G1361" t="str">
        <f t="shared" si="115"/>
        <v>2.76min</v>
      </c>
      <c r="H1361">
        <f t="shared" si="116"/>
        <v>4.1856713801929069E-3</v>
      </c>
      <c r="I1361">
        <f t="shared" si="117"/>
        <v>0</v>
      </c>
      <c r="J1361">
        <f t="shared" si="118"/>
        <v>0</v>
      </c>
      <c r="K1361" t="str">
        <f t="shared" si="119"/>
        <v>Ho170</v>
      </c>
    </row>
    <row r="1362" spans="2:11" hidden="1" x14ac:dyDescent="0.2">
      <c r="B1362" s="4">
        <v>68147</v>
      </c>
      <c r="C1362" s="4">
        <v>0</v>
      </c>
      <c r="D1362">
        <v>0</v>
      </c>
      <c r="E1362" t="str">
        <f>VLOOKUP(B1362,[1]Nuclides!A:E,5,FALSE)</f>
        <v>Er147</v>
      </c>
      <c r="F1362">
        <f>VLOOKUP(B1362,[1]Nuclides!A:E,4,FALSE)</f>
        <v>2.5</v>
      </c>
      <c r="G1362" t="str">
        <f t="shared" si="115"/>
        <v>2.5s</v>
      </c>
      <c r="H1362">
        <f t="shared" si="116"/>
        <v>0.2772588722239781</v>
      </c>
      <c r="I1362">
        <f t="shared" si="117"/>
        <v>0</v>
      </c>
      <c r="J1362">
        <f t="shared" si="118"/>
        <v>0</v>
      </c>
      <c r="K1362" t="str">
        <f t="shared" si="119"/>
        <v>Er147</v>
      </c>
    </row>
    <row r="1363" spans="2:11" hidden="1" x14ac:dyDescent="0.2">
      <c r="B1363" s="4">
        <v>68148</v>
      </c>
      <c r="C1363" s="4">
        <v>0</v>
      </c>
      <c r="D1363">
        <v>0</v>
      </c>
      <c r="E1363" t="str">
        <f>VLOOKUP(B1363,[1]Nuclides!A:E,5,FALSE)</f>
        <v>Er148</v>
      </c>
      <c r="F1363">
        <f>VLOOKUP(B1363,[1]Nuclides!A:E,4,FALSE)</f>
        <v>4.5999999999999996</v>
      </c>
      <c r="G1363" t="str">
        <f t="shared" si="115"/>
        <v>4.6s</v>
      </c>
      <c r="H1363">
        <f t="shared" si="116"/>
        <v>0.15068416968694465</v>
      </c>
      <c r="I1363">
        <f t="shared" si="117"/>
        <v>0</v>
      </c>
      <c r="J1363">
        <f t="shared" si="118"/>
        <v>0</v>
      </c>
      <c r="K1363" t="str">
        <f t="shared" si="119"/>
        <v>Er148</v>
      </c>
    </row>
    <row r="1364" spans="2:11" hidden="1" x14ac:dyDescent="0.2">
      <c r="B1364" s="4">
        <v>68149</v>
      </c>
      <c r="C1364" s="4">
        <v>0</v>
      </c>
      <c r="D1364">
        <v>0</v>
      </c>
      <c r="E1364" t="str">
        <f>VLOOKUP(B1364,[1]Nuclides!A:E,5,FALSE)</f>
        <v>Er149</v>
      </c>
      <c r="F1364">
        <f>VLOOKUP(B1364,[1]Nuclides!A:E,4,FALSE)</f>
        <v>4</v>
      </c>
      <c r="G1364" t="str">
        <f t="shared" si="115"/>
        <v>4s</v>
      </c>
      <c r="H1364">
        <f t="shared" si="116"/>
        <v>0.17328679513998632</v>
      </c>
      <c r="I1364">
        <f t="shared" si="117"/>
        <v>0</v>
      </c>
      <c r="J1364">
        <f t="shared" si="118"/>
        <v>0</v>
      </c>
      <c r="K1364" t="str">
        <f t="shared" si="119"/>
        <v>Er149</v>
      </c>
    </row>
    <row r="1365" spans="2:11" hidden="1" x14ac:dyDescent="0.2">
      <c r="B1365" s="4">
        <v>68150</v>
      </c>
      <c r="C1365" s="4">
        <v>0</v>
      </c>
      <c r="D1365">
        <v>0</v>
      </c>
      <c r="E1365" t="str">
        <f>VLOOKUP(B1365,[1]Nuclides!A:E,5,FALSE)</f>
        <v>Er150</v>
      </c>
      <c r="F1365">
        <f>VLOOKUP(B1365,[1]Nuclides!A:E,4,FALSE)</f>
        <v>18.5</v>
      </c>
      <c r="G1365" t="str">
        <f t="shared" si="115"/>
        <v>18.5s</v>
      </c>
      <c r="H1365">
        <f t="shared" si="116"/>
        <v>3.7467415165402446E-2</v>
      </c>
      <c r="I1365">
        <f t="shared" si="117"/>
        <v>0</v>
      </c>
      <c r="J1365">
        <f t="shared" si="118"/>
        <v>0</v>
      </c>
      <c r="K1365" t="str">
        <f t="shared" si="119"/>
        <v>Er150</v>
      </c>
    </row>
    <row r="1366" spans="2:11" hidden="1" x14ac:dyDescent="0.2">
      <c r="B1366" s="4">
        <v>68151</v>
      </c>
      <c r="C1366" s="4">
        <v>0</v>
      </c>
      <c r="D1366">
        <v>0</v>
      </c>
      <c r="E1366" t="str">
        <f>VLOOKUP(B1366,[1]Nuclides!A:E,5,FALSE)</f>
        <v>Er151</v>
      </c>
      <c r="F1366">
        <f>VLOOKUP(B1366,[1]Nuclides!A:E,4,FALSE)</f>
        <v>23.5</v>
      </c>
      <c r="G1366" t="str">
        <f t="shared" si="115"/>
        <v>23.5s</v>
      </c>
      <c r="H1366">
        <f t="shared" si="116"/>
        <v>2.9495624704678522E-2</v>
      </c>
      <c r="I1366">
        <f t="shared" si="117"/>
        <v>0</v>
      </c>
      <c r="J1366">
        <f t="shared" si="118"/>
        <v>0</v>
      </c>
      <c r="K1366" t="str">
        <f t="shared" si="119"/>
        <v>Er151</v>
      </c>
    </row>
    <row r="1367" spans="2:11" hidden="1" x14ac:dyDescent="0.2">
      <c r="B1367" s="4">
        <v>68152</v>
      </c>
      <c r="C1367" s="4">
        <v>0</v>
      </c>
      <c r="D1367">
        <v>0</v>
      </c>
      <c r="E1367" t="str">
        <f>VLOOKUP(B1367,[1]Nuclides!A:E,5,FALSE)</f>
        <v>Er152</v>
      </c>
      <c r="F1367">
        <f>VLOOKUP(B1367,[1]Nuclides!A:E,4,FALSE)</f>
        <v>10.3</v>
      </c>
      <c r="G1367" t="str">
        <f t="shared" si="115"/>
        <v>10.3s</v>
      </c>
      <c r="H1367">
        <f t="shared" si="116"/>
        <v>6.7295842772810213E-2</v>
      </c>
      <c r="I1367">
        <f t="shared" si="117"/>
        <v>0</v>
      </c>
      <c r="J1367">
        <f t="shared" si="118"/>
        <v>0</v>
      </c>
      <c r="K1367" t="str">
        <f t="shared" si="119"/>
        <v>Er152</v>
      </c>
    </row>
    <row r="1368" spans="2:11" hidden="1" x14ac:dyDescent="0.2">
      <c r="B1368" s="4">
        <v>68153</v>
      </c>
      <c r="C1368" s="4">
        <v>0</v>
      </c>
      <c r="D1368">
        <v>0</v>
      </c>
      <c r="E1368" t="str">
        <f>VLOOKUP(B1368,[1]Nuclides!A:E,5,FALSE)</f>
        <v>Er153</v>
      </c>
      <c r="F1368">
        <f>VLOOKUP(B1368,[1]Nuclides!A:E,4,FALSE)</f>
        <v>37.1</v>
      </c>
      <c r="G1368" t="str">
        <f t="shared" si="115"/>
        <v>37.1s</v>
      </c>
      <c r="H1368">
        <f t="shared" si="116"/>
        <v>1.8683212414014699E-2</v>
      </c>
      <c r="I1368">
        <f t="shared" si="117"/>
        <v>0</v>
      </c>
      <c r="J1368">
        <f t="shared" si="118"/>
        <v>0</v>
      </c>
      <c r="K1368" t="str">
        <f t="shared" si="119"/>
        <v>Er153</v>
      </c>
    </row>
    <row r="1369" spans="2:11" hidden="1" x14ac:dyDescent="0.2">
      <c r="B1369" s="4">
        <v>68154</v>
      </c>
      <c r="C1369" s="4">
        <v>0</v>
      </c>
      <c r="D1369">
        <v>0</v>
      </c>
      <c r="E1369" t="str">
        <f>VLOOKUP(B1369,[1]Nuclides!A:E,5,FALSE)</f>
        <v>Er154</v>
      </c>
      <c r="F1369">
        <f>VLOOKUP(B1369,[1]Nuclides!A:E,4,FALSE)</f>
        <v>223.8</v>
      </c>
      <c r="G1369" t="str">
        <f t="shared" si="115"/>
        <v>3.73min</v>
      </c>
      <c r="H1369">
        <f t="shared" si="116"/>
        <v>3.0971723885609708E-3</v>
      </c>
      <c r="I1369">
        <f t="shared" si="117"/>
        <v>0</v>
      </c>
      <c r="J1369">
        <f t="shared" si="118"/>
        <v>0</v>
      </c>
      <c r="K1369" t="str">
        <f t="shared" si="119"/>
        <v>Er154</v>
      </c>
    </row>
    <row r="1370" spans="2:11" hidden="1" x14ac:dyDescent="0.2">
      <c r="B1370" s="4">
        <v>68155</v>
      </c>
      <c r="C1370" s="4">
        <v>0</v>
      </c>
      <c r="D1370">
        <v>0</v>
      </c>
      <c r="E1370" t="str">
        <f>VLOOKUP(B1370,[1]Nuclides!A:E,5,FALSE)</f>
        <v>Er155</v>
      </c>
      <c r="F1370">
        <f>VLOOKUP(B1370,[1]Nuclides!A:E,4,FALSE)</f>
        <v>318</v>
      </c>
      <c r="G1370" t="str">
        <f t="shared" si="115"/>
        <v>5.3min</v>
      </c>
      <c r="H1370">
        <f t="shared" si="116"/>
        <v>2.1797081149683814E-3</v>
      </c>
      <c r="I1370">
        <f t="shared" si="117"/>
        <v>0</v>
      </c>
      <c r="J1370">
        <f t="shared" si="118"/>
        <v>0</v>
      </c>
      <c r="K1370" t="str">
        <f t="shared" si="119"/>
        <v>Er155</v>
      </c>
    </row>
    <row r="1371" spans="2:11" hidden="1" x14ac:dyDescent="0.2">
      <c r="B1371" s="4">
        <v>68156</v>
      </c>
      <c r="C1371" s="4">
        <v>0</v>
      </c>
      <c r="D1371">
        <v>0</v>
      </c>
      <c r="E1371" t="str">
        <f>VLOOKUP(B1371,[1]Nuclides!A:E,5,FALSE)</f>
        <v>Er156</v>
      </c>
      <c r="F1371">
        <f>VLOOKUP(B1371,[1]Nuclides!A:E,4,FALSE)</f>
        <v>1170</v>
      </c>
      <c r="G1371" t="str">
        <f t="shared" si="115"/>
        <v>19.5min</v>
      </c>
      <c r="H1371">
        <f t="shared" si="116"/>
        <v>5.9243348765807284E-4</v>
      </c>
      <c r="I1371">
        <f t="shared" si="117"/>
        <v>0</v>
      </c>
      <c r="J1371">
        <f t="shared" si="118"/>
        <v>0</v>
      </c>
      <c r="K1371" t="str">
        <f t="shared" si="119"/>
        <v>Er156</v>
      </c>
    </row>
    <row r="1372" spans="2:11" hidden="1" x14ac:dyDescent="0.2">
      <c r="B1372" s="4">
        <v>68157</v>
      </c>
      <c r="C1372" s="4">
        <v>0</v>
      </c>
      <c r="D1372">
        <v>0</v>
      </c>
      <c r="E1372" t="str">
        <f>VLOOKUP(B1372,[1]Nuclides!A:E,5,FALSE)</f>
        <v>Er157</v>
      </c>
      <c r="F1372">
        <f>VLOOKUP(B1372,[1]Nuclides!A:E,4,FALSE)</f>
        <v>1119</v>
      </c>
      <c r="G1372" t="str">
        <f t="shared" si="115"/>
        <v>18.65min</v>
      </c>
      <c r="H1372">
        <f t="shared" si="116"/>
        <v>6.1943447771219422E-4</v>
      </c>
      <c r="I1372">
        <f t="shared" si="117"/>
        <v>0</v>
      </c>
      <c r="J1372">
        <f t="shared" si="118"/>
        <v>0</v>
      </c>
      <c r="K1372" t="str">
        <f t="shared" si="119"/>
        <v>Er157</v>
      </c>
    </row>
    <row r="1373" spans="2:11" hidden="1" x14ac:dyDescent="0.2">
      <c r="B1373" s="4">
        <v>68158</v>
      </c>
      <c r="C1373" s="4">
        <v>0</v>
      </c>
      <c r="D1373">
        <v>0</v>
      </c>
      <c r="E1373" t="str">
        <f>VLOOKUP(B1373,[1]Nuclides!A:E,5,FALSE)</f>
        <v>Er158</v>
      </c>
      <c r="F1373">
        <f>VLOOKUP(B1373,[1]Nuclides!A:E,4,FALSE)</f>
        <v>8244</v>
      </c>
      <c r="G1373" t="str">
        <f t="shared" si="115"/>
        <v>2.29h</v>
      </c>
      <c r="H1373">
        <f t="shared" si="116"/>
        <v>8.4078988423088945E-5</v>
      </c>
      <c r="I1373">
        <f t="shared" si="117"/>
        <v>0</v>
      </c>
      <c r="J1373">
        <f t="shared" si="118"/>
        <v>0</v>
      </c>
      <c r="K1373" t="str">
        <f t="shared" si="119"/>
        <v>Er158</v>
      </c>
    </row>
    <row r="1374" spans="2:11" hidden="1" x14ac:dyDescent="0.2">
      <c r="B1374" s="4">
        <v>68159</v>
      </c>
      <c r="C1374" s="4">
        <v>0</v>
      </c>
      <c r="D1374">
        <v>0</v>
      </c>
      <c r="E1374" t="str">
        <f>VLOOKUP(B1374,[1]Nuclides!A:E,5,FALSE)</f>
        <v>Er159</v>
      </c>
      <c r="F1374">
        <f>VLOOKUP(B1374,[1]Nuclides!A:E,4,FALSE)</f>
        <v>2160</v>
      </c>
      <c r="G1374" t="str">
        <f t="shared" si="115"/>
        <v>36min</v>
      </c>
      <c r="H1374">
        <f t="shared" si="116"/>
        <v>3.2090147248145615E-4</v>
      </c>
      <c r="I1374">
        <f t="shared" si="117"/>
        <v>0</v>
      </c>
      <c r="J1374">
        <f t="shared" si="118"/>
        <v>0</v>
      </c>
      <c r="K1374" t="str">
        <f t="shared" si="119"/>
        <v>Er159</v>
      </c>
    </row>
    <row r="1375" spans="2:11" hidden="1" x14ac:dyDescent="0.2">
      <c r="B1375" s="4">
        <v>68160</v>
      </c>
      <c r="C1375" s="4">
        <v>0</v>
      </c>
      <c r="D1375">
        <v>0</v>
      </c>
      <c r="E1375" t="str">
        <f>VLOOKUP(B1375,[1]Nuclides!A:E,5,FALSE)</f>
        <v>Er160</v>
      </c>
      <c r="F1375">
        <f>VLOOKUP(B1375,[1]Nuclides!A:E,4,FALSE)</f>
        <v>102888</v>
      </c>
      <c r="G1375" t="str">
        <f t="shared" si="115"/>
        <v>1.19d</v>
      </c>
      <c r="H1375">
        <f t="shared" si="116"/>
        <v>6.7369098491558323E-6</v>
      </c>
      <c r="I1375">
        <f t="shared" si="117"/>
        <v>0</v>
      </c>
      <c r="J1375">
        <f t="shared" si="118"/>
        <v>0</v>
      </c>
      <c r="K1375" t="str">
        <f t="shared" si="119"/>
        <v>Er160</v>
      </c>
    </row>
    <row r="1376" spans="2:11" hidden="1" x14ac:dyDescent="0.2">
      <c r="B1376" s="4">
        <v>68161</v>
      </c>
      <c r="C1376" s="4">
        <v>0</v>
      </c>
      <c r="D1376">
        <v>0</v>
      </c>
      <c r="E1376" t="str">
        <f>VLOOKUP(B1376,[1]Nuclides!A:E,5,FALSE)</f>
        <v>Er161</v>
      </c>
      <c r="F1376">
        <f>VLOOKUP(B1376,[1]Nuclides!A:E,4,FALSE)</f>
        <v>11556</v>
      </c>
      <c r="G1376" t="str">
        <f t="shared" si="115"/>
        <v>3.21h</v>
      </c>
      <c r="H1376">
        <f t="shared" si="116"/>
        <v>5.9981583641393672E-5</v>
      </c>
      <c r="I1376">
        <f t="shared" si="117"/>
        <v>0</v>
      </c>
      <c r="J1376">
        <f t="shared" si="118"/>
        <v>0</v>
      </c>
      <c r="K1376" t="str">
        <f t="shared" si="119"/>
        <v>Er161</v>
      </c>
    </row>
    <row r="1377" spans="2:11" hidden="1" x14ac:dyDescent="0.2">
      <c r="B1377" s="4">
        <v>68162</v>
      </c>
      <c r="C1377" s="4">
        <v>0</v>
      </c>
      <c r="D1377">
        <v>0</v>
      </c>
      <c r="E1377" t="str">
        <f>VLOOKUP(B1377,[1]Nuclides!A:E,5,FALSE)</f>
        <v>Er162</v>
      </c>
      <c r="F1377" t="str">
        <f>VLOOKUP(B1377,[1]Nuclides!A:E,4,FALSE)</f>
        <v>STABLE</v>
      </c>
      <c r="G1377" t="str">
        <f t="shared" si="115"/>
        <v>STABLE</v>
      </c>
      <c r="H1377" t="e">
        <f t="shared" si="116"/>
        <v>#VALUE!</v>
      </c>
      <c r="I1377" t="e">
        <f t="shared" si="117"/>
        <v>#VALUE!</v>
      </c>
      <c r="J1377" t="e">
        <f t="shared" si="118"/>
        <v>#VALUE!</v>
      </c>
      <c r="K1377" t="str">
        <f t="shared" si="119"/>
        <v>Er162</v>
      </c>
    </row>
    <row r="1378" spans="2:11" hidden="1" x14ac:dyDescent="0.2">
      <c r="B1378" s="4">
        <v>68163</v>
      </c>
      <c r="C1378" s="4">
        <v>0</v>
      </c>
      <c r="D1378">
        <v>0</v>
      </c>
      <c r="E1378" t="str">
        <f>VLOOKUP(B1378,[1]Nuclides!A:E,5,FALSE)</f>
        <v>Er163</v>
      </c>
      <c r="F1378">
        <f>VLOOKUP(B1378,[1]Nuclides!A:E,4,FALSE)</f>
        <v>4500</v>
      </c>
      <c r="G1378" t="str">
        <f t="shared" si="115"/>
        <v>1.25h</v>
      </c>
      <c r="H1378">
        <f t="shared" si="116"/>
        <v>1.5403270679109895E-4</v>
      </c>
      <c r="I1378">
        <f t="shared" si="117"/>
        <v>0</v>
      </c>
      <c r="J1378">
        <f t="shared" si="118"/>
        <v>0</v>
      </c>
      <c r="K1378" t="str">
        <f t="shared" si="119"/>
        <v>Er163</v>
      </c>
    </row>
    <row r="1379" spans="2:11" hidden="1" x14ac:dyDescent="0.2">
      <c r="B1379" s="4">
        <v>68164</v>
      </c>
      <c r="C1379" s="4">
        <v>0</v>
      </c>
      <c r="D1379">
        <v>0</v>
      </c>
      <c r="E1379" t="str">
        <f>VLOOKUP(B1379,[1]Nuclides!A:E,5,FALSE)</f>
        <v>Er164</v>
      </c>
      <c r="F1379" t="str">
        <f>VLOOKUP(B1379,[1]Nuclides!A:E,4,FALSE)</f>
        <v>STABLE</v>
      </c>
      <c r="G1379" t="str">
        <f t="shared" si="115"/>
        <v>STABLE</v>
      </c>
      <c r="H1379" t="e">
        <f t="shared" si="116"/>
        <v>#VALUE!</v>
      </c>
      <c r="I1379" t="e">
        <f t="shared" si="117"/>
        <v>#VALUE!</v>
      </c>
      <c r="J1379" t="e">
        <f t="shared" si="118"/>
        <v>#VALUE!</v>
      </c>
      <c r="K1379" t="str">
        <f t="shared" si="119"/>
        <v>Er164</v>
      </c>
    </row>
    <row r="1380" spans="2:11" hidden="1" x14ac:dyDescent="0.2">
      <c r="B1380" s="4">
        <v>68165</v>
      </c>
      <c r="C1380" s="4">
        <v>0</v>
      </c>
      <c r="D1380">
        <v>0</v>
      </c>
      <c r="E1380" t="str">
        <f>VLOOKUP(B1380,[1]Nuclides!A:E,5,FALSE)</f>
        <v>Er165</v>
      </c>
      <c r="F1380">
        <f>VLOOKUP(B1380,[1]Nuclides!A:E,4,FALSE)</f>
        <v>37296</v>
      </c>
      <c r="G1380" t="str">
        <f t="shared" si="115"/>
        <v>10.36h</v>
      </c>
      <c r="H1380">
        <f t="shared" si="116"/>
        <v>1.8585027363790896E-5</v>
      </c>
      <c r="I1380">
        <f t="shared" si="117"/>
        <v>0</v>
      </c>
      <c r="J1380">
        <f t="shared" si="118"/>
        <v>0</v>
      </c>
      <c r="K1380" t="str">
        <f t="shared" si="119"/>
        <v>Er165</v>
      </c>
    </row>
    <row r="1381" spans="2:11" hidden="1" x14ac:dyDescent="0.2">
      <c r="B1381" s="4">
        <v>68166</v>
      </c>
      <c r="C1381" s="4">
        <v>0</v>
      </c>
      <c r="D1381">
        <v>0</v>
      </c>
      <c r="E1381" t="str">
        <f>VLOOKUP(B1381,[1]Nuclides!A:E,5,FALSE)</f>
        <v>Er166</v>
      </c>
      <c r="F1381" t="str">
        <f>VLOOKUP(B1381,[1]Nuclides!A:E,4,FALSE)</f>
        <v>STABLE</v>
      </c>
      <c r="G1381" t="str">
        <f t="shared" si="115"/>
        <v>STABLE</v>
      </c>
      <c r="H1381" t="e">
        <f t="shared" si="116"/>
        <v>#VALUE!</v>
      </c>
      <c r="I1381" t="e">
        <f t="shared" si="117"/>
        <v>#VALUE!</v>
      </c>
      <c r="J1381" t="e">
        <f t="shared" si="118"/>
        <v>#VALUE!</v>
      </c>
      <c r="K1381" t="str">
        <f t="shared" si="119"/>
        <v>Er166</v>
      </c>
    </row>
    <row r="1382" spans="2:11" hidden="1" x14ac:dyDescent="0.2">
      <c r="B1382" s="4">
        <v>68167</v>
      </c>
      <c r="C1382" s="4">
        <v>0</v>
      </c>
      <c r="D1382">
        <v>0</v>
      </c>
      <c r="E1382" t="str">
        <f>VLOOKUP(B1382,[1]Nuclides!A:E,5,FALSE)</f>
        <v>Er167</v>
      </c>
      <c r="F1382" t="str">
        <f>VLOOKUP(B1382,[1]Nuclides!A:E,4,FALSE)</f>
        <v>STABLE</v>
      </c>
      <c r="G1382" t="str">
        <f t="shared" si="115"/>
        <v>STABLE</v>
      </c>
      <c r="H1382" t="e">
        <f t="shared" si="116"/>
        <v>#VALUE!</v>
      </c>
      <c r="I1382" t="e">
        <f t="shared" si="117"/>
        <v>#VALUE!</v>
      </c>
      <c r="J1382" t="e">
        <f t="shared" si="118"/>
        <v>#VALUE!</v>
      </c>
      <c r="K1382" t="str">
        <f t="shared" si="119"/>
        <v>Er167</v>
      </c>
    </row>
    <row r="1383" spans="2:11" hidden="1" x14ac:dyDescent="0.2">
      <c r="B1383" s="4">
        <v>68168</v>
      </c>
      <c r="C1383" s="4">
        <v>0</v>
      </c>
      <c r="D1383">
        <v>0</v>
      </c>
      <c r="E1383" t="str">
        <f>VLOOKUP(B1383,[1]Nuclides!A:E,5,FALSE)</f>
        <v>Er168</v>
      </c>
      <c r="F1383" t="str">
        <f>VLOOKUP(B1383,[1]Nuclides!A:E,4,FALSE)</f>
        <v>STABLE</v>
      </c>
      <c r="G1383" t="str">
        <f t="shared" si="115"/>
        <v>STABLE</v>
      </c>
      <c r="H1383" t="e">
        <f t="shared" si="116"/>
        <v>#VALUE!</v>
      </c>
      <c r="I1383" t="e">
        <f t="shared" si="117"/>
        <v>#VALUE!</v>
      </c>
      <c r="J1383" t="e">
        <f t="shared" si="118"/>
        <v>#VALUE!</v>
      </c>
      <c r="K1383" t="str">
        <f t="shared" si="119"/>
        <v>Er168</v>
      </c>
    </row>
    <row r="1384" spans="2:11" hidden="1" x14ac:dyDescent="0.2">
      <c r="B1384" s="4">
        <v>68169</v>
      </c>
      <c r="C1384" s="4">
        <v>0</v>
      </c>
      <c r="D1384">
        <v>0</v>
      </c>
      <c r="E1384" t="str">
        <f>VLOOKUP(B1384,[1]Nuclides!A:E,5,FALSE)</f>
        <v>Er169</v>
      </c>
      <c r="F1384">
        <f>VLOOKUP(B1384,[1]Nuclides!A:E,4,FALSE)</f>
        <v>811468.799999999</v>
      </c>
      <c r="G1384" t="str">
        <f t="shared" si="115"/>
        <v>9.39d</v>
      </c>
      <c r="H1384">
        <f t="shared" si="116"/>
        <v>8.5418833177559772E-7</v>
      </c>
      <c r="I1384">
        <f t="shared" si="117"/>
        <v>0</v>
      </c>
      <c r="J1384">
        <f t="shared" si="118"/>
        <v>0</v>
      </c>
      <c r="K1384" t="str">
        <f t="shared" si="119"/>
        <v>Er169</v>
      </c>
    </row>
    <row r="1385" spans="2:11" hidden="1" x14ac:dyDescent="0.2">
      <c r="B1385" s="4">
        <v>68170</v>
      </c>
      <c r="C1385" s="4">
        <v>0</v>
      </c>
      <c r="D1385">
        <v>0</v>
      </c>
      <c r="E1385" t="str">
        <f>VLOOKUP(B1385,[1]Nuclides!A:E,5,FALSE)</f>
        <v>Er170</v>
      </c>
      <c r="F1385" t="str">
        <f>VLOOKUP(B1385,[1]Nuclides!A:E,4,FALSE)</f>
        <v>STABLE</v>
      </c>
      <c r="G1385" t="str">
        <f t="shared" si="115"/>
        <v>STABLE</v>
      </c>
      <c r="H1385" t="e">
        <f t="shared" si="116"/>
        <v>#VALUE!</v>
      </c>
      <c r="I1385" t="e">
        <f t="shared" si="117"/>
        <v>#VALUE!</v>
      </c>
      <c r="J1385" t="e">
        <f t="shared" si="118"/>
        <v>#VALUE!</v>
      </c>
      <c r="K1385" t="str">
        <f t="shared" si="119"/>
        <v>Er170</v>
      </c>
    </row>
    <row r="1386" spans="2:11" hidden="1" x14ac:dyDescent="0.2">
      <c r="B1386" s="4">
        <v>68171</v>
      </c>
      <c r="C1386" s="4">
        <v>0</v>
      </c>
      <c r="D1386">
        <v>0</v>
      </c>
      <c r="E1386" t="str">
        <f>VLOOKUP(B1386,[1]Nuclides!A:E,5,FALSE)</f>
        <v>Er171</v>
      </c>
      <c r="F1386">
        <f>VLOOKUP(B1386,[1]Nuclides!A:E,4,FALSE)</f>
        <v>27057.599999999999</v>
      </c>
      <c r="G1386" t="str">
        <f t="shared" si="115"/>
        <v>7.52h</v>
      </c>
      <c r="H1386">
        <f t="shared" si="116"/>
        <v>2.5617467201819281E-5</v>
      </c>
      <c r="I1386">
        <f t="shared" si="117"/>
        <v>0</v>
      </c>
      <c r="J1386">
        <f t="shared" si="118"/>
        <v>0</v>
      </c>
      <c r="K1386" t="str">
        <f t="shared" si="119"/>
        <v>Er171</v>
      </c>
    </row>
    <row r="1387" spans="2:11" hidden="1" x14ac:dyDescent="0.2">
      <c r="B1387" s="4">
        <v>68172</v>
      </c>
      <c r="C1387" s="4">
        <v>0</v>
      </c>
      <c r="D1387">
        <v>0</v>
      </c>
      <c r="E1387" t="str">
        <f>VLOOKUP(B1387,[1]Nuclides!A:E,5,FALSE)</f>
        <v>Er172</v>
      </c>
      <c r="F1387">
        <f>VLOOKUP(B1387,[1]Nuclides!A:E,4,FALSE)</f>
        <v>177480</v>
      </c>
      <c r="G1387" t="str">
        <f t="shared" si="115"/>
        <v>2.05d</v>
      </c>
      <c r="H1387">
        <f t="shared" si="116"/>
        <v>3.9054945940948014E-6</v>
      </c>
      <c r="I1387">
        <f t="shared" si="117"/>
        <v>0</v>
      </c>
      <c r="J1387">
        <f t="shared" si="118"/>
        <v>0</v>
      </c>
      <c r="K1387" t="str">
        <f t="shared" si="119"/>
        <v>Er172</v>
      </c>
    </row>
    <row r="1388" spans="2:11" hidden="1" x14ac:dyDescent="0.2">
      <c r="B1388" s="4">
        <v>68173</v>
      </c>
      <c r="C1388" s="4">
        <v>0</v>
      </c>
      <c r="D1388">
        <v>0</v>
      </c>
      <c r="E1388" t="str">
        <f>VLOOKUP(B1388,[1]Nuclides!A:E,5,FALSE)</f>
        <v>Er173</v>
      </c>
      <c r="F1388">
        <f>VLOOKUP(B1388,[1]Nuclides!A:E,4,FALSE)</f>
        <v>84</v>
      </c>
      <c r="G1388" t="str">
        <f t="shared" si="115"/>
        <v>1.4min</v>
      </c>
      <c r="H1388">
        <f t="shared" si="116"/>
        <v>8.2517521495231588E-3</v>
      </c>
      <c r="I1388">
        <f t="shared" si="117"/>
        <v>0</v>
      </c>
      <c r="J1388">
        <f t="shared" si="118"/>
        <v>0</v>
      </c>
      <c r="K1388" t="str">
        <f t="shared" si="119"/>
        <v>Er173</v>
      </c>
    </row>
    <row r="1389" spans="2:11" hidden="1" x14ac:dyDescent="0.2">
      <c r="B1389" s="4">
        <v>69151</v>
      </c>
      <c r="C1389" s="4">
        <v>0</v>
      </c>
      <c r="D1389">
        <v>0</v>
      </c>
      <c r="E1389" t="str">
        <f>VLOOKUP(B1389,[1]Nuclides!A:E,5,FALSE)</f>
        <v>Tm151</v>
      </c>
      <c r="F1389">
        <f>VLOOKUP(B1389,[1]Nuclides!A:E,4,FALSE)</f>
        <v>4.17</v>
      </c>
      <c r="G1389" t="str">
        <f t="shared" si="115"/>
        <v>4.17s</v>
      </c>
      <c r="H1389">
        <f t="shared" si="116"/>
        <v>0.16622234545802045</v>
      </c>
      <c r="I1389">
        <f t="shared" si="117"/>
        <v>0</v>
      </c>
      <c r="J1389">
        <f t="shared" si="118"/>
        <v>0</v>
      </c>
      <c r="K1389" t="str">
        <f t="shared" si="119"/>
        <v>Tm151</v>
      </c>
    </row>
    <row r="1390" spans="2:11" hidden="1" x14ac:dyDescent="0.2">
      <c r="B1390" s="4">
        <v>69152</v>
      </c>
      <c r="C1390" s="4">
        <v>0</v>
      </c>
      <c r="D1390">
        <v>0</v>
      </c>
      <c r="E1390" t="str">
        <f>VLOOKUP(B1390,[1]Nuclides!A:E,5,FALSE)</f>
        <v>Tm152</v>
      </c>
      <c r="F1390">
        <f>VLOOKUP(B1390,[1]Nuclides!A:E,4,FALSE)</f>
        <v>8</v>
      </c>
      <c r="G1390" t="str">
        <f t="shared" si="115"/>
        <v>8s</v>
      </c>
      <c r="H1390">
        <f t="shared" si="116"/>
        <v>8.6643397569993161E-2</v>
      </c>
      <c r="I1390">
        <f t="shared" si="117"/>
        <v>0</v>
      </c>
      <c r="J1390">
        <f t="shared" si="118"/>
        <v>0</v>
      </c>
      <c r="K1390" t="str">
        <f t="shared" si="119"/>
        <v>Tm152</v>
      </c>
    </row>
    <row r="1391" spans="2:11" hidden="1" x14ac:dyDescent="0.2">
      <c r="B1391" s="4">
        <v>69153</v>
      </c>
      <c r="C1391" s="4">
        <v>0</v>
      </c>
      <c r="D1391">
        <v>0</v>
      </c>
      <c r="E1391" t="str">
        <f>VLOOKUP(B1391,[1]Nuclides!A:E,5,FALSE)</f>
        <v>Tm153</v>
      </c>
      <c r="F1391">
        <f>VLOOKUP(B1391,[1]Nuclides!A:E,4,FALSE)</f>
        <v>1.48</v>
      </c>
      <c r="G1391" t="str">
        <f t="shared" si="115"/>
        <v>1.48s</v>
      </c>
      <c r="H1391">
        <f t="shared" si="116"/>
        <v>0.46834268956753061</v>
      </c>
      <c r="I1391">
        <f t="shared" si="117"/>
        <v>0</v>
      </c>
      <c r="J1391">
        <f t="shared" si="118"/>
        <v>0</v>
      </c>
      <c r="K1391" t="str">
        <f t="shared" si="119"/>
        <v>Tm153</v>
      </c>
    </row>
    <row r="1392" spans="2:11" hidden="1" x14ac:dyDescent="0.2">
      <c r="B1392" s="4">
        <v>69154</v>
      </c>
      <c r="C1392" s="4">
        <v>0</v>
      </c>
      <c r="D1392">
        <v>0</v>
      </c>
      <c r="E1392" t="str">
        <f>VLOOKUP(B1392,[1]Nuclides!A:E,5,FALSE)</f>
        <v>Tm154</v>
      </c>
      <c r="F1392">
        <f>VLOOKUP(B1392,[1]Nuclides!A:E,4,FALSE)</f>
        <v>8.1</v>
      </c>
      <c r="G1392" t="str">
        <f t="shared" si="115"/>
        <v>8.1s</v>
      </c>
      <c r="H1392">
        <f t="shared" si="116"/>
        <v>8.5573725995054972E-2</v>
      </c>
      <c r="I1392">
        <f t="shared" si="117"/>
        <v>0</v>
      </c>
      <c r="J1392">
        <f t="shared" si="118"/>
        <v>0</v>
      </c>
      <c r="K1392" t="str">
        <f t="shared" si="119"/>
        <v>Tm154</v>
      </c>
    </row>
    <row r="1393" spans="2:11" hidden="1" x14ac:dyDescent="0.2">
      <c r="B1393" s="4">
        <v>69155</v>
      </c>
      <c r="C1393" s="4">
        <v>0</v>
      </c>
      <c r="D1393">
        <v>0</v>
      </c>
      <c r="E1393" t="str">
        <f>VLOOKUP(B1393,[1]Nuclides!A:E,5,FALSE)</f>
        <v>Tm155</v>
      </c>
      <c r="F1393">
        <f>VLOOKUP(B1393,[1]Nuclides!A:E,4,FALSE)</f>
        <v>21.6</v>
      </c>
      <c r="G1393" t="str">
        <f t="shared" si="115"/>
        <v>21.6s</v>
      </c>
      <c r="H1393">
        <f t="shared" si="116"/>
        <v>3.2090147248145615E-2</v>
      </c>
      <c r="I1393">
        <f t="shared" si="117"/>
        <v>0</v>
      </c>
      <c r="J1393">
        <f t="shared" si="118"/>
        <v>0</v>
      </c>
      <c r="K1393" t="str">
        <f t="shared" si="119"/>
        <v>Tm155</v>
      </c>
    </row>
    <row r="1394" spans="2:11" hidden="1" x14ac:dyDescent="0.2">
      <c r="B1394" s="4">
        <v>69156</v>
      </c>
      <c r="C1394" s="4">
        <v>0</v>
      </c>
      <c r="D1394">
        <v>0</v>
      </c>
      <c r="E1394" t="str">
        <f>VLOOKUP(B1394,[1]Nuclides!A:E,5,FALSE)</f>
        <v>Tm156</v>
      </c>
      <c r="F1394">
        <f>VLOOKUP(B1394,[1]Nuclides!A:E,4,FALSE)</f>
        <v>83.8</v>
      </c>
      <c r="G1394" t="str">
        <f t="shared" si="115"/>
        <v>1.4min</v>
      </c>
      <c r="H1394">
        <f t="shared" si="116"/>
        <v>8.2714460687344313E-3</v>
      </c>
      <c r="I1394">
        <f t="shared" si="117"/>
        <v>0</v>
      </c>
      <c r="J1394">
        <f t="shared" si="118"/>
        <v>0</v>
      </c>
      <c r="K1394" t="str">
        <f t="shared" si="119"/>
        <v>Tm156</v>
      </c>
    </row>
    <row r="1395" spans="2:11" hidden="1" x14ac:dyDescent="0.2">
      <c r="B1395" s="4">
        <v>69157</v>
      </c>
      <c r="C1395" s="4">
        <v>0</v>
      </c>
      <c r="D1395">
        <v>0</v>
      </c>
      <c r="E1395" t="str">
        <f>VLOOKUP(B1395,[1]Nuclides!A:E,5,FALSE)</f>
        <v>Tm157</v>
      </c>
      <c r="F1395">
        <f>VLOOKUP(B1395,[1]Nuclides!A:E,4,FALSE)</f>
        <v>217.79999999999899</v>
      </c>
      <c r="G1395" t="str">
        <f t="shared" si="115"/>
        <v>3.63min</v>
      </c>
      <c r="H1395">
        <f t="shared" si="116"/>
        <v>3.1824939419648692E-3</v>
      </c>
      <c r="I1395">
        <f t="shared" si="117"/>
        <v>0</v>
      </c>
      <c r="J1395">
        <f t="shared" si="118"/>
        <v>0</v>
      </c>
      <c r="K1395" t="str">
        <f t="shared" si="119"/>
        <v>Tm157</v>
      </c>
    </row>
    <row r="1396" spans="2:11" hidden="1" x14ac:dyDescent="0.2">
      <c r="B1396" s="4">
        <v>69158</v>
      </c>
      <c r="C1396" s="4">
        <v>0</v>
      </c>
      <c r="D1396">
        <v>0</v>
      </c>
      <c r="E1396" t="str">
        <f>VLOOKUP(B1396,[1]Nuclides!A:E,5,FALSE)</f>
        <v>Tm158</v>
      </c>
      <c r="F1396">
        <f>VLOOKUP(B1396,[1]Nuclides!A:E,4,FALSE)</f>
        <v>238.8</v>
      </c>
      <c r="G1396" t="str">
        <f t="shared" si="115"/>
        <v>3.98min</v>
      </c>
      <c r="H1396">
        <f t="shared" si="116"/>
        <v>2.9026263842543772E-3</v>
      </c>
      <c r="I1396">
        <f t="shared" si="117"/>
        <v>0</v>
      </c>
      <c r="J1396">
        <f t="shared" si="118"/>
        <v>0</v>
      </c>
      <c r="K1396" t="str">
        <f t="shared" si="119"/>
        <v>Tm158</v>
      </c>
    </row>
    <row r="1397" spans="2:11" hidden="1" x14ac:dyDescent="0.2">
      <c r="B1397" s="4">
        <v>69159</v>
      </c>
      <c r="C1397" s="4">
        <v>0</v>
      </c>
      <c r="D1397">
        <v>0</v>
      </c>
      <c r="E1397" t="str">
        <f>VLOOKUP(B1397,[1]Nuclides!A:E,5,FALSE)</f>
        <v>Tm159</v>
      </c>
      <c r="F1397">
        <f>VLOOKUP(B1397,[1]Nuclides!A:E,4,FALSE)</f>
        <v>547.79999999999995</v>
      </c>
      <c r="G1397" t="str">
        <f t="shared" si="115"/>
        <v>9.13min</v>
      </c>
      <c r="H1397">
        <f t="shared" si="116"/>
        <v>1.2653289166848218E-3</v>
      </c>
      <c r="I1397">
        <f t="shared" si="117"/>
        <v>0</v>
      </c>
      <c r="J1397">
        <f t="shared" si="118"/>
        <v>0</v>
      </c>
      <c r="K1397" t="str">
        <f t="shared" si="119"/>
        <v>Tm159</v>
      </c>
    </row>
    <row r="1398" spans="2:11" hidden="1" x14ac:dyDescent="0.2">
      <c r="B1398" s="4">
        <v>69160</v>
      </c>
      <c r="C1398" s="4">
        <v>0</v>
      </c>
      <c r="D1398">
        <v>0</v>
      </c>
      <c r="E1398" t="str">
        <f>VLOOKUP(B1398,[1]Nuclides!A:E,5,FALSE)</f>
        <v>Tm160</v>
      </c>
      <c r="F1398">
        <f>VLOOKUP(B1398,[1]Nuclides!A:E,4,FALSE)</f>
        <v>564</v>
      </c>
      <c r="G1398" t="str">
        <f t="shared" si="115"/>
        <v>9.4min</v>
      </c>
      <c r="H1398">
        <f t="shared" si="116"/>
        <v>1.2289843626949386E-3</v>
      </c>
      <c r="I1398">
        <f t="shared" si="117"/>
        <v>0</v>
      </c>
      <c r="J1398">
        <f t="shared" si="118"/>
        <v>0</v>
      </c>
      <c r="K1398" t="str">
        <f t="shared" si="119"/>
        <v>Tm160</v>
      </c>
    </row>
    <row r="1399" spans="2:11" hidden="1" x14ac:dyDescent="0.2">
      <c r="B1399" s="4">
        <v>69161</v>
      </c>
      <c r="C1399" s="4">
        <v>0</v>
      </c>
      <c r="D1399">
        <v>0</v>
      </c>
      <c r="E1399" t="str">
        <f>VLOOKUP(B1399,[1]Nuclides!A:E,5,FALSE)</f>
        <v>Tm161</v>
      </c>
      <c r="F1399">
        <f>VLOOKUP(B1399,[1]Nuclides!A:E,4,FALSE)</f>
        <v>1812</v>
      </c>
      <c r="G1399" t="str">
        <f t="shared" si="115"/>
        <v>30.2min</v>
      </c>
      <c r="H1399">
        <f t="shared" si="116"/>
        <v>3.825315566004113E-4</v>
      </c>
      <c r="I1399">
        <f t="shared" si="117"/>
        <v>0</v>
      </c>
      <c r="J1399">
        <f t="shared" si="118"/>
        <v>0</v>
      </c>
      <c r="K1399" t="str">
        <f t="shared" si="119"/>
        <v>Tm161</v>
      </c>
    </row>
    <row r="1400" spans="2:11" hidden="1" x14ac:dyDescent="0.2">
      <c r="B1400" s="4">
        <v>69162</v>
      </c>
      <c r="C1400" s="4">
        <v>0</v>
      </c>
      <c r="D1400">
        <v>0</v>
      </c>
      <c r="E1400" t="str">
        <f>VLOOKUP(B1400,[1]Nuclides!A:E,5,FALSE)</f>
        <v>Tm162</v>
      </c>
      <c r="F1400">
        <f>VLOOKUP(B1400,[1]Nuclides!A:E,4,FALSE)</f>
        <v>1302</v>
      </c>
      <c r="G1400" t="str">
        <f t="shared" si="115"/>
        <v>21.7min</v>
      </c>
      <c r="H1400">
        <f t="shared" si="116"/>
        <v>5.3237110642084893E-4</v>
      </c>
      <c r="I1400">
        <f t="shared" si="117"/>
        <v>0</v>
      </c>
      <c r="J1400">
        <f t="shared" si="118"/>
        <v>0</v>
      </c>
      <c r="K1400" t="str">
        <f t="shared" si="119"/>
        <v>Tm162</v>
      </c>
    </row>
    <row r="1401" spans="2:11" hidden="1" x14ac:dyDescent="0.2">
      <c r="B1401" s="4">
        <v>69163</v>
      </c>
      <c r="C1401" s="4">
        <v>0</v>
      </c>
      <c r="D1401">
        <v>0</v>
      </c>
      <c r="E1401" t="str">
        <f>VLOOKUP(B1401,[1]Nuclides!A:E,5,FALSE)</f>
        <v>Tm163</v>
      </c>
      <c r="F1401">
        <f>VLOOKUP(B1401,[1]Nuclides!A:E,4,FALSE)</f>
        <v>6516</v>
      </c>
      <c r="G1401" t="str">
        <f t="shared" si="115"/>
        <v>1.81h</v>
      </c>
      <c r="H1401">
        <f t="shared" si="116"/>
        <v>1.0637617872313464E-4</v>
      </c>
      <c r="I1401">
        <f t="shared" si="117"/>
        <v>0</v>
      </c>
      <c r="J1401">
        <f t="shared" si="118"/>
        <v>0</v>
      </c>
      <c r="K1401" t="str">
        <f t="shared" si="119"/>
        <v>Tm163</v>
      </c>
    </row>
    <row r="1402" spans="2:11" hidden="1" x14ac:dyDescent="0.2">
      <c r="B1402" s="4">
        <v>69164</v>
      </c>
      <c r="C1402" s="4">
        <v>0</v>
      </c>
      <c r="D1402">
        <v>0</v>
      </c>
      <c r="E1402" t="str">
        <f>VLOOKUP(B1402,[1]Nuclides!A:E,5,FALSE)</f>
        <v>Tm164</v>
      </c>
      <c r="F1402">
        <f>VLOOKUP(B1402,[1]Nuclides!A:E,4,FALSE)</f>
        <v>120</v>
      </c>
      <c r="G1402" t="str">
        <f t="shared" si="115"/>
        <v>2min</v>
      </c>
      <c r="H1402">
        <f t="shared" si="116"/>
        <v>5.7762265046662105E-3</v>
      </c>
      <c r="I1402">
        <f t="shared" si="117"/>
        <v>0</v>
      </c>
      <c r="J1402">
        <f t="shared" si="118"/>
        <v>0</v>
      </c>
      <c r="K1402" t="str">
        <f t="shared" si="119"/>
        <v>Tm164</v>
      </c>
    </row>
    <row r="1403" spans="2:11" hidden="1" x14ac:dyDescent="0.2">
      <c r="B1403" s="4">
        <v>69165</v>
      </c>
      <c r="C1403" s="4">
        <v>0</v>
      </c>
      <c r="D1403">
        <v>0</v>
      </c>
      <c r="E1403" t="str">
        <f>VLOOKUP(B1403,[1]Nuclides!A:E,5,FALSE)</f>
        <v>Tm165</v>
      </c>
      <c r="F1403">
        <f>VLOOKUP(B1403,[1]Nuclides!A:E,4,FALSE)</f>
        <v>108216</v>
      </c>
      <c r="G1403" t="str">
        <f t="shared" si="115"/>
        <v>1.25d</v>
      </c>
      <c r="H1403">
        <f t="shared" si="116"/>
        <v>6.4052190116059112E-6</v>
      </c>
      <c r="I1403">
        <f t="shared" si="117"/>
        <v>0</v>
      </c>
      <c r="J1403">
        <f t="shared" si="118"/>
        <v>0</v>
      </c>
      <c r="K1403" t="str">
        <f t="shared" si="119"/>
        <v>Tm165</v>
      </c>
    </row>
    <row r="1404" spans="2:11" hidden="1" x14ac:dyDescent="0.2">
      <c r="B1404" s="4">
        <v>69166</v>
      </c>
      <c r="C1404" s="4">
        <v>0</v>
      </c>
      <c r="D1404">
        <v>0</v>
      </c>
      <c r="E1404" t="str">
        <f>VLOOKUP(B1404,[1]Nuclides!A:E,5,FALSE)</f>
        <v>Tm166</v>
      </c>
      <c r="F1404">
        <f>VLOOKUP(B1404,[1]Nuclides!A:E,4,FALSE)</f>
        <v>27720</v>
      </c>
      <c r="G1404" t="str">
        <f t="shared" si="115"/>
        <v>7.7h</v>
      </c>
      <c r="H1404">
        <f t="shared" si="116"/>
        <v>2.5005309544009571E-5</v>
      </c>
      <c r="I1404">
        <f t="shared" si="117"/>
        <v>0</v>
      </c>
      <c r="J1404">
        <f t="shared" si="118"/>
        <v>0</v>
      </c>
      <c r="K1404" t="str">
        <f t="shared" si="119"/>
        <v>Tm166</v>
      </c>
    </row>
    <row r="1405" spans="2:11" hidden="1" x14ac:dyDescent="0.2">
      <c r="B1405" s="4">
        <v>69167</v>
      </c>
      <c r="C1405" s="4">
        <v>0</v>
      </c>
      <c r="D1405">
        <v>0</v>
      </c>
      <c r="E1405" t="str">
        <f>VLOOKUP(B1405,[1]Nuclides!A:E,5,FALSE)</f>
        <v>Tm167</v>
      </c>
      <c r="F1405">
        <f>VLOOKUP(B1405,[1]Nuclides!A:E,4,FALSE)</f>
        <v>799200</v>
      </c>
      <c r="G1405" t="str">
        <f t="shared" si="115"/>
        <v>9.25d</v>
      </c>
      <c r="H1405">
        <f t="shared" si="116"/>
        <v>8.6730127697690852E-7</v>
      </c>
      <c r="I1405">
        <f t="shared" si="117"/>
        <v>0</v>
      </c>
      <c r="J1405">
        <f t="shared" si="118"/>
        <v>0</v>
      </c>
      <c r="K1405" t="str">
        <f t="shared" si="119"/>
        <v>Tm167</v>
      </c>
    </row>
    <row r="1406" spans="2:11" hidden="1" x14ac:dyDescent="0.2">
      <c r="B1406" s="4">
        <v>69168</v>
      </c>
      <c r="C1406" s="4">
        <v>0</v>
      </c>
      <c r="D1406">
        <v>0</v>
      </c>
      <c r="E1406" t="str">
        <f>VLOOKUP(B1406,[1]Nuclides!A:E,5,FALSE)</f>
        <v>Tm168</v>
      </c>
      <c r="F1406">
        <f>VLOOKUP(B1406,[1]Nuclides!A:E,4,FALSE)</f>
        <v>8043839.9999999898</v>
      </c>
      <c r="G1406" t="str">
        <f t="shared" si="115"/>
        <v>93.1d</v>
      </c>
      <c r="H1406">
        <f t="shared" si="116"/>
        <v>8.6171179506298749E-8</v>
      </c>
      <c r="I1406">
        <f t="shared" si="117"/>
        <v>0</v>
      </c>
      <c r="J1406">
        <f t="shared" si="118"/>
        <v>0</v>
      </c>
      <c r="K1406" t="str">
        <f t="shared" si="119"/>
        <v>Tm168</v>
      </c>
    </row>
    <row r="1407" spans="2:11" hidden="1" x14ac:dyDescent="0.2">
      <c r="B1407" s="4">
        <v>69169</v>
      </c>
      <c r="C1407" s="4">
        <v>0</v>
      </c>
      <c r="D1407">
        <v>0</v>
      </c>
      <c r="E1407" t="str">
        <f>VLOOKUP(B1407,[1]Nuclides!A:E,5,FALSE)</f>
        <v>Tm169</v>
      </c>
      <c r="F1407" t="str">
        <f>VLOOKUP(B1407,[1]Nuclides!A:E,4,FALSE)</f>
        <v>STABLE</v>
      </c>
      <c r="G1407" t="str">
        <f t="shared" si="115"/>
        <v>STABLE</v>
      </c>
      <c r="H1407" t="e">
        <f t="shared" si="116"/>
        <v>#VALUE!</v>
      </c>
      <c r="I1407" t="e">
        <f t="shared" si="117"/>
        <v>#VALUE!</v>
      </c>
      <c r="J1407" t="e">
        <f t="shared" si="118"/>
        <v>#VALUE!</v>
      </c>
      <c r="K1407" t="str">
        <f t="shared" si="119"/>
        <v>Tm169</v>
      </c>
    </row>
    <row r="1408" spans="2:11" hidden="1" x14ac:dyDescent="0.2">
      <c r="B1408" s="4">
        <v>69170</v>
      </c>
      <c r="C1408" s="4">
        <v>0</v>
      </c>
      <c r="D1408">
        <v>0</v>
      </c>
      <c r="E1408" t="str">
        <f>VLOOKUP(B1408,[1]Nuclides!A:E,5,FALSE)</f>
        <v>Tm170</v>
      </c>
      <c r="F1408">
        <f>VLOOKUP(B1408,[1]Nuclides!A:E,4,FALSE)</f>
        <v>11111040</v>
      </c>
      <c r="G1408" t="str">
        <f t="shared" si="115"/>
        <v>128.6d</v>
      </c>
      <c r="H1408">
        <f t="shared" si="116"/>
        <v>6.2383645505726309E-8</v>
      </c>
      <c r="I1408">
        <f t="shared" si="117"/>
        <v>0</v>
      </c>
      <c r="J1408">
        <f t="shared" si="118"/>
        <v>0</v>
      </c>
      <c r="K1408" t="str">
        <f t="shared" si="119"/>
        <v>Tm170</v>
      </c>
    </row>
    <row r="1409" spans="2:11" hidden="1" x14ac:dyDescent="0.2">
      <c r="B1409" s="4">
        <v>69171</v>
      </c>
      <c r="C1409" s="4">
        <v>0</v>
      </c>
      <c r="D1409">
        <v>0</v>
      </c>
      <c r="E1409" t="str">
        <f>VLOOKUP(B1409,[1]Nuclides!A:E,5,FALSE)</f>
        <v>Tm171</v>
      </c>
      <c r="F1409">
        <f>VLOOKUP(B1409,[1]Nuclides!A:E,4,FALSE)</f>
        <v>60590592</v>
      </c>
      <c r="G1409" t="str">
        <f t="shared" si="115"/>
        <v>1.92y</v>
      </c>
      <c r="H1409">
        <f t="shared" si="116"/>
        <v>1.1439848294599025E-8</v>
      </c>
      <c r="I1409">
        <f t="shared" si="117"/>
        <v>0</v>
      </c>
      <c r="J1409">
        <f t="shared" si="118"/>
        <v>0</v>
      </c>
      <c r="K1409" t="str">
        <f t="shared" si="119"/>
        <v>Tm171</v>
      </c>
    </row>
    <row r="1410" spans="2:11" hidden="1" x14ac:dyDescent="0.2">
      <c r="B1410" s="4">
        <v>69172</v>
      </c>
      <c r="C1410" s="4">
        <v>0</v>
      </c>
      <c r="D1410">
        <v>0</v>
      </c>
      <c r="E1410" t="str">
        <f>VLOOKUP(B1410,[1]Nuclides!A:E,5,FALSE)</f>
        <v>Tm172</v>
      </c>
      <c r="F1410">
        <f>VLOOKUP(B1410,[1]Nuclides!A:E,4,FALSE)</f>
        <v>228960</v>
      </c>
      <c r="G1410" t="str">
        <f t="shared" si="115"/>
        <v>2.65d</v>
      </c>
      <c r="H1410">
        <f t="shared" si="116"/>
        <v>3.0273723819005295E-6</v>
      </c>
      <c r="I1410">
        <f t="shared" si="117"/>
        <v>0</v>
      </c>
      <c r="J1410">
        <f t="shared" si="118"/>
        <v>0</v>
      </c>
      <c r="K1410" t="str">
        <f t="shared" si="119"/>
        <v>Tm172</v>
      </c>
    </row>
    <row r="1411" spans="2:11" hidden="1" x14ac:dyDescent="0.2">
      <c r="B1411" s="4">
        <v>69173</v>
      </c>
      <c r="C1411" s="4">
        <v>0</v>
      </c>
      <c r="D1411">
        <v>0</v>
      </c>
      <c r="E1411" t="str">
        <f>VLOOKUP(B1411,[1]Nuclides!A:E,5,FALSE)</f>
        <v>Tm173</v>
      </c>
      <c r="F1411">
        <f>VLOOKUP(B1411,[1]Nuclides!A:E,4,FALSE)</f>
        <v>29664</v>
      </c>
      <c r="G1411" t="str">
        <f t="shared" si="115"/>
        <v>8.24h</v>
      </c>
      <c r="H1411">
        <f t="shared" si="116"/>
        <v>2.3366612073892437E-5</v>
      </c>
      <c r="I1411">
        <f t="shared" si="117"/>
        <v>0</v>
      </c>
      <c r="J1411">
        <f t="shared" si="118"/>
        <v>0</v>
      </c>
      <c r="K1411" t="str">
        <f t="shared" si="119"/>
        <v>Tm173</v>
      </c>
    </row>
    <row r="1412" spans="2:11" hidden="1" x14ac:dyDescent="0.2">
      <c r="B1412" s="4">
        <v>69174</v>
      </c>
      <c r="C1412" s="4">
        <v>0</v>
      </c>
      <c r="D1412">
        <v>0</v>
      </c>
      <c r="E1412" t="str">
        <f>VLOOKUP(B1412,[1]Nuclides!A:E,5,FALSE)</f>
        <v>Tm174</v>
      </c>
      <c r="F1412">
        <f>VLOOKUP(B1412,[1]Nuclides!A:E,4,FALSE)</f>
        <v>324</v>
      </c>
      <c r="G1412" t="str">
        <f t="shared" si="115"/>
        <v>5.4min</v>
      </c>
      <c r="H1412">
        <f t="shared" si="116"/>
        <v>2.1393431498763745E-3</v>
      </c>
      <c r="I1412">
        <f t="shared" si="117"/>
        <v>0</v>
      </c>
      <c r="J1412">
        <f t="shared" si="118"/>
        <v>0</v>
      </c>
      <c r="K1412" t="str">
        <f t="shared" si="119"/>
        <v>Tm174</v>
      </c>
    </row>
    <row r="1413" spans="2:11" hidden="1" x14ac:dyDescent="0.2">
      <c r="B1413" s="4">
        <v>69175</v>
      </c>
      <c r="C1413" s="4">
        <v>0</v>
      </c>
      <c r="D1413">
        <v>0</v>
      </c>
      <c r="E1413" t="str">
        <f>VLOOKUP(B1413,[1]Nuclides!A:E,5,FALSE)</f>
        <v>Tm175</v>
      </c>
      <c r="F1413">
        <f>VLOOKUP(B1413,[1]Nuclides!A:E,4,FALSE)</f>
        <v>912</v>
      </c>
      <c r="G1413" t="str">
        <f t="shared" ref="G1413:G1476" si="120">IF(F1413="STABLE", "STABLE", IF(F1413&lt;60, F1413&amp;"s", IF(F1413&lt;3600, ROUND(F1413/60,2)&amp;"min", IF(F1413&lt;86400, ROUND(F1413/3600,2)&amp;"h", IF(F1413&lt;31536000, ROUND(F1413/86400,2)&amp;"d", ROUND(F1413/31536000,2)&amp;"y")))))</f>
        <v>15.2min</v>
      </c>
      <c r="H1413">
        <f t="shared" ref="H1413:H1476" si="121">LN(2)/F1413</f>
        <v>7.6002980324555401E-4</v>
      </c>
      <c r="I1413">
        <f t="shared" ref="I1413:I1476" si="122">60*6240000000000*C1413*(1-EXP(-H1413*2*3600))</f>
        <v>0</v>
      </c>
      <c r="J1413">
        <f t="shared" ref="J1413:J1476" si="123">I1413*EXP(-H1413*96*3600)</f>
        <v>0</v>
      </c>
      <c r="K1413" t="str">
        <f t="shared" ref="K1413:K1476" si="124">E1413</f>
        <v>Tm175</v>
      </c>
    </row>
    <row r="1414" spans="2:11" hidden="1" x14ac:dyDescent="0.2">
      <c r="B1414" s="4">
        <v>69176</v>
      </c>
      <c r="C1414" s="4">
        <v>0</v>
      </c>
      <c r="D1414">
        <v>0</v>
      </c>
      <c r="E1414" t="str">
        <f>VLOOKUP(B1414,[1]Nuclides!A:E,5,FALSE)</f>
        <v>Tm176</v>
      </c>
      <c r="F1414">
        <f>VLOOKUP(B1414,[1]Nuclides!A:E,4,FALSE)</f>
        <v>114</v>
      </c>
      <c r="G1414" t="str">
        <f t="shared" si="120"/>
        <v>1.9min</v>
      </c>
      <c r="H1414">
        <f t="shared" si="121"/>
        <v>6.0802384259644321E-3</v>
      </c>
      <c r="I1414">
        <f t="shared" si="122"/>
        <v>0</v>
      </c>
      <c r="J1414">
        <f t="shared" si="123"/>
        <v>0</v>
      </c>
      <c r="K1414" t="str">
        <f t="shared" si="124"/>
        <v>Tm176</v>
      </c>
    </row>
    <row r="1415" spans="2:11" hidden="1" x14ac:dyDescent="0.2">
      <c r="B1415" s="4">
        <v>70153</v>
      </c>
      <c r="C1415" s="4">
        <v>0</v>
      </c>
      <c r="D1415">
        <v>0</v>
      </c>
      <c r="E1415" t="str">
        <f>VLOOKUP(B1415,[1]Nuclides!A:E,5,FALSE)</f>
        <v>Yb153</v>
      </c>
      <c r="F1415">
        <f>VLOOKUP(B1415,[1]Nuclides!A:E,4,FALSE)</f>
        <v>4.2</v>
      </c>
      <c r="G1415" t="str">
        <f t="shared" si="120"/>
        <v>4.2s</v>
      </c>
      <c r="H1415">
        <f t="shared" si="121"/>
        <v>0.16503504299046315</v>
      </c>
      <c r="I1415">
        <f t="shared" si="122"/>
        <v>0</v>
      </c>
      <c r="J1415">
        <f t="shared" si="123"/>
        <v>0</v>
      </c>
      <c r="K1415" t="str">
        <f t="shared" si="124"/>
        <v>Yb153</v>
      </c>
    </row>
    <row r="1416" spans="2:11" hidden="1" x14ac:dyDescent="0.2">
      <c r="B1416" s="4">
        <v>70154</v>
      </c>
      <c r="C1416" s="4">
        <v>0</v>
      </c>
      <c r="D1416">
        <v>0</v>
      </c>
      <c r="E1416" t="str">
        <f>VLOOKUP(B1416,[1]Nuclides!A:E,5,FALSE)</f>
        <v>Yb154</v>
      </c>
      <c r="F1416">
        <f>VLOOKUP(B1416,[1]Nuclides!A:E,4,FALSE)</f>
        <v>0.40899999999999997</v>
      </c>
      <c r="G1416" t="str">
        <f t="shared" si="120"/>
        <v>0.409s</v>
      </c>
      <c r="H1416">
        <f t="shared" si="121"/>
        <v>1.6947363827871524</v>
      </c>
      <c r="I1416">
        <f t="shared" si="122"/>
        <v>0</v>
      </c>
      <c r="J1416">
        <f t="shared" si="123"/>
        <v>0</v>
      </c>
      <c r="K1416" t="str">
        <f t="shared" si="124"/>
        <v>Yb154</v>
      </c>
    </row>
    <row r="1417" spans="2:11" hidden="1" x14ac:dyDescent="0.2">
      <c r="B1417" s="4">
        <v>70155</v>
      </c>
      <c r="C1417" s="4">
        <v>0</v>
      </c>
      <c r="D1417">
        <v>0</v>
      </c>
      <c r="E1417" t="str">
        <f>VLOOKUP(B1417,[1]Nuclides!A:E,5,FALSE)</f>
        <v>Yb155</v>
      </c>
      <c r="F1417">
        <f>VLOOKUP(B1417,[1]Nuclides!A:E,4,FALSE)</f>
        <v>1.7929999999999999</v>
      </c>
      <c r="G1417" t="str">
        <f t="shared" si="120"/>
        <v>1.793s</v>
      </c>
      <c r="H1417">
        <f t="shared" si="121"/>
        <v>0.38658515368652835</v>
      </c>
      <c r="I1417">
        <f t="shared" si="122"/>
        <v>0</v>
      </c>
      <c r="J1417">
        <f t="shared" si="123"/>
        <v>0</v>
      </c>
      <c r="K1417" t="str">
        <f t="shared" si="124"/>
        <v>Yb155</v>
      </c>
    </row>
    <row r="1418" spans="2:11" hidden="1" x14ac:dyDescent="0.2">
      <c r="B1418" s="4">
        <v>70156</v>
      </c>
      <c r="C1418" s="4">
        <v>0</v>
      </c>
      <c r="D1418">
        <v>0</v>
      </c>
      <c r="E1418" t="str">
        <f>VLOOKUP(B1418,[1]Nuclides!A:E,5,FALSE)</f>
        <v>Yb156</v>
      </c>
      <c r="F1418">
        <f>VLOOKUP(B1418,[1]Nuclides!A:E,4,FALSE)</f>
        <v>26.1</v>
      </c>
      <c r="G1418" t="str">
        <f t="shared" si="120"/>
        <v>26.1s</v>
      </c>
      <c r="H1418">
        <f t="shared" si="121"/>
        <v>2.6557363239844645E-2</v>
      </c>
      <c r="I1418">
        <f t="shared" si="122"/>
        <v>0</v>
      </c>
      <c r="J1418">
        <f t="shared" si="123"/>
        <v>0</v>
      </c>
      <c r="K1418" t="str">
        <f t="shared" si="124"/>
        <v>Yb156</v>
      </c>
    </row>
    <row r="1419" spans="2:11" hidden="1" x14ac:dyDescent="0.2">
      <c r="B1419" s="4">
        <v>70157</v>
      </c>
      <c r="C1419" s="4">
        <v>0</v>
      </c>
      <c r="D1419">
        <v>0</v>
      </c>
      <c r="E1419" t="str">
        <f>VLOOKUP(B1419,[1]Nuclides!A:E,5,FALSE)</f>
        <v>Yb157</v>
      </c>
      <c r="F1419">
        <f>VLOOKUP(B1419,[1]Nuclides!A:E,4,FALSE)</f>
        <v>38.6</v>
      </c>
      <c r="G1419" t="str">
        <f t="shared" si="120"/>
        <v>38.6s</v>
      </c>
      <c r="H1419">
        <f t="shared" si="121"/>
        <v>1.7957180843521898E-2</v>
      </c>
      <c r="I1419">
        <f t="shared" si="122"/>
        <v>0</v>
      </c>
      <c r="J1419">
        <f t="shared" si="123"/>
        <v>0</v>
      </c>
      <c r="K1419" t="str">
        <f t="shared" si="124"/>
        <v>Yb157</v>
      </c>
    </row>
    <row r="1420" spans="2:11" hidden="1" x14ac:dyDescent="0.2">
      <c r="B1420" s="4">
        <v>70158</v>
      </c>
      <c r="C1420" s="4">
        <v>0</v>
      </c>
      <c r="D1420">
        <v>0</v>
      </c>
      <c r="E1420" t="str">
        <f>VLOOKUP(B1420,[1]Nuclides!A:E,5,FALSE)</f>
        <v>Yb158</v>
      </c>
      <c r="F1420">
        <f>VLOOKUP(B1420,[1]Nuclides!A:E,4,FALSE)</f>
        <v>89.4</v>
      </c>
      <c r="G1420" t="str">
        <f t="shared" si="120"/>
        <v>1.49min</v>
      </c>
      <c r="H1420">
        <f t="shared" si="121"/>
        <v>7.7533241673371951E-3</v>
      </c>
      <c r="I1420">
        <f t="shared" si="122"/>
        <v>0</v>
      </c>
      <c r="J1420">
        <f t="shared" si="123"/>
        <v>0</v>
      </c>
      <c r="K1420" t="str">
        <f t="shared" si="124"/>
        <v>Yb158</v>
      </c>
    </row>
    <row r="1421" spans="2:11" hidden="1" x14ac:dyDescent="0.2">
      <c r="B1421" s="4">
        <v>70159</v>
      </c>
      <c r="C1421" s="4">
        <v>0</v>
      </c>
      <c r="D1421">
        <v>0</v>
      </c>
      <c r="E1421" t="str">
        <f>VLOOKUP(B1421,[1]Nuclides!A:E,5,FALSE)</f>
        <v>Yb159</v>
      </c>
      <c r="F1421">
        <f>VLOOKUP(B1421,[1]Nuclides!A:E,4,FALSE)</f>
        <v>100.19999999999899</v>
      </c>
      <c r="G1421" t="str">
        <f t="shared" si="120"/>
        <v>1.67min</v>
      </c>
      <c r="H1421">
        <f t="shared" si="121"/>
        <v>6.9176365325344536E-3</v>
      </c>
      <c r="I1421">
        <f t="shared" si="122"/>
        <v>0</v>
      </c>
      <c r="J1421">
        <f t="shared" si="123"/>
        <v>0</v>
      </c>
      <c r="K1421" t="str">
        <f t="shared" si="124"/>
        <v>Yb159</v>
      </c>
    </row>
    <row r="1422" spans="2:11" hidden="1" x14ac:dyDescent="0.2">
      <c r="B1422" s="4">
        <v>70160</v>
      </c>
      <c r="C1422" s="4">
        <v>0</v>
      </c>
      <c r="D1422">
        <v>0</v>
      </c>
      <c r="E1422" t="str">
        <f>VLOOKUP(B1422,[1]Nuclides!A:E,5,FALSE)</f>
        <v>Yb160</v>
      </c>
      <c r="F1422">
        <f>VLOOKUP(B1422,[1]Nuclides!A:E,4,FALSE)</f>
        <v>288</v>
      </c>
      <c r="G1422" t="str">
        <f t="shared" si="120"/>
        <v>4.8min</v>
      </c>
      <c r="H1422">
        <f t="shared" si="121"/>
        <v>2.4067610436109212E-3</v>
      </c>
      <c r="I1422">
        <f t="shared" si="122"/>
        <v>0</v>
      </c>
      <c r="J1422">
        <f t="shared" si="123"/>
        <v>0</v>
      </c>
      <c r="K1422" t="str">
        <f t="shared" si="124"/>
        <v>Yb160</v>
      </c>
    </row>
    <row r="1423" spans="2:11" hidden="1" x14ac:dyDescent="0.2">
      <c r="B1423" s="4">
        <v>70161</v>
      </c>
      <c r="C1423" s="4">
        <v>0</v>
      </c>
      <c r="D1423">
        <v>0</v>
      </c>
      <c r="E1423" t="str">
        <f>VLOOKUP(B1423,[1]Nuclides!A:E,5,FALSE)</f>
        <v>Yb161</v>
      </c>
      <c r="F1423">
        <f>VLOOKUP(B1423,[1]Nuclides!A:E,4,FALSE)</f>
        <v>252</v>
      </c>
      <c r="G1423" t="str">
        <f t="shared" si="120"/>
        <v>4.2min</v>
      </c>
      <c r="H1423">
        <f t="shared" si="121"/>
        <v>2.7505840498410527E-3</v>
      </c>
      <c r="I1423">
        <f t="shared" si="122"/>
        <v>0</v>
      </c>
      <c r="J1423">
        <f t="shared" si="123"/>
        <v>0</v>
      </c>
      <c r="K1423" t="str">
        <f t="shared" si="124"/>
        <v>Yb161</v>
      </c>
    </row>
    <row r="1424" spans="2:11" hidden="1" x14ac:dyDescent="0.2">
      <c r="B1424" s="4">
        <v>70162</v>
      </c>
      <c r="C1424" s="4">
        <v>0</v>
      </c>
      <c r="D1424">
        <v>0</v>
      </c>
      <c r="E1424" t="str">
        <f>VLOOKUP(B1424,[1]Nuclides!A:E,5,FALSE)</f>
        <v>Yb162</v>
      </c>
      <c r="F1424">
        <f>VLOOKUP(B1424,[1]Nuclides!A:E,4,FALSE)</f>
        <v>1132.2</v>
      </c>
      <c r="G1424" t="str">
        <f t="shared" si="120"/>
        <v>18.87min</v>
      </c>
      <c r="H1424">
        <f t="shared" si="121"/>
        <v>6.1221266610134715E-4</v>
      </c>
      <c r="I1424">
        <f t="shared" si="122"/>
        <v>0</v>
      </c>
      <c r="J1424">
        <f t="shared" si="123"/>
        <v>0</v>
      </c>
      <c r="K1424" t="str">
        <f t="shared" si="124"/>
        <v>Yb162</v>
      </c>
    </row>
    <row r="1425" spans="2:11" hidden="1" x14ac:dyDescent="0.2">
      <c r="B1425" s="4">
        <v>70163</v>
      </c>
      <c r="C1425" s="4">
        <v>0</v>
      </c>
      <c r="D1425">
        <v>0</v>
      </c>
      <c r="E1425" t="str">
        <f>VLOOKUP(B1425,[1]Nuclides!A:E,5,FALSE)</f>
        <v>Yb163</v>
      </c>
      <c r="F1425">
        <f>VLOOKUP(B1425,[1]Nuclides!A:E,4,FALSE)</f>
        <v>663</v>
      </c>
      <c r="G1425" t="str">
        <f t="shared" si="120"/>
        <v>11.05min</v>
      </c>
      <c r="H1425">
        <f t="shared" si="121"/>
        <v>1.0454708605730698E-3</v>
      </c>
      <c r="I1425">
        <f t="shared" si="122"/>
        <v>0</v>
      </c>
      <c r="J1425">
        <f t="shared" si="123"/>
        <v>0</v>
      </c>
      <c r="K1425" t="str">
        <f t="shared" si="124"/>
        <v>Yb163</v>
      </c>
    </row>
    <row r="1426" spans="2:11" hidden="1" x14ac:dyDescent="0.2">
      <c r="B1426" s="4">
        <v>70164</v>
      </c>
      <c r="C1426" s="4">
        <v>0</v>
      </c>
      <c r="D1426">
        <v>0</v>
      </c>
      <c r="E1426" t="str">
        <f>VLOOKUP(B1426,[1]Nuclides!A:E,5,FALSE)</f>
        <v>Yb164</v>
      </c>
      <c r="F1426">
        <f>VLOOKUP(B1426,[1]Nuclides!A:E,4,FALSE)</f>
        <v>4548</v>
      </c>
      <c r="G1426" t="str">
        <f t="shared" si="120"/>
        <v>1.26h</v>
      </c>
      <c r="H1426">
        <f t="shared" si="121"/>
        <v>1.5240703178538814E-4</v>
      </c>
      <c r="I1426">
        <f t="shared" si="122"/>
        <v>0</v>
      </c>
      <c r="J1426">
        <f t="shared" si="123"/>
        <v>0</v>
      </c>
      <c r="K1426" t="str">
        <f t="shared" si="124"/>
        <v>Yb164</v>
      </c>
    </row>
    <row r="1427" spans="2:11" hidden="1" x14ac:dyDescent="0.2">
      <c r="B1427" s="4">
        <v>70165</v>
      </c>
      <c r="C1427" s="4">
        <v>0</v>
      </c>
      <c r="D1427">
        <v>0</v>
      </c>
      <c r="E1427" t="str">
        <f>VLOOKUP(B1427,[1]Nuclides!A:E,5,FALSE)</f>
        <v>Yb165</v>
      </c>
      <c r="F1427">
        <f>VLOOKUP(B1427,[1]Nuclides!A:E,4,FALSE)</f>
        <v>594</v>
      </c>
      <c r="G1427" t="str">
        <f t="shared" si="120"/>
        <v>9.9min</v>
      </c>
      <c r="H1427">
        <f t="shared" si="121"/>
        <v>1.1669144453871133E-3</v>
      </c>
      <c r="I1427">
        <f t="shared" si="122"/>
        <v>0</v>
      </c>
      <c r="J1427">
        <f t="shared" si="123"/>
        <v>0</v>
      </c>
      <c r="K1427" t="str">
        <f t="shared" si="124"/>
        <v>Yb165</v>
      </c>
    </row>
    <row r="1428" spans="2:11" hidden="1" x14ac:dyDescent="0.2">
      <c r="B1428" s="4">
        <v>70166</v>
      </c>
      <c r="C1428" s="4">
        <v>0</v>
      </c>
      <c r="D1428">
        <v>0</v>
      </c>
      <c r="E1428" t="str">
        <f>VLOOKUP(B1428,[1]Nuclides!A:E,5,FALSE)</f>
        <v>Yb166</v>
      </c>
      <c r="F1428">
        <f>VLOOKUP(B1428,[1]Nuclides!A:E,4,FALSE)</f>
        <v>204120</v>
      </c>
      <c r="G1428" t="str">
        <f t="shared" si="120"/>
        <v>2.36d</v>
      </c>
      <c r="H1428">
        <f t="shared" si="121"/>
        <v>3.3957827775815464E-6</v>
      </c>
      <c r="I1428">
        <f t="shared" si="122"/>
        <v>0</v>
      </c>
      <c r="J1428">
        <f t="shared" si="123"/>
        <v>0</v>
      </c>
      <c r="K1428" t="str">
        <f t="shared" si="124"/>
        <v>Yb166</v>
      </c>
    </row>
    <row r="1429" spans="2:11" hidden="1" x14ac:dyDescent="0.2">
      <c r="B1429" s="4">
        <v>70167</v>
      </c>
      <c r="C1429" s="4">
        <v>0</v>
      </c>
      <c r="D1429">
        <v>0</v>
      </c>
      <c r="E1429" t="str">
        <f>VLOOKUP(B1429,[1]Nuclides!A:E,5,FALSE)</f>
        <v>Yb167</v>
      </c>
      <c r="F1429">
        <f>VLOOKUP(B1429,[1]Nuclides!A:E,4,FALSE)</f>
        <v>1050</v>
      </c>
      <c r="G1429" t="str">
        <f t="shared" si="120"/>
        <v>17.5min</v>
      </c>
      <c r="H1429">
        <f t="shared" si="121"/>
        <v>6.6014017196185267E-4</v>
      </c>
      <c r="I1429">
        <f t="shared" si="122"/>
        <v>0</v>
      </c>
      <c r="J1429">
        <f t="shared" si="123"/>
        <v>0</v>
      </c>
      <c r="K1429" t="str">
        <f t="shared" si="124"/>
        <v>Yb167</v>
      </c>
    </row>
    <row r="1430" spans="2:11" hidden="1" x14ac:dyDescent="0.2">
      <c r="B1430" s="4">
        <v>70168</v>
      </c>
      <c r="C1430" s="4">
        <v>0</v>
      </c>
      <c r="D1430">
        <v>0</v>
      </c>
      <c r="E1430" t="str">
        <f>VLOOKUP(B1430,[1]Nuclides!A:E,5,FALSE)</f>
        <v>Yb168</v>
      </c>
      <c r="F1430" t="str">
        <f>VLOOKUP(B1430,[1]Nuclides!A:E,4,FALSE)</f>
        <v>STABLE</v>
      </c>
      <c r="G1430" t="str">
        <f t="shared" si="120"/>
        <v>STABLE</v>
      </c>
      <c r="H1430" t="e">
        <f t="shared" si="121"/>
        <v>#VALUE!</v>
      </c>
      <c r="I1430" t="e">
        <f t="shared" si="122"/>
        <v>#VALUE!</v>
      </c>
      <c r="J1430" t="e">
        <f t="shared" si="123"/>
        <v>#VALUE!</v>
      </c>
      <c r="K1430" t="str">
        <f t="shared" si="124"/>
        <v>Yb168</v>
      </c>
    </row>
    <row r="1431" spans="2:11" hidden="1" x14ac:dyDescent="0.2">
      <c r="B1431" s="4">
        <v>70169</v>
      </c>
      <c r="C1431" s="4">
        <v>0</v>
      </c>
      <c r="D1431">
        <v>0</v>
      </c>
      <c r="E1431" t="str">
        <f>VLOOKUP(B1431,[1]Nuclides!A:E,5,FALSE)</f>
        <v>Yb169</v>
      </c>
      <c r="F1431">
        <f>VLOOKUP(B1431,[1]Nuclides!A:E,4,FALSE)</f>
        <v>2766355.2</v>
      </c>
      <c r="G1431" t="str">
        <f t="shared" si="120"/>
        <v>32.02d</v>
      </c>
      <c r="H1431">
        <f t="shared" si="121"/>
        <v>2.5056333350104329E-7</v>
      </c>
      <c r="I1431">
        <f t="shared" si="122"/>
        <v>0</v>
      </c>
      <c r="J1431">
        <f t="shared" si="123"/>
        <v>0</v>
      </c>
      <c r="K1431" t="str">
        <f t="shared" si="124"/>
        <v>Yb169</v>
      </c>
    </row>
    <row r="1432" spans="2:11" hidden="1" x14ac:dyDescent="0.2">
      <c r="B1432" s="4">
        <v>70170</v>
      </c>
      <c r="C1432" s="4">
        <v>0</v>
      </c>
      <c r="D1432">
        <v>0</v>
      </c>
      <c r="E1432" t="str">
        <f>VLOOKUP(B1432,[1]Nuclides!A:E,5,FALSE)</f>
        <v>Yb170</v>
      </c>
      <c r="F1432" t="str">
        <f>VLOOKUP(B1432,[1]Nuclides!A:E,4,FALSE)</f>
        <v>STABLE</v>
      </c>
      <c r="G1432" t="str">
        <f t="shared" si="120"/>
        <v>STABLE</v>
      </c>
      <c r="H1432" t="e">
        <f t="shared" si="121"/>
        <v>#VALUE!</v>
      </c>
      <c r="I1432" t="e">
        <f t="shared" si="122"/>
        <v>#VALUE!</v>
      </c>
      <c r="J1432" t="e">
        <f t="shared" si="123"/>
        <v>#VALUE!</v>
      </c>
      <c r="K1432" t="str">
        <f t="shared" si="124"/>
        <v>Yb170</v>
      </c>
    </row>
    <row r="1433" spans="2:11" hidden="1" x14ac:dyDescent="0.2">
      <c r="B1433" s="4">
        <v>70171</v>
      </c>
      <c r="C1433" s="4">
        <v>0</v>
      </c>
      <c r="D1433">
        <v>0</v>
      </c>
      <c r="E1433" t="str">
        <f>VLOOKUP(B1433,[1]Nuclides!A:E,5,FALSE)</f>
        <v>Yb171</v>
      </c>
      <c r="F1433" t="str">
        <f>VLOOKUP(B1433,[1]Nuclides!A:E,4,FALSE)</f>
        <v>STABLE</v>
      </c>
      <c r="G1433" t="str">
        <f t="shared" si="120"/>
        <v>STABLE</v>
      </c>
      <c r="H1433" t="e">
        <f t="shared" si="121"/>
        <v>#VALUE!</v>
      </c>
      <c r="I1433" t="e">
        <f t="shared" si="122"/>
        <v>#VALUE!</v>
      </c>
      <c r="J1433" t="e">
        <f t="shared" si="123"/>
        <v>#VALUE!</v>
      </c>
      <c r="K1433" t="str">
        <f t="shared" si="124"/>
        <v>Yb171</v>
      </c>
    </row>
    <row r="1434" spans="2:11" hidden="1" x14ac:dyDescent="0.2">
      <c r="B1434" s="4">
        <v>70172</v>
      </c>
      <c r="C1434" s="4">
        <v>0</v>
      </c>
      <c r="D1434">
        <v>0</v>
      </c>
      <c r="E1434" t="str">
        <f>VLOOKUP(B1434,[1]Nuclides!A:E,5,FALSE)</f>
        <v>Yb172</v>
      </c>
      <c r="F1434" t="str">
        <f>VLOOKUP(B1434,[1]Nuclides!A:E,4,FALSE)</f>
        <v>STABLE</v>
      </c>
      <c r="G1434" t="str">
        <f t="shared" si="120"/>
        <v>STABLE</v>
      </c>
      <c r="H1434" t="e">
        <f t="shared" si="121"/>
        <v>#VALUE!</v>
      </c>
      <c r="I1434" t="e">
        <f t="shared" si="122"/>
        <v>#VALUE!</v>
      </c>
      <c r="J1434" t="e">
        <f t="shared" si="123"/>
        <v>#VALUE!</v>
      </c>
      <c r="K1434" t="str">
        <f t="shared" si="124"/>
        <v>Yb172</v>
      </c>
    </row>
    <row r="1435" spans="2:11" hidden="1" x14ac:dyDescent="0.2">
      <c r="B1435" s="4">
        <v>70173</v>
      </c>
      <c r="C1435" s="4">
        <v>0</v>
      </c>
      <c r="D1435">
        <v>0</v>
      </c>
      <c r="E1435" t="str">
        <f>VLOOKUP(B1435,[1]Nuclides!A:E,5,FALSE)</f>
        <v>Yb173</v>
      </c>
      <c r="F1435" t="str">
        <f>VLOOKUP(B1435,[1]Nuclides!A:E,4,FALSE)</f>
        <v>STABLE</v>
      </c>
      <c r="G1435" t="str">
        <f t="shared" si="120"/>
        <v>STABLE</v>
      </c>
      <c r="H1435" t="e">
        <f t="shared" si="121"/>
        <v>#VALUE!</v>
      </c>
      <c r="I1435" t="e">
        <f t="shared" si="122"/>
        <v>#VALUE!</v>
      </c>
      <c r="J1435" t="e">
        <f t="shared" si="123"/>
        <v>#VALUE!</v>
      </c>
      <c r="K1435" t="str">
        <f t="shared" si="124"/>
        <v>Yb173</v>
      </c>
    </row>
    <row r="1436" spans="2:11" hidden="1" x14ac:dyDescent="0.2">
      <c r="B1436" s="4">
        <v>70174</v>
      </c>
      <c r="C1436" s="4">
        <v>0</v>
      </c>
      <c r="D1436">
        <v>0</v>
      </c>
      <c r="E1436" t="str">
        <f>VLOOKUP(B1436,[1]Nuclides!A:E,5,FALSE)</f>
        <v>Yb174</v>
      </c>
      <c r="F1436" t="str">
        <f>VLOOKUP(B1436,[1]Nuclides!A:E,4,FALSE)</f>
        <v>STABLE</v>
      </c>
      <c r="G1436" t="str">
        <f t="shared" si="120"/>
        <v>STABLE</v>
      </c>
      <c r="H1436" t="e">
        <f t="shared" si="121"/>
        <v>#VALUE!</v>
      </c>
      <c r="I1436" t="e">
        <f t="shared" si="122"/>
        <v>#VALUE!</v>
      </c>
      <c r="J1436" t="e">
        <f t="shared" si="123"/>
        <v>#VALUE!</v>
      </c>
      <c r="K1436" t="str">
        <f t="shared" si="124"/>
        <v>Yb174</v>
      </c>
    </row>
    <row r="1437" spans="2:11" hidden="1" x14ac:dyDescent="0.2">
      <c r="B1437" s="4">
        <v>70175</v>
      </c>
      <c r="C1437" s="4">
        <v>0</v>
      </c>
      <c r="D1437">
        <v>0</v>
      </c>
      <c r="E1437" t="str">
        <f>VLOOKUP(B1437,[1]Nuclides!A:E,5,FALSE)</f>
        <v>Yb175</v>
      </c>
      <c r="F1437">
        <f>VLOOKUP(B1437,[1]Nuclides!A:E,4,FALSE)</f>
        <v>361583.99999999901</v>
      </c>
      <c r="G1437" t="str">
        <f t="shared" si="120"/>
        <v>4.18d</v>
      </c>
      <c r="H1437">
        <f t="shared" si="121"/>
        <v>1.9169741486347494E-6</v>
      </c>
      <c r="I1437">
        <f t="shared" si="122"/>
        <v>0</v>
      </c>
      <c r="J1437">
        <f t="shared" si="123"/>
        <v>0</v>
      </c>
      <c r="K1437" t="str">
        <f t="shared" si="124"/>
        <v>Yb175</v>
      </c>
    </row>
    <row r="1438" spans="2:11" hidden="1" x14ac:dyDescent="0.2">
      <c r="B1438" s="4">
        <v>70176</v>
      </c>
      <c r="C1438" s="4">
        <v>0</v>
      </c>
      <c r="D1438">
        <v>0</v>
      </c>
      <c r="E1438" t="str">
        <f>VLOOKUP(B1438,[1]Nuclides!A:E,5,FALSE)</f>
        <v>Yb176</v>
      </c>
      <c r="F1438" t="str">
        <f>VLOOKUP(B1438,[1]Nuclides!A:E,4,FALSE)</f>
        <v>STABLE</v>
      </c>
      <c r="G1438" t="str">
        <f t="shared" si="120"/>
        <v>STABLE</v>
      </c>
      <c r="H1438" t="e">
        <f t="shared" si="121"/>
        <v>#VALUE!</v>
      </c>
      <c r="I1438" t="e">
        <f t="shared" si="122"/>
        <v>#VALUE!</v>
      </c>
      <c r="J1438" t="e">
        <f t="shared" si="123"/>
        <v>#VALUE!</v>
      </c>
      <c r="K1438" t="str">
        <f t="shared" si="124"/>
        <v>Yb176</v>
      </c>
    </row>
    <row r="1439" spans="2:11" hidden="1" x14ac:dyDescent="0.2">
      <c r="B1439" s="4">
        <v>70177</v>
      </c>
      <c r="C1439" s="4">
        <v>0</v>
      </c>
      <c r="D1439">
        <v>0</v>
      </c>
      <c r="E1439" t="str">
        <f>VLOOKUP(B1439,[1]Nuclides!A:E,5,FALSE)</f>
        <v>Yb177</v>
      </c>
      <c r="F1439">
        <f>VLOOKUP(B1439,[1]Nuclides!A:E,4,FALSE)</f>
        <v>6879.6</v>
      </c>
      <c r="G1439" t="str">
        <f t="shared" si="120"/>
        <v>1.91h</v>
      </c>
      <c r="H1439">
        <f t="shared" si="121"/>
        <v>1.0075399449967226E-4</v>
      </c>
      <c r="I1439">
        <f t="shared" si="122"/>
        <v>0</v>
      </c>
      <c r="J1439">
        <f t="shared" si="123"/>
        <v>0</v>
      </c>
      <c r="K1439" t="str">
        <f t="shared" si="124"/>
        <v>Yb177</v>
      </c>
    </row>
    <row r="1440" spans="2:11" hidden="1" x14ac:dyDescent="0.2">
      <c r="B1440" s="4">
        <v>70178</v>
      </c>
      <c r="C1440" s="4">
        <v>0</v>
      </c>
      <c r="D1440">
        <v>0</v>
      </c>
      <c r="E1440" t="str">
        <f>VLOOKUP(B1440,[1]Nuclides!A:E,5,FALSE)</f>
        <v>Yb178</v>
      </c>
      <c r="F1440">
        <f>VLOOKUP(B1440,[1]Nuclides!A:E,4,FALSE)</f>
        <v>4440</v>
      </c>
      <c r="G1440" t="str">
        <f t="shared" si="120"/>
        <v>1.23h</v>
      </c>
      <c r="H1440">
        <f t="shared" si="121"/>
        <v>1.5611422985584354E-4</v>
      </c>
      <c r="I1440">
        <f t="shared" si="122"/>
        <v>0</v>
      </c>
      <c r="J1440">
        <f t="shared" si="123"/>
        <v>0</v>
      </c>
      <c r="K1440" t="str">
        <f t="shared" si="124"/>
        <v>Yb178</v>
      </c>
    </row>
    <row r="1441" spans="2:11" hidden="1" x14ac:dyDescent="0.2">
      <c r="B1441" s="4">
        <v>70179</v>
      </c>
      <c r="C1441" s="4">
        <v>0</v>
      </c>
      <c r="D1441">
        <v>0</v>
      </c>
      <c r="E1441" t="str">
        <f>VLOOKUP(B1441,[1]Nuclides!A:E,5,FALSE)</f>
        <v>Yb179</v>
      </c>
      <c r="F1441">
        <f>VLOOKUP(B1441,[1]Nuclides!A:E,4,FALSE)</f>
        <v>480</v>
      </c>
      <c r="G1441" t="str">
        <f t="shared" si="120"/>
        <v>8min</v>
      </c>
      <c r="H1441">
        <f t="shared" si="121"/>
        <v>1.4440566261665526E-3</v>
      </c>
      <c r="I1441">
        <f t="shared" si="122"/>
        <v>0</v>
      </c>
      <c r="J1441">
        <f t="shared" si="123"/>
        <v>0</v>
      </c>
      <c r="K1441" t="str">
        <f t="shared" si="124"/>
        <v>Yb179</v>
      </c>
    </row>
    <row r="1442" spans="2:11" hidden="1" x14ac:dyDescent="0.2">
      <c r="B1442" s="4">
        <v>71151</v>
      </c>
      <c r="C1442" s="4">
        <v>0</v>
      </c>
      <c r="D1442">
        <v>0</v>
      </c>
      <c r="E1442" t="str">
        <f>VLOOKUP(B1442,[1]Nuclides!A:E,5,FALSE)</f>
        <v>Lu151</v>
      </c>
      <c r="F1442">
        <f>VLOOKUP(B1442,[1]Nuclides!A:E,4,FALSE)</f>
        <v>8.0599999999999894E-2</v>
      </c>
      <c r="G1442" t="str">
        <f t="shared" si="120"/>
        <v>0.0805999999999999s</v>
      </c>
      <c r="H1442">
        <f t="shared" si="121"/>
        <v>8.5998409498752633</v>
      </c>
      <c r="I1442">
        <f t="shared" si="122"/>
        <v>0</v>
      </c>
      <c r="J1442">
        <f t="shared" si="123"/>
        <v>0</v>
      </c>
      <c r="K1442" t="str">
        <f t="shared" si="124"/>
        <v>Lu151</v>
      </c>
    </row>
    <row r="1443" spans="2:11" hidden="1" x14ac:dyDescent="0.2">
      <c r="B1443" s="4">
        <v>71152</v>
      </c>
      <c r="C1443" s="4">
        <v>0</v>
      </c>
      <c r="D1443">
        <v>0</v>
      </c>
      <c r="E1443" t="str">
        <f>VLOOKUP(B1443,[1]Nuclides!A:E,5,FALSE)</f>
        <v>Lu152</v>
      </c>
      <c r="F1443">
        <f>VLOOKUP(B1443,[1]Nuclides!A:E,4,FALSE)</f>
        <v>0.7</v>
      </c>
      <c r="G1443" t="str">
        <f t="shared" si="120"/>
        <v>0.7s</v>
      </c>
      <c r="H1443">
        <f t="shared" si="121"/>
        <v>0.99021025794277906</v>
      </c>
      <c r="I1443">
        <f t="shared" si="122"/>
        <v>0</v>
      </c>
      <c r="J1443">
        <f t="shared" si="123"/>
        <v>0</v>
      </c>
      <c r="K1443" t="str">
        <f t="shared" si="124"/>
        <v>Lu152</v>
      </c>
    </row>
    <row r="1444" spans="2:11" hidden="1" x14ac:dyDescent="0.2">
      <c r="B1444" s="4">
        <v>71153</v>
      </c>
      <c r="C1444" s="4">
        <v>0</v>
      </c>
      <c r="D1444">
        <v>0</v>
      </c>
      <c r="E1444" t="str">
        <f>VLOOKUP(B1444,[1]Nuclides!A:E,5,FALSE)</f>
        <v>Lu153</v>
      </c>
      <c r="F1444">
        <f>VLOOKUP(B1444,[1]Nuclides!A:E,4,FALSE)</f>
        <v>0.9</v>
      </c>
      <c r="G1444" t="str">
        <f t="shared" si="120"/>
        <v>0.9s</v>
      </c>
      <c r="H1444">
        <f t="shared" si="121"/>
        <v>0.77016353395549475</v>
      </c>
      <c r="I1444">
        <f t="shared" si="122"/>
        <v>0</v>
      </c>
      <c r="J1444">
        <f t="shared" si="123"/>
        <v>0</v>
      </c>
      <c r="K1444" t="str">
        <f t="shared" si="124"/>
        <v>Lu153</v>
      </c>
    </row>
    <row r="1445" spans="2:11" hidden="1" x14ac:dyDescent="0.2">
      <c r="B1445" s="4">
        <v>71154</v>
      </c>
      <c r="C1445" s="4">
        <v>0</v>
      </c>
      <c r="D1445">
        <v>0</v>
      </c>
      <c r="E1445" t="str">
        <f>VLOOKUP(B1445,[1]Nuclides!A:E,5,FALSE)</f>
        <v>Lu154</v>
      </c>
      <c r="F1445">
        <f>VLOOKUP(B1445,[1]Nuclides!A:E,4,FALSE)</f>
        <v>1.1200000000000001</v>
      </c>
      <c r="G1445" t="str">
        <f t="shared" si="120"/>
        <v>1.12s</v>
      </c>
      <c r="H1445">
        <f t="shared" si="121"/>
        <v>0.61888141121423679</v>
      </c>
      <c r="I1445">
        <f t="shared" si="122"/>
        <v>0</v>
      </c>
      <c r="J1445">
        <f t="shared" si="123"/>
        <v>0</v>
      </c>
      <c r="K1445" t="str">
        <f t="shared" si="124"/>
        <v>Lu154</v>
      </c>
    </row>
    <row r="1446" spans="2:11" hidden="1" x14ac:dyDescent="0.2">
      <c r="B1446" s="4">
        <v>71155</v>
      </c>
      <c r="C1446" s="4">
        <v>0</v>
      </c>
      <c r="D1446">
        <v>0</v>
      </c>
      <c r="E1446" t="str">
        <f>VLOOKUP(B1446,[1]Nuclides!A:E,5,FALSE)</f>
        <v>Lu155</v>
      </c>
      <c r="F1446">
        <f>VLOOKUP(B1446,[1]Nuclides!A:E,4,FALSE)</f>
        <v>6.8000000000000005E-2</v>
      </c>
      <c r="G1446" t="str">
        <f t="shared" si="120"/>
        <v>0.068s</v>
      </c>
      <c r="H1446">
        <f t="shared" si="121"/>
        <v>10.193340890587431</v>
      </c>
      <c r="I1446">
        <f t="shared" si="122"/>
        <v>0</v>
      </c>
      <c r="J1446">
        <f t="shared" si="123"/>
        <v>0</v>
      </c>
      <c r="K1446" t="str">
        <f t="shared" si="124"/>
        <v>Lu155</v>
      </c>
    </row>
    <row r="1447" spans="2:11" hidden="1" x14ac:dyDescent="0.2">
      <c r="B1447" s="4">
        <v>71156</v>
      </c>
      <c r="C1447" s="4">
        <v>0</v>
      </c>
      <c r="D1447">
        <v>0</v>
      </c>
      <c r="E1447" t="str">
        <f>VLOOKUP(B1447,[1]Nuclides!A:E,5,FALSE)</f>
        <v>Lu156</v>
      </c>
      <c r="F1447">
        <f>VLOOKUP(B1447,[1]Nuclides!A:E,4,FALSE)</f>
        <v>0.49399999999999999</v>
      </c>
      <c r="G1447" t="str">
        <f t="shared" si="120"/>
        <v>0.494s</v>
      </c>
      <c r="H1447">
        <f t="shared" si="121"/>
        <v>1.4031319444533306</v>
      </c>
      <c r="I1447">
        <f t="shared" si="122"/>
        <v>0</v>
      </c>
      <c r="J1447">
        <f t="shared" si="123"/>
        <v>0</v>
      </c>
      <c r="K1447" t="str">
        <f t="shared" si="124"/>
        <v>Lu156</v>
      </c>
    </row>
    <row r="1448" spans="2:11" hidden="1" x14ac:dyDescent="0.2">
      <c r="B1448" s="4">
        <v>71157</v>
      </c>
      <c r="C1448" s="4">
        <v>0</v>
      </c>
      <c r="D1448">
        <v>0</v>
      </c>
      <c r="E1448" t="str">
        <f>VLOOKUP(B1448,[1]Nuclides!A:E,5,FALSE)</f>
        <v>Lu157</v>
      </c>
      <c r="F1448">
        <f>VLOOKUP(B1448,[1]Nuclides!A:E,4,FALSE)</f>
        <v>6.8</v>
      </c>
      <c r="G1448" t="str">
        <f t="shared" si="120"/>
        <v>6.8s</v>
      </c>
      <c r="H1448">
        <f t="shared" si="121"/>
        <v>0.10193340890587431</v>
      </c>
      <c r="I1448">
        <f t="shared" si="122"/>
        <v>0</v>
      </c>
      <c r="J1448">
        <f t="shared" si="123"/>
        <v>0</v>
      </c>
      <c r="K1448" t="str">
        <f t="shared" si="124"/>
        <v>Lu157</v>
      </c>
    </row>
    <row r="1449" spans="2:11" hidden="1" x14ac:dyDescent="0.2">
      <c r="B1449" s="4">
        <v>71158</v>
      </c>
      <c r="C1449" s="4">
        <v>0</v>
      </c>
      <c r="D1449">
        <v>0</v>
      </c>
      <c r="E1449" t="str">
        <f>VLOOKUP(B1449,[1]Nuclides!A:E,5,FALSE)</f>
        <v>Lu158</v>
      </c>
      <c r="F1449">
        <f>VLOOKUP(B1449,[1]Nuclides!A:E,4,FALSE)</f>
        <v>10.6</v>
      </c>
      <c r="G1449" t="str">
        <f t="shared" si="120"/>
        <v>10.6s</v>
      </c>
      <c r="H1449">
        <f t="shared" si="121"/>
        <v>6.539124344905145E-2</v>
      </c>
      <c r="I1449">
        <f t="shared" si="122"/>
        <v>0</v>
      </c>
      <c r="J1449">
        <f t="shared" si="123"/>
        <v>0</v>
      </c>
      <c r="K1449" t="str">
        <f t="shared" si="124"/>
        <v>Lu158</v>
      </c>
    </row>
    <row r="1450" spans="2:11" hidden="1" x14ac:dyDescent="0.2">
      <c r="B1450" s="4">
        <v>71159</v>
      </c>
      <c r="C1450" s="4">
        <v>0</v>
      </c>
      <c r="D1450">
        <v>0</v>
      </c>
      <c r="E1450" t="str">
        <f>VLOOKUP(B1450,[1]Nuclides!A:E,5,FALSE)</f>
        <v>Lu159</v>
      </c>
      <c r="F1450">
        <f>VLOOKUP(B1450,[1]Nuclides!A:E,4,FALSE)</f>
        <v>12.1</v>
      </c>
      <c r="G1450" t="str">
        <f t="shared" si="120"/>
        <v>12.1s</v>
      </c>
      <c r="H1450">
        <f t="shared" si="121"/>
        <v>5.728489095536738E-2</v>
      </c>
      <c r="I1450">
        <f t="shared" si="122"/>
        <v>0</v>
      </c>
      <c r="J1450">
        <f t="shared" si="123"/>
        <v>0</v>
      </c>
      <c r="K1450" t="str">
        <f t="shared" si="124"/>
        <v>Lu159</v>
      </c>
    </row>
    <row r="1451" spans="2:11" hidden="1" x14ac:dyDescent="0.2">
      <c r="B1451" s="4">
        <v>71160</v>
      </c>
      <c r="C1451" s="4">
        <v>0</v>
      </c>
      <c r="D1451">
        <v>0</v>
      </c>
      <c r="E1451" t="str">
        <f>VLOOKUP(B1451,[1]Nuclides!A:E,5,FALSE)</f>
        <v>Lu160</v>
      </c>
      <c r="F1451">
        <f>VLOOKUP(B1451,[1]Nuclides!A:E,4,FALSE)</f>
        <v>36.1</v>
      </c>
      <c r="G1451" t="str">
        <f t="shared" si="120"/>
        <v>36.1s</v>
      </c>
      <c r="H1451">
        <f t="shared" si="121"/>
        <v>1.9200752924098206E-2</v>
      </c>
      <c r="I1451">
        <f t="shared" si="122"/>
        <v>0</v>
      </c>
      <c r="J1451">
        <f t="shared" si="123"/>
        <v>0</v>
      </c>
      <c r="K1451" t="str">
        <f t="shared" si="124"/>
        <v>Lu160</v>
      </c>
    </row>
    <row r="1452" spans="2:11" hidden="1" x14ac:dyDescent="0.2">
      <c r="B1452" s="4">
        <v>71161</v>
      </c>
      <c r="C1452" s="4">
        <v>0</v>
      </c>
      <c r="D1452">
        <v>0</v>
      </c>
      <c r="E1452" t="str">
        <f>VLOOKUP(B1452,[1]Nuclides!A:E,5,FALSE)</f>
        <v>Lu161</v>
      </c>
      <c r="F1452">
        <f>VLOOKUP(B1452,[1]Nuclides!A:E,4,FALSE)</f>
        <v>77</v>
      </c>
      <c r="G1452" t="str">
        <f t="shared" si="120"/>
        <v>1.28min</v>
      </c>
      <c r="H1452">
        <f t="shared" si="121"/>
        <v>9.001911435843446E-3</v>
      </c>
      <c r="I1452">
        <f t="shared" si="122"/>
        <v>0</v>
      </c>
      <c r="J1452">
        <f t="shared" si="123"/>
        <v>0</v>
      </c>
      <c r="K1452" t="str">
        <f t="shared" si="124"/>
        <v>Lu161</v>
      </c>
    </row>
    <row r="1453" spans="2:11" hidden="1" x14ac:dyDescent="0.2">
      <c r="B1453" s="4">
        <v>71162</v>
      </c>
      <c r="C1453" s="4">
        <v>0</v>
      </c>
      <c r="D1453">
        <v>0</v>
      </c>
      <c r="E1453" t="str">
        <f>VLOOKUP(B1453,[1]Nuclides!A:E,5,FALSE)</f>
        <v>Lu162</v>
      </c>
      <c r="F1453">
        <f>VLOOKUP(B1453,[1]Nuclides!A:E,4,FALSE)</f>
        <v>82.2</v>
      </c>
      <c r="G1453" t="str">
        <f t="shared" si="120"/>
        <v>1.37min</v>
      </c>
      <c r="H1453">
        <f t="shared" si="121"/>
        <v>8.4324474520674608E-3</v>
      </c>
      <c r="I1453">
        <f t="shared" si="122"/>
        <v>0</v>
      </c>
      <c r="J1453">
        <f t="shared" si="123"/>
        <v>0</v>
      </c>
      <c r="K1453" t="str">
        <f t="shared" si="124"/>
        <v>Lu162</v>
      </c>
    </row>
    <row r="1454" spans="2:11" hidden="1" x14ac:dyDescent="0.2">
      <c r="B1454" s="4">
        <v>71163</v>
      </c>
      <c r="C1454" s="4">
        <v>0</v>
      </c>
      <c r="D1454">
        <v>0</v>
      </c>
      <c r="E1454" t="str">
        <f>VLOOKUP(B1454,[1]Nuclides!A:E,5,FALSE)</f>
        <v>Lu163</v>
      </c>
      <c r="F1454">
        <f>VLOOKUP(B1454,[1]Nuclides!A:E,4,FALSE)</f>
        <v>238.2</v>
      </c>
      <c r="G1454" t="str">
        <f t="shared" si="120"/>
        <v>3.97min</v>
      </c>
      <c r="H1454">
        <f t="shared" si="121"/>
        <v>2.9099377857260511E-3</v>
      </c>
      <c r="I1454">
        <f t="shared" si="122"/>
        <v>0</v>
      </c>
      <c r="J1454">
        <f t="shared" si="123"/>
        <v>0</v>
      </c>
      <c r="K1454" t="str">
        <f t="shared" si="124"/>
        <v>Lu163</v>
      </c>
    </row>
    <row r="1455" spans="2:11" hidden="1" x14ac:dyDescent="0.2">
      <c r="B1455" s="4">
        <v>71164</v>
      </c>
      <c r="C1455" s="4">
        <v>0</v>
      </c>
      <c r="D1455">
        <v>0</v>
      </c>
      <c r="E1455" t="str">
        <f>VLOOKUP(B1455,[1]Nuclides!A:E,5,FALSE)</f>
        <v>Lu164</v>
      </c>
      <c r="F1455">
        <f>VLOOKUP(B1455,[1]Nuclides!A:E,4,FALSE)</f>
        <v>188.4</v>
      </c>
      <c r="G1455" t="str">
        <f t="shared" si="120"/>
        <v>3.14min</v>
      </c>
      <c r="H1455">
        <f t="shared" si="121"/>
        <v>3.6791251622077773E-3</v>
      </c>
      <c r="I1455">
        <f t="shared" si="122"/>
        <v>0</v>
      </c>
      <c r="J1455">
        <f t="shared" si="123"/>
        <v>0</v>
      </c>
      <c r="K1455" t="str">
        <f t="shared" si="124"/>
        <v>Lu164</v>
      </c>
    </row>
    <row r="1456" spans="2:11" hidden="1" x14ac:dyDescent="0.2">
      <c r="B1456" s="4">
        <v>71165</v>
      </c>
      <c r="C1456" s="4">
        <v>0</v>
      </c>
      <c r="D1456">
        <v>0</v>
      </c>
      <c r="E1456" t="str">
        <f>VLOOKUP(B1456,[1]Nuclides!A:E,5,FALSE)</f>
        <v>Lu165</v>
      </c>
      <c r="F1456">
        <f>VLOOKUP(B1456,[1]Nuclides!A:E,4,FALSE)</f>
        <v>644.4</v>
      </c>
      <c r="G1456" t="str">
        <f t="shared" si="120"/>
        <v>10.74min</v>
      </c>
      <c r="H1456">
        <f t="shared" si="121"/>
        <v>1.0756473937925904E-3</v>
      </c>
      <c r="I1456">
        <f t="shared" si="122"/>
        <v>0</v>
      </c>
      <c r="J1456">
        <f t="shared" si="123"/>
        <v>0</v>
      </c>
      <c r="K1456" t="str">
        <f t="shared" si="124"/>
        <v>Lu165</v>
      </c>
    </row>
    <row r="1457" spans="2:11" hidden="1" x14ac:dyDescent="0.2">
      <c r="B1457" s="4">
        <v>71166</v>
      </c>
      <c r="C1457" s="4">
        <v>0</v>
      </c>
      <c r="D1457">
        <v>0</v>
      </c>
      <c r="E1457" t="str">
        <f>VLOOKUP(B1457,[1]Nuclides!A:E,5,FALSE)</f>
        <v>Lu166</v>
      </c>
      <c r="F1457">
        <f>VLOOKUP(B1457,[1]Nuclides!A:E,4,FALSE)</f>
        <v>159</v>
      </c>
      <c r="G1457" t="str">
        <f t="shared" si="120"/>
        <v>2.65min</v>
      </c>
      <c r="H1457">
        <f t="shared" si="121"/>
        <v>4.3594162299367628E-3</v>
      </c>
      <c r="I1457">
        <f t="shared" si="122"/>
        <v>0</v>
      </c>
      <c r="J1457">
        <f t="shared" si="123"/>
        <v>0</v>
      </c>
      <c r="K1457" t="str">
        <f t="shared" si="124"/>
        <v>Lu166</v>
      </c>
    </row>
    <row r="1458" spans="2:11" hidden="1" x14ac:dyDescent="0.2">
      <c r="B1458" s="4">
        <v>71167</v>
      </c>
      <c r="C1458" s="4">
        <v>0</v>
      </c>
      <c r="D1458">
        <v>0</v>
      </c>
      <c r="E1458" t="str">
        <f>VLOOKUP(B1458,[1]Nuclides!A:E,5,FALSE)</f>
        <v>Lu167</v>
      </c>
      <c r="F1458">
        <f>VLOOKUP(B1458,[1]Nuclides!A:E,4,FALSE)</f>
        <v>3090</v>
      </c>
      <c r="G1458" t="str">
        <f t="shared" si="120"/>
        <v>51.5min</v>
      </c>
      <c r="H1458">
        <f t="shared" si="121"/>
        <v>2.2431947590936739E-4</v>
      </c>
      <c r="I1458">
        <f t="shared" si="122"/>
        <v>0</v>
      </c>
      <c r="J1458">
        <f t="shared" si="123"/>
        <v>0</v>
      </c>
      <c r="K1458" t="str">
        <f t="shared" si="124"/>
        <v>Lu167</v>
      </c>
    </row>
    <row r="1459" spans="2:11" hidden="1" x14ac:dyDescent="0.2">
      <c r="B1459" s="4">
        <v>71168</v>
      </c>
      <c r="C1459" s="4">
        <v>0</v>
      </c>
      <c r="D1459">
        <v>0</v>
      </c>
      <c r="E1459" t="str">
        <f>VLOOKUP(B1459,[1]Nuclides!A:E,5,FALSE)</f>
        <v>Lu168</v>
      </c>
      <c r="F1459">
        <f>VLOOKUP(B1459,[1]Nuclides!A:E,4,FALSE)</f>
        <v>330</v>
      </c>
      <c r="G1459" t="str">
        <f t="shared" si="120"/>
        <v>5.5min</v>
      </c>
      <c r="H1459">
        <f t="shared" si="121"/>
        <v>2.1004460016968039E-3</v>
      </c>
      <c r="I1459">
        <f t="shared" si="122"/>
        <v>0</v>
      </c>
      <c r="J1459">
        <f t="shared" si="123"/>
        <v>0</v>
      </c>
      <c r="K1459" t="str">
        <f t="shared" si="124"/>
        <v>Lu168</v>
      </c>
    </row>
    <row r="1460" spans="2:11" hidden="1" x14ac:dyDescent="0.2">
      <c r="B1460" s="4">
        <v>71169</v>
      </c>
      <c r="C1460" s="4">
        <v>0</v>
      </c>
      <c r="D1460">
        <v>0</v>
      </c>
      <c r="E1460" t="str">
        <f>VLOOKUP(B1460,[1]Nuclides!A:E,5,FALSE)</f>
        <v>Lu169</v>
      </c>
      <c r="F1460">
        <f>VLOOKUP(B1460,[1]Nuclides!A:E,4,FALSE)</f>
        <v>122616</v>
      </c>
      <c r="G1460" t="str">
        <f t="shared" si="120"/>
        <v>1.42d</v>
      </c>
      <c r="H1460">
        <f t="shared" si="121"/>
        <v>5.6529912944472604E-6</v>
      </c>
      <c r="I1460">
        <f t="shared" si="122"/>
        <v>0</v>
      </c>
      <c r="J1460">
        <f t="shared" si="123"/>
        <v>0</v>
      </c>
      <c r="K1460" t="str">
        <f t="shared" si="124"/>
        <v>Lu169</v>
      </c>
    </row>
    <row r="1461" spans="2:11" hidden="1" x14ac:dyDescent="0.2">
      <c r="B1461" s="4">
        <v>71170</v>
      </c>
      <c r="C1461" s="4">
        <v>0</v>
      </c>
      <c r="D1461">
        <v>0</v>
      </c>
      <c r="E1461" t="str">
        <f>VLOOKUP(B1461,[1]Nuclides!A:E,5,FALSE)</f>
        <v>Lu170</v>
      </c>
      <c r="F1461">
        <f>VLOOKUP(B1461,[1]Nuclides!A:E,4,FALSE)</f>
        <v>173836.79999999999</v>
      </c>
      <c r="G1461" t="str">
        <f t="shared" si="120"/>
        <v>2.01d</v>
      </c>
      <c r="H1461">
        <f t="shared" si="121"/>
        <v>3.9873443399783323E-6</v>
      </c>
      <c r="I1461">
        <f t="shared" si="122"/>
        <v>0</v>
      </c>
      <c r="J1461">
        <f t="shared" si="123"/>
        <v>0</v>
      </c>
      <c r="K1461" t="str">
        <f t="shared" si="124"/>
        <v>Lu170</v>
      </c>
    </row>
    <row r="1462" spans="2:11" hidden="1" x14ac:dyDescent="0.2">
      <c r="B1462" s="4">
        <v>71171</v>
      </c>
      <c r="C1462" s="4">
        <v>0</v>
      </c>
      <c r="D1462">
        <v>0</v>
      </c>
      <c r="E1462" t="str">
        <f>VLOOKUP(B1462,[1]Nuclides!A:E,5,FALSE)</f>
        <v>Lu171</v>
      </c>
      <c r="F1462">
        <f>VLOOKUP(B1462,[1]Nuclides!A:E,4,FALSE)</f>
        <v>711936</v>
      </c>
      <c r="G1462" t="str">
        <f t="shared" si="120"/>
        <v>8.24d</v>
      </c>
      <c r="H1462">
        <f t="shared" si="121"/>
        <v>9.7360883641218482E-7</v>
      </c>
      <c r="I1462">
        <f t="shared" si="122"/>
        <v>0</v>
      </c>
      <c r="J1462">
        <f t="shared" si="123"/>
        <v>0</v>
      </c>
      <c r="K1462" t="str">
        <f t="shared" si="124"/>
        <v>Lu171</v>
      </c>
    </row>
    <row r="1463" spans="2:11" hidden="1" x14ac:dyDescent="0.2">
      <c r="B1463" s="4">
        <v>71172</v>
      </c>
      <c r="C1463" s="4">
        <v>0</v>
      </c>
      <c r="D1463">
        <v>0</v>
      </c>
      <c r="E1463" t="str">
        <f>VLOOKUP(B1463,[1]Nuclides!A:E,5,FALSE)</f>
        <v>Lu172</v>
      </c>
      <c r="F1463">
        <f>VLOOKUP(B1463,[1]Nuclides!A:E,4,FALSE)</f>
        <v>578880</v>
      </c>
      <c r="G1463" t="str">
        <f t="shared" si="120"/>
        <v>6.7d</v>
      </c>
      <c r="H1463">
        <f t="shared" si="121"/>
        <v>1.1973935540352841E-6</v>
      </c>
      <c r="I1463">
        <f t="shared" si="122"/>
        <v>0</v>
      </c>
      <c r="J1463">
        <f t="shared" si="123"/>
        <v>0</v>
      </c>
      <c r="K1463" t="str">
        <f t="shared" si="124"/>
        <v>Lu172</v>
      </c>
    </row>
    <row r="1464" spans="2:11" hidden="1" x14ac:dyDescent="0.2">
      <c r="B1464" s="4">
        <v>71173</v>
      </c>
      <c r="C1464" s="4">
        <v>0</v>
      </c>
      <c r="D1464">
        <v>0</v>
      </c>
      <c r="E1464" t="str">
        <f>VLOOKUP(B1464,[1]Nuclides!A:E,5,FALSE)</f>
        <v>Lu173</v>
      </c>
      <c r="F1464">
        <f>VLOOKUP(B1464,[1]Nuclides!A:E,4,FALSE)</f>
        <v>43233912</v>
      </c>
      <c r="G1464" t="str">
        <f t="shared" si="120"/>
        <v>1.37y</v>
      </c>
      <c r="H1464">
        <f t="shared" si="121"/>
        <v>1.6032488120897904E-8</v>
      </c>
      <c r="I1464">
        <f t="shared" si="122"/>
        <v>0</v>
      </c>
      <c r="J1464">
        <f t="shared" si="123"/>
        <v>0</v>
      </c>
      <c r="K1464" t="str">
        <f t="shared" si="124"/>
        <v>Lu173</v>
      </c>
    </row>
    <row r="1465" spans="2:11" hidden="1" x14ac:dyDescent="0.2">
      <c r="B1465" s="4">
        <v>71174</v>
      </c>
      <c r="C1465" s="4">
        <v>0</v>
      </c>
      <c r="D1465">
        <v>0</v>
      </c>
      <c r="E1465" t="str">
        <f>VLOOKUP(B1465,[1]Nuclides!A:E,5,FALSE)</f>
        <v>Lu174</v>
      </c>
      <c r="F1465">
        <f>VLOOKUP(B1465,[1]Nuclides!A:E,4,FALSE)</f>
        <v>104455656</v>
      </c>
      <c r="G1465" t="str">
        <f t="shared" si="120"/>
        <v>3.31y</v>
      </c>
      <c r="H1465">
        <f t="shared" si="121"/>
        <v>6.6358032403716392E-9</v>
      </c>
      <c r="I1465">
        <f t="shared" si="122"/>
        <v>0</v>
      </c>
      <c r="J1465">
        <f t="shared" si="123"/>
        <v>0</v>
      </c>
      <c r="K1465" t="str">
        <f t="shared" si="124"/>
        <v>Lu174</v>
      </c>
    </row>
    <row r="1466" spans="2:11" hidden="1" x14ac:dyDescent="0.2">
      <c r="B1466" s="4">
        <v>71175</v>
      </c>
      <c r="C1466" s="4">
        <v>0</v>
      </c>
      <c r="D1466">
        <v>0</v>
      </c>
      <c r="E1466" t="str">
        <f>VLOOKUP(B1466,[1]Nuclides!A:E,5,FALSE)</f>
        <v>Lu175</v>
      </c>
      <c r="F1466" t="str">
        <f>VLOOKUP(B1466,[1]Nuclides!A:E,4,FALSE)</f>
        <v>STABLE</v>
      </c>
      <c r="G1466" t="str">
        <f t="shared" si="120"/>
        <v>STABLE</v>
      </c>
      <c r="H1466" t="e">
        <f t="shared" si="121"/>
        <v>#VALUE!</v>
      </c>
      <c r="I1466" t="e">
        <f t="shared" si="122"/>
        <v>#VALUE!</v>
      </c>
      <c r="J1466" t="e">
        <f t="shared" si="123"/>
        <v>#VALUE!</v>
      </c>
      <c r="K1466" t="str">
        <f t="shared" si="124"/>
        <v>Lu175</v>
      </c>
    </row>
    <row r="1467" spans="2:11" hidden="1" x14ac:dyDescent="0.2">
      <c r="B1467" s="4">
        <v>71176</v>
      </c>
      <c r="C1467" s="4">
        <v>0</v>
      </c>
      <c r="D1467">
        <v>0</v>
      </c>
      <c r="E1467" t="str">
        <f>VLOOKUP(B1467,[1]Nuclides!A:E,5,FALSE)</f>
        <v>Lu176</v>
      </c>
      <c r="F1467">
        <f>VLOOKUP(B1467,[1]Nuclides!A:E,4,FALSE)</f>
        <v>1.18656576E+18</v>
      </c>
      <c r="G1467" t="str">
        <f t="shared" si="120"/>
        <v>37625753424.66y</v>
      </c>
      <c r="H1467">
        <f t="shared" si="121"/>
        <v>5.8416246610718425E-19</v>
      </c>
      <c r="I1467">
        <f t="shared" si="122"/>
        <v>0</v>
      </c>
      <c r="J1467">
        <f t="shared" si="123"/>
        <v>0</v>
      </c>
      <c r="K1467" t="str">
        <f t="shared" si="124"/>
        <v>Lu176</v>
      </c>
    </row>
    <row r="1468" spans="2:11" hidden="1" x14ac:dyDescent="0.2">
      <c r="B1468" s="4">
        <v>71177</v>
      </c>
      <c r="C1468" s="4">
        <v>0</v>
      </c>
      <c r="D1468">
        <v>0</v>
      </c>
      <c r="E1468" t="str">
        <f>VLOOKUP(B1468,[1]Nuclides!A:E,5,FALSE)</f>
        <v>Lu177</v>
      </c>
      <c r="F1468">
        <f>VLOOKUP(B1468,[1]Nuclides!A:E,4,FALSE)</f>
        <v>574300.80000000005</v>
      </c>
      <c r="G1468" t="str">
        <f t="shared" si="120"/>
        <v>6.65d</v>
      </c>
      <c r="H1468">
        <f t="shared" si="121"/>
        <v>1.2069409977488195E-6</v>
      </c>
      <c r="I1468">
        <f t="shared" si="122"/>
        <v>0</v>
      </c>
      <c r="J1468">
        <f t="shared" si="123"/>
        <v>0</v>
      </c>
      <c r="K1468" t="str">
        <f t="shared" si="124"/>
        <v>Lu177</v>
      </c>
    </row>
    <row r="1469" spans="2:11" hidden="1" x14ac:dyDescent="0.2">
      <c r="B1469" s="4">
        <v>71178</v>
      </c>
      <c r="C1469" s="4">
        <v>0</v>
      </c>
      <c r="D1469">
        <v>0</v>
      </c>
      <c r="E1469" t="str">
        <f>VLOOKUP(B1469,[1]Nuclides!A:E,5,FALSE)</f>
        <v>Lu178</v>
      </c>
      <c r="F1469">
        <f>VLOOKUP(B1469,[1]Nuclides!A:E,4,FALSE)</f>
        <v>1704</v>
      </c>
      <c r="G1469" t="str">
        <f t="shared" si="120"/>
        <v>28.4min</v>
      </c>
      <c r="H1469">
        <f t="shared" si="121"/>
        <v>4.0677651441311342E-4</v>
      </c>
      <c r="I1469">
        <f t="shared" si="122"/>
        <v>0</v>
      </c>
      <c r="J1469">
        <f t="shared" si="123"/>
        <v>0</v>
      </c>
      <c r="K1469" t="str">
        <f t="shared" si="124"/>
        <v>Lu178</v>
      </c>
    </row>
    <row r="1470" spans="2:11" hidden="1" x14ac:dyDescent="0.2">
      <c r="B1470" s="4">
        <v>71179</v>
      </c>
      <c r="C1470" s="4">
        <v>0</v>
      </c>
      <c r="D1470">
        <v>0</v>
      </c>
      <c r="E1470" t="str">
        <f>VLOOKUP(B1470,[1]Nuclides!A:E,5,FALSE)</f>
        <v>Lu179</v>
      </c>
      <c r="F1470">
        <f>VLOOKUP(B1470,[1]Nuclides!A:E,4,FALSE)</f>
        <v>16524</v>
      </c>
      <c r="G1470" t="str">
        <f t="shared" si="120"/>
        <v>4.59h</v>
      </c>
      <c r="H1470">
        <f t="shared" si="121"/>
        <v>4.1947904899536755E-5</v>
      </c>
      <c r="I1470">
        <f t="shared" si="122"/>
        <v>0</v>
      </c>
      <c r="J1470">
        <f t="shared" si="123"/>
        <v>0</v>
      </c>
      <c r="K1470" t="str">
        <f t="shared" si="124"/>
        <v>Lu179</v>
      </c>
    </row>
    <row r="1471" spans="2:11" hidden="1" x14ac:dyDescent="0.2">
      <c r="B1471" s="4">
        <v>71180</v>
      </c>
      <c r="C1471" s="4">
        <v>0</v>
      </c>
      <c r="D1471">
        <v>0</v>
      </c>
      <c r="E1471" t="str">
        <f>VLOOKUP(B1471,[1]Nuclides!A:E,5,FALSE)</f>
        <v>Lu180</v>
      </c>
      <c r="F1471">
        <f>VLOOKUP(B1471,[1]Nuclides!A:E,4,FALSE)</f>
        <v>342</v>
      </c>
      <c r="G1471" t="str">
        <f t="shared" si="120"/>
        <v>5.7min</v>
      </c>
      <c r="H1471">
        <f t="shared" si="121"/>
        <v>2.0267461419881442E-3</v>
      </c>
      <c r="I1471">
        <f t="shared" si="122"/>
        <v>0</v>
      </c>
      <c r="J1471">
        <f t="shared" si="123"/>
        <v>0</v>
      </c>
      <c r="K1471" t="str">
        <f t="shared" si="124"/>
        <v>Lu180</v>
      </c>
    </row>
    <row r="1472" spans="2:11" hidden="1" x14ac:dyDescent="0.2">
      <c r="B1472" s="4">
        <v>71181</v>
      </c>
      <c r="C1472" s="4">
        <v>0</v>
      </c>
      <c r="D1472">
        <v>0</v>
      </c>
      <c r="E1472" t="str">
        <f>VLOOKUP(B1472,[1]Nuclides!A:E,5,FALSE)</f>
        <v>Lu181</v>
      </c>
      <c r="F1472">
        <f>VLOOKUP(B1472,[1]Nuclides!A:E,4,FALSE)</f>
        <v>210</v>
      </c>
      <c r="G1472" t="str">
        <f t="shared" si="120"/>
        <v>3.5min</v>
      </c>
      <c r="H1472">
        <f t="shared" si="121"/>
        <v>3.3007008598092634E-3</v>
      </c>
      <c r="I1472">
        <f t="shared" si="122"/>
        <v>0</v>
      </c>
      <c r="J1472">
        <f t="shared" si="123"/>
        <v>0</v>
      </c>
      <c r="K1472" t="str">
        <f t="shared" si="124"/>
        <v>Lu181</v>
      </c>
    </row>
    <row r="1473" spans="2:11" hidden="1" x14ac:dyDescent="0.2">
      <c r="B1473" s="4">
        <v>71182</v>
      </c>
      <c r="C1473" s="4">
        <v>0</v>
      </c>
      <c r="D1473">
        <v>0</v>
      </c>
      <c r="E1473" t="str">
        <f>VLOOKUP(B1473,[1]Nuclides!A:E,5,FALSE)</f>
        <v>Lu182</v>
      </c>
      <c r="F1473">
        <f>VLOOKUP(B1473,[1]Nuclides!A:E,4,FALSE)</f>
        <v>120</v>
      </c>
      <c r="G1473" t="str">
        <f t="shared" si="120"/>
        <v>2min</v>
      </c>
      <c r="H1473">
        <f t="shared" si="121"/>
        <v>5.7762265046662105E-3</v>
      </c>
      <c r="I1473">
        <f t="shared" si="122"/>
        <v>0</v>
      </c>
      <c r="J1473">
        <f t="shared" si="123"/>
        <v>0</v>
      </c>
      <c r="K1473" t="str">
        <f t="shared" si="124"/>
        <v>Lu182</v>
      </c>
    </row>
    <row r="1474" spans="2:11" hidden="1" x14ac:dyDescent="0.2">
      <c r="B1474" s="4">
        <v>71183</v>
      </c>
      <c r="C1474" s="4">
        <v>0</v>
      </c>
      <c r="D1474">
        <v>0</v>
      </c>
      <c r="E1474" t="str">
        <f>VLOOKUP(B1474,[1]Nuclides!A:E,5,FALSE)</f>
        <v>Lu183</v>
      </c>
      <c r="F1474">
        <f>VLOOKUP(B1474,[1]Nuclides!A:E,4,FALSE)</f>
        <v>58</v>
      </c>
      <c r="G1474" t="str">
        <f t="shared" si="120"/>
        <v>58s</v>
      </c>
      <c r="H1474">
        <f t="shared" si="121"/>
        <v>1.1950813457930091E-2</v>
      </c>
      <c r="I1474">
        <f t="shared" si="122"/>
        <v>0</v>
      </c>
      <c r="J1474">
        <f t="shared" si="123"/>
        <v>0</v>
      </c>
      <c r="K1474" t="str">
        <f t="shared" si="124"/>
        <v>Lu183</v>
      </c>
    </row>
    <row r="1475" spans="2:11" hidden="1" x14ac:dyDescent="0.2">
      <c r="B1475" s="4">
        <v>72154</v>
      </c>
      <c r="C1475" s="4">
        <v>0</v>
      </c>
      <c r="D1475">
        <v>0</v>
      </c>
      <c r="E1475" t="str">
        <f>VLOOKUP(B1475,[1]Nuclides!A:E,5,FALSE)</f>
        <v>Hf154</v>
      </c>
      <c r="F1475">
        <f>VLOOKUP(B1475,[1]Nuclides!A:E,4,FALSE)</f>
        <v>2</v>
      </c>
      <c r="G1475" t="str">
        <f t="shared" si="120"/>
        <v>2s</v>
      </c>
      <c r="H1475">
        <f t="shared" si="121"/>
        <v>0.34657359027997264</v>
      </c>
      <c r="I1475">
        <f t="shared" si="122"/>
        <v>0</v>
      </c>
      <c r="J1475">
        <f t="shared" si="123"/>
        <v>0</v>
      </c>
      <c r="K1475" t="str">
        <f t="shared" si="124"/>
        <v>Hf154</v>
      </c>
    </row>
    <row r="1476" spans="2:11" hidden="1" x14ac:dyDescent="0.2">
      <c r="B1476" s="4">
        <v>72155</v>
      </c>
      <c r="C1476" s="4">
        <v>0</v>
      </c>
      <c r="D1476">
        <v>0</v>
      </c>
      <c r="E1476" t="str">
        <f>VLOOKUP(B1476,[1]Nuclides!A:E,5,FALSE)</f>
        <v>Hf155</v>
      </c>
      <c r="F1476">
        <f>VLOOKUP(B1476,[1]Nuclides!A:E,4,FALSE)</f>
        <v>0.84</v>
      </c>
      <c r="G1476" t="str">
        <f t="shared" si="120"/>
        <v>0.84s</v>
      </c>
      <c r="H1476">
        <f t="shared" si="121"/>
        <v>0.82517521495231583</v>
      </c>
      <c r="I1476">
        <f t="shared" si="122"/>
        <v>0</v>
      </c>
      <c r="J1476">
        <f t="shared" si="123"/>
        <v>0</v>
      </c>
      <c r="K1476" t="str">
        <f t="shared" si="124"/>
        <v>Hf155</v>
      </c>
    </row>
    <row r="1477" spans="2:11" hidden="1" x14ac:dyDescent="0.2">
      <c r="B1477" s="4">
        <v>72156</v>
      </c>
      <c r="C1477" s="4">
        <v>0</v>
      </c>
      <c r="D1477">
        <v>0</v>
      </c>
      <c r="E1477" t="str">
        <f>VLOOKUP(B1477,[1]Nuclides!A:E,5,FALSE)</f>
        <v>Hf156</v>
      </c>
      <c r="F1477">
        <f>VLOOKUP(B1477,[1]Nuclides!A:E,4,FALSE)</f>
        <v>2.3E-2</v>
      </c>
      <c r="G1477" t="str">
        <f t="shared" ref="G1477:G1540" si="125">IF(F1477="STABLE", "STABLE", IF(F1477&lt;60, F1477&amp;"s", IF(F1477&lt;3600, ROUND(F1477/60,2)&amp;"min", IF(F1477&lt;86400, ROUND(F1477/3600,2)&amp;"h", IF(F1477&lt;31536000, ROUND(F1477/86400,2)&amp;"d", ROUND(F1477/31536000,2)&amp;"y")))))</f>
        <v>0.023s</v>
      </c>
      <c r="H1477">
        <f t="shared" ref="H1477:H1540" si="126">LN(2)/F1477</f>
        <v>30.136833937388925</v>
      </c>
      <c r="I1477">
        <f t="shared" ref="I1477:I1540" si="127">60*6240000000000*C1477*(1-EXP(-H1477*2*3600))</f>
        <v>0</v>
      </c>
      <c r="J1477">
        <f t="shared" ref="J1477:J1540" si="128">I1477*EXP(-H1477*96*3600)</f>
        <v>0</v>
      </c>
      <c r="K1477" t="str">
        <f t="shared" ref="K1477:K1540" si="129">E1477</f>
        <v>Hf156</v>
      </c>
    </row>
    <row r="1478" spans="2:11" hidden="1" x14ac:dyDescent="0.2">
      <c r="B1478" s="4">
        <v>72157</v>
      </c>
      <c r="C1478" s="4">
        <v>0</v>
      </c>
      <c r="D1478">
        <v>0</v>
      </c>
      <c r="E1478" t="str">
        <f>VLOOKUP(B1478,[1]Nuclides!A:E,5,FALSE)</f>
        <v>Hf157</v>
      </c>
      <c r="F1478">
        <f>VLOOKUP(B1478,[1]Nuclides!A:E,4,FALSE)</f>
        <v>0.115</v>
      </c>
      <c r="G1478" t="str">
        <f t="shared" si="125"/>
        <v>0.115s</v>
      </c>
      <c r="H1478">
        <f t="shared" si="126"/>
        <v>6.027366787477785</v>
      </c>
      <c r="I1478">
        <f t="shared" si="127"/>
        <v>0</v>
      </c>
      <c r="J1478">
        <f t="shared" si="128"/>
        <v>0</v>
      </c>
      <c r="K1478" t="str">
        <f t="shared" si="129"/>
        <v>Hf157</v>
      </c>
    </row>
    <row r="1479" spans="2:11" hidden="1" x14ac:dyDescent="0.2">
      <c r="B1479" s="4">
        <v>72158</v>
      </c>
      <c r="C1479" s="4">
        <v>0</v>
      </c>
      <c r="D1479">
        <v>0</v>
      </c>
      <c r="E1479" t="str">
        <f>VLOOKUP(B1479,[1]Nuclides!A:E,5,FALSE)</f>
        <v>Hf158</v>
      </c>
      <c r="F1479">
        <f>VLOOKUP(B1479,[1]Nuclides!A:E,4,FALSE)</f>
        <v>2.85</v>
      </c>
      <c r="G1479" t="str">
        <f t="shared" si="125"/>
        <v>2.85s</v>
      </c>
      <c r="H1479">
        <f t="shared" si="126"/>
        <v>0.24320953703857728</v>
      </c>
      <c r="I1479">
        <f t="shared" si="127"/>
        <v>0</v>
      </c>
      <c r="J1479">
        <f t="shared" si="128"/>
        <v>0</v>
      </c>
      <c r="K1479" t="str">
        <f t="shared" si="129"/>
        <v>Hf158</v>
      </c>
    </row>
    <row r="1480" spans="2:11" hidden="1" x14ac:dyDescent="0.2">
      <c r="B1480" s="4">
        <v>72159</v>
      </c>
      <c r="C1480" s="4">
        <v>0</v>
      </c>
      <c r="D1480">
        <v>0</v>
      </c>
      <c r="E1480" t="str">
        <f>VLOOKUP(B1480,[1]Nuclides!A:E,5,FALSE)</f>
        <v>Hf159</v>
      </c>
      <c r="F1480">
        <f>VLOOKUP(B1480,[1]Nuclides!A:E,4,FALSE)</f>
        <v>5.6</v>
      </c>
      <c r="G1480" t="str">
        <f t="shared" si="125"/>
        <v>5.6s</v>
      </c>
      <c r="H1480">
        <f t="shared" si="126"/>
        <v>0.12377628224284738</v>
      </c>
      <c r="I1480">
        <f t="shared" si="127"/>
        <v>0</v>
      </c>
      <c r="J1480">
        <f t="shared" si="128"/>
        <v>0</v>
      </c>
      <c r="K1480" t="str">
        <f t="shared" si="129"/>
        <v>Hf159</v>
      </c>
    </row>
    <row r="1481" spans="2:11" hidden="1" x14ac:dyDescent="0.2">
      <c r="B1481" s="4">
        <v>72160</v>
      </c>
      <c r="C1481" s="4">
        <v>0</v>
      </c>
      <c r="D1481">
        <v>0</v>
      </c>
      <c r="E1481" t="str">
        <f>VLOOKUP(B1481,[1]Nuclides!A:E,5,FALSE)</f>
        <v>Hf160</v>
      </c>
      <c r="F1481">
        <f>VLOOKUP(B1481,[1]Nuclides!A:E,4,FALSE)</f>
        <v>13.6</v>
      </c>
      <c r="G1481" t="str">
        <f t="shared" si="125"/>
        <v>13.6s</v>
      </c>
      <c r="H1481">
        <f t="shared" si="126"/>
        <v>5.0966704452937155E-2</v>
      </c>
      <c r="I1481">
        <f t="shared" si="127"/>
        <v>0</v>
      </c>
      <c r="J1481">
        <f t="shared" si="128"/>
        <v>0</v>
      </c>
      <c r="K1481" t="str">
        <f t="shared" si="129"/>
        <v>Hf160</v>
      </c>
    </row>
    <row r="1482" spans="2:11" hidden="1" x14ac:dyDescent="0.2">
      <c r="B1482" s="4">
        <v>72161</v>
      </c>
      <c r="C1482" s="4">
        <v>0</v>
      </c>
      <c r="D1482">
        <v>0</v>
      </c>
      <c r="E1482" t="str">
        <f>VLOOKUP(B1482,[1]Nuclides!A:E,5,FALSE)</f>
        <v>Hf161</v>
      </c>
      <c r="F1482">
        <f>VLOOKUP(B1482,[1]Nuclides!A:E,4,FALSE)</f>
        <v>18.399999999999999</v>
      </c>
      <c r="G1482" t="str">
        <f t="shared" si="125"/>
        <v>18.4s</v>
      </c>
      <c r="H1482">
        <f t="shared" si="126"/>
        <v>3.7671042421736162E-2</v>
      </c>
      <c r="I1482">
        <f t="shared" si="127"/>
        <v>0</v>
      </c>
      <c r="J1482">
        <f t="shared" si="128"/>
        <v>0</v>
      </c>
      <c r="K1482" t="str">
        <f t="shared" si="129"/>
        <v>Hf161</v>
      </c>
    </row>
    <row r="1483" spans="2:11" hidden="1" x14ac:dyDescent="0.2">
      <c r="B1483" s="4">
        <v>72162</v>
      </c>
      <c r="C1483" s="4">
        <v>0</v>
      </c>
      <c r="D1483">
        <v>0</v>
      </c>
      <c r="E1483" t="str">
        <f>VLOOKUP(B1483,[1]Nuclides!A:E,5,FALSE)</f>
        <v>Hf162</v>
      </c>
      <c r="F1483">
        <f>VLOOKUP(B1483,[1]Nuclides!A:E,4,FALSE)</f>
        <v>39.4</v>
      </c>
      <c r="G1483" t="str">
        <f t="shared" si="125"/>
        <v>39.4s</v>
      </c>
      <c r="H1483">
        <f t="shared" si="126"/>
        <v>1.7592568034516379E-2</v>
      </c>
      <c r="I1483">
        <f t="shared" si="127"/>
        <v>0</v>
      </c>
      <c r="J1483">
        <f t="shared" si="128"/>
        <v>0</v>
      </c>
      <c r="K1483" t="str">
        <f t="shared" si="129"/>
        <v>Hf162</v>
      </c>
    </row>
    <row r="1484" spans="2:11" hidden="1" x14ac:dyDescent="0.2">
      <c r="B1484" s="4">
        <v>72163</v>
      </c>
      <c r="C1484" s="4">
        <v>0</v>
      </c>
      <c r="D1484">
        <v>0</v>
      </c>
      <c r="E1484" t="str">
        <f>VLOOKUP(B1484,[1]Nuclides!A:E,5,FALSE)</f>
        <v>Hf163</v>
      </c>
      <c r="F1484">
        <f>VLOOKUP(B1484,[1]Nuclides!A:E,4,FALSE)</f>
        <v>40</v>
      </c>
      <c r="G1484" t="str">
        <f t="shared" si="125"/>
        <v>40s</v>
      </c>
      <c r="H1484">
        <f t="shared" si="126"/>
        <v>1.7328679513998631E-2</v>
      </c>
      <c r="I1484">
        <f t="shared" si="127"/>
        <v>0</v>
      </c>
      <c r="J1484">
        <f t="shared" si="128"/>
        <v>0</v>
      </c>
      <c r="K1484" t="str">
        <f t="shared" si="129"/>
        <v>Hf163</v>
      </c>
    </row>
    <row r="1485" spans="2:11" hidden="1" x14ac:dyDescent="0.2">
      <c r="B1485" s="4">
        <v>72164</v>
      </c>
      <c r="C1485" s="4">
        <v>0</v>
      </c>
      <c r="D1485">
        <v>0</v>
      </c>
      <c r="E1485" t="str">
        <f>VLOOKUP(B1485,[1]Nuclides!A:E,5,FALSE)</f>
        <v>Hf164</v>
      </c>
      <c r="F1485">
        <f>VLOOKUP(B1485,[1]Nuclides!A:E,4,FALSE)</f>
        <v>111</v>
      </c>
      <c r="G1485" t="str">
        <f t="shared" si="125"/>
        <v>1.85min</v>
      </c>
      <c r="H1485">
        <f t="shared" si="126"/>
        <v>6.2445691942337412E-3</v>
      </c>
      <c r="I1485">
        <f t="shared" si="127"/>
        <v>0</v>
      </c>
      <c r="J1485">
        <f t="shared" si="128"/>
        <v>0</v>
      </c>
      <c r="K1485" t="str">
        <f t="shared" si="129"/>
        <v>Hf164</v>
      </c>
    </row>
    <row r="1486" spans="2:11" hidden="1" x14ac:dyDescent="0.2">
      <c r="B1486" s="4">
        <v>72165</v>
      </c>
      <c r="C1486" s="4">
        <v>0</v>
      </c>
      <c r="D1486">
        <v>0</v>
      </c>
      <c r="E1486" t="str">
        <f>VLOOKUP(B1486,[1]Nuclides!A:E,5,FALSE)</f>
        <v>Hf165</v>
      </c>
      <c r="F1486">
        <f>VLOOKUP(B1486,[1]Nuclides!A:E,4,FALSE)</f>
        <v>76</v>
      </c>
      <c r="G1486" t="str">
        <f t="shared" si="125"/>
        <v>1.27min</v>
      </c>
      <c r="H1486">
        <f t="shared" si="126"/>
        <v>9.1203576389466481E-3</v>
      </c>
      <c r="I1486">
        <f t="shared" si="127"/>
        <v>0</v>
      </c>
      <c r="J1486">
        <f t="shared" si="128"/>
        <v>0</v>
      </c>
      <c r="K1486" t="str">
        <f t="shared" si="129"/>
        <v>Hf165</v>
      </c>
    </row>
    <row r="1487" spans="2:11" hidden="1" x14ac:dyDescent="0.2">
      <c r="B1487" s="4">
        <v>72166</v>
      </c>
      <c r="C1487" s="4">
        <v>0</v>
      </c>
      <c r="D1487">
        <v>0</v>
      </c>
      <c r="E1487" t="str">
        <f>VLOOKUP(B1487,[1]Nuclides!A:E,5,FALSE)</f>
        <v>Hf166</v>
      </c>
      <c r="F1487">
        <f>VLOOKUP(B1487,[1]Nuclides!A:E,4,FALSE)</f>
        <v>406.2</v>
      </c>
      <c r="G1487" t="str">
        <f t="shared" si="125"/>
        <v>6.77min</v>
      </c>
      <c r="H1487">
        <f t="shared" si="126"/>
        <v>1.706418465189427E-3</v>
      </c>
      <c r="I1487">
        <f t="shared" si="127"/>
        <v>0</v>
      </c>
      <c r="J1487">
        <f t="shared" si="128"/>
        <v>0</v>
      </c>
      <c r="K1487" t="str">
        <f t="shared" si="129"/>
        <v>Hf166</v>
      </c>
    </row>
    <row r="1488" spans="2:11" hidden="1" x14ac:dyDescent="0.2">
      <c r="B1488" s="4">
        <v>72167</v>
      </c>
      <c r="C1488" s="4">
        <v>0</v>
      </c>
      <c r="D1488">
        <v>0</v>
      </c>
      <c r="E1488" t="str">
        <f>VLOOKUP(B1488,[1]Nuclides!A:E,5,FALSE)</f>
        <v>Hf167</v>
      </c>
      <c r="F1488">
        <f>VLOOKUP(B1488,[1]Nuclides!A:E,4,FALSE)</f>
        <v>122.99999999999901</v>
      </c>
      <c r="G1488" t="str">
        <f t="shared" si="125"/>
        <v>2.05min</v>
      </c>
      <c r="H1488">
        <f t="shared" si="126"/>
        <v>5.6353429313817146E-3</v>
      </c>
      <c r="I1488">
        <f t="shared" si="127"/>
        <v>0</v>
      </c>
      <c r="J1488">
        <f t="shared" si="128"/>
        <v>0</v>
      </c>
      <c r="K1488" t="str">
        <f t="shared" si="129"/>
        <v>Hf167</v>
      </c>
    </row>
    <row r="1489" spans="2:11" hidden="1" x14ac:dyDescent="0.2">
      <c r="B1489" s="4">
        <v>72168</v>
      </c>
      <c r="C1489" s="4">
        <v>0</v>
      </c>
      <c r="D1489">
        <v>0</v>
      </c>
      <c r="E1489" t="str">
        <f>VLOOKUP(B1489,[1]Nuclides!A:E,5,FALSE)</f>
        <v>Hf168</v>
      </c>
      <c r="F1489">
        <f>VLOOKUP(B1489,[1]Nuclides!A:E,4,FALSE)</f>
        <v>1557</v>
      </c>
      <c r="G1489" t="str">
        <f t="shared" si="125"/>
        <v>25.95min</v>
      </c>
      <c r="H1489">
        <f t="shared" si="126"/>
        <v>4.4518123350028601E-4</v>
      </c>
      <c r="I1489">
        <f t="shared" si="127"/>
        <v>0</v>
      </c>
      <c r="J1489">
        <f t="shared" si="128"/>
        <v>0</v>
      </c>
      <c r="K1489" t="str">
        <f t="shared" si="129"/>
        <v>Hf168</v>
      </c>
    </row>
    <row r="1490" spans="2:11" hidden="1" x14ac:dyDescent="0.2">
      <c r="B1490" s="4">
        <v>72169</v>
      </c>
      <c r="C1490" s="4">
        <v>0</v>
      </c>
      <c r="D1490">
        <v>0</v>
      </c>
      <c r="E1490" t="str">
        <f>VLOOKUP(B1490,[1]Nuclides!A:E,5,FALSE)</f>
        <v>Hf169</v>
      </c>
      <c r="F1490">
        <f>VLOOKUP(B1490,[1]Nuclides!A:E,4,FALSE)</f>
        <v>194.4</v>
      </c>
      <c r="G1490" t="str">
        <f t="shared" si="125"/>
        <v>3.24min</v>
      </c>
      <c r="H1490">
        <f t="shared" si="126"/>
        <v>3.565571916460624E-3</v>
      </c>
      <c r="I1490">
        <f t="shared" si="127"/>
        <v>0</v>
      </c>
      <c r="J1490">
        <f t="shared" si="128"/>
        <v>0</v>
      </c>
      <c r="K1490" t="str">
        <f t="shared" si="129"/>
        <v>Hf169</v>
      </c>
    </row>
    <row r="1491" spans="2:11" hidden="1" x14ac:dyDescent="0.2">
      <c r="B1491" s="4">
        <v>72170</v>
      </c>
      <c r="C1491" s="4">
        <v>0</v>
      </c>
      <c r="D1491">
        <v>0</v>
      </c>
      <c r="E1491" t="str">
        <f>VLOOKUP(B1491,[1]Nuclides!A:E,5,FALSE)</f>
        <v>Hf170</v>
      </c>
      <c r="F1491">
        <f>VLOOKUP(B1491,[1]Nuclides!A:E,4,FALSE)</f>
        <v>57636</v>
      </c>
      <c r="G1491" t="str">
        <f t="shared" si="125"/>
        <v>16.01h</v>
      </c>
      <c r="H1491">
        <f t="shared" si="126"/>
        <v>1.2026288787562379E-5</v>
      </c>
      <c r="I1491">
        <f t="shared" si="127"/>
        <v>0</v>
      </c>
      <c r="J1491">
        <f t="shared" si="128"/>
        <v>0</v>
      </c>
      <c r="K1491" t="str">
        <f t="shared" si="129"/>
        <v>Hf170</v>
      </c>
    </row>
    <row r="1492" spans="2:11" hidden="1" x14ac:dyDescent="0.2">
      <c r="B1492" s="4">
        <v>72171</v>
      </c>
      <c r="C1492" s="4">
        <v>0</v>
      </c>
      <c r="D1492">
        <v>0</v>
      </c>
      <c r="E1492" t="str">
        <f>VLOOKUP(B1492,[1]Nuclides!A:E,5,FALSE)</f>
        <v>Hf171</v>
      </c>
      <c r="F1492">
        <f>VLOOKUP(B1492,[1]Nuclides!A:E,4,FALSE)</f>
        <v>43560</v>
      </c>
      <c r="G1492" t="str">
        <f t="shared" si="125"/>
        <v>12.1h</v>
      </c>
      <c r="H1492">
        <f t="shared" si="126"/>
        <v>1.5912469709824271E-5</v>
      </c>
      <c r="I1492">
        <f t="shared" si="127"/>
        <v>0</v>
      </c>
      <c r="J1492">
        <f t="shared" si="128"/>
        <v>0</v>
      </c>
      <c r="K1492" t="str">
        <f t="shared" si="129"/>
        <v>Hf171</v>
      </c>
    </row>
    <row r="1493" spans="2:11" hidden="1" x14ac:dyDescent="0.2">
      <c r="B1493" s="4">
        <v>72172</v>
      </c>
      <c r="C1493" s="4">
        <v>0</v>
      </c>
      <c r="D1493">
        <v>0</v>
      </c>
      <c r="E1493" t="str">
        <f>VLOOKUP(B1493,[1]Nuclides!A:E,5,FALSE)</f>
        <v>Hf172</v>
      </c>
      <c r="F1493">
        <f>VLOOKUP(B1493,[1]Nuclides!A:E,4,FALSE)</f>
        <v>59012712</v>
      </c>
      <c r="G1493" t="str">
        <f t="shared" si="125"/>
        <v>1.87y</v>
      </c>
      <c r="H1493">
        <f t="shared" si="126"/>
        <v>1.1745726591246057E-8</v>
      </c>
      <c r="I1493">
        <f t="shared" si="127"/>
        <v>0</v>
      </c>
      <c r="J1493">
        <f t="shared" si="128"/>
        <v>0</v>
      </c>
      <c r="K1493" t="str">
        <f t="shared" si="129"/>
        <v>Hf172</v>
      </c>
    </row>
    <row r="1494" spans="2:11" hidden="1" x14ac:dyDescent="0.2">
      <c r="B1494" s="4">
        <v>72173</v>
      </c>
      <c r="C1494" s="4">
        <v>0</v>
      </c>
      <c r="D1494">
        <v>0</v>
      </c>
      <c r="E1494" t="str">
        <f>VLOOKUP(B1494,[1]Nuclides!A:E,5,FALSE)</f>
        <v>Hf173</v>
      </c>
      <c r="F1494">
        <f>VLOOKUP(B1494,[1]Nuclides!A:E,4,FALSE)</f>
        <v>84960</v>
      </c>
      <c r="G1494" t="str">
        <f t="shared" si="125"/>
        <v>23.6h</v>
      </c>
      <c r="H1494">
        <f t="shared" si="126"/>
        <v>8.1585120122404098E-6</v>
      </c>
      <c r="I1494">
        <f t="shared" si="127"/>
        <v>0</v>
      </c>
      <c r="J1494">
        <f t="shared" si="128"/>
        <v>0</v>
      </c>
      <c r="K1494" t="str">
        <f t="shared" si="129"/>
        <v>Hf173</v>
      </c>
    </row>
    <row r="1495" spans="2:11" hidden="1" x14ac:dyDescent="0.2">
      <c r="B1495" s="4">
        <v>72174</v>
      </c>
      <c r="C1495" s="4">
        <v>0</v>
      </c>
      <c r="D1495">
        <v>0</v>
      </c>
      <c r="E1495" t="str">
        <f>VLOOKUP(B1495,[1]Nuclides!A:E,5,FALSE)</f>
        <v>Hf174</v>
      </c>
      <c r="F1495">
        <f>VLOOKUP(B1495,[1]Nuclides!A:E,4,FALSE)</f>
        <v>6.3115200000000002E+22</v>
      </c>
      <c r="G1495" t="str">
        <f t="shared" si="125"/>
        <v>2001369863013700y</v>
      </c>
      <c r="H1495">
        <f t="shared" si="126"/>
        <v>1.0982254362815063E-23</v>
      </c>
      <c r="I1495">
        <f t="shared" si="127"/>
        <v>0</v>
      </c>
      <c r="J1495">
        <f t="shared" si="128"/>
        <v>0</v>
      </c>
      <c r="K1495" t="str">
        <f t="shared" si="129"/>
        <v>Hf174</v>
      </c>
    </row>
    <row r="1496" spans="2:11" hidden="1" x14ac:dyDescent="0.2">
      <c r="B1496" s="4">
        <v>72175</v>
      </c>
      <c r="C1496" s="4">
        <v>0</v>
      </c>
      <c r="D1496">
        <v>0</v>
      </c>
      <c r="E1496" t="str">
        <f>VLOOKUP(B1496,[1]Nuclides!A:E,5,FALSE)</f>
        <v>Hf175</v>
      </c>
      <c r="F1496">
        <f>VLOOKUP(B1496,[1]Nuclides!A:E,4,FALSE)</f>
        <v>6048000</v>
      </c>
      <c r="G1496" t="str">
        <f t="shared" si="125"/>
        <v>70d</v>
      </c>
      <c r="H1496">
        <f t="shared" si="126"/>
        <v>1.146076687433772E-7</v>
      </c>
      <c r="I1496">
        <f t="shared" si="127"/>
        <v>0</v>
      </c>
      <c r="J1496">
        <f t="shared" si="128"/>
        <v>0</v>
      </c>
      <c r="K1496" t="str">
        <f t="shared" si="129"/>
        <v>Hf175</v>
      </c>
    </row>
    <row r="1497" spans="2:11" hidden="1" x14ac:dyDescent="0.2">
      <c r="B1497" s="4">
        <v>72176</v>
      </c>
      <c r="C1497" s="4">
        <v>0</v>
      </c>
      <c r="D1497">
        <v>0</v>
      </c>
      <c r="E1497" t="str">
        <f>VLOOKUP(B1497,[1]Nuclides!A:E,5,FALSE)</f>
        <v>Hf176</v>
      </c>
      <c r="F1497" t="str">
        <f>VLOOKUP(B1497,[1]Nuclides!A:E,4,FALSE)</f>
        <v>STABLE</v>
      </c>
      <c r="G1497" t="str">
        <f t="shared" si="125"/>
        <v>STABLE</v>
      </c>
      <c r="H1497" t="e">
        <f t="shared" si="126"/>
        <v>#VALUE!</v>
      </c>
      <c r="I1497" t="e">
        <f t="shared" si="127"/>
        <v>#VALUE!</v>
      </c>
      <c r="J1497" t="e">
        <f t="shared" si="128"/>
        <v>#VALUE!</v>
      </c>
      <c r="K1497" t="str">
        <f t="shared" si="129"/>
        <v>Hf176</v>
      </c>
    </row>
    <row r="1498" spans="2:11" hidden="1" x14ac:dyDescent="0.2">
      <c r="B1498" s="4">
        <v>72177</v>
      </c>
      <c r="C1498" s="4">
        <v>0</v>
      </c>
      <c r="D1498">
        <v>0</v>
      </c>
      <c r="E1498" t="str">
        <f>VLOOKUP(B1498,[1]Nuclides!A:E,5,FALSE)</f>
        <v>Hf177</v>
      </c>
      <c r="F1498" t="str">
        <f>VLOOKUP(B1498,[1]Nuclides!A:E,4,FALSE)</f>
        <v>STABLE</v>
      </c>
      <c r="G1498" t="str">
        <f t="shared" si="125"/>
        <v>STABLE</v>
      </c>
      <c r="H1498" t="e">
        <f t="shared" si="126"/>
        <v>#VALUE!</v>
      </c>
      <c r="I1498" t="e">
        <f t="shared" si="127"/>
        <v>#VALUE!</v>
      </c>
      <c r="J1498" t="e">
        <f t="shared" si="128"/>
        <v>#VALUE!</v>
      </c>
      <c r="K1498" t="str">
        <f t="shared" si="129"/>
        <v>Hf177</v>
      </c>
    </row>
    <row r="1499" spans="2:11" hidden="1" x14ac:dyDescent="0.2">
      <c r="B1499" s="4">
        <v>72178</v>
      </c>
      <c r="C1499" s="4">
        <v>0</v>
      </c>
      <c r="D1499">
        <v>0</v>
      </c>
      <c r="E1499" t="str">
        <f>VLOOKUP(B1499,[1]Nuclides!A:E,5,FALSE)</f>
        <v>Hf178</v>
      </c>
      <c r="F1499" t="str">
        <f>VLOOKUP(B1499,[1]Nuclides!A:E,4,FALSE)</f>
        <v>STABLE</v>
      </c>
      <c r="G1499" t="str">
        <f t="shared" si="125"/>
        <v>STABLE</v>
      </c>
      <c r="H1499" t="e">
        <f t="shared" si="126"/>
        <v>#VALUE!</v>
      </c>
      <c r="I1499" t="e">
        <f t="shared" si="127"/>
        <v>#VALUE!</v>
      </c>
      <c r="J1499" t="e">
        <f t="shared" si="128"/>
        <v>#VALUE!</v>
      </c>
      <c r="K1499" t="str">
        <f t="shared" si="129"/>
        <v>Hf178</v>
      </c>
    </row>
    <row r="1500" spans="2:11" hidden="1" x14ac:dyDescent="0.2">
      <c r="B1500" s="4">
        <v>72179</v>
      </c>
      <c r="C1500" s="4">
        <v>0</v>
      </c>
      <c r="D1500">
        <v>0</v>
      </c>
      <c r="E1500" t="str">
        <f>VLOOKUP(B1500,[1]Nuclides!A:E,5,FALSE)</f>
        <v>Hf179</v>
      </c>
      <c r="F1500" t="str">
        <f>VLOOKUP(B1500,[1]Nuclides!A:E,4,FALSE)</f>
        <v>STABLE</v>
      </c>
      <c r="G1500" t="str">
        <f t="shared" si="125"/>
        <v>STABLE</v>
      </c>
      <c r="H1500" t="e">
        <f t="shared" si="126"/>
        <v>#VALUE!</v>
      </c>
      <c r="I1500" t="e">
        <f t="shared" si="127"/>
        <v>#VALUE!</v>
      </c>
      <c r="J1500" t="e">
        <f t="shared" si="128"/>
        <v>#VALUE!</v>
      </c>
      <c r="K1500" t="str">
        <f t="shared" si="129"/>
        <v>Hf179</v>
      </c>
    </row>
    <row r="1501" spans="2:11" hidden="1" x14ac:dyDescent="0.2">
      <c r="B1501" s="4">
        <v>72180</v>
      </c>
      <c r="C1501" s="4">
        <v>0</v>
      </c>
      <c r="D1501">
        <v>0</v>
      </c>
      <c r="E1501" t="str">
        <f>VLOOKUP(B1501,[1]Nuclides!A:E,5,FALSE)</f>
        <v>Hf180</v>
      </c>
      <c r="F1501" t="str">
        <f>VLOOKUP(B1501,[1]Nuclides!A:E,4,FALSE)</f>
        <v>STABLE</v>
      </c>
      <c r="G1501" t="str">
        <f t="shared" si="125"/>
        <v>STABLE</v>
      </c>
      <c r="H1501" t="e">
        <f t="shared" si="126"/>
        <v>#VALUE!</v>
      </c>
      <c r="I1501" t="e">
        <f t="shared" si="127"/>
        <v>#VALUE!</v>
      </c>
      <c r="J1501" t="e">
        <f t="shared" si="128"/>
        <v>#VALUE!</v>
      </c>
      <c r="K1501" t="str">
        <f t="shared" si="129"/>
        <v>Hf180</v>
      </c>
    </row>
    <row r="1502" spans="2:11" hidden="1" x14ac:dyDescent="0.2">
      <c r="B1502" s="4">
        <v>72181</v>
      </c>
      <c r="C1502" s="4">
        <v>0</v>
      </c>
      <c r="D1502">
        <v>0</v>
      </c>
      <c r="E1502" t="str">
        <f>VLOOKUP(B1502,[1]Nuclides!A:E,5,FALSE)</f>
        <v>Hf181</v>
      </c>
      <c r="F1502">
        <f>VLOOKUP(B1502,[1]Nuclides!A:E,4,FALSE)</f>
        <v>3662496</v>
      </c>
      <c r="G1502" t="str">
        <f t="shared" si="125"/>
        <v>42.39d</v>
      </c>
      <c r="H1502">
        <f t="shared" si="126"/>
        <v>1.8925540957858937E-7</v>
      </c>
      <c r="I1502">
        <f t="shared" si="127"/>
        <v>0</v>
      </c>
      <c r="J1502">
        <f t="shared" si="128"/>
        <v>0</v>
      </c>
      <c r="K1502" t="str">
        <f t="shared" si="129"/>
        <v>Hf181</v>
      </c>
    </row>
    <row r="1503" spans="2:11" hidden="1" x14ac:dyDescent="0.2">
      <c r="B1503" s="4">
        <v>72182</v>
      </c>
      <c r="C1503" s="4">
        <v>0</v>
      </c>
      <c r="D1503">
        <v>0</v>
      </c>
      <c r="E1503" t="str">
        <f>VLOOKUP(B1503,[1]Nuclides!A:E,5,FALSE)</f>
        <v>Hf182</v>
      </c>
      <c r="F1503">
        <f>VLOOKUP(B1503,[1]Nuclides!A:E,4,FALSE)</f>
        <v>280862640000000</v>
      </c>
      <c r="G1503" t="str">
        <f t="shared" si="125"/>
        <v>8906095.89y</v>
      </c>
      <c r="H1503">
        <f t="shared" si="126"/>
        <v>2.467922328722486E-15</v>
      </c>
      <c r="I1503">
        <f t="shared" si="127"/>
        <v>0</v>
      </c>
      <c r="J1503">
        <f t="shared" si="128"/>
        <v>0</v>
      </c>
      <c r="K1503" t="str">
        <f t="shared" si="129"/>
        <v>Hf182</v>
      </c>
    </row>
    <row r="1504" spans="2:11" hidden="1" x14ac:dyDescent="0.2">
      <c r="B1504" s="4">
        <v>72183</v>
      </c>
      <c r="C1504" s="4">
        <v>0</v>
      </c>
      <c r="D1504">
        <v>0</v>
      </c>
      <c r="E1504" t="str">
        <f>VLOOKUP(B1504,[1]Nuclides!A:E,5,FALSE)</f>
        <v>Hf183</v>
      </c>
      <c r="F1504">
        <f>VLOOKUP(B1504,[1]Nuclides!A:E,4,FALSE)</f>
        <v>3664.8</v>
      </c>
      <c r="G1504" t="str">
        <f t="shared" si="125"/>
        <v>1.02h</v>
      </c>
      <c r="H1504">
        <f t="shared" si="126"/>
        <v>1.8913642778867749E-4</v>
      </c>
      <c r="I1504">
        <f t="shared" si="127"/>
        <v>0</v>
      </c>
      <c r="J1504">
        <f t="shared" si="128"/>
        <v>0</v>
      </c>
      <c r="K1504" t="str">
        <f t="shared" si="129"/>
        <v>Hf183</v>
      </c>
    </row>
    <row r="1505" spans="2:11" hidden="1" x14ac:dyDescent="0.2">
      <c r="B1505" s="4">
        <v>72184</v>
      </c>
      <c r="C1505" s="4">
        <v>0</v>
      </c>
      <c r="D1505">
        <v>0</v>
      </c>
      <c r="E1505" t="str">
        <f>VLOOKUP(B1505,[1]Nuclides!A:E,5,FALSE)</f>
        <v>Hf184</v>
      </c>
      <c r="F1505">
        <f>VLOOKUP(B1505,[1]Nuclides!A:E,4,FALSE)</f>
        <v>14832</v>
      </c>
      <c r="G1505" t="str">
        <f t="shared" si="125"/>
        <v>4.12h</v>
      </c>
      <c r="H1505">
        <f t="shared" si="126"/>
        <v>4.6733224147784875E-5</v>
      </c>
      <c r="I1505">
        <f t="shared" si="127"/>
        <v>0</v>
      </c>
      <c r="J1505">
        <f t="shared" si="128"/>
        <v>0</v>
      </c>
      <c r="K1505" t="str">
        <f t="shared" si="129"/>
        <v>Hf184</v>
      </c>
    </row>
    <row r="1506" spans="2:11" hidden="1" x14ac:dyDescent="0.2">
      <c r="B1506" s="4">
        <v>73157</v>
      </c>
      <c r="C1506" s="4">
        <v>0</v>
      </c>
      <c r="D1506">
        <v>0</v>
      </c>
      <c r="E1506" t="str">
        <f>VLOOKUP(B1506,[1]Nuclides!A:E,5,FALSE)</f>
        <v>Ta157</v>
      </c>
      <c r="F1506">
        <f>VLOOKUP(B1506,[1]Nuclides!A:E,4,FALSE)</f>
        <v>1.01E-2</v>
      </c>
      <c r="G1506" t="str">
        <f t="shared" si="125"/>
        <v>0.0101s</v>
      </c>
      <c r="H1506">
        <f t="shared" si="126"/>
        <v>68.628433718806463</v>
      </c>
      <c r="I1506">
        <f t="shared" si="127"/>
        <v>0</v>
      </c>
      <c r="J1506">
        <f t="shared" si="128"/>
        <v>0</v>
      </c>
      <c r="K1506" t="str">
        <f t="shared" si="129"/>
        <v>Ta157</v>
      </c>
    </row>
    <row r="1507" spans="2:11" hidden="1" x14ac:dyDescent="0.2">
      <c r="B1507" s="4">
        <v>73158</v>
      </c>
      <c r="C1507" s="4">
        <v>0</v>
      </c>
      <c r="D1507">
        <v>0</v>
      </c>
      <c r="E1507" t="str">
        <f>VLOOKUP(B1507,[1]Nuclides!A:E,5,FALSE)</f>
        <v>Ta158</v>
      </c>
      <c r="F1507">
        <f>VLOOKUP(B1507,[1]Nuclides!A:E,4,FALSE)</f>
        <v>5.5E-2</v>
      </c>
      <c r="G1507" t="str">
        <f t="shared" si="125"/>
        <v>0.055s</v>
      </c>
      <c r="H1507">
        <f t="shared" si="126"/>
        <v>12.602676010180824</v>
      </c>
      <c r="I1507">
        <f t="shared" si="127"/>
        <v>0</v>
      </c>
      <c r="J1507">
        <f t="shared" si="128"/>
        <v>0</v>
      </c>
      <c r="K1507" t="str">
        <f t="shared" si="129"/>
        <v>Ta158</v>
      </c>
    </row>
    <row r="1508" spans="2:11" hidden="1" x14ac:dyDescent="0.2">
      <c r="B1508" s="4">
        <v>73159</v>
      </c>
      <c r="C1508" s="4">
        <v>0</v>
      </c>
      <c r="D1508">
        <v>0</v>
      </c>
      <c r="E1508" t="str">
        <f>VLOOKUP(B1508,[1]Nuclides!A:E,5,FALSE)</f>
        <v>Ta159</v>
      </c>
      <c r="F1508">
        <f>VLOOKUP(B1508,[1]Nuclides!A:E,4,FALSE)</f>
        <v>0.83</v>
      </c>
      <c r="G1508" t="str">
        <f t="shared" si="125"/>
        <v>0.83s</v>
      </c>
      <c r="H1508">
        <f t="shared" si="126"/>
        <v>0.83511708501198234</v>
      </c>
      <c r="I1508">
        <f t="shared" si="127"/>
        <v>0</v>
      </c>
      <c r="J1508">
        <f t="shared" si="128"/>
        <v>0</v>
      </c>
      <c r="K1508" t="str">
        <f t="shared" si="129"/>
        <v>Ta159</v>
      </c>
    </row>
    <row r="1509" spans="2:11" hidden="1" x14ac:dyDescent="0.2">
      <c r="B1509" s="4">
        <v>73160</v>
      </c>
      <c r="C1509" s="4">
        <v>0</v>
      </c>
      <c r="D1509">
        <v>0</v>
      </c>
      <c r="E1509" t="str">
        <f>VLOOKUP(B1509,[1]Nuclides!A:E,5,FALSE)</f>
        <v>Ta160</v>
      </c>
      <c r="F1509">
        <f>VLOOKUP(B1509,[1]Nuclides!A:E,4,FALSE)</f>
        <v>1.55</v>
      </c>
      <c r="G1509" t="str">
        <f t="shared" si="125"/>
        <v>1.55s</v>
      </c>
      <c r="H1509">
        <f t="shared" si="126"/>
        <v>0.44719172939351309</v>
      </c>
      <c r="I1509">
        <f t="shared" si="127"/>
        <v>0</v>
      </c>
      <c r="J1509">
        <f t="shared" si="128"/>
        <v>0</v>
      </c>
      <c r="K1509" t="str">
        <f t="shared" si="129"/>
        <v>Ta160</v>
      </c>
    </row>
    <row r="1510" spans="2:11" hidden="1" x14ac:dyDescent="0.2">
      <c r="B1510" s="4">
        <v>73161</v>
      </c>
      <c r="C1510" s="4">
        <v>0</v>
      </c>
      <c r="D1510">
        <v>0</v>
      </c>
      <c r="E1510" t="e">
        <f>VLOOKUP(B1510,[1]Nuclides!A:E,5,FALSE)</f>
        <v>#N/A</v>
      </c>
      <c r="F1510" t="e">
        <f>VLOOKUP(B1510,[1]Nuclides!A:E,4,FALSE)</f>
        <v>#N/A</v>
      </c>
      <c r="G1510" t="e">
        <f t="shared" si="125"/>
        <v>#N/A</v>
      </c>
      <c r="H1510" t="e">
        <f t="shared" si="126"/>
        <v>#N/A</v>
      </c>
      <c r="I1510" t="e">
        <f t="shared" si="127"/>
        <v>#N/A</v>
      </c>
      <c r="J1510" t="e">
        <f t="shared" si="128"/>
        <v>#N/A</v>
      </c>
      <c r="K1510" t="e">
        <f t="shared" si="129"/>
        <v>#N/A</v>
      </c>
    </row>
    <row r="1511" spans="2:11" hidden="1" x14ac:dyDescent="0.2">
      <c r="B1511" s="4">
        <v>73162</v>
      </c>
      <c r="C1511" s="4">
        <v>0</v>
      </c>
      <c r="D1511">
        <v>0</v>
      </c>
      <c r="E1511" t="str">
        <f>VLOOKUP(B1511,[1]Nuclides!A:E,5,FALSE)</f>
        <v>Ta162</v>
      </c>
      <c r="F1511">
        <f>VLOOKUP(B1511,[1]Nuclides!A:E,4,FALSE)</f>
        <v>3.57</v>
      </c>
      <c r="G1511" t="str">
        <f t="shared" si="125"/>
        <v>3.57s</v>
      </c>
      <c r="H1511">
        <f t="shared" si="126"/>
        <v>0.19415887410642726</v>
      </c>
      <c r="I1511">
        <f t="shared" si="127"/>
        <v>0</v>
      </c>
      <c r="J1511">
        <f t="shared" si="128"/>
        <v>0</v>
      </c>
      <c r="K1511" t="str">
        <f t="shared" si="129"/>
        <v>Ta162</v>
      </c>
    </row>
    <row r="1512" spans="2:11" hidden="1" x14ac:dyDescent="0.2">
      <c r="B1512" s="4">
        <v>73163</v>
      </c>
      <c r="C1512" s="4">
        <v>0</v>
      </c>
      <c r="D1512">
        <v>0</v>
      </c>
      <c r="E1512" t="str">
        <f>VLOOKUP(B1512,[1]Nuclides!A:E,5,FALSE)</f>
        <v>Ta163</v>
      </c>
      <c r="F1512">
        <f>VLOOKUP(B1512,[1]Nuclides!A:E,4,FALSE)</f>
        <v>10.6</v>
      </c>
      <c r="G1512" t="str">
        <f t="shared" si="125"/>
        <v>10.6s</v>
      </c>
      <c r="H1512">
        <f t="shared" si="126"/>
        <v>6.539124344905145E-2</v>
      </c>
      <c r="I1512">
        <f t="shared" si="127"/>
        <v>0</v>
      </c>
      <c r="J1512">
        <f t="shared" si="128"/>
        <v>0</v>
      </c>
      <c r="K1512" t="str">
        <f t="shared" si="129"/>
        <v>Ta163</v>
      </c>
    </row>
    <row r="1513" spans="2:11" hidden="1" x14ac:dyDescent="0.2">
      <c r="B1513" s="4">
        <v>73164</v>
      </c>
      <c r="C1513" s="4">
        <v>0</v>
      </c>
      <c r="D1513">
        <v>0</v>
      </c>
      <c r="E1513" t="str">
        <f>VLOOKUP(B1513,[1]Nuclides!A:E,5,FALSE)</f>
        <v>Ta164</v>
      </c>
      <c r="F1513">
        <f>VLOOKUP(B1513,[1]Nuclides!A:E,4,FALSE)</f>
        <v>14.2</v>
      </c>
      <c r="G1513" t="str">
        <f t="shared" si="125"/>
        <v>14.2s</v>
      </c>
      <c r="H1513">
        <f t="shared" si="126"/>
        <v>4.8813181729573614E-2</v>
      </c>
      <c r="I1513">
        <f t="shared" si="127"/>
        <v>0</v>
      </c>
      <c r="J1513">
        <f t="shared" si="128"/>
        <v>0</v>
      </c>
      <c r="K1513" t="str">
        <f t="shared" si="129"/>
        <v>Ta164</v>
      </c>
    </row>
    <row r="1514" spans="2:11" hidden="1" x14ac:dyDescent="0.2">
      <c r="B1514" s="4">
        <v>73165</v>
      </c>
      <c r="C1514" s="4">
        <v>0</v>
      </c>
      <c r="D1514">
        <v>0</v>
      </c>
      <c r="E1514" t="str">
        <f>VLOOKUP(B1514,[1]Nuclides!A:E,5,FALSE)</f>
        <v>Ta165</v>
      </c>
      <c r="F1514">
        <f>VLOOKUP(B1514,[1]Nuclides!A:E,4,FALSE)</f>
        <v>31</v>
      </c>
      <c r="G1514" t="str">
        <f t="shared" si="125"/>
        <v>31s</v>
      </c>
      <c r="H1514">
        <f t="shared" si="126"/>
        <v>2.2359586469675653E-2</v>
      </c>
      <c r="I1514">
        <f t="shared" si="127"/>
        <v>0</v>
      </c>
      <c r="J1514">
        <f t="shared" si="128"/>
        <v>0</v>
      </c>
      <c r="K1514" t="str">
        <f t="shared" si="129"/>
        <v>Ta165</v>
      </c>
    </row>
    <row r="1515" spans="2:11" hidden="1" x14ac:dyDescent="0.2">
      <c r="B1515" s="4">
        <v>73166</v>
      </c>
      <c r="C1515" s="4">
        <v>0</v>
      </c>
      <c r="D1515">
        <v>0</v>
      </c>
      <c r="E1515" t="str">
        <f>VLOOKUP(B1515,[1]Nuclides!A:E,5,FALSE)</f>
        <v>Ta166</v>
      </c>
      <c r="F1515">
        <f>VLOOKUP(B1515,[1]Nuclides!A:E,4,FALSE)</f>
        <v>34.4</v>
      </c>
      <c r="G1515" t="str">
        <f t="shared" si="125"/>
        <v>34.4s</v>
      </c>
      <c r="H1515">
        <f t="shared" si="126"/>
        <v>2.0149627341858874E-2</v>
      </c>
      <c r="I1515">
        <f t="shared" si="127"/>
        <v>0</v>
      </c>
      <c r="J1515">
        <f t="shared" si="128"/>
        <v>0</v>
      </c>
      <c r="K1515" t="str">
        <f t="shared" si="129"/>
        <v>Ta166</v>
      </c>
    </row>
    <row r="1516" spans="2:11" hidden="1" x14ac:dyDescent="0.2">
      <c r="B1516" s="4">
        <v>73167</v>
      </c>
      <c r="C1516" s="4">
        <v>0</v>
      </c>
      <c r="D1516">
        <v>0</v>
      </c>
      <c r="E1516" t="str">
        <f>VLOOKUP(B1516,[1]Nuclides!A:E,5,FALSE)</f>
        <v>Ta167</v>
      </c>
      <c r="F1516">
        <f>VLOOKUP(B1516,[1]Nuclides!A:E,4,FALSE)</f>
        <v>80</v>
      </c>
      <c r="G1516" t="str">
        <f t="shared" si="125"/>
        <v>1.33min</v>
      </c>
      <c r="H1516">
        <f t="shared" si="126"/>
        <v>8.6643397569993157E-3</v>
      </c>
      <c r="I1516">
        <f t="shared" si="127"/>
        <v>0</v>
      </c>
      <c r="J1516">
        <f t="shared" si="128"/>
        <v>0</v>
      </c>
      <c r="K1516" t="str">
        <f t="shared" si="129"/>
        <v>Ta167</v>
      </c>
    </row>
    <row r="1517" spans="2:11" hidden="1" x14ac:dyDescent="0.2">
      <c r="B1517" s="4">
        <v>73168</v>
      </c>
      <c r="C1517" s="4">
        <v>0</v>
      </c>
      <c r="D1517">
        <v>0</v>
      </c>
      <c r="E1517" t="str">
        <f>VLOOKUP(B1517,[1]Nuclides!A:E,5,FALSE)</f>
        <v>Ta168</v>
      </c>
      <c r="F1517">
        <f>VLOOKUP(B1517,[1]Nuclides!A:E,4,FALSE)</f>
        <v>120</v>
      </c>
      <c r="G1517" t="str">
        <f t="shared" si="125"/>
        <v>2min</v>
      </c>
      <c r="H1517">
        <f t="shared" si="126"/>
        <v>5.7762265046662105E-3</v>
      </c>
      <c r="I1517">
        <f t="shared" si="127"/>
        <v>0</v>
      </c>
      <c r="J1517">
        <f t="shared" si="128"/>
        <v>0</v>
      </c>
      <c r="K1517" t="str">
        <f t="shared" si="129"/>
        <v>Ta168</v>
      </c>
    </row>
    <row r="1518" spans="2:11" hidden="1" x14ac:dyDescent="0.2">
      <c r="B1518" s="4">
        <v>73169</v>
      </c>
      <c r="C1518" s="4">
        <v>0</v>
      </c>
      <c r="D1518">
        <v>0</v>
      </c>
      <c r="E1518" t="str">
        <f>VLOOKUP(B1518,[1]Nuclides!A:E,5,FALSE)</f>
        <v>Ta169</v>
      </c>
      <c r="F1518">
        <f>VLOOKUP(B1518,[1]Nuclides!A:E,4,FALSE)</f>
        <v>294</v>
      </c>
      <c r="G1518" t="str">
        <f t="shared" si="125"/>
        <v>4.9min</v>
      </c>
      <c r="H1518">
        <f t="shared" si="126"/>
        <v>2.3576434712923311E-3</v>
      </c>
      <c r="I1518">
        <f t="shared" si="127"/>
        <v>0</v>
      </c>
      <c r="J1518">
        <f t="shared" si="128"/>
        <v>0</v>
      </c>
      <c r="K1518" t="str">
        <f t="shared" si="129"/>
        <v>Ta169</v>
      </c>
    </row>
    <row r="1519" spans="2:11" hidden="1" x14ac:dyDescent="0.2">
      <c r="B1519" s="4">
        <v>73170</v>
      </c>
      <c r="C1519" s="4">
        <v>0</v>
      </c>
      <c r="D1519">
        <v>0</v>
      </c>
      <c r="E1519" t="str">
        <f>VLOOKUP(B1519,[1]Nuclides!A:E,5,FALSE)</f>
        <v>Ta170</v>
      </c>
      <c r="F1519">
        <f>VLOOKUP(B1519,[1]Nuclides!A:E,4,FALSE)</f>
        <v>405.599999999999</v>
      </c>
      <c r="G1519" t="str">
        <f t="shared" si="125"/>
        <v>6.76min</v>
      </c>
      <c r="H1519">
        <f t="shared" si="126"/>
        <v>1.7089427528598298E-3</v>
      </c>
      <c r="I1519">
        <f t="shared" si="127"/>
        <v>0</v>
      </c>
      <c r="J1519">
        <f t="shared" si="128"/>
        <v>0</v>
      </c>
      <c r="K1519" t="str">
        <f t="shared" si="129"/>
        <v>Ta170</v>
      </c>
    </row>
    <row r="1520" spans="2:11" hidden="1" x14ac:dyDescent="0.2">
      <c r="B1520" s="4">
        <v>73171</v>
      </c>
      <c r="C1520" s="4">
        <v>0</v>
      </c>
      <c r="D1520">
        <v>0</v>
      </c>
      <c r="E1520" t="str">
        <f>VLOOKUP(B1520,[1]Nuclides!A:E,5,FALSE)</f>
        <v>Ta171</v>
      </c>
      <c r="F1520">
        <f>VLOOKUP(B1520,[1]Nuclides!A:E,4,FALSE)</f>
        <v>1398</v>
      </c>
      <c r="G1520" t="str">
        <f t="shared" si="125"/>
        <v>23.3min</v>
      </c>
      <c r="H1520">
        <f t="shared" si="126"/>
        <v>4.9581343387692799E-4</v>
      </c>
      <c r="I1520">
        <f t="shared" si="127"/>
        <v>0</v>
      </c>
      <c r="J1520">
        <f t="shared" si="128"/>
        <v>0</v>
      </c>
      <c r="K1520" t="str">
        <f t="shared" si="129"/>
        <v>Ta171</v>
      </c>
    </row>
    <row r="1521" spans="2:11" hidden="1" x14ac:dyDescent="0.2">
      <c r="B1521" s="4">
        <v>73172</v>
      </c>
      <c r="C1521" s="4">
        <v>0</v>
      </c>
      <c r="D1521">
        <v>0</v>
      </c>
      <c r="E1521" t="str">
        <f>VLOOKUP(B1521,[1]Nuclides!A:E,5,FALSE)</f>
        <v>Ta172</v>
      </c>
      <c r="F1521">
        <f>VLOOKUP(B1521,[1]Nuclides!A:E,4,FALSE)</f>
        <v>2208</v>
      </c>
      <c r="G1521" t="str">
        <f t="shared" si="125"/>
        <v>36.8min</v>
      </c>
      <c r="H1521">
        <f t="shared" si="126"/>
        <v>3.1392535351446797E-4</v>
      </c>
      <c r="I1521">
        <f t="shared" si="127"/>
        <v>0</v>
      </c>
      <c r="J1521">
        <f t="shared" si="128"/>
        <v>0</v>
      </c>
      <c r="K1521" t="str">
        <f t="shared" si="129"/>
        <v>Ta172</v>
      </c>
    </row>
    <row r="1522" spans="2:11" hidden="1" x14ac:dyDescent="0.2">
      <c r="B1522" s="4">
        <v>73173</v>
      </c>
      <c r="C1522" s="4">
        <v>0</v>
      </c>
      <c r="D1522">
        <v>0</v>
      </c>
      <c r="E1522" t="str">
        <f>VLOOKUP(B1522,[1]Nuclides!A:E,5,FALSE)</f>
        <v>Ta173</v>
      </c>
      <c r="F1522">
        <f>VLOOKUP(B1522,[1]Nuclides!A:E,4,FALSE)</f>
        <v>11304</v>
      </c>
      <c r="G1522" t="str">
        <f t="shared" si="125"/>
        <v>3.14h</v>
      </c>
      <c r="H1522">
        <f t="shared" si="126"/>
        <v>6.1318752703462965E-5</v>
      </c>
      <c r="I1522">
        <f t="shared" si="127"/>
        <v>0</v>
      </c>
      <c r="J1522">
        <f t="shared" si="128"/>
        <v>0</v>
      </c>
      <c r="K1522" t="str">
        <f t="shared" si="129"/>
        <v>Ta173</v>
      </c>
    </row>
    <row r="1523" spans="2:11" hidden="1" x14ac:dyDescent="0.2">
      <c r="B1523" s="4">
        <v>73174</v>
      </c>
      <c r="C1523" s="4">
        <v>0</v>
      </c>
      <c r="D1523">
        <v>0</v>
      </c>
      <c r="E1523" t="str">
        <f>VLOOKUP(B1523,[1]Nuclides!A:E,5,FALSE)</f>
        <v>Ta174</v>
      </c>
      <c r="F1523">
        <f>VLOOKUP(B1523,[1]Nuclides!A:E,4,FALSE)</f>
        <v>4104</v>
      </c>
      <c r="G1523" t="str">
        <f t="shared" si="125"/>
        <v>1.14h</v>
      </c>
      <c r="H1523">
        <f t="shared" si="126"/>
        <v>1.6889551183234535E-4</v>
      </c>
      <c r="I1523">
        <f t="shared" si="127"/>
        <v>0</v>
      </c>
      <c r="J1523">
        <f t="shared" si="128"/>
        <v>0</v>
      </c>
      <c r="K1523" t="str">
        <f t="shared" si="129"/>
        <v>Ta174</v>
      </c>
    </row>
    <row r="1524" spans="2:11" hidden="1" x14ac:dyDescent="0.2">
      <c r="B1524" s="4">
        <v>73175</v>
      </c>
      <c r="C1524" s="4">
        <v>0</v>
      </c>
      <c r="D1524">
        <v>0</v>
      </c>
      <c r="E1524" t="str">
        <f>VLOOKUP(B1524,[1]Nuclides!A:E,5,FALSE)</f>
        <v>Ta175</v>
      </c>
      <c r="F1524">
        <f>VLOOKUP(B1524,[1]Nuclides!A:E,4,FALSE)</f>
        <v>37800</v>
      </c>
      <c r="G1524" t="str">
        <f t="shared" si="125"/>
        <v>10.5h</v>
      </c>
      <c r="H1524">
        <f t="shared" si="126"/>
        <v>1.833722699894035E-5</v>
      </c>
      <c r="I1524">
        <f t="shared" si="127"/>
        <v>0</v>
      </c>
      <c r="J1524">
        <f t="shared" si="128"/>
        <v>0</v>
      </c>
      <c r="K1524" t="str">
        <f t="shared" si="129"/>
        <v>Ta175</v>
      </c>
    </row>
    <row r="1525" spans="2:11" hidden="1" x14ac:dyDescent="0.2">
      <c r="B1525" s="4">
        <v>73176</v>
      </c>
      <c r="C1525" s="4">
        <v>0</v>
      </c>
      <c r="D1525">
        <v>0</v>
      </c>
      <c r="E1525" t="str">
        <f>VLOOKUP(B1525,[1]Nuclides!A:E,5,FALSE)</f>
        <v>Ta176</v>
      </c>
      <c r="F1525">
        <f>VLOOKUP(B1525,[1]Nuclides!A:E,4,FALSE)</f>
        <v>29124</v>
      </c>
      <c r="G1525" t="str">
        <f t="shared" si="125"/>
        <v>8.09h</v>
      </c>
      <c r="H1525">
        <f t="shared" si="126"/>
        <v>2.3799861988735931E-5</v>
      </c>
      <c r="I1525">
        <f t="shared" si="127"/>
        <v>0</v>
      </c>
      <c r="J1525">
        <f t="shared" si="128"/>
        <v>0</v>
      </c>
      <c r="K1525" t="str">
        <f t="shared" si="129"/>
        <v>Ta176</v>
      </c>
    </row>
    <row r="1526" spans="2:11" hidden="1" x14ac:dyDescent="0.2">
      <c r="B1526" s="4">
        <v>73177</v>
      </c>
      <c r="C1526" s="4">
        <v>0</v>
      </c>
      <c r="D1526">
        <v>0</v>
      </c>
      <c r="E1526" t="str">
        <f>VLOOKUP(B1526,[1]Nuclides!A:E,5,FALSE)</f>
        <v>Ta177</v>
      </c>
      <c r="F1526">
        <f>VLOOKUP(B1526,[1]Nuclides!A:E,4,FALSE)</f>
        <v>203616</v>
      </c>
      <c r="G1526" t="str">
        <f t="shared" si="125"/>
        <v>2.36d</v>
      </c>
      <c r="H1526">
        <f t="shared" si="126"/>
        <v>3.4041881804963523E-6</v>
      </c>
      <c r="I1526">
        <f t="shared" si="127"/>
        <v>0</v>
      </c>
      <c r="J1526">
        <f t="shared" si="128"/>
        <v>0</v>
      </c>
      <c r="K1526" t="str">
        <f t="shared" si="129"/>
        <v>Ta177</v>
      </c>
    </row>
    <row r="1527" spans="2:11" hidden="1" x14ac:dyDescent="0.2">
      <c r="B1527" s="4">
        <v>73178</v>
      </c>
      <c r="C1527" s="4">
        <v>0</v>
      </c>
      <c r="D1527">
        <v>0</v>
      </c>
      <c r="E1527" t="str">
        <f>VLOOKUP(B1527,[1]Nuclides!A:E,5,FALSE)</f>
        <v>Ta178</v>
      </c>
      <c r="F1527">
        <f>VLOOKUP(B1527,[1]Nuclides!A:E,4,FALSE)</f>
        <v>558.6</v>
      </c>
      <c r="G1527" t="str">
        <f t="shared" si="125"/>
        <v>9.31min</v>
      </c>
      <c r="H1527">
        <f t="shared" si="126"/>
        <v>1.2408649848907004E-3</v>
      </c>
      <c r="I1527">
        <f t="shared" si="127"/>
        <v>0</v>
      </c>
      <c r="J1527">
        <f t="shared" si="128"/>
        <v>0</v>
      </c>
      <c r="K1527" t="str">
        <f t="shared" si="129"/>
        <v>Ta178</v>
      </c>
    </row>
    <row r="1528" spans="2:11" hidden="1" x14ac:dyDescent="0.2">
      <c r="B1528" s="4">
        <v>73179</v>
      </c>
      <c r="C1528" s="4">
        <v>0</v>
      </c>
      <c r="D1528">
        <v>0</v>
      </c>
      <c r="E1528" t="str">
        <f>VLOOKUP(B1528,[1]Nuclides!A:E,5,FALSE)</f>
        <v>Ta179</v>
      </c>
      <c r="F1528">
        <f>VLOOKUP(B1528,[1]Nuclides!A:E,4,FALSE)</f>
        <v>57434832</v>
      </c>
      <c r="G1528" t="str">
        <f t="shared" si="125"/>
        <v>1.82y</v>
      </c>
      <c r="H1528">
        <f t="shared" si="126"/>
        <v>1.206841138770886E-8</v>
      </c>
      <c r="I1528">
        <f t="shared" si="127"/>
        <v>0</v>
      </c>
      <c r="J1528">
        <f t="shared" si="128"/>
        <v>0</v>
      </c>
      <c r="K1528" t="str">
        <f t="shared" si="129"/>
        <v>Ta179</v>
      </c>
    </row>
    <row r="1529" spans="2:11" hidden="1" x14ac:dyDescent="0.2">
      <c r="B1529" s="4">
        <v>73180</v>
      </c>
      <c r="C1529" s="4">
        <v>0</v>
      </c>
      <c r="D1529">
        <v>0</v>
      </c>
      <c r="E1529" t="str">
        <f>VLOOKUP(B1529,[1]Nuclides!A:E,5,FALSE)</f>
        <v>Ta180</v>
      </c>
      <c r="F1529">
        <f>VLOOKUP(B1529,[1]Nuclides!A:E,4,FALSE)</f>
        <v>29354.400000000001</v>
      </c>
      <c r="G1529" t="str">
        <f t="shared" si="125"/>
        <v>8.15h</v>
      </c>
      <c r="H1529">
        <f t="shared" si="126"/>
        <v>2.3613059049408103E-5</v>
      </c>
      <c r="I1529">
        <f t="shared" si="127"/>
        <v>0</v>
      </c>
      <c r="J1529">
        <f t="shared" si="128"/>
        <v>0</v>
      </c>
      <c r="K1529" t="str">
        <f t="shared" si="129"/>
        <v>Ta180</v>
      </c>
    </row>
    <row r="1530" spans="2:11" hidden="1" x14ac:dyDescent="0.2">
      <c r="B1530" s="4">
        <v>73181</v>
      </c>
      <c r="C1530" s="4">
        <v>0</v>
      </c>
      <c r="D1530">
        <v>0</v>
      </c>
      <c r="E1530" t="str">
        <f>VLOOKUP(B1530,[1]Nuclides!A:E,5,FALSE)</f>
        <v>Ta181</v>
      </c>
      <c r="F1530" t="str">
        <f>VLOOKUP(B1530,[1]Nuclides!A:E,4,FALSE)</f>
        <v>STABLE</v>
      </c>
      <c r="G1530" t="str">
        <f t="shared" si="125"/>
        <v>STABLE</v>
      </c>
      <c r="H1530" t="e">
        <f t="shared" si="126"/>
        <v>#VALUE!</v>
      </c>
      <c r="I1530" t="e">
        <f t="shared" si="127"/>
        <v>#VALUE!</v>
      </c>
      <c r="J1530" t="e">
        <f t="shared" si="128"/>
        <v>#VALUE!</v>
      </c>
      <c r="K1530" t="str">
        <f t="shared" si="129"/>
        <v>Ta181</v>
      </c>
    </row>
    <row r="1531" spans="2:11" hidden="1" x14ac:dyDescent="0.2">
      <c r="B1531" s="4">
        <v>73182</v>
      </c>
      <c r="C1531" s="4">
        <v>0</v>
      </c>
      <c r="D1531">
        <v>0</v>
      </c>
      <c r="E1531" t="str">
        <f>VLOOKUP(B1531,[1]Nuclides!A:E,5,FALSE)</f>
        <v>Ta182</v>
      </c>
      <c r="F1531">
        <f>VLOOKUP(B1531,[1]Nuclides!A:E,4,FALSE)</f>
        <v>9913536</v>
      </c>
      <c r="G1531" t="str">
        <f t="shared" si="125"/>
        <v>114.74d</v>
      </c>
      <c r="H1531">
        <f t="shared" si="126"/>
        <v>6.9919268014959077E-8</v>
      </c>
      <c r="I1531">
        <f t="shared" si="127"/>
        <v>0</v>
      </c>
      <c r="J1531">
        <f t="shared" si="128"/>
        <v>0</v>
      </c>
      <c r="K1531" t="str">
        <f t="shared" si="129"/>
        <v>Ta182</v>
      </c>
    </row>
    <row r="1532" spans="2:11" hidden="1" x14ac:dyDescent="0.2">
      <c r="B1532" s="4">
        <v>73183</v>
      </c>
      <c r="C1532" s="4">
        <v>0</v>
      </c>
      <c r="D1532">
        <v>0</v>
      </c>
      <c r="E1532" t="str">
        <f>VLOOKUP(B1532,[1]Nuclides!A:E,5,FALSE)</f>
        <v>Ta183</v>
      </c>
      <c r="F1532">
        <f>VLOOKUP(B1532,[1]Nuclides!A:E,4,FALSE)</f>
        <v>440639.99999999901</v>
      </c>
      <c r="G1532" t="str">
        <f t="shared" si="125"/>
        <v>5.1d</v>
      </c>
      <c r="H1532">
        <f t="shared" si="126"/>
        <v>1.5730464337326318E-6</v>
      </c>
      <c r="I1532">
        <f t="shared" si="127"/>
        <v>0</v>
      </c>
      <c r="J1532">
        <f t="shared" si="128"/>
        <v>0</v>
      </c>
      <c r="K1532" t="str">
        <f t="shared" si="129"/>
        <v>Ta183</v>
      </c>
    </row>
    <row r="1533" spans="2:11" hidden="1" x14ac:dyDescent="0.2">
      <c r="B1533" s="4">
        <v>73184</v>
      </c>
      <c r="C1533" s="4">
        <v>0</v>
      </c>
      <c r="D1533">
        <v>0</v>
      </c>
      <c r="E1533" t="str">
        <f>VLOOKUP(B1533,[1]Nuclides!A:E,5,FALSE)</f>
        <v>Ta184</v>
      </c>
      <c r="F1533">
        <f>VLOOKUP(B1533,[1]Nuclides!A:E,4,FALSE)</f>
        <v>31319.999999999902</v>
      </c>
      <c r="G1533" t="str">
        <f t="shared" si="125"/>
        <v>8.7h</v>
      </c>
      <c r="H1533">
        <f t="shared" si="126"/>
        <v>2.2131136033203943E-5</v>
      </c>
      <c r="I1533">
        <f t="shared" si="127"/>
        <v>0</v>
      </c>
      <c r="J1533">
        <f t="shared" si="128"/>
        <v>0</v>
      </c>
      <c r="K1533" t="str">
        <f t="shared" si="129"/>
        <v>Ta184</v>
      </c>
    </row>
    <row r="1534" spans="2:11" hidden="1" x14ac:dyDescent="0.2">
      <c r="B1534" s="4">
        <v>73185</v>
      </c>
      <c r="C1534" s="4">
        <v>0</v>
      </c>
      <c r="D1534">
        <v>0</v>
      </c>
      <c r="E1534" t="str">
        <f>VLOOKUP(B1534,[1]Nuclides!A:E,5,FALSE)</f>
        <v>Ta185</v>
      </c>
      <c r="F1534">
        <f>VLOOKUP(B1534,[1]Nuclides!A:E,4,FALSE)</f>
        <v>2964</v>
      </c>
      <c r="G1534" t="str">
        <f t="shared" si="125"/>
        <v>49.4min</v>
      </c>
      <c r="H1534">
        <f t="shared" si="126"/>
        <v>2.3385532407555509E-4</v>
      </c>
      <c r="I1534">
        <f t="shared" si="127"/>
        <v>0</v>
      </c>
      <c r="J1534">
        <f t="shared" si="128"/>
        <v>0</v>
      </c>
      <c r="K1534" t="str">
        <f t="shared" si="129"/>
        <v>Ta185</v>
      </c>
    </row>
    <row r="1535" spans="2:11" hidden="1" x14ac:dyDescent="0.2">
      <c r="B1535" s="4">
        <v>73186</v>
      </c>
      <c r="C1535" s="4">
        <v>0</v>
      </c>
      <c r="D1535">
        <v>0</v>
      </c>
      <c r="E1535" t="str">
        <f>VLOOKUP(B1535,[1]Nuclides!A:E,5,FALSE)</f>
        <v>Ta186</v>
      </c>
      <c r="F1535">
        <f>VLOOKUP(B1535,[1]Nuclides!A:E,4,FALSE)</f>
        <v>630</v>
      </c>
      <c r="G1535" t="str">
        <f t="shared" si="125"/>
        <v>10.5min</v>
      </c>
      <c r="H1535">
        <f t="shared" si="126"/>
        <v>1.1002336199364211E-3</v>
      </c>
      <c r="I1535">
        <f t="shared" si="127"/>
        <v>0</v>
      </c>
      <c r="J1535">
        <f t="shared" si="128"/>
        <v>0</v>
      </c>
      <c r="K1535" t="str">
        <f t="shared" si="129"/>
        <v>Ta186</v>
      </c>
    </row>
    <row r="1536" spans="2:11" hidden="1" x14ac:dyDescent="0.2">
      <c r="B1536" s="4">
        <v>74158</v>
      </c>
      <c r="C1536" s="4">
        <v>0</v>
      </c>
      <c r="D1536">
        <v>0</v>
      </c>
      <c r="E1536" t="str">
        <f>VLOOKUP(B1536,[1]Nuclides!A:E,5,FALSE)</f>
        <v>W158</v>
      </c>
      <c r="F1536">
        <f>VLOOKUP(B1536,[1]Nuclides!A:E,4,FALSE)</f>
        <v>1.25E-3</v>
      </c>
      <c r="G1536" t="str">
        <f t="shared" si="125"/>
        <v>0.00125s</v>
      </c>
      <c r="H1536">
        <f t="shared" si="126"/>
        <v>554.51774444795626</v>
      </c>
      <c r="I1536">
        <f t="shared" si="127"/>
        <v>0</v>
      </c>
      <c r="J1536">
        <f t="shared" si="128"/>
        <v>0</v>
      </c>
      <c r="K1536" t="str">
        <f t="shared" si="129"/>
        <v>W158</v>
      </c>
    </row>
    <row r="1537" spans="2:11" hidden="1" x14ac:dyDescent="0.2">
      <c r="B1537" s="4">
        <v>74159</v>
      </c>
      <c r="C1537" s="4">
        <v>0</v>
      </c>
      <c r="D1537">
        <v>0</v>
      </c>
      <c r="E1537" t="str">
        <f>VLOOKUP(B1537,[1]Nuclides!A:E,5,FALSE)</f>
        <v>W159</v>
      </c>
      <c r="F1537">
        <f>VLOOKUP(B1537,[1]Nuclides!A:E,4,FALSE)</f>
        <v>7.3000000000000001E-3</v>
      </c>
      <c r="G1537" t="str">
        <f t="shared" si="125"/>
        <v>0.0073s</v>
      </c>
      <c r="H1537">
        <f t="shared" si="126"/>
        <v>94.951668569855514</v>
      </c>
      <c r="I1537">
        <f t="shared" si="127"/>
        <v>0</v>
      </c>
      <c r="J1537">
        <f t="shared" si="128"/>
        <v>0</v>
      </c>
      <c r="K1537" t="str">
        <f t="shared" si="129"/>
        <v>W159</v>
      </c>
    </row>
    <row r="1538" spans="2:11" hidden="1" x14ac:dyDescent="0.2">
      <c r="B1538" s="4">
        <v>74160</v>
      </c>
      <c r="C1538" s="4">
        <v>0</v>
      </c>
      <c r="D1538">
        <v>0</v>
      </c>
      <c r="E1538" t="str">
        <f>VLOOKUP(B1538,[1]Nuclides!A:E,5,FALSE)</f>
        <v>W160</v>
      </c>
      <c r="F1538">
        <f>VLOOKUP(B1538,[1]Nuclides!A:E,4,FALSE)</f>
        <v>9.0999999999999998E-2</v>
      </c>
      <c r="G1538" t="str">
        <f t="shared" si="125"/>
        <v>0.091s</v>
      </c>
      <c r="H1538">
        <f t="shared" si="126"/>
        <v>7.6170019841752232</v>
      </c>
      <c r="I1538">
        <f t="shared" si="127"/>
        <v>0</v>
      </c>
      <c r="J1538">
        <f t="shared" si="128"/>
        <v>0</v>
      </c>
      <c r="K1538" t="str">
        <f t="shared" si="129"/>
        <v>W160</v>
      </c>
    </row>
    <row r="1539" spans="2:11" hidden="1" x14ac:dyDescent="0.2">
      <c r="B1539" s="4">
        <v>74161</v>
      </c>
      <c r="C1539" s="4">
        <v>0</v>
      </c>
      <c r="D1539">
        <v>0</v>
      </c>
      <c r="E1539" t="str">
        <f>VLOOKUP(B1539,[1]Nuclides!A:E,5,FALSE)</f>
        <v>W161</v>
      </c>
      <c r="F1539">
        <f>VLOOKUP(B1539,[1]Nuclides!A:E,4,FALSE)</f>
        <v>0.40899999999999997</v>
      </c>
      <c r="G1539" t="str">
        <f t="shared" si="125"/>
        <v>0.409s</v>
      </c>
      <c r="H1539">
        <f t="shared" si="126"/>
        <v>1.6947363827871524</v>
      </c>
      <c r="I1539">
        <f t="shared" si="127"/>
        <v>0</v>
      </c>
      <c r="J1539">
        <f t="shared" si="128"/>
        <v>0</v>
      </c>
      <c r="K1539" t="str">
        <f t="shared" si="129"/>
        <v>W161</v>
      </c>
    </row>
    <row r="1540" spans="2:11" hidden="1" x14ac:dyDescent="0.2">
      <c r="B1540" s="4">
        <v>74162</v>
      </c>
      <c r="C1540" s="4">
        <v>0</v>
      </c>
      <c r="D1540">
        <v>0</v>
      </c>
      <c r="E1540" t="str">
        <f>VLOOKUP(B1540,[1]Nuclides!A:E,5,FALSE)</f>
        <v>W162</v>
      </c>
      <c r="F1540">
        <f>VLOOKUP(B1540,[1]Nuclides!A:E,4,FALSE)</f>
        <v>1.36</v>
      </c>
      <c r="G1540" t="str">
        <f t="shared" si="125"/>
        <v>1.36s</v>
      </c>
      <c r="H1540">
        <f t="shared" si="126"/>
        <v>0.5096670445293715</v>
      </c>
      <c r="I1540">
        <f t="shared" si="127"/>
        <v>0</v>
      </c>
      <c r="J1540">
        <f t="shared" si="128"/>
        <v>0</v>
      </c>
      <c r="K1540" t="str">
        <f t="shared" si="129"/>
        <v>W162</v>
      </c>
    </row>
    <row r="1541" spans="2:11" hidden="1" x14ac:dyDescent="0.2">
      <c r="B1541" s="4">
        <v>74163</v>
      </c>
      <c r="C1541" s="4">
        <v>0</v>
      </c>
      <c r="D1541">
        <v>0</v>
      </c>
      <c r="E1541" t="str">
        <f>VLOOKUP(B1541,[1]Nuclides!A:E,5,FALSE)</f>
        <v>W163</v>
      </c>
      <c r="F1541">
        <f>VLOOKUP(B1541,[1]Nuclides!A:E,4,FALSE)</f>
        <v>2.67</v>
      </c>
      <c r="G1541" t="str">
        <f t="shared" ref="G1541:G1593" si="130">IF(F1541="STABLE", "STABLE", IF(F1541&lt;60, F1541&amp;"s", IF(F1541&lt;3600, ROUND(F1541/60,2)&amp;"min", IF(F1541&lt;86400, ROUND(F1541/3600,2)&amp;"h", IF(F1541&lt;31536000, ROUND(F1541/86400,2)&amp;"d", ROUND(F1541/31536000,2)&amp;"y")))))</f>
        <v>2.67s</v>
      </c>
      <c r="H1541">
        <f t="shared" ref="H1541:H1593" si="131">LN(2)/F1541</f>
        <v>0.25960568560297576</v>
      </c>
      <c r="I1541">
        <f t="shared" ref="I1541:I1593" si="132">60*6240000000000*C1541*(1-EXP(-H1541*2*3600))</f>
        <v>0</v>
      </c>
      <c r="J1541">
        <f t="shared" ref="J1541:J1593" si="133">I1541*EXP(-H1541*96*3600)</f>
        <v>0</v>
      </c>
      <c r="K1541" t="str">
        <f t="shared" ref="K1541:K1593" si="134">E1541</f>
        <v>W163</v>
      </c>
    </row>
    <row r="1542" spans="2:11" hidden="1" x14ac:dyDescent="0.2">
      <c r="B1542" s="4">
        <v>74164</v>
      </c>
      <c r="C1542" s="4">
        <v>0</v>
      </c>
      <c r="D1542">
        <v>0</v>
      </c>
      <c r="E1542" t="str">
        <f>VLOOKUP(B1542,[1]Nuclides!A:E,5,FALSE)</f>
        <v>W164</v>
      </c>
      <c r="F1542">
        <f>VLOOKUP(B1542,[1]Nuclides!A:E,4,FALSE)</f>
        <v>6.3</v>
      </c>
      <c r="G1542" t="str">
        <f t="shared" si="130"/>
        <v>6.3s</v>
      </c>
      <c r="H1542">
        <f t="shared" si="131"/>
        <v>0.11002336199364211</v>
      </c>
      <c r="I1542">
        <f t="shared" si="132"/>
        <v>0</v>
      </c>
      <c r="J1542">
        <f t="shared" si="133"/>
        <v>0</v>
      </c>
      <c r="K1542" t="str">
        <f t="shared" si="134"/>
        <v>W164</v>
      </c>
    </row>
    <row r="1543" spans="2:11" hidden="1" x14ac:dyDescent="0.2">
      <c r="B1543" s="4">
        <v>74165</v>
      </c>
      <c r="C1543" s="4">
        <v>0</v>
      </c>
      <c r="D1543">
        <v>0</v>
      </c>
      <c r="E1543" t="str">
        <f>VLOOKUP(B1543,[1]Nuclides!A:E,5,FALSE)</f>
        <v>W165</v>
      </c>
      <c r="F1543">
        <f>VLOOKUP(B1543,[1]Nuclides!A:E,4,FALSE)</f>
        <v>5.0999999999999996</v>
      </c>
      <c r="G1543" t="str">
        <f t="shared" si="130"/>
        <v>5.1s</v>
      </c>
      <c r="H1543">
        <f t="shared" si="131"/>
        <v>0.13591121187449909</v>
      </c>
      <c r="I1543">
        <f t="shared" si="132"/>
        <v>0</v>
      </c>
      <c r="J1543">
        <f t="shared" si="133"/>
        <v>0</v>
      </c>
      <c r="K1543" t="str">
        <f t="shared" si="134"/>
        <v>W165</v>
      </c>
    </row>
    <row r="1544" spans="2:11" hidden="1" x14ac:dyDescent="0.2">
      <c r="B1544" s="4">
        <v>74166</v>
      </c>
      <c r="C1544" s="4">
        <v>0</v>
      </c>
      <c r="D1544">
        <v>0</v>
      </c>
      <c r="E1544" t="str">
        <f>VLOOKUP(B1544,[1]Nuclides!A:E,5,FALSE)</f>
        <v>W166</v>
      </c>
      <c r="F1544">
        <f>VLOOKUP(B1544,[1]Nuclides!A:E,4,FALSE)</f>
        <v>19.2</v>
      </c>
      <c r="G1544" t="str">
        <f t="shared" si="130"/>
        <v>19.2s</v>
      </c>
      <c r="H1544">
        <f t="shared" si="131"/>
        <v>3.6101415654163818E-2</v>
      </c>
      <c r="I1544">
        <f t="shared" si="132"/>
        <v>0</v>
      </c>
      <c r="J1544">
        <f t="shared" si="133"/>
        <v>0</v>
      </c>
      <c r="K1544" t="str">
        <f t="shared" si="134"/>
        <v>W166</v>
      </c>
    </row>
    <row r="1545" spans="2:11" hidden="1" x14ac:dyDescent="0.2">
      <c r="B1545" s="4">
        <v>74167</v>
      </c>
      <c r="C1545" s="4">
        <v>0</v>
      </c>
      <c r="D1545">
        <v>0</v>
      </c>
      <c r="E1545" t="str">
        <f>VLOOKUP(B1545,[1]Nuclides!A:E,5,FALSE)</f>
        <v>W167</v>
      </c>
      <c r="F1545">
        <f>VLOOKUP(B1545,[1]Nuclides!A:E,4,FALSE)</f>
        <v>19.899999999999999</v>
      </c>
      <c r="G1545" t="str">
        <f t="shared" si="130"/>
        <v>19.9s</v>
      </c>
      <c r="H1545">
        <f t="shared" si="131"/>
        <v>3.4831516611052528E-2</v>
      </c>
      <c r="I1545">
        <f t="shared" si="132"/>
        <v>0</v>
      </c>
      <c r="J1545">
        <f t="shared" si="133"/>
        <v>0</v>
      </c>
      <c r="K1545" t="str">
        <f t="shared" si="134"/>
        <v>W167</v>
      </c>
    </row>
    <row r="1546" spans="2:11" hidden="1" x14ac:dyDescent="0.2">
      <c r="B1546" s="4">
        <v>74168</v>
      </c>
      <c r="C1546" s="4">
        <v>0</v>
      </c>
      <c r="D1546">
        <v>0</v>
      </c>
      <c r="E1546" t="str">
        <f>VLOOKUP(B1546,[1]Nuclides!A:E,5,FALSE)</f>
        <v>W168</v>
      </c>
      <c r="F1546">
        <f>VLOOKUP(B1546,[1]Nuclides!A:E,4,FALSE)</f>
        <v>50.9</v>
      </c>
      <c r="G1546" t="str">
        <f t="shared" si="130"/>
        <v>50.9s</v>
      </c>
      <c r="H1546">
        <f t="shared" si="131"/>
        <v>1.361782280078478E-2</v>
      </c>
      <c r="I1546">
        <f t="shared" si="132"/>
        <v>0</v>
      </c>
      <c r="J1546">
        <f t="shared" si="133"/>
        <v>0</v>
      </c>
      <c r="K1546" t="str">
        <f t="shared" si="134"/>
        <v>W168</v>
      </c>
    </row>
    <row r="1547" spans="2:11" hidden="1" x14ac:dyDescent="0.2">
      <c r="B1547" s="4">
        <v>74169</v>
      </c>
      <c r="C1547" s="4">
        <v>0</v>
      </c>
      <c r="D1547">
        <v>0</v>
      </c>
      <c r="E1547" t="str">
        <f>VLOOKUP(B1547,[1]Nuclides!A:E,5,FALSE)</f>
        <v>W169</v>
      </c>
      <c r="F1547">
        <f>VLOOKUP(B1547,[1]Nuclides!A:E,4,FALSE)</f>
        <v>74</v>
      </c>
      <c r="G1547" t="str">
        <f t="shared" si="130"/>
        <v>1.23min</v>
      </c>
      <c r="H1547">
        <f t="shared" si="131"/>
        <v>9.3668537913506114E-3</v>
      </c>
      <c r="I1547">
        <f t="shared" si="132"/>
        <v>0</v>
      </c>
      <c r="J1547">
        <f t="shared" si="133"/>
        <v>0</v>
      </c>
      <c r="K1547" t="str">
        <f t="shared" si="134"/>
        <v>W169</v>
      </c>
    </row>
    <row r="1548" spans="2:11" hidden="1" x14ac:dyDescent="0.2">
      <c r="B1548" s="4">
        <v>74170</v>
      </c>
      <c r="C1548" s="4">
        <v>0</v>
      </c>
      <c r="D1548">
        <v>0</v>
      </c>
      <c r="E1548" t="str">
        <f>VLOOKUP(B1548,[1]Nuclides!A:E,5,FALSE)</f>
        <v>W170</v>
      </c>
      <c r="F1548">
        <f>VLOOKUP(B1548,[1]Nuclides!A:E,4,FALSE)</f>
        <v>145.19999999999999</v>
      </c>
      <c r="G1548" t="str">
        <f t="shared" si="130"/>
        <v>2.42min</v>
      </c>
      <c r="H1548">
        <f t="shared" si="131"/>
        <v>4.7737409129472823E-3</v>
      </c>
      <c r="I1548">
        <f t="shared" si="132"/>
        <v>0</v>
      </c>
      <c r="J1548">
        <f t="shared" si="133"/>
        <v>0</v>
      </c>
      <c r="K1548" t="str">
        <f t="shared" si="134"/>
        <v>W170</v>
      </c>
    </row>
    <row r="1549" spans="2:11" hidden="1" x14ac:dyDescent="0.2">
      <c r="B1549" s="4">
        <v>74171</v>
      </c>
      <c r="C1549" s="4">
        <v>0</v>
      </c>
      <c r="D1549">
        <v>0</v>
      </c>
      <c r="E1549" t="str">
        <f>VLOOKUP(B1549,[1]Nuclides!A:E,5,FALSE)</f>
        <v>W171</v>
      </c>
      <c r="F1549">
        <f>VLOOKUP(B1549,[1]Nuclides!A:E,4,FALSE)</f>
        <v>142.79999999999899</v>
      </c>
      <c r="G1549" t="str">
        <f t="shared" si="130"/>
        <v>2.38min</v>
      </c>
      <c r="H1549">
        <f t="shared" si="131"/>
        <v>4.8539718526607158E-3</v>
      </c>
      <c r="I1549">
        <f t="shared" si="132"/>
        <v>0</v>
      </c>
      <c r="J1549">
        <f t="shared" si="133"/>
        <v>0</v>
      </c>
      <c r="K1549" t="str">
        <f t="shared" si="134"/>
        <v>W171</v>
      </c>
    </row>
    <row r="1550" spans="2:11" hidden="1" x14ac:dyDescent="0.2">
      <c r="B1550" s="4">
        <v>74172</v>
      </c>
      <c r="C1550" s="4">
        <v>0</v>
      </c>
      <c r="D1550">
        <v>0</v>
      </c>
      <c r="E1550" t="str">
        <f>VLOOKUP(B1550,[1]Nuclides!A:E,5,FALSE)</f>
        <v>W172</v>
      </c>
      <c r="F1550">
        <f>VLOOKUP(B1550,[1]Nuclides!A:E,4,FALSE)</f>
        <v>396</v>
      </c>
      <c r="G1550" t="str">
        <f t="shared" si="130"/>
        <v>6.6min</v>
      </c>
      <c r="H1550">
        <f t="shared" si="131"/>
        <v>1.7503716680806699E-3</v>
      </c>
      <c r="I1550">
        <f t="shared" si="132"/>
        <v>0</v>
      </c>
      <c r="J1550">
        <f t="shared" si="133"/>
        <v>0</v>
      </c>
      <c r="K1550" t="str">
        <f t="shared" si="134"/>
        <v>W172</v>
      </c>
    </row>
    <row r="1551" spans="2:11" hidden="1" x14ac:dyDescent="0.2">
      <c r="B1551" s="4">
        <v>74173</v>
      </c>
      <c r="C1551" s="4">
        <v>0</v>
      </c>
      <c r="D1551">
        <v>0</v>
      </c>
      <c r="E1551" t="str">
        <f>VLOOKUP(B1551,[1]Nuclides!A:E,5,FALSE)</f>
        <v>W173</v>
      </c>
      <c r="F1551">
        <f>VLOOKUP(B1551,[1]Nuclides!A:E,4,FALSE)</f>
        <v>456</v>
      </c>
      <c r="G1551" t="str">
        <f t="shared" si="130"/>
        <v>7.6min</v>
      </c>
      <c r="H1551">
        <f t="shared" si="131"/>
        <v>1.520059606491108E-3</v>
      </c>
      <c r="I1551">
        <f t="shared" si="132"/>
        <v>0</v>
      </c>
      <c r="J1551">
        <f t="shared" si="133"/>
        <v>0</v>
      </c>
      <c r="K1551" t="str">
        <f t="shared" si="134"/>
        <v>W173</v>
      </c>
    </row>
    <row r="1552" spans="2:11" hidden="1" x14ac:dyDescent="0.2">
      <c r="B1552" s="4">
        <v>74174</v>
      </c>
      <c r="C1552" s="4">
        <v>0</v>
      </c>
      <c r="D1552">
        <v>0</v>
      </c>
      <c r="E1552" t="str">
        <f>VLOOKUP(B1552,[1]Nuclides!A:E,5,FALSE)</f>
        <v>W174</v>
      </c>
      <c r="F1552">
        <f>VLOOKUP(B1552,[1]Nuclides!A:E,4,FALSE)</f>
        <v>1992</v>
      </c>
      <c r="G1552" t="str">
        <f t="shared" si="130"/>
        <v>33.2min</v>
      </c>
      <c r="H1552">
        <f t="shared" si="131"/>
        <v>3.4796545208832597E-4</v>
      </c>
      <c r="I1552">
        <f t="shared" si="132"/>
        <v>0</v>
      </c>
      <c r="J1552">
        <f t="shared" si="133"/>
        <v>0</v>
      </c>
      <c r="K1552" t="str">
        <f t="shared" si="134"/>
        <v>W174</v>
      </c>
    </row>
    <row r="1553" spans="2:11" hidden="1" x14ac:dyDescent="0.2">
      <c r="B1553" s="4">
        <v>74175</v>
      </c>
      <c r="C1553" s="4">
        <v>0</v>
      </c>
      <c r="D1553">
        <v>0</v>
      </c>
      <c r="E1553" t="str">
        <f>VLOOKUP(B1553,[1]Nuclides!A:E,5,FALSE)</f>
        <v>W175</v>
      </c>
      <c r="F1553">
        <f>VLOOKUP(B1553,[1]Nuclides!A:E,4,FALSE)</f>
        <v>2112</v>
      </c>
      <c r="G1553" t="str">
        <f t="shared" si="130"/>
        <v>35.2min</v>
      </c>
      <c r="H1553">
        <f t="shared" si="131"/>
        <v>3.2819468776512564E-4</v>
      </c>
      <c r="I1553">
        <f t="shared" si="132"/>
        <v>0</v>
      </c>
      <c r="J1553">
        <f t="shared" si="133"/>
        <v>0</v>
      </c>
      <c r="K1553" t="str">
        <f t="shared" si="134"/>
        <v>W175</v>
      </c>
    </row>
    <row r="1554" spans="2:11" hidden="1" x14ac:dyDescent="0.2">
      <c r="B1554" s="4">
        <v>74176</v>
      </c>
      <c r="C1554" s="4">
        <v>0</v>
      </c>
      <c r="D1554">
        <v>0</v>
      </c>
      <c r="E1554" t="str">
        <f>VLOOKUP(B1554,[1]Nuclides!A:E,5,FALSE)</f>
        <v>W176</v>
      </c>
      <c r="F1554">
        <f>VLOOKUP(B1554,[1]Nuclides!A:E,4,FALSE)</f>
        <v>9000</v>
      </c>
      <c r="G1554" t="str">
        <f t="shared" si="130"/>
        <v>2.5h</v>
      </c>
      <c r="H1554">
        <f t="shared" si="131"/>
        <v>7.7016353395549473E-5</v>
      </c>
      <c r="I1554">
        <f t="shared" si="132"/>
        <v>0</v>
      </c>
      <c r="J1554">
        <f t="shared" si="133"/>
        <v>0</v>
      </c>
      <c r="K1554" t="str">
        <f t="shared" si="134"/>
        <v>W176</v>
      </c>
    </row>
    <row r="1555" spans="2:11" hidden="1" x14ac:dyDescent="0.2">
      <c r="B1555" s="4">
        <v>74177</v>
      </c>
      <c r="C1555" s="4">
        <v>0</v>
      </c>
      <c r="D1555">
        <v>0</v>
      </c>
      <c r="E1555" t="str">
        <f>VLOOKUP(B1555,[1]Nuclides!A:E,5,FALSE)</f>
        <v>W177</v>
      </c>
      <c r="F1555">
        <f>VLOOKUP(B1555,[1]Nuclides!A:E,4,FALSE)</f>
        <v>7920</v>
      </c>
      <c r="G1555" t="str">
        <f t="shared" si="130"/>
        <v>2.2h</v>
      </c>
      <c r="H1555">
        <f t="shared" si="131"/>
        <v>8.7518583404033496E-5</v>
      </c>
      <c r="I1555">
        <f t="shared" si="132"/>
        <v>0</v>
      </c>
      <c r="J1555">
        <f t="shared" si="133"/>
        <v>0</v>
      </c>
      <c r="K1555" t="str">
        <f t="shared" si="134"/>
        <v>W177</v>
      </c>
    </row>
    <row r="1556" spans="2:11" hidden="1" x14ac:dyDescent="0.2">
      <c r="B1556" s="4">
        <v>74178</v>
      </c>
      <c r="C1556" s="4">
        <v>0</v>
      </c>
      <c r="D1556">
        <v>0</v>
      </c>
      <c r="E1556" t="str">
        <f>VLOOKUP(B1556,[1]Nuclides!A:E,5,FALSE)</f>
        <v>W178</v>
      </c>
      <c r="F1556">
        <f>VLOOKUP(B1556,[1]Nuclides!A:E,4,FALSE)</f>
        <v>1866240</v>
      </c>
      <c r="G1556" t="str">
        <f t="shared" si="130"/>
        <v>21.6d</v>
      </c>
      <c r="H1556">
        <f t="shared" si="131"/>
        <v>3.7141374129798167E-7</v>
      </c>
      <c r="I1556">
        <f t="shared" si="132"/>
        <v>0</v>
      </c>
      <c r="J1556">
        <f t="shared" si="133"/>
        <v>0</v>
      </c>
      <c r="K1556" t="str">
        <f t="shared" si="134"/>
        <v>W178</v>
      </c>
    </row>
    <row r="1557" spans="2:11" hidden="1" x14ac:dyDescent="0.2">
      <c r="B1557" s="4">
        <v>74179</v>
      </c>
      <c r="C1557" s="4">
        <v>0</v>
      </c>
      <c r="D1557">
        <v>0</v>
      </c>
      <c r="E1557" t="str">
        <f>VLOOKUP(B1557,[1]Nuclides!A:E,5,FALSE)</f>
        <v>W179</v>
      </c>
      <c r="F1557">
        <f>VLOOKUP(B1557,[1]Nuclides!A:E,4,FALSE)</f>
        <v>2223</v>
      </c>
      <c r="G1557" t="str">
        <f t="shared" si="130"/>
        <v>37.05min</v>
      </c>
      <c r="H1557">
        <f t="shared" si="131"/>
        <v>3.1180709876740679E-4</v>
      </c>
      <c r="I1557">
        <f t="shared" si="132"/>
        <v>0</v>
      </c>
      <c r="J1557">
        <f t="shared" si="133"/>
        <v>0</v>
      </c>
      <c r="K1557" t="str">
        <f t="shared" si="134"/>
        <v>W179</v>
      </c>
    </row>
    <row r="1558" spans="2:11" hidden="1" x14ac:dyDescent="0.2">
      <c r="B1558" s="4">
        <v>74180</v>
      </c>
      <c r="C1558" s="4">
        <v>0</v>
      </c>
      <c r="D1558">
        <v>0</v>
      </c>
      <c r="E1558" t="str">
        <f>VLOOKUP(B1558,[1]Nuclides!A:E,5,FALSE)</f>
        <v>W180</v>
      </c>
      <c r="F1558">
        <f>VLOOKUP(B1558,[1]Nuclides!A:E,4,FALSE)</f>
        <v>2.0828016E+25</v>
      </c>
      <c r="G1558" t="str">
        <f t="shared" si="130"/>
        <v>660452054794521000y</v>
      </c>
      <c r="H1558">
        <f t="shared" si="131"/>
        <v>3.3279558675197163E-26</v>
      </c>
      <c r="I1558">
        <f t="shared" si="132"/>
        <v>0</v>
      </c>
      <c r="J1558">
        <f t="shared" si="133"/>
        <v>0</v>
      </c>
      <c r="K1558" t="str">
        <f t="shared" si="134"/>
        <v>W180</v>
      </c>
    </row>
    <row r="1559" spans="2:11" hidden="1" x14ac:dyDescent="0.2">
      <c r="B1559" s="4">
        <v>74181</v>
      </c>
      <c r="C1559" s="4">
        <v>0</v>
      </c>
      <c r="D1559">
        <v>0</v>
      </c>
      <c r="E1559" t="str">
        <f>VLOOKUP(B1559,[1]Nuclides!A:E,5,FALSE)</f>
        <v>W181</v>
      </c>
      <c r="F1559">
        <f>VLOOKUP(B1559,[1]Nuclides!A:E,4,FALSE)</f>
        <v>10471680</v>
      </c>
      <c r="G1559" t="str">
        <f t="shared" si="130"/>
        <v>121.2d</v>
      </c>
      <c r="H1559">
        <f t="shared" si="131"/>
        <v>6.6192547954095742E-8</v>
      </c>
      <c r="I1559">
        <f t="shared" si="132"/>
        <v>0</v>
      </c>
      <c r="J1559">
        <f t="shared" si="133"/>
        <v>0</v>
      </c>
      <c r="K1559" t="str">
        <f t="shared" si="134"/>
        <v>W181</v>
      </c>
    </row>
    <row r="1560" spans="2:11" hidden="1" x14ac:dyDescent="0.2">
      <c r="B1560" s="4">
        <v>74182</v>
      </c>
      <c r="C1560" s="4">
        <v>3.3000000000000002E-7</v>
      </c>
      <c r="D1560">
        <v>0.1741</v>
      </c>
      <c r="E1560" t="str">
        <f>VLOOKUP(B1560,[1]Nuclides!A:E,5,FALSE)</f>
        <v>W182</v>
      </c>
      <c r="F1560" t="str">
        <f>VLOOKUP(B1560,[1]Nuclides!A:E,4,FALSE)</f>
        <v>STABLE</v>
      </c>
      <c r="G1560" t="str">
        <f t="shared" si="130"/>
        <v>STABLE</v>
      </c>
      <c r="H1560" t="e">
        <f t="shared" si="131"/>
        <v>#VALUE!</v>
      </c>
      <c r="I1560" t="e">
        <f t="shared" si="132"/>
        <v>#VALUE!</v>
      </c>
      <c r="J1560" t="e">
        <f t="shared" si="133"/>
        <v>#VALUE!</v>
      </c>
      <c r="K1560" t="str">
        <f t="shared" si="134"/>
        <v>W182</v>
      </c>
    </row>
    <row r="1561" spans="2:11" hidden="1" x14ac:dyDescent="0.2">
      <c r="B1561" s="4">
        <v>74183</v>
      </c>
      <c r="C1561" s="4">
        <v>1.4999999999999999E-7</v>
      </c>
      <c r="D1561">
        <v>0.25819999999999999</v>
      </c>
      <c r="E1561" t="str">
        <f>VLOOKUP(B1561,[1]Nuclides!A:E,5,FALSE)</f>
        <v>W183</v>
      </c>
      <c r="F1561">
        <f>VLOOKUP(B1561,[1]Nuclides!A:E,4,FALSE)</f>
        <v>2.1143592000000001E+28</v>
      </c>
      <c r="G1561" t="str">
        <f t="shared" si="130"/>
        <v>6.70458904109589E+20y</v>
      </c>
      <c r="H1561">
        <f t="shared" si="131"/>
        <v>3.278284884422407E-29</v>
      </c>
      <c r="I1561">
        <f t="shared" si="132"/>
        <v>0</v>
      </c>
      <c r="J1561">
        <f t="shared" si="133"/>
        <v>0</v>
      </c>
      <c r="K1561" t="str">
        <f t="shared" si="134"/>
        <v>W183</v>
      </c>
    </row>
    <row r="1562" spans="2:11" hidden="1" x14ac:dyDescent="0.2">
      <c r="B1562" s="4">
        <v>74184</v>
      </c>
      <c r="C1562" s="4">
        <v>3.9999999999999998E-7</v>
      </c>
      <c r="D1562">
        <v>0.15809999999999999</v>
      </c>
      <c r="E1562" t="str">
        <f>VLOOKUP(B1562,[1]Nuclides!A:E,5,FALSE)</f>
        <v>W184</v>
      </c>
      <c r="F1562" t="str">
        <f>VLOOKUP(B1562,[1]Nuclides!A:E,4,FALSE)</f>
        <v>STABLE</v>
      </c>
      <c r="G1562" t="str">
        <f t="shared" si="130"/>
        <v>STABLE</v>
      </c>
      <c r="H1562" t="e">
        <f t="shared" si="131"/>
        <v>#VALUE!</v>
      </c>
      <c r="I1562" t="e">
        <f t="shared" si="132"/>
        <v>#VALUE!</v>
      </c>
      <c r="J1562" t="e">
        <f t="shared" si="133"/>
        <v>#VALUE!</v>
      </c>
      <c r="K1562" t="str">
        <f t="shared" si="134"/>
        <v>W184</v>
      </c>
    </row>
    <row r="1563" spans="2:11" hidden="1" x14ac:dyDescent="0.2">
      <c r="B1563" s="4">
        <v>74185</v>
      </c>
      <c r="C1563" s="4">
        <v>0</v>
      </c>
      <c r="D1563">
        <v>0</v>
      </c>
      <c r="E1563" t="str">
        <f>VLOOKUP(B1563,[1]Nuclides!A:E,5,FALSE)</f>
        <v>W185</v>
      </c>
      <c r="F1563">
        <f>VLOOKUP(B1563,[1]Nuclides!A:E,4,FALSE)</f>
        <v>6488639.9999999898</v>
      </c>
      <c r="G1563" t="str">
        <f t="shared" si="130"/>
        <v>75.1d</v>
      </c>
      <c r="H1563">
        <f t="shared" si="131"/>
        <v>1.0682472452778185E-7</v>
      </c>
      <c r="I1563">
        <f t="shared" si="132"/>
        <v>0</v>
      </c>
      <c r="J1563">
        <f t="shared" si="133"/>
        <v>0</v>
      </c>
      <c r="K1563" t="str">
        <f t="shared" si="134"/>
        <v>W185</v>
      </c>
    </row>
    <row r="1564" spans="2:11" hidden="1" x14ac:dyDescent="0.2">
      <c r="B1564" s="4">
        <v>74186</v>
      </c>
      <c r="C1564" s="4">
        <v>3.7E-7</v>
      </c>
      <c r="D1564">
        <v>0.16439999999999999</v>
      </c>
      <c r="E1564" t="str">
        <f>VLOOKUP(B1564,[1]Nuclides!A:E,5,FALSE)</f>
        <v>W186</v>
      </c>
      <c r="F1564">
        <f>VLOOKUP(B1564,[1]Nuclides!A:E,4,FALSE)</f>
        <v>7.2582479999999996E+26</v>
      </c>
      <c r="G1564" t="str">
        <f t="shared" si="130"/>
        <v>23015753424657500000y</v>
      </c>
      <c r="H1564">
        <f t="shared" si="131"/>
        <v>9.5497864024478821E-28</v>
      </c>
      <c r="I1564">
        <f t="shared" si="132"/>
        <v>0</v>
      </c>
      <c r="J1564">
        <f t="shared" si="133"/>
        <v>0</v>
      </c>
      <c r="K1564" t="str">
        <f t="shared" si="134"/>
        <v>W186</v>
      </c>
    </row>
    <row r="1565" spans="2:11" hidden="1" x14ac:dyDescent="0.2">
      <c r="B1565" s="4">
        <v>74187</v>
      </c>
      <c r="C1565" s="4">
        <v>0</v>
      </c>
      <c r="D1565">
        <v>0</v>
      </c>
      <c r="E1565" t="str">
        <f>VLOOKUP(B1565,[1]Nuclides!A:E,5,FALSE)</f>
        <v>W187</v>
      </c>
      <c r="F1565">
        <f>VLOOKUP(B1565,[1]Nuclides!A:E,4,FALSE)</f>
        <v>86400</v>
      </c>
      <c r="G1565" t="str">
        <f t="shared" si="130"/>
        <v>1d</v>
      </c>
      <c r="H1565">
        <f t="shared" si="131"/>
        <v>8.0225368120364038E-6</v>
      </c>
      <c r="I1565">
        <f t="shared" si="132"/>
        <v>0</v>
      </c>
      <c r="J1565">
        <f t="shared" si="133"/>
        <v>0</v>
      </c>
      <c r="K1565" t="str">
        <f t="shared" si="134"/>
        <v>W187</v>
      </c>
    </row>
    <row r="1566" spans="2:11" hidden="1" x14ac:dyDescent="0.2">
      <c r="B1566" s="4">
        <v>74188</v>
      </c>
      <c r="C1566" s="4">
        <v>0</v>
      </c>
      <c r="D1566">
        <v>0</v>
      </c>
      <c r="E1566" t="str">
        <f>VLOOKUP(B1566,[1]Nuclides!A:E,5,FALSE)</f>
        <v>W188</v>
      </c>
      <c r="F1566">
        <f>VLOOKUP(B1566,[1]Nuclides!A:E,4,FALSE)</f>
        <v>6028992</v>
      </c>
      <c r="G1566" t="str">
        <f t="shared" si="130"/>
        <v>69.78d</v>
      </c>
      <c r="H1566">
        <f t="shared" si="131"/>
        <v>1.1496899988587567E-7</v>
      </c>
      <c r="I1566">
        <f t="shared" si="132"/>
        <v>0</v>
      </c>
      <c r="J1566">
        <f t="shared" si="133"/>
        <v>0</v>
      </c>
      <c r="K1566" t="str">
        <f t="shared" si="134"/>
        <v>W188</v>
      </c>
    </row>
    <row r="1567" spans="2:11" hidden="1" x14ac:dyDescent="0.2">
      <c r="B1567" s="4">
        <v>74189</v>
      </c>
      <c r="C1567" s="4">
        <v>0</v>
      </c>
      <c r="D1567">
        <v>0</v>
      </c>
      <c r="E1567" t="str">
        <f>VLOOKUP(B1567,[1]Nuclides!A:E,5,FALSE)</f>
        <v>W189</v>
      </c>
      <c r="F1567">
        <f>VLOOKUP(B1567,[1]Nuclides!A:E,4,FALSE)</f>
        <v>642</v>
      </c>
      <c r="G1567" t="str">
        <f t="shared" si="130"/>
        <v>10.7min</v>
      </c>
      <c r="H1567">
        <f t="shared" si="131"/>
        <v>1.079668505545086E-3</v>
      </c>
      <c r="I1567">
        <f t="shared" si="132"/>
        <v>0</v>
      </c>
      <c r="J1567">
        <f t="shared" si="133"/>
        <v>0</v>
      </c>
      <c r="K1567" t="str">
        <f t="shared" si="134"/>
        <v>W189</v>
      </c>
    </row>
    <row r="1568" spans="2:11" hidden="1" x14ac:dyDescent="0.2">
      <c r="B1568" s="4">
        <v>74190</v>
      </c>
      <c r="C1568" s="4">
        <v>0</v>
      </c>
      <c r="D1568">
        <v>0</v>
      </c>
      <c r="E1568" t="str">
        <f>VLOOKUP(B1568,[1]Nuclides!A:E,5,FALSE)</f>
        <v>W190</v>
      </c>
      <c r="F1568">
        <f>VLOOKUP(B1568,[1]Nuclides!A:E,4,FALSE)</f>
        <v>1800</v>
      </c>
      <c r="G1568" t="str">
        <f t="shared" si="130"/>
        <v>30min</v>
      </c>
      <c r="H1568">
        <f t="shared" si="131"/>
        <v>3.8508176697774738E-4</v>
      </c>
      <c r="I1568">
        <f t="shared" si="132"/>
        <v>0</v>
      </c>
      <c r="J1568">
        <f t="shared" si="133"/>
        <v>0</v>
      </c>
      <c r="K1568" t="str">
        <f t="shared" si="134"/>
        <v>W190</v>
      </c>
    </row>
    <row r="1569" spans="2:11" hidden="1" x14ac:dyDescent="0.2">
      <c r="B1569" s="4">
        <v>75161</v>
      </c>
      <c r="C1569" s="4">
        <v>0</v>
      </c>
      <c r="D1569">
        <v>0</v>
      </c>
      <c r="E1569" t="str">
        <f>VLOOKUP(B1569,[1]Nuclides!A:E,5,FALSE)</f>
        <v>Re161</v>
      </c>
      <c r="F1569">
        <f>VLOOKUP(B1569,[1]Nuclides!A:E,4,FALSE)</f>
        <v>4.4000000000000002E-4</v>
      </c>
      <c r="G1569" t="str">
        <f t="shared" si="130"/>
        <v>0.00044s</v>
      </c>
      <c r="H1569">
        <f t="shared" si="131"/>
        <v>1575.3345012726029</v>
      </c>
      <c r="I1569">
        <f t="shared" si="132"/>
        <v>0</v>
      </c>
      <c r="J1569">
        <f t="shared" si="133"/>
        <v>0</v>
      </c>
      <c r="K1569" t="str">
        <f t="shared" si="134"/>
        <v>Re161</v>
      </c>
    </row>
    <row r="1570" spans="2:11" hidden="1" x14ac:dyDescent="0.2">
      <c r="B1570" s="4">
        <v>75162</v>
      </c>
      <c r="C1570" s="4">
        <v>0</v>
      </c>
      <c r="D1570">
        <v>0</v>
      </c>
      <c r="E1570" t="str">
        <f>VLOOKUP(B1570,[1]Nuclides!A:E,5,FALSE)</f>
        <v>Re162</v>
      </c>
      <c r="F1570">
        <f>VLOOKUP(B1570,[1]Nuclides!A:E,4,FALSE)</f>
        <v>0.107</v>
      </c>
      <c r="G1570" t="str">
        <f t="shared" si="130"/>
        <v>0.107s</v>
      </c>
      <c r="H1570">
        <f t="shared" si="131"/>
        <v>6.4780110332705165</v>
      </c>
      <c r="I1570">
        <f t="shared" si="132"/>
        <v>0</v>
      </c>
      <c r="J1570">
        <f t="shared" si="133"/>
        <v>0</v>
      </c>
      <c r="K1570" t="str">
        <f t="shared" si="134"/>
        <v>Re162</v>
      </c>
    </row>
    <row r="1571" spans="2:11" hidden="1" x14ac:dyDescent="0.2">
      <c r="B1571" s="4">
        <v>75163</v>
      </c>
      <c r="C1571" s="4">
        <v>0</v>
      </c>
      <c r="D1571">
        <v>0</v>
      </c>
      <c r="E1571" t="str">
        <f>VLOOKUP(B1571,[1]Nuclides!A:E,5,FALSE)</f>
        <v>Re163</v>
      </c>
      <c r="F1571">
        <f>VLOOKUP(B1571,[1]Nuclides!A:E,4,FALSE)</f>
        <v>0.39</v>
      </c>
      <c r="G1571" t="str">
        <f t="shared" si="130"/>
        <v>0.39s</v>
      </c>
      <c r="H1571">
        <f t="shared" si="131"/>
        <v>1.7773004629742186</v>
      </c>
      <c r="I1571">
        <f t="shared" si="132"/>
        <v>0</v>
      </c>
      <c r="J1571">
        <f t="shared" si="133"/>
        <v>0</v>
      </c>
      <c r="K1571" t="str">
        <f t="shared" si="134"/>
        <v>Re163</v>
      </c>
    </row>
    <row r="1572" spans="2:11" hidden="1" x14ac:dyDescent="0.2">
      <c r="B1572" s="4">
        <v>75164</v>
      </c>
      <c r="C1572" s="4">
        <v>0</v>
      </c>
      <c r="D1572">
        <v>0</v>
      </c>
      <c r="E1572" t="str">
        <f>VLOOKUP(B1572,[1]Nuclides!A:E,5,FALSE)</f>
        <v>Re164</v>
      </c>
      <c r="F1572">
        <f>VLOOKUP(B1572,[1]Nuclides!A:E,4,FALSE)</f>
        <v>0.85</v>
      </c>
      <c r="G1572" t="str">
        <f t="shared" si="130"/>
        <v>0.85s</v>
      </c>
      <c r="H1572">
        <f t="shared" si="131"/>
        <v>0.81546727124699447</v>
      </c>
      <c r="I1572">
        <f t="shared" si="132"/>
        <v>0</v>
      </c>
      <c r="J1572">
        <f t="shared" si="133"/>
        <v>0</v>
      </c>
      <c r="K1572" t="str">
        <f t="shared" si="134"/>
        <v>Re164</v>
      </c>
    </row>
    <row r="1573" spans="2:11" hidden="1" x14ac:dyDescent="0.2">
      <c r="B1573" s="4">
        <v>75165</v>
      </c>
      <c r="C1573" s="4">
        <v>0</v>
      </c>
      <c r="D1573">
        <v>0</v>
      </c>
      <c r="E1573" t="str">
        <f>VLOOKUP(B1573,[1]Nuclides!A:E,5,FALSE)</f>
        <v>Re165</v>
      </c>
      <c r="F1573">
        <f>VLOOKUP(B1573,[1]Nuclides!A:E,4,FALSE)</f>
        <v>1.6</v>
      </c>
      <c r="G1573" t="str">
        <f t="shared" si="130"/>
        <v>1.6s</v>
      </c>
      <c r="H1573">
        <f t="shared" si="131"/>
        <v>0.43321698784996576</v>
      </c>
      <c r="I1573">
        <f t="shared" si="132"/>
        <v>0</v>
      </c>
      <c r="J1573">
        <f t="shared" si="133"/>
        <v>0</v>
      </c>
      <c r="K1573" t="str">
        <f t="shared" si="134"/>
        <v>Re165</v>
      </c>
    </row>
    <row r="1574" spans="2:11" hidden="1" x14ac:dyDescent="0.2">
      <c r="B1574" s="4">
        <v>75166</v>
      </c>
      <c r="C1574" s="4">
        <v>0</v>
      </c>
      <c r="D1574">
        <v>0</v>
      </c>
      <c r="E1574" t="str">
        <f>VLOOKUP(B1574,[1]Nuclides!A:E,5,FALSE)</f>
        <v>Re166</v>
      </c>
      <c r="F1574">
        <f>VLOOKUP(B1574,[1]Nuclides!A:E,4,FALSE)</f>
        <v>2.25</v>
      </c>
      <c r="G1574" t="str">
        <f t="shared" si="130"/>
        <v>2.25s</v>
      </c>
      <c r="H1574">
        <f t="shared" si="131"/>
        <v>0.30806541358219791</v>
      </c>
      <c r="I1574">
        <f t="shared" si="132"/>
        <v>0</v>
      </c>
      <c r="J1574">
        <f t="shared" si="133"/>
        <v>0</v>
      </c>
      <c r="K1574" t="str">
        <f t="shared" si="134"/>
        <v>Re166</v>
      </c>
    </row>
    <row r="1575" spans="2:11" hidden="1" x14ac:dyDescent="0.2">
      <c r="B1575" s="4">
        <v>75167</v>
      </c>
      <c r="C1575" s="4">
        <v>0</v>
      </c>
      <c r="D1575">
        <v>0</v>
      </c>
      <c r="E1575" t="str">
        <f>VLOOKUP(B1575,[1]Nuclides!A:E,5,FALSE)</f>
        <v>Re167</v>
      </c>
      <c r="F1575">
        <f>VLOOKUP(B1575,[1]Nuclides!A:E,4,FALSE)</f>
        <v>5.9</v>
      </c>
      <c r="G1575" t="str">
        <f t="shared" si="130"/>
        <v>5.9s</v>
      </c>
      <c r="H1575">
        <f t="shared" si="131"/>
        <v>0.11748257297626191</v>
      </c>
      <c r="I1575">
        <f t="shared" si="132"/>
        <v>0</v>
      </c>
      <c r="J1575">
        <f t="shared" si="133"/>
        <v>0</v>
      </c>
      <c r="K1575" t="str">
        <f t="shared" si="134"/>
        <v>Re167</v>
      </c>
    </row>
    <row r="1576" spans="2:11" hidden="1" x14ac:dyDescent="0.2">
      <c r="B1576" s="4">
        <v>75168</v>
      </c>
      <c r="C1576" s="4">
        <v>0</v>
      </c>
      <c r="D1576">
        <v>0</v>
      </c>
      <c r="E1576" t="str">
        <f>VLOOKUP(B1576,[1]Nuclides!A:E,5,FALSE)</f>
        <v>Re168</v>
      </c>
      <c r="F1576">
        <f>VLOOKUP(B1576,[1]Nuclides!A:E,4,FALSE)</f>
        <v>4.4000000000000004</v>
      </c>
      <c r="G1576" t="str">
        <f t="shared" si="130"/>
        <v>4.4s</v>
      </c>
      <c r="H1576">
        <f t="shared" si="131"/>
        <v>0.15753345012726028</v>
      </c>
      <c r="I1576">
        <f t="shared" si="132"/>
        <v>0</v>
      </c>
      <c r="J1576">
        <f t="shared" si="133"/>
        <v>0</v>
      </c>
      <c r="K1576" t="str">
        <f t="shared" si="134"/>
        <v>Re168</v>
      </c>
    </row>
    <row r="1577" spans="2:11" hidden="1" x14ac:dyDescent="0.2">
      <c r="B1577" s="4">
        <v>75169</v>
      </c>
      <c r="C1577" s="4">
        <v>0</v>
      </c>
      <c r="D1577">
        <v>0</v>
      </c>
      <c r="E1577" t="str">
        <f>VLOOKUP(B1577,[1]Nuclides!A:E,5,FALSE)</f>
        <v>Re169</v>
      </c>
      <c r="F1577">
        <f>VLOOKUP(B1577,[1]Nuclides!A:E,4,FALSE)</f>
        <v>8.1</v>
      </c>
      <c r="G1577" t="str">
        <f t="shared" si="130"/>
        <v>8.1s</v>
      </c>
      <c r="H1577">
        <f t="shared" si="131"/>
        <v>8.5573725995054972E-2</v>
      </c>
      <c r="I1577">
        <f t="shared" si="132"/>
        <v>0</v>
      </c>
      <c r="J1577">
        <f t="shared" si="133"/>
        <v>0</v>
      </c>
      <c r="K1577" t="str">
        <f t="shared" si="134"/>
        <v>Re169</v>
      </c>
    </row>
    <row r="1578" spans="2:11" hidden="1" x14ac:dyDescent="0.2">
      <c r="B1578" s="4">
        <v>75170</v>
      </c>
      <c r="C1578" s="4">
        <v>0</v>
      </c>
      <c r="D1578">
        <v>0</v>
      </c>
      <c r="E1578" t="str">
        <f>VLOOKUP(B1578,[1]Nuclides!A:E,5,FALSE)</f>
        <v>Re170</v>
      </c>
      <c r="F1578">
        <f>VLOOKUP(B1578,[1]Nuclides!A:E,4,FALSE)</f>
        <v>9.1999999999999993</v>
      </c>
      <c r="G1578" t="str">
        <f t="shared" si="130"/>
        <v>9.2s</v>
      </c>
      <c r="H1578">
        <f t="shared" si="131"/>
        <v>7.5342084843472323E-2</v>
      </c>
      <c r="I1578">
        <f t="shared" si="132"/>
        <v>0</v>
      </c>
      <c r="J1578">
        <f t="shared" si="133"/>
        <v>0</v>
      </c>
      <c r="K1578" t="str">
        <f t="shared" si="134"/>
        <v>Re170</v>
      </c>
    </row>
    <row r="1579" spans="2:11" hidden="1" x14ac:dyDescent="0.2">
      <c r="B1579" s="4">
        <v>75171</v>
      </c>
      <c r="C1579" s="4">
        <v>0</v>
      </c>
      <c r="D1579">
        <v>0</v>
      </c>
      <c r="E1579" t="str">
        <f>VLOOKUP(B1579,[1]Nuclides!A:E,5,FALSE)</f>
        <v>Re171</v>
      </c>
      <c r="F1579">
        <f>VLOOKUP(B1579,[1]Nuclides!A:E,4,FALSE)</f>
        <v>15.2</v>
      </c>
      <c r="G1579" t="str">
        <f t="shared" si="130"/>
        <v>15.2s</v>
      </c>
      <c r="H1579">
        <f t="shared" si="131"/>
        <v>4.5601788194733248E-2</v>
      </c>
      <c r="I1579">
        <f t="shared" si="132"/>
        <v>0</v>
      </c>
      <c r="J1579">
        <f t="shared" si="133"/>
        <v>0</v>
      </c>
      <c r="K1579" t="str">
        <f t="shared" si="134"/>
        <v>Re171</v>
      </c>
    </row>
    <row r="1580" spans="2:11" hidden="1" x14ac:dyDescent="0.2">
      <c r="B1580" s="4">
        <v>75172</v>
      </c>
      <c r="C1580" s="4">
        <v>0</v>
      </c>
      <c r="D1580">
        <v>0</v>
      </c>
      <c r="E1580" t="str">
        <f>VLOOKUP(B1580,[1]Nuclides!A:E,5,FALSE)</f>
        <v>Re172</v>
      </c>
      <c r="F1580">
        <f>VLOOKUP(B1580,[1]Nuclides!A:E,4,FALSE)</f>
        <v>55</v>
      </c>
      <c r="G1580" t="str">
        <f t="shared" si="130"/>
        <v>55s</v>
      </c>
      <c r="H1580">
        <f t="shared" si="131"/>
        <v>1.2602676010180823E-2</v>
      </c>
      <c r="I1580">
        <f t="shared" si="132"/>
        <v>0</v>
      </c>
      <c r="J1580">
        <f t="shared" si="133"/>
        <v>0</v>
      </c>
      <c r="K1580" t="str">
        <f t="shared" si="134"/>
        <v>Re172</v>
      </c>
    </row>
    <row r="1581" spans="2:11" hidden="1" x14ac:dyDescent="0.2">
      <c r="B1581" s="4">
        <v>75173</v>
      </c>
      <c r="C1581" s="4">
        <v>0</v>
      </c>
      <c r="D1581">
        <v>0</v>
      </c>
      <c r="E1581" t="str">
        <f>VLOOKUP(B1581,[1]Nuclides!A:E,5,FALSE)</f>
        <v>Re173</v>
      </c>
      <c r="F1581">
        <f>VLOOKUP(B1581,[1]Nuclides!A:E,4,FALSE)</f>
        <v>118.8</v>
      </c>
      <c r="G1581" t="str">
        <f t="shared" si="130"/>
        <v>1.98min</v>
      </c>
      <c r="H1581">
        <f t="shared" si="131"/>
        <v>5.8345722269355664E-3</v>
      </c>
      <c r="I1581">
        <f t="shared" si="132"/>
        <v>0</v>
      </c>
      <c r="J1581">
        <f t="shared" si="133"/>
        <v>0</v>
      </c>
      <c r="K1581" t="str">
        <f t="shared" si="134"/>
        <v>Re173</v>
      </c>
    </row>
    <row r="1582" spans="2:11" hidden="1" x14ac:dyDescent="0.2">
      <c r="B1582" s="4">
        <v>75174</v>
      </c>
      <c r="C1582" s="4">
        <v>0</v>
      </c>
      <c r="D1582">
        <v>0</v>
      </c>
      <c r="E1582" t="str">
        <f>VLOOKUP(B1582,[1]Nuclides!A:E,5,FALSE)</f>
        <v>Re174</v>
      </c>
      <c r="F1582">
        <f>VLOOKUP(B1582,[1]Nuclides!A:E,4,FALSE)</f>
        <v>144</v>
      </c>
      <c r="G1582" t="str">
        <f t="shared" si="130"/>
        <v>2.4min</v>
      </c>
      <c r="H1582">
        <f t="shared" si="131"/>
        <v>4.8135220872218424E-3</v>
      </c>
      <c r="I1582">
        <f t="shared" si="132"/>
        <v>0</v>
      </c>
      <c r="J1582">
        <f t="shared" si="133"/>
        <v>0</v>
      </c>
      <c r="K1582" t="str">
        <f t="shared" si="134"/>
        <v>Re174</v>
      </c>
    </row>
    <row r="1583" spans="2:11" hidden="1" x14ac:dyDescent="0.2">
      <c r="B1583" s="4">
        <v>75175</v>
      </c>
      <c r="C1583" s="4">
        <v>0</v>
      </c>
      <c r="D1583">
        <v>0</v>
      </c>
      <c r="E1583" t="str">
        <f>VLOOKUP(B1583,[1]Nuclides!A:E,5,FALSE)</f>
        <v>Re175</v>
      </c>
      <c r="F1583">
        <f>VLOOKUP(B1583,[1]Nuclides!A:E,4,FALSE)</f>
        <v>353.4</v>
      </c>
      <c r="G1583" t="str">
        <f t="shared" si="130"/>
        <v>5.89min</v>
      </c>
      <c r="H1583">
        <f t="shared" si="131"/>
        <v>1.9613672341820751E-3</v>
      </c>
      <c r="I1583">
        <f t="shared" si="132"/>
        <v>0</v>
      </c>
      <c r="J1583">
        <f t="shared" si="133"/>
        <v>0</v>
      </c>
      <c r="K1583" t="str">
        <f t="shared" si="134"/>
        <v>Re175</v>
      </c>
    </row>
    <row r="1584" spans="2:11" hidden="1" x14ac:dyDescent="0.2">
      <c r="B1584" s="4">
        <v>75176</v>
      </c>
      <c r="C1584" s="4">
        <v>0</v>
      </c>
      <c r="D1584">
        <v>0</v>
      </c>
      <c r="E1584" t="str">
        <f>VLOOKUP(B1584,[1]Nuclides!A:E,5,FALSE)</f>
        <v>Re176</v>
      </c>
      <c r="F1584">
        <f>VLOOKUP(B1584,[1]Nuclides!A:E,4,FALSE)</f>
        <v>318</v>
      </c>
      <c r="G1584" t="str">
        <f t="shared" si="130"/>
        <v>5.3min</v>
      </c>
      <c r="H1584">
        <f t="shared" si="131"/>
        <v>2.1797081149683814E-3</v>
      </c>
      <c r="I1584">
        <f t="shared" si="132"/>
        <v>0</v>
      </c>
      <c r="J1584">
        <f t="shared" si="133"/>
        <v>0</v>
      </c>
      <c r="K1584" t="str">
        <f t="shared" si="134"/>
        <v>Re176</v>
      </c>
    </row>
    <row r="1585" spans="2:15" hidden="1" x14ac:dyDescent="0.2">
      <c r="B1585" s="4">
        <v>75177</v>
      </c>
      <c r="C1585" s="4">
        <v>0</v>
      </c>
      <c r="D1585">
        <v>0</v>
      </c>
      <c r="E1585" t="str">
        <f>VLOOKUP(B1585,[1]Nuclides!A:E,5,FALSE)</f>
        <v>Re177</v>
      </c>
      <c r="F1585">
        <f>VLOOKUP(B1585,[1]Nuclides!A:E,4,FALSE)</f>
        <v>840</v>
      </c>
      <c r="G1585" t="str">
        <f t="shared" si="130"/>
        <v>14min</v>
      </c>
      <c r="H1585">
        <f t="shared" si="131"/>
        <v>8.2517521495231586E-4</v>
      </c>
      <c r="I1585">
        <f t="shared" si="132"/>
        <v>0</v>
      </c>
      <c r="J1585">
        <f t="shared" si="133"/>
        <v>0</v>
      </c>
      <c r="K1585" t="str">
        <f t="shared" si="134"/>
        <v>Re177</v>
      </c>
    </row>
    <row r="1586" spans="2:15" hidden="1" x14ac:dyDescent="0.2">
      <c r="B1586" s="4">
        <v>75178</v>
      </c>
      <c r="C1586" s="4">
        <v>0</v>
      </c>
      <c r="D1586">
        <v>0</v>
      </c>
      <c r="E1586" t="str">
        <f>VLOOKUP(B1586,[1]Nuclides!A:E,5,FALSE)</f>
        <v>Re178</v>
      </c>
      <c r="F1586">
        <f>VLOOKUP(B1586,[1]Nuclides!A:E,4,FALSE)</f>
        <v>792</v>
      </c>
      <c r="G1586" t="str">
        <f t="shared" si="130"/>
        <v>13.2min</v>
      </c>
      <c r="H1586">
        <f t="shared" si="131"/>
        <v>8.7518583404033496E-4</v>
      </c>
      <c r="I1586">
        <f t="shared" si="132"/>
        <v>0</v>
      </c>
      <c r="J1586">
        <f t="shared" si="133"/>
        <v>0</v>
      </c>
      <c r="K1586" t="str">
        <f t="shared" si="134"/>
        <v>Re178</v>
      </c>
    </row>
    <row r="1587" spans="2:15" hidden="1" x14ac:dyDescent="0.2">
      <c r="B1587" s="4">
        <v>75179</v>
      </c>
      <c r="C1587" s="4">
        <v>0</v>
      </c>
      <c r="D1587">
        <v>0</v>
      </c>
      <c r="E1587" t="str">
        <f>VLOOKUP(B1587,[1]Nuclides!A:E,5,FALSE)</f>
        <v>Re179</v>
      </c>
      <c r="F1587">
        <f>VLOOKUP(B1587,[1]Nuclides!A:E,4,FALSE)</f>
        <v>1170</v>
      </c>
      <c r="G1587" t="str">
        <f t="shared" si="130"/>
        <v>19.5min</v>
      </c>
      <c r="H1587">
        <f t="shared" si="131"/>
        <v>5.9243348765807284E-4</v>
      </c>
      <c r="I1587">
        <f t="shared" si="132"/>
        <v>0</v>
      </c>
      <c r="J1587">
        <f t="shared" si="133"/>
        <v>0</v>
      </c>
      <c r="K1587" t="str">
        <f t="shared" si="134"/>
        <v>Re179</v>
      </c>
    </row>
    <row r="1588" spans="2:15" hidden="1" x14ac:dyDescent="0.2">
      <c r="B1588" s="4">
        <v>75180</v>
      </c>
      <c r="C1588" s="4">
        <v>0</v>
      </c>
      <c r="D1588">
        <v>0</v>
      </c>
      <c r="E1588" t="str">
        <f>VLOOKUP(B1588,[1]Nuclides!A:E,5,FALSE)</f>
        <v>Re180</v>
      </c>
      <c r="F1588">
        <f>VLOOKUP(B1588,[1]Nuclides!A:E,4,FALSE)</f>
        <v>147.6</v>
      </c>
      <c r="G1588" t="str">
        <f t="shared" si="130"/>
        <v>2.46min</v>
      </c>
      <c r="H1588">
        <f t="shared" si="131"/>
        <v>4.6961191094847246E-3</v>
      </c>
      <c r="I1588">
        <f t="shared" si="132"/>
        <v>0</v>
      </c>
      <c r="J1588">
        <f t="shared" si="133"/>
        <v>0</v>
      </c>
      <c r="K1588" t="str">
        <f t="shared" si="134"/>
        <v>Re180</v>
      </c>
    </row>
    <row r="1589" spans="2:15" x14ac:dyDescent="0.2">
      <c r="B1589" s="4">
        <v>75181</v>
      </c>
      <c r="C1589" s="4">
        <v>7.0999999999999998E-7</v>
      </c>
      <c r="D1589">
        <v>0.1187</v>
      </c>
      <c r="E1589" t="str">
        <f>VLOOKUP(B1589,[1]Nuclides!A:E,5,FALSE)</f>
        <v>Re181</v>
      </c>
      <c r="F1589" s="4">
        <f>VLOOKUP(B1589,[1]Nuclides!A:E,4,FALSE)</f>
        <v>71640</v>
      </c>
      <c r="G1589" s="4" t="str">
        <f t="shared" si="130"/>
        <v>19.9h</v>
      </c>
      <c r="H1589" s="4">
        <f t="shared" si="131"/>
        <v>9.6754212808479239E-6</v>
      </c>
      <c r="I1589" s="4">
        <f t="shared" si="132"/>
        <v>17887813.03385143</v>
      </c>
      <c r="J1589" s="4">
        <f t="shared" ref="J1589:J1592" si="135">I1589*EXP(-H1589*24*30*3600)</f>
        <v>2.2962528871006276E-4</v>
      </c>
      <c r="K1589" s="4" t="str">
        <f t="shared" si="134"/>
        <v>Re181</v>
      </c>
      <c r="M1589" s="4" t="str">
        <f t="shared" ref="M1589:M1592" si="136">K1589</f>
        <v>Re181</v>
      </c>
      <c r="N1589" s="4">
        <f t="shared" ref="N1589:N1592" si="137">J1589</f>
        <v>2.2962528871006276E-4</v>
      </c>
      <c r="O1589">
        <f>0</f>
        <v>0</v>
      </c>
    </row>
    <row r="1590" spans="2:15" x14ac:dyDescent="0.2">
      <c r="B1590" s="4">
        <v>75182</v>
      </c>
      <c r="C1590" s="4">
        <v>4.7E-7</v>
      </c>
      <c r="D1590">
        <v>0.1459</v>
      </c>
      <c r="E1590" t="str">
        <f>VLOOKUP(B1590,[1]Nuclides!A:E,5,FALSE)</f>
        <v>Re182</v>
      </c>
      <c r="F1590" s="4">
        <f>VLOOKUP(B1590,[1]Nuclides!A:E,4,FALSE)</f>
        <v>231120</v>
      </c>
      <c r="G1590" s="4" t="str">
        <f t="shared" si="130"/>
        <v>2.68d</v>
      </c>
      <c r="H1590" s="4">
        <f t="shared" si="131"/>
        <v>2.9990791820696836E-6</v>
      </c>
      <c r="I1590" s="4">
        <f t="shared" si="132"/>
        <v>3759011.2317690249</v>
      </c>
      <c r="J1590" s="4">
        <f t="shared" si="135"/>
        <v>1581.3801708669962</v>
      </c>
      <c r="K1590" s="4" t="str">
        <f t="shared" si="134"/>
        <v>Re182</v>
      </c>
      <c r="M1590" s="4" t="str">
        <f t="shared" si="136"/>
        <v>Re182</v>
      </c>
      <c r="N1590" s="4">
        <f t="shared" si="137"/>
        <v>1581.3801708669962</v>
      </c>
      <c r="O1590">
        <f>0</f>
        <v>0</v>
      </c>
    </row>
    <row r="1591" spans="2:15" x14ac:dyDescent="0.2">
      <c r="B1591" s="4">
        <v>75183</v>
      </c>
      <c r="C1591" s="4">
        <v>9.5999999999999991E-7</v>
      </c>
      <c r="D1591">
        <v>0.1021</v>
      </c>
      <c r="E1591" t="str">
        <f>VLOOKUP(B1591,[1]Nuclides!A:E,5,FALSE)</f>
        <v>Re183</v>
      </c>
      <c r="F1591" s="4">
        <f>VLOOKUP(B1591,[1]Nuclides!A:E,4,FALSE)</f>
        <v>6048000</v>
      </c>
      <c r="G1591" s="4" t="str">
        <f t="shared" si="130"/>
        <v>70d</v>
      </c>
      <c r="H1591" s="4">
        <f t="shared" si="131"/>
        <v>1.146076687433772E-7</v>
      </c>
      <c r="I1591" s="4">
        <f t="shared" si="132"/>
        <v>296465.44166943867</v>
      </c>
      <c r="J1591" s="4">
        <f t="shared" si="135"/>
        <v>220272.97662362448</v>
      </c>
      <c r="K1591" s="4" t="str">
        <f t="shared" si="134"/>
        <v>Re183</v>
      </c>
      <c r="M1591" s="4" t="str">
        <f t="shared" si="136"/>
        <v>Re183</v>
      </c>
      <c r="N1591" s="4">
        <f t="shared" si="137"/>
        <v>220272.97662362448</v>
      </c>
      <c r="O1591">
        <f>0</f>
        <v>0</v>
      </c>
    </row>
    <row r="1592" spans="2:15" x14ac:dyDescent="0.2">
      <c r="B1592" s="4">
        <v>75184</v>
      </c>
      <c r="C1592" s="4">
        <v>2E-8</v>
      </c>
      <c r="D1592">
        <v>0.70709999999999995</v>
      </c>
      <c r="E1592" t="str">
        <f>VLOOKUP(B1592,[1]Nuclides!A:E,5,FALSE)</f>
        <v>Re184</v>
      </c>
      <c r="F1592" s="4">
        <f>VLOOKUP(B1592,[1]Nuclides!A:E,4,FALSE)</f>
        <v>3058560</v>
      </c>
      <c r="G1592" s="4" t="str">
        <f t="shared" si="130"/>
        <v>35.4d</v>
      </c>
      <c r="H1592" s="4">
        <f t="shared" si="131"/>
        <v>2.2662533367334473E-7</v>
      </c>
      <c r="I1592" s="4">
        <f t="shared" si="132"/>
        <v>12208.224786023116</v>
      </c>
      <c r="J1592" s="4">
        <f t="shared" si="135"/>
        <v>6784.8828187302506</v>
      </c>
      <c r="K1592" s="4" t="str">
        <f t="shared" si="134"/>
        <v>Re184</v>
      </c>
      <c r="M1592" s="4" t="str">
        <f t="shared" si="136"/>
        <v>Re184</v>
      </c>
      <c r="N1592" s="4">
        <f t="shared" si="137"/>
        <v>6784.8828187302506</v>
      </c>
      <c r="O1592">
        <f>0</f>
        <v>0</v>
      </c>
    </row>
    <row r="1593" spans="2:15" hidden="1" x14ac:dyDescent="0.2">
      <c r="B1593" s="4">
        <v>75185</v>
      </c>
      <c r="C1593" s="4">
        <v>7.1999999999999999E-7</v>
      </c>
      <c r="D1593">
        <v>0.1179</v>
      </c>
      <c r="E1593" t="str">
        <f>VLOOKUP(B1593,[1]Nuclides!A:E,5,FALSE)</f>
        <v>Re185</v>
      </c>
      <c r="F1593" t="str">
        <f>VLOOKUP(B1593,[1]Nuclides!A:E,4,FALSE)</f>
        <v>STABLE</v>
      </c>
      <c r="G1593" t="str">
        <f t="shared" si="130"/>
        <v>STABLE</v>
      </c>
      <c r="H1593" t="e">
        <f t="shared" si="131"/>
        <v>#VALUE!</v>
      </c>
      <c r="I1593" t="e">
        <f t="shared" si="132"/>
        <v>#VALUE!</v>
      </c>
      <c r="J1593" t="e">
        <f t="shared" si="133"/>
        <v>#VALUE!</v>
      </c>
      <c r="K1593" t="str">
        <f t="shared" si="134"/>
        <v>Re185</v>
      </c>
    </row>
  </sheetData>
  <autoFilter ref="J1:J1593" xr:uid="{0F0BB842-0B3A-4514-B076-3FD9F6CD2619}">
    <filterColumn colId="0">
      <customFilters>
        <customFilter operator="greaterThan" val="1"/>
      </customFilters>
    </filterColumn>
  </autoFilter>
  <phoneticPr fontId="2" type="noConversion"/>
  <conditionalFormatting sqref="N11:N159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20FE1-6962-4824-9C77-1EC293C8C1AF}">
  <dimension ref="B4:O23"/>
  <sheetViews>
    <sheetView topLeftCell="A6" zoomScale="115" zoomScaleNormal="115" workbookViewId="0">
      <selection activeCell="J23" sqref="J23"/>
    </sheetView>
  </sheetViews>
  <sheetFormatPr defaultRowHeight="14.25" x14ac:dyDescent="0.2"/>
  <cols>
    <col min="11" max="11" width="11.625" bestFit="1" customWidth="1"/>
    <col min="14" max="14" width="8.5" customWidth="1"/>
  </cols>
  <sheetData>
    <row r="4" spans="2:15" ht="15" x14ac:dyDescent="0.25">
      <c r="B4" s="1" t="s">
        <v>3180</v>
      </c>
      <c r="C4" s="1"/>
    </row>
    <row r="5" spans="2:15" ht="15" x14ac:dyDescent="0.25">
      <c r="B5" s="1" t="s">
        <v>3172</v>
      </c>
      <c r="C5" s="1" t="s">
        <v>3176</v>
      </c>
      <c r="F5">
        <v>12</v>
      </c>
      <c r="G5">
        <v>12.4</v>
      </c>
    </row>
    <row r="6" spans="2:15" ht="15" x14ac:dyDescent="0.25">
      <c r="B6" s="1" t="s">
        <v>3173</v>
      </c>
      <c r="C6" s="1" t="s">
        <v>3177</v>
      </c>
      <c r="F6">
        <v>24</v>
      </c>
      <c r="G6">
        <v>11.2</v>
      </c>
    </row>
    <row r="7" spans="2:15" ht="15" x14ac:dyDescent="0.25">
      <c r="B7" s="1" t="s">
        <v>3174</v>
      </c>
      <c r="C7" s="1" t="s">
        <v>3178</v>
      </c>
      <c r="F7">
        <v>48</v>
      </c>
      <c r="G7">
        <v>8.65</v>
      </c>
    </row>
    <row r="8" spans="2:15" ht="15" x14ac:dyDescent="0.25">
      <c r="B8" s="1" t="s">
        <v>3175</v>
      </c>
      <c r="C8" s="1" t="s">
        <v>3179</v>
      </c>
      <c r="F8">
        <v>96</v>
      </c>
      <c r="G8">
        <v>6.96</v>
      </c>
    </row>
    <row r="11" spans="2:15" ht="15" x14ac:dyDescent="0.2">
      <c r="G11" s="2" t="s">
        <v>2553</v>
      </c>
      <c r="H11" s="2">
        <v>1194</v>
      </c>
      <c r="I11" s="4" t="str">
        <f t="shared" ref="I11:I13" si="0">IF(H11="STABLE", "STABLE", IF(H11&lt;60, H11&amp;"s", IF(H11&lt;3600, ROUND(H11/60,2)&amp;"min", IF(H11&lt;86400, ROUND(H11/3600,2)&amp;"h", IF(H11&lt;31536000, ROUND(H11/86400,2)&amp;"d", ROUND(H11/31536000,2)&amp;"y")))))</f>
        <v>19.9min</v>
      </c>
      <c r="J11" s="4">
        <f t="shared" ref="J11:J13" si="1">LN(2)/H11</f>
        <v>5.8052527685087548E-4</v>
      </c>
      <c r="K11" s="4">
        <f>10000000*(1-EXP(-J11*3600))</f>
        <v>8762993.811371807</v>
      </c>
    </row>
    <row r="12" spans="2:15" x14ac:dyDescent="0.2">
      <c r="L12" t="s">
        <v>3225</v>
      </c>
      <c r="M12" t="s">
        <v>3215</v>
      </c>
      <c r="N12" t="s">
        <v>3172</v>
      </c>
      <c r="O12" t="s">
        <v>3173</v>
      </c>
    </row>
    <row r="13" spans="2:15" ht="15" x14ac:dyDescent="0.2">
      <c r="G13" t="s">
        <v>3224</v>
      </c>
      <c r="H13" s="2">
        <v>6586.2</v>
      </c>
      <c r="I13" s="4" t="str">
        <f t="shared" si="0"/>
        <v>1.83h</v>
      </c>
      <c r="J13" s="4">
        <f t="shared" si="1"/>
        <v>1.0524235227596267E-4</v>
      </c>
      <c r="K13" s="4">
        <f>160*37000000</f>
        <v>5920000000</v>
      </c>
      <c r="L13" s="4">
        <f>K13*EXP(-J13*1*3600)</f>
        <v>4053026883.8662524</v>
      </c>
      <c r="M13" s="4">
        <f>K13*EXP(-J13*6*3600)</f>
        <v>609632867.07059813</v>
      </c>
      <c r="N13" s="4">
        <f>K13*EXP(-J13*12*3600)</f>
        <v>62779093.346742839</v>
      </c>
      <c r="O13" s="4">
        <f>K13*EXP(-J13*24*3600)</f>
        <v>665745.70294578571</v>
      </c>
    </row>
    <row r="14" spans="2:15" x14ac:dyDescent="0.2">
      <c r="L14">
        <v>9000</v>
      </c>
      <c r="M14">
        <v>2200</v>
      </c>
      <c r="N14">
        <v>120</v>
      </c>
      <c r="O14">
        <v>1.5</v>
      </c>
    </row>
    <row r="15" spans="2:15" x14ac:dyDescent="0.2">
      <c r="L15">
        <v>4053026883.8662524</v>
      </c>
      <c r="M15">
        <v>609632867.07059813</v>
      </c>
      <c r="N15">
        <v>62779093.346742839</v>
      </c>
      <c r="O15">
        <v>665745.70294578571</v>
      </c>
    </row>
    <row r="16" spans="2:15" x14ac:dyDescent="0.2">
      <c r="K16" t="s">
        <v>3224</v>
      </c>
      <c r="L16">
        <v>4053026883.8662524</v>
      </c>
      <c r="M16">
        <v>0</v>
      </c>
      <c r="N16" s="4">
        <f>L16*1.94</f>
        <v>7862872154.7005291</v>
      </c>
    </row>
    <row r="17" spans="10:14" x14ac:dyDescent="0.2">
      <c r="K17" t="s">
        <v>3224</v>
      </c>
      <c r="L17">
        <v>609632867.07059813</v>
      </c>
      <c r="M17">
        <v>0</v>
      </c>
      <c r="N17" s="4">
        <f>L17*1.94</f>
        <v>1182687762.1169603</v>
      </c>
    </row>
    <row r="18" spans="10:14" x14ac:dyDescent="0.2">
      <c r="K18" t="s">
        <v>3224</v>
      </c>
      <c r="L18">
        <v>62779093.346742839</v>
      </c>
      <c r="M18">
        <v>0</v>
      </c>
      <c r="N18" s="4">
        <f>L18*1.94</f>
        <v>121791441.09268111</v>
      </c>
    </row>
    <row r="19" spans="10:14" x14ac:dyDescent="0.2">
      <c r="K19" t="s">
        <v>3224</v>
      </c>
      <c r="L19">
        <v>665745.70294578571</v>
      </c>
      <c r="M19">
        <v>0</v>
      </c>
      <c r="N19" s="4">
        <f>L19*1.94</f>
        <v>1291546.6637148242</v>
      </c>
    </row>
    <row r="23" spans="10:14" x14ac:dyDescent="0.2">
      <c r="J23" s="7" t="s">
        <v>3226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7B426-4FD4-415F-84BA-A464D8B21A22}">
  <sheetPr filterMode="1"/>
  <dimension ref="B1:Q1664"/>
  <sheetViews>
    <sheetView topLeftCell="A1649" workbookViewId="0">
      <selection activeCell="N1659" sqref="N1659:N1663"/>
    </sheetView>
  </sheetViews>
  <sheetFormatPr defaultRowHeight="14.25" x14ac:dyDescent="0.2"/>
  <cols>
    <col min="12" max="12" width="12.125" bestFit="1" customWidth="1"/>
  </cols>
  <sheetData>
    <row r="1" spans="2:11" x14ac:dyDescent="0.2">
      <c r="B1" s="3" t="s">
        <v>3164</v>
      </c>
      <c r="C1" s="3" t="s">
        <v>3165</v>
      </c>
      <c r="D1" s="3" t="s">
        <v>3166</v>
      </c>
      <c r="E1" s="3" t="s">
        <v>3164</v>
      </c>
      <c r="F1" s="5" t="s">
        <v>3167</v>
      </c>
      <c r="G1" s="5" t="s">
        <v>3167</v>
      </c>
      <c r="H1" s="3" t="s">
        <v>3168</v>
      </c>
      <c r="I1" s="3" t="s">
        <v>3169</v>
      </c>
      <c r="J1" s="3" t="s">
        <v>3181</v>
      </c>
      <c r="K1" s="3" t="s">
        <v>3171</v>
      </c>
    </row>
    <row r="2" spans="2:11" hidden="1" x14ac:dyDescent="0.2"/>
    <row r="3" spans="2:11" hidden="1" x14ac:dyDescent="0.2"/>
    <row r="4" spans="2:11" hidden="1" x14ac:dyDescent="0.2">
      <c r="B4" s="4">
        <v>1001</v>
      </c>
      <c r="C4" s="4">
        <v>0</v>
      </c>
      <c r="D4">
        <v>0</v>
      </c>
      <c r="E4">
        <f>VLOOKUP(B4,Nuclides!A:F,5,FALSE)</f>
        <v>0</v>
      </c>
      <c r="F4">
        <f>VLOOKUP(B4,Nuclides!A:F,4,FALSE)</f>
        <v>613.9</v>
      </c>
      <c r="G4" s="4" t="str">
        <f t="shared" ref="G4" si="0">IF(F4="STABLE", "STABLE", IF(F4&lt;60, F4&amp;"s", IF(F4&lt;3600, ROUND(F4/60,2)&amp;"min", IF(F4&lt;86400, ROUND(F4/3600,2)&amp;"h", IF(F4&lt;31536000, ROUND(F4/86400,2)&amp;"d", ROUND(F4/31536000,2)&amp;"y")))))</f>
        <v>10.23min</v>
      </c>
      <c r="H4" s="4">
        <f t="shared" ref="H4" si="1">LN(2)/F4</f>
        <v>1.1290880934353238E-3</v>
      </c>
      <c r="I4" s="4">
        <f t="shared" ref="I4" si="2">60*6240000000000*C4*(1-EXP(-H4*2*3600))</f>
        <v>0</v>
      </c>
      <c r="J4" s="4">
        <f>I4*EXP(-H4*48*3600)</f>
        <v>0</v>
      </c>
      <c r="K4" s="4">
        <f t="shared" ref="K4" si="3">E4</f>
        <v>0</v>
      </c>
    </row>
    <row r="5" spans="2:11" hidden="1" x14ac:dyDescent="0.2">
      <c r="B5" s="4">
        <v>1002</v>
      </c>
      <c r="C5" s="4">
        <v>0</v>
      </c>
      <c r="D5">
        <v>0</v>
      </c>
      <c r="E5" t="str">
        <f>VLOOKUP(B5,Nuclides!A:F,5,FALSE)</f>
        <v>H2</v>
      </c>
      <c r="F5" t="str">
        <f>VLOOKUP(B5,Nuclides!A:F,4,FALSE)</f>
        <v>STABLE</v>
      </c>
      <c r="G5" s="4" t="str">
        <f t="shared" ref="G5:G68" si="4">IF(F5="STABLE", "STABLE", IF(F5&lt;60, F5&amp;"s", IF(F5&lt;3600, ROUND(F5/60,2)&amp;"min", IF(F5&lt;86400, ROUND(F5/3600,2)&amp;"h", IF(F5&lt;31536000, ROUND(F5/86400,2)&amp;"d", ROUND(F5/31536000,2)&amp;"y")))))</f>
        <v>STABLE</v>
      </c>
      <c r="H5" s="4" t="e">
        <f t="shared" ref="H5:H68" si="5">LN(2)/F5</f>
        <v>#VALUE!</v>
      </c>
      <c r="I5" s="4" t="e">
        <f t="shared" ref="I5:I68" si="6">60*6240000000000*C5*(1-EXP(-H5*2*3600))</f>
        <v>#VALUE!</v>
      </c>
      <c r="J5" s="4" t="e">
        <f t="shared" ref="J5:J68" si="7">I5*EXP(-H5*48*3600)</f>
        <v>#VALUE!</v>
      </c>
      <c r="K5" s="4" t="str">
        <f t="shared" ref="K5:K68" si="8">E5</f>
        <v>H2</v>
      </c>
    </row>
    <row r="6" spans="2:11" hidden="1" x14ac:dyDescent="0.2">
      <c r="B6" s="4">
        <v>1003</v>
      </c>
      <c r="C6" s="4">
        <v>0</v>
      </c>
      <c r="D6">
        <v>0</v>
      </c>
      <c r="E6" t="str">
        <f>VLOOKUP(B6,Nuclides!A:F,5,FALSE)</f>
        <v>H3</v>
      </c>
      <c r="F6">
        <f>VLOOKUP(B6,Nuclides!A:F,4,FALSE)</f>
        <v>388789632</v>
      </c>
      <c r="G6" s="4" t="str">
        <f t="shared" si="4"/>
        <v>12.33y</v>
      </c>
      <c r="H6" s="4">
        <f t="shared" si="5"/>
        <v>1.7828335004569908E-9</v>
      </c>
      <c r="I6" s="4">
        <f t="shared" si="6"/>
        <v>0</v>
      </c>
      <c r="J6" s="4">
        <f t="shared" si="7"/>
        <v>0</v>
      </c>
      <c r="K6" s="4" t="str">
        <f t="shared" si="8"/>
        <v>H3</v>
      </c>
    </row>
    <row r="7" spans="2:11" hidden="1" x14ac:dyDescent="0.2">
      <c r="B7" s="4">
        <v>2003</v>
      </c>
      <c r="C7" s="4">
        <v>0</v>
      </c>
      <c r="D7">
        <v>0</v>
      </c>
      <c r="E7" t="str">
        <f>VLOOKUP(B7,Nuclides!A:F,5,FALSE)</f>
        <v>He3</v>
      </c>
      <c r="F7" t="str">
        <f>VLOOKUP(B7,Nuclides!A:F,4,FALSE)</f>
        <v>STABLE</v>
      </c>
      <c r="G7" s="4" t="str">
        <f t="shared" si="4"/>
        <v>STABLE</v>
      </c>
      <c r="H7" s="4" t="e">
        <f t="shared" si="5"/>
        <v>#VALUE!</v>
      </c>
      <c r="I7" s="4" t="e">
        <f t="shared" si="6"/>
        <v>#VALUE!</v>
      </c>
      <c r="J7" s="4" t="e">
        <f t="shared" si="7"/>
        <v>#VALUE!</v>
      </c>
      <c r="K7" s="4" t="str">
        <f t="shared" si="8"/>
        <v>He3</v>
      </c>
    </row>
    <row r="8" spans="2:11" hidden="1" x14ac:dyDescent="0.2">
      <c r="B8" s="4">
        <v>2004</v>
      </c>
      <c r="C8" s="4">
        <v>0</v>
      </c>
      <c r="D8">
        <v>0</v>
      </c>
      <c r="E8" t="str">
        <f>VLOOKUP(B8,Nuclides!A:F,5,FALSE)</f>
        <v>He4</v>
      </c>
      <c r="F8" t="str">
        <f>VLOOKUP(B8,Nuclides!A:F,4,FALSE)</f>
        <v>STABLE</v>
      </c>
      <c r="G8" s="4" t="str">
        <f t="shared" si="4"/>
        <v>STABLE</v>
      </c>
      <c r="H8" s="4" t="e">
        <f t="shared" si="5"/>
        <v>#VALUE!</v>
      </c>
      <c r="I8" s="4" t="e">
        <f t="shared" si="6"/>
        <v>#VALUE!</v>
      </c>
      <c r="J8" s="4" t="e">
        <f t="shared" si="7"/>
        <v>#VALUE!</v>
      </c>
      <c r="K8" s="4" t="str">
        <f t="shared" si="8"/>
        <v>He4</v>
      </c>
    </row>
    <row r="9" spans="2:11" hidden="1" x14ac:dyDescent="0.2">
      <c r="B9" s="4">
        <v>2005</v>
      </c>
      <c r="C9" s="4">
        <v>0</v>
      </c>
      <c r="D9">
        <v>0</v>
      </c>
      <c r="E9" t="str">
        <f>VLOOKUP(B9,Nuclides!A:F,5,FALSE)</f>
        <v>He5</v>
      </c>
      <c r="F9">
        <f>VLOOKUP(B9,Nuclides!A:F,4,FALSE)</f>
        <v>7.5950000000000001E-22</v>
      </c>
      <c r="G9" s="4" t="str">
        <f t="shared" si="4"/>
        <v>7.595E-22s</v>
      </c>
      <c r="H9" s="4">
        <f t="shared" si="5"/>
        <v>9.1263618243574104E+20</v>
      </c>
      <c r="I9" s="4">
        <f t="shared" si="6"/>
        <v>0</v>
      </c>
      <c r="J9" s="4">
        <f t="shared" si="7"/>
        <v>0</v>
      </c>
      <c r="K9" s="4" t="str">
        <f t="shared" si="8"/>
        <v>He5</v>
      </c>
    </row>
    <row r="10" spans="2:11" hidden="1" x14ac:dyDescent="0.2">
      <c r="B10" s="4">
        <v>2006</v>
      </c>
      <c r="C10" s="4">
        <v>0</v>
      </c>
      <c r="D10">
        <v>0</v>
      </c>
      <c r="E10" t="str">
        <f>VLOOKUP(B10,Nuclides!A:F,5,FALSE)</f>
        <v>He6</v>
      </c>
      <c r="F10">
        <f>VLOOKUP(B10,Nuclides!A:F,4,FALSE)</f>
        <v>0.80669999999999997</v>
      </c>
      <c r="G10" s="4" t="str">
        <f t="shared" si="4"/>
        <v>0.8067s</v>
      </c>
      <c r="H10" s="4">
        <f t="shared" si="5"/>
        <v>0.85923785863387292</v>
      </c>
      <c r="I10" s="4">
        <f t="shared" si="6"/>
        <v>0</v>
      </c>
      <c r="J10" s="4">
        <f t="shared" si="7"/>
        <v>0</v>
      </c>
      <c r="K10" s="4" t="str">
        <f t="shared" si="8"/>
        <v>He6</v>
      </c>
    </row>
    <row r="11" spans="2:11" hidden="1" x14ac:dyDescent="0.2">
      <c r="B11" s="4">
        <v>2007</v>
      </c>
      <c r="C11" s="4">
        <v>0</v>
      </c>
      <c r="D11">
        <v>0</v>
      </c>
      <c r="E11" t="str">
        <f>VLOOKUP(B11,Nuclides!A:F,5,FALSE)</f>
        <v>He7</v>
      </c>
      <c r="F11">
        <f>VLOOKUP(B11,Nuclides!A:F,4,FALSE)</f>
        <v>3.0380000000000001E-21</v>
      </c>
      <c r="G11" s="4" t="str">
        <f t="shared" si="4"/>
        <v>3.038E-21s</v>
      </c>
      <c r="H11" s="4">
        <f t="shared" si="5"/>
        <v>2.2815904560893526E+20</v>
      </c>
      <c r="I11" s="4">
        <f t="shared" si="6"/>
        <v>0</v>
      </c>
      <c r="J11" s="4">
        <f t="shared" si="7"/>
        <v>0</v>
      </c>
      <c r="K11" s="4" t="str">
        <f t="shared" si="8"/>
        <v>He7</v>
      </c>
    </row>
    <row r="12" spans="2:11" hidden="1" x14ac:dyDescent="0.2">
      <c r="B12" s="4">
        <v>2008</v>
      </c>
      <c r="C12" s="4">
        <v>0</v>
      </c>
      <c r="D12">
        <v>0</v>
      </c>
      <c r="E12" t="str">
        <f>VLOOKUP(B12,Nuclides!A:F,5,FALSE)</f>
        <v>He8</v>
      </c>
      <c r="F12">
        <f>VLOOKUP(B12,Nuclides!A:F,4,FALSE)</f>
        <v>0.1191</v>
      </c>
      <c r="G12" s="4" t="str">
        <f t="shared" si="4"/>
        <v>0.1191s</v>
      </c>
      <c r="H12" s="4">
        <f t="shared" si="5"/>
        <v>5.8198755714521013</v>
      </c>
      <c r="I12" s="4">
        <f t="shared" si="6"/>
        <v>0</v>
      </c>
      <c r="J12" s="4">
        <f t="shared" si="7"/>
        <v>0</v>
      </c>
      <c r="K12" s="4" t="str">
        <f t="shared" si="8"/>
        <v>He8</v>
      </c>
    </row>
    <row r="13" spans="2:11" hidden="1" x14ac:dyDescent="0.2">
      <c r="B13" s="4">
        <v>3005</v>
      </c>
      <c r="C13" s="4">
        <v>0</v>
      </c>
      <c r="D13">
        <v>0</v>
      </c>
      <c r="E13" t="str">
        <f>VLOOKUP(B13,Nuclides!A:F,5,FALSE)</f>
        <v>Li5</v>
      </c>
      <c r="F13">
        <f>VLOOKUP(B13,Nuclides!A:F,4,FALSE)</f>
        <v>3.038E-22</v>
      </c>
      <c r="G13" s="4" t="str">
        <f t="shared" si="4"/>
        <v>3.038E-22s</v>
      </c>
      <c r="H13" s="4">
        <f t="shared" si="5"/>
        <v>2.2815904560893526E+21</v>
      </c>
      <c r="I13" s="4">
        <f t="shared" si="6"/>
        <v>0</v>
      </c>
      <c r="J13" s="4">
        <f t="shared" si="7"/>
        <v>0</v>
      </c>
      <c r="K13" s="4" t="str">
        <f t="shared" si="8"/>
        <v>Li5</v>
      </c>
    </row>
    <row r="14" spans="2:11" hidden="1" x14ac:dyDescent="0.2">
      <c r="B14" s="4">
        <v>3006</v>
      </c>
      <c r="C14" s="4">
        <v>1.02E-7</v>
      </c>
      <c r="D14">
        <v>9.9000000000000005E-2</v>
      </c>
      <c r="E14" t="str">
        <f>VLOOKUP(B14,Nuclides!A:F,5,FALSE)</f>
        <v>Li6</v>
      </c>
      <c r="F14" t="str">
        <f>VLOOKUP(B14,Nuclides!A:F,4,FALSE)</f>
        <v>STABLE</v>
      </c>
      <c r="G14" s="4" t="str">
        <f t="shared" si="4"/>
        <v>STABLE</v>
      </c>
      <c r="H14" s="4" t="e">
        <f t="shared" si="5"/>
        <v>#VALUE!</v>
      </c>
      <c r="I14" s="4" t="e">
        <f t="shared" si="6"/>
        <v>#VALUE!</v>
      </c>
      <c r="J14" s="4" t="e">
        <f t="shared" si="7"/>
        <v>#VALUE!</v>
      </c>
      <c r="K14" s="4" t="str">
        <f t="shared" si="8"/>
        <v>Li6</v>
      </c>
    </row>
    <row r="15" spans="2:11" hidden="1" x14ac:dyDescent="0.2">
      <c r="B15" s="4">
        <v>3007</v>
      </c>
      <c r="C15" s="4">
        <v>1.01E-7</v>
      </c>
      <c r="D15">
        <v>9.9500000000000005E-2</v>
      </c>
      <c r="E15" t="str">
        <f>VLOOKUP(B15,Nuclides!A:F,5,FALSE)</f>
        <v>Li7</v>
      </c>
      <c r="F15" t="str">
        <f>VLOOKUP(B15,Nuclides!A:F,4,FALSE)</f>
        <v>STABLE</v>
      </c>
      <c r="G15" s="4" t="str">
        <f t="shared" si="4"/>
        <v>STABLE</v>
      </c>
      <c r="H15" s="4" t="e">
        <f t="shared" si="5"/>
        <v>#VALUE!</v>
      </c>
      <c r="I15" s="4" t="e">
        <f t="shared" si="6"/>
        <v>#VALUE!</v>
      </c>
      <c r="J15" s="4" t="e">
        <f t="shared" si="7"/>
        <v>#VALUE!</v>
      </c>
      <c r="K15" s="4" t="str">
        <f t="shared" si="8"/>
        <v>Li7</v>
      </c>
    </row>
    <row r="16" spans="2:11" hidden="1" x14ac:dyDescent="0.2">
      <c r="B16" s="4">
        <v>3008</v>
      </c>
      <c r="C16" s="4">
        <v>0</v>
      </c>
      <c r="D16">
        <v>0</v>
      </c>
      <c r="E16" t="str">
        <f>VLOOKUP(B16,Nuclides!A:F,5,FALSE)</f>
        <v>Li8</v>
      </c>
      <c r="F16">
        <f>VLOOKUP(B16,Nuclides!A:F,4,FALSE)</f>
        <v>0.83989999999999998</v>
      </c>
      <c r="G16" s="4" t="str">
        <f t="shared" si="4"/>
        <v>0.8399s</v>
      </c>
      <c r="H16" s="4">
        <f t="shared" si="5"/>
        <v>0.82527346179300543</v>
      </c>
      <c r="I16" s="4">
        <f t="shared" si="6"/>
        <v>0</v>
      </c>
      <c r="J16" s="4">
        <f t="shared" si="7"/>
        <v>0</v>
      </c>
      <c r="K16" s="4" t="str">
        <f t="shared" si="8"/>
        <v>Li8</v>
      </c>
    </row>
    <row r="17" spans="2:17" hidden="1" x14ac:dyDescent="0.2">
      <c r="B17" s="4">
        <v>3009</v>
      </c>
      <c r="C17" s="4">
        <v>0</v>
      </c>
      <c r="D17">
        <v>0</v>
      </c>
      <c r="E17" t="str">
        <f>VLOOKUP(B17,Nuclides!A:F,5,FALSE)</f>
        <v>Li9</v>
      </c>
      <c r="F17">
        <f>VLOOKUP(B17,Nuclides!A:F,4,FALSE)</f>
        <v>0.17829999999999999</v>
      </c>
      <c r="G17" s="4" t="str">
        <f t="shared" si="4"/>
        <v>0.1783s</v>
      </c>
      <c r="H17" s="4">
        <f t="shared" si="5"/>
        <v>3.8875332616934681</v>
      </c>
      <c r="I17" s="4">
        <f t="shared" si="6"/>
        <v>0</v>
      </c>
      <c r="J17" s="4">
        <f t="shared" si="7"/>
        <v>0</v>
      </c>
      <c r="K17" s="4" t="str">
        <f t="shared" si="8"/>
        <v>Li9</v>
      </c>
    </row>
    <row r="18" spans="2:17" hidden="1" x14ac:dyDescent="0.2">
      <c r="B18" s="4">
        <v>3010</v>
      </c>
      <c r="C18" s="4">
        <v>0</v>
      </c>
      <c r="D18">
        <v>0</v>
      </c>
      <c r="E18" t="e">
        <f>VLOOKUP(B18,Nuclides!A:F,5,FALSE)</f>
        <v>#N/A</v>
      </c>
      <c r="F18" t="e">
        <f>VLOOKUP(B18,Nuclides!A:F,4,FALSE)</f>
        <v>#N/A</v>
      </c>
      <c r="G18" s="4" t="e">
        <f t="shared" si="4"/>
        <v>#N/A</v>
      </c>
      <c r="H18" s="4" t="e">
        <f t="shared" si="5"/>
        <v>#N/A</v>
      </c>
      <c r="I18" s="4" t="e">
        <f t="shared" si="6"/>
        <v>#N/A</v>
      </c>
      <c r="J18" s="4" t="e">
        <f t="shared" si="7"/>
        <v>#N/A</v>
      </c>
      <c r="K18" s="4" t="e">
        <f t="shared" si="8"/>
        <v>#N/A</v>
      </c>
    </row>
    <row r="19" spans="2:17" hidden="1" x14ac:dyDescent="0.2">
      <c r="B19" s="4">
        <v>3011</v>
      </c>
      <c r="C19" s="4">
        <v>0</v>
      </c>
      <c r="D19">
        <v>0</v>
      </c>
      <c r="E19" t="str">
        <f>VLOOKUP(B19,Nuclides!A:F,5,FALSE)</f>
        <v>Li11</v>
      </c>
      <c r="F19">
        <f>VLOOKUP(B19,Nuclides!A:F,4,FALSE)</f>
        <v>8.7500000000000008E-3</v>
      </c>
      <c r="G19" s="4" t="str">
        <f t="shared" si="4"/>
        <v>0.00875s</v>
      </c>
      <c r="H19" s="4">
        <f t="shared" si="5"/>
        <v>79.216820635422309</v>
      </c>
      <c r="I19" s="4">
        <f t="shared" si="6"/>
        <v>0</v>
      </c>
      <c r="J19" s="4">
        <f t="shared" si="7"/>
        <v>0</v>
      </c>
      <c r="K19" s="4" t="str">
        <f t="shared" si="8"/>
        <v>Li11</v>
      </c>
    </row>
    <row r="20" spans="2:17" hidden="1" x14ac:dyDescent="0.2">
      <c r="B20" s="4">
        <v>4006</v>
      </c>
      <c r="C20" s="4">
        <v>0</v>
      </c>
      <c r="D20">
        <v>0</v>
      </c>
      <c r="E20" t="str">
        <f>VLOOKUP(B20,Nuclides!A:F,5,FALSE)</f>
        <v>Be6</v>
      </c>
      <c r="F20">
        <f>VLOOKUP(B20,Nuclides!A:F,4,FALSE)</f>
        <v>4.9532608695652102E-21</v>
      </c>
      <c r="G20" s="4" t="str">
        <f t="shared" si="4"/>
        <v>4.95326086956521E-21s</v>
      </c>
      <c r="H20" s="4">
        <f t="shared" si="5"/>
        <v>1.3993754797348048E+20</v>
      </c>
      <c r="I20" s="4">
        <f t="shared" si="6"/>
        <v>0</v>
      </c>
      <c r="J20" s="4">
        <f t="shared" si="7"/>
        <v>0</v>
      </c>
      <c r="K20" s="4" t="str">
        <f t="shared" si="8"/>
        <v>Be6</v>
      </c>
    </row>
    <row r="21" spans="2:17" x14ac:dyDescent="0.2">
      <c r="B21" s="4">
        <v>4007</v>
      </c>
      <c r="C21" s="4">
        <v>7.9000000000000006E-8</v>
      </c>
      <c r="D21">
        <v>0.1125</v>
      </c>
      <c r="E21" t="str">
        <f>VLOOKUP(B21,Nuclides!A:F,5,FALSE)</f>
        <v>Be7</v>
      </c>
      <c r="F21">
        <f>VLOOKUP(B21,Nuclides!A:F,4,FALSE)</f>
        <v>4598208</v>
      </c>
      <c r="G21" s="4" t="str">
        <f t="shared" si="4"/>
        <v>53.22d</v>
      </c>
      <c r="H21" s="4">
        <f t="shared" si="5"/>
        <v>1.507428938751673E-7</v>
      </c>
      <c r="I21" s="4">
        <f t="shared" si="6"/>
        <v>32084.599088025276</v>
      </c>
      <c r="J21" s="4">
        <f>I21*EXP(-H21*0.5*3600)</f>
        <v>32075.894523447176</v>
      </c>
      <c r="K21" s="4" t="str">
        <f t="shared" si="8"/>
        <v>Be7</v>
      </c>
      <c r="L21" s="4">
        <f>J21</f>
        <v>32075.894523447176</v>
      </c>
      <c r="M21">
        <v>0</v>
      </c>
      <c r="O21" s="4" t="str">
        <f>K21</f>
        <v>Be7</v>
      </c>
      <c r="P21" s="4" t="str">
        <f>G21</f>
        <v>53.22d</v>
      </c>
      <c r="Q21" s="4">
        <f>J21</f>
        <v>32075.894523447176</v>
      </c>
    </row>
    <row r="22" spans="2:17" hidden="1" x14ac:dyDescent="0.2">
      <c r="B22" s="4">
        <v>4008</v>
      </c>
      <c r="C22" s="4">
        <v>0</v>
      </c>
      <c r="D22">
        <v>0</v>
      </c>
      <c r="E22" t="str">
        <f>VLOOKUP(B22,Nuclides!A:F,5,FALSE)</f>
        <v>Be8</v>
      </c>
      <c r="F22">
        <f>VLOOKUP(B22,Nuclides!A:F,4,FALSE)</f>
        <v>8.1813285457809601E-17</v>
      </c>
      <c r="G22" s="4" t="str">
        <f t="shared" si="4"/>
        <v>8.18132854578096E-17s</v>
      </c>
      <c r="H22" s="4">
        <f t="shared" si="5"/>
        <v>8472305893611805</v>
      </c>
      <c r="I22" s="4">
        <f t="shared" si="6"/>
        <v>0</v>
      </c>
      <c r="J22" s="4">
        <f t="shared" si="7"/>
        <v>0</v>
      </c>
      <c r="K22" s="4" t="str">
        <f t="shared" si="8"/>
        <v>Be8</v>
      </c>
    </row>
    <row r="23" spans="2:17" hidden="1" x14ac:dyDescent="0.2">
      <c r="B23" s="4">
        <v>4009</v>
      </c>
      <c r="C23" s="4">
        <v>7.1800000000000005E-7</v>
      </c>
      <c r="D23">
        <v>3.73E-2</v>
      </c>
      <c r="E23" t="str">
        <f>VLOOKUP(B23,Nuclides!A:F,5,FALSE)</f>
        <v>Be9</v>
      </c>
      <c r="F23" t="str">
        <f>VLOOKUP(B23,Nuclides!A:F,4,FALSE)</f>
        <v>STABLE</v>
      </c>
      <c r="G23" s="4" t="str">
        <f t="shared" si="4"/>
        <v>STABLE</v>
      </c>
      <c r="H23" s="4" t="e">
        <f t="shared" si="5"/>
        <v>#VALUE!</v>
      </c>
      <c r="I23" s="4" t="e">
        <f t="shared" si="6"/>
        <v>#VALUE!</v>
      </c>
      <c r="J23" s="4" t="e">
        <f t="shared" si="7"/>
        <v>#VALUE!</v>
      </c>
      <c r="K23" s="4" t="str">
        <f t="shared" si="8"/>
        <v>Be9</v>
      </c>
    </row>
    <row r="24" spans="2:17" hidden="1" x14ac:dyDescent="0.2">
      <c r="B24" s="4">
        <v>4010</v>
      </c>
      <c r="C24" s="4">
        <v>0</v>
      </c>
      <c r="D24">
        <v>0</v>
      </c>
      <c r="E24" t="str">
        <f>VLOOKUP(B24,Nuclides!A:F,5,FALSE)</f>
        <v>Be10</v>
      </c>
      <c r="F24">
        <f>VLOOKUP(B24,Nuclides!A:F,4,FALSE)</f>
        <v>47651976000000</v>
      </c>
      <c r="G24" s="4" t="str">
        <f t="shared" si="4"/>
        <v>1511034.25y</v>
      </c>
      <c r="H24" s="4">
        <f t="shared" si="5"/>
        <v>1.4546032268629223E-14</v>
      </c>
      <c r="I24" s="4">
        <f t="shared" si="6"/>
        <v>0</v>
      </c>
      <c r="J24" s="4">
        <f t="shared" si="7"/>
        <v>0</v>
      </c>
      <c r="K24" s="4" t="str">
        <f t="shared" si="8"/>
        <v>Be10</v>
      </c>
    </row>
    <row r="25" spans="2:17" hidden="1" x14ac:dyDescent="0.2">
      <c r="B25" s="4">
        <v>4011</v>
      </c>
      <c r="C25" s="4">
        <v>0</v>
      </c>
      <c r="D25">
        <v>0</v>
      </c>
      <c r="E25" t="str">
        <f>VLOOKUP(B25,Nuclides!A:F,5,FALSE)</f>
        <v>Be11</v>
      </c>
      <c r="F25">
        <f>VLOOKUP(B25,Nuclides!A:F,4,FALSE)</f>
        <v>13.76</v>
      </c>
      <c r="G25" s="4" t="str">
        <f t="shared" si="4"/>
        <v>13.76s</v>
      </c>
      <c r="H25" s="4">
        <f t="shared" si="5"/>
        <v>5.0374068354647188E-2</v>
      </c>
      <c r="I25" s="4">
        <f t="shared" si="6"/>
        <v>0</v>
      </c>
      <c r="J25" s="4">
        <f t="shared" si="7"/>
        <v>0</v>
      </c>
      <c r="K25" s="4" t="str">
        <f t="shared" si="8"/>
        <v>Be11</v>
      </c>
    </row>
    <row r="26" spans="2:17" hidden="1" x14ac:dyDescent="0.2">
      <c r="B26" s="4">
        <v>4012</v>
      </c>
      <c r="C26" s="4">
        <v>0</v>
      </c>
      <c r="D26">
        <v>0</v>
      </c>
      <c r="E26" t="str">
        <f>VLOOKUP(B26,Nuclides!A:F,5,FALSE)</f>
        <v>Be12</v>
      </c>
      <c r="F26">
        <f>VLOOKUP(B26,Nuclides!A:F,4,FALSE)</f>
        <v>2.147E-2</v>
      </c>
      <c r="G26" s="4" t="str">
        <f t="shared" si="4"/>
        <v>0.02147s</v>
      </c>
      <c r="H26" s="4">
        <f t="shared" si="5"/>
        <v>32.284451819280171</v>
      </c>
      <c r="I26" s="4">
        <f t="shared" si="6"/>
        <v>0</v>
      </c>
      <c r="J26" s="4">
        <f t="shared" si="7"/>
        <v>0</v>
      </c>
      <c r="K26" s="4" t="str">
        <f t="shared" si="8"/>
        <v>Be12</v>
      </c>
    </row>
    <row r="27" spans="2:17" hidden="1" x14ac:dyDescent="0.2">
      <c r="B27" s="4">
        <v>4013</v>
      </c>
      <c r="C27" s="4">
        <v>0</v>
      </c>
      <c r="D27">
        <v>0</v>
      </c>
      <c r="E27" t="str">
        <f>VLOOKUP(B27,Nuclides!A:F,5,FALSE)</f>
        <v>Be13</v>
      </c>
      <c r="F27">
        <f>VLOOKUP(B27,Nuclides!A:F,4,FALSE)</f>
        <v>2.7000000000000001E-21</v>
      </c>
      <c r="G27" s="4" t="str">
        <f t="shared" si="4"/>
        <v>2.7E-21s</v>
      </c>
      <c r="H27" s="4">
        <f t="shared" si="5"/>
        <v>2.567211779851649E+20</v>
      </c>
      <c r="I27" s="4">
        <f t="shared" si="6"/>
        <v>0</v>
      </c>
      <c r="J27" s="4">
        <f t="shared" si="7"/>
        <v>0</v>
      </c>
      <c r="K27" s="4" t="str">
        <f t="shared" si="8"/>
        <v>Be13</v>
      </c>
    </row>
    <row r="28" spans="2:17" hidden="1" x14ac:dyDescent="0.2">
      <c r="B28" s="4">
        <v>4014</v>
      </c>
      <c r="C28" s="4">
        <v>0</v>
      </c>
      <c r="D28">
        <v>0</v>
      </c>
      <c r="E28" t="str">
        <f>VLOOKUP(B28,Nuclides!A:F,5,FALSE)</f>
        <v>Be14</v>
      </c>
      <c r="F28">
        <f>VLOOKUP(B28,Nuclides!A:F,4,FALSE)</f>
        <v>4.3499999999999997E-3</v>
      </c>
      <c r="G28" s="4" t="str">
        <f t="shared" si="4"/>
        <v>0.00435s</v>
      </c>
      <c r="H28" s="4">
        <f t="shared" si="5"/>
        <v>159.34417943906789</v>
      </c>
      <c r="I28" s="4">
        <f t="shared" si="6"/>
        <v>0</v>
      </c>
      <c r="J28" s="4">
        <f t="shared" si="7"/>
        <v>0</v>
      </c>
      <c r="K28" s="4" t="str">
        <f t="shared" si="8"/>
        <v>Be14</v>
      </c>
    </row>
    <row r="29" spans="2:17" hidden="1" x14ac:dyDescent="0.2">
      <c r="B29" s="4">
        <v>5008</v>
      </c>
      <c r="C29" s="4">
        <v>0</v>
      </c>
      <c r="D29">
        <v>0</v>
      </c>
      <c r="E29" t="str">
        <f>VLOOKUP(B29,Nuclides!A:F,5,FALSE)</f>
        <v>B8</v>
      </c>
      <c r="F29">
        <f>VLOOKUP(B29,Nuclides!A:F,4,FALSE)</f>
        <v>0.77</v>
      </c>
      <c r="G29" s="4" t="str">
        <f t="shared" si="4"/>
        <v>0.77s</v>
      </c>
      <c r="H29" s="4">
        <f t="shared" si="5"/>
        <v>0.90019114358434449</v>
      </c>
      <c r="I29" s="4">
        <f t="shared" si="6"/>
        <v>0</v>
      </c>
      <c r="J29" s="4">
        <f t="shared" si="7"/>
        <v>0</v>
      </c>
      <c r="K29" s="4" t="str">
        <f t="shared" si="8"/>
        <v>B8</v>
      </c>
    </row>
    <row r="30" spans="2:17" hidden="1" x14ac:dyDescent="0.2">
      <c r="B30" s="4">
        <v>5009</v>
      </c>
      <c r="C30" s="4">
        <v>0</v>
      </c>
      <c r="D30">
        <v>0</v>
      </c>
      <c r="E30" t="str">
        <f>VLOOKUP(B30,Nuclides!A:F,5,FALSE)</f>
        <v>B9</v>
      </c>
      <c r="F30">
        <f>VLOOKUP(B30,Nuclides!A:F,4,FALSE)</f>
        <v>8.4388888888888803E-19</v>
      </c>
      <c r="G30" s="4" t="str">
        <f t="shared" si="4"/>
        <v>8.43888888888888E-19s</v>
      </c>
      <c r="H30" s="4">
        <f t="shared" si="5"/>
        <v>8.2137256419216768E+17</v>
      </c>
      <c r="I30" s="4">
        <f t="shared" si="6"/>
        <v>0</v>
      </c>
      <c r="J30" s="4">
        <f t="shared" si="7"/>
        <v>0</v>
      </c>
      <c r="K30" s="4" t="str">
        <f t="shared" si="8"/>
        <v>B9</v>
      </c>
    </row>
    <row r="31" spans="2:17" hidden="1" x14ac:dyDescent="0.2">
      <c r="B31" s="4">
        <v>5010</v>
      </c>
      <c r="C31" s="4">
        <v>0</v>
      </c>
      <c r="D31">
        <v>0</v>
      </c>
      <c r="E31" t="str">
        <f>VLOOKUP(B31,Nuclides!A:F,5,FALSE)</f>
        <v>B10</v>
      </c>
      <c r="F31" t="str">
        <f>VLOOKUP(B31,Nuclides!A:F,4,FALSE)</f>
        <v>STABLE</v>
      </c>
      <c r="G31" s="4" t="str">
        <f t="shared" si="4"/>
        <v>STABLE</v>
      </c>
      <c r="H31" s="4" t="e">
        <f t="shared" si="5"/>
        <v>#VALUE!</v>
      </c>
      <c r="I31" s="4" t="e">
        <f t="shared" si="6"/>
        <v>#VALUE!</v>
      </c>
      <c r="J31" s="4" t="e">
        <f t="shared" si="7"/>
        <v>#VALUE!</v>
      </c>
      <c r="K31" s="4" t="str">
        <f t="shared" si="8"/>
        <v>B10</v>
      </c>
    </row>
    <row r="32" spans="2:17" hidden="1" x14ac:dyDescent="0.2">
      <c r="B32" s="4">
        <v>5011</v>
      </c>
      <c r="C32" s="4">
        <v>0</v>
      </c>
      <c r="D32">
        <v>0</v>
      </c>
      <c r="E32" t="str">
        <f>VLOOKUP(B32,Nuclides!A:F,5,FALSE)</f>
        <v>B11</v>
      </c>
      <c r="F32" t="str">
        <f>VLOOKUP(B32,Nuclides!A:F,4,FALSE)</f>
        <v>STABLE</v>
      </c>
      <c r="G32" s="4" t="str">
        <f t="shared" si="4"/>
        <v>STABLE</v>
      </c>
      <c r="H32" s="4" t="e">
        <f t="shared" si="5"/>
        <v>#VALUE!</v>
      </c>
      <c r="I32" s="4" t="e">
        <f t="shared" si="6"/>
        <v>#VALUE!</v>
      </c>
      <c r="J32" s="4" t="e">
        <f t="shared" si="7"/>
        <v>#VALUE!</v>
      </c>
      <c r="K32" s="4" t="str">
        <f t="shared" si="8"/>
        <v>B11</v>
      </c>
    </row>
    <row r="33" spans="2:11" hidden="1" x14ac:dyDescent="0.2">
      <c r="B33" s="4">
        <v>5012</v>
      </c>
      <c r="C33" s="4">
        <v>0</v>
      </c>
      <c r="D33">
        <v>0</v>
      </c>
      <c r="E33" t="str">
        <f>VLOOKUP(B33,Nuclides!A:F,5,FALSE)</f>
        <v>B12</v>
      </c>
      <c r="F33">
        <f>VLOOKUP(B33,Nuclides!A:F,4,FALSE)</f>
        <v>2.0199999999999999E-2</v>
      </c>
      <c r="G33" s="4" t="str">
        <f t="shared" si="4"/>
        <v>0.0202s</v>
      </c>
      <c r="H33" s="4">
        <f t="shared" si="5"/>
        <v>34.314216859403231</v>
      </c>
      <c r="I33" s="4">
        <f t="shared" si="6"/>
        <v>0</v>
      </c>
      <c r="J33" s="4">
        <f t="shared" si="7"/>
        <v>0</v>
      </c>
      <c r="K33" s="4" t="str">
        <f t="shared" si="8"/>
        <v>B12</v>
      </c>
    </row>
    <row r="34" spans="2:11" hidden="1" x14ac:dyDescent="0.2">
      <c r="B34" s="4">
        <v>5013</v>
      </c>
      <c r="C34" s="4">
        <v>0</v>
      </c>
      <c r="D34">
        <v>0</v>
      </c>
      <c r="E34" t="str">
        <f>VLOOKUP(B34,Nuclides!A:F,5,FALSE)</f>
        <v>B13</v>
      </c>
      <c r="F34">
        <f>VLOOKUP(B34,Nuclides!A:F,4,FALSE)</f>
        <v>1.7329999999999901E-2</v>
      </c>
      <c r="G34" s="4" t="str">
        <f t="shared" si="4"/>
        <v>0.0173299999999999s</v>
      </c>
      <c r="H34" s="4">
        <f t="shared" si="5"/>
        <v>39.996952138485241</v>
      </c>
      <c r="I34" s="4">
        <f t="shared" si="6"/>
        <v>0</v>
      </c>
      <c r="J34" s="4">
        <f t="shared" si="7"/>
        <v>0</v>
      </c>
      <c r="K34" s="4" t="str">
        <f t="shared" si="8"/>
        <v>B13</v>
      </c>
    </row>
    <row r="35" spans="2:11" hidden="1" x14ac:dyDescent="0.2">
      <c r="B35" s="4">
        <v>5014</v>
      </c>
      <c r="C35" s="4">
        <v>0</v>
      </c>
      <c r="D35">
        <v>0</v>
      </c>
      <c r="E35" t="str">
        <f>VLOOKUP(B35,Nuclides!A:F,5,FALSE)</f>
        <v>B14</v>
      </c>
      <c r="F35">
        <f>VLOOKUP(B35,Nuclides!A:F,4,FALSE)</f>
        <v>1.2359999999999999E-2</v>
      </c>
      <c r="G35" s="4" t="str">
        <f t="shared" si="4"/>
        <v>0.01236s</v>
      </c>
      <c r="H35" s="4">
        <f t="shared" si="5"/>
        <v>56.079868977341853</v>
      </c>
      <c r="I35" s="4">
        <f t="shared" si="6"/>
        <v>0</v>
      </c>
      <c r="J35" s="4">
        <f t="shared" si="7"/>
        <v>0</v>
      </c>
      <c r="K35" s="4" t="str">
        <f t="shared" si="8"/>
        <v>B14</v>
      </c>
    </row>
    <row r="36" spans="2:11" hidden="1" x14ac:dyDescent="0.2">
      <c r="B36" s="4">
        <v>5015</v>
      </c>
      <c r="C36" s="4">
        <v>0</v>
      </c>
      <c r="D36">
        <v>0</v>
      </c>
      <c r="E36" t="str">
        <f>VLOOKUP(B36,Nuclides!A:F,5,FALSE)</f>
        <v>B15</v>
      </c>
      <c r="F36">
        <f>VLOOKUP(B36,Nuclides!A:F,4,FALSE)</f>
        <v>1.018E-2</v>
      </c>
      <c r="G36" s="4" t="str">
        <f t="shared" si="4"/>
        <v>0.01018s</v>
      </c>
      <c r="H36" s="4">
        <f t="shared" si="5"/>
        <v>68.089114003923896</v>
      </c>
      <c r="I36" s="4">
        <f t="shared" si="6"/>
        <v>0</v>
      </c>
      <c r="J36" s="4">
        <f t="shared" si="7"/>
        <v>0</v>
      </c>
      <c r="K36" s="4" t="str">
        <f t="shared" si="8"/>
        <v>B15</v>
      </c>
    </row>
    <row r="37" spans="2:11" hidden="1" x14ac:dyDescent="0.2">
      <c r="B37" s="4">
        <v>5016</v>
      </c>
      <c r="C37" s="4">
        <v>0</v>
      </c>
      <c r="D37">
        <v>0</v>
      </c>
      <c r="E37" t="e">
        <f>VLOOKUP(B37,Nuclides!A:F,5,FALSE)</f>
        <v>#N/A</v>
      </c>
      <c r="F37" t="e">
        <f>VLOOKUP(B37,Nuclides!A:F,4,FALSE)</f>
        <v>#N/A</v>
      </c>
      <c r="G37" s="4" t="e">
        <f t="shared" si="4"/>
        <v>#N/A</v>
      </c>
      <c r="H37" s="4" t="e">
        <f t="shared" si="5"/>
        <v>#N/A</v>
      </c>
      <c r="I37" s="4" t="e">
        <f t="shared" si="6"/>
        <v>#N/A</v>
      </c>
      <c r="J37" s="4" t="e">
        <f t="shared" si="7"/>
        <v>#N/A</v>
      </c>
      <c r="K37" s="4" t="e">
        <f t="shared" si="8"/>
        <v>#N/A</v>
      </c>
    </row>
    <row r="38" spans="2:11" hidden="1" x14ac:dyDescent="0.2">
      <c r="B38" s="4">
        <v>5017</v>
      </c>
      <c r="C38" s="4">
        <v>0</v>
      </c>
      <c r="D38">
        <v>0</v>
      </c>
      <c r="E38" t="str">
        <f>VLOOKUP(B38,Nuclides!A:F,5,FALSE)</f>
        <v>B17</v>
      </c>
      <c r="F38">
        <f>VLOOKUP(B38,Nuclides!A:F,4,FALSE)</f>
        <v>5.0800000000000003E-3</v>
      </c>
      <c r="G38" s="4" t="str">
        <f t="shared" si="4"/>
        <v>0.00508s</v>
      </c>
      <c r="H38" s="4">
        <f t="shared" si="5"/>
        <v>136.446295385816</v>
      </c>
      <c r="I38" s="4">
        <f t="shared" si="6"/>
        <v>0</v>
      </c>
      <c r="J38" s="4">
        <f t="shared" si="7"/>
        <v>0</v>
      </c>
      <c r="K38" s="4" t="str">
        <f t="shared" si="8"/>
        <v>B17</v>
      </c>
    </row>
    <row r="39" spans="2:11" hidden="1" x14ac:dyDescent="0.2">
      <c r="B39" s="4">
        <v>6008</v>
      </c>
      <c r="C39" s="4">
        <v>0</v>
      </c>
      <c r="D39">
        <v>0</v>
      </c>
      <c r="E39" t="str">
        <f>VLOOKUP(B39,Nuclides!A:F,5,FALSE)</f>
        <v>C8</v>
      </c>
      <c r="F39">
        <f>VLOOKUP(B39,Nuclides!A:F,4,FALSE)</f>
        <v>1.9813043478260799E-21</v>
      </c>
      <c r="G39" s="4" t="str">
        <f t="shared" si="4"/>
        <v>1.98130434782608E-21s</v>
      </c>
      <c r="H39" s="4">
        <f t="shared" si="5"/>
        <v>3.4984386993370196E+20</v>
      </c>
      <c r="I39" s="4">
        <f t="shared" si="6"/>
        <v>0</v>
      </c>
      <c r="J39" s="4">
        <f t="shared" si="7"/>
        <v>0</v>
      </c>
      <c r="K39" s="4" t="str">
        <f t="shared" si="8"/>
        <v>C8</v>
      </c>
    </row>
    <row r="40" spans="2:11" hidden="1" x14ac:dyDescent="0.2">
      <c r="B40" s="4">
        <v>6009</v>
      </c>
      <c r="C40" s="4">
        <v>0</v>
      </c>
      <c r="D40">
        <v>0</v>
      </c>
      <c r="E40" t="str">
        <f>VLOOKUP(B40,Nuclides!A:F,5,FALSE)</f>
        <v>C9</v>
      </c>
      <c r="F40">
        <f>VLOOKUP(B40,Nuclides!A:F,4,FALSE)</f>
        <v>0.1265</v>
      </c>
      <c r="G40" s="4" t="str">
        <f t="shared" si="4"/>
        <v>0.1265s</v>
      </c>
      <c r="H40" s="4">
        <f t="shared" si="5"/>
        <v>5.4794243522525319</v>
      </c>
      <c r="I40" s="4">
        <f t="shared" si="6"/>
        <v>0</v>
      </c>
      <c r="J40" s="4">
        <f t="shared" si="7"/>
        <v>0</v>
      </c>
      <c r="K40" s="4" t="str">
        <f t="shared" si="8"/>
        <v>C9</v>
      </c>
    </row>
    <row r="41" spans="2:11" hidden="1" x14ac:dyDescent="0.2">
      <c r="B41" s="4">
        <v>6010</v>
      </c>
      <c r="C41" s="4">
        <v>0</v>
      </c>
      <c r="D41">
        <v>0</v>
      </c>
      <c r="E41" t="str">
        <f>VLOOKUP(B41,Nuclides!A:F,5,FALSE)</f>
        <v>C10</v>
      </c>
      <c r="F41">
        <f>VLOOKUP(B41,Nuclides!A:F,4,FALSE)</f>
        <v>19.308</v>
      </c>
      <c r="G41" s="4" t="str">
        <f t="shared" si="4"/>
        <v>19.308s</v>
      </c>
      <c r="H41" s="4">
        <f t="shared" si="5"/>
        <v>3.5899481073127473E-2</v>
      </c>
      <c r="I41" s="4">
        <f t="shared" si="6"/>
        <v>0</v>
      </c>
      <c r="J41" s="4">
        <f t="shared" si="7"/>
        <v>0</v>
      </c>
      <c r="K41" s="4" t="str">
        <f t="shared" si="8"/>
        <v>C10</v>
      </c>
    </row>
    <row r="42" spans="2:11" hidden="1" x14ac:dyDescent="0.2">
      <c r="B42" s="4">
        <v>6011</v>
      </c>
      <c r="C42" s="4">
        <v>0</v>
      </c>
      <c r="D42">
        <v>0</v>
      </c>
      <c r="E42" t="str">
        <f>VLOOKUP(B42,Nuclides!A:F,5,FALSE)</f>
        <v>C11</v>
      </c>
      <c r="F42">
        <f>VLOOKUP(B42,Nuclides!A:F,4,FALSE)</f>
        <v>1221.8399999999999</v>
      </c>
      <c r="G42" s="4" t="str">
        <f t="shared" si="4"/>
        <v>20.36min</v>
      </c>
      <c r="H42" s="4">
        <f t="shared" si="5"/>
        <v>5.6729782996132495E-4</v>
      </c>
      <c r="I42" s="4">
        <f t="shared" si="6"/>
        <v>0</v>
      </c>
      <c r="J42" s="4">
        <f t="shared" si="7"/>
        <v>0</v>
      </c>
      <c r="K42" s="4" t="str">
        <f t="shared" si="8"/>
        <v>C11</v>
      </c>
    </row>
    <row r="43" spans="2:11" hidden="1" x14ac:dyDescent="0.2">
      <c r="B43" s="4">
        <v>6012</v>
      </c>
      <c r="C43" s="4">
        <v>2.7190000000000001E-6</v>
      </c>
      <c r="D43">
        <v>1.9199999999999998E-2</v>
      </c>
      <c r="E43" t="str">
        <f>VLOOKUP(B43,Nuclides!A:F,5,FALSE)</f>
        <v>C12</v>
      </c>
      <c r="F43" t="str">
        <f>VLOOKUP(B43,Nuclides!A:F,4,FALSE)</f>
        <v>STABLE</v>
      </c>
      <c r="G43" s="4" t="str">
        <f t="shared" si="4"/>
        <v>STABLE</v>
      </c>
      <c r="H43" s="4" t="e">
        <f t="shared" si="5"/>
        <v>#VALUE!</v>
      </c>
      <c r="I43" s="4" t="e">
        <f t="shared" si="6"/>
        <v>#VALUE!</v>
      </c>
      <c r="J43" s="4" t="e">
        <f t="shared" si="7"/>
        <v>#VALUE!</v>
      </c>
      <c r="K43" s="4" t="str">
        <f t="shared" si="8"/>
        <v>C12</v>
      </c>
    </row>
    <row r="44" spans="2:11" hidden="1" x14ac:dyDescent="0.2">
      <c r="B44" s="4">
        <v>6013</v>
      </c>
      <c r="C44" s="4">
        <v>0</v>
      </c>
      <c r="D44">
        <v>0</v>
      </c>
      <c r="E44" t="str">
        <f>VLOOKUP(B44,Nuclides!A:F,5,FALSE)</f>
        <v>C13</v>
      </c>
      <c r="F44" t="str">
        <f>VLOOKUP(B44,Nuclides!A:F,4,FALSE)</f>
        <v>STABLE</v>
      </c>
      <c r="G44" s="4" t="str">
        <f t="shared" si="4"/>
        <v>STABLE</v>
      </c>
      <c r="H44" s="4" t="e">
        <f t="shared" si="5"/>
        <v>#VALUE!</v>
      </c>
      <c r="I44" s="4" t="e">
        <f t="shared" si="6"/>
        <v>#VALUE!</v>
      </c>
      <c r="J44" s="4" t="e">
        <f t="shared" si="7"/>
        <v>#VALUE!</v>
      </c>
      <c r="K44" s="4" t="str">
        <f t="shared" si="8"/>
        <v>C13</v>
      </c>
    </row>
    <row r="45" spans="2:11" hidden="1" x14ac:dyDescent="0.2">
      <c r="B45" s="4">
        <v>6014</v>
      </c>
      <c r="C45" s="4">
        <v>0</v>
      </c>
      <c r="D45">
        <v>0</v>
      </c>
      <c r="E45" t="str">
        <f>VLOOKUP(B45,Nuclides!A:F,5,FALSE)</f>
        <v>C14</v>
      </c>
      <c r="F45">
        <f>VLOOKUP(B45,Nuclides!A:F,4,FALSE)</f>
        <v>179878320000</v>
      </c>
      <c r="G45" s="4" t="str">
        <f t="shared" si="4"/>
        <v>5703.9y</v>
      </c>
      <c r="H45" s="4">
        <f t="shared" si="5"/>
        <v>3.8534225834438821E-12</v>
      </c>
      <c r="I45" s="4">
        <f t="shared" si="6"/>
        <v>0</v>
      </c>
      <c r="J45" s="4">
        <f t="shared" si="7"/>
        <v>0</v>
      </c>
      <c r="K45" s="4" t="str">
        <f t="shared" si="8"/>
        <v>C14</v>
      </c>
    </row>
    <row r="46" spans="2:11" hidden="1" x14ac:dyDescent="0.2">
      <c r="B46" s="4">
        <v>6015</v>
      </c>
      <c r="C46" s="4">
        <v>0</v>
      </c>
      <c r="D46">
        <v>0</v>
      </c>
      <c r="E46" t="str">
        <f>VLOOKUP(B46,Nuclides!A:F,5,FALSE)</f>
        <v>C15</v>
      </c>
      <c r="F46">
        <f>VLOOKUP(B46,Nuclides!A:F,4,FALSE)</f>
        <v>2.4489999999999998</v>
      </c>
      <c r="G46" s="4" t="str">
        <f t="shared" si="4"/>
        <v>2.449s</v>
      </c>
      <c r="H46" s="4">
        <f t="shared" si="5"/>
        <v>0.28303274012247664</v>
      </c>
      <c r="I46" s="4">
        <f t="shared" si="6"/>
        <v>0</v>
      </c>
      <c r="J46" s="4">
        <f t="shared" si="7"/>
        <v>0</v>
      </c>
      <c r="K46" s="4" t="str">
        <f t="shared" si="8"/>
        <v>C15</v>
      </c>
    </row>
    <row r="47" spans="2:11" hidden="1" x14ac:dyDescent="0.2">
      <c r="B47" s="4">
        <v>6016</v>
      </c>
      <c r="C47" s="4">
        <v>0</v>
      </c>
      <c r="D47">
        <v>0</v>
      </c>
      <c r="E47" t="str">
        <f>VLOOKUP(B47,Nuclides!A:F,5,FALSE)</f>
        <v>C16</v>
      </c>
      <c r="F47">
        <f>VLOOKUP(B47,Nuclides!A:F,4,FALSE)</f>
        <v>0.747</v>
      </c>
      <c r="G47" s="4" t="str">
        <f t="shared" si="4"/>
        <v>0.747s</v>
      </c>
      <c r="H47" s="4">
        <f t="shared" si="5"/>
        <v>0.92790787223553584</v>
      </c>
      <c r="I47" s="4">
        <f t="shared" si="6"/>
        <v>0</v>
      </c>
      <c r="J47" s="4">
        <f t="shared" si="7"/>
        <v>0</v>
      </c>
      <c r="K47" s="4" t="str">
        <f t="shared" si="8"/>
        <v>C16</v>
      </c>
    </row>
    <row r="48" spans="2:11" hidden="1" x14ac:dyDescent="0.2">
      <c r="B48" s="4">
        <v>6017</v>
      </c>
      <c r="C48" s="4">
        <v>0</v>
      </c>
      <c r="D48">
        <v>0</v>
      </c>
      <c r="E48" t="str">
        <f>VLOOKUP(B48,Nuclides!A:F,5,FALSE)</f>
        <v>C17</v>
      </c>
      <c r="F48">
        <f>VLOOKUP(B48,Nuclides!A:F,4,FALSE)</f>
        <v>0.191</v>
      </c>
      <c r="G48" s="4" t="str">
        <f t="shared" si="4"/>
        <v>0.191s</v>
      </c>
      <c r="H48" s="4">
        <f t="shared" si="5"/>
        <v>3.6290428301567816</v>
      </c>
      <c r="I48" s="4">
        <f t="shared" si="6"/>
        <v>0</v>
      </c>
      <c r="J48" s="4">
        <f t="shared" si="7"/>
        <v>0</v>
      </c>
      <c r="K48" s="4" t="str">
        <f t="shared" si="8"/>
        <v>C17</v>
      </c>
    </row>
    <row r="49" spans="2:11" hidden="1" x14ac:dyDescent="0.2">
      <c r="B49" s="4">
        <v>6018</v>
      </c>
      <c r="C49" s="4">
        <v>0</v>
      </c>
      <c r="D49">
        <v>0</v>
      </c>
      <c r="E49" t="str">
        <f>VLOOKUP(B49,Nuclides!A:F,5,FALSE)</f>
        <v>C18</v>
      </c>
      <c r="F49">
        <f>VLOOKUP(B49,Nuclides!A:F,4,FALSE)</f>
        <v>9.1999999999999998E-2</v>
      </c>
      <c r="G49" s="4" t="str">
        <f t="shared" si="4"/>
        <v>0.092s</v>
      </c>
      <c r="H49" s="4">
        <f t="shared" si="5"/>
        <v>7.5342084843472312</v>
      </c>
      <c r="I49" s="4">
        <f t="shared" si="6"/>
        <v>0</v>
      </c>
      <c r="J49" s="4">
        <f t="shared" si="7"/>
        <v>0</v>
      </c>
      <c r="K49" s="4" t="str">
        <f t="shared" si="8"/>
        <v>C18</v>
      </c>
    </row>
    <row r="50" spans="2:11" hidden="1" x14ac:dyDescent="0.2">
      <c r="B50" s="4">
        <v>6019</v>
      </c>
      <c r="C50" s="4">
        <v>0</v>
      </c>
      <c r="D50">
        <v>0</v>
      </c>
      <c r="E50" t="str">
        <f>VLOOKUP(B50,Nuclides!A:F,5,FALSE)</f>
        <v>C19</v>
      </c>
      <c r="F50">
        <f>VLOOKUP(B50,Nuclides!A:F,4,FALSE)</f>
        <v>4.6199999999999998E-2</v>
      </c>
      <c r="G50" s="4" t="str">
        <f t="shared" si="4"/>
        <v>0.0462s</v>
      </c>
      <c r="H50" s="4">
        <f t="shared" si="5"/>
        <v>15.003185726405743</v>
      </c>
      <c r="I50" s="4">
        <f t="shared" si="6"/>
        <v>0</v>
      </c>
      <c r="J50" s="4">
        <f t="shared" si="7"/>
        <v>0</v>
      </c>
      <c r="K50" s="4" t="str">
        <f t="shared" si="8"/>
        <v>C19</v>
      </c>
    </row>
    <row r="51" spans="2:11" hidden="1" x14ac:dyDescent="0.2">
      <c r="B51" s="4">
        <v>6020</v>
      </c>
      <c r="C51" s="4">
        <v>0</v>
      </c>
      <c r="D51">
        <v>0</v>
      </c>
      <c r="E51" t="str">
        <f>VLOOKUP(B51,Nuclides!A:F,5,FALSE)</f>
        <v>C20</v>
      </c>
      <c r="F51">
        <f>VLOOKUP(B51,Nuclides!A:F,4,FALSE)</f>
        <v>1.6199999999999999E-2</v>
      </c>
      <c r="G51" s="4" t="str">
        <f t="shared" si="4"/>
        <v>0.0162s</v>
      </c>
      <c r="H51" s="4">
        <f t="shared" si="5"/>
        <v>42.786862997527486</v>
      </c>
      <c r="I51" s="4">
        <f t="shared" si="6"/>
        <v>0</v>
      </c>
      <c r="J51" s="4">
        <f t="shared" si="7"/>
        <v>0</v>
      </c>
      <c r="K51" s="4" t="str">
        <f t="shared" si="8"/>
        <v>C20</v>
      </c>
    </row>
    <row r="52" spans="2:11" hidden="1" x14ac:dyDescent="0.2">
      <c r="B52" s="4">
        <v>7011</v>
      </c>
      <c r="C52" s="4">
        <v>0</v>
      </c>
      <c r="D52">
        <v>0</v>
      </c>
      <c r="E52" t="str">
        <f>VLOOKUP(B52,Nuclides!A:F,5,FALSE)</f>
        <v>N11</v>
      </c>
      <c r="F52">
        <f>VLOOKUP(B52,Nuclides!A:F,4,FALSE)</f>
        <v>5.4903614457831297E-22</v>
      </c>
      <c r="G52" s="4" t="str">
        <f t="shared" si="4"/>
        <v>5.49036144578313E-22s</v>
      </c>
      <c r="H52" s="4">
        <f t="shared" si="5"/>
        <v>1.2624800523694425E+21</v>
      </c>
      <c r="I52" s="4">
        <f t="shared" si="6"/>
        <v>0</v>
      </c>
      <c r="J52" s="4">
        <f t="shared" si="7"/>
        <v>0</v>
      </c>
      <c r="K52" s="4" t="str">
        <f t="shared" si="8"/>
        <v>N11</v>
      </c>
    </row>
    <row r="53" spans="2:11" hidden="1" x14ac:dyDescent="0.2">
      <c r="B53" s="4">
        <v>7012</v>
      </c>
      <c r="C53" s="4">
        <v>0</v>
      </c>
      <c r="D53">
        <v>0</v>
      </c>
      <c r="E53" t="str">
        <f>VLOOKUP(B53,Nuclides!A:F,5,FALSE)</f>
        <v>N12</v>
      </c>
      <c r="F53">
        <f>VLOOKUP(B53,Nuclides!A:F,4,FALSE)</f>
        <v>1.0999999999999999E-2</v>
      </c>
      <c r="G53" s="4" t="str">
        <f t="shared" si="4"/>
        <v>0.011s</v>
      </c>
      <c r="H53" s="4">
        <f t="shared" si="5"/>
        <v>63.013380050904118</v>
      </c>
      <c r="I53" s="4">
        <f t="shared" si="6"/>
        <v>0</v>
      </c>
      <c r="J53" s="4">
        <f t="shared" si="7"/>
        <v>0</v>
      </c>
      <c r="K53" s="4" t="str">
        <f t="shared" si="8"/>
        <v>N12</v>
      </c>
    </row>
    <row r="54" spans="2:11" hidden="1" x14ac:dyDescent="0.2">
      <c r="B54" s="4">
        <v>7013</v>
      </c>
      <c r="C54" s="4">
        <v>0</v>
      </c>
      <c r="D54">
        <v>0</v>
      </c>
      <c r="E54" t="str">
        <f>VLOOKUP(B54,Nuclides!A:F,5,FALSE)</f>
        <v>N13</v>
      </c>
      <c r="F54">
        <f>VLOOKUP(B54,Nuclides!A:F,4,FALSE)</f>
        <v>597.9</v>
      </c>
      <c r="G54" s="4" t="str">
        <f t="shared" si="4"/>
        <v>9.97min</v>
      </c>
      <c r="H54" s="4">
        <f t="shared" si="5"/>
        <v>1.1593028609465552E-3</v>
      </c>
      <c r="I54" s="4">
        <f t="shared" si="6"/>
        <v>0</v>
      </c>
      <c r="J54" s="4">
        <f t="shared" si="7"/>
        <v>0</v>
      </c>
      <c r="K54" s="4" t="str">
        <f t="shared" si="8"/>
        <v>N13</v>
      </c>
    </row>
    <row r="55" spans="2:11" hidden="1" x14ac:dyDescent="0.2">
      <c r="B55" s="4">
        <v>7014</v>
      </c>
      <c r="C55" s="4">
        <v>0</v>
      </c>
      <c r="D55">
        <v>0</v>
      </c>
      <c r="E55" t="str">
        <f>VLOOKUP(B55,Nuclides!A:F,5,FALSE)</f>
        <v>N14</v>
      </c>
      <c r="F55" t="str">
        <f>VLOOKUP(B55,Nuclides!A:F,4,FALSE)</f>
        <v>STABLE</v>
      </c>
      <c r="G55" s="4" t="str">
        <f t="shared" si="4"/>
        <v>STABLE</v>
      </c>
      <c r="H55" s="4" t="e">
        <f t="shared" si="5"/>
        <v>#VALUE!</v>
      </c>
      <c r="I55" s="4" t="e">
        <f t="shared" si="6"/>
        <v>#VALUE!</v>
      </c>
      <c r="J55" s="4" t="e">
        <f t="shared" si="7"/>
        <v>#VALUE!</v>
      </c>
      <c r="K55" s="4" t="str">
        <f t="shared" si="8"/>
        <v>N14</v>
      </c>
    </row>
    <row r="56" spans="2:11" hidden="1" x14ac:dyDescent="0.2">
      <c r="B56" s="4">
        <v>7015</v>
      </c>
      <c r="C56" s="4">
        <v>0</v>
      </c>
      <c r="D56">
        <v>0</v>
      </c>
      <c r="E56" t="str">
        <f>VLOOKUP(B56,Nuclides!A:F,5,FALSE)</f>
        <v>N15</v>
      </c>
      <c r="F56" t="str">
        <f>VLOOKUP(B56,Nuclides!A:F,4,FALSE)</f>
        <v>STABLE</v>
      </c>
      <c r="G56" s="4" t="str">
        <f t="shared" si="4"/>
        <v>STABLE</v>
      </c>
      <c r="H56" s="4" t="e">
        <f t="shared" si="5"/>
        <v>#VALUE!</v>
      </c>
      <c r="I56" s="4" t="e">
        <f t="shared" si="6"/>
        <v>#VALUE!</v>
      </c>
      <c r="J56" s="4" t="e">
        <f t="shared" si="7"/>
        <v>#VALUE!</v>
      </c>
      <c r="K56" s="4" t="str">
        <f t="shared" si="8"/>
        <v>N15</v>
      </c>
    </row>
    <row r="57" spans="2:11" hidden="1" x14ac:dyDescent="0.2">
      <c r="B57" s="4">
        <v>7016</v>
      </c>
      <c r="C57" s="4">
        <v>0</v>
      </c>
      <c r="D57">
        <v>0</v>
      </c>
      <c r="E57" t="str">
        <f>VLOOKUP(B57,Nuclides!A:F,5,FALSE)</f>
        <v>N16</v>
      </c>
      <c r="F57">
        <f>VLOOKUP(B57,Nuclides!A:F,4,FALSE)</f>
        <v>7.13</v>
      </c>
      <c r="G57" s="4" t="str">
        <f t="shared" si="4"/>
        <v>7.13s</v>
      </c>
      <c r="H57" s="4">
        <f t="shared" si="5"/>
        <v>9.7215593346415885E-2</v>
      </c>
      <c r="I57" s="4">
        <f t="shared" si="6"/>
        <v>0</v>
      </c>
      <c r="J57" s="4">
        <f t="shared" si="7"/>
        <v>0</v>
      </c>
      <c r="K57" s="4" t="str">
        <f t="shared" si="8"/>
        <v>N16</v>
      </c>
    </row>
    <row r="58" spans="2:11" hidden="1" x14ac:dyDescent="0.2">
      <c r="B58" s="4">
        <v>7017</v>
      </c>
      <c r="C58" s="4">
        <v>0</v>
      </c>
      <c r="D58">
        <v>0</v>
      </c>
      <c r="E58" t="str">
        <f>VLOOKUP(B58,Nuclides!A:F,5,FALSE)</f>
        <v>N17</v>
      </c>
      <c r="F58">
        <f>VLOOKUP(B58,Nuclides!A:F,4,FALSE)</f>
        <v>4.1710000000000003</v>
      </c>
      <c r="G58" s="4" t="str">
        <f t="shared" si="4"/>
        <v>4.171s</v>
      </c>
      <c r="H58" s="4">
        <f t="shared" si="5"/>
        <v>0.16618249354110412</v>
      </c>
      <c r="I58" s="4">
        <f t="shared" si="6"/>
        <v>0</v>
      </c>
      <c r="J58" s="4">
        <f t="shared" si="7"/>
        <v>0</v>
      </c>
      <c r="K58" s="4" t="str">
        <f t="shared" si="8"/>
        <v>N17</v>
      </c>
    </row>
    <row r="59" spans="2:11" hidden="1" x14ac:dyDescent="0.2">
      <c r="B59" s="4">
        <v>7018</v>
      </c>
      <c r="C59" s="4">
        <v>0</v>
      </c>
      <c r="D59">
        <v>0</v>
      </c>
      <c r="E59" t="str">
        <f>VLOOKUP(B59,Nuclides!A:F,5,FALSE)</f>
        <v>N18</v>
      </c>
      <c r="F59">
        <f>VLOOKUP(B59,Nuclides!A:F,4,FALSE)</f>
        <v>0.61899999999999999</v>
      </c>
      <c r="G59" s="4" t="str">
        <f t="shared" si="4"/>
        <v>0.619s</v>
      </c>
      <c r="H59" s="4">
        <f t="shared" si="5"/>
        <v>1.1197854290144511</v>
      </c>
      <c r="I59" s="4">
        <f t="shared" si="6"/>
        <v>0</v>
      </c>
      <c r="J59" s="4">
        <f t="shared" si="7"/>
        <v>0</v>
      </c>
      <c r="K59" s="4" t="str">
        <f t="shared" si="8"/>
        <v>N18</v>
      </c>
    </row>
    <row r="60" spans="2:11" hidden="1" x14ac:dyDescent="0.2">
      <c r="B60" s="4">
        <v>7019</v>
      </c>
      <c r="C60" s="4">
        <v>0</v>
      </c>
      <c r="D60">
        <v>0</v>
      </c>
      <c r="E60" t="str">
        <f>VLOOKUP(B60,Nuclides!A:F,5,FALSE)</f>
        <v>N19</v>
      </c>
      <c r="F60">
        <f>VLOOKUP(B60,Nuclides!A:F,4,FALSE)</f>
        <v>0.33600000000000002</v>
      </c>
      <c r="G60" s="4" t="str">
        <f t="shared" si="4"/>
        <v>0.336s</v>
      </c>
      <c r="H60" s="4">
        <f t="shared" si="5"/>
        <v>2.0629380373807895</v>
      </c>
      <c r="I60" s="4">
        <f t="shared" si="6"/>
        <v>0</v>
      </c>
      <c r="J60" s="4">
        <f t="shared" si="7"/>
        <v>0</v>
      </c>
      <c r="K60" s="4" t="str">
        <f t="shared" si="8"/>
        <v>N19</v>
      </c>
    </row>
    <row r="61" spans="2:11" hidden="1" x14ac:dyDescent="0.2">
      <c r="B61" s="4">
        <v>7020</v>
      </c>
      <c r="C61" s="4">
        <v>0</v>
      </c>
      <c r="D61">
        <v>0</v>
      </c>
      <c r="E61" t="str">
        <f>VLOOKUP(B61,Nuclides!A:F,5,FALSE)</f>
        <v>N20</v>
      </c>
      <c r="F61">
        <f>VLOOKUP(B61,Nuclides!A:F,4,FALSE)</f>
        <v>0.13600000000000001</v>
      </c>
      <c r="G61" s="4" t="str">
        <f t="shared" si="4"/>
        <v>0.136s</v>
      </c>
      <c r="H61" s="4">
        <f t="shared" si="5"/>
        <v>5.0966704452937153</v>
      </c>
      <c r="I61" s="4">
        <f t="shared" si="6"/>
        <v>0</v>
      </c>
      <c r="J61" s="4">
        <f t="shared" si="7"/>
        <v>0</v>
      </c>
      <c r="K61" s="4" t="str">
        <f t="shared" si="8"/>
        <v>N20</v>
      </c>
    </row>
    <row r="62" spans="2:11" hidden="1" x14ac:dyDescent="0.2">
      <c r="B62" s="4">
        <v>7021</v>
      </c>
      <c r="C62" s="4">
        <v>0</v>
      </c>
      <c r="D62">
        <v>0</v>
      </c>
      <c r="E62" t="str">
        <f>VLOOKUP(B62,Nuclides!A:F,5,FALSE)</f>
        <v>N21</v>
      </c>
      <c r="F62">
        <f>VLOOKUP(B62,Nuclides!A:F,4,FALSE)</f>
        <v>8.48E-2</v>
      </c>
      <c r="G62" s="4" t="str">
        <f t="shared" si="4"/>
        <v>0.0848s</v>
      </c>
      <c r="H62" s="4">
        <f t="shared" si="5"/>
        <v>8.1739054311314305</v>
      </c>
      <c r="I62" s="4">
        <f t="shared" si="6"/>
        <v>0</v>
      </c>
      <c r="J62" s="4">
        <f t="shared" si="7"/>
        <v>0</v>
      </c>
      <c r="K62" s="4" t="str">
        <f t="shared" si="8"/>
        <v>N21</v>
      </c>
    </row>
    <row r="63" spans="2:11" hidden="1" x14ac:dyDescent="0.2">
      <c r="B63" s="4">
        <v>7022</v>
      </c>
      <c r="C63" s="4">
        <v>0</v>
      </c>
      <c r="D63">
        <v>0</v>
      </c>
      <c r="E63" t="str">
        <f>VLOOKUP(B63,Nuclides!A:F,5,FALSE)</f>
        <v>N22</v>
      </c>
      <c r="F63">
        <f>VLOOKUP(B63,Nuclides!A:F,4,FALSE)</f>
        <v>1.95E-2</v>
      </c>
      <c r="G63" s="4" t="str">
        <f t="shared" si="4"/>
        <v>0.0195s</v>
      </c>
      <c r="H63" s="4">
        <f t="shared" si="5"/>
        <v>35.546009259484372</v>
      </c>
      <c r="I63" s="4">
        <f t="shared" si="6"/>
        <v>0</v>
      </c>
      <c r="J63" s="4">
        <f t="shared" si="7"/>
        <v>0</v>
      </c>
      <c r="K63" s="4" t="str">
        <f t="shared" si="8"/>
        <v>N22</v>
      </c>
    </row>
    <row r="64" spans="2:11" hidden="1" x14ac:dyDescent="0.2">
      <c r="B64" s="4">
        <v>7023</v>
      </c>
      <c r="C64" s="4">
        <v>0</v>
      </c>
      <c r="D64">
        <v>0</v>
      </c>
      <c r="E64" t="str">
        <f>VLOOKUP(B64,Nuclides!A:F,5,FALSE)</f>
        <v>N23</v>
      </c>
      <c r="F64">
        <f>VLOOKUP(B64,Nuclides!A:F,4,FALSE)</f>
        <v>1.41E-2</v>
      </c>
      <c r="G64" s="4" t="str">
        <f t="shared" si="4"/>
        <v>0.0141s</v>
      </c>
      <c r="H64" s="4">
        <f t="shared" si="5"/>
        <v>49.159374507797537</v>
      </c>
      <c r="I64" s="4">
        <f t="shared" si="6"/>
        <v>0</v>
      </c>
      <c r="J64" s="4">
        <f t="shared" si="7"/>
        <v>0</v>
      </c>
      <c r="K64" s="4" t="str">
        <f t="shared" si="8"/>
        <v>N23</v>
      </c>
    </row>
    <row r="65" spans="2:11" hidden="1" x14ac:dyDescent="0.2">
      <c r="B65" s="4">
        <v>8013</v>
      </c>
      <c r="C65" s="4">
        <v>0</v>
      </c>
      <c r="D65">
        <v>0</v>
      </c>
      <c r="E65" t="str">
        <f>VLOOKUP(B65,Nuclides!A:F,5,FALSE)</f>
        <v>O13</v>
      </c>
      <c r="F65">
        <f>VLOOKUP(B65,Nuclides!A:F,4,FALSE)</f>
        <v>8.5800000000000008E-3</v>
      </c>
      <c r="G65" s="4" t="str">
        <f t="shared" si="4"/>
        <v>0.00858s</v>
      </c>
      <c r="H65" s="4">
        <f t="shared" si="5"/>
        <v>80.786384680646293</v>
      </c>
      <c r="I65" s="4">
        <f t="shared" si="6"/>
        <v>0</v>
      </c>
      <c r="J65" s="4">
        <f t="shared" si="7"/>
        <v>0</v>
      </c>
      <c r="K65" s="4" t="str">
        <f t="shared" si="8"/>
        <v>O13</v>
      </c>
    </row>
    <row r="66" spans="2:11" hidden="1" x14ac:dyDescent="0.2">
      <c r="B66" s="4">
        <v>8014</v>
      </c>
      <c r="C66" s="4">
        <v>0</v>
      </c>
      <c r="D66">
        <v>0</v>
      </c>
      <c r="E66" t="str">
        <f>VLOOKUP(B66,Nuclides!A:F,5,FALSE)</f>
        <v>O14</v>
      </c>
      <c r="F66">
        <f>VLOOKUP(B66,Nuclides!A:F,4,FALSE)</f>
        <v>70.62</v>
      </c>
      <c r="G66" s="4" t="str">
        <f t="shared" si="4"/>
        <v>1.18min</v>
      </c>
      <c r="H66" s="4">
        <f t="shared" si="5"/>
        <v>9.8151682322280553E-3</v>
      </c>
      <c r="I66" s="4">
        <f t="shared" si="6"/>
        <v>0</v>
      </c>
      <c r="J66" s="4">
        <f t="shared" si="7"/>
        <v>0</v>
      </c>
      <c r="K66" s="4" t="str">
        <f t="shared" si="8"/>
        <v>O14</v>
      </c>
    </row>
    <row r="67" spans="2:11" hidden="1" x14ac:dyDescent="0.2">
      <c r="B67" s="4">
        <v>8015</v>
      </c>
      <c r="C67" s="4">
        <v>0</v>
      </c>
      <c r="D67">
        <v>0</v>
      </c>
      <c r="E67" t="str">
        <f>VLOOKUP(B67,Nuclides!A:F,5,FALSE)</f>
        <v>O15</v>
      </c>
      <c r="F67">
        <f>VLOOKUP(B67,Nuclides!A:F,4,FALSE)</f>
        <v>122.24</v>
      </c>
      <c r="G67" s="4" t="str">
        <f t="shared" si="4"/>
        <v>2.04min</v>
      </c>
      <c r="H67" s="4">
        <f t="shared" si="5"/>
        <v>5.6703794221199715E-3</v>
      </c>
      <c r="I67" s="4">
        <f t="shared" si="6"/>
        <v>0</v>
      </c>
      <c r="J67" s="4">
        <f t="shared" si="7"/>
        <v>0</v>
      </c>
      <c r="K67" s="4" t="str">
        <f t="shared" si="8"/>
        <v>O15</v>
      </c>
    </row>
    <row r="68" spans="2:11" hidden="1" x14ac:dyDescent="0.2">
      <c r="B68" s="4">
        <v>8016</v>
      </c>
      <c r="C68" s="4">
        <v>0</v>
      </c>
      <c r="D68">
        <v>0</v>
      </c>
      <c r="E68" t="str">
        <f>VLOOKUP(B68,Nuclides!A:F,5,FALSE)</f>
        <v>O16</v>
      </c>
      <c r="F68" t="str">
        <f>VLOOKUP(B68,Nuclides!A:F,4,FALSE)</f>
        <v>STABLE</v>
      </c>
      <c r="G68" s="4" t="str">
        <f t="shared" si="4"/>
        <v>STABLE</v>
      </c>
      <c r="H68" s="4" t="e">
        <f t="shared" si="5"/>
        <v>#VALUE!</v>
      </c>
      <c r="I68" s="4" t="e">
        <f t="shared" si="6"/>
        <v>#VALUE!</v>
      </c>
      <c r="J68" s="4" t="e">
        <f t="shared" si="7"/>
        <v>#VALUE!</v>
      </c>
      <c r="K68" s="4" t="str">
        <f t="shared" si="8"/>
        <v>O16</v>
      </c>
    </row>
    <row r="69" spans="2:11" hidden="1" x14ac:dyDescent="0.2">
      <c r="B69" s="4">
        <v>8017</v>
      </c>
      <c r="C69" s="4">
        <v>0</v>
      </c>
      <c r="D69">
        <v>0</v>
      </c>
      <c r="E69" t="str">
        <f>VLOOKUP(B69,Nuclides!A:F,5,FALSE)</f>
        <v>O17</v>
      </c>
      <c r="F69" t="str">
        <f>VLOOKUP(B69,Nuclides!A:F,4,FALSE)</f>
        <v>STABLE</v>
      </c>
      <c r="G69" s="4" t="str">
        <f t="shared" ref="G69:G132" si="9">IF(F69="STABLE", "STABLE", IF(F69&lt;60, F69&amp;"s", IF(F69&lt;3600, ROUND(F69/60,2)&amp;"min", IF(F69&lt;86400, ROUND(F69/3600,2)&amp;"h", IF(F69&lt;31536000, ROUND(F69/86400,2)&amp;"d", ROUND(F69/31536000,2)&amp;"y")))))</f>
        <v>STABLE</v>
      </c>
      <c r="H69" s="4" t="e">
        <f t="shared" ref="H69:H132" si="10">LN(2)/F69</f>
        <v>#VALUE!</v>
      </c>
      <c r="I69" s="4" t="e">
        <f t="shared" ref="I69:I132" si="11">60*6240000000000*C69*(1-EXP(-H69*2*3600))</f>
        <v>#VALUE!</v>
      </c>
      <c r="J69" s="4" t="e">
        <f t="shared" ref="J69:J132" si="12">I69*EXP(-H69*48*3600)</f>
        <v>#VALUE!</v>
      </c>
      <c r="K69" s="4" t="str">
        <f t="shared" ref="K69:K132" si="13">E69</f>
        <v>O17</v>
      </c>
    </row>
    <row r="70" spans="2:11" hidden="1" x14ac:dyDescent="0.2">
      <c r="B70" s="4">
        <v>8018</v>
      </c>
      <c r="C70" s="4">
        <v>0</v>
      </c>
      <c r="D70">
        <v>0</v>
      </c>
      <c r="E70" t="str">
        <f>VLOOKUP(B70,Nuclides!A:F,5,FALSE)</f>
        <v>O18</v>
      </c>
      <c r="F70" t="str">
        <f>VLOOKUP(B70,Nuclides!A:F,4,FALSE)</f>
        <v>STABLE</v>
      </c>
      <c r="G70" s="4" t="str">
        <f t="shared" si="9"/>
        <v>STABLE</v>
      </c>
      <c r="H70" s="4" t="e">
        <f t="shared" si="10"/>
        <v>#VALUE!</v>
      </c>
      <c r="I70" s="4" t="e">
        <f t="shared" si="11"/>
        <v>#VALUE!</v>
      </c>
      <c r="J70" s="4" t="e">
        <f t="shared" si="12"/>
        <v>#VALUE!</v>
      </c>
      <c r="K70" s="4" t="str">
        <f t="shared" si="13"/>
        <v>O18</v>
      </c>
    </row>
    <row r="71" spans="2:11" hidden="1" x14ac:dyDescent="0.2">
      <c r="B71" s="4">
        <v>8019</v>
      </c>
      <c r="C71" s="4">
        <v>0</v>
      </c>
      <c r="D71">
        <v>0</v>
      </c>
      <c r="E71" t="str">
        <f>VLOOKUP(B71,Nuclides!A:F,5,FALSE)</f>
        <v>O19</v>
      </c>
      <c r="F71">
        <f>VLOOKUP(B71,Nuclides!A:F,4,FALSE)</f>
        <v>26.88</v>
      </c>
      <c r="G71" s="4" t="str">
        <f t="shared" si="9"/>
        <v>26.88s</v>
      </c>
      <c r="H71" s="4">
        <f t="shared" si="10"/>
        <v>2.578672546725987E-2</v>
      </c>
      <c r="I71" s="4">
        <f t="shared" si="11"/>
        <v>0</v>
      </c>
      <c r="J71" s="4">
        <f t="shared" si="12"/>
        <v>0</v>
      </c>
      <c r="K71" s="4" t="str">
        <f t="shared" si="13"/>
        <v>O19</v>
      </c>
    </row>
    <row r="72" spans="2:11" hidden="1" x14ac:dyDescent="0.2">
      <c r="B72" s="4">
        <v>8020</v>
      </c>
      <c r="C72" s="4">
        <v>0</v>
      </c>
      <c r="D72">
        <v>0</v>
      </c>
      <c r="E72" t="str">
        <f>VLOOKUP(B72,Nuclides!A:F,5,FALSE)</f>
        <v>O20</v>
      </c>
      <c r="F72">
        <f>VLOOKUP(B72,Nuclides!A:F,4,FALSE)</f>
        <v>13.51</v>
      </c>
      <c r="G72" s="4" t="str">
        <f t="shared" si="9"/>
        <v>13.51s</v>
      </c>
      <c r="H72" s="4">
        <f t="shared" si="10"/>
        <v>5.130623098149114E-2</v>
      </c>
      <c r="I72" s="4">
        <f t="shared" si="11"/>
        <v>0</v>
      </c>
      <c r="J72" s="4">
        <f t="shared" si="12"/>
        <v>0</v>
      </c>
      <c r="K72" s="4" t="str">
        <f t="shared" si="13"/>
        <v>O20</v>
      </c>
    </row>
    <row r="73" spans="2:11" hidden="1" x14ac:dyDescent="0.2">
      <c r="B73" s="4">
        <v>8021</v>
      </c>
      <c r="C73" s="4">
        <v>0</v>
      </c>
      <c r="D73">
        <v>0</v>
      </c>
      <c r="E73" t="str">
        <f>VLOOKUP(B73,Nuclides!A:F,5,FALSE)</f>
        <v>O21</v>
      </c>
      <c r="F73">
        <f>VLOOKUP(B73,Nuclides!A:F,4,FALSE)</f>
        <v>3.42</v>
      </c>
      <c r="G73" s="4" t="str">
        <f t="shared" si="9"/>
        <v>3.42s</v>
      </c>
      <c r="H73" s="4">
        <f t="shared" si="10"/>
        <v>0.20267461419881441</v>
      </c>
      <c r="I73" s="4">
        <f t="shared" si="11"/>
        <v>0</v>
      </c>
      <c r="J73" s="4">
        <f t="shared" si="12"/>
        <v>0</v>
      </c>
      <c r="K73" s="4" t="str">
        <f t="shared" si="13"/>
        <v>O21</v>
      </c>
    </row>
    <row r="74" spans="2:11" hidden="1" x14ac:dyDescent="0.2">
      <c r="B74" s="4">
        <v>8022</v>
      </c>
      <c r="C74" s="4">
        <v>0</v>
      </c>
      <c r="D74">
        <v>0</v>
      </c>
      <c r="E74" t="str">
        <f>VLOOKUP(B74,Nuclides!A:F,5,FALSE)</f>
        <v>O22</v>
      </c>
      <c r="F74">
        <f>VLOOKUP(B74,Nuclides!A:F,4,FALSE)</f>
        <v>2.25</v>
      </c>
      <c r="G74" s="4" t="str">
        <f t="shared" si="9"/>
        <v>2.25s</v>
      </c>
      <c r="H74" s="4">
        <f t="shared" si="10"/>
        <v>0.30806541358219791</v>
      </c>
      <c r="I74" s="4">
        <f t="shared" si="11"/>
        <v>0</v>
      </c>
      <c r="J74" s="4">
        <f t="shared" si="12"/>
        <v>0</v>
      </c>
      <c r="K74" s="4" t="str">
        <f t="shared" si="13"/>
        <v>O22</v>
      </c>
    </row>
    <row r="75" spans="2:11" hidden="1" x14ac:dyDescent="0.2">
      <c r="B75" s="4">
        <v>8023</v>
      </c>
      <c r="C75" s="4">
        <v>0</v>
      </c>
      <c r="D75">
        <v>0</v>
      </c>
      <c r="E75" t="str">
        <f>VLOOKUP(B75,Nuclides!A:F,5,FALSE)</f>
        <v>O23</v>
      </c>
      <c r="F75">
        <f>VLOOKUP(B75,Nuclides!A:F,4,FALSE)</f>
        <v>9.7000000000000003E-2</v>
      </c>
      <c r="G75" s="4" t="str">
        <f t="shared" si="9"/>
        <v>0.097s</v>
      </c>
      <c r="H75" s="4">
        <f t="shared" si="10"/>
        <v>7.1458472222674772</v>
      </c>
      <c r="I75" s="4">
        <f t="shared" si="11"/>
        <v>0</v>
      </c>
      <c r="J75" s="4">
        <f t="shared" si="12"/>
        <v>0</v>
      </c>
      <c r="K75" s="4" t="str">
        <f t="shared" si="13"/>
        <v>O23</v>
      </c>
    </row>
    <row r="76" spans="2:11" hidden="1" x14ac:dyDescent="0.2">
      <c r="B76" s="4">
        <v>8024</v>
      </c>
      <c r="C76" s="4">
        <v>0</v>
      </c>
      <c r="D76">
        <v>0</v>
      </c>
      <c r="E76" t="str">
        <f>VLOOKUP(B76,Nuclides!A:F,5,FALSE)</f>
        <v>O24</v>
      </c>
      <c r="F76">
        <f>VLOOKUP(B76,Nuclides!A:F,4,FALSE)</f>
        <v>7.1999999999999995E-2</v>
      </c>
      <c r="G76" s="4" t="str">
        <f t="shared" si="9"/>
        <v>0.072s</v>
      </c>
      <c r="H76" s="4">
        <f t="shared" si="10"/>
        <v>9.6270441744436859</v>
      </c>
      <c r="I76" s="4">
        <f t="shared" si="11"/>
        <v>0</v>
      </c>
      <c r="J76" s="4">
        <f t="shared" si="12"/>
        <v>0</v>
      </c>
      <c r="K76" s="4" t="str">
        <f t="shared" si="13"/>
        <v>O24</v>
      </c>
    </row>
    <row r="77" spans="2:11" hidden="1" x14ac:dyDescent="0.2">
      <c r="B77" s="4">
        <v>9015</v>
      </c>
      <c r="C77" s="4">
        <v>0</v>
      </c>
      <c r="D77">
        <v>0</v>
      </c>
      <c r="E77" t="str">
        <f>VLOOKUP(B77,Nuclides!A:F,5,FALSE)</f>
        <v>F15</v>
      </c>
      <c r="F77">
        <f>VLOOKUP(B77,Nuclides!A:F,4,FALSE)</f>
        <v>6.9045454545454504E-22</v>
      </c>
      <c r="G77" s="4" t="str">
        <f t="shared" si="9"/>
        <v>6.90454545454545E-22s</v>
      </c>
      <c r="H77" s="4">
        <f t="shared" si="10"/>
        <v>1.0038998006793157E+21</v>
      </c>
      <c r="I77" s="4">
        <f t="shared" si="11"/>
        <v>0</v>
      </c>
      <c r="J77" s="4">
        <f t="shared" si="12"/>
        <v>0</v>
      </c>
      <c r="K77" s="4" t="str">
        <f t="shared" si="13"/>
        <v>F15</v>
      </c>
    </row>
    <row r="78" spans="2:11" hidden="1" x14ac:dyDescent="0.2">
      <c r="B78" s="4">
        <v>9016</v>
      </c>
      <c r="C78" s="4">
        <v>0</v>
      </c>
      <c r="D78">
        <v>0</v>
      </c>
      <c r="E78" t="str">
        <f>VLOOKUP(B78,Nuclides!A:F,5,FALSE)</f>
        <v>F16</v>
      </c>
      <c r="F78">
        <f>VLOOKUP(B78,Nuclides!A:F,4,FALSE)</f>
        <v>1.13925E-20</v>
      </c>
      <c r="G78" s="4" t="str">
        <f t="shared" si="9"/>
        <v>1.13925E-20s</v>
      </c>
      <c r="H78" s="4">
        <f t="shared" si="10"/>
        <v>6.0842412162382733E+19</v>
      </c>
      <c r="I78" s="4">
        <f t="shared" si="11"/>
        <v>0</v>
      </c>
      <c r="J78" s="4">
        <f t="shared" si="12"/>
        <v>0</v>
      </c>
      <c r="K78" s="4" t="str">
        <f t="shared" si="13"/>
        <v>F16</v>
      </c>
    </row>
    <row r="79" spans="2:11" hidden="1" x14ac:dyDescent="0.2">
      <c r="B79" s="4">
        <v>9017</v>
      </c>
      <c r="C79" s="4">
        <v>0</v>
      </c>
      <c r="D79">
        <v>0</v>
      </c>
      <c r="E79" t="str">
        <f>VLOOKUP(B79,Nuclides!A:F,5,FALSE)</f>
        <v>F17</v>
      </c>
      <c r="F79">
        <f>VLOOKUP(B79,Nuclides!A:F,4,FALSE)</f>
        <v>64.489999999999995</v>
      </c>
      <c r="G79" s="4" t="str">
        <f t="shared" si="9"/>
        <v>1.07min</v>
      </c>
      <c r="H79" s="4">
        <f t="shared" si="10"/>
        <v>1.0748134293067845E-2</v>
      </c>
      <c r="I79" s="4">
        <f t="shared" si="11"/>
        <v>0</v>
      </c>
      <c r="J79" s="4">
        <f t="shared" si="12"/>
        <v>0</v>
      </c>
      <c r="K79" s="4" t="str">
        <f t="shared" si="13"/>
        <v>F17</v>
      </c>
    </row>
    <row r="80" spans="2:11" hidden="1" x14ac:dyDescent="0.2">
      <c r="B80" s="4">
        <v>9018</v>
      </c>
      <c r="C80" s="4">
        <v>0</v>
      </c>
      <c r="D80">
        <v>0</v>
      </c>
      <c r="E80" t="str">
        <f>VLOOKUP(B80,Nuclides!A:F,5,FALSE)</f>
        <v>F18</v>
      </c>
      <c r="F80">
        <f>VLOOKUP(B80,Nuclides!A:F,4,FALSE)</f>
        <v>6586.2</v>
      </c>
      <c r="G80" s="4" t="str">
        <f t="shared" si="9"/>
        <v>1.83h</v>
      </c>
      <c r="H80" s="4">
        <f t="shared" si="10"/>
        <v>1.0524235227596267E-4</v>
      </c>
      <c r="I80" s="4">
        <f t="shared" si="11"/>
        <v>0</v>
      </c>
      <c r="J80" s="4">
        <f t="shared" si="12"/>
        <v>0</v>
      </c>
      <c r="K80" s="4" t="str">
        <f t="shared" si="13"/>
        <v>F18</v>
      </c>
    </row>
    <row r="81" spans="2:11" hidden="1" x14ac:dyDescent="0.2">
      <c r="B81" s="4">
        <v>9019</v>
      </c>
      <c r="C81" s="4">
        <v>0</v>
      </c>
      <c r="D81">
        <v>0</v>
      </c>
      <c r="E81" t="str">
        <f>VLOOKUP(B81,Nuclides!A:F,5,FALSE)</f>
        <v>F19</v>
      </c>
      <c r="F81" t="str">
        <f>VLOOKUP(B81,Nuclides!A:F,4,FALSE)</f>
        <v>STABLE</v>
      </c>
      <c r="G81" s="4" t="str">
        <f t="shared" si="9"/>
        <v>STABLE</v>
      </c>
      <c r="H81" s="4" t="e">
        <f t="shared" si="10"/>
        <v>#VALUE!</v>
      </c>
      <c r="I81" s="4" t="e">
        <f t="shared" si="11"/>
        <v>#VALUE!</v>
      </c>
      <c r="J81" s="4" t="e">
        <f t="shared" si="12"/>
        <v>#VALUE!</v>
      </c>
      <c r="K81" s="4" t="str">
        <f t="shared" si="13"/>
        <v>F19</v>
      </c>
    </row>
    <row r="82" spans="2:11" hidden="1" x14ac:dyDescent="0.2">
      <c r="B82" s="4">
        <v>9020</v>
      </c>
      <c r="C82" s="4">
        <v>0</v>
      </c>
      <c r="D82">
        <v>0</v>
      </c>
      <c r="E82" t="str">
        <f>VLOOKUP(B82,Nuclides!A:F,5,FALSE)</f>
        <v>F20</v>
      </c>
      <c r="F82">
        <f>VLOOKUP(B82,Nuclides!A:F,4,FALSE)</f>
        <v>11.07</v>
      </c>
      <c r="G82" s="4" t="str">
        <f t="shared" si="9"/>
        <v>11.07s</v>
      </c>
      <c r="H82" s="4">
        <f t="shared" si="10"/>
        <v>6.2614921459796316E-2</v>
      </c>
      <c r="I82" s="4">
        <f t="shared" si="11"/>
        <v>0</v>
      </c>
      <c r="J82" s="4">
        <f t="shared" si="12"/>
        <v>0</v>
      </c>
      <c r="K82" s="4" t="str">
        <f t="shared" si="13"/>
        <v>F20</v>
      </c>
    </row>
    <row r="83" spans="2:11" hidden="1" x14ac:dyDescent="0.2">
      <c r="B83" s="4">
        <v>9021</v>
      </c>
      <c r="C83" s="4">
        <v>0</v>
      </c>
      <c r="D83">
        <v>0</v>
      </c>
      <c r="E83" t="str">
        <f>VLOOKUP(B83,Nuclides!A:F,5,FALSE)</f>
        <v>F21</v>
      </c>
      <c r="F83">
        <f>VLOOKUP(B83,Nuclides!A:F,4,FALSE)</f>
        <v>4.1580000000000004</v>
      </c>
      <c r="G83" s="4" t="str">
        <f t="shared" si="9"/>
        <v>4.158s</v>
      </c>
      <c r="H83" s="4">
        <f t="shared" si="10"/>
        <v>0.16670206362673046</v>
      </c>
      <c r="I83" s="4">
        <f t="shared" si="11"/>
        <v>0</v>
      </c>
      <c r="J83" s="4">
        <f t="shared" si="12"/>
        <v>0</v>
      </c>
      <c r="K83" s="4" t="str">
        <f t="shared" si="13"/>
        <v>F21</v>
      </c>
    </row>
    <row r="84" spans="2:11" hidden="1" x14ac:dyDescent="0.2">
      <c r="B84" s="4">
        <v>9022</v>
      </c>
      <c r="C84" s="4">
        <v>0</v>
      </c>
      <c r="D84">
        <v>0</v>
      </c>
      <c r="E84" t="str">
        <f>VLOOKUP(B84,Nuclides!A:F,5,FALSE)</f>
        <v>F22</v>
      </c>
      <c r="F84">
        <f>VLOOKUP(B84,Nuclides!A:F,4,FALSE)</f>
        <v>4.2300000000000004</v>
      </c>
      <c r="G84" s="4" t="str">
        <f t="shared" si="9"/>
        <v>4.23s</v>
      </c>
      <c r="H84" s="4">
        <f t="shared" si="10"/>
        <v>0.16386458169265844</v>
      </c>
      <c r="I84" s="4">
        <f t="shared" si="11"/>
        <v>0</v>
      </c>
      <c r="J84" s="4">
        <f t="shared" si="12"/>
        <v>0</v>
      </c>
      <c r="K84" s="4" t="str">
        <f t="shared" si="13"/>
        <v>F22</v>
      </c>
    </row>
    <row r="85" spans="2:11" hidden="1" x14ac:dyDescent="0.2">
      <c r="B85" s="4">
        <v>9023</v>
      </c>
      <c r="C85" s="4">
        <v>0</v>
      </c>
      <c r="D85">
        <v>0</v>
      </c>
      <c r="E85" t="str">
        <f>VLOOKUP(B85,Nuclides!A:F,5,FALSE)</f>
        <v>F23</v>
      </c>
      <c r="F85">
        <f>VLOOKUP(B85,Nuclides!A:F,4,FALSE)</f>
        <v>2.23</v>
      </c>
      <c r="G85" s="4" t="str">
        <f t="shared" si="9"/>
        <v>2.23s</v>
      </c>
      <c r="H85" s="4">
        <f t="shared" si="10"/>
        <v>0.31082833208966154</v>
      </c>
      <c r="I85" s="4">
        <f t="shared" si="11"/>
        <v>0</v>
      </c>
      <c r="J85" s="4">
        <f t="shared" si="12"/>
        <v>0</v>
      </c>
      <c r="K85" s="4" t="str">
        <f t="shared" si="13"/>
        <v>F23</v>
      </c>
    </row>
    <row r="86" spans="2:11" hidden="1" x14ac:dyDescent="0.2">
      <c r="B86" s="4">
        <v>9024</v>
      </c>
      <c r="C86" s="4">
        <v>0</v>
      </c>
      <c r="D86">
        <v>0</v>
      </c>
      <c r="E86" t="str">
        <f>VLOOKUP(B86,Nuclides!A:F,5,FALSE)</f>
        <v>F24</v>
      </c>
      <c r="F86">
        <f>VLOOKUP(B86,Nuclides!A:F,4,FALSE)</f>
        <v>0.38200000000000001</v>
      </c>
      <c r="G86" s="4" t="str">
        <f t="shared" si="9"/>
        <v>0.382s</v>
      </c>
      <c r="H86" s="4">
        <f t="shared" si="10"/>
        <v>1.8145214150783908</v>
      </c>
      <c r="I86" s="4">
        <f t="shared" si="11"/>
        <v>0</v>
      </c>
      <c r="J86" s="4">
        <f t="shared" si="12"/>
        <v>0</v>
      </c>
      <c r="K86" s="4" t="str">
        <f t="shared" si="13"/>
        <v>F24</v>
      </c>
    </row>
    <row r="87" spans="2:11" hidden="1" x14ac:dyDescent="0.2">
      <c r="B87" s="4">
        <v>9025</v>
      </c>
      <c r="C87" s="4">
        <v>0</v>
      </c>
      <c r="D87">
        <v>0</v>
      </c>
      <c r="E87" t="str">
        <f>VLOOKUP(B87,Nuclides!A:F,5,FALSE)</f>
        <v>F25</v>
      </c>
      <c r="F87">
        <f>VLOOKUP(B87,Nuclides!A:F,4,FALSE)</f>
        <v>0.08</v>
      </c>
      <c r="G87" s="4" t="str">
        <f t="shared" si="9"/>
        <v>0.08s</v>
      </c>
      <c r="H87" s="4">
        <f t="shared" si="10"/>
        <v>8.6643397569993166</v>
      </c>
      <c r="I87" s="4">
        <f t="shared" si="11"/>
        <v>0</v>
      </c>
      <c r="J87" s="4">
        <f t="shared" si="12"/>
        <v>0</v>
      </c>
      <c r="K87" s="4" t="str">
        <f t="shared" si="13"/>
        <v>F25</v>
      </c>
    </row>
    <row r="88" spans="2:11" hidden="1" x14ac:dyDescent="0.2">
      <c r="B88" s="4">
        <v>9026</v>
      </c>
      <c r="C88" s="4">
        <v>0</v>
      </c>
      <c r="D88">
        <v>0</v>
      </c>
      <c r="E88" t="str">
        <f>VLOOKUP(B88,Nuclides!A:F,5,FALSE)</f>
        <v>F26</v>
      </c>
      <c r="F88">
        <f>VLOOKUP(B88,Nuclides!A:F,4,FALSE)</f>
        <v>8.1999999999999903E-3</v>
      </c>
      <c r="G88" s="4" t="str">
        <f t="shared" si="9"/>
        <v>0.00819999999999999s</v>
      </c>
      <c r="H88" s="4">
        <f t="shared" si="10"/>
        <v>84.530143970725135</v>
      </c>
      <c r="I88" s="4">
        <f t="shared" si="11"/>
        <v>0</v>
      </c>
      <c r="J88" s="4">
        <f t="shared" si="12"/>
        <v>0</v>
      </c>
      <c r="K88" s="4" t="str">
        <f t="shared" si="13"/>
        <v>F26</v>
      </c>
    </row>
    <row r="89" spans="2:11" hidden="1" x14ac:dyDescent="0.2">
      <c r="B89" s="4">
        <v>9027</v>
      </c>
      <c r="C89" s="4">
        <v>0</v>
      </c>
      <c r="D89">
        <v>0</v>
      </c>
      <c r="E89" t="str">
        <f>VLOOKUP(B89,Nuclides!A:F,5,FALSE)</f>
        <v>F27</v>
      </c>
      <c r="F89">
        <f>VLOOKUP(B89,Nuclides!A:F,4,FALSE)</f>
        <v>5.0000000000000001E-3</v>
      </c>
      <c r="G89" s="4" t="str">
        <f t="shared" si="9"/>
        <v>0.005s</v>
      </c>
      <c r="H89" s="4">
        <f t="shared" si="10"/>
        <v>138.62943611198907</v>
      </c>
      <c r="I89" s="4">
        <f t="shared" si="11"/>
        <v>0</v>
      </c>
      <c r="J89" s="4">
        <f t="shared" si="12"/>
        <v>0</v>
      </c>
      <c r="K89" s="4" t="str">
        <f t="shared" si="13"/>
        <v>F27</v>
      </c>
    </row>
    <row r="90" spans="2:11" hidden="1" x14ac:dyDescent="0.2">
      <c r="B90" s="4">
        <v>10017</v>
      </c>
      <c r="C90" s="4">
        <v>0</v>
      </c>
      <c r="D90">
        <v>0</v>
      </c>
      <c r="E90" t="str">
        <f>VLOOKUP(B90,Nuclides!A:F,5,FALSE)</f>
        <v>Ne17</v>
      </c>
      <c r="F90">
        <f>VLOOKUP(B90,Nuclides!A:F,4,FALSE)</f>
        <v>0.10920000000000001</v>
      </c>
      <c r="G90" s="4" t="str">
        <f t="shared" si="9"/>
        <v>0.1092s</v>
      </c>
      <c r="H90" s="4">
        <f t="shared" si="10"/>
        <v>6.3475016534793518</v>
      </c>
      <c r="I90" s="4">
        <f t="shared" si="11"/>
        <v>0</v>
      </c>
      <c r="J90" s="4">
        <f t="shared" si="12"/>
        <v>0</v>
      </c>
      <c r="K90" s="4" t="str">
        <f t="shared" si="13"/>
        <v>Ne17</v>
      </c>
    </row>
    <row r="91" spans="2:11" hidden="1" x14ac:dyDescent="0.2">
      <c r="B91" s="4">
        <v>10018</v>
      </c>
      <c r="C91" s="4">
        <v>0</v>
      </c>
      <c r="D91">
        <v>0</v>
      </c>
      <c r="E91" t="str">
        <f>VLOOKUP(B91,Nuclides!A:F,5,FALSE)</f>
        <v>Ne18</v>
      </c>
      <c r="F91">
        <f>VLOOKUP(B91,Nuclides!A:F,4,FALSE)</f>
        <v>1.667</v>
      </c>
      <c r="G91" s="4" t="str">
        <f t="shared" si="9"/>
        <v>1.667s</v>
      </c>
      <c r="H91" s="4">
        <f t="shared" si="10"/>
        <v>0.41580514730650586</v>
      </c>
      <c r="I91" s="4">
        <f t="shared" si="11"/>
        <v>0</v>
      </c>
      <c r="J91" s="4">
        <f t="shared" si="12"/>
        <v>0</v>
      </c>
      <c r="K91" s="4" t="str">
        <f t="shared" si="13"/>
        <v>Ne18</v>
      </c>
    </row>
    <row r="92" spans="2:11" hidden="1" x14ac:dyDescent="0.2">
      <c r="B92" s="4">
        <v>10019</v>
      </c>
      <c r="C92" s="4">
        <v>0</v>
      </c>
      <c r="D92">
        <v>0</v>
      </c>
      <c r="E92" t="str">
        <f>VLOOKUP(B92,Nuclides!A:F,5,FALSE)</f>
        <v>Ne19</v>
      </c>
      <c r="F92">
        <f>VLOOKUP(B92,Nuclides!A:F,4,FALSE)</f>
        <v>17.22</v>
      </c>
      <c r="G92" s="4" t="str">
        <f t="shared" si="9"/>
        <v>17.22s</v>
      </c>
      <c r="H92" s="4">
        <f t="shared" si="10"/>
        <v>4.0252449509869066E-2</v>
      </c>
      <c r="I92" s="4">
        <f t="shared" si="11"/>
        <v>0</v>
      </c>
      <c r="J92" s="4">
        <f t="shared" si="12"/>
        <v>0</v>
      </c>
      <c r="K92" s="4" t="str">
        <f t="shared" si="13"/>
        <v>Ne19</v>
      </c>
    </row>
    <row r="93" spans="2:11" hidden="1" x14ac:dyDescent="0.2">
      <c r="B93" s="4">
        <v>10020</v>
      </c>
      <c r="C93" s="4">
        <v>0</v>
      </c>
      <c r="D93">
        <v>0</v>
      </c>
      <c r="E93" t="str">
        <f>VLOOKUP(B93,Nuclides!A:F,5,FALSE)</f>
        <v>Ne20</v>
      </c>
      <c r="F93" t="str">
        <f>VLOOKUP(B93,Nuclides!A:F,4,FALSE)</f>
        <v>STABLE</v>
      </c>
      <c r="G93" s="4" t="str">
        <f t="shared" si="9"/>
        <v>STABLE</v>
      </c>
      <c r="H93" s="4" t="e">
        <f t="shared" si="10"/>
        <v>#VALUE!</v>
      </c>
      <c r="I93" s="4" t="e">
        <f t="shared" si="11"/>
        <v>#VALUE!</v>
      </c>
      <c r="J93" s="4" t="e">
        <f t="shared" si="12"/>
        <v>#VALUE!</v>
      </c>
      <c r="K93" s="4" t="str">
        <f t="shared" si="13"/>
        <v>Ne20</v>
      </c>
    </row>
    <row r="94" spans="2:11" hidden="1" x14ac:dyDescent="0.2">
      <c r="B94" s="4">
        <v>10021</v>
      </c>
      <c r="C94" s="4">
        <v>0</v>
      </c>
      <c r="D94">
        <v>0</v>
      </c>
      <c r="E94" t="str">
        <f>VLOOKUP(B94,Nuclides!A:F,5,FALSE)</f>
        <v>Ne21</v>
      </c>
      <c r="F94" t="str">
        <f>VLOOKUP(B94,Nuclides!A:F,4,FALSE)</f>
        <v>STABLE</v>
      </c>
      <c r="G94" s="4" t="str">
        <f t="shared" si="9"/>
        <v>STABLE</v>
      </c>
      <c r="H94" s="4" t="e">
        <f t="shared" si="10"/>
        <v>#VALUE!</v>
      </c>
      <c r="I94" s="4" t="e">
        <f t="shared" si="11"/>
        <v>#VALUE!</v>
      </c>
      <c r="J94" s="4" t="e">
        <f t="shared" si="12"/>
        <v>#VALUE!</v>
      </c>
      <c r="K94" s="4" t="str">
        <f t="shared" si="13"/>
        <v>Ne21</v>
      </c>
    </row>
    <row r="95" spans="2:11" hidden="1" x14ac:dyDescent="0.2">
      <c r="B95" s="4">
        <v>10022</v>
      </c>
      <c r="C95" s="4">
        <v>0</v>
      </c>
      <c r="D95">
        <v>0</v>
      </c>
      <c r="E95" t="str">
        <f>VLOOKUP(B95,Nuclides!A:F,5,FALSE)</f>
        <v>Ne22</v>
      </c>
      <c r="F95" t="str">
        <f>VLOOKUP(B95,Nuclides!A:F,4,FALSE)</f>
        <v>STABLE</v>
      </c>
      <c r="G95" s="4" t="str">
        <f t="shared" si="9"/>
        <v>STABLE</v>
      </c>
      <c r="H95" s="4" t="e">
        <f t="shared" si="10"/>
        <v>#VALUE!</v>
      </c>
      <c r="I95" s="4" t="e">
        <f t="shared" si="11"/>
        <v>#VALUE!</v>
      </c>
      <c r="J95" s="4" t="e">
        <f t="shared" si="12"/>
        <v>#VALUE!</v>
      </c>
      <c r="K95" s="4" t="str">
        <f t="shared" si="13"/>
        <v>Ne22</v>
      </c>
    </row>
    <row r="96" spans="2:11" hidden="1" x14ac:dyDescent="0.2">
      <c r="B96" s="4">
        <v>10023</v>
      </c>
      <c r="C96" s="4">
        <v>0</v>
      </c>
      <c r="D96">
        <v>0</v>
      </c>
      <c r="E96" t="str">
        <f>VLOOKUP(B96,Nuclides!A:F,5,FALSE)</f>
        <v>Ne23</v>
      </c>
      <c r="F96">
        <f>VLOOKUP(B96,Nuclides!A:F,4,FALSE)</f>
        <v>37.24</v>
      </c>
      <c r="G96" s="4" t="str">
        <f t="shared" si="9"/>
        <v>37.24s</v>
      </c>
      <c r="H96" s="4">
        <f t="shared" si="10"/>
        <v>1.8612974773360505E-2</v>
      </c>
      <c r="I96" s="4">
        <f t="shared" si="11"/>
        <v>0</v>
      </c>
      <c r="J96" s="4">
        <f t="shared" si="12"/>
        <v>0</v>
      </c>
      <c r="K96" s="4" t="str">
        <f t="shared" si="13"/>
        <v>Ne23</v>
      </c>
    </row>
    <row r="97" spans="2:11" hidden="1" x14ac:dyDescent="0.2">
      <c r="B97" s="4">
        <v>10024</v>
      </c>
      <c r="C97" s="4">
        <v>0</v>
      </c>
      <c r="D97">
        <v>0</v>
      </c>
      <c r="E97" t="str">
        <f>VLOOKUP(B97,Nuclides!A:F,5,FALSE)</f>
        <v>Ne24</v>
      </c>
      <c r="F97">
        <f>VLOOKUP(B97,Nuclides!A:F,4,FALSE)</f>
        <v>202.79999999999899</v>
      </c>
      <c r="G97" s="4" t="str">
        <f t="shared" si="9"/>
        <v>3.38min</v>
      </c>
      <c r="H97" s="4">
        <f t="shared" si="10"/>
        <v>3.4178855057196682E-3</v>
      </c>
      <c r="I97" s="4">
        <f t="shared" si="11"/>
        <v>0</v>
      </c>
      <c r="J97" s="4">
        <f t="shared" si="12"/>
        <v>0</v>
      </c>
      <c r="K97" s="4" t="str">
        <f t="shared" si="13"/>
        <v>Ne24</v>
      </c>
    </row>
    <row r="98" spans="2:11" hidden="1" x14ac:dyDescent="0.2">
      <c r="B98" s="4">
        <v>10025</v>
      </c>
      <c r="C98" s="4">
        <v>0</v>
      </c>
      <c r="D98">
        <v>0</v>
      </c>
      <c r="E98" t="str">
        <f>VLOOKUP(B98,Nuclides!A:F,5,FALSE)</f>
        <v>Ne25</v>
      </c>
      <c r="F98">
        <f>VLOOKUP(B98,Nuclides!A:F,4,FALSE)</f>
        <v>0.60199999999999998</v>
      </c>
      <c r="G98" s="4" t="str">
        <f t="shared" si="9"/>
        <v>0.602s</v>
      </c>
      <c r="H98" s="4">
        <f t="shared" si="10"/>
        <v>1.15140727667765</v>
      </c>
      <c r="I98" s="4">
        <f t="shared" si="11"/>
        <v>0</v>
      </c>
      <c r="J98" s="4">
        <f t="shared" si="12"/>
        <v>0</v>
      </c>
      <c r="K98" s="4" t="str">
        <f t="shared" si="13"/>
        <v>Ne25</v>
      </c>
    </row>
    <row r="99" spans="2:11" hidden="1" x14ac:dyDescent="0.2">
      <c r="B99" s="4">
        <v>10026</v>
      </c>
      <c r="C99" s="4">
        <v>0</v>
      </c>
      <c r="D99">
        <v>0</v>
      </c>
      <c r="E99" t="str">
        <f>VLOOKUP(B99,Nuclides!A:F,5,FALSE)</f>
        <v>Ne26</v>
      </c>
      <c r="F99">
        <f>VLOOKUP(B99,Nuclides!A:F,4,FALSE)</f>
        <v>0.19700000000000001</v>
      </c>
      <c r="G99" s="4" t="str">
        <f t="shared" si="9"/>
        <v>0.197s</v>
      </c>
      <c r="H99" s="4">
        <f t="shared" si="10"/>
        <v>3.5185136069032752</v>
      </c>
      <c r="I99" s="4">
        <f t="shared" si="11"/>
        <v>0</v>
      </c>
      <c r="J99" s="4">
        <f t="shared" si="12"/>
        <v>0</v>
      </c>
      <c r="K99" s="4" t="str">
        <f t="shared" si="13"/>
        <v>Ne26</v>
      </c>
    </row>
    <row r="100" spans="2:11" hidden="1" x14ac:dyDescent="0.2">
      <c r="B100" s="4">
        <v>10027</v>
      </c>
      <c r="C100" s="4">
        <v>0</v>
      </c>
      <c r="D100">
        <v>0</v>
      </c>
      <c r="E100" t="str">
        <f>VLOOKUP(B100,Nuclides!A:F,5,FALSE)</f>
        <v>Ne27</v>
      </c>
      <c r="F100">
        <f>VLOOKUP(B100,Nuclides!A:F,4,FALSE)</f>
        <v>3.15E-2</v>
      </c>
      <c r="G100" s="4" t="str">
        <f t="shared" si="9"/>
        <v>0.0315s</v>
      </c>
      <c r="H100" s="4">
        <f t="shared" si="10"/>
        <v>22.00467239872842</v>
      </c>
      <c r="I100" s="4">
        <f t="shared" si="11"/>
        <v>0</v>
      </c>
      <c r="J100" s="4">
        <f t="shared" si="12"/>
        <v>0</v>
      </c>
      <c r="K100" s="4" t="str">
        <f t="shared" si="13"/>
        <v>Ne27</v>
      </c>
    </row>
    <row r="101" spans="2:11" hidden="1" x14ac:dyDescent="0.2">
      <c r="B101" s="4">
        <v>10028</v>
      </c>
      <c r="C101" s="4">
        <v>0</v>
      </c>
      <c r="D101">
        <v>0</v>
      </c>
      <c r="E101" t="str">
        <f>VLOOKUP(B101,Nuclides!A:F,5,FALSE)</f>
        <v>Ne28</v>
      </c>
      <c r="F101">
        <f>VLOOKUP(B101,Nuclides!A:F,4,FALSE)</f>
        <v>0.02</v>
      </c>
      <c r="G101" s="4" t="str">
        <f t="shared" si="9"/>
        <v>0.02s</v>
      </c>
      <c r="H101" s="4">
        <f t="shared" si="10"/>
        <v>34.657359027997266</v>
      </c>
      <c r="I101" s="4">
        <f t="shared" si="11"/>
        <v>0</v>
      </c>
      <c r="J101" s="4">
        <f t="shared" si="12"/>
        <v>0</v>
      </c>
      <c r="K101" s="4" t="str">
        <f t="shared" si="13"/>
        <v>Ne28</v>
      </c>
    </row>
    <row r="102" spans="2:11" hidden="1" x14ac:dyDescent="0.2">
      <c r="B102" s="4">
        <v>11019</v>
      </c>
      <c r="C102" s="4">
        <v>0</v>
      </c>
      <c r="D102">
        <v>0</v>
      </c>
      <c r="E102" t="e">
        <f>VLOOKUP(B102,Nuclides!A:F,5,FALSE)</f>
        <v>#N/A</v>
      </c>
      <c r="F102" t="e">
        <f>VLOOKUP(B102,Nuclides!A:F,4,FALSE)</f>
        <v>#N/A</v>
      </c>
      <c r="G102" s="4" t="e">
        <f t="shared" si="9"/>
        <v>#N/A</v>
      </c>
      <c r="H102" s="4" t="e">
        <f t="shared" si="10"/>
        <v>#N/A</v>
      </c>
      <c r="I102" s="4" t="e">
        <f t="shared" si="11"/>
        <v>#N/A</v>
      </c>
      <c r="J102" s="4" t="e">
        <f t="shared" si="12"/>
        <v>#N/A</v>
      </c>
      <c r="K102" s="4" t="e">
        <f t="shared" si="13"/>
        <v>#N/A</v>
      </c>
    </row>
    <row r="103" spans="2:11" hidden="1" x14ac:dyDescent="0.2">
      <c r="B103" s="4">
        <v>11020</v>
      </c>
      <c r="C103" s="4">
        <v>0</v>
      </c>
      <c r="D103">
        <v>0</v>
      </c>
      <c r="E103" t="str">
        <f>VLOOKUP(B103,Nuclides!A:F,5,FALSE)</f>
        <v>Na20</v>
      </c>
      <c r="F103">
        <f>VLOOKUP(B103,Nuclides!A:F,4,FALSE)</f>
        <v>0.44789999999999902</v>
      </c>
      <c r="G103" s="4" t="str">
        <f t="shared" si="9"/>
        <v>0.447899999999999s</v>
      </c>
      <c r="H103" s="4">
        <f t="shared" si="10"/>
        <v>1.5475489630719956</v>
      </c>
      <c r="I103" s="4">
        <f t="shared" si="11"/>
        <v>0</v>
      </c>
      <c r="J103" s="4">
        <f t="shared" si="12"/>
        <v>0</v>
      </c>
      <c r="K103" s="4" t="str">
        <f t="shared" si="13"/>
        <v>Na20</v>
      </c>
    </row>
    <row r="104" spans="2:11" hidden="1" x14ac:dyDescent="0.2">
      <c r="B104" s="4">
        <v>11021</v>
      </c>
      <c r="C104" s="4">
        <v>0</v>
      </c>
      <c r="D104">
        <v>0</v>
      </c>
      <c r="E104" t="str">
        <f>VLOOKUP(B104,Nuclides!A:F,5,FALSE)</f>
        <v>Na21</v>
      </c>
      <c r="F104">
        <f>VLOOKUP(B104,Nuclides!A:F,4,FALSE)</f>
        <v>22.49</v>
      </c>
      <c r="G104" s="4" t="str">
        <f t="shared" si="9"/>
        <v>22.49s</v>
      </c>
      <c r="H104" s="4">
        <f t="shared" si="10"/>
        <v>3.0820239242327494E-2</v>
      </c>
      <c r="I104" s="4">
        <f t="shared" si="11"/>
        <v>0</v>
      </c>
      <c r="J104" s="4">
        <f t="shared" si="12"/>
        <v>0</v>
      </c>
      <c r="K104" s="4" t="str">
        <f t="shared" si="13"/>
        <v>Na21</v>
      </c>
    </row>
    <row r="105" spans="2:11" hidden="1" x14ac:dyDescent="0.2">
      <c r="B105" s="4">
        <v>11022</v>
      </c>
      <c r="C105" s="4">
        <v>0</v>
      </c>
      <c r="D105">
        <v>0</v>
      </c>
      <c r="E105" t="str">
        <f>VLOOKUP(B105,Nuclides!A:F,5,FALSE)</f>
        <v>Na22</v>
      </c>
      <c r="F105">
        <f>VLOOKUP(B105,Nuclides!A:F,4,FALSE)</f>
        <v>82106563.679999903</v>
      </c>
      <c r="G105" s="4" t="str">
        <f t="shared" si="9"/>
        <v>2.6y</v>
      </c>
      <c r="H105" s="4">
        <f t="shared" si="10"/>
        <v>8.4420434797563818E-9</v>
      </c>
      <c r="I105" s="4">
        <f t="shared" si="11"/>
        <v>0</v>
      </c>
      <c r="J105" s="4">
        <f t="shared" si="12"/>
        <v>0</v>
      </c>
      <c r="K105" s="4" t="str">
        <f t="shared" si="13"/>
        <v>Na22</v>
      </c>
    </row>
    <row r="106" spans="2:11" hidden="1" x14ac:dyDescent="0.2">
      <c r="B106" s="4">
        <v>11023</v>
      </c>
      <c r="C106" s="4">
        <v>0</v>
      </c>
      <c r="D106">
        <v>0</v>
      </c>
      <c r="E106" t="str">
        <f>VLOOKUP(B106,Nuclides!A:F,5,FALSE)</f>
        <v>Na23</v>
      </c>
      <c r="F106" t="str">
        <f>VLOOKUP(B106,Nuclides!A:F,4,FALSE)</f>
        <v>STABLE</v>
      </c>
      <c r="G106" s="4" t="str">
        <f t="shared" si="9"/>
        <v>STABLE</v>
      </c>
      <c r="H106" s="4" t="e">
        <f t="shared" si="10"/>
        <v>#VALUE!</v>
      </c>
      <c r="I106" s="4" t="e">
        <f t="shared" si="11"/>
        <v>#VALUE!</v>
      </c>
      <c r="J106" s="4" t="e">
        <f t="shared" si="12"/>
        <v>#VALUE!</v>
      </c>
      <c r="K106" s="4" t="str">
        <f t="shared" si="13"/>
        <v>Na23</v>
      </c>
    </row>
    <row r="107" spans="2:11" hidden="1" x14ac:dyDescent="0.2">
      <c r="B107" s="4">
        <v>11024</v>
      </c>
      <c r="C107" s="4">
        <v>0</v>
      </c>
      <c r="D107">
        <v>0</v>
      </c>
      <c r="E107" t="str">
        <f>VLOOKUP(B107,Nuclides!A:F,5,FALSE)</f>
        <v>Na24</v>
      </c>
      <c r="F107">
        <f>VLOOKUP(B107,Nuclides!A:F,4,FALSE)</f>
        <v>53989.2</v>
      </c>
      <c r="G107" s="4" t="str">
        <f t="shared" si="9"/>
        <v>15h</v>
      </c>
      <c r="H107" s="4">
        <f t="shared" si="10"/>
        <v>1.2838626624583163E-5</v>
      </c>
      <c r="I107" s="4">
        <f t="shared" si="11"/>
        <v>0</v>
      </c>
      <c r="J107" s="4">
        <f t="shared" si="12"/>
        <v>0</v>
      </c>
      <c r="K107" s="4" t="str">
        <f t="shared" si="13"/>
        <v>Na24</v>
      </c>
    </row>
    <row r="108" spans="2:11" hidden="1" x14ac:dyDescent="0.2">
      <c r="B108" s="4">
        <v>11025</v>
      </c>
      <c r="C108" s="4">
        <v>0</v>
      </c>
      <c r="D108">
        <v>0</v>
      </c>
      <c r="E108" t="str">
        <f>VLOOKUP(B108,Nuclides!A:F,5,FALSE)</f>
        <v>Na25</v>
      </c>
      <c r="F108">
        <f>VLOOKUP(B108,Nuclides!A:F,4,FALSE)</f>
        <v>59.1</v>
      </c>
      <c r="G108" s="4" t="str">
        <f t="shared" si="9"/>
        <v>59.1s</v>
      </c>
      <c r="H108" s="4">
        <f t="shared" si="10"/>
        <v>1.1728378689677585E-2</v>
      </c>
      <c r="I108" s="4">
        <f t="shared" si="11"/>
        <v>0</v>
      </c>
      <c r="J108" s="4">
        <f t="shared" si="12"/>
        <v>0</v>
      </c>
      <c r="K108" s="4" t="str">
        <f t="shared" si="13"/>
        <v>Na25</v>
      </c>
    </row>
    <row r="109" spans="2:11" hidden="1" x14ac:dyDescent="0.2">
      <c r="B109" s="4">
        <v>11026</v>
      </c>
      <c r="C109" s="4">
        <v>0</v>
      </c>
      <c r="D109">
        <v>0</v>
      </c>
      <c r="E109" t="str">
        <f>VLOOKUP(B109,Nuclides!A:F,5,FALSE)</f>
        <v>Na26</v>
      </c>
      <c r="F109">
        <f>VLOOKUP(B109,Nuclides!A:F,4,FALSE)</f>
        <v>1.07128</v>
      </c>
      <c r="G109" s="4" t="str">
        <f t="shared" si="9"/>
        <v>1.07128s</v>
      </c>
      <c r="H109" s="4">
        <f t="shared" si="10"/>
        <v>0.64702708961237521</v>
      </c>
      <c r="I109" s="4">
        <f t="shared" si="11"/>
        <v>0</v>
      </c>
      <c r="J109" s="4">
        <f t="shared" si="12"/>
        <v>0</v>
      </c>
      <c r="K109" s="4" t="str">
        <f t="shared" si="13"/>
        <v>Na26</v>
      </c>
    </row>
    <row r="110" spans="2:11" hidden="1" x14ac:dyDescent="0.2">
      <c r="B110" s="4">
        <v>11027</v>
      </c>
      <c r="C110" s="4">
        <v>0</v>
      </c>
      <c r="D110">
        <v>0</v>
      </c>
      <c r="E110" t="str">
        <f>VLOOKUP(B110,Nuclides!A:F,5,FALSE)</f>
        <v>Na27</v>
      </c>
      <c r="F110">
        <f>VLOOKUP(B110,Nuclides!A:F,4,FALSE)</f>
        <v>0.30099999999999999</v>
      </c>
      <c r="G110" s="4" t="str">
        <f t="shared" si="9"/>
        <v>0.301s</v>
      </c>
      <c r="H110" s="4">
        <f t="shared" si="10"/>
        <v>2.3028145533552999</v>
      </c>
      <c r="I110" s="4">
        <f t="shared" si="11"/>
        <v>0</v>
      </c>
      <c r="J110" s="4">
        <f t="shared" si="12"/>
        <v>0</v>
      </c>
      <c r="K110" s="4" t="str">
        <f t="shared" si="13"/>
        <v>Na27</v>
      </c>
    </row>
    <row r="111" spans="2:11" hidden="1" x14ac:dyDescent="0.2">
      <c r="B111" s="4">
        <v>11028</v>
      </c>
      <c r="C111" s="4">
        <v>0</v>
      </c>
      <c r="D111">
        <v>0</v>
      </c>
      <c r="E111" t="str">
        <f>VLOOKUP(B111,Nuclides!A:F,5,FALSE)</f>
        <v>Na28</v>
      </c>
      <c r="F111">
        <f>VLOOKUP(B111,Nuclides!A:F,4,FALSE)</f>
        <v>3.0499999999999999E-2</v>
      </c>
      <c r="G111" s="4" t="str">
        <f t="shared" si="9"/>
        <v>0.0305s</v>
      </c>
      <c r="H111" s="4">
        <f t="shared" si="10"/>
        <v>22.726137067539192</v>
      </c>
      <c r="I111" s="4">
        <f t="shared" si="11"/>
        <v>0</v>
      </c>
      <c r="J111" s="4">
        <f t="shared" si="12"/>
        <v>0</v>
      </c>
      <c r="K111" s="4" t="str">
        <f t="shared" si="13"/>
        <v>Na28</v>
      </c>
    </row>
    <row r="112" spans="2:11" hidden="1" x14ac:dyDescent="0.2">
      <c r="B112" s="4">
        <v>11029</v>
      </c>
      <c r="C112" s="4">
        <v>0</v>
      </c>
      <c r="D112">
        <v>0</v>
      </c>
      <c r="E112" t="str">
        <f>VLOOKUP(B112,Nuclides!A:F,5,FALSE)</f>
        <v>Na29</v>
      </c>
      <c r="F112">
        <f>VLOOKUP(B112,Nuclides!A:F,4,FALSE)</f>
        <v>4.41E-2</v>
      </c>
      <c r="G112" s="4" t="str">
        <f t="shared" si="9"/>
        <v>0.0441s</v>
      </c>
      <c r="H112" s="4">
        <f t="shared" si="10"/>
        <v>15.717623141948872</v>
      </c>
      <c r="I112" s="4">
        <f t="shared" si="11"/>
        <v>0</v>
      </c>
      <c r="J112" s="4">
        <f t="shared" si="12"/>
        <v>0</v>
      </c>
      <c r="K112" s="4" t="str">
        <f t="shared" si="13"/>
        <v>Na29</v>
      </c>
    </row>
    <row r="113" spans="2:11" hidden="1" x14ac:dyDescent="0.2">
      <c r="B113" s="4">
        <v>11030</v>
      </c>
      <c r="C113" s="4">
        <v>0</v>
      </c>
      <c r="D113">
        <v>0</v>
      </c>
      <c r="E113" t="str">
        <f>VLOOKUP(B113,Nuclides!A:F,5,FALSE)</f>
        <v>Na30</v>
      </c>
      <c r="F113">
        <f>VLOOKUP(B113,Nuclides!A:F,4,FALSE)</f>
        <v>4.8000000000000001E-2</v>
      </c>
      <c r="G113" s="4" t="str">
        <f t="shared" si="9"/>
        <v>0.048s</v>
      </c>
      <c r="H113" s="4">
        <f t="shared" si="10"/>
        <v>14.440566261665527</v>
      </c>
      <c r="I113" s="4">
        <f t="shared" si="11"/>
        <v>0</v>
      </c>
      <c r="J113" s="4">
        <f t="shared" si="12"/>
        <v>0</v>
      </c>
      <c r="K113" s="4" t="str">
        <f t="shared" si="13"/>
        <v>Na30</v>
      </c>
    </row>
    <row r="114" spans="2:11" hidden="1" x14ac:dyDescent="0.2">
      <c r="B114" s="4">
        <v>11031</v>
      </c>
      <c r="C114" s="4">
        <v>0</v>
      </c>
      <c r="D114">
        <v>0</v>
      </c>
      <c r="E114" t="str">
        <f>VLOOKUP(B114,Nuclides!A:F,5,FALSE)</f>
        <v>Na31</v>
      </c>
      <c r="F114">
        <f>VLOOKUP(B114,Nuclides!A:F,4,FALSE)</f>
        <v>1.7399999999999999E-2</v>
      </c>
      <c r="G114" s="4" t="str">
        <f t="shared" si="9"/>
        <v>0.0174s</v>
      </c>
      <c r="H114" s="4">
        <f t="shared" si="10"/>
        <v>39.836044859766972</v>
      </c>
      <c r="I114" s="4">
        <f t="shared" si="11"/>
        <v>0</v>
      </c>
      <c r="J114" s="4">
        <f t="shared" si="12"/>
        <v>0</v>
      </c>
      <c r="K114" s="4" t="str">
        <f t="shared" si="13"/>
        <v>Na31</v>
      </c>
    </row>
    <row r="115" spans="2:11" hidden="1" x14ac:dyDescent="0.2">
      <c r="B115" s="4">
        <v>11032</v>
      </c>
      <c r="C115" s="4">
        <v>0</v>
      </c>
      <c r="D115">
        <v>0</v>
      </c>
      <c r="E115" t="str">
        <f>VLOOKUP(B115,Nuclides!A:F,5,FALSE)</f>
        <v>Na32</v>
      </c>
      <c r="F115">
        <f>VLOOKUP(B115,Nuclides!A:F,4,FALSE)</f>
        <v>1.32E-2</v>
      </c>
      <c r="G115" s="4" t="str">
        <f t="shared" si="9"/>
        <v>0.0132s</v>
      </c>
      <c r="H115" s="4">
        <f t="shared" si="10"/>
        <v>52.511150042420098</v>
      </c>
      <c r="I115" s="4">
        <f t="shared" si="11"/>
        <v>0</v>
      </c>
      <c r="J115" s="4">
        <f t="shared" si="12"/>
        <v>0</v>
      </c>
      <c r="K115" s="4" t="str">
        <f t="shared" si="13"/>
        <v>Na32</v>
      </c>
    </row>
    <row r="116" spans="2:11" hidden="1" x14ac:dyDescent="0.2">
      <c r="B116" s="4">
        <v>11033</v>
      </c>
      <c r="C116" s="4">
        <v>0</v>
      </c>
      <c r="D116">
        <v>0</v>
      </c>
      <c r="E116" t="str">
        <f>VLOOKUP(B116,Nuclides!A:F,5,FALSE)</f>
        <v>Na33</v>
      </c>
      <c r="F116">
        <f>VLOOKUP(B116,Nuclides!A:F,4,FALSE)</f>
        <v>8.0999999999999996E-3</v>
      </c>
      <c r="G116" s="4" t="str">
        <f t="shared" si="9"/>
        <v>0.0081s</v>
      </c>
      <c r="H116" s="4">
        <f t="shared" si="10"/>
        <v>85.573725995054971</v>
      </c>
      <c r="I116" s="4">
        <f t="shared" si="11"/>
        <v>0</v>
      </c>
      <c r="J116" s="4">
        <f t="shared" si="12"/>
        <v>0</v>
      </c>
      <c r="K116" s="4" t="str">
        <f t="shared" si="13"/>
        <v>Na33</v>
      </c>
    </row>
    <row r="117" spans="2:11" hidden="1" x14ac:dyDescent="0.2">
      <c r="B117" s="4">
        <v>11034</v>
      </c>
      <c r="C117" s="4">
        <v>0</v>
      </c>
      <c r="D117">
        <v>0</v>
      </c>
      <c r="E117" t="str">
        <f>VLOOKUP(B117,Nuclides!A:F,5,FALSE)</f>
        <v>Na34</v>
      </c>
      <c r="F117">
        <f>VLOOKUP(B117,Nuclides!A:F,4,FALSE)</f>
        <v>5.0000000000000001E-3</v>
      </c>
      <c r="G117" s="4" t="str">
        <f t="shared" si="9"/>
        <v>0.005s</v>
      </c>
      <c r="H117" s="4">
        <f t="shared" si="10"/>
        <v>138.62943611198907</v>
      </c>
      <c r="I117" s="4">
        <f t="shared" si="11"/>
        <v>0</v>
      </c>
      <c r="J117" s="4">
        <f t="shared" si="12"/>
        <v>0</v>
      </c>
      <c r="K117" s="4" t="str">
        <f t="shared" si="13"/>
        <v>Na34</v>
      </c>
    </row>
    <row r="118" spans="2:11" hidden="1" x14ac:dyDescent="0.2">
      <c r="B118" s="4">
        <v>11035</v>
      </c>
      <c r="C118" s="4">
        <v>0</v>
      </c>
      <c r="D118">
        <v>0</v>
      </c>
      <c r="E118" t="str">
        <f>VLOOKUP(B118,Nuclides!A:F,5,FALSE)</f>
        <v>Na35</v>
      </c>
      <c r="F118">
        <f>VLOOKUP(B118,Nuclides!A:F,4,FALSE)</f>
        <v>1.8E-3</v>
      </c>
      <c r="G118" s="4" t="str">
        <f t="shared" si="9"/>
        <v>0.0018s</v>
      </c>
      <c r="H118" s="4">
        <f t="shared" si="10"/>
        <v>385.08176697774741</v>
      </c>
      <c r="I118" s="4">
        <f t="shared" si="11"/>
        <v>0</v>
      </c>
      <c r="J118" s="4">
        <f t="shared" si="12"/>
        <v>0</v>
      </c>
      <c r="K118" s="4" t="str">
        <f t="shared" si="13"/>
        <v>Na35</v>
      </c>
    </row>
    <row r="119" spans="2:11" hidden="1" x14ac:dyDescent="0.2">
      <c r="B119" s="4">
        <v>12020</v>
      </c>
      <c r="C119" s="4">
        <v>0</v>
      </c>
      <c r="D119">
        <v>0</v>
      </c>
      <c r="E119" t="str">
        <f>VLOOKUP(B119,Nuclides!A:F,5,FALSE)</f>
        <v>Mg20</v>
      </c>
      <c r="F119">
        <f>VLOOKUP(B119,Nuclides!A:F,4,FALSE)</f>
        <v>9.0800000000000006E-2</v>
      </c>
      <c r="G119" s="4" t="str">
        <f t="shared" si="9"/>
        <v>0.0908s</v>
      </c>
      <c r="H119" s="4">
        <f t="shared" si="10"/>
        <v>7.6337795215852999</v>
      </c>
      <c r="I119" s="4">
        <f t="shared" si="11"/>
        <v>0</v>
      </c>
      <c r="J119" s="4">
        <f t="shared" si="12"/>
        <v>0</v>
      </c>
      <c r="K119" s="4" t="str">
        <f t="shared" si="13"/>
        <v>Mg20</v>
      </c>
    </row>
    <row r="120" spans="2:11" hidden="1" x14ac:dyDescent="0.2">
      <c r="B120" s="4">
        <v>12021</v>
      </c>
      <c r="C120" s="4">
        <v>0</v>
      </c>
      <c r="D120">
        <v>0</v>
      </c>
      <c r="E120" t="str">
        <f>VLOOKUP(B120,Nuclides!A:F,5,FALSE)</f>
        <v>Mg21</v>
      </c>
      <c r="F120">
        <f>VLOOKUP(B120,Nuclides!A:F,4,FALSE)</f>
        <v>0.122</v>
      </c>
      <c r="G120" s="4" t="str">
        <f t="shared" si="9"/>
        <v>0.122s</v>
      </c>
      <c r="H120" s="4">
        <f t="shared" si="10"/>
        <v>5.6815342668847979</v>
      </c>
      <c r="I120" s="4">
        <f t="shared" si="11"/>
        <v>0</v>
      </c>
      <c r="J120" s="4">
        <f t="shared" si="12"/>
        <v>0</v>
      </c>
      <c r="K120" s="4" t="str">
        <f t="shared" si="13"/>
        <v>Mg21</v>
      </c>
    </row>
    <row r="121" spans="2:11" hidden="1" x14ac:dyDescent="0.2">
      <c r="B121" s="4">
        <v>12022</v>
      </c>
      <c r="C121" s="4">
        <v>0</v>
      </c>
      <c r="D121">
        <v>0</v>
      </c>
      <c r="E121" t="str">
        <f>VLOOKUP(B121,Nuclides!A:F,5,FALSE)</f>
        <v>Mg22</v>
      </c>
      <c r="F121">
        <f>VLOOKUP(B121,Nuclides!A:F,4,FALSE)</f>
        <v>3.8755000000000002</v>
      </c>
      <c r="G121" s="4" t="str">
        <f t="shared" si="9"/>
        <v>3.8755s</v>
      </c>
      <c r="H121" s="4">
        <f t="shared" si="10"/>
        <v>0.17885361387174437</v>
      </c>
      <c r="I121" s="4">
        <f t="shared" si="11"/>
        <v>0</v>
      </c>
      <c r="J121" s="4">
        <f t="shared" si="12"/>
        <v>0</v>
      </c>
      <c r="K121" s="4" t="str">
        <f t="shared" si="13"/>
        <v>Mg22</v>
      </c>
    </row>
    <row r="122" spans="2:11" hidden="1" x14ac:dyDescent="0.2">
      <c r="B122" s="4">
        <v>12023</v>
      </c>
      <c r="C122" s="4">
        <v>0</v>
      </c>
      <c r="D122">
        <v>0</v>
      </c>
      <c r="E122" t="str">
        <f>VLOOKUP(B122,Nuclides!A:F,5,FALSE)</f>
        <v>Mg23</v>
      </c>
      <c r="F122">
        <f>VLOOKUP(B122,Nuclides!A:F,4,FALSE)</f>
        <v>11.317</v>
      </c>
      <c r="G122" s="4" t="str">
        <f t="shared" si="9"/>
        <v>11.317s</v>
      </c>
      <c r="H122" s="4">
        <f t="shared" si="10"/>
        <v>6.1248314973928186E-2</v>
      </c>
      <c r="I122" s="4">
        <f t="shared" si="11"/>
        <v>0</v>
      </c>
      <c r="J122" s="4">
        <f t="shared" si="12"/>
        <v>0</v>
      </c>
      <c r="K122" s="4" t="str">
        <f t="shared" si="13"/>
        <v>Mg23</v>
      </c>
    </row>
    <row r="123" spans="2:11" hidden="1" x14ac:dyDescent="0.2">
      <c r="B123" s="4">
        <v>12024</v>
      </c>
      <c r="C123" s="4">
        <v>0</v>
      </c>
      <c r="D123">
        <v>0</v>
      </c>
      <c r="E123" t="str">
        <f>VLOOKUP(B123,Nuclides!A:F,5,FALSE)</f>
        <v>Mg24</v>
      </c>
      <c r="F123" t="str">
        <f>VLOOKUP(B123,Nuclides!A:F,4,FALSE)</f>
        <v>STABLE</v>
      </c>
      <c r="G123" s="4" t="str">
        <f t="shared" si="9"/>
        <v>STABLE</v>
      </c>
      <c r="H123" s="4" t="e">
        <f t="shared" si="10"/>
        <v>#VALUE!</v>
      </c>
      <c r="I123" s="4" t="e">
        <f t="shared" si="11"/>
        <v>#VALUE!</v>
      </c>
      <c r="J123" s="4" t="e">
        <f t="shared" si="12"/>
        <v>#VALUE!</v>
      </c>
      <c r="K123" s="4" t="str">
        <f t="shared" si="13"/>
        <v>Mg24</v>
      </c>
    </row>
    <row r="124" spans="2:11" hidden="1" x14ac:dyDescent="0.2">
      <c r="B124" s="4">
        <v>12025</v>
      </c>
      <c r="C124" s="4">
        <v>0</v>
      </c>
      <c r="D124">
        <v>0</v>
      </c>
      <c r="E124" t="str">
        <f>VLOOKUP(B124,Nuclides!A:F,5,FALSE)</f>
        <v>Mg25</v>
      </c>
      <c r="F124" t="str">
        <f>VLOOKUP(B124,Nuclides!A:F,4,FALSE)</f>
        <v>STABLE</v>
      </c>
      <c r="G124" s="4" t="str">
        <f t="shared" si="9"/>
        <v>STABLE</v>
      </c>
      <c r="H124" s="4" t="e">
        <f t="shared" si="10"/>
        <v>#VALUE!</v>
      </c>
      <c r="I124" s="4" t="e">
        <f t="shared" si="11"/>
        <v>#VALUE!</v>
      </c>
      <c r="J124" s="4" t="e">
        <f t="shared" si="12"/>
        <v>#VALUE!</v>
      </c>
      <c r="K124" s="4" t="str">
        <f t="shared" si="13"/>
        <v>Mg25</v>
      </c>
    </row>
    <row r="125" spans="2:11" hidden="1" x14ac:dyDescent="0.2">
      <c r="B125" s="4">
        <v>12026</v>
      </c>
      <c r="C125" s="4">
        <v>0</v>
      </c>
      <c r="D125">
        <v>0</v>
      </c>
      <c r="E125" t="str">
        <f>VLOOKUP(B125,Nuclides!A:F,5,FALSE)</f>
        <v>Mg26</v>
      </c>
      <c r="F125" t="str">
        <f>VLOOKUP(B125,Nuclides!A:F,4,FALSE)</f>
        <v>STABLE</v>
      </c>
      <c r="G125" s="4" t="str">
        <f t="shared" si="9"/>
        <v>STABLE</v>
      </c>
      <c r="H125" s="4" t="e">
        <f t="shared" si="10"/>
        <v>#VALUE!</v>
      </c>
      <c r="I125" s="4" t="e">
        <f t="shared" si="11"/>
        <v>#VALUE!</v>
      </c>
      <c r="J125" s="4" t="e">
        <f t="shared" si="12"/>
        <v>#VALUE!</v>
      </c>
      <c r="K125" s="4" t="str">
        <f t="shared" si="13"/>
        <v>Mg26</v>
      </c>
    </row>
    <row r="126" spans="2:11" hidden="1" x14ac:dyDescent="0.2">
      <c r="B126" s="4">
        <v>12027</v>
      </c>
      <c r="C126" s="4">
        <v>0</v>
      </c>
      <c r="D126">
        <v>0</v>
      </c>
      <c r="E126" t="str">
        <f>VLOOKUP(B126,Nuclides!A:F,5,FALSE)</f>
        <v>Mg27</v>
      </c>
      <c r="F126">
        <f>VLOOKUP(B126,Nuclides!A:F,4,FALSE)</f>
        <v>567.48</v>
      </c>
      <c r="G126" s="4" t="str">
        <f t="shared" si="9"/>
        <v>9.46min</v>
      </c>
      <c r="H126" s="4">
        <f t="shared" si="10"/>
        <v>1.2214477700710955E-3</v>
      </c>
      <c r="I126" s="4">
        <f t="shared" si="11"/>
        <v>0</v>
      </c>
      <c r="J126" s="4">
        <f t="shared" si="12"/>
        <v>0</v>
      </c>
      <c r="K126" s="4" t="str">
        <f t="shared" si="13"/>
        <v>Mg27</v>
      </c>
    </row>
    <row r="127" spans="2:11" hidden="1" x14ac:dyDescent="0.2">
      <c r="B127" s="4">
        <v>12028</v>
      </c>
      <c r="C127" s="4">
        <v>0</v>
      </c>
      <c r="D127">
        <v>0</v>
      </c>
      <c r="E127" t="str">
        <f>VLOOKUP(B127,Nuclides!A:F,5,FALSE)</f>
        <v>Mg28</v>
      </c>
      <c r="F127">
        <f>VLOOKUP(B127,Nuclides!A:F,4,FALSE)</f>
        <v>75294</v>
      </c>
      <c r="G127" s="4" t="str">
        <f t="shared" si="9"/>
        <v>20.92h</v>
      </c>
      <c r="H127" s="4">
        <f t="shared" si="10"/>
        <v>9.2058753759920479E-6</v>
      </c>
      <c r="I127" s="4">
        <f t="shared" si="11"/>
        <v>0</v>
      </c>
      <c r="J127" s="4">
        <f t="shared" si="12"/>
        <v>0</v>
      </c>
      <c r="K127" s="4" t="str">
        <f t="shared" si="13"/>
        <v>Mg28</v>
      </c>
    </row>
    <row r="128" spans="2:11" hidden="1" x14ac:dyDescent="0.2">
      <c r="B128" s="4">
        <v>12029</v>
      </c>
      <c r="C128" s="4">
        <v>0</v>
      </c>
      <c r="D128">
        <v>0</v>
      </c>
      <c r="E128" t="str">
        <f>VLOOKUP(B128,Nuclides!A:F,5,FALSE)</f>
        <v>Mg29</v>
      </c>
      <c r="F128">
        <f>VLOOKUP(B128,Nuclides!A:F,4,FALSE)</f>
        <v>1.3</v>
      </c>
      <c r="G128" s="4" t="str">
        <f t="shared" si="9"/>
        <v>1.3s</v>
      </c>
      <c r="H128" s="4">
        <f t="shared" si="10"/>
        <v>0.53319013889226563</v>
      </c>
      <c r="I128" s="4">
        <f t="shared" si="11"/>
        <v>0</v>
      </c>
      <c r="J128" s="4">
        <f t="shared" si="12"/>
        <v>0</v>
      </c>
      <c r="K128" s="4" t="str">
        <f t="shared" si="13"/>
        <v>Mg29</v>
      </c>
    </row>
    <row r="129" spans="2:11" hidden="1" x14ac:dyDescent="0.2">
      <c r="B129" s="4">
        <v>12030</v>
      </c>
      <c r="C129" s="4">
        <v>0</v>
      </c>
      <c r="D129">
        <v>0</v>
      </c>
      <c r="E129" t="str">
        <f>VLOOKUP(B129,Nuclides!A:F,5,FALSE)</f>
        <v>Mg30</v>
      </c>
      <c r="F129">
        <f>VLOOKUP(B129,Nuclides!A:F,4,FALSE)</f>
        <v>0.317</v>
      </c>
      <c r="G129" s="4" t="str">
        <f t="shared" si="9"/>
        <v>0.317s</v>
      </c>
      <c r="H129" s="4">
        <f t="shared" si="10"/>
        <v>2.186584165804244</v>
      </c>
      <c r="I129" s="4">
        <f t="shared" si="11"/>
        <v>0</v>
      </c>
      <c r="J129" s="4">
        <f t="shared" si="12"/>
        <v>0</v>
      </c>
      <c r="K129" s="4" t="str">
        <f t="shared" si="13"/>
        <v>Mg30</v>
      </c>
    </row>
    <row r="130" spans="2:11" hidden="1" x14ac:dyDescent="0.2">
      <c r="B130" s="4">
        <v>12031</v>
      </c>
      <c r="C130" s="4">
        <v>0</v>
      </c>
      <c r="D130">
        <v>0</v>
      </c>
      <c r="E130" t="str">
        <f>VLOOKUP(B130,Nuclides!A:F,5,FALSE)</f>
        <v>Mg31</v>
      </c>
      <c r="F130">
        <f>VLOOKUP(B130,Nuclides!A:F,4,FALSE)</f>
        <v>0.23599999999999999</v>
      </c>
      <c r="G130" s="4" t="str">
        <f t="shared" si="9"/>
        <v>0.236s</v>
      </c>
      <c r="H130" s="4">
        <f t="shared" si="10"/>
        <v>2.9370643244065482</v>
      </c>
      <c r="I130" s="4">
        <f t="shared" si="11"/>
        <v>0</v>
      </c>
      <c r="J130" s="4">
        <f t="shared" si="12"/>
        <v>0</v>
      </c>
      <c r="K130" s="4" t="str">
        <f t="shared" si="13"/>
        <v>Mg31</v>
      </c>
    </row>
    <row r="131" spans="2:11" hidden="1" x14ac:dyDescent="0.2">
      <c r="B131" s="4">
        <v>12032</v>
      </c>
      <c r="C131" s="4">
        <v>0</v>
      </c>
      <c r="D131">
        <v>0</v>
      </c>
      <c r="E131" t="str">
        <f>VLOOKUP(B131,Nuclides!A:F,5,FALSE)</f>
        <v>Mg32</v>
      </c>
      <c r="F131">
        <f>VLOOKUP(B131,Nuclides!A:F,4,FALSE)</f>
        <v>8.5999999999999993E-2</v>
      </c>
      <c r="G131" s="4" t="str">
        <f t="shared" si="9"/>
        <v>0.086s</v>
      </c>
      <c r="H131" s="4">
        <f t="shared" si="10"/>
        <v>8.0598509367435511</v>
      </c>
      <c r="I131" s="4">
        <f t="shared" si="11"/>
        <v>0</v>
      </c>
      <c r="J131" s="4">
        <f t="shared" si="12"/>
        <v>0</v>
      </c>
      <c r="K131" s="4" t="str">
        <f t="shared" si="13"/>
        <v>Mg32</v>
      </c>
    </row>
    <row r="132" spans="2:11" hidden="1" x14ac:dyDescent="0.2">
      <c r="B132" s="4">
        <v>12033</v>
      </c>
      <c r="C132" s="4">
        <v>0</v>
      </c>
      <c r="D132">
        <v>0</v>
      </c>
      <c r="E132" t="str">
        <f>VLOOKUP(B132,Nuclides!A:F,5,FALSE)</f>
        <v>Mg33</v>
      </c>
      <c r="F132">
        <f>VLOOKUP(B132,Nuclides!A:F,4,FALSE)</f>
        <v>8.9399999999999993E-2</v>
      </c>
      <c r="G132" s="4" t="str">
        <f t="shared" si="9"/>
        <v>0.0894s</v>
      </c>
      <c r="H132" s="4">
        <f t="shared" si="10"/>
        <v>7.7533241673371958</v>
      </c>
      <c r="I132" s="4">
        <f t="shared" si="11"/>
        <v>0</v>
      </c>
      <c r="J132" s="4">
        <f t="shared" si="12"/>
        <v>0</v>
      </c>
      <c r="K132" s="4" t="str">
        <f t="shared" si="13"/>
        <v>Mg33</v>
      </c>
    </row>
    <row r="133" spans="2:11" hidden="1" x14ac:dyDescent="0.2">
      <c r="B133" s="4">
        <v>12034</v>
      </c>
      <c r="C133" s="4">
        <v>0</v>
      </c>
      <c r="D133">
        <v>0</v>
      </c>
      <c r="E133" t="str">
        <f>VLOOKUP(B133,Nuclides!A:F,5,FALSE)</f>
        <v>Mg34</v>
      </c>
      <c r="F133">
        <f>VLOOKUP(B133,Nuclides!A:F,4,FALSE)</f>
        <v>0.02</v>
      </c>
      <c r="G133" s="4" t="str">
        <f t="shared" ref="G133:G196" si="14">IF(F133="STABLE", "STABLE", IF(F133&lt;60, F133&amp;"s", IF(F133&lt;3600, ROUND(F133/60,2)&amp;"min", IF(F133&lt;86400, ROUND(F133/3600,2)&amp;"h", IF(F133&lt;31536000, ROUND(F133/86400,2)&amp;"d", ROUND(F133/31536000,2)&amp;"y")))))</f>
        <v>0.02s</v>
      </c>
      <c r="H133" s="4">
        <f t="shared" ref="H133:H196" si="15">LN(2)/F133</f>
        <v>34.657359027997266</v>
      </c>
      <c r="I133" s="4">
        <f t="shared" ref="I133:I196" si="16">60*6240000000000*C133*(1-EXP(-H133*2*3600))</f>
        <v>0</v>
      </c>
      <c r="J133" s="4">
        <f t="shared" ref="J133:J196" si="17">I133*EXP(-H133*48*3600)</f>
        <v>0</v>
      </c>
      <c r="K133" s="4" t="str">
        <f t="shared" ref="K133:K196" si="18">E133</f>
        <v>Mg34</v>
      </c>
    </row>
    <row r="134" spans="2:11" hidden="1" x14ac:dyDescent="0.2">
      <c r="B134" s="4">
        <v>13022</v>
      </c>
      <c r="C134" s="4">
        <v>0</v>
      </c>
      <c r="D134">
        <v>0</v>
      </c>
      <c r="E134" t="str">
        <f>VLOOKUP(B134,Nuclides!A:F,5,FALSE)</f>
        <v>Al22</v>
      </c>
      <c r="F134">
        <f>VLOOKUP(B134,Nuclides!A:F,4,FALSE)</f>
        <v>9.11E-2</v>
      </c>
      <c r="G134" s="4" t="str">
        <f t="shared" si="14"/>
        <v>0.0911s</v>
      </c>
      <c r="H134" s="4">
        <f t="shared" si="15"/>
        <v>7.6086408403945693</v>
      </c>
      <c r="I134" s="4">
        <f t="shared" si="16"/>
        <v>0</v>
      </c>
      <c r="J134" s="4">
        <f t="shared" si="17"/>
        <v>0</v>
      </c>
      <c r="K134" s="4" t="str">
        <f t="shared" si="18"/>
        <v>Al22</v>
      </c>
    </row>
    <row r="135" spans="2:11" hidden="1" x14ac:dyDescent="0.2">
      <c r="B135" s="4">
        <v>13023</v>
      </c>
      <c r="C135" s="4">
        <v>0</v>
      </c>
      <c r="D135">
        <v>0</v>
      </c>
      <c r="E135" t="str">
        <f>VLOOKUP(B135,Nuclides!A:F,5,FALSE)</f>
        <v>Al23</v>
      </c>
      <c r="F135">
        <f>VLOOKUP(B135,Nuclides!A:F,4,FALSE)</f>
        <v>0.47</v>
      </c>
      <c r="G135" s="4" t="str">
        <f t="shared" si="14"/>
        <v>0.47s</v>
      </c>
      <c r="H135" s="4">
        <f t="shared" si="15"/>
        <v>1.4747812352339262</v>
      </c>
      <c r="I135" s="4">
        <f t="shared" si="16"/>
        <v>0</v>
      </c>
      <c r="J135" s="4">
        <f t="shared" si="17"/>
        <v>0</v>
      </c>
      <c r="K135" s="4" t="str">
        <f t="shared" si="18"/>
        <v>Al23</v>
      </c>
    </row>
    <row r="136" spans="2:11" hidden="1" x14ac:dyDescent="0.2">
      <c r="B136" s="4">
        <v>13024</v>
      </c>
      <c r="C136" s="4">
        <v>0</v>
      </c>
      <c r="D136">
        <v>0</v>
      </c>
      <c r="E136" t="str">
        <f>VLOOKUP(B136,Nuclides!A:F,5,FALSE)</f>
        <v>Al24</v>
      </c>
      <c r="F136">
        <f>VLOOKUP(B136,Nuclides!A:F,4,FALSE)</f>
        <v>2.0529999999999999</v>
      </c>
      <c r="G136" s="4" t="str">
        <f t="shared" si="14"/>
        <v>2.053s</v>
      </c>
      <c r="H136" s="4">
        <f t="shared" si="15"/>
        <v>0.33762648833898945</v>
      </c>
      <c r="I136" s="4">
        <f t="shared" si="16"/>
        <v>0</v>
      </c>
      <c r="J136" s="4">
        <f t="shared" si="17"/>
        <v>0</v>
      </c>
      <c r="K136" s="4" t="str">
        <f t="shared" si="18"/>
        <v>Al24</v>
      </c>
    </row>
    <row r="137" spans="2:11" hidden="1" x14ac:dyDescent="0.2">
      <c r="B137" s="4">
        <v>13025</v>
      </c>
      <c r="C137" s="4">
        <v>0</v>
      </c>
      <c r="D137">
        <v>0</v>
      </c>
      <c r="E137" t="str">
        <f>VLOOKUP(B137,Nuclides!A:F,5,FALSE)</f>
        <v>Al25</v>
      </c>
      <c r="F137">
        <f>VLOOKUP(B137,Nuclides!A:F,4,FALSE)</f>
        <v>7.1829999999999998</v>
      </c>
      <c r="G137" s="4" t="str">
        <f t="shared" si="14"/>
        <v>7.183s</v>
      </c>
      <c r="H137" s="4">
        <f t="shared" si="15"/>
        <v>9.6498284917157909E-2</v>
      </c>
      <c r="I137" s="4">
        <f t="shared" si="16"/>
        <v>0</v>
      </c>
      <c r="J137" s="4">
        <f t="shared" si="17"/>
        <v>0</v>
      </c>
      <c r="K137" s="4" t="str">
        <f t="shared" si="18"/>
        <v>Al25</v>
      </c>
    </row>
    <row r="138" spans="2:11" hidden="1" x14ac:dyDescent="0.2">
      <c r="B138" s="4">
        <v>13026</v>
      </c>
      <c r="C138" s="4">
        <v>0</v>
      </c>
      <c r="D138">
        <v>0</v>
      </c>
      <c r="E138" t="str">
        <f>VLOOKUP(B138,Nuclides!A:F,5,FALSE)</f>
        <v>Al26</v>
      </c>
      <c r="F138">
        <f>VLOOKUP(B138,Nuclides!A:F,4,FALSE)</f>
        <v>22626799200000</v>
      </c>
      <c r="G138" s="4" t="str">
        <f t="shared" si="14"/>
        <v>717491.1y</v>
      </c>
      <c r="H138" s="4">
        <f t="shared" si="15"/>
        <v>3.0633903383026675E-14</v>
      </c>
      <c r="I138" s="4">
        <f t="shared" si="16"/>
        <v>0</v>
      </c>
      <c r="J138" s="4">
        <f t="shared" si="17"/>
        <v>0</v>
      </c>
      <c r="K138" s="4" t="str">
        <f t="shared" si="18"/>
        <v>Al26</v>
      </c>
    </row>
    <row r="139" spans="2:11" hidden="1" x14ac:dyDescent="0.2">
      <c r="B139" s="4">
        <v>13027</v>
      </c>
      <c r="C139" s="4">
        <v>0</v>
      </c>
      <c r="D139">
        <v>0</v>
      </c>
      <c r="E139" t="str">
        <f>VLOOKUP(B139,Nuclides!A:F,5,FALSE)</f>
        <v>Al27</v>
      </c>
      <c r="F139" t="str">
        <f>VLOOKUP(B139,Nuclides!A:F,4,FALSE)</f>
        <v>STABLE</v>
      </c>
      <c r="G139" s="4" t="str">
        <f t="shared" si="14"/>
        <v>STABLE</v>
      </c>
      <c r="H139" s="4" t="e">
        <f t="shared" si="15"/>
        <v>#VALUE!</v>
      </c>
      <c r="I139" s="4" t="e">
        <f t="shared" si="16"/>
        <v>#VALUE!</v>
      </c>
      <c r="J139" s="4" t="e">
        <f t="shared" si="17"/>
        <v>#VALUE!</v>
      </c>
      <c r="K139" s="4" t="str">
        <f t="shared" si="18"/>
        <v>Al27</v>
      </c>
    </row>
    <row r="140" spans="2:11" hidden="1" x14ac:dyDescent="0.2">
      <c r="B140" s="4">
        <v>13028</v>
      </c>
      <c r="C140" s="4">
        <v>0</v>
      </c>
      <c r="D140">
        <v>0</v>
      </c>
      <c r="E140" t="str">
        <f>VLOOKUP(B140,Nuclides!A:F,5,FALSE)</f>
        <v>Al28</v>
      </c>
      <c r="F140">
        <f>VLOOKUP(B140,Nuclides!A:F,4,FALSE)</f>
        <v>134.69999999999999</v>
      </c>
      <c r="G140" s="4" t="str">
        <f t="shared" si="14"/>
        <v>2.25min</v>
      </c>
      <c r="H140" s="4">
        <f t="shared" si="15"/>
        <v>5.1458588014843751E-3</v>
      </c>
      <c r="I140" s="4">
        <f t="shared" si="16"/>
        <v>0</v>
      </c>
      <c r="J140" s="4">
        <f t="shared" si="17"/>
        <v>0</v>
      </c>
      <c r="K140" s="4" t="str">
        <f t="shared" si="18"/>
        <v>Al28</v>
      </c>
    </row>
    <row r="141" spans="2:11" hidden="1" x14ac:dyDescent="0.2">
      <c r="B141" s="4">
        <v>13029</v>
      </c>
      <c r="C141" s="4">
        <v>0</v>
      </c>
      <c r="D141">
        <v>0</v>
      </c>
      <c r="E141" t="str">
        <f>VLOOKUP(B141,Nuclides!A:F,5,FALSE)</f>
        <v>Al29</v>
      </c>
      <c r="F141">
        <f>VLOOKUP(B141,Nuclides!A:F,4,FALSE)</f>
        <v>393.599999999999</v>
      </c>
      <c r="G141" s="4" t="str">
        <f t="shared" si="14"/>
        <v>6.56min</v>
      </c>
      <c r="H141" s="4">
        <f t="shared" si="15"/>
        <v>1.7610446660567759E-3</v>
      </c>
      <c r="I141" s="4">
        <f t="shared" si="16"/>
        <v>0</v>
      </c>
      <c r="J141" s="4">
        <f t="shared" si="17"/>
        <v>0</v>
      </c>
      <c r="K141" s="4" t="str">
        <f t="shared" si="18"/>
        <v>Al29</v>
      </c>
    </row>
    <row r="142" spans="2:11" hidden="1" x14ac:dyDescent="0.2">
      <c r="B142" s="4">
        <v>13030</v>
      </c>
      <c r="C142" s="4">
        <v>0</v>
      </c>
      <c r="D142">
        <v>0</v>
      </c>
      <c r="E142" t="str">
        <f>VLOOKUP(B142,Nuclides!A:F,5,FALSE)</f>
        <v>Al30</v>
      </c>
      <c r="F142">
        <f>VLOOKUP(B142,Nuclides!A:F,4,FALSE)</f>
        <v>3.62</v>
      </c>
      <c r="G142" s="4" t="str">
        <f t="shared" si="14"/>
        <v>3.62s</v>
      </c>
      <c r="H142" s="4">
        <f t="shared" si="15"/>
        <v>0.19147712170164233</v>
      </c>
      <c r="I142" s="4">
        <f t="shared" si="16"/>
        <v>0</v>
      </c>
      <c r="J142" s="4">
        <f t="shared" si="17"/>
        <v>0</v>
      </c>
      <c r="K142" s="4" t="str">
        <f t="shared" si="18"/>
        <v>Al30</v>
      </c>
    </row>
    <row r="143" spans="2:11" hidden="1" x14ac:dyDescent="0.2">
      <c r="B143" s="4">
        <v>13031</v>
      </c>
      <c r="C143" s="4">
        <v>0</v>
      </c>
      <c r="D143">
        <v>0</v>
      </c>
      <c r="E143" t="str">
        <f>VLOOKUP(B143,Nuclides!A:F,5,FALSE)</f>
        <v>Al31</v>
      </c>
      <c r="F143">
        <f>VLOOKUP(B143,Nuclides!A:F,4,FALSE)</f>
        <v>0.64400000000000002</v>
      </c>
      <c r="G143" s="4" t="str">
        <f t="shared" si="14"/>
        <v>0.644s</v>
      </c>
      <c r="H143" s="4">
        <f t="shared" si="15"/>
        <v>1.0763154977638902</v>
      </c>
      <c r="I143" s="4">
        <f t="shared" si="16"/>
        <v>0</v>
      </c>
      <c r="J143" s="4">
        <f t="shared" si="17"/>
        <v>0</v>
      </c>
      <c r="K143" s="4" t="str">
        <f t="shared" si="18"/>
        <v>Al31</v>
      </c>
    </row>
    <row r="144" spans="2:11" hidden="1" x14ac:dyDescent="0.2">
      <c r="B144" s="4">
        <v>13032</v>
      </c>
      <c r="C144" s="4">
        <v>0</v>
      </c>
      <c r="D144">
        <v>0</v>
      </c>
      <c r="E144" t="str">
        <f>VLOOKUP(B144,Nuclides!A:F,5,FALSE)</f>
        <v>Al32</v>
      </c>
      <c r="F144">
        <f>VLOOKUP(B144,Nuclides!A:F,4,FALSE)</f>
        <v>3.1899999999999998E-2</v>
      </c>
      <c r="G144" s="4" t="str">
        <f t="shared" si="14"/>
        <v>0.0319s</v>
      </c>
      <c r="H144" s="4">
        <f t="shared" si="15"/>
        <v>21.728751741691077</v>
      </c>
      <c r="I144" s="4">
        <f t="shared" si="16"/>
        <v>0</v>
      </c>
      <c r="J144" s="4">
        <f t="shared" si="17"/>
        <v>0</v>
      </c>
      <c r="K144" s="4" t="str">
        <f t="shared" si="18"/>
        <v>Al32</v>
      </c>
    </row>
    <row r="145" spans="2:11" hidden="1" x14ac:dyDescent="0.2">
      <c r="B145" s="4">
        <v>13033</v>
      </c>
      <c r="C145" s="4">
        <v>0</v>
      </c>
      <c r="D145">
        <v>0</v>
      </c>
      <c r="E145" t="str">
        <f>VLOOKUP(B145,Nuclides!A:F,5,FALSE)</f>
        <v>Al33</v>
      </c>
      <c r="F145">
        <f>VLOOKUP(B145,Nuclides!A:F,4,FALSE)</f>
        <v>4.1700000000000001E-2</v>
      </c>
      <c r="G145" s="4" t="str">
        <f t="shared" si="14"/>
        <v>0.0417s</v>
      </c>
      <c r="H145" s="4">
        <f t="shared" si="15"/>
        <v>16.622234545802044</v>
      </c>
      <c r="I145" s="4">
        <f t="shared" si="16"/>
        <v>0</v>
      </c>
      <c r="J145" s="4">
        <f t="shared" si="17"/>
        <v>0</v>
      </c>
      <c r="K145" s="4" t="str">
        <f t="shared" si="18"/>
        <v>Al33</v>
      </c>
    </row>
    <row r="146" spans="2:11" hidden="1" x14ac:dyDescent="0.2">
      <c r="B146" s="4">
        <v>13034</v>
      </c>
      <c r="C146" s="4">
        <v>0</v>
      </c>
      <c r="D146">
        <v>0</v>
      </c>
      <c r="E146" t="str">
        <f>VLOOKUP(B146,Nuclides!A:F,5,FALSE)</f>
        <v>Al34</v>
      </c>
      <c r="F146">
        <f>VLOOKUP(B146,Nuclides!A:F,4,FALSE)</f>
        <v>5.6299999999999899E-2</v>
      </c>
      <c r="G146" s="4" t="str">
        <f t="shared" si="14"/>
        <v>0.0562999999999999s</v>
      </c>
      <c r="H146" s="4">
        <f t="shared" si="15"/>
        <v>12.311672834102071</v>
      </c>
      <c r="I146" s="4">
        <f t="shared" si="16"/>
        <v>0</v>
      </c>
      <c r="J146" s="4">
        <f t="shared" si="17"/>
        <v>0</v>
      </c>
      <c r="K146" s="4" t="str">
        <f t="shared" si="18"/>
        <v>Al34</v>
      </c>
    </row>
    <row r="147" spans="2:11" hidden="1" x14ac:dyDescent="0.2">
      <c r="B147" s="4">
        <v>13035</v>
      </c>
      <c r="C147" s="4">
        <v>0</v>
      </c>
      <c r="D147">
        <v>0</v>
      </c>
      <c r="E147" t="str">
        <f>VLOOKUP(B147,Nuclides!A:F,5,FALSE)</f>
        <v>Al35</v>
      </c>
      <c r="F147">
        <f>VLOOKUP(B147,Nuclides!A:F,4,FALSE)</f>
        <v>3.7600000000000001E-2</v>
      </c>
      <c r="G147" s="4" t="str">
        <f t="shared" si="14"/>
        <v>0.0376s</v>
      </c>
      <c r="H147" s="4">
        <f t="shared" si="15"/>
        <v>18.434765440424076</v>
      </c>
      <c r="I147" s="4">
        <f t="shared" si="16"/>
        <v>0</v>
      </c>
      <c r="J147" s="4">
        <f t="shared" si="17"/>
        <v>0</v>
      </c>
      <c r="K147" s="4" t="str">
        <f t="shared" si="18"/>
        <v>Al35</v>
      </c>
    </row>
    <row r="148" spans="2:11" hidden="1" x14ac:dyDescent="0.2">
      <c r="B148" s="4">
        <v>14024</v>
      </c>
      <c r="C148" s="4">
        <v>0</v>
      </c>
      <c r="D148">
        <v>0</v>
      </c>
      <c r="E148" t="str">
        <f>VLOOKUP(B148,Nuclides!A:F,5,FALSE)</f>
        <v>Si24</v>
      </c>
      <c r="F148">
        <f>VLOOKUP(B148,Nuclides!A:F,4,FALSE)</f>
        <v>0.14050000000000001</v>
      </c>
      <c r="G148" s="4" t="str">
        <f t="shared" si="14"/>
        <v>0.1405s</v>
      </c>
      <c r="H148" s="4">
        <f t="shared" si="15"/>
        <v>4.9334318901063714</v>
      </c>
      <c r="I148" s="4">
        <f t="shared" si="16"/>
        <v>0</v>
      </c>
      <c r="J148" s="4">
        <f t="shared" si="17"/>
        <v>0</v>
      </c>
      <c r="K148" s="4" t="str">
        <f t="shared" si="18"/>
        <v>Si24</v>
      </c>
    </row>
    <row r="149" spans="2:11" hidden="1" x14ac:dyDescent="0.2">
      <c r="B149" s="4">
        <v>14025</v>
      </c>
      <c r="C149" s="4">
        <v>0</v>
      </c>
      <c r="D149">
        <v>0</v>
      </c>
      <c r="E149" t="str">
        <f>VLOOKUP(B149,Nuclides!A:F,5,FALSE)</f>
        <v>Si25</v>
      </c>
      <c r="F149">
        <f>VLOOKUP(B149,Nuclides!A:F,4,FALSE)</f>
        <v>0.22</v>
      </c>
      <c r="G149" s="4" t="str">
        <f t="shared" si="14"/>
        <v>0.22s</v>
      </c>
      <c r="H149" s="4">
        <f t="shared" si="15"/>
        <v>3.150669002545206</v>
      </c>
      <c r="I149" s="4">
        <f t="shared" si="16"/>
        <v>0</v>
      </c>
      <c r="J149" s="4">
        <f t="shared" si="17"/>
        <v>0</v>
      </c>
      <c r="K149" s="4" t="str">
        <f t="shared" si="18"/>
        <v>Si25</v>
      </c>
    </row>
    <row r="150" spans="2:11" hidden="1" x14ac:dyDescent="0.2">
      <c r="B150" s="4">
        <v>14026</v>
      </c>
      <c r="C150" s="4">
        <v>0</v>
      </c>
      <c r="D150">
        <v>0</v>
      </c>
      <c r="E150" t="str">
        <f>VLOOKUP(B150,Nuclides!A:F,5,FALSE)</f>
        <v>Si26</v>
      </c>
      <c r="F150">
        <f>VLOOKUP(B150,Nuclides!A:F,4,FALSE)</f>
        <v>2.2452999999999999</v>
      </c>
      <c r="G150" s="4" t="str">
        <f t="shared" si="14"/>
        <v>2.2453s</v>
      </c>
      <c r="H150" s="4">
        <f t="shared" si="15"/>
        <v>0.30871027504562659</v>
      </c>
      <c r="I150" s="4">
        <f t="shared" si="16"/>
        <v>0</v>
      </c>
      <c r="J150" s="4">
        <f t="shared" si="17"/>
        <v>0</v>
      </c>
      <c r="K150" s="4" t="str">
        <f t="shared" si="18"/>
        <v>Si26</v>
      </c>
    </row>
    <row r="151" spans="2:11" hidden="1" x14ac:dyDescent="0.2">
      <c r="B151" s="4">
        <v>14027</v>
      </c>
      <c r="C151" s="4">
        <v>0</v>
      </c>
      <c r="D151">
        <v>0</v>
      </c>
      <c r="E151" t="str">
        <f>VLOOKUP(B151,Nuclides!A:F,5,FALSE)</f>
        <v>Si27</v>
      </c>
      <c r="F151">
        <f>VLOOKUP(B151,Nuclides!A:F,4,FALSE)</f>
        <v>4.1500000000000004</v>
      </c>
      <c r="G151" s="4" t="str">
        <f t="shared" si="14"/>
        <v>4.15s</v>
      </c>
      <c r="H151" s="4">
        <f t="shared" si="15"/>
        <v>0.16702341700239645</v>
      </c>
      <c r="I151" s="4">
        <f t="shared" si="16"/>
        <v>0</v>
      </c>
      <c r="J151" s="4">
        <f t="shared" si="17"/>
        <v>0</v>
      </c>
      <c r="K151" s="4" t="str">
        <f t="shared" si="18"/>
        <v>Si27</v>
      </c>
    </row>
    <row r="152" spans="2:11" hidden="1" x14ac:dyDescent="0.2">
      <c r="B152" s="4">
        <v>14028</v>
      </c>
      <c r="C152" s="4">
        <v>0</v>
      </c>
      <c r="D152">
        <v>0</v>
      </c>
      <c r="E152" t="str">
        <f>VLOOKUP(B152,Nuclides!A:F,5,FALSE)</f>
        <v>Si28</v>
      </c>
      <c r="F152" t="str">
        <f>VLOOKUP(B152,Nuclides!A:F,4,FALSE)</f>
        <v>STABLE</v>
      </c>
      <c r="G152" s="4" t="str">
        <f t="shared" si="14"/>
        <v>STABLE</v>
      </c>
      <c r="H152" s="4" t="e">
        <f t="shared" si="15"/>
        <v>#VALUE!</v>
      </c>
      <c r="I152" s="4" t="e">
        <f t="shared" si="16"/>
        <v>#VALUE!</v>
      </c>
      <c r="J152" s="4" t="e">
        <f t="shared" si="17"/>
        <v>#VALUE!</v>
      </c>
      <c r="K152" s="4" t="str">
        <f t="shared" si="18"/>
        <v>Si28</v>
      </c>
    </row>
    <row r="153" spans="2:11" hidden="1" x14ac:dyDescent="0.2">
      <c r="B153" s="4">
        <v>14029</v>
      </c>
      <c r="C153" s="4">
        <v>0</v>
      </c>
      <c r="D153">
        <v>0</v>
      </c>
      <c r="E153" t="str">
        <f>VLOOKUP(B153,Nuclides!A:F,5,FALSE)</f>
        <v>Si29</v>
      </c>
      <c r="F153" t="str">
        <f>VLOOKUP(B153,Nuclides!A:F,4,FALSE)</f>
        <v>STABLE</v>
      </c>
      <c r="G153" s="4" t="str">
        <f t="shared" si="14"/>
        <v>STABLE</v>
      </c>
      <c r="H153" s="4" t="e">
        <f t="shared" si="15"/>
        <v>#VALUE!</v>
      </c>
      <c r="I153" s="4" t="e">
        <f t="shared" si="16"/>
        <v>#VALUE!</v>
      </c>
      <c r="J153" s="4" t="e">
        <f t="shared" si="17"/>
        <v>#VALUE!</v>
      </c>
      <c r="K153" s="4" t="str">
        <f t="shared" si="18"/>
        <v>Si29</v>
      </c>
    </row>
    <row r="154" spans="2:11" hidden="1" x14ac:dyDescent="0.2">
      <c r="B154" s="4">
        <v>14030</v>
      </c>
      <c r="C154" s="4">
        <v>0</v>
      </c>
      <c r="D154">
        <v>0</v>
      </c>
      <c r="E154" t="str">
        <f>VLOOKUP(B154,Nuclides!A:F,5,FALSE)</f>
        <v>Si30</v>
      </c>
      <c r="F154" t="str">
        <f>VLOOKUP(B154,Nuclides!A:F,4,FALSE)</f>
        <v>STABLE</v>
      </c>
      <c r="G154" s="4" t="str">
        <f t="shared" si="14"/>
        <v>STABLE</v>
      </c>
      <c r="H154" s="4" t="e">
        <f t="shared" si="15"/>
        <v>#VALUE!</v>
      </c>
      <c r="I154" s="4" t="e">
        <f t="shared" si="16"/>
        <v>#VALUE!</v>
      </c>
      <c r="J154" s="4" t="e">
        <f t="shared" si="17"/>
        <v>#VALUE!</v>
      </c>
      <c r="K154" s="4" t="str">
        <f t="shared" si="18"/>
        <v>Si30</v>
      </c>
    </row>
    <row r="155" spans="2:11" hidden="1" x14ac:dyDescent="0.2">
      <c r="B155" s="4">
        <v>14031</v>
      </c>
      <c r="C155" s="4">
        <v>0</v>
      </c>
      <c r="D155">
        <v>0</v>
      </c>
      <c r="E155" t="str">
        <f>VLOOKUP(B155,Nuclides!A:F,5,FALSE)</f>
        <v>Si31</v>
      </c>
      <c r="F155">
        <f>VLOOKUP(B155,Nuclides!A:F,4,FALSE)</f>
        <v>9441.6</v>
      </c>
      <c r="G155" s="4" t="str">
        <f t="shared" si="14"/>
        <v>2.62h</v>
      </c>
      <c r="H155" s="4">
        <f t="shared" si="15"/>
        <v>7.3414165031344817E-5</v>
      </c>
      <c r="I155" s="4">
        <f t="shared" si="16"/>
        <v>0</v>
      </c>
      <c r="J155" s="4">
        <f t="shared" si="17"/>
        <v>0</v>
      </c>
      <c r="K155" s="4" t="str">
        <f t="shared" si="18"/>
        <v>Si31</v>
      </c>
    </row>
    <row r="156" spans="2:11" hidden="1" x14ac:dyDescent="0.2">
      <c r="B156" s="4">
        <v>14032</v>
      </c>
      <c r="C156" s="4">
        <v>0</v>
      </c>
      <c r="D156">
        <v>0</v>
      </c>
      <c r="E156" t="str">
        <f>VLOOKUP(B156,Nuclides!A:F,5,FALSE)</f>
        <v>Si32</v>
      </c>
      <c r="F156">
        <f>VLOOKUP(B156,Nuclides!A:F,4,FALSE)</f>
        <v>4828312800</v>
      </c>
      <c r="G156" s="4" t="str">
        <f t="shared" si="14"/>
        <v>153.1y</v>
      </c>
      <c r="H156" s="4">
        <f t="shared" si="15"/>
        <v>1.4355888055967404E-10</v>
      </c>
      <c r="I156" s="4">
        <f t="shared" si="16"/>
        <v>0</v>
      </c>
      <c r="J156" s="4">
        <f t="shared" si="17"/>
        <v>0</v>
      </c>
      <c r="K156" s="4" t="str">
        <f t="shared" si="18"/>
        <v>Si32</v>
      </c>
    </row>
    <row r="157" spans="2:11" hidden="1" x14ac:dyDescent="0.2">
      <c r="B157" s="4">
        <v>14033</v>
      </c>
      <c r="C157" s="4">
        <v>0</v>
      </c>
      <c r="D157">
        <v>0</v>
      </c>
      <c r="E157" t="str">
        <f>VLOOKUP(B157,Nuclides!A:F,5,FALSE)</f>
        <v>Si33</v>
      </c>
      <c r="F157">
        <f>VLOOKUP(B157,Nuclides!A:F,4,FALSE)</f>
        <v>6.11</v>
      </c>
      <c r="G157" s="4" t="str">
        <f t="shared" si="14"/>
        <v>6.11s</v>
      </c>
      <c r="H157" s="4">
        <f t="shared" si="15"/>
        <v>0.1134447104026097</v>
      </c>
      <c r="I157" s="4">
        <f t="shared" si="16"/>
        <v>0</v>
      </c>
      <c r="J157" s="4">
        <f t="shared" si="17"/>
        <v>0</v>
      </c>
      <c r="K157" s="4" t="str">
        <f t="shared" si="18"/>
        <v>Si33</v>
      </c>
    </row>
    <row r="158" spans="2:11" hidden="1" x14ac:dyDescent="0.2">
      <c r="B158" s="4">
        <v>14034</v>
      </c>
      <c r="C158" s="4">
        <v>0</v>
      </c>
      <c r="D158">
        <v>0</v>
      </c>
      <c r="E158" t="str">
        <f>VLOOKUP(B158,Nuclides!A:F,5,FALSE)</f>
        <v>Si34</v>
      </c>
      <c r="F158">
        <f>VLOOKUP(B158,Nuclides!A:F,4,FALSE)</f>
        <v>2.77</v>
      </c>
      <c r="G158" s="4" t="str">
        <f t="shared" si="14"/>
        <v>2.77s</v>
      </c>
      <c r="H158" s="4">
        <f t="shared" si="15"/>
        <v>0.25023363919131597</v>
      </c>
      <c r="I158" s="4">
        <f t="shared" si="16"/>
        <v>0</v>
      </c>
      <c r="J158" s="4">
        <f t="shared" si="17"/>
        <v>0</v>
      </c>
      <c r="K158" s="4" t="str">
        <f t="shared" si="18"/>
        <v>Si34</v>
      </c>
    </row>
    <row r="159" spans="2:11" hidden="1" x14ac:dyDescent="0.2">
      <c r="B159" s="4">
        <v>14035</v>
      </c>
      <c r="C159" s="4">
        <v>0</v>
      </c>
      <c r="D159">
        <v>0</v>
      </c>
      <c r="E159" t="str">
        <f>VLOOKUP(B159,Nuclides!A:F,5,FALSE)</f>
        <v>Si35</v>
      </c>
      <c r="F159">
        <f>VLOOKUP(B159,Nuclides!A:F,4,FALSE)</f>
        <v>0.78</v>
      </c>
      <c r="G159" s="4" t="str">
        <f t="shared" si="14"/>
        <v>0.78s</v>
      </c>
      <c r="H159" s="4">
        <f t="shared" si="15"/>
        <v>0.88865023148710931</v>
      </c>
      <c r="I159" s="4">
        <f t="shared" si="16"/>
        <v>0</v>
      </c>
      <c r="J159" s="4">
        <f t="shared" si="17"/>
        <v>0</v>
      </c>
      <c r="K159" s="4" t="str">
        <f t="shared" si="18"/>
        <v>Si35</v>
      </c>
    </row>
    <row r="160" spans="2:11" hidden="1" x14ac:dyDescent="0.2">
      <c r="B160" s="4">
        <v>14036</v>
      </c>
      <c r="C160" s="4">
        <v>0</v>
      </c>
      <c r="D160">
        <v>0</v>
      </c>
      <c r="E160" t="str">
        <f>VLOOKUP(B160,Nuclides!A:F,5,FALSE)</f>
        <v>Si36</v>
      </c>
      <c r="F160">
        <f>VLOOKUP(B160,Nuclides!A:F,4,FALSE)</f>
        <v>0.45</v>
      </c>
      <c r="G160" s="4" t="str">
        <f t="shared" si="14"/>
        <v>0.45s</v>
      </c>
      <c r="H160" s="4">
        <f t="shared" si="15"/>
        <v>1.5403270679109895</v>
      </c>
      <c r="I160" s="4">
        <f t="shared" si="16"/>
        <v>0</v>
      </c>
      <c r="J160" s="4">
        <f t="shared" si="17"/>
        <v>0</v>
      </c>
      <c r="K160" s="4" t="str">
        <f t="shared" si="18"/>
        <v>Si36</v>
      </c>
    </row>
    <row r="161" spans="2:11" hidden="1" x14ac:dyDescent="0.2">
      <c r="B161" s="4">
        <v>14037</v>
      </c>
      <c r="C161" s="4">
        <v>0</v>
      </c>
      <c r="D161">
        <v>0</v>
      </c>
      <c r="E161" t="str">
        <f>VLOOKUP(B161,Nuclides!A:F,5,FALSE)</f>
        <v>Si37</v>
      </c>
      <c r="F161">
        <f>VLOOKUP(B161,Nuclides!A:F,4,FALSE)</f>
        <v>0.09</v>
      </c>
      <c r="G161" s="4" t="str">
        <f t="shared" si="14"/>
        <v>0.09s</v>
      </c>
      <c r="H161" s="4">
        <f t="shared" si="15"/>
        <v>7.7016353395549482</v>
      </c>
      <c r="I161" s="4">
        <f t="shared" si="16"/>
        <v>0</v>
      </c>
      <c r="J161" s="4">
        <f t="shared" si="17"/>
        <v>0</v>
      </c>
      <c r="K161" s="4" t="str">
        <f t="shared" si="18"/>
        <v>Si37</v>
      </c>
    </row>
    <row r="162" spans="2:11" hidden="1" x14ac:dyDescent="0.2">
      <c r="B162" s="4">
        <v>14038</v>
      </c>
      <c r="C162" s="4">
        <v>0</v>
      </c>
      <c r="D162">
        <v>0</v>
      </c>
      <c r="E162" t="str">
        <f>VLOOKUP(B162,Nuclides!A:F,5,FALSE)</f>
        <v>Si38</v>
      </c>
      <c r="F162">
        <f>VLOOKUP(B162,Nuclides!A:F,4,FALSE)</f>
        <v>9.5000000000000001E-2</v>
      </c>
      <c r="G162" s="4" t="str">
        <f t="shared" si="14"/>
        <v>0.095s</v>
      </c>
      <c r="H162" s="4">
        <f t="shared" si="15"/>
        <v>7.2962861111573183</v>
      </c>
      <c r="I162" s="4">
        <f t="shared" si="16"/>
        <v>0</v>
      </c>
      <c r="J162" s="4">
        <f t="shared" si="17"/>
        <v>0</v>
      </c>
      <c r="K162" s="4" t="str">
        <f t="shared" si="18"/>
        <v>Si38</v>
      </c>
    </row>
    <row r="163" spans="2:11" hidden="1" x14ac:dyDescent="0.2">
      <c r="B163" s="4">
        <v>14039</v>
      </c>
      <c r="C163" s="4">
        <v>0</v>
      </c>
      <c r="D163">
        <v>0</v>
      </c>
      <c r="E163" t="str">
        <f>VLOOKUP(B163,Nuclides!A:F,5,FALSE)</f>
        <v>Si39</v>
      </c>
      <c r="F163">
        <f>VLOOKUP(B163,Nuclides!A:F,4,FALSE)</f>
        <v>4.7500000000000001E-2</v>
      </c>
      <c r="G163" s="4" t="str">
        <f t="shared" si="14"/>
        <v>0.0475s</v>
      </c>
      <c r="H163" s="4">
        <f t="shared" si="15"/>
        <v>14.592572222314637</v>
      </c>
      <c r="I163" s="4">
        <f t="shared" si="16"/>
        <v>0</v>
      </c>
      <c r="J163" s="4">
        <f t="shared" si="17"/>
        <v>0</v>
      </c>
      <c r="K163" s="4" t="str">
        <f t="shared" si="18"/>
        <v>Si39</v>
      </c>
    </row>
    <row r="164" spans="2:11" hidden="1" x14ac:dyDescent="0.2">
      <c r="B164" s="4">
        <v>15026</v>
      </c>
      <c r="C164" s="4">
        <v>0</v>
      </c>
      <c r="D164">
        <v>0</v>
      </c>
      <c r="E164" t="str">
        <f>VLOOKUP(B164,Nuclides!A:F,5,FALSE)</f>
        <v>P26</v>
      </c>
      <c r="F164">
        <f>VLOOKUP(B164,Nuclides!A:F,4,FALSE)</f>
        <v>4.3700000000000003E-2</v>
      </c>
      <c r="G164" s="4" t="str">
        <f t="shared" si="14"/>
        <v>0.0437s</v>
      </c>
      <c r="H164" s="4">
        <f t="shared" si="15"/>
        <v>15.86149154599417</v>
      </c>
      <c r="I164" s="4">
        <f t="shared" si="16"/>
        <v>0</v>
      </c>
      <c r="J164" s="4">
        <f t="shared" si="17"/>
        <v>0</v>
      </c>
      <c r="K164" s="4" t="str">
        <f t="shared" si="18"/>
        <v>P26</v>
      </c>
    </row>
    <row r="165" spans="2:11" hidden="1" x14ac:dyDescent="0.2">
      <c r="B165" s="4">
        <v>15027</v>
      </c>
      <c r="C165" s="4">
        <v>0</v>
      </c>
      <c r="D165">
        <v>0</v>
      </c>
      <c r="E165" t="str">
        <f>VLOOKUP(B165,Nuclides!A:F,5,FALSE)</f>
        <v>P27</v>
      </c>
      <c r="F165">
        <f>VLOOKUP(B165,Nuclides!A:F,4,FALSE)</f>
        <v>0.26</v>
      </c>
      <c r="G165" s="4" t="str">
        <f t="shared" si="14"/>
        <v>0.26s</v>
      </c>
      <c r="H165" s="4">
        <f t="shared" si="15"/>
        <v>2.665950694461328</v>
      </c>
      <c r="I165" s="4">
        <f t="shared" si="16"/>
        <v>0</v>
      </c>
      <c r="J165" s="4">
        <f t="shared" si="17"/>
        <v>0</v>
      </c>
      <c r="K165" s="4" t="str">
        <f t="shared" si="18"/>
        <v>P27</v>
      </c>
    </row>
    <row r="166" spans="2:11" hidden="1" x14ac:dyDescent="0.2">
      <c r="B166" s="4">
        <v>15028</v>
      </c>
      <c r="C166" s="4">
        <v>0</v>
      </c>
      <c r="D166">
        <v>0</v>
      </c>
      <c r="E166" t="str">
        <f>VLOOKUP(B166,Nuclides!A:F,5,FALSE)</f>
        <v>P28</v>
      </c>
      <c r="F166">
        <f>VLOOKUP(B166,Nuclides!A:F,4,FALSE)</f>
        <v>0.27029999999999998</v>
      </c>
      <c r="G166" s="4" t="str">
        <f t="shared" si="14"/>
        <v>0.2703s</v>
      </c>
      <c r="H166" s="4">
        <f t="shared" si="15"/>
        <v>2.5643624881980958</v>
      </c>
      <c r="I166" s="4">
        <f t="shared" si="16"/>
        <v>0</v>
      </c>
      <c r="J166" s="4">
        <f t="shared" si="17"/>
        <v>0</v>
      </c>
      <c r="K166" s="4" t="str">
        <f t="shared" si="18"/>
        <v>P28</v>
      </c>
    </row>
    <row r="167" spans="2:11" hidden="1" x14ac:dyDescent="0.2">
      <c r="B167" s="4">
        <v>15029</v>
      </c>
      <c r="C167" s="4">
        <v>0</v>
      </c>
      <c r="D167">
        <v>0</v>
      </c>
      <c r="E167" t="str">
        <f>VLOOKUP(B167,Nuclides!A:F,5,FALSE)</f>
        <v>P29</v>
      </c>
      <c r="F167">
        <f>VLOOKUP(B167,Nuclides!A:F,4,FALSE)</f>
        <v>4.1420000000000003</v>
      </c>
      <c r="G167" s="4" t="str">
        <f t="shared" si="14"/>
        <v>4.142s</v>
      </c>
      <c r="H167" s="4">
        <f t="shared" si="15"/>
        <v>0.16734601172379171</v>
      </c>
      <c r="I167" s="4">
        <f t="shared" si="16"/>
        <v>0</v>
      </c>
      <c r="J167" s="4">
        <f t="shared" si="17"/>
        <v>0</v>
      </c>
      <c r="K167" s="4" t="str">
        <f t="shared" si="18"/>
        <v>P29</v>
      </c>
    </row>
    <row r="168" spans="2:11" hidden="1" x14ac:dyDescent="0.2">
      <c r="B168" s="4">
        <v>15030</v>
      </c>
      <c r="C168" s="4">
        <v>0</v>
      </c>
      <c r="D168">
        <v>0</v>
      </c>
      <c r="E168" t="str">
        <f>VLOOKUP(B168,Nuclides!A:F,5,FALSE)</f>
        <v>P30</v>
      </c>
      <c r="F168">
        <f>VLOOKUP(B168,Nuclides!A:F,4,FALSE)</f>
        <v>149.88</v>
      </c>
      <c r="G168" s="4" t="str">
        <f t="shared" si="14"/>
        <v>2.5min</v>
      </c>
      <c r="H168" s="4">
        <f t="shared" si="15"/>
        <v>4.6246809484917625E-3</v>
      </c>
      <c r="I168" s="4">
        <f t="shared" si="16"/>
        <v>0</v>
      </c>
      <c r="J168" s="4">
        <f t="shared" si="17"/>
        <v>0</v>
      </c>
      <c r="K168" s="4" t="str">
        <f t="shared" si="18"/>
        <v>P30</v>
      </c>
    </row>
    <row r="169" spans="2:11" hidden="1" x14ac:dyDescent="0.2">
      <c r="B169" s="4">
        <v>15031</v>
      </c>
      <c r="C169" s="4">
        <v>0</v>
      </c>
      <c r="D169">
        <v>0</v>
      </c>
      <c r="E169" t="str">
        <f>VLOOKUP(B169,Nuclides!A:F,5,FALSE)</f>
        <v>P31</v>
      </c>
      <c r="F169" t="str">
        <f>VLOOKUP(B169,Nuclides!A:F,4,FALSE)</f>
        <v>STABLE</v>
      </c>
      <c r="G169" s="4" t="str">
        <f t="shared" si="14"/>
        <v>STABLE</v>
      </c>
      <c r="H169" s="4" t="e">
        <f t="shared" si="15"/>
        <v>#VALUE!</v>
      </c>
      <c r="I169" s="4" t="e">
        <f t="shared" si="16"/>
        <v>#VALUE!</v>
      </c>
      <c r="J169" s="4" t="e">
        <f t="shared" si="17"/>
        <v>#VALUE!</v>
      </c>
      <c r="K169" s="4" t="str">
        <f t="shared" si="18"/>
        <v>P31</v>
      </c>
    </row>
    <row r="170" spans="2:11" hidden="1" x14ac:dyDescent="0.2">
      <c r="B170" s="4">
        <v>15032</v>
      </c>
      <c r="C170" s="4">
        <v>0</v>
      </c>
      <c r="D170">
        <v>0</v>
      </c>
      <c r="E170" t="str">
        <f>VLOOKUP(B170,Nuclides!A:F,5,FALSE)</f>
        <v>P32</v>
      </c>
      <c r="F170">
        <f>VLOOKUP(B170,Nuclides!A:F,4,FALSE)</f>
        <v>1232755.2</v>
      </c>
      <c r="G170" s="4" t="str">
        <f t="shared" si="14"/>
        <v>14.27d</v>
      </c>
      <c r="H170" s="4">
        <f t="shared" si="15"/>
        <v>5.6227479759156183E-7</v>
      </c>
      <c r="I170" s="4">
        <f t="shared" si="16"/>
        <v>0</v>
      </c>
      <c r="J170" s="4">
        <f t="shared" si="17"/>
        <v>0</v>
      </c>
      <c r="K170" s="4" t="str">
        <f t="shared" si="18"/>
        <v>P32</v>
      </c>
    </row>
    <row r="171" spans="2:11" hidden="1" x14ac:dyDescent="0.2">
      <c r="B171" s="4">
        <v>15033</v>
      </c>
      <c r="C171" s="4">
        <v>0</v>
      </c>
      <c r="D171">
        <v>0</v>
      </c>
      <c r="E171" t="str">
        <f>VLOOKUP(B171,Nuclides!A:F,5,FALSE)</f>
        <v>P33</v>
      </c>
      <c r="F171">
        <f>VLOOKUP(B171,Nuclides!A:F,4,FALSE)</f>
        <v>2190240</v>
      </c>
      <c r="G171" s="4" t="str">
        <f t="shared" si="14"/>
        <v>25.35d</v>
      </c>
      <c r="H171" s="4">
        <f t="shared" si="15"/>
        <v>3.1647088015922699E-7</v>
      </c>
      <c r="I171" s="4">
        <f t="shared" si="16"/>
        <v>0</v>
      </c>
      <c r="J171" s="4">
        <f t="shared" si="17"/>
        <v>0</v>
      </c>
      <c r="K171" s="4" t="str">
        <f t="shared" si="18"/>
        <v>P33</v>
      </c>
    </row>
    <row r="172" spans="2:11" hidden="1" x14ac:dyDescent="0.2">
      <c r="B172" s="4">
        <v>15034</v>
      </c>
      <c r="C172" s="4">
        <v>0</v>
      </c>
      <c r="D172">
        <v>0</v>
      </c>
      <c r="E172" t="str">
        <f>VLOOKUP(B172,Nuclides!A:F,5,FALSE)</f>
        <v>P34</v>
      </c>
      <c r="F172">
        <f>VLOOKUP(B172,Nuclides!A:F,4,FALSE)</f>
        <v>12.43</v>
      </c>
      <c r="G172" s="4" t="str">
        <f t="shared" si="14"/>
        <v>12.43s</v>
      </c>
      <c r="H172" s="4">
        <f t="shared" si="15"/>
        <v>5.5764053142393022E-2</v>
      </c>
      <c r="I172" s="4">
        <f t="shared" si="16"/>
        <v>0</v>
      </c>
      <c r="J172" s="4">
        <f t="shared" si="17"/>
        <v>0</v>
      </c>
      <c r="K172" s="4" t="str">
        <f t="shared" si="18"/>
        <v>P34</v>
      </c>
    </row>
    <row r="173" spans="2:11" hidden="1" x14ac:dyDescent="0.2">
      <c r="B173" s="4">
        <v>15035</v>
      </c>
      <c r="C173" s="4">
        <v>0</v>
      </c>
      <c r="D173">
        <v>0</v>
      </c>
      <c r="E173" t="str">
        <f>VLOOKUP(B173,Nuclides!A:F,5,FALSE)</f>
        <v>P35</v>
      </c>
      <c r="F173">
        <f>VLOOKUP(B173,Nuclides!A:F,4,FALSE)</f>
        <v>47.3</v>
      </c>
      <c r="G173" s="4" t="str">
        <f t="shared" si="14"/>
        <v>47.3s</v>
      </c>
      <c r="H173" s="4">
        <f t="shared" si="15"/>
        <v>1.4654274430442819E-2</v>
      </c>
      <c r="I173" s="4">
        <f t="shared" si="16"/>
        <v>0</v>
      </c>
      <c r="J173" s="4">
        <f t="shared" si="17"/>
        <v>0</v>
      </c>
      <c r="K173" s="4" t="str">
        <f t="shared" si="18"/>
        <v>P35</v>
      </c>
    </row>
    <row r="174" spans="2:11" hidden="1" x14ac:dyDescent="0.2">
      <c r="B174" s="4">
        <v>15036</v>
      </c>
      <c r="C174" s="4">
        <v>0</v>
      </c>
      <c r="D174">
        <v>0</v>
      </c>
      <c r="E174" t="str">
        <f>VLOOKUP(B174,Nuclides!A:F,5,FALSE)</f>
        <v>P36</v>
      </c>
      <c r="F174">
        <f>VLOOKUP(B174,Nuclides!A:F,4,FALSE)</f>
        <v>5.6</v>
      </c>
      <c r="G174" s="4" t="str">
        <f t="shared" si="14"/>
        <v>5.6s</v>
      </c>
      <c r="H174" s="4">
        <f t="shared" si="15"/>
        <v>0.12377628224284738</v>
      </c>
      <c r="I174" s="4">
        <f t="shared" si="16"/>
        <v>0</v>
      </c>
      <c r="J174" s="4">
        <f t="shared" si="17"/>
        <v>0</v>
      </c>
      <c r="K174" s="4" t="str">
        <f t="shared" si="18"/>
        <v>P36</v>
      </c>
    </row>
    <row r="175" spans="2:11" hidden="1" x14ac:dyDescent="0.2">
      <c r="B175" s="4">
        <v>15037</v>
      </c>
      <c r="C175" s="4">
        <v>0</v>
      </c>
      <c r="D175">
        <v>0</v>
      </c>
      <c r="E175" t="str">
        <f>VLOOKUP(B175,Nuclides!A:F,5,FALSE)</f>
        <v>P37</v>
      </c>
      <c r="F175">
        <f>VLOOKUP(B175,Nuclides!A:F,4,FALSE)</f>
        <v>2.31</v>
      </c>
      <c r="G175" s="4" t="str">
        <f t="shared" si="14"/>
        <v>2.31s</v>
      </c>
      <c r="H175" s="4">
        <f t="shared" si="15"/>
        <v>0.30006371452811481</v>
      </c>
      <c r="I175" s="4">
        <f t="shared" si="16"/>
        <v>0</v>
      </c>
      <c r="J175" s="4">
        <f t="shared" si="17"/>
        <v>0</v>
      </c>
      <c r="K175" s="4" t="str">
        <f t="shared" si="18"/>
        <v>P37</v>
      </c>
    </row>
    <row r="176" spans="2:11" hidden="1" x14ac:dyDescent="0.2">
      <c r="B176" s="4">
        <v>15038</v>
      </c>
      <c r="C176" s="4">
        <v>0</v>
      </c>
      <c r="D176">
        <v>0</v>
      </c>
      <c r="E176" t="str">
        <f>VLOOKUP(B176,Nuclides!A:F,5,FALSE)</f>
        <v>P38</v>
      </c>
      <c r="F176">
        <f>VLOOKUP(B176,Nuclides!A:F,4,FALSE)</f>
        <v>0.64</v>
      </c>
      <c r="G176" s="4" t="str">
        <f t="shared" si="14"/>
        <v>0.64s</v>
      </c>
      <c r="H176" s="4">
        <f t="shared" si="15"/>
        <v>1.0830424696249146</v>
      </c>
      <c r="I176" s="4">
        <f t="shared" si="16"/>
        <v>0</v>
      </c>
      <c r="J176" s="4">
        <f t="shared" si="17"/>
        <v>0</v>
      </c>
      <c r="K176" s="4" t="str">
        <f t="shared" si="18"/>
        <v>P38</v>
      </c>
    </row>
    <row r="177" spans="2:11" hidden="1" x14ac:dyDescent="0.2">
      <c r="B177" s="4">
        <v>15039</v>
      </c>
      <c r="C177" s="4">
        <v>0</v>
      </c>
      <c r="D177">
        <v>0</v>
      </c>
      <c r="E177" t="str">
        <f>VLOOKUP(B177,Nuclides!A:F,5,FALSE)</f>
        <v>P39</v>
      </c>
      <c r="F177">
        <f>VLOOKUP(B177,Nuclides!A:F,4,FALSE)</f>
        <v>0.28000000000000003</v>
      </c>
      <c r="G177" s="4" t="str">
        <f t="shared" si="14"/>
        <v>0.28s</v>
      </c>
      <c r="H177" s="4">
        <f t="shared" si="15"/>
        <v>2.4755256448569471</v>
      </c>
      <c r="I177" s="4">
        <f t="shared" si="16"/>
        <v>0</v>
      </c>
      <c r="J177" s="4">
        <f t="shared" si="17"/>
        <v>0</v>
      </c>
      <c r="K177" s="4" t="str">
        <f t="shared" si="18"/>
        <v>P39</v>
      </c>
    </row>
    <row r="178" spans="2:11" hidden="1" x14ac:dyDescent="0.2">
      <c r="B178" s="4">
        <v>15040</v>
      </c>
      <c r="C178" s="4">
        <v>0</v>
      </c>
      <c r="D178">
        <v>0</v>
      </c>
      <c r="E178" t="str">
        <f>VLOOKUP(B178,Nuclides!A:F,5,FALSE)</f>
        <v>P40</v>
      </c>
      <c r="F178">
        <f>VLOOKUP(B178,Nuclides!A:F,4,FALSE)</f>
        <v>0.15</v>
      </c>
      <c r="G178" s="4" t="str">
        <f t="shared" si="14"/>
        <v>0.15s</v>
      </c>
      <c r="H178" s="4">
        <f t="shared" si="15"/>
        <v>4.6209812037329687</v>
      </c>
      <c r="I178" s="4">
        <f t="shared" si="16"/>
        <v>0</v>
      </c>
      <c r="J178" s="4">
        <f t="shared" si="17"/>
        <v>0</v>
      </c>
      <c r="K178" s="4" t="str">
        <f t="shared" si="18"/>
        <v>P40</v>
      </c>
    </row>
    <row r="179" spans="2:11" hidden="1" x14ac:dyDescent="0.2">
      <c r="B179" s="4">
        <v>15041</v>
      </c>
      <c r="C179" s="4">
        <v>0</v>
      </c>
      <c r="D179">
        <v>0</v>
      </c>
      <c r="E179" t="str">
        <f>VLOOKUP(B179,Nuclides!A:F,5,FALSE)</f>
        <v>P41</v>
      </c>
      <c r="F179">
        <f>VLOOKUP(B179,Nuclides!A:F,4,FALSE)</f>
        <v>0.10100000000000001</v>
      </c>
      <c r="G179" s="4" t="str">
        <f t="shared" si="14"/>
        <v>0.101s</v>
      </c>
      <c r="H179" s="4">
        <f t="shared" si="15"/>
        <v>6.8628433718806461</v>
      </c>
      <c r="I179" s="4">
        <f t="shared" si="16"/>
        <v>0</v>
      </c>
      <c r="J179" s="4">
        <f t="shared" si="17"/>
        <v>0</v>
      </c>
      <c r="K179" s="4" t="str">
        <f t="shared" si="18"/>
        <v>P41</v>
      </c>
    </row>
    <row r="180" spans="2:11" hidden="1" x14ac:dyDescent="0.2">
      <c r="B180" s="4">
        <v>15042</v>
      </c>
      <c r="C180" s="4">
        <v>0</v>
      </c>
      <c r="D180">
        <v>0</v>
      </c>
      <c r="E180" t="str">
        <f>VLOOKUP(B180,Nuclides!A:F,5,FALSE)</f>
        <v>P42</v>
      </c>
      <c r="F180">
        <f>VLOOKUP(B180,Nuclides!A:F,4,FALSE)</f>
        <v>4.8500000000000001E-2</v>
      </c>
      <c r="G180" s="4" t="str">
        <f t="shared" si="14"/>
        <v>0.0485s</v>
      </c>
      <c r="H180" s="4">
        <f t="shared" si="15"/>
        <v>14.291694444534954</v>
      </c>
      <c r="I180" s="4">
        <f t="shared" si="16"/>
        <v>0</v>
      </c>
      <c r="J180" s="4">
        <f t="shared" si="17"/>
        <v>0</v>
      </c>
      <c r="K180" s="4" t="str">
        <f t="shared" si="18"/>
        <v>P42</v>
      </c>
    </row>
    <row r="181" spans="2:11" hidden="1" x14ac:dyDescent="0.2">
      <c r="B181" s="4">
        <v>16029</v>
      </c>
      <c r="C181" s="4">
        <v>0</v>
      </c>
      <c r="D181">
        <v>0</v>
      </c>
      <c r="E181" t="str">
        <f>VLOOKUP(B181,Nuclides!A:F,5,FALSE)</f>
        <v>S29</v>
      </c>
      <c r="F181">
        <f>VLOOKUP(B181,Nuclides!A:F,4,FALSE)</f>
        <v>0.188</v>
      </c>
      <c r="G181" s="4" t="str">
        <f t="shared" si="14"/>
        <v>0.188s</v>
      </c>
      <c r="H181" s="4">
        <f t="shared" si="15"/>
        <v>3.6869530880848154</v>
      </c>
      <c r="I181" s="4">
        <f t="shared" si="16"/>
        <v>0</v>
      </c>
      <c r="J181" s="4">
        <f t="shared" si="17"/>
        <v>0</v>
      </c>
      <c r="K181" s="4" t="str">
        <f t="shared" si="18"/>
        <v>S29</v>
      </c>
    </row>
    <row r="182" spans="2:11" hidden="1" x14ac:dyDescent="0.2">
      <c r="B182" s="4">
        <v>16030</v>
      </c>
      <c r="C182" s="4">
        <v>0</v>
      </c>
      <c r="D182">
        <v>0</v>
      </c>
      <c r="E182" t="str">
        <f>VLOOKUP(B182,Nuclides!A:F,5,FALSE)</f>
        <v>S30</v>
      </c>
      <c r="F182">
        <f>VLOOKUP(B182,Nuclides!A:F,4,FALSE)</f>
        <v>1.1779999999999999</v>
      </c>
      <c r="G182" s="4" t="str">
        <f t="shared" si="14"/>
        <v>1.178s</v>
      </c>
      <c r="H182" s="4">
        <f t="shared" si="15"/>
        <v>0.5884101702546225</v>
      </c>
      <c r="I182" s="4">
        <f t="shared" si="16"/>
        <v>0</v>
      </c>
      <c r="J182" s="4">
        <f t="shared" si="17"/>
        <v>0</v>
      </c>
      <c r="K182" s="4" t="str">
        <f t="shared" si="18"/>
        <v>S30</v>
      </c>
    </row>
    <row r="183" spans="2:11" hidden="1" x14ac:dyDescent="0.2">
      <c r="B183" s="4">
        <v>16031</v>
      </c>
      <c r="C183" s="4">
        <v>0</v>
      </c>
      <c r="D183">
        <v>0</v>
      </c>
      <c r="E183" t="str">
        <f>VLOOKUP(B183,Nuclides!A:F,5,FALSE)</f>
        <v>S31</v>
      </c>
      <c r="F183">
        <f>VLOOKUP(B183,Nuclides!A:F,4,FALSE)</f>
        <v>2.5533999999999999</v>
      </c>
      <c r="G183" s="4" t="str">
        <f t="shared" si="14"/>
        <v>2.5534s</v>
      </c>
      <c r="H183" s="4">
        <f t="shared" si="15"/>
        <v>0.27146047644706872</v>
      </c>
      <c r="I183" s="4">
        <f t="shared" si="16"/>
        <v>0</v>
      </c>
      <c r="J183" s="4">
        <f t="shared" si="17"/>
        <v>0</v>
      </c>
      <c r="K183" s="4" t="str">
        <f t="shared" si="18"/>
        <v>S31</v>
      </c>
    </row>
    <row r="184" spans="2:11" hidden="1" x14ac:dyDescent="0.2">
      <c r="B184" s="4">
        <v>16032</v>
      </c>
      <c r="C184" s="4">
        <v>0</v>
      </c>
      <c r="D184">
        <v>0</v>
      </c>
      <c r="E184" t="str">
        <f>VLOOKUP(B184,Nuclides!A:F,5,FALSE)</f>
        <v>S32</v>
      </c>
      <c r="F184" t="str">
        <f>VLOOKUP(B184,Nuclides!A:F,4,FALSE)</f>
        <v>STABLE</v>
      </c>
      <c r="G184" s="4" t="str">
        <f t="shared" si="14"/>
        <v>STABLE</v>
      </c>
      <c r="H184" s="4" t="e">
        <f t="shared" si="15"/>
        <v>#VALUE!</v>
      </c>
      <c r="I184" s="4" t="e">
        <f t="shared" si="16"/>
        <v>#VALUE!</v>
      </c>
      <c r="J184" s="4" t="e">
        <f t="shared" si="17"/>
        <v>#VALUE!</v>
      </c>
      <c r="K184" s="4" t="str">
        <f t="shared" si="18"/>
        <v>S32</v>
      </c>
    </row>
    <row r="185" spans="2:11" hidden="1" x14ac:dyDescent="0.2">
      <c r="B185" s="4">
        <v>16033</v>
      </c>
      <c r="C185" s="4">
        <v>0</v>
      </c>
      <c r="D185">
        <v>0</v>
      </c>
      <c r="E185" t="str">
        <f>VLOOKUP(B185,Nuclides!A:F,5,FALSE)</f>
        <v>S33</v>
      </c>
      <c r="F185" t="str">
        <f>VLOOKUP(B185,Nuclides!A:F,4,FALSE)</f>
        <v>STABLE</v>
      </c>
      <c r="G185" s="4" t="str">
        <f t="shared" si="14"/>
        <v>STABLE</v>
      </c>
      <c r="H185" s="4" t="e">
        <f t="shared" si="15"/>
        <v>#VALUE!</v>
      </c>
      <c r="I185" s="4" t="e">
        <f t="shared" si="16"/>
        <v>#VALUE!</v>
      </c>
      <c r="J185" s="4" t="e">
        <f t="shared" si="17"/>
        <v>#VALUE!</v>
      </c>
      <c r="K185" s="4" t="str">
        <f t="shared" si="18"/>
        <v>S33</v>
      </c>
    </row>
    <row r="186" spans="2:11" hidden="1" x14ac:dyDescent="0.2">
      <c r="B186" s="4">
        <v>16034</v>
      </c>
      <c r="C186" s="4">
        <v>0</v>
      </c>
      <c r="D186">
        <v>0</v>
      </c>
      <c r="E186" t="str">
        <f>VLOOKUP(B186,Nuclides!A:F,5,FALSE)</f>
        <v>S34</v>
      </c>
      <c r="F186" t="str">
        <f>VLOOKUP(B186,Nuclides!A:F,4,FALSE)</f>
        <v>STABLE</v>
      </c>
      <c r="G186" s="4" t="str">
        <f t="shared" si="14"/>
        <v>STABLE</v>
      </c>
      <c r="H186" s="4" t="e">
        <f t="shared" si="15"/>
        <v>#VALUE!</v>
      </c>
      <c r="I186" s="4" t="e">
        <f t="shared" si="16"/>
        <v>#VALUE!</v>
      </c>
      <c r="J186" s="4" t="e">
        <f t="shared" si="17"/>
        <v>#VALUE!</v>
      </c>
      <c r="K186" s="4" t="str">
        <f t="shared" si="18"/>
        <v>S34</v>
      </c>
    </row>
    <row r="187" spans="2:11" hidden="1" x14ac:dyDescent="0.2">
      <c r="B187" s="4">
        <v>16035</v>
      </c>
      <c r="C187" s="4">
        <v>0</v>
      </c>
      <c r="D187">
        <v>0</v>
      </c>
      <c r="E187" t="str">
        <f>VLOOKUP(B187,Nuclides!A:F,5,FALSE)</f>
        <v>S35</v>
      </c>
      <c r="F187">
        <f>VLOOKUP(B187,Nuclides!A:F,4,FALSE)</f>
        <v>7548768</v>
      </c>
      <c r="G187" s="4" t="str">
        <f t="shared" si="14"/>
        <v>87.37d</v>
      </c>
      <c r="H187" s="4">
        <f t="shared" si="15"/>
        <v>9.1822557079505592E-8</v>
      </c>
      <c r="I187" s="4">
        <f t="shared" si="16"/>
        <v>0</v>
      </c>
      <c r="J187" s="4">
        <f t="shared" si="17"/>
        <v>0</v>
      </c>
      <c r="K187" s="4" t="str">
        <f t="shared" si="18"/>
        <v>S35</v>
      </c>
    </row>
    <row r="188" spans="2:11" hidden="1" x14ac:dyDescent="0.2">
      <c r="B188" s="4">
        <v>16036</v>
      </c>
      <c r="C188" s="4">
        <v>0</v>
      </c>
      <c r="D188">
        <v>0</v>
      </c>
      <c r="E188" t="str">
        <f>VLOOKUP(B188,Nuclides!A:F,5,FALSE)</f>
        <v>S36</v>
      </c>
      <c r="F188" t="str">
        <f>VLOOKUP(B188,Nuclides!A:F,4,FALSE)</f>
        <v>STABLE</v>
      </c>
      <c r="G188" s="4" t="str">
        <f t="shared" si="14"/>
        <v>STABLE</v>
      </c>
      <c r="H188" s="4" t="e">
        <f t="shared" si="15"/>
        <v>#VALUE!</v>
      </c>
      <c r="I188" s="4" t="e">
        <f t="shared" si="16"/>
        <v>#VALUE!</v>
      </c>
      <c r="J188" s="4" t="e">
        <f t="shared" si="17"/>
        <v>#VALUE!</v>
      </c>
      <c r="K188" s="4" t="str">
        <f t="shared" si="18"/>
        <v>S36</v>
      </c>
    </row>
    <row r="189" spans="2:11" hidden="1" x14ac:dyDescent="0.2">
      <c r="B189" s="4">
        <v>16037</v>
      </c>
      <c r="C189" s="4">
        <v>0</v>
      </c>
      <c r="D189">
        <v>0</v>
      </c>
      <c r="E189" t="str">
        <f>VLOOKUP(B189,Nuclides!A:F,5,FALSE)</f>
        <v>S37</v>
      </c>
      <c r="F189">
        <f>VLOOKUP(B189,Nuclides!A:F,4,FALSE)</f>
        <v>303</v>
      </c>
      <c r="G189" s="4" t="str">
        <f t="shared" si="14"/>
        <v>5.05min</v>
      </c>
      <c r="H189" s="4">
        <f t="shared" si="15"/>
        <v>2.2876144572935488E-3</v>
      </c>
      <c r="I189" s="4">
        <f t="shared" si="16"/>
        <v>0</v>
      </c>
      <c r="J189" s="4">
        <f t="shared" si="17"/>
        <v>0</v>
      </c>
      <c r="K189" s="4" t="str">
        <f t="shared" si="18"/>
        <v>S37</v>
      </c>
    </row>
    <row r="190" spans="2:11" hidden="1" x14ac:dyDescent="0.2">
      <c r="B190" s="4">
        <v>16038</v>
      </c>
      <c r="C190" s="4">
        <v>0</v>
      </c>
      <c r="D190">
        <v>0</v>
      </c>
      <c r="E190" t="str">
        <f>VLOOKUP(B190,Nuclides!A:F,5,FALSE)</f>
        <v>S38</v>
      </c>
      <c r="F190">
        <f>VLOOKUP(B190,Nuclides!A:F,4,FALSE)</f>
        <v>10218</v>
      </c>
      <c r="G190" s="4" t="str">
        <f t="shared" si="14"/>
        <v>2.84h</v>
      </c>
      <c r="H190" s="4">
        <f t="shared" si="15"/>
        <v>6.7835895533367125E-5</v>
      </c>
      <c r="I190" s="4">
        <f t="shared" si="16"/>
        <v>0</v>
      </c>
      <c r="J190" s="4">
        <f t="shared" si="17"/>
        <v>0</v>
      </c>
      <c r="K190" s="4" t="str">
        <f t="shared" si="18"/>
        <v>S38</v>
      </c>
    </row>
    <row r="191" spans="2:11" hidden="1" x14ac:dyDescent="0.2">
      <c r="B191" s="4">
        <v>16039</v>
      </c>
      <c r="C191" s="4">
        <v>0</v>
      </c>
      <c r="D191">
        <v>0</v>
      </c>
      <c r="E191" t="str">
        <f>VLOOKUP(B191,Nuclides!A:F,5,FALSE)</f>
        <v>S39</v>
      </c>
      <c r="F191">
        <f>VLOOKUP(B191,Nuclides!A:F,4,FALSE)</f>
        <v>11.5</v>
      </c>
      <c r="G191" s="4" t="str">
        <f t="shared" si="14"/>
        <v>11.5s</v>
      </c>
      <c r="H191" s="4">
        <f t="shared" si="15"/>
        <v>6.027366787477785E-2</v>
      </c>
      <c r="I191" s="4">
        <f t="shared" si="16"/>
        <v>0</v>
      </c>
      <c r="J191" s="4">
        <f t="shared" si="17"/>
        <v>0</v>
      </c>
      <c r="K191" s="4" t="str">
        <f t="shared" si="18"/>
        <v>S39</v>
      </c>
    </row>
    <row r="192" spans="2:11" hidden="1" x14ac:dyDescent="0.2">
      <c r="B192" s="4">
        <v>16040</v>
      </c>
      <c r="C192" s="4">
        <v>0</v>
      </c>
      <c r="D192">
        <v>0</v>
      </c>
      <c r="E192" t="str">
        <f>VLOOKUP(B192,Nuclides!A:F,5,FALSE)</f>
        <v>S40</v>
      </c>
      <c r="F192">
        <f>VLOOKUP(B192,Nuclides!A:F,4,FALSE)</f>
        <v>8.8000000000000007</v>
      </c>
      <c r="G192" s="4" t="str">
        <f t="shared" si="14"/>
        <v>8.8s</v>
      </c>
      <c r="H192" s="4">
        <f t="shared" si="15"/>
        <v>7.8766725063630139E-2</v>
      </c>
      <c r="I192" s="4">
        <f t="shared" si="16"/>
        <v>0</v>
      </c>
      <c r="J192" s="4">
        <f t="shared" si="17"/>
        <v>0</v>
      </c>
      <c r="K192" s="4" t="str">
        <f t="shared" si="18"/>
        <v>S40</v>
      </c>
    </row>
    <row r="193" spans="2:11" hidden="1" x14ac:dyDescent="0.2">
      <c r="B193" s="4">
        <v>16041</v>
      </c>
      <c r="C193" s="4">
        <v>0</v>
      </c>
      <c r="D193">
        <v>0</v>
      </c>
      <c r="E193" t="str">
        <f>VLOOKUP(B193,Nuclides!A:F,5,FALSE)</f>
        <v>S41</v>
      </c>
      <c r="F193">
        <f>VLOOKUP(B193,Nuclides!A:F,4,FALSE)</f>
        <v>2.6</v>
      </c>
      <c r="G193" s="4" t="str">
        <f t="shared" si="14"/>
        <v>2.6s</v>
      </c>
      <c r="H193" s="4">
        <f t="shared" si="15"/>
        <v>0.26659506944613282</v>
      </c>
      <c r="I193" s="4">
        <f t="shared" si="16"/>
        <v>0</v>
      </c>
      <c r="J193" s="4">
        <f t="shared" si="17"/>
        <v>0</v>
      </c>
      <c r="K193" s="4" t="str">
        <f t="shared" si="18"/>
        <v>S41</v>
      </c>
    </row>
    <row r="194" spans="2:11" hidden="1" x14ac:dyDescent="0.2">
      <c r="B194" s="4">
        <v>16042</v>
      </c>
      <c r="C194" s="4">
        <v>0</v>
      </c>
      <c r="D194">
        <v>0</v>
      </c>
      <c r="E194" t="str">
        <f>VLOOKUP(B194,Nuclides!A:F,5,FALSE)</f>
        <v>S42</v>
      </c>
      <c r="F194">
        <f>VLOOKUP(B194,Nuclides!A:F,4,FALSE)</f>
        <v>1.03</v>
      </c>
      <c r="G194" s="4" t="str">
        <f t="shared" si="14"/>
        <v>1.03s</v>
      </c>
      <c r="H194" s="4">
        <f t="shared" si="15"/>
        <v>0.67295842772810222</v>
      </c>
      <c r="I194" s="4">
        <f t="shared" si="16"/>
        <v>0</v>
      </c>
      <c r="J194" s="4">
        <f t="shared" si="17"/>
        <v>0</v>
      </c>
      <c r="K194" s="4" t="str">
        <f t="shared" si="18"/>
        <v>S42</v>
      </c>
    </row>
    <row r="195" spans="2:11" hidden="1" x14ac:dyDescent="0.2">
      <c r="B195" s="4">
        <v>16043</v>
      </c>
      <c r="C195" s="4">
        <v>0</v>
      </c>
      <c r="D195">
        <v>0</v>
      </c>
      <c r="E195" t="str">
        <f>VLOOKUP(B195,Nuclides!A:F,5,FALSE)</f>
        <v>S43</v>
      </c>
      <c r="F195">
        <f>VLOOKUP(B195,Nuclides!A:F,4,FALSE)</f>
        <v>0.27300000000000002</v>
      </c>
      <c r="G195" s="4" t="str">
        <f t="shared" si="14"/>
        <v>0.273s</v>
      </c>
      <c r="H195" s="4">
        <f t="shared" si="15"/>
        <v>2.5390006613917406</v>
      </c>
      <c r="I195" s="4">
        <f t="shared" si="16"/>
        <v>0</v>
      </c>
      <c r="J195" s="4">
        <f t="shared" si="17"/>
        <v>0</v>
      </c>
      <c r="K195" s="4" t="str">
        <f t="shared" si="18"/>
        <v>S43</v>
      </c>
    </row>
    <row r="196" spans="2:11" hidden="1" x14ac:dyDescent="0.2">
      <c r="B196" s="4">
        <v>16044</v>
      </c>
      <c r="C196" s="4">
        <v>0</v>
      </c>
      <c r="D196">
        <v>0</v>
      </c>
      <c r="E196" t="str">
        <f>VLOOKUP(B196,Nuclides!A:F,5,FALSE)</f>
        <v>S44</v>
      </c>
      <c r="F196">
        <f>VLOOKUP(B196,Nuclides!A:F,4,FALSE)</f>
        <v>0.1</v>
      </c>
      <c r="G196" s="4" t="str">
        <f t="shared" si="14"/>
        <v>0.1s</v>
      </c>
      <c r="H196" s="4">
        <f t="shared" si="15"/>
        <v>6.9314718055994522</v>
      </c>
      <c r="I196" s="4">
        <f t="shared" si="16"/>
        <v>0</v>
      </c>
      <c r="J196" s="4">
        <f t="shared" si="17"/>
        <v>0</v>
      </c>
      <c r="K196" s="4" t="str">
        <f t="shared" si="18"/>
        <v>S44</v>
      </c>
    </row>
    <row r="197" spans="2:11" hidden="1" x14ac:dyDescent="0.2">
      <c r="B197" s="4">
        <v>17031</v>
      </c>
      <c r="C197" s="4">
        <v>0</v>
      </c>
      <c r="D197">
        <v>0</v>
      </c>
      <c r="E197" t="str">
        <f>VLOOKUP(B197,Nuclides!A:F,5,FALSE)</f>
        <v>Cl31</v>
      </c>
      <c r="F197">
        <f>VLOOKUP(B197,Nuclides!A:F,4,FALSE)</f>
        <v>0.19</v>
      </c>
      <c r="G197" s="4" t="str">
        <f t="shared" ref="G197:G260" si="19">IF(F197="STABLE", "STABLE", IF(F197&lt;60, F197&amp;"s", IF(F197&lt;3600, ROUND(F197/60,2)&amp;"min", IF(F197&lt;86400, ROUND(F197/3600,2)&amp;"h", IF(F197&lt;31536000, ROUND(F197/86400,2)&amp;"d", ROUND(F197/31536000,2)&amp;"y")))))</f>
        <v>0.19s</v>
      </c>
      <c r="H197" s="4">
        <f t="shared" ref="H197:H260" si="20">LN(2)/F197</f>
        <v>3.6481430555786591</v>
      </c>
      <c r="I197" s="4">
        <f t="shared" ref="I197:I260" si="21">60*6240000000000*C197*(1-EXP(-H197*2*3600))</f>
        <v>0</v>
      </c>
      <c r="J197" s="4">
        <f t="shared" ref="J197:J260" si="22">I197*EXP(-H197*48*3600)</f>
        <v>0</v>
      </c>
      <c r="K197" s="4" t="str">
        <f t="shared" ref="K197:K260" si="23">E197</f>
        <v>Cl31</v>
      </c>
    </row>
    <row r="198" spans="2:11" hidden="1" x14ac:dyDescent="0.2">
      <c r="B198" s="4">
        <v>17032</v>
      </c>
      <c r="C198" s="4">
        <v>0</v>
      </c>
      <c r="D198">
        <v>0</v>
      </c>
      <c r="E198" t="str">
        <f>VLOOKUP(B198,Nuclides!A:F,5,FALSE)</f>
        <v>Cl32</v>
      </c>
      <c r="F198">
        <f>VLOOKUP(B198,Nuclides!A:F,4,FALSE)</f>
        <v>0.29799999999999999</v>
      </c>
      <c r="G198" s="4" t="str">
        <f t="shared" si="19"/>
        <v>0.298s</v>
      </c>
      <c r="H198" s="4">
        <f t="shared" si="20"/>
        <v>2.325997250201159</v>
      </c>
      <c r="I198" s="4">
        <f t="shared" si="21"/>
        <v>0</v>
      </c>
      <c r="J198" s="4">
        <f t="shared" si="22"/>
        <v>0</v>
      </c>
      <c r="K198" s="4" t="str">
        <f t="shared" si="23"/>
        <v>Cl32</v>
      </c>
    </row>
    <row r="199" spans="2:11" hidden="1" x14ac:dyDescent="0.2">
      <c r="B199" s="4">
        <v>17033</v>
      </c>
      <c r="C199" s="4">
        <v>0</v>
      </c>
      <c r="D199">
        <v>0</v>
      </c>
      <c r="E199" t="str">
        <f>VLOOKUP(B199,Nuclides!A:F,5,FALSE)</f>
        <v>Cl33</v>
      </c>
      <c r="F199">
        <f>VLOOKUP(B199,Nuclides!A:F,4,FALSE)</f>
        <v>2.5110000000000001</v>
      </c>
      <c r="G199" s="4" t="str">
        <f t="shared" si="19"/>
        <v>2.511s</v>
      </c>
      <c r="H199" s="4">
        <f t="shared" si="20"/>
        <v>0.27604427740340315</v>
      </c>
      <c r="I199" s="4">
        <f t="shared" si="21"/>
        <v>0</v>
      </c>
      <c r="J199" s="4">
        <f t="shared" si="22"/>
        <v>0</v>
      </c>
      <c r="K199" s="4" t="str">
        <f t="shared" si="23"/>
        <v>Cl33</v>
      </c>
    </row>
    <row r="200" spans="2:11" hidden="1" x14ac:dyDescent="0.2">
      <c r="B200" s="4">
        <v>17034</v>
      </c>
      <c r="C200" s="4">
        <v>0</v>
      </c>
      <c r="D200">
        <v>0</v>
      </c>
      <c r="E200" t="str">
        <f>VLOOKUP(B200,Nuclides!A:F,5,FALSE)</f>
        <v>Cl34</v>
      </c>
      <c r="F200">
        <f>VLOOKUP(B200,Nuclides!A:F,4,FALSE)</f>
        <v>1.5264</v>
      </c>
      <c r="G200" s="4" t="str">
        <f t="shared" si="19"/>
        <v>1.5264s</v>
      </c>
      <c r="H200" s="4">
        <f t="shared" si="20"/>
        <v>0.45410585728507946</v>
      </c>
      <c r="I200" s="4">
        <f t="shared" si="21"/>
        <v>0</v>
      </c>
      <c r="J200" s="4">
        <f t="shared" si="22"/>
        <v>0</v>
      </c>
      <c r="K200" s="4" t="str">
        <f t="shared" si="23"/>
        <v>Cl34</v>
      </c>
    </row>
    <row r="201" spans="2:11" hidden="1" x14ac:dyDescent="0.2">
      <c r="B201" s="4">
        <v>17035</v>
      </c>
      <c r="C201" s="4">
        <v>0</v>
      </c>
      <c r="D201">
        <v>0</v>
      </c>
      <c r="E201" t="str">
        <f>VLOOKUP(B201,Nuclides!A:F,5,FALSE)</f>
        <v>Cl35</v>
      </c>
      <c r="F201" t="str">
        <f>VLOOKUP(B201,Nuclides!A:F,4,FALSE)</f>
        <v>STABLE</v>
      </c>
      <c r="G201" s="4" t="str">
        <f t="shared" si="19"/>
        <v>STABLE</v>
      </c>
      <c r="H201" s="4" t="e">
        <f t="shared" si="20"/>
        <v>#VALUE!</v>
      </c>
      <c r="I201" s="4" t="e">
        <f t="shared" si="21"/>
        <v>#VALUE!</v>
      </c>
      <c r="J201" s="4" t="e">
        <f t="shared" si="22"/>
        <v>#VALUE!</v>
      </c>
      <c r="K201" s="4" t="str">
        <f t="shared" si="23"/>
        <v>Cl35</v>
      </c>
    </row>
    <row r="202" spans="2:11" hidden="1" x14ac:dyDescent="0.2">
      <c r="B202" s="4">
        <v>17036</v>
      </c>
      <c r="C202" s="4">
        <v>0</v>
      </c>
      <c r="D202">
        <v>0</v>
      </c>
      <c r="E202" t="str">
        <f>VLOOKUP(B202,Nuclides!A:F,5,FALSE)</f>
        <v>Cl36</v>
      </c>
      <c r="F202">
        <f>VLOOKUP(B202,Nuclides!A:F,4,FALSE)</f>
        <v>9498837600000</v>
      </c>
      <c r="G202" s="4" t="str">
        <f t="shared" si="19"/>
        <v>301206.16y</v>
      </c>
      <c r="H202" s="4">
        <f t="shared" si="20"/>
        <v>7.2971789786146596E-14</v>
      </c>
      <c r="I202" s="4">
        <f t="shared" si="21"/>
        <v>0</v>
      </c>
      <c r="J202" s="4">
        <f t="shared" si="22"/>
        <v>0</v>
      </c>
      <c r="K202" s="4" t="str">
        <f t="shared" si="23"/>
        <v>Cl36</v>
      </c>
    </row>
    <row r="203" spans="2:11" hidden="1" x14ac:dyDescent="0.2">
      <c r="B203" s="4">
        <v>17037</v>
      </c>
      <c r="C203" s="4">
        <v>0</v>
      </c>
      <c r="D203">
        <v>0</v>
      </c>
      <c r="E203" t="str">
        <f>VLOOKUP(B203,Nuclides!A:F,5,FALSE)</f>
        <v>Cl37</v>
      </c>
      <c r="F203" t="str">
        <f>VLOOKUP(B203,Nuclides!A:F,4,FALSE)</f>
        <v>STABLE</v>
      </c>
      <c r="G203" s="4" t="str">
        <f t="shared" si="19"/>
        <v>STABLE</v>
      </c>
      <c r="H203" s="4" t="e">
        <f t="shared" si="20"/>
        <v>#VALUE!</v>
      </c>
      <c r="I203" s="4" t="e">
        <f t="shared" si="21"/>
        <v>#VALUE!</v>
      </c>
      <c r="J203" s="4" t="e">
        <f t="shared" si="22"/>
        <v>#VALUE!</v>
      </c>
      <c r="K203" s="4" t="str">
        <f t="shared" si="23"/>
        <v>Cl37</v>
      </c>
    </row>
    <row r="204" spans="2:11" hidden="1" x14ac:dyDescent="0.2">
      <c r="B204" s="4">
        <v>17038</v>
      </c>
      <c r="C204" s="4">
        <v>0</v>
      </c>
      <c r="D204">
        <v>0</v>
      </c>
      <c r="E204" t="str">
        <f>VLOOKUP(B204,Nuclides!A:F,5,FALSE)</f>
        <v>Cl38</v>
      </c>
      <c r="F204">
        <f>VLOOKUP(B204,Nuclides!A:F,4,FALSE)</f>
        <v>2234.4</v>
      </c>
      <c r="G204" s="4" t="str">
        <f t="shared" si="19"/>
        <v>37.24min</v>
      </c>
      <c r="H204" s="4">
        <f t="shared" si="20"/>
        <v>3.102162462226751E-4</v>
      </c>
      <c r="I204" s="4">
        <f t="shared" si="21"/>
        <v>0</v>
      </c>
      <c r="J204" s="4">
        <f t="shared" si="22"/>
        <v>0</v>
      </c>
      <c r="K204" s="4" t="str">
        <f t="shared" si="23"/>
        <v>Cl38</v>
      </c>
    </row>
    <row r="205" spans="2:11" hidden="1" x14ac:dyDescent="0.2">
      <c r="B205" s="4">
        <v>17039</v>
      </c>
      <c r="C205" s="4">
        <v>0</v>
      </c>
      <c r="D205">
        <v>0</v>
      </c>
      <c r="E205" t="str">
        <f>VLOOKUP(B205,Nuclides!A:F,5,FALSE)</f>
        <v>Cl39</v>
      </c>
      <c r="F205">
        <f>VLOOKUP(B205,Nuclides!A:F,4,FALSE)</f>
        <v>3372</v>
      </c>
      <c r="G205" s="4" t="str">
        <f t="shared" si="19"/>
        <v>56.2min</v>
      </c>
      <c r="H205" s="4">
        <f t="shared" si="20"/>
        <v>2.0555966208776551E-4</v>
      </c>
      <c r="I205" s="4">
        <f t="shared" si="21"/>
        <v>0</v>
      </c>
      <c r="J205" s="4">
        <f t="shared" si="22"/>
        <v>0</v>
      </c>
      <c r="K205" s="4" t="str">
        <f t="shared" si="23"/>
        <v>Cl39</v>
      </c>
    </row>
    <row r="206" spans="2:11" hidden="1" x14ac:dyDescent="0.2">
      <c r="B206" s="4">
        <v>17040</v>
      </c>
      <c r="C206" s="4">
        <v>0</v>
      </c>
      <c r="D206">
        <v>0</v>
      </c>
      <c r="E206" t="str">
        <f>VLOOKUP(B206,Nuclides!A:F,5,FALSE)</f>
        <v>Cl40</v>
      </c>
      <c r="F206">
        <f>VLOOKUP(B206,Nuclides!A:F,4,FALSE)</f>
        <v>81</v>
      </c>
      <c r="G206" s="4" t="str">
        <f t="shared" si="19"/>
        <v>1.35min</v>
      </c>
      <c r="H206" s="4">
        <f t="shared" si="20"/>
        <v>8.5573725995054979E-3</v>
      </c>
      <c r="I206" s="4">
        <f t="shared" si="21"/>
        <v>0</v>
      </c>
      <c r="J206" s="4">
        <f t="shared" si="22"/>
        <v>0</v>
      </c>
      <c r="K206" s="4" t="str">
        <f t="shared" si="23"/>
        <v>Cl40</v>
      </c>
    </row>
    <row r="207" spans="2:11" hidden="1" x14ac:dyDescent="0.2">
      <c r="B207" s="4">
        <v>17041</v>
      </c>
      <c r="C207" s="4">
        <v>0</v>
      </c>
      <c r="D207">
        <v>0</v>
      </c>
      <c r="E207" t="str">
        <f>VLOOKUP(B207,Nuclides!A:F,5,FALSE)</f>
        <v>Cl41</v>
      </c>
      <c r="F207">
        <f>VLOOKUP(B207,Nuclides!A:F,4,FALSE)</f>
        <v>38.4</v>
      </c>
      <c r="G207" s="4" t="str">
        <f t="shared" si="19"/>
        <v>38.4s</v>
      </c>
      <c r="H207" s="4">
        <f t="shared" si="20"/>
        <v>1.8050707827081909E-2</v>
      </c>
      <c r="I207" s="4">
        <f t="shared" si="21"/>
        <v>0</v>
      </c>
      <c r="J207" s="4">
        <f t="shared" si="22"/>
        <v>0</v>
      </c>
      <c r="K207" s="4" t="str">
        <f t="shared" si="23"/>
        <v>Cl41</v>
      </c>
    </row>
    <row r="208" spans="2:11" hidden="1" x14ac:dyDescent="0.2">
      <c r="B208" s="4">
        <v>17042</v>
      </c>
      <c r="C208" s="4">
        <v>0</v>
      </c>
      <c r="D208">
        <v>0</v>
      </c>
      <c r="E208" t="str">
        <f>VLOOKUP(B208,Nuclides!A:F,5,FALSE)</f>
        <v>Cl42</v>
      </c>
      <c r="F208">
        <f>VLOOKUP(B208,Nuclides!A:F,4,FALSE)</f>
        <v>6.8</v>
      </c>
      <c r="G208" s="4" t="str">
        <f t="shared" si="19"/>
        <v>6.8s</v>
      </c>
      <c r="H208" s="4">
        <f t="shared" si="20"/>
        <v>0.10193340890587431</v>
      </c>
      <c r="I208" s="4">
        <f t="shared" si="21"/>
        <v>0</v>
      </c>
      <c r="J208" s="4">
        <f t="shared" si="22"/>
        <v>0</v>
      </c>
      <c r="K208" s="4" t="str">
        <f t="shared" si="23"/>
        <v>Cl42</v>
      </c>
    </row>
    <row r="209" spans="2:11" hidden="1" x14ac:dyDescent="0.2">
      <c r="B209" s="4">
        <v>17043</v>
      </c>
      <c r="C209" s="4">
        <v>0</v>
      </c>
      <c r="D209">
        <v>0</v>
      </c>
      <c r="E209" t="str">
        <f>VLOOKUP(B209,Nuclides!A:F,5,FALSE)</f>
        <v>Cl43</v>
      </c>
      <c r="F209">
        <f>VLOOKUP(B209,Nuclides!A:F,4,FALSE)</f>
        <v>3.1749999999999998</v>
      </c>
      <c r="G209" s="4" t="str">
        <f t="shared" si="19"/>
        <v>3.175s</v>
      </c>
      <c r="H209" s="4">
        <f t="shared" si="20"/>
        <v>0.21831407261730562</v>
      </c>
      <c r="I209" s="4">
        <f t="shared" si="21"/>
        <v>0</v>
      </c>
      <c r="J209" s="4">
        <f t="shared" si="22"/>
        <v>0</v>
      </c>
      <c r="K209" s="4" t="str">
        <f t="shared" si="23"/>
        <v>Cl43</v>
      </c>
    </row>
    <row r="210" spans="2:11" hidden="1" x14ac:dyDescent="0.2">
      <c r="B210" s="4">
        <v>17044</v>
      </c>
      <c r="C210" s="4">
        <v>0</v>
      </c>
      <c r="D210">
        <v>0</v>
      </c>
      <c r="E210" t="str">
        <f>VLOOKUP(B210,Nuclides!A:F,5,FALSE)</f>
        <v>Cl44</v>
      </c>
      <c r="F210">
        <f>VLOOKUP(B210,Nuclides!A:F,4,FALSE)</f>
        <v>0.65</v>
      </c>
      <c r="G210" s="4" t="str">
        <f t="shared" si="19"/>
        <v>0.65s</v>
      </c>
      <c r="H210" s="4">
        <f t="shared" si="20"/>
        <v>1.0663802777845313</v>
      </c>
      <c r="I210" s="4">
        <f t="shared" si="21"/>
        <v>0</v>
      </c>
      <c r="J210" s="4">
        <f t="shared" si="22"/>
        <v>0</v>
      </c>
      <c r="K210" s="4" t="str">
        <f t="shared" si="23"/>
        <v>Cl44</v>
      </c>
    </row>
    <row r="211" spans="2:11" hidden="1" x14ac:dyDescent="0.2">
      <c r="B211" s="4">
        <v>17045</v>
      </c>
      <c r="C211" s="4">
        <v>0</v>
      </c>
      <c r="D211">
        <v>0</v>
      </c>
      <c r="E211" t="str">
        <f>VLOOKUP(B211,Nuclides!A:F,5,FALSE)</f>
        <v>Cl45</v>
      </c>
      <c r="F211">
        <f>VLOOKUP(B211,Nuclides!A:F,4,FALSE)</f>
        <v>0.4</v>
      </c>
      <c r="G211" s="4" t="str">
        <f t="shared" si="19"/>
        <v>0.4s</v>
      </c>
      <c r="H211" s="4">
        <f t="shared" si="20"/>
        <v>1.732867951399863</v>
      </c>
      <c r="I211" s="4">
        <f t="shared" si="21"/>
        <v>0</v>
      </c>
      <c r="J211" s="4">
        <f t="shared" si="22"/>
        <v>0</v>
      </c>
      <c r="K211" s="4" t="str">
        <f t="shared" si="23"/>
        <v>Cl45</v>
      </c>
    </row>
    <row r="212" spans="2:11" hidden="1" x14ac:dyDescent="0.2">
      <c r="B212" s="4">
        <v>18032</v>
      </c>
      <c r="C212" s="4">
        <v>0</v>
      </c>
      <c r="D212">
        <v>0</v>
      </c>
      <c r="E212" t="str">
        <f>VLOOKUP(B212,Nuclides!A:F,5,FALSE)</f>
        <v>Ar32</v>
      </c>
      <c r="F212">
        <f>VLOOKUP(B212,Nuclides!A:F,4,FALSE)</f>
        <v>9.8000000000000004E-2</v>
      </c>
      <c r="G212" s="4" t="str">
        <f t="shared" si="19"/>
        <v>0.098s</v>
      </c>
      <c r="H212" s="4">
        <f t="shared" si="20"/>
        <v>7.0729304138769926</v>
      </c>
      <c r="I212" s="4">
        <f t="shared" si="21"/>
        <v>0</v>
      </c>
      <c r="J212" s="4">
        <f t="shared" si="22"/>
        <v>0</v>
      </c>
      <c r="K212" s="4" t="str">
        <f t="shared" si="23"/>
        <v>Ar32</v>
      </c>
    </row>
    <row r="213" spans="2:11" hidden="1" x14ac:dyDescent="0.2">
      <c r="B213" s="4">
        <v>18033</v>
      </c>
      <c r="C213" s="4">
        <v>0</v>
      </c>
      <c r="D213">
        <v>0</v>
      </c>
      <c r="E213" t="str">
        <f>VLOOKUP(B213,Nuclides!A:F,5,FALSE)</f>
        <v>Ar33</v>
      </c>
      <c r="F213">
        <f>VLOOKUP(B213,Nuclides!A:F,4,FALSE)</f>
        <v>0.17299999999999999</v>
      </c>
      <c r="G213" s="4" t="str">
        <f t="shared" si="19"/>
        <v>0.173s</v>
      </c>
      <c r="H213" s="4">
        <f t="shared" si="20"/>
        <v>4.006631101502574</v>
      </c>
      <c r="I213" s="4">
        <f t="shared" si="21"/>
        <v>0</v>
      </c>
      <c r="J213" s="4">
        <f t="shared" si="22"/>
        <v>0</v>
      </c>
      <c r="K213" s="4" t="str">
        <f t="shared" si="23"/>
        <v>Ar33</v>
      </c>
    </row>
    <row r="214" spans="2:11" hidden="1" x14ac:dyDescent="0.2">
      <c r="B214" s="4">
        <v>18034</v>
      </c>
      <c r="C214" s="4">
        <v>0</v>
      </c>
      <c r="D214">
        <v>0</v>
      </c>
      <c r="E214" t="str">
        <f>VLOOKUP(B214,Nuclides!A:F,5,FALSE)</f>
        <v>Ar34</v>
      </c>
      <c r="F214">
        <f>VLOOKUP(B214,Nuclides!A:F,4,FALSE)</f>
        <v>0.84450000000000003</v>
      </c>
      <c r="G214" s="4" t="str">
        <f t="shared" si="19"/>
        <v>0.8445s</v>
      </c>
      <c r="H214" s="4">
        <f t="shared" si="20"/>
        <v>0.82077818894013643</v>
      </c>
      <c r="I214" s="4">
        <f t="shared" si="21"/>
        <v>0</v>
      </c>
      <c r="J214" s="4">
        <f t="shared" si="22"/>
        <v>0</v>
      </c>
      <c r="K214" s="4" t="str">
        <f t="shared" si="23"/>
        <v>Ar34</v>
      </c>
    </row>
    <row r="215" spans="2:11" hidden="1" x14ac:dyDescent="0.2">
      <c r="B215" s="4">
        <v>18035</v>
      </c>
      <c r="C215" s="4">
        <v>0</v>
      </c>
      <c r="D215">
        <v>0</v>
      </c>
      <c r="E215" t="str">
        <f>VLOOKUP(B215,Nuclides!A:F,5,FALSE)</f>
        <v>Ar35</v>
      </c>
      <c r="F215">
        <f>VLOOKUP(B215,Nuclides!A:F,4,FALSE)</f>
        <v>1.7756000000000001</v>
      </c>
      <c r="G215" s="4" t="str">
        <f t="shared" si="19"/>
        <v>1.7756s</v>
      </c>
      <c r="H215" s="4">
        <f t="shared" si="20"/>
        <v>0.39037349659830212</v>
      </c>
      <c r="I215" s="4">
        <f t="shared" si="21"/>
        <v>0</v>
      </c>
      <c r="J215" s="4">
        <f t="shared" si="22"/>
        <v>0</v>
      </c>
      <c r="K215" s="4" t="str">
        <f t="shared" si="23"/>
        <v>Ar35</v>
      </c>
    </row>
    <row r="216" spans="2:11" hidden="1" x14ac:dyDescent="0.2">
      <c r="B216" s="4">
        <v>18036</v>
      </c>
      <c r="C216" s="4">
        <v>0</v>
      </c>
      <c r="D216">
        <v>0</v>
      </c>
      <c r="E216" t="str">
        <f>VLOOKUP(B216,Nuclides!A:F,5,FALSE)</f>
        <v>Ar36</v>
      </c>
      <c r="F216" t="str">
        <f>VLOOKUP(B216,Nuclides!A:F,4,FALSE)</f>
        <v>STABLE</v>
      </c>
      <c r="G216" s="4" t="str">
        <f t="shared" si="19"/>
        <v>STABLE</v>
      </c>
      <c r="H216" s="4" t="e">
        <f t="shared" si="20"/>
        <v>#VALUE!</v>
      </c>
      <c r="I216" s="4" t="e">
        <f t="shared" si="21"/>
        <v>#VALUE!</v>
      </c>
      <c r="J216" s="4" t="e">
        <f t="shared" si="22"/>
        <v>#VALUE!</v>
      </c>
      <c r="K216" s="4" t="str">
        <f t="shared" si="23"/>
        <v>Ar36</v>
      </c>
    </row>
    <row r="217" spans="2:11" hidden="1" x14ac:dyDescent="0.2">
      <c r="B217" s="4">
        <v>18037</v>
      </c>
      <c r="C217" s="4">
        <v>0</v>
      </c>
      <c r="D217">
        <v>0</v>
      </c>
      <c r="E217" t="str">
        <f>VLOOKUP(B217,Nuclides!A:F,5,FALSE)</f>
        <v>Ar37</v>
      </c>
      <c r="F217">
        <f>VLOOKUP(B217,Nuclides!A:F,4,FALSE)</f>
        <v>3027456</v>
      </c>
      <c r="G217" s="4" t="str">
        <f t="shared" si="19"/>
        <v>35.04d</v>
      </c>
      <c r="H217" s="4">
        <f t="shared" si="20"/>
        <v>2.2895367614259142E-7</v>
      </c>
      <c r="I217" s="4">
        <f t="shared" si="21"/>
        <v>0</v>
      </c>
      <c r="J217" s="4">
        <f t="shared" si="22"/>
        <v>0</v>
      </c>
      <c r="K217" s="4" t="str">
        <f t="shared" si="23"/>
        <v>Ar37</v>
      </c>
    </row>
    <row r="218" spans="2:11" hidden="1" x14ac:dyDescent="0.2">
      <c r="B218" s="4">
        <v>18038</v>
      </c>
      <c r="C218" s="4">
        <v>0</v>
      </c>
      <c r="D218">
        <v>0</v>
      </c>
      <c r="E218" t="str">
        <f>VLOOKUP(B218,Nuclides!A:F,5,FALSE)</f>
        <v>Ar38</v>
      </c>
      <c r="F218" t="str">
        <f>VLOOKUP(B218,Nuclides!A:F,4,FALSE)</f>
        <v>STABLE</v>
      </c>
      <c r="G218" s="4" t="str">
        <f t="shared" si="19"/>
        <v>STABLE</v>
      </c>
      <c r="H218" s="4" t="e">
        <f t="shared" si="20"/>
        <v>#VALUE!</v>
      </c>
      <c r="I218" s="4" t="e">
        <f t="shared" si="21"/>
        <v>#VALUE!</v>
      </c>
      <c r="J218" s="4" t="e">
        <f t="shared" si="22"/>
        <v>#VALUE!</v>
      </c>
      <c r="K218" s="4" t="str">
        <f t="shared" si="23"/>
        <v>Ar38</v>
      </c>
    </row>
    <row r="219" spans="2:11" hidden="1" x14ac:dyDescent="0.2">
      <c r="B219" s="4">
        <v>18039</v>
      </c>
      <c r="C219" s="4">
        <v>0</v>
      </c>
      <c r="D219">
        <v>0</v>
      </c>
      <c r="E219" t="str">
        <f>VLOOKUP(B219,Nuclides!A:F,5,FALSE)</f>
        <v>Ar39</v>
      </c>
      <c r="F219">
        <f>VLOOKUP(B219,Nuclides!A:F,4,FALSE)</f>
        <v>8488994400</v>
      </c>
      <c r="G219" s="4" t="str">
        <f t="shared" si="19"/>
        <v>269.18y</v>
      </c>
      <c r="H219" s="4">
        <f t="shared" si="20"/>
        <v>8.1652448794164036E-11</v>
      </c>
      <c r="I219" s="4">
        <f t="shared" si="21"/>
        <v>0</v>
      </c>
      <c r="J219" s="4">
        <f t="shared" si="22"/>
        <v>0</v>
      </c>
      <c r="K219" s="4" t="str">
        <f t="shared" si="23"/>
        <v>Ar39</v>
      </c>
    </row>
    <row r="220" spans="2:11" hidden="1" x14ac:dyDescent="0.2">
      <c r="B220" s="4">
        <v>18040</v>
      </c>
      <c r="C220" s="4">
        <v>0</v>
      </c>
      <c r="D220">
        <v>0</v>
      </c>
      <c r="E220" t="str">
        <f>VLOOKUP(B220,Nuclides!A:F,5,FALSE)</f>
        <v>Ar40</v>
      </c>
      <c r="F220" t="str">
        <f>VLOOKUP(B220,Nuclides!A:F,4,FALSE)</f>
        <v>STABLE</v>
      </c>
      <c r="G220" s="4" t="str">
        <f t="shared" si="19"/>
        <v>STABLE</v>
      </c>
      <c r="H220" s="4" t="e">
        <f t="shared" si="20"/>
        <v>#VALUE!</v>
      </c>
      <c r="I220" s="4" t="e">
        <f t="shared" si="21"/>
        <v>#VALUE!</v>
      </c>
      <c r="J220" s="4" t="e">
        <f t="shared" si="22"/>
        <v>#VALUE!</v>
      </c>
      <c r="K220" s="4" t="str">
        <f t="shared" si="23"/>
        <v>Ar40</v>
      </c>
    </row>
    <row r="221" spans="2:11" hidden="1" x14ac:dyDescent="0.2">
      <c r="B221" s="4">
        <v>18041</v>
      </c>
      <c r="C221" s="4">
        <v>0</v>
      </c>
      <c r="D221">
        <v>0</v>
      </c>
      <c r="E221" t="str">
        <f>VLOOKUP(B221,Nuclides!A:F,5,FALSE)</f>
        <v>Ar41</v>
      </c>
      <c r="F221">
        <f>VLOOKUP(B221,Nuclides!A:F,4,FALSE)</f>
        <v>6576.6</v>
      </c>
      <c r="G221" s="4" t="str">
        <f t="shared" si="19"/>
        <v>1.83h</v>
      </c>
      <c r="H221" s="4">
        <f t="shared" si="20"/>
        <v>1.053959767296088E-4</v>
      </c>
      <c r="I221" s="4">
        <f t="shared" si="21"/>
        <v>0</v>
      </c>
      <c r="J221" s="4">
        <f t="shared" si="22"/>
        <v>0</v>
      </c>
      <c r="K221" s="4" t="str">
        <f t="shared" si="23"/>
        <v>Ar41</v>
      </c>
    </row>
    <row r="222" spans="2:11" hidden="1" x14ac:dyDescent="0.2">
      <c r="B222" s="4">
        <v>18042</v>
      </c>
      <c r="C222" s="4">
        <v>0</v>
      </c>
      <c r="D222">
        <v>0</v>
      </c>
      <c r="E222" t="str">
        <f>VLOOKUP(B222,Nuclides!A:F,5,FALSE)</f>
        <v>Ar42</v>
      </c>
      <c r="F222">
        <f>VLOOKUP(B222,Nuclides!A:F,4,FALSE)</f>
        <v>1038245040</v>
      </c>
      <c r="G222" s="4" t="str">
        <f t="shared" si="19"/>
        <v>32.92y</v>
      </c>
      <c r="H222" s="4">
        <f t="shared" si="20"/>
        <v>6.6761424697963906E-10</v>
      </c>
      <c r="I222" s="4">
        <f t="shared" si="21"/>
        <v>0</v>
      </c>
      <c r="J222" s="4">
        <f t="shared" si="22"/>
        <v>0</v>
      </c>
      <c r="K222" s="4" t="str">
        <f t="shared" si="23"/>
        <v>Ar42</v>
      </c>
    </row>
    <row r="223" spans="2:11" hidden="1" x14ac:dyDescent="0.2">
      <c r="B223" s="4">
        <v>18043</v>
      </c>
      <c r="C223" s="4">
        <v>0</v>
      </c>
      <c r="D223">
        <v>0</v>
      </c>
      <c r="E223" t="str">
        <f>VLOOKUP(B223,Nuclides!A:F,5,FALSE)</f>
        <v>Ar43</v>
      </c>
      <c r="F223">
        <f>VLOOKUP(B223,Nuclides!A:F,4,FALSE)</f>
        <v>322.2</v>
      </c>
      <c r="G223" s="4" t="str">
        <f t="shared" si="19"/>
        <v>5.37min</v>
      </c>
      <c r="H223" s="4">
        <f t="shared" si="20"/>
        <v>2.1512947875851809E-3</v>
      </c>
      <c r="I223" s="4">
        <f t="shared" si="21"/>
        <v>0</v>
      </c>
      <c r="J223" s="4">
        <f t="shared" si="22"/>
        <v>0</v>
      </c>
      <c r="K223" s="4" t="str">
        <f t="shared" si="23"/>
        <v>Ar43</v>
      </c>
    </row>
    <row r="224" spans="2:11" hidden="1" x14ac:dyDescent="0.2">
      <c r="B224" s="4">
        <v>18044</v>
      </c>
      <c r="C224" s="4">
        <v>0</v>
      </c>
      <c r="D224">
        <v>0</v>
      </c>
      <c r="E224" t="str">
        <f>VLOOKUP(B224,Nuclides!A:F,5,FALSE)</f>
        <v>Ar44</v>
      </c>
      <c r="F224">
        <f>VLOOKUP(B224,Nuclides!A:F,4,FALSE)</f>
        <v>712.19999999999902</v>
      </c>
      <c r="G224" s="4" t="str">
        <f t="shared" si="19"/>
        <v>11.87min</v>
      </c>
      <c r="H224" s="4">
        <f t="shared" si="20"/>
        <v>9.7324793675926174E-4</v>
      </c>
      <c r="I224" s="4">
        <f t="shared" si="21"/>
        <v>0</v>
      </c>
      <c r="J224" s="4">
        <f t="shared" si="22"/>
        <v>0</v>
      </c>
      <c r="K224" s="4" t="str">
        <f t="shared" si="23"/>
        <v>Ar44</v>
      </c>
    </row>
    <row r="225" spans="2:11" hidden="1" x14ac:dyDescent="0.2">
      <c r="B225" s="4">
        <v>18045</v>
      </c>
      <c r="C225" s="4">
        <v>0</v>
      </c>
      <c r="D225">
        <v>0</v>
      </c>
      <c r="E225" t="str">
        <f>VLOOKUP(B225,Nuclides!A:F,5,FALSE)</f>
        <v>Ar45</v>
      </c>
      <c r="F225">
        <f>VLOOKUP(B225,Nuclides!A:F,4,FALSE)</f>
        <v>21.48</v>
      </c>
      <c r="G225" s="4" t="str">
        <f t="shared" si="19"/>
        <v>21.48s</v>
      </c>
      <c r="H225" s="4">
        <f t="shared" si="20"/>
        <v>3.2269421813777711E-2</v>
      </c>
      <c r="I225" s="4">
        <f t="shared" si="21"/>
        <v>0</v>
      </c>
      <c r="J225" s="4">
        <f t="shared" si="22"/>
        <v>0</v>
      </c>
      <c r="K225" s="4" t="str">
        <f t="shared" si="23"/>
        <v>Ar45</v>
      </c>
    </row>
    <row r="226" spans="2:11" hidden="1" x14ac:dyDescent="0.2">
      <c r="B226" s="4">
        <v>18046</v>
      </c>
      <c r="C226" s="4">
        <v>0</v>
      </c>
      <c r="D226">
        <v>0</v>
      </c>
      <c r="E226" t="str">
        <f>VLOOKUP(B226,Nuclides!A:F,5,FALSE)</f>
        <v>Ar46</v>
      </c>
      <c r="F226">
        <f>VLOOKUP(B226,Nuclides!A:F,4,FALSE)</f>
        <v>8.4</v>
      </c>
      <c r="G226" s="4" t="str">
        <f t="shared" si="19"/>
        <v>8.4s</v>
      </c>
      <c r="H226" s="4">
        <f t="shared" si="20"/>
        <v>8.2517521495231574E-2</v>
      </c>
      <c r="I226" s="4">
        <f t="shared" si="21"/>
        <v>0</v>
      </c>
      <c r="J226" s="4">
        <f t="shared" si="22"/>
        <v>0</v>
      </c>
      <c r="K226" s="4" t="str">
        <f t="shared" si="23"/>
        <v>Ar46</v>
      </c>
    </row>
    <row r="227" spans="2:11" hidden="1" x14ac:dyDescent="0.2">
      <c r="B227" s="4">
        <v>19035</v>
      </c>
      <c r="C227" s="4">
        <v>0</v>
      </c>
      <c r="D227">
        <v>0</v>
      </c>
      <c r="E227" t="str">
        <f>VLOOKUP(B227,Nuclides!A:F,5,FALSE)</f>
        <v>K35</v>
      </c>
      <c r="F227">
        <f>VLOOKUP(B227,Nuclides!A:F,4,FALSE)</f>
        <v>0.17799999999999999</v>
      </c>
      <c r="G227" s="4" t="str">
        <f t="shared" si="19"/>
        <v>0.178s</v>
      </c>
      <c r="H227" s="4">
        <f t="shared" si="20"/>
        <v>3.8940852840446367</v>
      </c>
      <c r="I227" s="4">
        <f t="shared" si="21"/>
        <v>0</v>
      </c>
      <c r="J227" s="4">
        <f t="shared" si="22"/>
        <v>0</v>
      </c>
      <c r="K227" s="4" t="str">
        <f t="shared" si="23"/>
        <v>K35</v>
      </c>
    </row>
    <row r="228" spans="2:11" hidden="1" x14ac:dyDescent="0.2">
      <c r="B228" s="4">
        <v>19036</v>
      </c>
      <c r="C228" s="4">
        <v>0</v>
      </c>
      <c r="D228">
        <v>0</v>
      </c>
      <c r="E228" t="str">
        <f>VLOOKUP(B228,Nuclides!A:F,5,FALSE)</f>
        <v>K36</v>
      </c>
      <c r="F228">
        <f>VLOOKUP(B228,Nuclides!A:F,4,FALSE)</f>
        <v>0.34200000000000003</v>
      </c>
      <c r="G228" s="4" t="str">
        <f t="shared" si="19"/>
        <v>0.342s</v>
      </c>
      <c r="H228" s="4">
        <f t="shared" si="20"/>
        <v>2.0267461419881441</v>
      </c>
      <c r="I228" s="4">
        <f t="shared" si="21"/>
        <v>0</v>
      </c>
      <c r="J228" s="4">
        <f t="shared" si="22"/>
        <v>0</v>
      </c>
      <c r="K228" s="4" t="str">
        <f t="shared" si="23"/>
        <v>K36</v>
      </c>
    </row>
    <row r="229" spans="2:11" hidden="1" x14ac:dyDescent="0.2">
      <c r="B229" s="4">
        <v>19037</v>
      </c>
      <c r="C229" s="4">
        <v>0</v>
      </c>
      <c r="D229">
        <v>0</v>
      </c>
      <c r="E229" t="str">
        <f>VLOOKUP(B229,Nuclides!A:F,5,FALSE)</f>
        <v>K37</v>
      </c>
      <c r="F229">
        <f>VLOOKUP(B229,Nuclides!A:F,4,FALSE)</f>
        <v>1.226</v>
      </c>
      <c r="G229" s="4" t="str">
        <f t="shared" si="19"/>
        <v>1.226s</v>
      </c>
      <c r="H229" s="4">
        <f t="shared" si="20"/>
        <v>0.56537290420876452</v>
      </c>
      <c r="I229" s="4">
        <f t="shared" si="21"/>
        <v>0</v>
      </c>
      <c r="J229" s="4">
        <f t="shared" si="22"/>
        <v>0</v>
      </c>
      <c r="K229" s="4" t="str">
        <f t="shared" si="23"/>
        <v>K37</v>
      </c>
    </row>
    <row r="230" spans="2:11" hidden="1" x14ac:dyDescent="0.2">
      <c r="B230" s="4">
        <v>19038</v>
      </c>
      <c r="C230" s="4">
        <v>0</v>
      </c>
      <c r="D230">
        <v>0</v>
      </c>
      <c r="E230" t="str">
        <f>VLOOKUP(B230,Nuclides!A:F,5,FALSE)</f>
        <v>K38</v>
      </c>
      <c r="F230">
        <f>VLOOKUP(B230,Nuclides!A:F,4,FALSE)</f>
        <v>458.16</v>
      </c>
      <c r="G230" s="4" t="str">
        <f t="shared" si="19"/>
        <v>7.64min</v>
      </c>
      <c r="H230" s="4">
        <f t="shared" si="20"/>
        <v>1.5128932699492433E-3</v>
      </c>
      <c r="I230" s="4">
        <f t="shared" si="21"/>
        <v>0</v>
      </c>
      <c r="J230" s="4">
        <f t="shared" si="22"/>
        <v>0</v>
      </c>
      <c r="K230" s="4" t="str">
        <f t="shared" si="23"/>
        <v>K38</v>
      </c>
    </row>
    <row r="231" spans="2:11" hidden="1" x14ac:dyDescent="0.2">
      <c r="B231" s="4">
        <v>19039</v>
      </c>
      <c r="C231" s="4">
        <v>0</v>
      </c>
      <c r="D231">
        <v>0</v>
      </c>
      <c r="E231" t="str">
        <f>VLOOKUP(B231,Nuclides!A:F,5,FALSE)</f>
        <v>K39</v>
      </c>
      <c r="F231" t="str">
        <f>VLOOKUP(B231,Nuclides!A:F,4,FALSE)</f>
        <v>STABLE</v>
      </c>
      <c r="G231" s="4" t="str">
        <f t="shared" si="19"/>
        <v>STABLE</v>
      </c>
      <c r="H231" s="4" t="e">
        <f t="shared" si="20"/>
        <v>#VALUE!</v>
      </c>
      <c r="I231" s="4" t="e">
        <f t="shared" si="21"/>
        <v>#VALUE!</v>
      </c>
      <c r="J231" s="4" t="e">
        <f t="shared" si="22"/>
        <v>#VALUE!</v>
      </c>
      <c r="K231" s="4" t="str">
        <f t="shared" si="23"/>
        <v>K39</v>
      </c>
    </row>
    <row r="232" spans="2:11" hidden="1" x14ac:dyDescent="0.2">
      <c r="B232" s="4">
        <v>19040</v>
      </c>
      <c r="C232" s="4">
        <v>0</v>
      </c>
      <c r="D232">
        <v>0</v>
      </c>
      <c r="E232" t="str">
        <f>VLOOKUP(B232,Nuclides!A:F,5,FALSE)</f>
        <v>K40</v>
      </c>
      <c r="F232">
        <f>VLOOKUP(B232,Nuclides!A:F,4,FALSE)</f>
        <v>3.93838848E+16</v>
      </c>
      <c r="G232" s="4" t="str">
        <f t="shared" si="19"/>
        <v>1248854794.52y</v>
      </c>
      <c r="H232" s="4">
        <f t="shared" si="20"/>
        <v>1.7599766607075421E-17</v>
      </c>
      <c r="I232" s="4">
        <f t="shared" si="21"/>
        <v>0</v>
      </c>
      <c r="J232" s="4">
        <f t="shared" si="22"/>
        <v>0</v>
      </c>
      <c r="K232" s="4" t="str">
        <f t="shared" si="23"/>
        <v>K40</v>
      </c>
    </row>
    <row r="233" spans="2:11" hidden="1" x14ac:dyDescent="0.2">
      <c r="B233" s="4">
        <v>19041</v>
      </c>
      <c r="C233" s="4">
        <v>0</v>
      </c>
      <c r="D233">
        <v>0</v>
      </c>
      <c r="E233" t="str">
        <f>VLOOKUP(B233,Nuclides!A:F,5,FALSE)</f>
        <v>K41</v>
      </c>
      <c r="F233" t="str">
        <f>VLOOKUP(B233,Nuclides!A:F,4,FALSE)</f>
        <v>STABLE</v>
      </c>
      <c r="G233" s="4" t="str">
        <f t="shared" si="19"/>
        <v>STABLE</v>
      </c>
      <c r="H233" s="4" t="e">
        <f t="shared" si="20"/>
        <v>#VALUE!</v>
      </c>
      <c r="I233" s="4" t="e">
        <f t="shared" si="21"/>
        <v>#VALUE!</v>
      </c>
      <c r="J233" s="4" t="e">
        <f t="shared" si="22"/>
        <v>#VALUE!</v>
      </c>
      <c r="K233" s="4" t="str">
        <f t="shared" si="23"/>
        <v>K41</v>
      </c>
    </row>
    <row r="234" spans="2:11" hidden="1" x14ac:dyDescent="0.2">
      <c r="B234" s="4">
        <v>19042</v>
      </c>
      <c r="C234" s="4">
        <v>0</v>
      </c>
      <c r="D234">
        <v>0</v>
      </c>
      <c r="E234" t="str">
        <f>VLOOKUP(B234,Nuclides!A:F,5,FALSE)</f>
        <v>K42</v>
      </c>
      <c r="F234">
        <f>VLOOKUP(B234,Nuclides!A:F,4,FALSE)</f>
        <v>44478</v>
      </c>
      <c r="G234" s="4" t="str">
        <f t="shared" si="19"/>
        <v>12.36h</v>
      </c>
      <c r="H234" s="4">
        <f t="shared" si="20"/>
        <v>1.5584045608164606E-5</v>
      </c>
      <c r="I234" s="4">
        <f t="shared" si="21"/>
        <v>0</v>
      </c>
      <c r="J234" s="4">
        <f t="shared" si="22"/>
        <v>0</v>
      </c>
      <c r="K234" s="4" t="str">
        <f t="shared" si="23"/>
        <v>K42</v>
      </c>
    </row>
    <row r="235" spans="2:11" hidden="1" x14ac:dyDescent="0.2">
      <c r="B235" s="4">
        <v>19043</v>
      </c>
      <c r="C235" s="4">
        <v>0</v>
      </c>
      <c r="D235">
        <v>0</v>
      </c>
      <c r="E235" t="str">
        <f>VLOOKUP(B235,Nuclides!A:F,5,FALSE)</f>
        <v>K43</v>
      </c>
      <c r="F235">
        <f>VLOOKUP(B235,Nuclides!A:F,4,FALSE)</f>
        <v>80280</v>
      </c>
      <c r="G235" s="4" t="str">
        <f t="shared" si="19"/>
        <v>22.3h</v>
      </c>
      <c r="H235" s="4">
        <f t="shared" si="20"/>
        <v>8.6341203358239325E-6</v>
      </c>
      <c r="I235" s="4">
        <f t="shared" si="21"/>
        <v>0</v>
      </c>
      <c r="J235" s="4">
        <f t="shared" si="22"/>
        <v>0</v>
      </c>
      <c r="K235" s="4" t="str">
        <f t="shared" si="23"/>
        <v>K43</v>
      </c>
    </row>
    <row r="236" spans="2:11" hidden="1" x14ac:dyDescent="0.2">
      <c r="B236" s="4">
        <v>19044</v>
      </c>
      <c r="C236" s="4">
        <v>0</v>
      </c>
      <c r="D236">
        <v>0</v>
      </c>
      <c r="E236" t="str">
        <f>VLOOKUP(B236,Nuclides!A:F,5,FALSE)</f>
        <v>K44</v>
      </c>
      <c r="F236">
        <f>VLOOKUP(B236,Nuclides!A:F,4,FALSE)</f>
        <v>1327.8</v>
      </c>
      <c r="G236" s="4" t="str">
        <f t="shared" si="19"/>
        <v>22.13min</v>
      </c>
      <c r="H236" s="4">
        <f t="shared" si="20"/>
        <v>5.2202679662595669E-4</v>
      </c>
      <c r="I236" s="4">
        <f t="shared" si="21"/>
        <v>0</v>
      </c>
      <c r="J236" s="4">
        <f t="shared" si="22"/>
        <v>0</v>
      </c>
      <c r="K236" s="4" t="str">
        <f t="shared" si="23"/>
        <v>K44</v>
      </c>
    </row>
    <row r="237" spans="2:11" hidden="1" x14ac:dyDescent="0.2">
      <c r="B237" s="4">
        <v>19045</v>
      </c>
      <c r="C237" s="4">
        <v>0</v>
      </c>
      <c r="D237">
        <v>0</v>
      </c>
      <c r="E237" t="str">
        <f>VLOOKUP(B237,Nuclides!A:F,5,FALSE)</f>
        <v>K45</v>
      </c>
      <c r="F237">
        <f>VLOOKUP(B237,Nuclides!A:F,4,FALSE)</f>
        <v>1068.5999999999999</v>
      </c>
      <c r="G237" s="4" t="str">
        <f t="shared" si="19"/>
        <v>17.81min</v>
      </c>
      <c r="H237" s="4">
        <f t="shared" si="20"/>
        <v>6.4864980400518931E-4</v>
      </c>
      <c r="I237" s="4">
        <f t="shared" si="21"/>
        <v>0</v>
      </c>
      <c r="J237" s="4">
        <f t="shared" si="22"/>
        <v>0</v>
      </c>
      <c r="K237" s="4" t="str">
        <f t="shared" si="23"/>
        <v>K45</v>
      </c>
    </row>
    <row r="238" spans="2:11" hidden="1" x14ac:dyDescent="0.2">
      <c r="B238" s="4">
        <v>19046</v>
      </c>
      <c r="C238" s="4">
        <v>0</v>
      </c>
      <c r="D238">
        <v>0</v>
      </c>
      <c r="E238" t="str">
        <f>VLOOKUP(B238,Nuclides!A:F,5,FALSE)</f>
        <v>K46</v>
      </c>
      <c r="F238">
        <f>VLOOKUP(B238,Nuclides!A:F,4,FALSE)</f>
        <v>105</v>
      </c>
      <c r="G238" s="4" t="str">
        <f t="shared" si="19"/>
        <v>1.75min</v>
      </c>
      <c r="H238" s="4">
        <f t="shared" si="20"/>
        <v>6.6014017196185269E-3</v>
      </c>
      <c r="I238" s="4">
        <f t="shared" si="21"/>
        <v>0</v>
      </c>
      <c r="J238" s="4">
        <f t="shared" si="22"/>
        <v>0</v>
      </c>
      <c r="K238" s="4" t="str">
        <f t="shared" si="23"/>
        <v>K46</v>
      </c>
    </row>
    <row r="239" spans="2:11" hidden="1" x14ac:dyDescent="0.2">
      <c r="B239" s="4">
        <v>19047</v>
      </c>
      <c r="C239" s="4">
        <v>0</v>
      </c>
      <c r="D239">
        <v>0</v>
      </c>
      <c r="E239" t="str">
        <f>VLOOKUP(B239,Nuclides!A:F,5,FALSE)</f>
        <v>K47</v>
      </c>
      <c r="F239">
        <f>VLOOKUP(B239,Nuclides!A:F,4,FALSE)</f>
        <v>17.5</v>
      </c>
      <c r="G239" s="4" t="str">
        <f t="shared" si="19"/>
        <v>17.5s</v>
      </c>
      <c r="H239" s="4">
        <f t="shared" si="20"/>
        <v>3.960841031771116E-2</v>
      </c>
      <c r="I239" s="4">
        <f t="shared" si="21"/>
        <v>0</v>
      </c>
      <c r="J239" s="4">
        <f t="shared" si="22"/>
        <v>0</v>
      </c>
      <c r="K239" s="4" t="str">
        <f t="shared" si="23"/>
        <v>K47</v>
      </c>
    </row>
    <row r="240" spans="2:11" hidden="1" x14ac:dyDescent="0.2">
      <c r="B240" s="4">
        <v>19048</v>
      </c>
      <c r="C240" s="4">
        <v>0</v>
      </c>
      <c r="D240">
        <v>0</v>
      </c>
      <c r="E240" t="str">
        <f>VLOOKUP(B240,Nuclides!A:F,5,FALSE)</f>
        <v>K48</v>
      </c>
      <c r="F240">
        <f>VLOOKUP(B240,Nuclides!A:F,4,FALSE)</f>
        <v>6.83</v>
      </c>
      <c r="G240" s="4" t="str">
        <f t="shared" si="19"/>
        <v>6.83s</v>
      </c>
      <c r="H240" s="4">
        <f t="shared" si="20"/>
        <v>0.10148567797363767</v>
      </c>
      <c r="I240" s="4">
        <f t="shared" si="21"/>
        <v>0</v>
      </c>
      <c r="J240" s="4">
        <f t="shared" si="22"/>
        <v>0</v>
      </c>
      <c r="K240" s="4" t="str">
        <f t="shared" si="23"/>
        <v>K48</v>
      </c>
    </row>
    <row r="241" spans="2:11" hidden="1" x14ac:dyDescent="0.2">
      <c r="B241" s="4">
        <v>19049</v>
      </c>
      <c r="C241" s="4">
        <v>0</v>
      </c>
      <c r="D241">
        <v>0</v>
      </c>
      <c r="E241" t="str">
        <f>VLOOKUP(B241,Nuclides!A:F,5,FALSE)</f>
        <v>K49</v>
      </c>
      <c r="F241">
        <f>VLOOKUP(B241,Nuclides!A:F,4,FALSE)</f>
        <v>1.2629999999999999</v>
      </c>
      <c r="G241" s="4" t="str">
        <f t="shared" si="19"/>
        <v>1.263s</v>
      </c>
      <c r="H241" s="4">
        <f t="shared" si="20"/>
        <v>0.54881011920819112</v>
      </c>
      <c r="I241" s="4">
        <f t="shared" si="21"/>
        <v>0</v>
      </c>
      <c r="J241" s="4">
        <f t="shared" si="22"/>
        <v>0</v>
      </c>
      <c r="K241" s="4" t="str">
        <f t="shared" si="23"/>
        <v>K49</v>
      </c>
    </row>
    <row r="242" spans="2:11" hidden="1" x14ac:dyDescent="0.2">
      <c r="B242" s="4">
        <v>19050</v>
      </c>
      <c r="C242" s="4">
        <v>0</v>
      </c>
      <c r="D242">
        <v>0</v>
      </c>
      <c r="E242" t="str">
        <f>VLOOKUP(B242,Nuclides!A:F,5,FALSE)</f>
        <v>K50</v>
      </c>
      <c r="F242">
        <f>VLOOKUP(B242,Nuclides!A:F,4,FALSE)</f>
        <v>0.47199999999999998</v>
      </c>
      <c r="G242" s="4" t="str">
        <f t="shared" si="19"/>
        <v>0.472s</v>
      </c>
      <c r="H242" s="4">
        <f t="shared" si="20"/>
        <v>1.4685321622032741</v>
      </c>
      <c r="I242" s="4">
        <f t="shared" si="21"/>
        <v>0</v>
      </c>
      <c r="J242" s="4">
        <f t="shared" si="22"/>
        <v>0</v>
      </c>
      <c r="K242" s="4" t="str">
        <f t="shared" si="23"/>
        <v>K50</v>
      </c>
    </row>
    <row r="243" spans="2:11" hidden="1" x14ac:dyDescent="0.2">
      <c r="B243" s="4">
        <v>19051</v>
      </c>
      <c r="C243" s="4">
        <v>0</v>
      </c>
      <c r="D243">
        <v>0</v>
      </c>
      <c r="E243" t="str">
        <f>VLOOKUP(B243,Nuclides!A:F,5,FALSE)</f>
        <v>K51</v>
      </c>
      <c r="F243">
        <f>VLOOKUP(B243,Nuclides!A:F,4,FALSE)</f>
        <v>0.36499999999999999</v>
      </c>
      <c r="G243" s="4" t="str">
        <f t="shared" si="19"/>
        <v>0.365s</v>
      </c>
      <c r="H243" s="4">
        <f t="shared" si="20"/>
        <v>1.8990333713971104</v>
      </c>
      <c r="I243" s="4">
        <f t="shared" si="21"/>
        <v>0</v>
      </c>
      <c r="J243" s="4">
        <f t="shared" si="22"/>
        <v>0</v>
      </c>
      <c r="K243" s="4" t="str">
        <f t="shared" si="23"/>
        <v>K51</v>
      </c>
    </row>
    <row r="244" spans="2:11" hidden="1" x14ac:dyDescent="0.2">
      <c r="B244" s="4">
        <v>20036</v>
      </c>
      <c r="C244" s="4">
        <v>0</v>
      </c>
      <c r="D244">
        <v>0</v>
      </c>
      <c r="E244" t="str">
        <f>VLOOKUP(B244,Nuclides!A:F,5,FALSE)</f>
        <v>Ca36</v>
      </c>
      <c r="F244">
        <f>VLOOKUP(B244,Nuclides!A:F,4,FALSE)</f>
        <v>0.10199999999999999</v>
      </c>
      <c r="G244" s="4" t="str">
        <f t="shared" si="19"/>
        <v>0.102s</v>
      </c>
      <c r="H244" s="4">
        <f t="shared" si="20"/>
        <v>6.7955605937249546</v>
      </c>
      <c r="I244" s="4">
        <f t="shared" si="21"/>
        <v>0</v>
      </c>
      <c r="J244" s="4">
        <f t="shared" si="22"/>
        <v>0</v>
      </c>
      <c r="K244" s="4" t="str">
        <f t="shared" si="23"/>
        <v>Ca36</v>
      </c>
    </row>
    <row r="245" spans="2:11" hidden="1" x14ac:dyDescent="0.2">
      <c r="B245" s="4">
        <v>20037</v>
      </c>
      <c r="C245" s="4">
        <v>0</v>
      </c>
      <c r="D245">
        <v>0</v>
      </c>
      <c r="E245" t="str">
        <f>VLOOKUP(B245,Nuclides!A:F,5,FALSE)</f>
        <v>Ca37</v>
      </c>
      <c r="F245">
        <f>VLOOKUP(B245,Nuclides!A:F,4,FALSE)</f>
        <v>0.18110000000000001</v>
      </c>
      <c r="G245" s="4" t="str">
        <f t="shared" si="19"/>
        <v>0.1811s</v>
      </c>
      <c r="H245" s="4">
        <f t="shared" si="20"/>
        <v>3.8274278330201286</v>
      </c>
      <c r="I245" s="4">
        <f t="shared" si="21"/>
        <v>0</v>
      </c>
      <c r="J245" s="4">
        <f t="shared" si="22"/>
        <v>0</v>
      </c>
      <c r="K245" s="4" t="str">
        <f t="shared" si="23"/>
        <v>Ca37</v>
      </c>
    </row>
    <row r="246" spans="2:11" hidden="1" x14ac:dyDescent="0.2">
      <c r="B246" s="4">
        <v>20038</v>
      </c>
      <c r="C246" s="4">
        <v>0</v>
      </c>
      <c r="D246">
        <v>0</v>
      </c>
      <c r="E246" t="str">
        <f>VLOOKUP(B246,Nuclides!A:F,5,FALSE)</f>
        <v>Ca38</v>
      </c>
      <c r="F246">
        <f>VLOOKUP(B246,Nuclides!A:F,4,FALSE)</f>
        <v>0.44</v>
      </c>
      <c r="G246" s="4" t="str">
        <f t="shared" si="19"/>
        <v>0.44s</v>
      </c>
      <c r="H246" s="4">
        <f t="shared" si="20"/>
        <v>1.575334501272603</v>
      </c>
      <c r="I246" s="4">
        <f t="shared" si="21"/>
        <v>0</v>
      </c>
      <c r="J246" s="4">
        <f t="shared" si="22"/>
        <v>0</v>
      </c>
      <c r="K246" s="4" t="str">
        <f t="shared" si="23"/>
        <v>Ca38</v>
      </c>
    </row>
    <row r="247" spans="2:11" hidden="1" x14ac:dyDescent="0.2">
      <c r="B247" s="4">
        <v>20039</v>
      </c>
      <c r="C247" s="4">
        <v>0</v>
      </c>
      <c r="D247">
        <v>0</v>
      </c>
      <c r="E247" t="str">
        <f>VLOOKUP(B247,Nuclides!A:F,5,FALSE)</f>
        <v>Ca39</v>
      </c>
      <c r="F247">
        <f>VLOOKUP(B247,Nuclides!A:F,4,FALSE)</f>
        <v>0.85960000000000003</v>
      </c>
      <c r="G247" s="4" t="str">
        <f t="shared" si="19"/>
        <v>0.8596s</v>
      </c>
      <c r="H247" s="4">
        <f t="shared" si="20"/>
        <v>0.80636014490454311</v>
      </c>
      <c r="I247" s="4">
        <f t="shared" si="21"/>
        <v>0</v>
      </c>
      <c r="J247" s="4">
        <f t="shared" si="22"/>
        <v>0</v>
      </c>
      <c r="K247" s="4" t="str">
        <f t="shared" si="23"/>
        <v>Ca39</v>
      </c>
    </row>
    <row r="248" spans="2:11" hidden="1" x14ac:dyDescent="0.2">
      <c r="B248" s="4">
        <v>20040</v>
      </c>
      <c r="C248" s="4">
        <v>0</v>
      </c>
      <c r="D248">
        <v>0</v>
      </c>
      <c r="E248" t="str">
        <f>VLOOKUP(B248,Nuclides!A:F,5,FALSE)</f>
        <v>Ca40</v>
      </c>
      <c r="F248">
        <f>VLOOKUP(B248,Nuclides!A:F,4,FALSE)</f>
        <v>9.4672799999999999E+28</v>
      </c>
      <c r="G248" s="4" t="str">
        <f t="shared" si="19"/>
        <v>3.00205479452055E+21y</v>
      </c>
      <c r="H248" s="4">
        <f t="shared" si="20"/>
        <v>7.3215029085433761E-30</v>
      </c>
      <c r="I248" s="4">
        <f t="shared" si="21"/>
        <v>0</v>
      </c>
      <c r="J248" s="4">
        <f t="shared" si="22"/>
        <v>0</v>
      </c>
      <c r="K248" s="4" t="str">
        <f t="shared" si="23"/>
        <v>Ca40</v>
      </c>
    </row>
    <row r="249" spans="2:11" hidden="1" x14ac:dyDescent="0.2">
      <c r="B249" s="4">
        <v>20041</v>
      </c>
      <c r="C249" s="4">
        <v>0</v>
      </c>
      <c r="D249">
        <v>0</v>
      </c>
      <c r="E249" t="str">
        <f>VLOOKUP(B249,Nuclides!A:F,5,FALSE)</f>
        <v>Ca41</v>
      </c>
      <c r="F249">
        <f>VLOOKUP(B249,Nuclides!A:F,4,FALSE)</f>
        <v>3136825440000</v>
      </c>
      <c r="G249" s="4" t="str">
        <f t="shared" si="19"/>
        <v>99468.08y</v>
      </c>
      <c r="H249" s="4">
        <f t="shared" si="20"/>
        <v>2.2097091273269745E-13</v>
      </c>
      <c r="I249" s="4">
        <f t="shared" si="21"/>
        <v>0</v>
      </c>
      <c r="J249" s="4">
        <f t="shared" si="22"/>
        <v>0</v>
      </c>
      <c r="K249" s="4" t="str">
        <f t="shared" si="23"/>
        <v>Ca41</v>
      </c>
    </row>
    <row r="250" spans="2:11" hidden="1" x14ac:dyDescent="0.2">
      <c r="B250" s="4">
        <v>20042</v>
      </c>
      <c r="C250" s="4">
        <v>0</v>
      </c>
      <c r="D250">
        <v>0</v>
      </c>
      <c r="E250" t="str">
        <f>VLOOKUP(B250,Nuclides!A:F,5,FALSE)</f>
        <v>Ca42</v>
      </c>
      <c r="F250" t="str">
        <f>VLOOKUP(B250,Nuclides!A:F,4,FALSE)</f>
        <v>STABLE</v>
      </c>
      <c r="G250" s="4" t="str">
        <f t="shared" si="19"/>
        <v>STABLE</v>
      </c>
      <c r="H250" s="4" t="e">
        <f t="shared" si="20"/>
        <v>#VALUE!</v>
      </c>
      <c r="I250" s="4" t="e">
        <f t="shared" si="21"/>
        <v>#VALUE!</v>
      </c>
      <c r="J250" s="4" t="e">
        <f t="shared" si="22"/>
        <v>#VALUE!</v>
      </c>
      <c r="K250" s="4" t="str">
        <f t="shared" si="23"/>
        <v>Ca42</v>
      </c>
    </row>
    <row r="251" spans="2:11" hidden="1" x14ac:dyDescent="0.2">
      <c r="B251" s="4">
        <v>20043</v>
      </c>
      <c r="C251" s="4">
        <v>0</v>
      </c>
      <c r="D251">
        <v>0</v>
      </c>
      <c r="E251" t="str">
        <f>VLOOKUP(B251,Nuclides!A:F,5,FALSE)</f>
        <v>Ca43</v>
      </c>
      <c r="F251" t="str">
        <f>VLOOKUP(B251,Nuclides!A:F,4,FALSE)</f>
        <v>STABLE</v>
      </c>
      <c r="G251" s="4" t="str">
        <f t="shared" si="19"/>
        <v>STABLE</v>
      </c>
      <c r="H251" s="4" t="e">
        <f t="shared" si="20"/>
        <v>#VALUE!</v>
      </c>
      <c r="I251" s="4" t="e">
        <f t="shared" si="21"/>
        <v>#VALUE!</v>
      </c>
      <c r="J251" s="4" t="e">
        <f t="shared" si="22"/>
        <v>#VALUE!</v>
      </c>
      <c r="K251" s="4" t="str">
        <f t="shared" si="23"/>
        <v>Ca43</v>
      </c>
    </row>
    <row r="252" spans="2:11" hidden="1" x14ac:dyDescent="0.2">
      <c r="B252" s="4">
        <v>20044</v>
      </c>
      <c r="C252" s="4">
        <v>0</v>
      </c>
      <c r="D252">
        <v>0</v>
      </c>
      <c r="E252" t="str">
        <f>VLOOKUP(B252,Nuclides!A:F,5,FALSE)</f>
        <v>Ca44</v>
      </c>
      <c r="F252" t="str">
        <f>VLOOKUP(B252,Nuclides!A:F,4,FALSE)</f>
        <v>STABLE</v>
      </c>
      <c r="G252" s="4" t="str">
        <f t="shared" si="19"/>
        <v>STABLE</v>
      </c>
      <c r="H252" s="4" t="e">
        <f t="shared" si="20"/>
        <v>#VALUE!</v>
      </c>
      <c r="I252" s="4" t="e">
        <f t="shared" si="21"/>
        <v>#VALUE!</v>
      </c>
      <c r="J252" s="4" t="e">
        <f t="shared" si="22"/>
        <v>#VALUE!</v>
      </c>
      <c r="K252" s="4" t="str">
        <f t="shared" si="23"/>
        <v>Ca44</v>
      </c>
    </row>
    <row r="253" spans="2:11" hidden="1" x14ac:dyDescent="0.2">
      <c r="B253" s="4">
        <v>20045</v>
      </c>
      <c r="C253" s="4">
        <v>0</v>
      </c>
      <c r="D253">
        <v>0</v>
      </c>
      <c r="E253" t="str">
        <f>VLOOKUP(B253,Nuclides!A:F,5,FALSE)</f>
        <v>Ca45</v>
      </c>
      <c r="F253">
        <f>VLOOKUP(B253,Nuclides!A:F,4,FALSE)</f>
        <v>14049504</v>
      </c>
      <c r="G253" s="4" t="str">
        <f t="shared" si="19"/>
        <v>162.61d</v>
      </c>
      <c r="H253" s="4">
        <f t="shared" si="20"/>
        <v>4.9336060586903655E-8</v>
      </c>
      <c r="I253" s="4">
        <f t="shared" si="21"/>
        <v>0</v>
      </c>
      <c r="J253" s="4">
        <f t="shared" si="22"/>
        <v>0</v>
      </c>
      <c r="K253" s="4" t="str">
        <f t="shared" si="23"/>
        <v>Ca45</v>
      </c>
    </row>
    <row r="254" spans="2:11" hidden="1" x14ac:dyDescent="0.2">
      <c r="B254" s="4">
        <v>20046</v>
      </c>
      <c r="C254" s="4">
        <v>0</v>
      </c>
      <c r="D254">
        <v>0</v>
      </c>
      <c r="E254" t="str">
        <f>VLOOKUP(B254,Nuclides!A:F,5,FALSE)</f>
        <v>Ca46</v>
      </c>
      <c r="F254">
        <f>VLOOKUP(B254,Nuclides!A:F,4,FALSE)</f>
        <v>8.8361279999999998E+22</v>
      </c>
      <c r="G254" s="4" t="str">
        <f t="shared" si="19"/>
        <v>2801917808219180y</v>
      </c>
      <c r="H254" s="4">
        <f t="shared" si="20"/>
        <v>7.844467402010759E-24</v>
      </c>
      <c r="I254" s="4">
        <f t="shared" si="21"/>
        <v>0</v>
      </c>
      <c r="J254" s="4">
        <f t="shared" si="22"/>
        <v>0</v>
      </c>
      <c r="K254" s="4" t="str">
        <f t="shared" si="23"/>
        <v>Ca46</v>
      </c>
    </row>
    <row r="255" spans="2:11" hidden="1" x14ac:dyDescent="0.2">
      <c r="B255" s="4">
        <v>20047</v>
      </c>
      <c r="C255" s="4">
        <v>0</v>
      </c>
      <c r="D255">
        <v>0</v>
      </c>
      <c r="E255" t="str">
        <f>VLOOKUP(B255,Nuclides!A:F,5,FALSE)</f>
        <v>Ca47</v>
      </c>
      <c r="F255">
        <f>VLOOKUP(B255,Nuclides!A:F,4,FALSE)</f>
        <v>391910.39999999898</v>
      </c>
      <c r="G255" s="4" t="str">
        <f t="shared" si="19"/>
        <v>4.54d</v>
      </c>
      <c r="H255" s="4">
        <f t="shared" si="20"/>
        <v>1.7686368633237268E-6</v>
      </c>
      <c r="I255" s="4">
        <f t="shared" si="21"/>
        <v>0</v>
      </c>
      <c r="J255" s="4">
        <f t="shared" si="22"/>
        <v>0</v>
      </c>
      <c r="K255" s="4" t="str">
        <f t="shared" si="23"/>
        <v>Ca47</v>
      </c>
    </row>
    <row r="256" spans="2:11" hidden="1" x14ac:dyDescent="0.2">
      <c r="B256" s="4">
        <v>20048</v>
      </c>
      <c r="C256" s="4">
        <v>0</v>
      </c>
      <c r="D256">
        <v>0</v>
      </c>
      <c r="E256" t="str">
        <f>VLOOKUP(B256,Nuclides!A:F,5,FALSE)</f>
        <v>Ca48</v>
      </c>
      <c r="F256">
        <f>VLOOKUP(B256,Nuclides!A:F,4,FALSE)</f>
        <v>1.8303407999999899E+30</v>
      </c>
      <c r="G256" s="4" t="str">
        <f t="shared" si="19"/>
        <v>5.80397260273969E+22y</v>
      </c>
      <c r="H256" s="4">
        <f t="shared" si="20"/>
        <v>3.7869842630396979E-31</v>
      </c>
      <c r="I256" s="4">
        <f t="shared" si="21"/>
        <v>0</v>
      </c>
      <c r="J256" s="4">
        <f t="shared" si="22"/>
        <v>0</v>
      </c>
      <c r="K256" s="4" t="str">
        <f t="shared" si="23"/>
        <v>Ca48</v>
      </c>
    </row>
    <row r="257" spans="2:11" hidden="1" x14ac:dyDescent="0.2">
      <c r="B257" s="4">
        <v>20049</v>
      </c>
      <c r="C257" s="4">
        <v>0</v>
      </c>
      <c r="D257">
        <v>0</v>
      </c>
      <c r="E257" t="str">
        <f>VLOOKUP(B257,Nuclides!A:F,5,FALSE)</f>
        <v>Ca49</v>
      </c>
      <c r="F257">
        <f>VLOOKUP(B257,Nuclides!A:F,4,FALSE)</f>
        <v>523.08000000000004</v>
      </c>
      <c r="G257" s="4" t="str">
        <f t="shared" si="19"/>
        <v>8.72min</v>
      </c>
      <c r="H257" s="4">
        <f t="shared" si="20"/>
        <v>1.3251265209144783E-3</v>
      </c>
      <c r="I257" s="4">
        <f t="shared" si="21"/>
        <v>0</v>
      </c>
      <c r="J257" s="4">
        <f t="shared" si="22"/>
        <v>0</v>
      </c>
      <c r="K257" s="4" t="str">
        <f t="shared" si="23"/>
        <v>Ca49</v>
      </c>
    </row>
    <row r="258" spans="2:11" hidden="1" x14ac:dyDescent="0.2">
      <c r="B258" s="4">
        <v>20050</v>
      </c>
      <c r="C258" s="4">
        <v>0</v>
      </c>
      <c r="D258">
        <v>0</v>
      </c>
      <c r="E258" t="str">
        <f>VLOOKUP(B258,Nuclides!A:F,5,FALSE)</f>
        <v>Ca50</v>
      </c>
      <c r="F258">
        <f>VLOOKUP(B258,Nuclides!A:F,4,FALSE)</f>
        <v>13.9</v>
      </c>
      <c r="G258" s="4" t="str">
        <f t="shared" si="19"/>
        <v>13.9s</v>
      </c>
      <c r="H258" s="4">
        <f t="shared" si="20"/>
        <v>4.9866703637406133E-2</v>
      </c>
      <c r="I258" s="4">
        <f t="shared" si="21"/>
        <v>0</v>
      </c>
      <c r="J258" s="4">
        <f t="shared" si="22"/>
        <v>0</v>
      </c>
      <c r="K258" s="4" t="str">
        <f t="shared" si="23"/>
        <v>Ca50</v>
      </c>
    </row>
    <row r="259" spans="2:11" hidden="1" x14ac:dyDescent="0.2">
      <c r="B259" s="4">
        <v>20051</v>
      </c>
      <c r="C259" s="4">
        <v>0</v>
      </c>
      <c r="D259">
        <v>0</v>
      </c>
      <c r="E259" t="str">
        <f>VLOOKUP(B259,Nuclides!A:F,5,FALSE)</f>
        <v>Ca51</v>
      </c>
      <c r="F259">
        <f>VLOOKUP(B259,Nuclides!A:F,4,FALSE)</f>
        <v>10</v>
      </c>
      <c r="G259" s="4" t="str">
        <f t="shared" si="19"/>
        <v>10s</v>
      </c>
      <c r="H259" s="4">
        <f t="shared" si="20"/>
        <v>6.9314718055994526E-2</v>
      </c>
      <c r="I259" s="4">
        <f t="shared" si="21"/>
        <v>0</v>
      </c>
      <c r="J259" s="4">
        <f t="shared" si="22"/>
        <v>0</v>
      </c>
      <c r="K259" s="4" t="str">
        <f t="shared" si="23"/>
        <v>Ca51</v>
      </c>
    </row>
    <row r="260" spans="2:11" hidden="1" x14ac:dyDescent="0.2">
      <c r="B260" s="4">
        <v>21040</v>
      </c>
      <c r="C260" s="4">
        <v>0</v>
      </c>
      <c r="D260">
        <v>0</v>
      </c>
      <c r="E260" t="str">
        <f>VLOOKUP(B260,Nuclides!A:F,5,FALSE)</f>
        <v>Sc40</v>
      </c>
      <c r="F260">
        <f>VLOOKUP(B260,Nuclides!A:F,4,FALSE)</f>
        <v>0.18229999999999999</v>
      </c>
      <c r="G260" s="4" t="str">
        <f t="shared" si="19"/>
        <v>0.1823s</v>
      </c>
      <c r="H260" s="4">
        <f t="shared" si="20"/>
        <v>3.8022335741083122</v>
      </c>
      <c r="I260" s="4">
        <f t="shared" si="21"/>
        <v>0</v>
      </c>
      <c r="J260" s="4">
        <f t="shared" si="22"/>
        <v>0</v>
      </c>
      <c r="K260" s="4" t="str">
        <f t="shared" si="23"/>
        <v>Sc40</v>
      </c>
    </row>
    <row r="261" spans="2:11" hidden="1" x14ac:dyDescent="0.2">
      <c r="B261" s="4">
        <v>21041</v>
      </c>
      <c r="C261" s="4">
        <v>0</v>
      </c>
      <c r="D261">
        <v>0</v>
      </c>
      <c r="E261" t="str">
        <f>VLOOKUP(B261,Nuclides!A:F,5,FALSE)</f>
        <v>Sc41</v>
      </c>
      <c r="F261">
        <f>VLOOKUP(B261,Nuclides!A:F,4,FALSE)</f>
        <v>0.59629999999999905</v>
      </c>
      <c r="G261" s="4" t="str">
        <f t="shared" ref="G261:G324" si="24">IF(F261="STABLE", "STABLE", IF(F261&lt;60, F261&amp;"s", IF(F261&lt;3600, ROUND(F261/60,2)&amp;"min", IF(F261&lt;86400, ROUND(F261/3600,2)&amp;"h", IF(F261&lt;31536000, ROUND(F261/86400,2)&amp;"d", ROUND(F261/31536000,2)&amp;"y")))))</f>
        <v>0.596299999999999s</v>
      </c>
      <c r="H261" s="4">
        <f t="shared" ref="H261:H324" si="25">LN(2)/F261</f>
        <v>1.1624135176252663</v>
      </c>
      <c r="I261" s="4">
        <f t="shared" ref="I261:I324" si="26">60*6240000000000*C261*(1-EXP(-H261*2*3600))</f>
        <v>0</v>
      </c>
      <c r="J261" s="4">
        <f t="shared" ref="J261:J324" si="27">I261*EXP(-H261*48*3600)</f>
        <v>0</v>
      </c>
      <c r="K261" s="4" t="str">
        <f t="shared" ref="K261:K324" si="28">E261</f>
        <v>Sc41</v>
      </c>
    </row>
    <row r="262" spans="2:11" hidden="1" x14ac:dyDescent="0.2">
      <c r="B262" s="4">
        <v>21042</v>
      </c>
      <c r="C262" s="4">
        <v>0</v>
      </c>
      <c r="D262">
        <v>0</v>
      </c>
      <c r="E262" t="str">
        <f>VLOOKUP(B262,Nuclides!A:F,5,FALSE)</f>
        <v>Sc42</v>
      </c>
      <c r="F262">
        <f>VLOOKUP(B262,Nuclides!A:F,4,FALSE)</f>
        <v>0.68069999999999997</v>
      </c>
      <c r="G262" s="4" t="str">
        <f t="shared" si="24"/>
        <v>0.6807s</v>
      </c>
      <c r="H262" s="4">
        <f t="shared" si="25"/>
        <v>1.0182858536211918</v>
      </c>
      <c r="I262" s="4">
        <f t="shared" si="26"/>
        <v>0</v>
      </c>
      <c r="J262" s="4">
        <f t="shared" si="27"/>
        <v>0</v>
      </c>
      <c r="K262" s="4" t="str">
        <f t="shared" si="28"/>
        <v>Sc42</v>
      </c>
    </row>
    <row r="263" spans="2:11" hidden="1" x14ac:dyDescent="0.2">
      <c r="B263" s="4">
        <v>21043</v>
      </c>
      <c r="C263" s="4">
        <v>0</v>
      </c>
      <c r="D263">
        <v>0</v>
      </c>
      <c r="E263" t="str">
        <f>VLOOKUP(B263,Nuclides!A:F,5,FALSE)</f>
        <v>Sc43</v>
      </c>
      <c r="F263">
        <f>VLOOKUP(B263,Nuclides!A:F,4,FALSE)</f>
        <v>14007.6</v>
      </c>
      <c r="G263" s="4" t="str">
        <f t="shared" si="24"/>
        <v>3.89h</v>
      </c>
      <c r="H263" s="4">
        <f t="shared" si="25"/>
        <v>4.9483650344095011E-5</v>
      </c>
      <c r="I263" s="4">
        <f t="shared" si="26"/>
        <v>0</v>
      </c>
      <c r="J263" s="4">
        <f t="shared" si="27"/>
        <v>0</v>
      </c>
      <c r="K263" s="4" t="str">
        <f t="shared" si="28"/>
        <v>Sc43</v>
      </c>
    </row>
    <row r="264" spans="2:11" hidden="1" x14ac:dyDescent="0.2">
      <c r="B264" s="4">
        <v>21044</v>
      </c>
      <c r="C264" s="4">
        <v>0</v>
      </c>
      <c r="D264">
        <v>0</v>
      </c>
      <c r="E264" t="str">
        <f>VLOOKUP(B264,Nuclides!A:F,5,FALSE)</f>
        <v>Sc44</v>
      </c>
      <c r="F264">
        <f>VLOOKUP(B264,Nuclides!A:F,4,FALSE)</f>
        <v>14292</v>
      </c>
      <c r="G264" s="4" t="str">
        <f t="shared" si="24"/>
        <v>3.97h</v>
      </c>
      <c r="H264" s="4">
        <f t="shared" si="25"/>
        <v>4.8498963095434182E-5</v>
      </c>
      <c r="I264" s="4">
        <f t="shared" si="26"/>
        <v>0</v>
      </c>
      <c r="J264" s="4">
        <f t="shared" si="27"/>
        <v>0</v>
      </c>
      <c r="K264" s="4" t="str">
        <f t="shared" si="28"/>
        <v>Sc44</v>
      </c>
    </row>
    <row r="265" spans="2:11" hidden="1" x14ac:dyDescent="0.2">
      <c r="B265" s="4">
        <v>21045</v>
      </c>
      <c r="C265" s="4">
        <v>0</v>
      </c>
      <c r="D265">
        <v>0</v>
      </c>
      <c r="E265" t="str">
        <f>VLOOKUP(B265,Nuclides!A:F,5,FALSE)</f>
        <v>Sc45</v>
      </c>
      <c r="F265" t="str">
        <f>VLOOKUP(B265,Nuclides!A:F,4,FALSE)</f>
        <v>STABLE</v>
      </c>
      <c r="G265" s="4" t="str">
        <f t="shared" si="24"/>
        <v>STABLE</v>
      </c>
      <c r="H265" s="4" t="e">
        <f t="shared" si="25"/>
        <v>#VALUE!</v>
      </c>
      <c r="I265" s="4" t="e">
        <f t="shared" si="26"/>
        <v>#VALUE!</v>
      </c>
      <c r="J265" s="4" t="e">
        <f t="shared" si="27"/>
        <v>#VALUE!</v>
      </c>
      <c r="K265" s="4" t="str">
        <f t="shared" si="28"/>
        <v>Sc45</v>
      </c>
    </row>
    <row r="266" spans="2:11" hidden="1" x14ac:dyDescent="0.2">
      <c r="B266" s="4">
        <v>21046</v>
      </c>
      <c r="C266" s="4">
        <v>0</v>
      </c>
      <c r="D266">
        <v>0</v>
      </c>
      <c r="E266" t="str">
        <f>VLOOKUP(B266,Nuclides!A:F,5,FALSE)</f>
        <v>Sc46</v>
      </c>
      <c r="F266">
        <f>VLOOKUP(B266,Nuclides!A:F,4,FALSE)</f>
        <v>7239456</v>
      </c>
      <c r="G266" s="4" t="str">
        <f t="shared" si="24"/>
        <v>83.79d</v>
      </c>
      <c r="H266" s="4">
        <f t="shared" si="25"/>
        <v>9.5745755006998491E-8</v>
      </c>
      <c r="I266" s="4">
        <f t="shared" si="26"/>
        <v>0</v>
      </c>
      <c r="J266" s="4">
        <f t="shared" si="27"/>
        <v>0</v>
      </c>
      <c r="K266" s="4" t="str">
        <f t="shared" si="28"/>
        <v>Sc46</v>
      </c>
    </row>
    <row r="267" spans="2:11" hidden="1" x14ac:dyDescent="0.2">
      <c r="B267" s="4">
        <v>21047</v>
      </c>
      <c r="C267" s="4">
        <v>0</v>
      </c>
      <c r="D267">
        <v>0</v>
      </c>
      <c r="E267" t="str">
        <f>VLOOKUP(B267,Nuclides!A:F,5,FALSE)</f>
        <v>Sc47</v>
      </c>
      <c r="F267">
        <f>VLOOKUP(B267,Nuclides!A:F,4,FALSE)</f>
        <v>289370.88</v>
      </c>
      <c r="G267" s="4" t="str">
        <f t="shared" si="24"/>
        <v>3.35d</v>
      </c>
      <c r="H267" s="4">
        <f t="shared" si="25"/>
        <v>2.3953591341324507E-6</v>
      </c>
      <c r="I267" s="4">
        <f t="shared" si="26"/>
        <v>0</v>
      </c>
      <c r="J267" s="4">
        <f t="shared" si="27"/>
        <v>0</v>
      </c>
      <c r="K267" s="4" t="str">
        <f t="shared" si="28"/>
        <v>Sc47</v>
      </c>
    </row>
    <row r="268" spans="2:11" hidden="1" x14ac:dyDescent="0.2">
      <c r="B268" s="4">
        <v>21048</v>
      </c>
      <c r="C268" s="4">
        <v>0</v>
      </c>
      <c r="D268">
        <v>0</v>
      </c>
      <c r="E268" t="str">
        <f>VLOOKUP(B268,Nuclides!A:F,5,FALSE)</f>
        <v>Sc48</v>
      </c>
      <c r="F268">
        <f>VLOOKUP(B268,Nuclides!A:F,4,FALSE)</f>
        <v>157212</v>
      </c>
      <c r="G268" s="4" t="str">
        <f t="shared" si="24"/>
        <v>1.82d</v>
      </c>
      <c r="H268" s="4">
        <f t="shared" si="25"/>
        <v>4.4089966450394709E-6</v>
      </c>
      <c r="I268" s="4">
        <f t="shared" si="26"/>
        <v>0</v>
      </c>
      <c r="J268" s="4">
        <f t="shared" si="27"/>
        <v>0</v>
      </c>
      <c r="K268" s="4" t="str">
        <f t="shared" si="28"/>
        <v>Sc48</v>
      </c>
    </row>
    <row r="269" spans="2:11" hidden="1" x14ac:dyDescent="0.2">
      <c r="B269" s="4">
        <v>21049</v>
      </c>
      <c r="C269" s="4">
        <v>0</v>
      </c>
      <c r="D269">
        <v>0</v>
      </c>
      <c r="E269" t="str">
        <f>VLOOKUP(B269,Nuclides!A:F,5,FALSE)</f>
        <v>Sc49</v>
      </c>
      <c r="F269">
        <f>VLOOKUP(B269,Nuclides!A:F,4,FALSE)</f>
        <v>3430.8</v>
      </c>
      <c r="G269" s="4" t="str">
        <f t="shared" si="24"/>
        <v>57.18min</v>
      </c>
      <c r="H269" s="4">
        <f t="shared" si="25"/>
        <v>2.0203660387080135E-4</v>
      </c>
      <c r="I269" s="4">
        <f t="shared" si="26"/>
        <v>0</v>
      </c>
      <c r="J269" s="4">
        <f t="shared" si="27"/>
        <v>0</v>
      </c>
      <c r="K269" s="4" t="str">
        <f t="shared" si="28"/>
        <v>Sc49</v>
      </c>
    </row>
    <row r="270" spans="2:11" hidden="1" x14ac:dyDescent="0.2">
      <c r="B270" s="4">
        <v>21050</v>
      </c>
      <c r="C270" s="4">
        <v>0</v>
      </c>
      <c r="D270">
        <v>0</v>
      </c>
      <c r="E270" t="str">
        <f>VLOOKUP(B270,Nuclides!A:F,5,FALSE)</f>
        <v>Sc50</v>
      </c>
      <c r="F270">
        <f>VLOOKUP(B270,Nuclides!A:F,4,FALSE)</f>
        <v>102.5</v>
      </c>
      <c r="G270" s="4" t="str">
        <f t="shared" si="24"/>
        <v>1.71min</v>
      </c>
      <c r="H270" s="4">
        <f t="shared" si="25"/>
        <v>6.7624115176580027E-3</v>
      </c>
      <c r="I270" s="4">
        <f t="shared" si="26"/>
        <v>0</v>
      </c>
      <c r="J270" s="4">
        <f t="shared" si="27"/>
        <v>0</v>
      </c>
      <c r="K270" s="4" t="str">
        <f t="shared" si="28"/>
        <v>Sc50</v>
      </c>
    </row>
    <row r="271" spans="2:11" hidden="1" x14ac:dyDescent="0.2">
      <c r="B271" s="4">
        <v>21051</v>
      </c>
      <c r="C271" s="4">
        <v>0</v>
      </c>
      <c r="D271">
        <v>0</v>
      </c>
      <c r="E271" t="str">
        <f>VLOOKUP(B271,Nuclides!A:F,5,FALSE)</f>
        <v>Sc51</v>
      </c>
      <c r="F271">
        <f>VLOOKUP(B271,Nuclides!A:F,4,FALSE)</f>
        <v>12.4</v>
      </c>
      <c r="G271" s="4" t="str">
        <f t="shared" si="24"/>
        <v>12.4s</v>
      </c>
      <c r="H271" s="4">
        <f t="shared" si="25"/>
        <v>5.5898966174189137E-2</v>
      </c>
      <c r="I271" s="4">
        <f t="shared" si="26"/>
        <v>0</v>
      </c>
      <c r="J271" s="4">
        <f t="shared" si="27"/>
        <v>0</v>
      </c>
      <c r="K271" s="4" t="str">
        <f t="shared" si="28"/>
        <v>Sc51</v>
      </c>
    </row>
    <row r="272" spans="2:11" hidden="1" x14ac:dyDescent="0.2">
      <c r="B272" s="4">
        <v>22041</v>
      </c>
      <c r="C272" s="4">
        <v>0</v>
      </c>
      <c r="D272">
        <v>0</v>
      </c>
      <c r="E272" t="str">
        <f>VLOOKUP(B272,Nuclides!A:F,5,FALSE)</f>
        <v>Ti41</v>
      </c>
      <c r="F272">
        <f>VLOOKUP(B272,Nuclides!A:F,4,FALSE)</f>
        <v>8.1900000000000001E-2</v>
      </c>
      <c r="G272" s="4" t="str">
        <f t="shared" si="24"/>
        <v>0.0819s</v>
      </c>
      <c r="H272" s="4">
        <f t="shared" si="25"/>
        <v>8.4633355379724691</v>
      </c>
      <c r="I272" s="4">
        <f t="shared" si="26"/>
        <v>0</v>
      </c>
      <c r="J272" s="4">
        <f t="shared" si="27"/>
        <v>0</v>
      </c>
      <c r="K272" s="4" t="str">
        <f t="shared" si="28"/>
        <v>Ti41</v>
      </c>
    </row>
    <row r="273" spans="2:11" hidden="1" x14ac:dyDescent="0.2">
      <c r="B273" s="4">
        <v>22042</v>
      </c>
      <c r="C273" s="4">
        <v>0</v>
      </c>
      <c r="D273">
        <v>0</v>
      </c>
      <c r="E273" t="str">
        <f>VLOOKUP(B273,Nuclides!A:F,5,FALSE)</f>
        <v>Ti42</v>
      </c>
      <c r="F273">
        <f>VLOOKUP(B273,Nuclides!A:F,4,FALSE)</f>
        <v>0.20865</v>
      </c>
      <c r="G273" s="4" t="str">
        <f t="shared" si="24"/>
        <v>0.20865s</v>
      </c>
      <c r="H273" s="4">
        <f t="shared" si="25"/>
        <v>3.3220569401387263</v>
      </c>
      <c r="I273" s="4">
        <f t="shared" si="26"/>
        <v>0</v>
      </c>
      <c r="J273" s="4">
        <f t="shared" si="27"/>
        <v>0</v>
      </c>
      <c r="K273" s="4" t="str">
        <f t="shared" si="28"/>
        <v>Ti42</v>
      </c>
    </row>
    <row r="274" spans="2:11" hidden="1" x14ac:dyDescent="0.2">
      <c r="B274" s="4">
        <v>22043</v>
      </c>
      <c r="C274" s="4">
        <v>0</v>
      </c>
      <c r="D274">
        <v>0</v>
      </c>
      <c r="E274" t="str">
        <f>VLOOKUP(B274,Nuclides!A:F,5,FALSE)</f>
        <v>Ti43</v>
      </c>
      <c r="F274">
        <f>VLOOKUP(B274,Nuclides!A:F,4,FALSE)</f>
        <v>0.50900000000000001</v>
      </c>
      <c r="G274" s="4" t="str">
        <f t="shared" si="24"/>
        <v>0.509s</v>
      </c>
      <c r="H274" s="4">
        <f t="shared" si="25"/>
        <v>1.361782280078478</v>
      </c>
      <c r="I274" s="4">
        <f t="shared" si="26"/>
        <v>0</v>
      </c>
      <c r="J274" s="4">
        <f t="shared" si="27"/>
        <v>0</v>
      </c>
      <c r="K274" s="4" t="str">
        <f t="shared" si="28"/>
        <v>Ti43</v>
      </c>
    </row>
    <row r="275" spans="2:11" hidden="1" x14ac:dyDescent="0.2">
      <c r="B275" s="4">
        <v>22044</v>
      </c>
      <c r="C275" s="4">
        <v>0</v>
      </c>
      <c r="D275">
        <v>0</v>
      </c>
      <c r="E275" t="str">
        <f>VLOOKUP(B275,Nuclides!A:F,5,FALSE)</f>
        <v>Ti44</v>
      </c>
      <c r="F275">
        <f>VLOOKUP(B275,Nuclides!A:F,4,FALSE)</f>
        <v>1893456000</v>
      </c>
      <c r="G275" s="4" t="str">
        <f t="shared" si="24"/>
        <v>60.04y</v>
      </c>
      <c r="H275" s="4">
        <f t="shared" si="25"/>
        <v>3.6607514542716876E-10</v>
      </c>
      <c r="I275" s="4">
        <f t="shared" si="26"/>
        <v>0</v>
      </c>
      <c r="J275" s="4">
        <f t="shared" si="27"/>
        <v>0</v>
      </c>
      <c r="K275" s="4" t="str">
        <f t="shared" si="28"/>
        <v>Ti44</v>
      </c>
    </row>
    <row r="276" spans="2:11" hidden="1" x14ac:dyDescent="0.2">
      <c r="B276" s="4">
        <v>22045</v>
      </c>
      <c r="C276" s="4">
        <v>0</v>
      </c>
      <c r="D276">
        <v>0</v>
      </c>
      <c r="E276" t="str">
        <f>VLOOKUP(B276,Nuclides!A:F,5,FALSE)</f>
        <v>Ti45</v>
      </c>
      <c r="F276">
        <f>VLOOKUP(B276,Nuclides!A:F,4,FALSE)</f>
        <v>11088</v>
      </c>
      <c r="G276" s="4" t="str">
        <f t="shared" si="24"/>
        <v>3.08h</v>
      </c>
      <c r="H276" s="4">
        <f t="shared" si="25"/>
        <v>6.2513273860023921E-5</v>
      </c>
      <c r="I276" s="4">
        <f t="shared" si="26"/>
        <v>0</v>
      </c>
      <c r="J276" s="4">
        <f t="shared" si="27"/>
        <v>0</v>
      </c>
      <c r="K276" s="4" t="str">
        <f t="shared" si="28"/>
        <v>Ti45</v>
      </c>
    </row>
    <row r="277" spans="2:11" hidden="1" x14ac:dyDescent="0.2">
      <c r="B277" s="4">
        <v>22046</v>
      </c>
      <c r="C277" s="4">
        <v>0</v>
      </c>
      <c r="D277">
        <v>0</v>
      </c>
      <c r="E277" t="str">
        <f>VLOOKUP(B277,Nuclides!A:F,5,FALSE)</f>
        <v>Ti46</v>
      </c>
      <c r="F277" t="str">
        <f>VLOOKUP(B277,Nuclides!A:F,4,FALSE)</f>
        <v>STABLE</v>
      </c>
      <c r="G277" s="4" t="str">
        <f t="shared" si="24"/>
        <v>STABLE</v>
      </c>
      <c r="H277" s="4" t="e">
        <f t="shared" si="25"/>
        <v>#VALUE!</v>
      </c>
      <c r="I277" s="4" t="e">
        <f t="shared" si="26"/>
        <v>#VALUE!</v>
      </c>
      <c r="J277" s="4" t="e">
        <f t="shared" si="27"/>
        <v>#VALUE!</v>
      </c>
      <c r="K277" s="4" t="str">
        <f t="shared" si="28"/>
        <v>Ti46</v>
      </c>
    </row>
    <row r="278" spans="2:11" hidden="1" x14ac:dyDescent="0.2">
      <c r="B278" s="4">
        <v>22047</v>
      </c>
      <c r="C278" s="4">
        <v>0</v>
      </c>
      <c r="D278">
        <v>0</v>
      </c>
      <c r="E278" t="str">
        <f>VLOOKUP(B278,Nuclides!A:F,5,FALSE)</f>
        <v>Ti47</v>
      </c>
      <c r="F278" t="str">
        <f>VLOOKUP(B278,Nuclides!A:F,4,FALSE)</f>
        <v>STABLE</v>
      </c>
      <c r="G278" s="4" t="str">
        <f t="shared" si="24"/>
        <v>STABLE</v>
      </c>
      <c r="H278" s="4" t="e">
        <f t="shared" si="25"/>
        <v>#VALUE!</v>
      </c>
      <c r="I278" s="4" t="e">
        <f t="shared" si="26"/>
        <v>#VALUE!</v>
      </c>
      <c r="J278" s="4" t="e">
        <f t="shared" si="27"/>
        <v>#VALUE!</v>
      </c>
      <c r="K278" s="4" t="str">
        <f t="shared" si="28"/>
        <v>Ti47</v>
      </c>
    </row>
    <row r="279" spans="2:11" hidden="1" x14ac:dyDescent="0.2">
      <c r="B279" s="4">
        <v>22048</v>
      </c>
      <c r="C279" s="4">
        <v>0</v>
      </c>
      <c r="D279">
        <v>0</v>
      </c>
      <c r="E279" t="str">
        <f>VLOOKUP(B279,Nuclides!A:F,5,FALSE)</f>
        <v>Ti48</v>
      </c>
      <c r="F279" t="str">
        <f>VLOOKUP(B279,Nuclides!A:F,4,FALSE)</f>
        <v>STABLE</v>
      </c>
      <c r="G279" s="4" t="str">
        <f t="shared" si="24"/>
        <v>STABLE</v>
      </c>
      <c r="H279" s="4" t="e">
        <f t="shared" si="25"/>
        <v>#VALUE!</v>
      </c>
      <c r="I279" s="4" t="e">
        <f t="shared" si="26"/>
        <v>#VALUE!</v>
      </c>
      <c r="J279" s="4" t="e">
        <f t="shared" si="27"/>
        <v>#VALUE!</v>
      </c>
      <c r="K279" s="4" t="str">
        <f t="shared" si="28"/>
        <v>Ti48</v>
      </c>
    </row>
    <row r="280" spans="2:11" hidden="1" x14ac:dyDescent="0.2">
      <c r="B280" s="4">
        <v>22049</v>
      </c>
      <c r="C280" s="4">
        <v>0</v>
      </c>
      <c r="D280">
        <v>0</v>
      </c>
      <c r="E280" t="str">
        <f>VLOOKUP(B280,Nuclides!A:F,5,FALSE)</f>
        <v>Ti49</v>
      </c>
      <c r="F280" t="str">
        <f>VLOOKUP(B280,Nuclides!A:F,4,FALSE)</f>
        <v>STABLE</v>
      </c>
      <c r="G280" s="4" t="str">
        <f t="shared" si="24"/>
        <v>STABLE</v>
      </c>
      <c r="H280" s="4" t="e">
        <f t="shared" si="25"/>
        <v>#VALUE!</v>
      </c>
      <c r="I280" s="4" t="e">
        <f t="shared" si="26"/>
        <v>#VALUE!</v>
      </c>
      <c r="J280" s="4" t="e">
        <f t="shared" si="27"/>
        <v>#VALUE!</v>
      </c>
      <c r="K280" s="4" t="str">
        <f t="shared" si="28"/>
        <v>Ti49</v>
      </c>
    </row>
    <row r="281" spans="2:11" hidden="1" x14ac:dyDescent="0.2">
      <c r="B281" s="4">
        <v>22050</v>
      </c>
      <c r="C281" s="4">
        <v>0</v>
      </c>
      <c r="D281">
        <v>0</v>
      </c>
      <c r="E281" t="str">
        <f>VLOOKUP(B281,Nuclides!A:F,5,FALSE)</f>
        <v>Ti50</v>
      </c>
      <c r="F281" t="str">
        <f>VLOOKUP(B281,Nuclides!A:F,4,FALSE)</f>
        <v>STABLE</v>
      </c>
      <c r="G281" s="4" t="str">
        <f t="shared" si="24"/>
        <v>STABLE</v>
      </c>
      <c r="H281" s="4" t="e">
        <f t="shared" si="25"/>
        <v>#VALUE!</v>
      </c>
      <c r="I281" s="4" t="e">
        <f t="shared" si="26"/>
        <v>#VALUE!</v>
      </c>
      <c r="J281" s="4" t="e">
        <f t="shared" si="27"/>
        <v>#VALUE!</v>
      </c>
      <c r="K281" s="4" t="str">
        <f t="shared" si="28"/>
        <v>Ti50</v>
      </c>
    </row>
    <row r="282" spans="2:11" hidden="1" x14ac:dyDescent="0.2">
      <c r="B282" s="4">
        <v>22051</v>
      </c>
      <c r="C282" s="4">
        <v>0</v>
      </c>
      <c r="D282">
        <v>0</v>
      </c>
      <c r="E282" t="str">
        <f>VLOOKUP(B282,Nuclides!A:F,5,FALSE)</f>
        <v>Ti51</v>
      </c>
      <c r="F282">
        <f>VLOOKUP(B282,Nuclides!A:F,4,FALSE)</f>
        <v>345.599999999999</v>
      </c>
      <c r="G282" s="4" t="str">
        <f t="shared" si="24"/>
        <v>5.76min</v>
      </c>
      <c r="H282" s="4">
        <f t="shared" si="25"/>
        <v>2.0056342030091065E-3</v>
      </c>
      <c r="I282" s="4">
        <f t="shared" si="26"/>
        <v>0</v>
      </c>
      <c r="J282" s="4">
        <f t="shared" si="27"/>
        <v>0</v>
      </c>
      <c r="K282" s="4" t="str">
        <f t="shared" si="28"/>
        <v>Ti51</v>
      </c>
    </row>
    <row r="283" spans="2:11" hidden="1" x14ac:dyDescent="0.2">
      <c r="B283" s="4">
        <v>22052</v>
      </c>
      <c r="C283" s="4">
        <v>0</v>
      </c>
      <c r="D283">
        <v>0</v>
      </c>
      <c r="E283" t="str">
        <f>VLOOKUP(B283,Nuclides!A:F,5,FALSE)</f>
        <v>Ti52</v>
      </c>
      <c r="F283">
        <f>VLOOKUP(B283,Nuclides!A:F,4,FALSE)</f>
        <v>102</v>
      </c>
      <c r="G283" s="4" t="str">
        <f t="shared" si="24"/>
        <v>1.7min</v>
      </c>
      <c r="H283" s="4">
        <f t="shared" si="25"/>
        <v>6.7955605937249537E-3</v>
      </c>
      <c r="I283" s="4">
        <f t="shared" si="26"/>
        <v>0</v>
      </c>
      <c r="J283" s="4">
        <f t="shared" si="27"/>
        <v>0</v>
      </c>
      <c r="K283" s="4" t="str">
        <f t="shared" si="28"/>
        <v>Ti52</v>
      </c>
    </row>
    <row r="284" spans="2:11" hidden="1" x14ac:dyDescent="0.2">
      <c r="B284" s="4">
        <v>22053</v>
      </c>
      <c r="C284" s="4">
        <v>0</v>
      </c>
      <c r="D284">
        <v>0</v>
      </c>
      <c r="E284" t="str">
        <f>VLOOKUP(B284,Nuclides!A:F,5,FALSE)</f>
        <v>Ti53</v>
      </c>
      <c r="F284">
        <f>VLOOKUP(B284,Nuclides!A:F,4,FALSE)</f>
        <v>32.700000000000003</v>
      </c>
      <c r="G284" s="4" t="str">
        <f t="shared" si="24"/>
        <v>32.7s</v>
      </c>
      <c r="H284" s="4">
        <f t="shared" si="25"/>
        <v>2.1197161485013615E-2</v>
      </c>
      <c r="I284" s="4">
        <f t="shared" si="26"/>
        <v>0</v>
      </c>
      <c r="J284" s="4">
        <f t="shared" si="27"/>
        <v>0</v>
      </c>
      <c r="K284" s="4" t="str">
        <f t="shared" si="28"/>
        <v>Ti53</v>
      </c>
    </row>
    <row r="285" spans="2:11" hidden="1" x14ac:dyDescent="0.2">
      <c r="B285" s="4">
        <v>22054</v>
      </c>
      <c r="C285" s="4">
        <v>0</v>
      </c>
      <c r="D285">
        <v>0</v>
      </c>
      <c r="E285" t="str">
        <f>VLOOKUP(B285,Nuclides!A:F,5,FALSE)</f>
        <v>Ti54</v>
      </c>
      <c r="F285">
        <f>VLOOKUP(B285,Nuclides!A:F,4,FALSE)</f>
        <v>2.1</v>
      </c>
      <c r="G285" s="4" t="str">
        <f t="shared" si="24"/>
        <v>2.1s</v>
      </c>
      <c r="H285" s="4">
        <f t="shared" si="25"/>
        <v>0.3300700859809263</v>
      </c>
      <c r="I285" s="4">
        <f t="shared" si="26"/>
        <v>0</v>
      </c>
      <c r="J285" s="4">
        <f t="shared" si="27"/>
        <v>0</v>
      </c>
      <c r="K285" s="4" t="str">
        <f t="shared" si="28"/>
        <v>Ti54</v>
      </c>
    </row>
    <row r="286" spans="2:11" hidden="1" x14ac:dyDescent="0.2">
      <c r="B286" s="4">
        <v>23044</v>
      </c>
      <c r="C286" s="4">
        <v>0</v>
      </c>
      <c r="D286">
        <v>0</v>
      </c>
      <c r="E286" t="str">
        <f>VLOOKUP(B286,Nuclides!A:F,5,FALSE)</f>
        <v>V44</v>
      </c>
      <c r="F286">
        <f>VLOOKUP(B286,Nuclides!A:F,4,FALSE)</f>
        <v>0.111</v>
      </c>
      <c r="G286" s="4" t="str">
        <f t="shared" si="24"/>
        <v>0.111s</v>
      </c>
      <c r="H286" s="4">
        <f t="shared" si="25"/>
        <v>6.2445691942337413</v>
      </c>
      <c r="I286" s="4">
        <f t="shared" si="26"/>
        <v>0</v>
      </c>
      <c r="J286" s="4">
        <f t="shared" si="27"/>
        <v>0</v>
      </c>
      <c r="K286" s="4" t="str">
        <f t="shared" si="28"/>
        <v>V44</v>
      </c>
    </row>
    <row r="287" spans="2:11" hidden="1" x14ac:dyDescent="0.2">
      <c r="B287" s="4">
        <v>23045</v>
      </c>
      <c r="C287" s="4">
        <v>0</v>
      </c>
      <c r="D287">
        <v>0</v>
      </c>
      <c r="E287" t="str">
        <f>VLOOKUP(B287,Nuclides!A:F,5,FALSE)</f>
        <v>V45</v>
      </c>
      <c r="F287">
        <f>VLOOKUP(B287,Nuclides!A:F,4,FALSE)</f>
        <v>0.54700000000000004</v>
      </c>
      <c r="G287" s="4" t="str">
        <f t="shared" si="24"/>
        <v>0.547s</v>
      </c>
      <c r="H287" s="4">
        <f t="shared" si="25"/>
        <v>1.2671794891406678</v>
      </c>
      <c r="I287" s="4">
        <f t="shared" si="26"/>
        <v>0</v>
      </c>
      <c r="J287" s="4">
        <f t="shared" si="27"/>
        <v>0</v>
      </c>
      <c r="K287" s="4" t="str">
        <f t="shared" si="28"/>
        <v>V45</v>
      </c>
    </row>
    <row r="288" spans="2:11" hidden="1" x14ac:dyDescent="0.2">
      <c r="B288" s="4">
        <v>23046</v>
      </c>
      <c r="C288" s="4">
        <v>0</v>
      </c>
      <c r="D288">
        <v>0</v>
      </c>
      <c r="E288" t="str">
        <f>VLOOKUP(B288,Nuclides!A:F,5,FALSE)</f>
        <v>V46</v>
      </c>
      <c r="F288">
        <f>VLOOKUP(B288,Nuclides!A:F,4,FALSE)</f>
        <v>0.42249999999999999</v>
      </c>
      <c r="G288" s="4" t="str">
        <f t="shared" si="24"/>
        <v>0.4225s</v>
      </c>
      <c r="H288" s="4">
        <f t="shared" si="25"/>
        <v>1.6405850427454327</v>
      </c>
      <c r="I288" s="4">
        <f t="shared" si="26"/>
        <v>0</v>
      </c>
      <c r="J288" s="4">
        <f t="shared" si="27"/>
        <v>0</v>
      </c>
      <c r="K288" s="4" t="str">
        <f t="shared" si="28"/>
        <v>V46</v>
      </c>
    </row>
    <row r="289" spans="2:17" hidden="1" x14ac:dyDescent="0.2">
      <c r="B289" s="4">
        <v>23047</v>
      </c>
      <c r="C289" s="4">
        <v>1.4999999999999999E-8</v>
      </c>
      <c r="D289">
        <v>0.25819999999999999</v>
      </c>
      <c r="E289" t="str">
        <f>VLOOKUP(B289,Nuclides!A:F,5,FALSE)</f>
        <v>V47</v>
      </c>
      <c r="F289">
        <f>VLOOKUP(B289,Nuclides!A:F,4,FALSE)</f>
        <v>1956</v>
      </c>
      <c r="G289" s="4" t="str">
        <f t="shared" si="24"/>
        <v>32.6min</v>
      </c>
      <c r="H289" s="4">
        <f t="shared" si="25"/>
        <v>3.5436972421265094E-4</v>
      </c>
      <c r="I289" s="4">
        <f t="shared" si="26"/>
        <v>5178133.9983014464</v>
      </c>
      <c r="J289" s="4">
        <f t="shared" si="27"/>
        <v>1.3185977130039058E-20</v>
      </c>
      <c r="K289" s="4" t="str">
        <f t="shared" si="28"/>
        <v>V47</v>
      </c>
    </row>
    <row r="290" spans="2:17" hidden="1" x14ac:dyDescent="0.2">
      <c r="B290" s="4">
        <v>23048</v>
      </c>
      <c r="C290" s="4">
        <v>0</v>
      </c>
      <c r="D290">
        <v>0</v>
      </c>
      <c r="E290" t="str">
        <f>VLOOKUP(B290,Nuclides!A:F,5,FALSE)</f>
        <v>V48</v>
      </c>
      <c r="F290">
        <f>VLOOKUP(B290,Nuclides!A:F,4,FALSE)</f>
        <v>1380110.4</v>
      </c>
      <c r="G290" s="4" t="str">
        <f t="shared" si="24"/>
        <v>15.97d</v>
      </c>
      <c r="H290" s="4">
        <f t="shared" si="25"/>
        <v>5.0224038639223745E-7</v>
      </c>
      <c r="I290" s="4">
        <f t="shared" si="26"/>
        <v>0</v>
      </c>
      <c r="J290" s="4">
        <f t="shared" si="27"/>
        <v>0</v>
      </c>
      <c r="K290" s="4" t="str">
        <f t="shared" si="28"/>
        <v>V48</v>
      </c>
    </row>
    <row r="291" spans="2:17" x14ac:dyDescent="0.2">
      <c r="B291" s="4">
        <v>23049</v>
      </c>
      <c r="C291" s="4">
        <v>5.0299999999999999E-7</v>
      </c>
      <c r="D291">
        <v>4.4600000000000001E-2</v>
      </c>
      <c r="E291" t="str">
        <f>VLOOKUP(B291,Nuclides!A:F,5,FALSE)</f>
        <v>V49</v>
      </c>
      <c r="F291">
        <f>VLOOKUP(B291,Nuclides!A:F,4,FALSE)</f>
        <v>28512000</v>
      </c>
      <c r="G291" s="4" t="str">
        <f t="shared" si="24"/>
        <v>330d</v>
      </c>
      <c r="H291" s="4">
        <f t="shared" si="25"/>
        <v>2.4310717612231527E-8</v>
      </c>
      <c r="I291" s="4">
        <f t="shared" si="26"/>
        <v>32960.674616534678</v>
      </c>
      <c r="J291" s="4">
        <f>I291*EXP(-H291*0.5*3600)</f>
        <v>32959.232312316773</v>
      </c>
      <c r="K291" s="4" t="str">
        <f t="shared" si="28"/>
        <v>V49</v>
      </c>
      <c r="L291" s="4">
        <f>J291</f>
        <v>32959.232312316773</v>
      </c>
      <c r="M291">
        <v>0</v>
      </c>
      <c r="O291" s="4" t="str">
        <f>K291</f>
        <v>V49</v>
      </c>
      <c r="P291" s="4" t="str">
        <f>G291</f>
        <v>330d</v>
      </c>
      <c r="Q291" s="4">
        <f>J291</f>
        <v>32959.232312316773</v>
      </c>
    </row>
    <row r="292" spans="2:17" hidden="1" x14ac:dyDescent="0.2">
      <c r="B292" s="4">
        <v>23050</v>
      </c>
      <c r="C292" s="4">
        <v>1.6999999999999999E-7</v>
      </c>
      <c r="D292">
        <v>7.6700000000000004E-2</v>
      </c>
      <c r="E292" t="str">
        <f>VLOOKUP(B292,Nuclides!A:F,5,FALSE)</f>
        <v>V50</v>
      </c>
      <c r="F292">
        <f>VLOOKUP(B292,Nuclides!A:F,4,FALSE)</f>
        <v>6.6270959999999998E+24</v>
      </c>
      <c r="G292" s="4" t="str">
        <f t="shared" si="24"/>
        <v>210143835616438000y</v>
      </c>
      <c r="H292" s="4">
        <f t="shared" si="25"/>
        <v>1.045928986934768E-25</v>
      </c>
      <c r="I292" s="4">
        <f t="shared" si="26"/>
        <v>0</v>
      </c>
      <c r="J292" s="4">
        <f t="shared" si="27"/>
        <v>0</v>
      </c>
      <c r="K292" s="4" t="str">
        <f t="shared" si="28"/>
        <v>V50</v>
      </c>
    </row>
    <row r="293" spans="2:17" hidden="1" x14ac:dyDescent="0.2">
      <c r="B293" s="4">
        <v>23051</v>
      </c>
      <c r="C293" s="4">
        <v>2.4999999999999999E-8</v>
      </c>
      <c r="D293">
        <v>0.2</v>
      </c>
      <c r="E293" t="str">
        <f>VLOOKUP(B293,Nuclides!A:F,5,FALSE)</f>
        <v>V51</v>
      </c>
      <c r="F293" t="str">
        <f>VLOOKUP(B293,Nuclides!A:F,4,FALSE)</f>
        <v>STABLE</v>
      </c>
      <c r="G293" s="4" t="str">
        <f t="shared" si="24"/>
        <v>STABLE</v>
      </c>
      <c r="H293" s="4" t="e">
        <f t="shared" si="25"/>
        <v>#VALUE!</v>
      </c>
      <c r="I293" s="4" t="e">
        <f t="shared" si="26"/>
        <v>#VALUE!</v>
      </c>
      <c r="J293" s="4" t="e">
        <f t="shared" si="27"/>
        <v>#VALUE!</v>
      </c>
      <c r="K293" s="4" t="str">
        <f t="shared" si="28"/>
        <v>V51</v>
      </c>
    </row>
    <row r="294" spans="2:17" hidden="1" x14ac:dyDescent="0.2">
      <c r="B294" s="4">
        <v>23052</v>
      </c>
      <c r="C294" s="4">
        <v>0</v>
      </c>
      <c r="D294">
        <v>0</v>
      </c>
      <c r="E294" t="str">
        <f>VLOOKUP(B294,Nuclides!A:F,5,FALSE)</f>
        <v>V52</v>
      </c>
      <c r="F294">
        <f>VLOOKUP(B294,Nuclides!A:F,4,FALSE)</f>
        <v>224.57999999999899</v>
      </c>
      <c r="G294" s="4" t="str">
        <f t="shared" si="24"/>
        <v>3.74min</v>
      </c>
      <c r="H294" s="4">
        <f t="shared" si="25"/>
        <v>3.08641544465201E-3</v>
      </c>
      <c r="I294" s="4">
        <f t="shared" si="26"/>
        <v>0</v>
      </c>
      <c r="J294" s="4">
        <f t="shared" si="27"/>
        <v>0</v>
      </c>
      <c r="K294" s="4" t="str">
        <f t="shared" si="28"/>
        <v>V52</v>
      </c>
    </row>
    <row r="295" spans="2:17" hidden="1" x14ac:dyDescent="0.2">
      <c r="B295" s="4">
        <v>23053</v>
      </c>
      <c r="C295" s="4">
        <v>0</v>
      </c>
      <c r="D295">
        <v>0</v>
      </c>
      <c r="E295" t="str">
        <f>VLOOKUP(B295,Nuclides!A:F,5,FALSE)</f>
        <v>V53</v>
      </c>
      <c r="F295">
        <f>VLOOKUP(B295,Nuclides!A:F,4,FALSE)</f>
        <v>92.58</v>
      </c>
      <c r="G295" s="4" t="str">
        <f t="shared" si="24"/>
        <v>1.54min</v>
      </c>
      <c r="H295" s="4">
        <f t="shared" si="25"/>
        <v>7.4870077831059112E-3</v>
      </c>
      <c r="I295" s="4">
        <f t="shared" si="26"/>
        <v>0</v>
      </c>
      <c r="J295" s="4">
        <f t="shared" si="27"/>
        <v>0</v>
      </c>
      <c r="K295" s="4" t="str">
        <f t="shared" si="28"/>
        <v>V53</v>
      </c>
    </row>
    <row r="296" spans="2:17" hidden="1" x14ac:dyDescent="0.2">
      <c r="B296" s="4">
        <v>23054</v>
      </c>
      <c r="C296" s="4">
        <v>0</v>
      </c>
      <c r="D296">
        <v>0</v>
      </c>
      <c r="E296" t="str">
        <f>VLOOKUP(B296,Nuclides!A:F,5,FALSE)</f>
        <v>V54</v>
      </c>
      <c r="F296">
        <f>VLOOKUP(B296,Nuclides!A:F,4,FALSE)</f>
        <v>49.8</v>
      </c>
      <c r="G296" s="4" t="str">
        <f t="shared" si="24"/>
        <v>49.8s</v>
      </c>
      <c r="H296" s="4">
        <f t="shared" si="25"/>
        <v>1.3918618083533039E-2</v>
      </c>
      <c r="I296" s="4">
        <f t="shared" si="26"/>
        <v>0</v>
      </c>
      <c r="J296" s="4">
        <f t="shared" si="27"/>
        <v>0</v>
      </c>
      <c r="K296" s="4" t="str">
        <f t="shared" si="28"/>
        <v>V54</v>
      </c>
    </row>
    <row r="297" spans="2:17" hidden="1" x14ac:dyDescent="0.2">
      <c r="B297" s="4">
        <v>23055</v>
      </c>
      <c r="C297" s="4">
        <v>0</v>
      </c>
      <c r="D297">
        <v>0</v>
      </c>
      <c r="E297" t="str">
        <f>VLOOKUP(B297,Nuclides!A:F,5,FALSE)</f>
        <v>V55</v>
      </c>
      <c r="F297">
        <f>VLOOKUP(B297,Nuclides!A:F,4,FALSE)</f>
        <v>6.54</v>
      </c>
      <c r="G297" s="4" t="str">
        <f t="shared" si="24"/>
        <v>6.54s</v>
      </c>
      <c r="H297" s="4">
        <f t="shared" si="25"/>
        <v>0.10598580742506808</v>
      </c>
      <c r="I297" s="4">
        <f t="shared" si="26"/>
        <v>0</v>
      </c>
      <c r="J297" s="4">
        <f t="shared" si="27"/>
        <v>0</v>
      </c>
      <c r="K297" s="4" t="str">
        <f t="shared" si="28"/>
        <v>V55</v>
      </c>
    </row>
    <row r="298" spans="2:17" hidden="1" x14ac:dyDescent="0.2">
      <c r="B298" s="4">
        <v>23056</v>
      </c>
      <c r="C298" s="4">
        <v>0</v>
      </c>
      <c r="D298">
        <v>0</v>
      </c>
      <c r="E298" t="str">
        <f>VLOOKUP(B298,Nuclides!A:F,5,FALSE)</f>
        <v>V56</v>
      </c>
      <c r="F298">
        <f>VLOOKUP(B298,Nuclides!A:F,4,FALSE)</f>
        <v>0.216</v>
      </c>
      <c r="G298" s="4" t="str">
        <f t="shared" si="24"/>
        <v>0.216s</v>
      </c>
      <c r="H298" s="4">
        <f t="shared" si="25"/>
        <v>3.2090147248145615</v>
      </c>
      <c r="I298" s="4">
        <f t="shared" si="26"/>
        <v>0</v>
      </c>
      <c r="J298" s="4">
        <f t="shared" si="27"/>
        <v>0</v>
      </c>
      <c r="K298" s="4" t="str">
        <f t="shared" si="28"/>
        <v>V56</v>
      </c>
    </row>
    <row r="299" spans="2:17" hidden="1" x14ac:dyDescent="0.2">
      <c r="B299" s="4">
        <v>24045</v>
      </c>
      <c r="C299" s="4">
        <v>0</v>
      </c>
      <c r="D299">
        <v>0</v>
      </c>
      <c r="E299" t="str">
        <f>VLOOKUP(B299,Nuclides!A:F,5,FALSE)</f>
        <v>Cr45</v>
      </c>
      <c r="F299">
        <f>VLOOKUP(B299,Nuclides!A:F,4,FALSE)</f>
        <v>6.0900000000000003E-2</v>
      </c>
      <c r="G299" s="4" t="str">
        <f t="shared" si="24"/>
        <v>0.0609s</v>
      </c>
      <c r="H299" s="4">
        <f t="shared" si="25"/>
        <v>11.381727102790563</v>
      </c>
      <c r="I299" s="4">
        <f t="shared" si="26"/>
        <v>0</v>
      </c>
      <c r="J299" s="4">
        <f t="shared" si="27"/>
        <v>0</v>
      </c>
      <c r="K299" s="4" t="str">
        <f t="shared" si="28"/>
        <v>Cr45</v>
      </c>
    </row>
    <row r="300" spans="2:17" hidden="1" x14ac:dyDescent="0.2">
      <c r="B300" s="4">
        <v>24046</v>
      </c>
      <c r="C300" s="4">
        <v>0</v>
      </c>
      <c r="D300">
        <v>0</v>
      </c>
      <c r="E300" t="str">
        <f>VLOOKUP(B300,Nuclides!A:F,5,FALSE)</f>
        <v>Cr46</v>
      </c>
      <c r="F300">
        <f>VLOOKUP(B300,Nuclides!A:F,4,FALSE)</f>
        <v>0.26</v>
      </c>
      <c r="G300" s="4" t="str">
        <f t="shared" si="24"/>
        <v>0.26s</v>
      </c>
      <c r="H300" s="4">
        <f t="shared" si="25"/>
        <v>2.665950694461328</v>
      </c>
      <c r="I300" s="4">
        <f t="shared" si="26"/>
        <v>0</v>
      </c>
      <c r="J300" s="4">
        <f t="shared" si="27"/>
        <v>0</v>
      </c>
      <c r="K300" s="4" t="str">
        <f t="shared" si="28"/>
        <v>Cr46</v>
      </c>
    </row>
    <row r="301" spans="2:17" hidden="1" x14ac:dyDescent="0.2">
      <c r="B301" s="4">
        <v>24047</v>
      </c>
      <c r="C301" s="4">
        <v>0</v>
      </c>
      <c r="D301">
        <v>0</v>
      </c>
      <c r="E301" t="str">
        <f>VLOOKUP(B301,Nuclides!A:F,5,FALSE)</f>
        <v>Cr47</v>
      </c>
      <c r="F301">
        <f>VLOOKUP(B301,Nuclides!A:F,4,FALSE)</f>
        <v>0.5</v>
      </c>
      <c r="G301" s="4" t="str">
        <f t="shared" si="24"/>
        <v>0.5s</v>
      </c>
      <c r="H301" s="4">
        <f t="shared" si="25"/>
        <v>1.3862943611198906</v>
      </c>
      <c r="I301" s="4">
        <f t="shared" si="26"/>
        <v>0</v>
      </c>
      <c r="J301" s="4">
        <f t="shared" si="27"/>
        <v>0</v>
      </c>
      <c r="K301" s="4" t="str">
        <f t="shared" si="28"/>
        <v>Cr47</v>
      </c>
    </row>
    <row r="302" spans="2:17" hidden="1" x14ac:dyDescent="0.2">
      <c r="B302" s="4">
        <v>24048</v>
      </c>
      <c r="C302" s="4">
        <v>0</v>
      </c>
      <c r="D302">
        <v>0</v>
      </c>
      <c r="E302" t="str">
        <f>VLOOKUP(B302,Nuclides!A:F,5,FALSE)</f>
        <v>Cr48</v>
      </c>
      <c r="F302">
        <f>VLOOKUP(B302,Nuclides!A:F,4,FALSE)</f>
        <v>77616</v>
      </c>
      <c r="G302" s="4" t="str">
        <f t="shared" si="24"/>
        <v>21.56h</v>
      </c>
      <c r="H302" s="4">
        <f t="shared" si="25"/>
        <v>8.9304676942891324E-6</v>
      </c>
      <c r="I302" s="4">
        <f t="shared" si="26"/>
        <v>0</v>
      </c>
      <c r="J302" s="4">
        <f t="shared" si="27"/>
        <v>0</v>
      </c>
      <c r="K302" s="4" t="str">
        <f t="shared" si="28"/>
        <v>Cr48</v>
      </c>
    </row>
    <row r="303" spans="2:17" hidden="1" x14ac:dyDescent="0.2">
      <c r="B303" s="4">
        <v>24049</v>
      </c>
      <c r="C303" s="4">
        <v>0</v>
      </c>
      <c r="D303">
        <v>0</v>
      </c>
      <c r="E303" t="str">
        <f>VLOOKUP(B303,Nuclides!A:F,5,FALSE)</f>
        <v>Cr49</v>
      </c>
      <c r="F303">
        <f>VLOOKUP(B303,Nuclides!A:F,4,FALSE)</f>
        <v>2538</v>
      </c>
      <c r="G303" s="4" t="str">
        <f t="shared" si="24"/>
        <v>42.3min</v>
      </c>
      <c r="H303" s="4">
        <f t="shared" si="25"/>
        <v>2.7310763615443075E-4</v>
      </c>
      <c r="I303" s="4">
        <f t="shared" si="26"/>
        <v>0</v>
      </c>
      <c r="J303" s="4">
        <f t="shared" si="27"/>
        <v>0</v>
      </c>
      <c r="K303" s="4" t="str">
        <f t="shared" si="28"/>
        <v>Cr49</v>
      </c>
    </row>
    <row r="304" spans="2:17" hidden="1" x14ac:dyDescent="0.2">
      <c r="B304" s="4">
        <v>24050</v>
      </c>
      <c r="C304" s="4">
        <v>4.9799999999999998E-6</v>
      </c>
      <c r="D304">
        <v>1.4200000000000001E-2</v>
      </c>
      <c r="E304" t="str">
        <f>VLOOKUP(B304,Nuclides!A:F,5,FALSE)</f>
        <v>Cr50</v>
      </c>
      <c r="F304">
        <f>VLOOKUP(B304,Nuclides!A:F,4,FALSE)</f>
        <v>4.1024880000000004E+25</v>
      </c>
      <c r="G304" s="4" t="str">
        <f t="shared" si="24"/>
        <v>1300890410958900000y</v>
      </c>
      <c r="H304" s="4">
        <f t="shared" si="25"/>
        <v>1.6895775942792405E-26</v>
      </c>
      <c r="I304" s="4">
        <f t="shared" si="26"/>
        <v>0</v>
      </c>
      <c r="J304" s="4">
        <f t="shared" si="27"/>
        <v>0</v>
      </c>
      <c r="K304" s="4" t="str">
        <f t="shared" si="28"/>
        <v>Cr50</v>
      </c>
    </row>
    <row r="305" spans="2:17" x14ac:dyDescent="0.2">
      <c r="B305" s="4">
        <v>24051</v>
      </c>
      <c r="C305" s="4">
        <v>3E-9</v>
      </c>
      <c r="D305">
        <v>0.57740000000000002</v>
      </c>
      <c r="E305" t="str">
        <f>VLOOKUP(B305,Nuclides!A:F,5,FALSE)</f>
        <v>Cr51</v>
      </c>
      <c r="F305">
        <f>VLOOKUP(B305,Nuclides!A:F,4,FALSE)</f>
        <v>2393496</v>
      </c>
      <c r="G305" s="4" t="str">
        <f t="shared" si="24"/>
        <v>27.7d</v>
      </c>
      <c r="H305" s="4">
        <f t="shared" si="25"/>
        <v>2.8959613074763664E-7</v>
      </c>
      <c r="I305" s="4">
        <f t="shared" si="26"/>
        <v>2339.5355719681356</v>
      </c>
      <c r="J305" s="4">
        <f>I305*EXP(-H305*0.5*3600)</f>
        <v>2338.316352959841</v>
      </c>
      <c r="K305" s="4" t="str">
        <f t="shared" si="28"/>
        <v>Cr51</v>
      </c>
      <c r="L305" s="4">
        <f>J305</f>
        <v>2338.316352959841</v>
      </c>
      <c r="M305">
        <v>0</v>
      </c>
      <c r="O305" s="4" t="str">
        <f>K305</f>
        <v>Cr51</v>
      </c>
      <c r="P305" s="4" t="str">
        <f>G305</f>
        <v>27.7d</v>
      </c>
      <c r="Q305" s="4">
        <f>J305</f>
        <v>2338.316352959841</v>
      </c>
    </row>
    <row r="306" spans="2:17" hidden="1" x14ac:dyDescent="0.2">
      <c r="B306" s="4">
        <v>24052</v>
      </c>
      <c r="C306" s="4">
        <v>7.9258999999999994E-5</v>
      </c>
      <c r="D306">
        <v>3.5999999999999999E-3</v>
      </c>
      <c r="E306" t="str">
        <f>VLOOKUP(B306,Nuclides!A:F,5,FALSE)</f>
        <v>Cr52</v>
      </c>
      <c r="F306" t="str">
        <f>VLOOKUP(B306,Nuclides!A:F,4,FALSE)</f>
        <v>STABLE</v>
      </c>
      <c r="G306" s="4" t="str">
        <f t="shared" si="24"/>
        <v>STABLE</v>
      </c>
      <c r="H306" s="4" t="e">
        <f t="shared" si="25"/>
        <v>#VALUE!</v>
      </c>
      <c r="I306" s="4" t="e">
        <f t="shared" si="26"/>
        <v>#VALUE!</v>
      </c>
      <c r="J306" s="4" t="e">
        <f t="shared" si="27"/>
        <v>#VALUE!</v>
      </c>
      <c r="K306" s="4" t="str">
        <f t="shared" si="28"/>
        <v>Cr52</v>
      </c>
    </row>
    <row r="307" spans="2:17" hidden="1" x14ac:dyDescent="0.2">
      <c r="B307" s="4">
        <v>24053</v>
      </c>
      <c r="C307" s="4">
        <v>6.7159999999999997E-6</v>
      </c>
      <c r="D307">
        <v>1.2200000000000001E-2</v>
      </c>
      <c r="E307" t="str">
        <f>VLOOKUP(B307,Nuclides!A:F,5,FALSE)</f>
        <v>Cr53</v>
      </c>
      <c r="F307" t="str">
        <f>VLOOKUP(B307,Nuclides!A:F,4,FALSE)</f>
        <v>STABLE</v>
      </c>
      <c r="G307" s="4" t="str">
        <f t="shared" si="24"/>
        <v>STABLE</v>
      </c>
      <c r="H307" s="4" t="e">
        <f t="shared" si="25"/>
        <v>#VALUE!</v>
      </c>
      <c r="I307" s="4" t="e">
        <f t="shared" si="26"/>
        <v>#VALUE!</v>
      </c>
      <c r="J307" s="4" t="e">
        <f t="shared" si="27"/>
        <v>#VALUE!</v>
      </c>
      <c r="K307" s="4" t="str">
        <f t="shared" si="28"/>
        <v>Cr53</v>
      </c>
    </row>
    <row r="308" spans="2:17" hidden="1" x14ac:dyDescent="0.2">
      <c r="B308" s="4">
        <v>24054</v>
      </c>
      <c r="C308" s="4">
        <v>1.716E-6</v>
      </c>
      <c r="D308">
        <v>2.41E-2</v>
      </c>
      <c r="E308" t="str">
        <f>VLOOKUP(B308,Nuclides!A:F,5,FALSE)</f>
        <v>Cr54</v>
      </c>
      <c r="F308" t="str">
        <f>VLOOKUP(B308,Nuclides!A:F,4,FALSE)</f>
        <v>STABLE</v>
      </c>
      <c r="G308" s="4" t="str">
        <f t="shared" si="24"/>
        <v>STABLE</v>
      </c>
      <c r="H308" s="4" t="e">
        <f t="shared" si="25"/>
        <v>#VALUE!</v>
      </c>
      <c r="I308" s="4" t="e">
        <f t="shared" si="26"/>
        <v>#VALUE!</v>
      </c>
      <c r="J308" s="4" t="e">
        <f t="shared" si="27"/>
        <v>#VALUE!</v>
      </c>
      <c r="K308" s="4" t="str">
        <f t="shared" si="28"/>
        <v>Cr54</v>
      </c>
    </row>
    <row r="309" spans="2:17" hidden="1" x14ac:dyDescent="0.2">
      <c r="B309" s="4">
        <v>24055</v>
      </c>
      <c r="C309" s="4">
        <v>0</v>
      </c>
      <c r="D309">
        <v>0</v>
      </c>
      <c r="E309" t="str">
        <f>VLOOKUP(B309,Nuclides!A:F,5,FALSE)</f>
        <v>Cr55</v>
      </c>
      <c r="F309">
        <f>VLOOKUP(B309,Nuclides!A:F,4,FALSE)</f>
        <v>209.82</v>
      </c>
      <c r="G309" s="4" t="str">
        <f t="shared" si="24"/>
        <v>3.5min</v>
      </c>
      <c r="H309" s="4">
        <f t="shared" si="25"/>
        <v>3.3035324590598861E-3</v>
      </c>
      <c r="I309" s="4">
        <f t="shared" si="26"/>
        <v>0</v>
      </c>
      <c r="J309" s="4">
        <f t="shared" si="27"/>
        <v>0</v>
      </c>
      <c r="K309" s="4" t="str">
        <f t="shared" si="28"/>
        <v>Cr55</v>
      </c>
    </row>
    <row r="310" spans="2:17" hidden="1" x14ac:dyDescent="0.2">
      <c r="B310" s="4">
        <v>24056</v>
      </c>
      <c r="C310" s="4">
        <v>0</v>
      </c>
      <c r="D310">
        <v>0</v>
      </c>
      <c r="E310" t="str">
        <f>VLOOKUP(B310,Nuclides!A:F,5,FALSE)</f>
        <v>Cr56</v>
      </c>
      <c r="F310">
        <f>VLOOKUP(B310,Nuclides!A:F,4,FALSE)</f>
        <v>356.4</v>
      </c>
      <c r="G310" s="4" t="str">
        <f t="shared" si="24"/>
        <v>5.94min</v>
      </c>
      <c r="H310" s="4">
        <f t="shared" si="25"/>
        <v>1.9448574089785222E-3</v>
      </c>
      <c r="I310" s="4">
        <f t="shared" si="26"/>
        <v>0</v>
      </c>
      <c r="J310" s="4">
        <f t="shared" si="27"/>
        <v>0</v>
      </c>
      <c r="K310" s="4" t="str">
        <f t="shared" si="28"/>
        <v>Cr56</v>
      </c>
    </row>
    <row r="311" spans="2:17" hidden="1" x14ac:dyDescent="0.2">
      <c r="B311" s="4">
        <v>24057</v>
      </c>
      <c r="C311" s="4">
        <v>0</v>
      </c>
      <c r="D311">
        <v>0</v>
      </c>
      <c r="E311" t="str">
        <f>VLOOKUP(B311,Nuclides!A:F,5,FALSE)</f>
        <v>Cr57</v>
      </c>
      <c r="F311">
        <f>VLOOKUP(B311,Nuclides!A:F,4,FALSE)</f>
        <v>21.1</v>
      </c>
      <c r="G311" s="4" t="str">
        <f t="shared" si="24"/>
        <v>21.1s</v>
      </c>
      <c r="H311" s="4">
        <f t="shared" si="25"/>
        <v>3.2850577277722524E-2</v>
      </c>
      <c r="I311" s="4">
        <f t="shared" si="26"/>
        <v>0</v>
      </c>
      <c r="J311" s="4">
        <f t="shared" si="27"/>
        <v>0</v>
      </c>
      <c r="K311" s="4" t="str">
        <f t="shared" si="28"/>
        <v>Cr57</v>
      </c>
    </row>
    <row r="312" spans="2:17" hidden="1" x14ac:dyDescent="0.2">
      <c r="B312" s="4">
        <v>24058</v>
      </c>
      <c r="C312" s="4">
        <v>0</v>
      </c>
      <c r="D312">
        <v>0</v>
      </c>
      <c r="E312" t="str">
        <f>VLOOKUP(B312,Nuclides!A:F,5,FALSE)</f>
        <v>Cr58</v>
      </c>
      <c r="F312">
        <f>VLOOKUP(B312,Nuclides!A:F,4,FALSE)</f>
        <v>7</v>
      </c>
      <c r="G312" s="4" t="str">
        <f t="shared" si="24"/>
        <v>7s</v>
      </c>
      <c r="H312" s="4">
        <f t="shared" si="25"/>
        <v>9.9021025794277892E-2</v>
      </c>
      <c r="I312" s="4">
        <f t="shared" si="26"/>
        <v>0</v>
      </c>
      <c r="J312" s="4">
        <f t="shared" si="27"/>
        <v>0</v>
      </c>
      <c r="K312" s="4" t="str">
        <f t="shared" si="28"/>
        <v>Cr58</v>
      </c>
    </row>
    <row r="313" spans="2:17" hidden="1" x14ac:dyDescent="0.2">
      <c r="B313" s="4">
        <v>24059</v>
      </c>
      <c r="C313" s="4">
        <v>0</v>
      </c>
      <c r="D313">
        <v>0</v>
      </c>
      <c r="E313" t="str">
        <f>VLOOKUP(B313,Nuclides!A:F,5,FALSE)</f>
        <v>Cr59</v>
      </c>
      <c r="F313">
        <f>VLOOKUP(B313,Nuclides!A:F,4,FALSE)</f>
        <v>1.05</v>
      </c>
      <c r="G313" s="4" t="str">
        <f t="shared" si="24"/>
        <v>1.05s</v>
      </c>
      <c r="H313" s="4">
        <f t="shared" si="25"/>
        <v>0.6601401719618526</v>
      </c>
      <c r="I313" s="4">
        <f t="shared" si="26"/>
        <v>0</v>
      </c>
      <c r="J313" s="4">
        <f t="shared" si="27"/>
        <v>0</v>
      </c>
      <c r="K313" s="4" t="str">
        <f t="shared" si="28"/>
        <v>Cr59</v>
      </c>
    </row>
    <row r="314" spans="2:17" hidden="1" x14ac:dyDescent="0.2">
      <c r="B314" s="4">
        <v>25049</v>
      </c>
      <c r="C314" s="4">
        <v>0</v>
      </c>
      <c r="D314">
        <v>0</v>
      </c>
      <c r="E314" t="str">
        <f>VLOOKUP(B314,Nuclides!A:F,5,FALSE)</f>
        <v>Mn49</v>
      </c>
      <c r="F314">
        <f>VLOOKUP(B314,Nuclides!A:F,4,FALSE)</f>
        <v>0.38200000000000001</v>
      </c>
      <c r="G314" s="4" t="str">
        <f t="shared" si="24"/>
        <v>0.382s</v>
      </c>
      <c r="H314" s="4">
        <f t="shared" si="25"/>
        <v>1.8145214150783908</v>
      </c>
      <c r="I314" s="4">
        <f t="shared" si="26"/>
        <v>0</v>
      </c>
      <c r="J314" s="4">
        <f t="shared" si="27"/>
        <v>0</v>
      </c>
      <c r="K314" s="4" t="str">
        <f t="shared" si="28"/>
        <v>Mn49</v>
      </c>
    </row>
    <row r="315" spans="2:17" hidden="1" x14ac:dyDescent="0.2">
      <c r="B315" s="4">
        <v>25050</v>
      </c>
      <c r="C315" s="4">
        <v>3.9999999999999998E-7</v>
      </c>
      <c r="D315">
        <v>0.05</v>
      </c>
      <c r="E315" t="str">
        <f>VLOOKUP(B315,Nuclides!A:F,5,FALSE)</f>
        <v>Mn50</v>
      </c>
      <c r="F315">
        <f>VLOOKUP(B315,Nuclides!A:F,4,FALSE)</f>
        <v>0.28319</v>
      </c>
      <c r="G315" s="4" t="str">
        <f t="shared" si="24"/>
        <v>0.28319s</v>
      </c>
      <c r="H315" s="4">
        <f t="shared" si="25"/>
        <v>2.4476400316393421</v>
      </c>
      <c r="I315" s="4">
        <f t="shared" si="26"/>
        <v>149760000</v>
      </c>
      <c r="J315" s="4">
        <f t="shared" si="27"/>
        <v>0</v>
      </c>
      <c r="K315" s="4" t="str">
        <f t="shared" si="28"/>
        <v>Mn50</v>
      </c>
    </row>
    <row r="316" spans="2:17" hidden="1" x14ac:dyDescent="0.2">
      <c r="B316" s="4">
        <v>25051</v>
      </c>
      <c r="C316" s="4">
        <v>1.9000000000000001E-8</v>
      </c>
      <c r="D316">
        <v>0.22939999999999999</v>
      </c>
      <c r="E316" t="str">
        <f>VLOOKUP(B316,Nuclides!A:F,5,FALSE)</f>
        <v>Mn51</v>
      </c>
      <c r="F316">
        <f>VLOOKUP(B316,Nuclides!A:F,4,FALSE)</f>
        <v>2772</v>
      </c>
      <c r="G316" s="4" t="str">
        <f t="shared" si="24"/>
        <v>46.2min</v>
      </c>
      <c r="H316" s="4">
        <f t="shared" si="25"/>
        <v>2.5005309544009569E-4</v>
      </c>
      <c r="I316" s="4">
        <f t="shared" si="26"/>
        <v>5938179.2629135065</v>
      </c>
      <c r="J316" s="4">
        <f t="shared" si="27"/>
        <v>1.0189364088395566E-12</v>
      </c>
      <c r="K316" s="4" t="str">
        <f t="shared" si="28"/>
        <v>Mn51</v>
      </c>
    </row>
    <row r="317" spans="2:17" x14ac:dyDescent="0.2">
      <c r="B317" s="4">
        <v>25052</v>
      </c>
      <c r="C317" s="4">
        <v>2.8907E-5</v>
      </c>
      <c r="D317">
        <v>5.8999999999999999E-3</v>
      </c>
      <c r="E317" t="str">
        <f>VLOOKUP(B317,Nuclides!A:F,5,FALSE)</f>
        <v>Mn52</v>
      </c>
      <c r="F317">
        <f>VLOOKUP(B317,Nuclides!A:F,4,FALSE)</f>
        <v>483062.4</v>
      </c>
      <c r="G317" s="4" t="str">
        <f t="shared" si="24"/>
        <v>5.59d</v>
      </c>
      <c r="H317" s="4">
        <f t="shared" si="25"/>
        <v>1.4349019517146133E-6</v>
      </c>
      <c r="I317" s="4">
        <f t="shared" si="26"/>
        <v>111237726.65958607</v>
      </c>
      <c r="J317" s="4">
        <f>I317*EXP(-H317*0.5*3600)</f>
        <v>110950789.95657142</v>
      </c>
      <c r="K317" s="4" t="str">
        <f t="shared" si="28"/>
        <v>Mn52</v>
      </c>
      <c r="L317" s="4">
        <f>J317</f>
        <v>110950789.95657142</v>
      </c>
      <c r="M317">
        <v>0</v>
      </c>
      <c r="O317" s="4" t="str">
        <f>K317</f>
        <v>Mn52</v>
      </c>
      <c r="P317" s="4" t="str">
        <f>G317</f>
        <v>5.59d</v>
      </c>
      <c r="Q317" s="4">
        <f>J317</f>
        <v>110950789.95657142</v>
      </c>
    </row>
    <row r="318" spans="2:17" hidden="1" x14ac:dyDescent="0.2">
      <c r="B318" s="4">
        <v>25053</v>
      </c>
      <c r="C318" s="4">
        <v>3.4450000000000001E-6</v>
      </c>
      <c r="D318">
        <v>1.7000000000000001E-2</v>
      </c>
      <c r="E318" t="str">
        <f>VLOOKUP(B318,Nuclides!A:F,5,FALSE)</f>
        <v>Mn53</v>
      </c>
      <c r="F318">
        <f>VLOOKUP(B318,Nuclides!A:F,4,FALSE)</f>
        <v>118025424000000</v>
      </c>
      <c r="G318" s="4" t="str">
        <f t="shared" si="24"/>
        <v>3742561.64y</v>
      </c>
      <c r="H318" s="4">
        <f t="shared" si="25"/>
        <v>5.8728632956230289E-15</v>
      </c>
      <c r="I318" s="4">
        <f t="shared" si="26"/>
        <v>5.4539041475010208E-2</v>
      </c>
      <c r="J318" s="4">
        <f t="shared" si="27"/>
        <v>5.4539041419662308E-2</v>
      </c>
      <c r="K318" s="4" t="str">
        <f t="shared" si="28"/>
        <v>Mn53</v>
      </c>
    </row>
    <row r="319" spans="2:17" x14ac:dyDescent="0.2">
      <c r="B319" s="4">
        <v>25054</v>
      </c>
      <c r="C319" s="4">
        <v>9.0599999999999999E-7</v>
      </c>
      <c r="D319">
        <v>3.32E-2</v>
      </c>
      <c r="E319" t="str">
        <f>VLOOKUP(B319,Nuclides!A:F,5,FALSE)</f>
        <v>Mn54</v>
      </c>
      <c r="F319">
        <f>VLOOKUP(B319,Nuclides!A:F,4,FALSE)</f>
        <v>26974080</v>
      </c>
      <c r="G319" s="4" t="str">
        <f t="shared" si="24"/>
        <v>312.2d</v>
      </c>
      <c r="H319" s="4">
        <f t="shared" si="25"/>
        <v>2.5696786713761703E-8</v>
      </c>
      <c r="I319" s="4">
        <f t="shared" si="26"/>
        <v>62753.099121941101</v>
      </c>
      <c r="J319" s="4">
        <f>I319*EXP(-H319*0.5*3600)</f>
        <v>62750.196593661931</v>
      </c>
      <c r="K319" s="4" t="str">
        <f t="shared" si="28"/>
        <v>Mn54</v>
      </c>
      <c r="L319" s="4">
        <f>J319</f>
        <v>62750.196593661931</v>
      </c>
      <c r="M319">
        <v>0</v>
      </c>
      <c r="O319" s="4" t="str">
        <f>K319</f>
        <v>Mn54</v>
      </c>
      <c r="P319" s="4" t="str">
        <f>G319</f>
        <v>312.2d</v>
      </c>
      <c r="Q319" s="4">
        <f>J319</f>
        <v>62750.196593661931</v>
      </c>
    </row>
    <row r="320" spans="2:17" hidden="1" x14ac:dyDescent="0.2">
      <c r="B320" s="4">
        <v>25055</v>
      </c>
      <c r="C320" s="4">
        <v>6.0000000000000002E-6</v>
      </c>
      <c r="D320">
        <v>1.29E-2</v>
      </c>
      <c r="E320" t="str">
        <f>VLOOKUP(B320,Nuclides!A:F,5,FALSE)</f>
        <v>Mn55</v>
      </c>
      <c r="F320" t="str">
        <f>VLOOKUP(B320,Nuclides!A:F,4,FALSE)</f>
        <v>STABLE</v>
      </c>
      <c r="G320" s="4" t="str">
        <f t="shared" si="24"/>
        <v>STABLE</v>
      </c>
      <c r="H320" s="4" t="e">
        <f t="shared" si="25"/>
        <v>#VALUE!</v>
      </c>
      <c r="I320" s="4" t="e">
        <f t="shared" si="26"/>
        <v>#VALUE!</v>
      </c>
      <c r="J320" s="4" t="e">
        <f t="shared" si="27"/>
        <v>#VALUE!</v>
      </c>
      <c r="K320" s="4" t="str">
        <f t="shared" si="28"/>
        <v>Mn55</v>
      </c>
    </row>
    <row r="321" spans="2:17" hidden="1" x14ac:dyDescent="0.2">
      <c r="B321" s="4">
        <v>25056</v>
      </c>
      <c r="C321" s="4">
        <v>0</v>
      </c>
      <c r="D321">
        <v>0</v>
      </c>
      <c r="E321" t="str">
        <f>VLOOKUP(B321,Nuclides!A:F,5,FALSE)</f>
        <v>Mn56</v>
      </c>
      <c r="F321">
        <f>VLOOKUP(B321,Nuclides!A:F,4,FALSE)</f>
        <v>9284.03999999999</v>
      </c>
      <c r="G321" s="4" t="str">
        <f t="shared" si="24"/>
        <v>2.58h</v>
      </c>
      <c r="H321" s="4">
        <f t="shared" si="25"/>
        <v>7.4660081231871686E-5</v>
      </c>
      <c r="I321" s="4">
        <f t="shared" si="26"/>
        <v>0</v>
      </c>
      <c r="J321" s="4">
        <f t="shared" si="27"/>
        <v>0</v>
      </c>
      <c r="K321" s="4" t="str">
        <f t="shared" si="28"/>
        <v>Mn56</v>
      </c>
    </row>
    <row r="322" spans="2:17" hidden="1" x14ac:dyDescent="0.2">
      <c r="B322" s="4">
        <v>25057</v>
      </c>
      <c r="C322" s="4">
        <v>0</v>
      </c>
      <c r="D322">
        <v>0</v>
      </c>
      <c r="E322" t="str">
        <f>VLOOKUP(B322,Nuclides!A:F,5,FALSE)</f>
        <v>Mn57</v>
      </c>
      <c r="F322">
        <f>VLOOKUP(B322,Nuclides!A:F,4,FALSE)</f>
        <v>85.4</v>
      </c>
      <c r="G322" s="4" t="str">
        <f t="shared" si="24"/>
        <v>1.42min</v>
      </c>
      <c r="H322" s="4">
        <f t="shared" si="25"/>
        <v>8.1164775241211393E-3</v>
      </c>
      <c r="I322" s="4">
        <f t="shared" si="26"/>
        <v>0</v>
      </c>
      <c r="J322" s="4">
        <f t="shared" si="27"/>
        <v>0</v>
      </c>
      <c r="K322" s="4" t="str">
        <f t="shared" si="28"/>
        <v>Mn57</v>
      </c>
    </row>
    <row r="323" spans="2:17" hidden="1" x14ac:dyDescent="0.2">
      <c r="B323" s="4">
        <v>25058</v>
      </c>
      <c r="C323" s="4">
        <v>0</v>
      </c>
      <c r="D323">
        <v>0</v>
      </c>
      <c r="E323" t="str">
        <f>VLOOKUP(B323,Nuclides!A:F,5,FALSE)</f>
        <v>Mn58</v>
      </c>
      <c r="F323">
        <f>VLOOKUP(B323,Nuclides!A:F,4,FALSE)</f>
        <v>3</v>
      </c>
      <c r="G323" s="4" t="str">
        <f t="shared" si="24"/>
        <v>3s</v>
      </c>
      <c r="H323" s="4">
        <f t="shared" si="25"/>
        <v>0.23104906018664842</v>
      </c>
      <c r="I323" s="4">
        <f t="shared" si="26"/>
        <v>0</v>
      </c>
      <c r="J323" s="4">
        <f t="shared" si="27"/>
        <v>0</v>
      </c>
      <c r="K323" s="4" t="str">
        <f t="shared" si="28"/>
        <v>Mn58</v>
      </c>
    </row>
    <row r="324" spans="2:17" hidden="1" x14ac:dyDescent="0.2">
      <c r="B324" s="4">
        <v>25059</v>
      </c>
      <c r="C324" s="4">
        <v>0</v>
      </c>
      <c r="D324">
        <v>0</v>
      </c>
      <c r="E324" t="str">
        <f>VLOOKUP(B324,Nuclides!A:F,5,FALSE)</f>
        <v>Mn59</v>
      </c>
      <c r="F324">
        <f>VLOOKUP(B324,Nuclides!A:F,4,FALSE)</f>
        <v>4.59</v>
      </c>
      <c r="G324" s="4" t="str">
        <f t="shared" si="24"/>
        <v>4.59s</v>
      </c>
      <c r="H324" s="4">
        <f t="shared" si="25"/>
        <v>0.15101245763833232</v>
      </c>
      <c r="I324" s="4">
        <f t="shared" si="26"/>
        <v>0</v>
      </c>
      <c r="J324" s="4">
        <f t="shared" si="27"/>
        <v>0</v>
      </c>
      <c r="K324" s="4" t="str">
        <f t="shared" si="28"/>
        <v>Mn59</v>
      </c>
    </row>
    <row r="325" spans="2:17" hidden="1" x14ac:dyDescent="0.2">
      <c r="B325" s="4">
        <v>25060</v>
      </c>
      <c r="C325" s="4">
        <v>0</v>
      </c>
      <c r="D325">
        <v>0</v>
      </c>
      <c r="E325" t="str">
        <f>VLOOKUP(B325,Nuclides!A:F,5,FALSE)</f>
        <v>Mn60</v>
      </c>
      <c r="F325">
        <f>VLOOKUP(B325,Nuclides!A:F,4,FALSE)</f>
        <v>0.28000000000000003</v>
      </c>
      <c r="G325" s="4" t="str">
        <f t="shared" ref="G325:G388" si="29">IF(F325="STABLE", "STABLE", IF(F325&lt;60, F325&amp;"s", IF(F325&lt;3600, ROUND(F325/60,2)&amp;"min", IF(F325&lt;86400, ROUND(F325/3600,2)&amp;"h", IF(F325&lt;31536000, ROUND(F325/86400,2)&amp;"d", ROUND(F325/31536000,2)&amp;"y")))))</f>
        <v>0.28s</v>
      </c>
      <c r="H325" s="4">
        <f t="shared" ref="H325:H388" si="30">LN(2)/F325</f>
        <v>2.4755256448569471</v>
      </c>
      <c r="I325" s="4">
        <f t="shared" ref="I325:I388" si="31">60*6240000000000*C325*(1-EXP(-H325*2*3600))</f>
        <v>0</v>
      </c>
      <c r="J325" s="4">
        <f t="shared" ref="J325:J388" si="32">I325*EXP(-H325*48*3600)</f>
        <v>0</v>
      </c>
      <c r="K325" s="4" t="str">
        <f t="shared" ref="K325:K388" si="33">E325</f>
        <v>Mn60</v>
      </c>
    </row>
    <row r="326" spans="2:17" hidden="1" x14ac:dyDescent="0.2">
      <c r="B326" s="4">
        <v>25061</v>
      </c>
      <c r="C326" s="4">
        <v>0</v>
      </c>
      <c r="D326">
        <v>0</v>
      </c>
      <c r="E326" t="str">
        <f>VLOOKUP(B326,Nuclides!A:F,5,FALSE)</f>
        <v>Mn61</v>
      </c>
      <c r="F326">
        <f>VLOOKUP(B326,Nuclides!A:F,4,FALSE)</f>
        <v>0.70899999999999996</v>
      </c>
      <c r="G326" s="4" t="str">
        <f t="shared" si="29"/>
        <v>0.709s</v>
      </c>
      <c r="H326" s="4">
        <f t="shared" si="30"/>
        <v>0.97764059317340668</v>
      </c>
      <c r="I326" s="4">
        <f t="shared" si="31"/>
        <v>0</v>
      </c>
      <c r="J326" s="4">
        <f t="shared" si="32"/>
        <v>0</v>
      </c>
      <c r="K326" s="4" t="str">
        <f t="shared" si="33"/>
        <v>Mn61</v>
      </c>
    </row>
    <row r="327" spans="2:17" hidden="1" x14ac:dyDescent="0.2">
      <c r="B327" s="4">
        <v>25062</v>
      </c>
      <c r="C327" s="4">
        <v>0</v>
      </c>
      <c r="D327">
        <v>0</v>
      </c>
      <c r="E327" t="str">
        <f>VLOOKUP(B327,Nuclides!A:F,5,FALSE)</f>
        <v>Mn62</v>
      </c>
      <c r="F327">
        <f>VLOOKUP(B327,Nuclides!A:F,4,FALSE)</f>
        <v>9.1999999999999998E-2</v>
      </c>
      <c r="G327" s="4" t="str">
        <f t="shared" si="29"/>
        <v>0.092s</v>
      </c>
      <c r="H327" s="4">
        <f t="shared" si="30"/>
        <v>7.5342084843472312</v>
      </c>
      <c r="I327" s="4">
        <f t="shared" si="31"/>
        <v>0</v>
      </c>
      <c r="J327" s="4">
        <f t="shared" si="32"/>
        <v>0</v>
      </c>
      <c r="K327" s="4" t="str">
        <f t="shared" si="33"/>
        <v>Mn62</v>
      </c>
    </row>
    <row r="328" spans="2:17" hidden="1" x14ac:dyDescent="0.2">
      <c r="B328" s="4">
        <v>26049</v>
      </c>
      <c r="C328" s="4">
        <v>0</v>
      </c>
      <c r="D328">
        <v>0</v>
      </c>
      <c r="E328" t="str">
        <f>VLOOKUP(B328,Nuclides!A:F,5,FALSE)</f>
        <v>Fe49</v>
      </c>
      <c r="F328">
        <f>VLOOKUP(B328,Nuclides!A:F,4,FALSE)</f>
        <v>6.4699999999999994E-2</v>
      </c>
      <c r="G328" s="4" t="str">
        <f t="shared" si="29"/>
        <v>0.0647s</v>
      </c>
      <c r="H328" s="4">
        <f t="shared" si="30"/>
        <v>10.713248540339187</v>
      </c>
      <c r="I328" s="4">
        <f t="shared" si="31"/>
        <v>0</v>
      </c>
      <c r="J328" s="4">
        <f t="shared" si="32"/>
        <v>0</v>
      </c>
      <c r="K328" s="4" t="str">
        <f t="shared" si="33"/>
        <v>Fe49</v>
      </c>
    </row>
    <row r="329" spans="2:17" hidden="1" x14ac:dyDescent="0.2">
      <c r="B329" s="4">
        <v>26050</v>
      </c>
      <c r="C329" s="4">
        <v>0</v>
      </c>
      <c r="D329">
        <v>0</v>
      </c>
      <c r="E329" t="str">
        <f>VLOOKUP(B329,Nuclides!A:F,5,FALSE)</f>
        <v>Fe50</v>
      </c>
      <c r="F329">
        <f>VLOOKUP(B329,Nuclides!A:F,4,FALSE)</f>
        <v>0.155</v>
      </c>
      <c r="G329" s="4" t="str">
        <f t="shared" si="29"/>
        <v>0.155s</v>
      </c>
      <c r="H329" s="4">
        <f t="shared" si="30"/>
        <v>4.4719172939351308</v>
      </c>
      <c r="I329" s="4">
        <f t="shared" si="31"/>
        <v>0</v>
      </c>
      <c r="J329" s="4">
        <f t="shared" si="32"/>
        <v>0</v>
      </c>
      <c r="K329" s="4" t="str">
        <f t="shared" si="33"/>
        <v>Fe50</v>
      </c>
    </row>
    <row r="330" spans="2:17" hidden="1" x14ac:dyDescent="0.2">
      <c r="B330" s="4">
        <v>26051</v>
      </c>
      <c r="C330" s="4">
        <v>0</v>
      </c>
      <c r="D330">
        <v>0</v>
      </c>
      <c r="E330" t="str">
        <f>VLOOKUP(B330,Nuclides!A:F,5,FALSE)</f>
        <v>Fe51</v>
      </c>
      <c r="F330">
        <f>VLOOKUP(B330,Nuclides!A:F,4,FALSE)</f>
        <v>0.30499999999999999</v>
      </c>
      <c r="G330" s="4" t="str">
        <f t="shared" si="29"/>
        <v>0.305s</v>
      </c>
      <c r="H330" s="4">
        <f t="shared" si="30"/>
        <v>2.2726137067539192</v>
      </c>
      <c r="I330" s="4">
        <f t="shared" si="31"/>
        <v>0</v>
      </c>
      <c r="J330" s="4">
        <f t="shared" si="32"/>
        <v>0</v>
      </c>
      <c r="K330" s="4" t="str">
        <f t="shared" si="33"/>
        <v>Fe51</v>
      </c>
    </row>
    <row r="331" spans="2:17" hidden="1" x14ac:dyDescent="0.2">
      <c r="B331" s="4">
        <v>26052</v>
      </c>
      <c r="C331" s="4">
        <v>0</v>
      </c>
      <c r="D331">
        <v>0</v>
      </c>
      <c r="E331" t="str">
        <f>VLOOKUP(B331,Nuclides!A:F,5,FALSE)</f>
        <v>Fe52</v>
      </c>
      <c r="F331">
        <f>VLOOKUP(B331,Nuclides!A:F,4,FALSE)</f>
        <v>29790</v>
      </c>
      <c r="G331" s="4" t="str">
        <f t="shared" si="29"/>
        <v>8.28h</v>
      </c>
      <c r="H331" s="4">
        <f t="shared" si="30"/>
        <v>2.3267780482039118E-5</v>
      </c>
      <c r="I331" s="4">
        <f t="shared" si="31"/>
        <v>0</v>
      </c>
      <c r="J331" s="4">
        <f t="shared" si="32"/>
        <v>0</v>
      </c>
      <c r="K331" s="4" t="str">
        <f t="shared" si="33"/>
        <v>Fe52</v>
      </c>
    </row>
    <row r="332" spans="2:17" hidden="1" x14ac:dyDescent="0.2">
      <c r="B332" s="4">
        <v>26053</v>
      </c>
      <c r="C332" s="4">
        <v>0</v>
      </c>
      <c r="D332">
        <v>0</v>
      </c>
      <c r="E332" t="str">
        <f>VLOOKUP(B332,Nuclides!A:F,5,FALSE)</f>
        <v>Fe53</v>
      </c>
      <c r="F332">
        <f>VLOOKUP(B332,Nuclides!A:F,4,FALSE)</f>
        <v>510.599999999999</v>
      </c>
      <c r="G332" s="4" t="str">
        <f t="shared" si="29"/>
        <v>8.51min</v>
      </c>
      <c r="H332" s="4">
        <f t="shared" si="30"/>
        <v>1.357515042224729E-3</v>
      </c>
      <c r="I332" s="4">
        <f t="shared" si="31"/>
        <v>0</v>
      </c>
      <c r="J332" s="4">
        <f t="shared" si="32"/>
        <v>0</v>
      </c>
      <c r="K332" s="4" t="str">
        <f t="shared" si="33"/>
        <v>Fe53</v>
      </c>
    </row>
    <row r="333" spans="2:17" hidden="1" x14ac:dyDescent="0.2">
      <c r="B333" s="4">
        <v>26054</v>
      </c>
      <c r="C333" s="4">
        <v>7.1269999999999997E-6</v>
      </c>
      <c r="D333">
        <v>1.18E-2</v>
      </c>
      <c r="E333" t="str">
        <f>VLOOKUP(B333,Nuclides!A:F,5,FALSE)</f>
        <v>Fe54</v>
      </c>
      <c r="F333" t="str">
        <f>VLOOKUP(B333,Nuclides!A:F,4,FALSE)</f>
        <v>STABLE</v>
      </c>
      <c r="G333" s="4" t="str">
        <f t="shared" si="29"/>
        <v>STABLE</v>
      </c>
      <c r="H333" s="4" t="e">
        <f t="shared" si="30"/>
        <v>#VALUE!</v>
      </c>
      <c r="I333" s="4" t="e">
        <f t="shared" si="31"/>
        <v>#VALUE!</v>
      </c>
      <c r="J333" s="4" t="e">
        <f t="shared" si="32"/>
        <v>#VALUE!</v>
      </c>
      <c r="K333" s="4" t="str">
        <f t="shared" si="33"/>
        <v>Fe54</v>
      </c>
    </row>
    <row r="334" spans="2:17" x14ac:dyDescent="0.2">
      <c r="B334" s="4">
        <v>26055</v>
      </c>
      <c r="C334" s="4">
        <v>2.6800000000000002E-6</v>
      </c>
      <c r="D334">
        <v>1.9300000000000001E-2</v>
      </c>
      <c r="E334" t="str">
        <f>VLOOKUP(B334,Nuclides!A:F,5,FALSE)</f>
        <v>Fe55</v>
      </c>
      <c r="F334">
        <f>VLOOKUP(B334,Nuclides!A:F,4,FALSE)</f>
        <v>86594054.400000006</v>
      </c>
      <c r="G334" s="4" t="str">
        <f t="shared" si="29"/>
        <v>2.75y</v>
      </c>
      <c r="H334" s="4">
        <f t="shared" si="30"/>
        <v>8.0045585734803657E-9</v>
      </c>
      <c r="I334" s="4">
        <f t="shared" si="31"/>
        <v>57826.645887968232</v>
      </c>
      <c r="J334" s="4">
        <f>I334*EXP(-H334*0.5*3600)</f>
        <v>57825.812715777094</v>
      </c>
      <c r="K334" s="4" t="str">
        <f t="shared" si="33"/>
        <v>Fe55</v>
      </c>
      <c r="L334" s="4">
        <f>J334</f>
        <v>57825.812715777094</v>
      </c>
      <c r="M334">
        <v>0</v>
      </c>
      <c r="O334" s="4" t="str">
        <f>K334</f>
        <v>Fe55</v>
      </c>
      <c r="P334" s="4" t="str">
        <f>G334</f>
        <v>2.75y</v>
      </c>
      <c r="Q334" s="4">
        <f>J334</f>
        <v>57825.812715777094</v>
      </c>
    </row>
    <row r="335" spans="2:17" hidden="1" x14ac:dyDescent="0.2">
      <c r="B335" s="4">
        <v>26056</v>
      </c>
      <c r="C335" s="4">
        <v>8.4573999999999994E-5</v>
      </c>
      <c r="D335">
        <v>3.3999999999999998E-3</v>
      </c>
      <c r="E335" t="str">
        <f>VLOOKUP(B335,Nuclides!A:F,5,FALSE)</f>
        <v>Fe56</v>
      </c>
      <c r="F335" t="str">
        <f>VLOOKUP(B335,Nuclides!A:F,4,FALSE)</f>
        <v>STABLE</v>
      </c>
      <c r="G335" s="4" t="str">
        <f t="shared" si="29"/>
        <v>STABLE</v>
      </c>
      <c r="H335" s="4" t="e">
        <f t="shared" si="30"/>
        <v>#VALUE!</v>
      </c>
      <c r="I335" s="4" t="e">
        <f t="shared" si="31"/>
        <v>#VALUE!</v>
      </c>
      <c r="J335" s="4" t="e">
        <f t="shared" si="32"/>
        <v>#VALUE!</v>
      </c>
      <c r="K335" s="4" t="str">
        <f t="shared" si="33"/>
        <v>Fe56</v>
      </c>
    </row>
    <row r="336" spans="2:17" hidden="1" x14ac:dyDescent="0.2">
      <c r="B336" s="4">
        <v>26057</v>
      </c>
      <c r="C336" s="4">
        <v>1.3549999999999999E-6</v>
      </c>
      <c r="D336">
        <v>2.7199999999999998E-2</v>
      </c>
      <c r="E336" t="str">
        <f>VLOOKUP(B336,Nuclides!A:F,5,FALSE)</f>
        <v>Fe57</v>
      </c>
      <c r="F336" t="str">
        <f>VLOOKUP(B336,Nuclides!A:F,4,FALSE)</f>
        <v>STABLE</v>
      </c>
      <c r="G336" s="4" t="str">
        <f t="shared" si="29"/>
        <v>STABLE</v>
      </c>
      <c r="H336" s="4" t="e">
        <f t="shared" si="30"/>
        <v>#VALUE!</v>
      </c>
      <c r="I336" s="4" t="e">
        <f t="shared" si="31"/>
        <v>#VALUE!</v>
      </c>
      <c r="J336" s="4" t="e">
        <f t="shared" si="32"/>
        <v>#VALUE!</v>
      </c>
      <c r="K336" s="4" t="str">
        <f t="shared" si="33"/>
        <v>Fe57</v>
      </c>
    </row>
    <row r="337" spans="2:17" hidden="1" x14ac:dyDescent="0.2">
      <c r="B337" s="4">
        <v>26058</v>
      </c>
      <c r="C337" s="4">
        <v>2.0800000000000001E-7</v>
      </c>
      <c r="D337">
        <v>6.93E-2</v>
      </c>
      <c r="E337" t="str">
        <f>VLOOKUP(B337,Nuclides!A:F,5,FALSE)</f>
        <v>Fe58</v>
      </c>
      <c r="F337" t="str">
        <f>VLOOKUP(B337,Nuclides!A:F,4,FALSE)</f>
        <v>STABLE</v>
      </c>
      <c r="G337" s="4" t="str">
        <f t="shared" si="29"/>
        <v>STABLE</v>
      </c>
      <c r="H337" s="4" t="e">
        <f t="shared" si="30"/>
        <v>#VALUE!</v>
      </c>
      <c r="I337" s="4" t="e">
        <f t="shared" si="31"/>
        <v>#VALUE!</v>
      </c>
      <c r="J337" s="4" t="e">
        <f t="shared" si="32"/>
        <v>#VALUE!</v>
      </c>
      <c r="K337" s="4" t="str">
        <f t="shared" si="33"/>
        <v>Fe58</v>
      </c>
    </row>
    <row r="338" spans="2:17" x14ac:dyDescent="0.2">
      <c r="B338" s="4">
        <v>26059</v>
      </c>
      <c r="C338" s="4">
        <v>1.0000000000000001E-9</v>
      </c>
      <c r="D338">
        <v>1</v>
      </c>
      <c r="E338" t="str">
        <f>VLOOKUP(B338,Nuclides!A:F,5,FALSE)</f>
        <v>Fe59</v>
      </c>
      <c r="F338">
        <f>VLOOKUP(B338,Nuclides!A:F,4,FALSE)</f>
        <v>3844368</v>
      </c>
      <c r="G338" s="4" t="str">
        <f t="shared" si="29"/>
        <v>44.5d</v>
      </c>
      <c r="H338" s="4">
        <f t="shared" si="30"/>
        <v>1.80301984763151E-7</v>
      </c>
      <c r="I338" s="4">
        <f t="shared" si="31"/>
        <v>485.72111074348817</v>
      </c>
      <c r="J338" s="4">
        <f>I338*EXP(-H338*0.5*3600)</f>
        <v>485.56349865631137</v>
      </c>
      <c r="K338" s="4" t="str">
        <f t="shared" si="33"/>
        <v>Fe59</v>
      </c>
      <c r="L338" s="4">
        <f>J338</f>
        <v>485.56349865631137</v>
      </c>
      <c r="M338">
        <v>0</v>
      </c>
      <c r="O338" s="4" t="str">
        <f>K338</f>
        <v>Fe59</v>
      </c>
      <c r="P338" s="4" t="str">
        <f>G338</f>
        <v>44.5d</v>
      </c>
      <c r="Q338" s="4">
        <f>J338</f>
        <v>485.56349865631137</v>
      </c>
    </row>
    <row r="339" spans="2:17" hidden="1" x14ac:dyDescent="0.2">
      <c r="B339" s="4">
        <v>26060</v>
      </c>
      <c r="C339" s="4">
        <v>0</v>
      </c>
      <c r="D339">
        <v>0</v>
      </c>
      <c r="E339" t="str">
        <f>VLOOKUP(B339,Nuclides!A:F,5,FALSE)</f>
        <v>Fe60</v>
      </c>
      <c r="F339">
        <f>VLOOKUP(B339,Nuclides!A:F,4,FALSE)</f>
        <v>82680912000000</v>
      </c>
      <c r="G339" s="4" t="str">
        <f t="shared" si="29"/>
        <v>2621794.52y</v>
      </c>
      <c r="H339" s="4">
        <f t="shared" si="30"/>
        <v>8.3834002769580637E-15</v>
      </c>
      <c r="I339" s="4">
        <f t="shared" si="31"/>
        <v>0</v>
      </c>
      <c r="J339" s="4">
        <f t="shared" si="32"/>
        <v>0</v>
      </c>
      <c r="K339" s="4" t="str">
        <f t="shared" si="33"/>
        <v>Fe60</v>
      </c>
    </row>
    <row r="340" spans="2:17" hidden="1" x14ac:dyDescent="0.2">
      <c r="B340" s="4">
        <v>26061</v>
      </c>
      <c r="C340" s="4">
        <v>0</v>
      </c>
      <c r="D340">
        <v>0</v>
      </c>
      <c r="E340" t="str">
        <f>VLOOKUP(B340,Nuclides!A:F,5,FALSE)</f>
        <v>Fe61</v>
      </c>
      <c r="F340">
        <f>VLOOKUP(B340,Nuclides!A:F,4,FALSE)</f>
        <v>358.8</v>
      </c>
      <c r="G340" s="4" t="str">
        <f t="shared" si="29"/>
        <v>5.98min</v>
      </c>
      <c r="H340" s="4">
        <f t="shared" si="30"/>
        <v>1.9318483293198029E-3</v>
      </c>
      <c r="I340" s="4">
        <f t="shared" si="31"/>
        <v>0</v>
      </c>
      <c r="J340" s="4">
        <f t="shared" si="32"/>
        <v>0</v>
      </c>
      <c r="K340" s="4" t="str">
        <f t="shared" si="33"/>
        <v>Fe61</v>
      </c>
    </row>
    <row r="341" spans="2:17" hidden="1" x14ac:dyDescent="0.2">
      <c r="B341" s="4">
        <v>26062</v>
      </c>
      <c r="C341" s="4">
        <v>0</v>
      </c>
      <c r="D341">
        <v>0</v>
      </c>
      <c r="E341" t="str">
        <f>VLOOKUP(B341,Nuclides!A:F,5,FALSE)</f>
        <v>Fe62</v>
      </c>
      <c r="F341">
        <f>VLOOKUP(B341,Nuclides!A:F,4,FALSE)</f>
        <v>68</v>
      </c>
      <c r="G341" s="4" t="str">
        <f t="shared" si="29"/>
        <v>1.13min</v>
      </c>
      <c r="H341" s="4">
        <f t="shared" si="30"/>
        <v>1.0193340890587431E-2</v>
      </c>
      <c r="I341" s="4">
        <f t="shared" si="31"/>
        <v>0</v>
      </c>
      <c r="J341" s="4">
        <f t="shared" si="32"/>
        <v>0</v>
      </c>
      <c r="K341" s="4" t="str">
        <f t="shared" si="33"/>
        <v>Fe62</v>
      </c>
    </row>
    <row r="342" spans="2:17" hidden="1" x14ac:dyDescent="0.2">
      <c r="B342" s="4">
        <v>26063</v>
      </c>
      <c r="C342" s="4">
        <v>0</v>
      </c>
      <c r="D342">
        <v>0</v>
      </c>
      <c r="E342" t="str">
        <f>VLOOKUP(B342,Nuclides!A:F,5,FALSE)</f>
        <v>Fe63</v>
      </c>
      <c r="F342">
        <f>VLOOKUP(B342,Nuclides!A:F,4,FALSE)</f>
        <v>6.1</v>
      </c>
      <c r="G342" s="4" t="str">
        <f t="shared" si="29"/>
        <v>6.1s</v>
      </c>
      <c r="H342" s="4">
        <f t="shared" si="30"/>
        <v>0.11363068533769595</v>
      </c>
      <c r="I342" s="4">
        <f t="shared" si="31"/>
        <v>0</v>
      </c>
      <c r="J342" s="4">
        <f t="shared" si="32"/>
        <v>0</v>
      </c>
      <c r="K342" s="4" t="str">
        <f t="shared" si="33"/>
        <v>Fe63</v>
      </c>
    </row>
    <row r="343" spans="2:17" hidden="1" x14ac:dyDescent="0.2">
      <c r="B343" s="4">
        <v>26064</v>
      </c>
      <c r="C343" s="4">
        <v>0</v>
      </c>
      <c r="D343">
        <v>0</v>
      </c>
      <c r="E343" t="str">
        <f>VLOOKUP(B343,Nuclides!A:F,5,FALSE)</f>
        <v>Fe64</v>
      </c>
      <c r="F343">
        <f>VLOOKUP(B343,Nuclides!A:F,4,FALSE)</f>
        <v>2</v>
      </c>
      <c r="G343" s="4" t="str">
        <f t="shared" si="29"/>
        <v>2s</v>
      </c>
      <c r="H343" s="4">
        <f t="shared" si="30"/>
        <v>0.34657359027997264</v>
      </c>
      <c r="I343" s="4">
        <f t="shared" si="31"/>
        <v>0</v>
      </c>
      <c r="J343" s="4">
        <f t="shared" si="32"/>
        <v>0</v>
      </c>
      <c r="K343" s="4" t="str">
        <f t="shared" si="33"/>
        <v>Fe64</v>
      </c>
    </row>
    <row r="344" spans="2:17" hidden="1" x14ac:dyDescent="0.2">
      <c r="B344" s="4">
        <v>27053</v>
      </c>
      <c r="C344" s="4">
        <v>0</v>
      </c>
      <c r="D344">
        <v>0</v>
      </c>
      <c r="E344" t="str">
        <f>VLOOKUP(B344,Nuclides!A:F,5,FALSE)</f>
        <v>Co53</v>
      </c>
      <c r="F344">
        <f>VLOOKUP(B344,Nuclides!A:F,4,FALSE)</f>
        <v>0.24</v>
      </c>
      <c r="G344" s="4" t="str">
        <f t="shared" si="29"/>
        <v>0.24s</v>
      </c>
      <c r="H344" s="4">
        <f t="shared" si="30"/>
        <v>2.8881132523331057</v>
      </c>
      <c r="I344" s="4">
        <f t="shared" si="31"/>
        <v>0</v>
      </c>
      <c r="J344" s="4">
        <f t="shared" si="32"/>
        <v>0</v>
      </c>
      <c r="K344" s="4" t="str">
        <f t="shared" si="33"/>
        <v>Co53</v>
      </c>
    </row>
    <row r="345" spans="2:17" hidden="1" x14ac:dyDescent="0.2">
      <c r="B345" s="4">
        <v>27054</v>
      </c>
      <c r="C345" s="4">
        <v>3.9499999999999998E-7</v>
      </c>
      <c r="D345">
        <v>5.0299999999999997E-2</v>
      </c>
      <c r="E345" t="str">
        <f>VLOOKUP(B345,Nuclides!A:F,5,FALSE)</f>
        <v>Co54</v>
      </c>
      <c r="F345">
        <f>VLOOKUP(B345,Nuclides!A:F,4,FALSE)</f>
        <v>0.193</v>
      </c>
      <c r="G345" s="4" t="str">
        <f t="shared" si="29"/>
        <v>0.193s</v>
      </c>
      <c r="H345" s="4">
        <f t="shared" si="30"/>
        <v>3.5914361687043797</v>
      </c>
      <c r="I345" s="4">
        <f t="shared" si="31"/>
        <v>147888000</v>
      </c>
      <c r="J345" s="4">
        <f t="shared" si="32"/>
        <v>0</v>
      </c>
      <c r="K345" s="4" t="str">
        <f t="shared" si="33"/>
        <v>Co54</v>
      </c>
    </row>
    <row r="346" spans="2:17" x14ac:dyDescent="0.2">
      <c r="B346" s="4">
        <v>27055</v>
      </c>
      <c r="C346" s="4">
        <v>9.9600000000000008E-7</v>
      </c>
      <c r="D346">
        <v>3.1699999999999999E-2</v>
      </c>
      <c r="E346" t="str">
        <f>VLOOKUP(B346,Nuclides!A:F,5,FALSE)</f>
        <v>Co55</v>
      </c>
      <c r="F346">
        <f>VLOOKUP(B346,Nuclides!A:F,4,FALSE)</f>
        <v>63108</v>
      </c>
      <c r="G346" s="4" t="str">
        <f t="shared" si="29"/>
        <v>17.53h</v>
      </c>
      <c r="H346" s="4">
        <f t="shared" si="30"/>
        <v>1.0983507329656229E-5</v>
      </c>
      <c r="I346" s="4">
        <f t="shared" si="31"/>
        <v>28353691.154204939</v>
      </c>
      <c r="J346" s="4">
        <f t="shared" ref="J346:J349" si="34">I346*EXP(-H346*0.5*3600)</f>
        <v>27798634.699116915</v>
      </c>
      <c r="K346" s="4" t="str">
        <f t="shared" si="33"/>
        <v>Co55</v>
      </c>
      <c r="L346" s="4">
        <f t="shared" ref="L346:L349" si="35">J346</f>
        <v>27798634.699116915</v>
      </c>
      <c r="M346">
        <v>0</v>
      </c>
      <c r="O346" s="4" t="str">
        <f t="shared" ref="O346:O349" si="36">K346</f>
        <v>Co55</v>
      </c>
      <c r="P346" s="4" t="str">
        <f t="shared" ref="P346:P349" si="37">G346</f>
        <v>17.53h</v>
      </c>
      <c r="Q346" s="4">
        <f t="shared" ref="Q346:Q349" si="38">J346</f>
        <v>27798634.699116915</v>
      </c>
    </row>
    <row r="347" spans="2:17" x14ac:dyDescent="0.2">
      <c r="B347" s="4">
        <v>27056</v>
      </c>
      <c r="C347" s="4">
        <v>2.7078999999999999E-5</v>
      </c>
      <c r="D347">
        <v>6.1000000000000004E-3</v>
      </c>
      <c r="E347" t="str">
        <f>VLOOKUP(B347,Nuclides!A:F,5,FALSE)</f>
        <v>Co56</v>
      </c>
      <c r="F347">
        <f>VLOOKUP(B347,Nuclides!A:F,4,FALSE)</f>
        <v>6673190.4000000004</v>
      </c>
      <c r="G347" s="4" t="str">
        <f t="shared" si="29"/>
        <v>77.24d</v>
      </c>
      <c r="H347" s="4">
        <f t="shared" si="30"/>
        <v>1.0387043363245641E-7</v>
      </c>
      <c r="I347" s="4">
        <f t="shared" si="31"/>
        <v>7579324.7618573532</v>
      </c>
      <c r="J347" s="4">
        <f t="shared" si="34"/>
        <v>7577907.8123733429</v>
      </c>
      <c r="K347" s="4" t="str">
        <f t="shared" si="33"/>
        <v>Co56</v>
      </c>
      <c r="L347" s="4">
        <f t="shared" si="35"/>
        <v>7577907.8123733429</v>
      </c>
      <c r="M347">
        <v>0</v>
      </c>
      <c r="O347" s="4" t="str">
        <f t="shared" si="36"/>
        <v>Co56</v>
      </c>
      <c r="P347" s="4" t="str">
        <f t="shared" si="37"/>
        <v>77.24d</v>
      </c>
      <c r="Q347" s="4">
        <f t="shared" si="38"/>
        <v>7577907.8123733429</v>
      </c>
    </row>
    <row r="348" spans="2:17" x14ac:dyDescent="0.2">
      <c r="B348" s="4">
        <v>27057</v>
      </c>
      <c r="C348" s="4">
        <v>8.5600000000000004E-7</v>
      </c>
      <c r="D348">
        <v>3.4200000000000001E-2</v>
      </c>
      <c r="E348" t="str">
        <f>VLOOKUP(B348,Nuclides!A:F,5,FALSE)</f>
        <v>Co57</v>
      </c>
      <c r="F348">
        <f>VLOOKUP(B348,Nuclides!A:F,4,FALSE)</f>
        <v>23478336</v>
      </c>
      <c r="G348" s="4" t="str">
        <f t="shared" si="29"/>
        <v>271.74d</v>
      </c>
      <c r="H348" s="4">
        <f t="shared" si="30"/>
        <v>2.9522840995202781E-8</v>
      </c>
      <c r="I348" s="4">
        <f t="shared" si="31"/>
        <v>68116.777144660125</v>
      </c>
      <c r="J348" s="4">
        <f t="shared" si="34"/>
        <v>68113.157439433213</v>
      </c>
      <c r="K348" s="4" t="str">
        <f t="shared" si="33"/>
        <v>Co57</v>
      </c>
      <c r="L348" s="4">
        <f t="shared" si="35"/>
        <v>68113.157439433213</v>
      </c>
      <c r="M348">
        <v>0</v>
      </c>
      <c r="O348" s="4" t="str">
        <f t="shared" si="36"/>
        <v>Co57</v>
      </c>
      <c r="P348" s="4" t="str">
        <f t="shared" si="37"/>
        <v>271.74d</v>
      </c>
      <c r="Q348" s="4">
        <f t="shared" si="38"/>
        <v>68113.157439433213</v>
      </c>
    </row>
    <row r="349" spans="2:17" x14ac:dyDescent="0.2">
      <c r="B349" s="4">
        <v>27058</v>
      </c>
      <c r="C349" s="4">
        <v>4.4900000000000001E-7</v>
      </c>
      <c r="D349">
        <v>4.7199999999999999E-2</v>
      </c>
      <c r="E349" t="str">
        <f>VLOOKUP(B349,Nuclides!A:F,5,FALSE)</f>
        <v>Co58</v>
      </c>
      <c r="F349">
        <f>VLOOKUP(B349,Nuclides!A:F,4,FALSE)</f>
        <v>6122304</v>
      </c>
      <c r="G349" s="4" t="str">
        <f t="shared" si="29"/>
        <v>70.86d</v>
      </c>
      <c r="H349" s="4">
        <f t="shared" si="30"/>
        <v>1.1321672046339831E-7</v>
      </c>
      <c r="I349" s="4">
        <f t="shared" si="31"/>
        <v>136977.18923516109</v>
      </c>
      <c r="J349" s="4">
        <f t="shared" si="34"/>
        <v>136949.27748466854</v>
      </c>
      <c r="K349" s="4" t="str">
        <f t="shared" si="33"/>
        <v>Co58</v>
      </c>
      <c r="L349" s="4">
        <f t="shared" si="35"/>
        <v>136949.27748466854</v>
      </c>
      <c r="M349">
        <v>0</v>
      </c>
      <c r="O349" s="4" t="str">
        <f t="shared" si="36"/>
        <v>Co58</v>
      </c>
      <c r="P349" s="4" t="str">
        <f t="shared" si="37"/>
        <v>70.86d</v>
      </c>
      <c r="Q349" s="4">
        <f t="shared" si="38"/>
        <v>136949.27748466854</v>
      </c>
    </row>
    <row r="350" spans="2:17" hidden="1" x14ac:dyDescent="0.2">
      <c r="B350" s="4">
        <v>27059</v>
      </c>
      <c r="C350" s="4">
        <v>1.5976E-4</v>
      </c>
      <c r="D350">
        <v>2.5000000000000001E-3</v>
      </c>
      <c r="E350" t="str">
        <f>VLOOKUP(B350,Nuclides!A:F,5,FALSE)</f>
        <v>Co59</v>
      </c>
      <c r="F350" t="str">
        <f>VLOOKUP(B350,Nuclides!A:F,4,FALSE)</f>
        <v>STABLE</v>
      </c>
      <c r="G350" s="4" t="str">
        <f t="shared" si="29"/>
        <v>STABLE</v>
      </c>
      <c r="H350" s="4" t="e">
        <f t="shared" si="30"/>
        <v>#VALUE!</v>
      </c>
      <c r="I350" s="4" t="e">
        <f t="shared" si="31"/>
        <v>#VALUE!</v>
      </c>
      <c r="J350" s="4" t="e">
        <f t="shared" si="32"/>
        <v>#VALUE!</v>
      </c>
      <c r="K350" s="4" t="str">
        <f t="shared" si="33"/>
        <v>Co59</v>
      </c>
    </row>
    <row r="351" spans="2:17" x14ac:dyDescent="0.2">
      <c r="B351" s="4">
        <v>27060</v>
      </c>
      <c r="C351" s="4">
        <v>1.3000000000000001E-8</v>
      </c>
      <c r="D351">
        <v>0.27739999999999998</v>
      </c>
      <c r="E351" t="str">
        <f>VLOOKUP(B351,Nuclides!A:F,5,FALSE)</f>
        <v>Co60</v>
      </c>
      <c r="F351">
        <f>VLOOKUP(B351,Nuclides!A:F,4,FALSE)</f>
        <v>166344192</v>
      </c>
      <c r="G351" s="4" t="str">
        <f t="shared" si="29"/>
        <v>5.27y</v>
      </c>
      <c r="H351" s="4">
        <f t="shared" si="30"/>
        <v>4.166945489506152E-9</v>
      </c>
      <c r="I351" s="4">
        <f t="shared" si="31"/>
        <v>146.02358051157898</v>
      </c>
      <c r="J351" s="4">
        <f>I351*EXP(-H351*0.5*3600)</f>
        <v>146.02248526554612</v>
      </c>
      <c r="K351" s="4" t="str">
        <f t="shared" si="33"/>
        <v>Co60</v>
      </c>
      <c r="L351" s="4">
        <f>J351</f>
        <v>146.02248526554612</v>
      </c>
      <c r="M351">
        <v>0</v>
      </c>
      <c r="O351" s="4" t="str">
        <f>K351</f>
        <v>Co60</v>
      </c>
      <c r="P351" s="4" t="str">
        <f>G351</f>
        <v>5.27y</v>
      </c>
      <c r="Q351" s="4">
        <f>J351</f>
        <v>146.02248526554612</v>
      </c>
    </row>
    <row r="352" spans="2:17" hidden="1" x14ac:dyDescent="0.2">
      <c r="B352" s="4">
        <v>27061</v>
      </c>
      <c r="C352" s="4">
        <v>0</v>
      </c>
      <c r="D352">
        <v>0</v>
      </c>
      <c r="E352" t="str">
        <f>VLOOKUP(B352,Nuclides!A:F,5,FALSE)</f>
        <v>Co61</v>
      </c>
      <c r="F352">
        <f>VLOOKUP(B352,Nuclides!A:F,4,FALSE)</f>
        <v>5936.4</v>
      </c>
      <c r="G352" s="4" t="str">
        <f t="shared" si="29"/>
        <v>1.65h</v>
      </c>
      <c r="H352" s="4">
        <f t="shared" si="30"/>
        <v>1.1676220951417447E-4</v>
      </c>
      <c r="I352" s="4">
        <f t="shared" si="31"/>
        <v>0</v>
      </c>
      <c r="J352" s="4">
        <f t="shared" si="32"/>
        <v>0</v>
      </c>
      <c r="K352" s="4" t="str">
        <f t="shared" si="33"/>
        <v>Co61</v>
      </c>
    </row>
    <row r="353" spans="2:17" hidden="1" x14ac:dyDescent="0.2">
      <c r="B353" s="4">
        <v>27062</v>
      </c>
      <c r="C353" s="4">
        <v>0</v>
      </c>
      <c r="D353">
        <v>0</v>
      </c>
      <c r="E353" t="str">
        <f>VLOOKUP(B353,Nuclides!A:F,5,FALSE)</f>
        <v>Co62</v>
      </c>
      <c r="F353">
        <f>VLOOKUP(B353,Nuclides!A:F,4,FALSE)</f>
        <v>90</v>
      </c>
      <c r="G353" s="4" t="str">
        <f t="shared" si="29"/>
        <v>1.5min</v>
      </c>
      <c r="H353" s="4">
        <f t="shared" si="30"/>
        <v>7.7016353395549476E-3</v>
      </c>
      <c r="I353" s="4">
        <f t="shared" si="31"/>
        <v>0</v>
      </c>
      <c r="J353" s="4">
        <f t="shared" si="32"/>
        <v>0</v>
      </c>
      <c r="K353" s="4" t="str">
        <f t="shared" si="33"/>
        <v>Co62</v>
      </c>
    </row>
    <row r="354" spans="2:17" hidden="1" x14ac:dyDescent="0.2">
      <c r="B354" s="4">
        <v>27063</v>
      </c>
      <c r="C354" s="4">
        <v>0</v>
      </c>
      <c r="D354">
        <v>0</v>
      </c>
      <c r="E354" t="str">
        <f>VLOOKUP(B354,Nuclides!A:F,5,FALSE)</f>
        <v>Co63</v>
      </c>
      <c r="F354">
        <f>VLOOKUP(B354,Nuclides!A:F,4,FALSE)</f>
        <v>27.4</v>
      </c>
      <c r="G354" s="4" t="str">
        <f t="shared" si="29"/>
        <v>27.4s</v>
      </c>
      <c r="H354" s="4">
        <f t="shared" si="30"/>
        <v>2.5297342356202384E-2</v>
      </c>
      <c r="I354" s="4">
        <f t="shared" si="31"/>
        <v>0</v>
      </c>
      <c r="J354" s="4">
        <f t="shared" si="32"/>
        <v>0</v>
      </c>
      <c r="K354" s="4" t="str">
        <f t="shared" si="33"/>
        <v>Co63</v>
      </c>
    </row>
    <row r="355" spans="2:17" hidden="1" x14ac:dyDescent="0.2">
      <c r="B355" s="4">
        <v>27064</v>
      </c>
      <c r="C355" s="4">
        <v>0</v>
      </c>
      <c r="D355">
        <v>0</v>
      </c>
      <c r="E355" t="str">
        <f>VLOOKUP(B355,Nuclides!A:F,5,FALSE)</f>
        <v>Co64</v>
      </c>
      <c r="F355">
        <f>VLOOKUP(B355,Nuclides!A:F,4,FALSE)</f>
        <v>0.3</v>
      </c>
      <c r="G355" s="4" t="str">
        <f t="shared" si="29"/>
        <v>0.3s</v>
      </c>
      <c r="H355" s="4">
        <f t="shared" si="30"/>
        <v>2.3104906018664844</v>
      </c>
      <c r="I355" s="4">
        <f t="shared" si="31"/>
        <v>0</v>
      </c>
      <c r="J355" s="4">
        <f t="shared" si="32"/>
        <v>0</v>
      </c>
      <c r="K355" s="4" t="str">
        <f t="shared" si="33"/>
        <v>Co64</v>
      </c>
    </row>
    <row r="356" spans="2:17" hidden="1" x14ac:dyDescent="0.2">
      <c r="B356" s="4">
        <v>28053</v>
      </c>
      <c r="C356" s="4">
        <v>0</v>
      </c>
      <c r="D356">
        <v>0</v>
      </c>
      <c r="E356" t="str">
        <f>VLOOKUP(B356,Nuclides!A:F,5,FALSE)</f>
        <v>Ni53</v>
      </c>
      <c r="F356">
        <f>VLOOKUP(B356,Nuclides!A:F,4,FALSE)</f>
        <v>5.5199999999999999E-2</v>
      </c>
      <c r="G356" s="4" t="str">
        <f t="shared" si="29"/>
        <v>0.0552s</v>
      </c>
      <c r="H356" s="4">
        <f t="shared" si="30"/>
        <v>12.557014140578719</v>
      </c>
      <c r="I356" s="4">
        <f t="shared" si="31"/>
        <v>0</v>
      </c>
      <c r="J356" s="4">
        <f t="shared" si="32"/>
        <v>0</v>
      </c>
      <c r="K356" s="4" t="str">
        <f t="shared" si="33"/>
        <v>Ni53</v>
      </c>
    </row>
    <row r="357" spans="2:17" hidden="1" x14ac:dyDescent="0.2">
      <c r="B357" s="4">
        <v>28054</v>
      </c>
      <c r="C357" s="4">
        <v>0</v>
      </c>
      <c r="D357">
        <v>0</v>
      </c>
      <c r="E357" t="str">
        <f>VLOOKUP(B357,Nuclides!A:F,5,FALSE)</f>
        <v>Ni54</v>
      </c>
      <c r="F357">
        <f>VLOOKUP(B357,Nuclides!A:F,4,FALSE)</f>
        <v>0.1142</v>
      </c>
      <c r="G357" s="4" t="str">
        <f t="shared" si="29"/>
        <v>0.1142s</v>
      </c>
      <c r="H357" s="4">
        <f t="shared" si="30"/>
        <v>6.0695900224163335</v>
      </c>
      <c r="I357" s="4">
        <f t="shared" si="31"/>
        <v>0</v>
      </c>
      <c r="J357" s="4">
        <f t="shared" si="32"/>
        <v>0</v>
      </c>
      <c r="K357" s="4" t="str">
        <f t="shared" si="33"/>
        <v>Ni54</v>
      </c>
    </row>
    <row r="358" spans="2:17" hidden="1" x14ac:dyDescent="0.2">
      <c r="B358" s="4">
        <v>28055</v>
      </c>
      <c r="C358" s="4">
        <v>0</v>
      </c>
      <c r="D358">
        <v>0</v>
      </c>
      <c r="E358" t="str">
        <f>VLOOKUP(B358,Nuclides!A:F,5,FALSE)</f>
        <v>Ni55</v>
      </c>
      <c r="F358">
        <f>VLOOKUP(B358,Nuclides!A:F,4,FALSE)</f>
        <v>0.20469999999999999</v>
      </c>
      <c r="G358" s="4" t="str">
        <f t="shared" si="29"/>
        <v>0.2047s</v>
      </c>
      <c r="H358" s="4">
        <f t="shared" si="30"/>
        <v>3.3861611165605536</v>
      </c>
      <c r="I358" s="4">
        <f t="shared" si="31"/>
        <v>0</v>
      </c>
      <c r="J358" s="4">
        <f t="shared" si="32"/>
        <v>0</v>
      </c>
      <c r="K358" s="4" t="str">
        <f t="shared" si="33"/>
        <v>Ni55</v>
      </c>
    </row>
    <row r="359" spans="2:17" hidden="1" x14ac:dyDescent="0.2">
      <c r="B359" s="4">
        <v>28056</v>
      </c>
      <c r="C359" s="4">
        <v>0</v>
      </c>
      <c r="D359">
        <v>0</v>
      </c>
      <c r="E359" t="str">
        <f>VLOOKUP(B359,Nuclides!A:F,5,FALSE)</f>
        <v>Ni56</v>
      </c>
      <c r="F359">
        <f>VLOOKUP(B359,Nuclides!A:F,4,FALSE)</f>
        <v>524880</v>
      </c>
      <c r="G359" s="4" t="str">
        <f t="shared" si="29"/>
        <v>6.08d</v>
      </c>
      <c r="H359" s="4">
        <f t="shared" si="30"/>
        <v>1.3205821912817126E-6</v>
      </c>
      <c r="I359" s="4">
        <f t="shared" si="31"/>
        <v>0</v>
      </c>
      <c r="J359" s="4">
        <f t="shared" si="32"/>
        <v>0</v>
      </c>
      <c r="K359" s="4" t="str">
        <f t="shared" si="33"/>
        <v>Ni56</v>
      </c>
    </row>
    <row r="360" spans="2:17" x14ac:dyDescent="0.2">
      <c r="B360" s="4">
        <v>28057</v>
      </c>
      <c r="C360" s="4">
        <v>1.0000000000000001E-9</v>
      </c>
      <c r="D360">
        <v>1</v>
      </c>
      <c r="E360" t="str">
        <f>VLOOKUP(B360,Nuclides!A:F,5,FALSE)</f>
        <v>Ni57</v>
      </c>
      <c r="F360">
        <f>VLOOKUP(B360,Nuclides!A:F,4,FALSE)</f>
        <v>128160</v>
      </c>
      <c r="G360" s="4" t="str">
        <f t="shared" si="29"/>
        <v>1.48d</v>
      </c>
      <c r="H360" s="4">
        <f t="shared" si="30"/>
        <v>5.4084517833953281E-6</v>
      </c>
      <c r="I360" s="4">
        <f t="shared" si="31"/>
        <v>14299.236188141133</v>
      </c>
      <c r="J360" s="4">
        <f>I360*EXP(-H360*0.5*3600)</f>
        <v>14160.705482182206</v>
      </c>
      <c r="K360" s="4" t="str">
        <f t="shared" si="33"/>
        <v>Ni57</v>
      </c>
      <c r="L360" s="4">
        <f>J360</f>
        <v>14160.705482182206</v>
      </c>
      <c r="M360">
        <v>0</v>
      </c>
      <c r="O360" s="4" t="str">
        <f>K360</f>
        <v>Ni57</v>
      </c>
      <c r="P360" s="4" t="str">
        <f>G360</f>
        <v>1.48d</v>
      </c>
      <c r="Q360" s="4">
        <f>J360</f>
        <v>14160.705482182206</v>
      </c>
    </row>
    <row r="361" spans="2:17" hidden="1" x14ac:dyDescent="0.2">
      <c r="B361" s="4">
        <v>28058</v>
      </c>
      <c r="C361" s="4">
        <v>5.9222000000000003E-5</v>
      </c>
      <c r="D361">
        <v>4.1000000000000003E-3</v>
      </c>
      <c r="E361" t="str">
        <f>VLOOKUP(B361,Nuclides!A:F,5,FALSE)</f>
        <v>Ni58</v>
      </c>
      <c r="F361" t="str">
        <f>VLOOKUP(B361,Nuclides!A:F,4,FALSE)</f>
        <v>STABLE</v>
      </c>
      <c r="G361" s="4" t="str">
        <f t="shared" si="29"/>
        <v>STABLE</v>
      </c>
      <c r="H361" s="4" t="e">
        <f t="shared" si="30"/>
        <v>#VALUE!</v>
      </c>
      <c r="I361" s="4" t="e">
        <f t="shared" si="31"/>
        <v>#VALUE!</v>
      </c>
      <c r="J361" s="4" t="e">
        <f t="shared" si="32"/>
        <v>#VALUE!</v>
      </c>
      <c r="K361" s="4" t="str">
        <f t="shared" si="33"/>
        <v>Ni58</v>
      </c>
    </row>
    <row r="362" spans="2:17" x14ac:dyDescent="0.2">
      <c r="B362" s="4">
        <v>28059</v>
      </c>
      <c r="C362" s="4">
        <v>7.1025999999999994E-5</v>
      </c>
      <c r="D362">
        <v>3.8E-3</v>
      </c>
      <c r="E362" t="str">
        <f>VLOOKUP(B362,Nuclides!A:F,5,FALSE)</f>
        <v>Ni59</v>
      </c>
      <c r="F362">
        <f>VLOOKUP(B362,Nuclides!A:F,4,FALSE)</f>
        <v>2398377600000</v>
      </c>
      <c r="G362" s="4" t="str">
        <f t="shared" si="29"/>
        <v>76052.05y</v>
      </c>
      <c r="H362" s="4">
        <f t="shared" si="30"/>
        <v>2.8900669375829115E-13</v>
      </c>
      <c r="I362" s="4">
        <f t="shared" si="31"/>
        <v>55.334193948577585</v>
      </c>
      <c r="J362" s="4">
        <f>I362*EXP(-H362*0.5*3600)</f>
        <v>55.334193919792071</v>
      </c>
      <c r="K362" s="4" t="str">
        <f t="shared" si="33"/>
        <v>Ni59</v>
      </c>
      <c r="L362" s="4">
        <f>J362</f>
        <v>55.334193919792071</v>
      </c>
      <c r="M362">
        <v>0</v>
      </c>
      <c r="O362" s="4" t="str">
        <f>K362</f>
        <v>Ni59</v>
      </c>
      <c r="P362" s="4" t="str">
        <f>G362</f>
        <v>76052.05y</v>
      </c>
      <c r="Q362" s="4">
        <f>J362</f>
        <v>55.334193919792071</v>
      </c>
    </row>
    <row r="363" spans="2:17" hidden="1" x14ac:dyDescent="0.2">
      <c r="B363" s="4">
        <v>28060</v>
      </c>
      <c r="C363" s="4">
        <v>1.6920999999999999E-5</v>
      </c>
      <c r="D363">
        <v>7.7000000000000002E-3</v>
      </c>
      <c r="E363" t="str">
        <f>VLOOKUP(B363,Nuclides!A:F,5,FALSE)</f>
        <v>Ni60</v>
      </c>
      <c r="F363" t="str">
        <f>VLOOKUP(B363,Nuclides!A:F,4,FALSE)</f>
        <v>STABLE</v>
      </c>
      <c r="G363" s="4" t="str">
        <f t="shared" si="29"/>
        <v>STABLE</v>
      </c>
      <c r="H363" s="4" t="e">
        <f t="shared" si="30"/>
        <v>#VALUE!</v>
      </c>
      <c r="I363" s="4" t="e">
        <f t="shared" si="31"/>
        <v>#VALUE!</v>
      </c>
      <c r="J363" s="4" t="e">
        <f t="shared" si="32"/>
        <v>#VALUE!</v>
      </c>
      <c r="K363" s="4" t="str">
        <f t="shared" si="33"/>
        <v>Ni60</v>
      </c>
    </row>
    <row r="364" spans="2:17" hidden="1" x14ac:dyDescent="0.2">
      <c r="B364" s="4">
        <v>28061</v>
      </c>
      <c r="C364" s="4">
        <v>4.89E-7</v>
      </c>
      <c r="D364">
        <v>4.5199999999999997E-2</v>
      </c>
      <c r="E364" t="str">
        <f>VLOOKUP(B364,Nuclides!A:F,5,FALSE)</f>
        <v>Ni61</v>
      </c>
      <c r="F364" t="str">
        <f>VLOOKUP(B364,Nuclides!A:F,4,FALSE)</f>
        <v>STABLE</v>
      </c>
      <c r="G364" s="4" t="str">
        <f t="shared" si="29"/>
        <v>STABLE</v>
      </c>
      <c r="H364" s="4" t="e">
        <f t="shared" si="30"/>
        <v>#VALUE!</v>
      </c>
      <c r="I364" s="4" t="e">
        <f t="shared" si="31"/>
        <v>#VALUE!</v>
      </c>
      <c r="J364" s="4" t="e">
        <f t="shared" si="32"/>
        <v>#VALUE!</v>
      </c>
      <c r="K364" s="4" t="str">
        <f t="shared" si="33"/>
        <v>Ni61</v>
      </c>
    </row>
    <row r="365" spans="2:17" hidden="1" x14ac:dyDescent="0.2">
      <c r="B365" s="4">
        <v>28062</v>
      </c>
      <c r="C365" s="4">
        <v>1.778E-6</v>
      </c>
      <c r="D365">
        <v>2.3699999999999999E-2</v>
      </c>
      <c r="E365" t="str">
        <f>VLOOKUP(B365,Nuclides!A:F,5,FALSE)</f>
        <v>Ni62</v>
      </c>
      <c r="F365" t="str">
        <f>VLOOKUP(B365,Nuclides!A:F,4,FALSE)</f>
        <v>STABLE</v>
      </c>
      <c r="G365" s="4" t="str">
        <f t="shared" si="29"/>
        <v>STABLE</v>
      </c>
      <c r="H365" s="4" t="e">
        <f t="shared" si="30"/>
        <v>#VALUE!</v>
      </c>
      <c r="I365" s="4" t="e">
        <f t="shared" si="31"/>
        <v>#VALUE!</v>
      </c>
      <c r="J365" s="4" t="e">
        <f t="shared" si="32"/>
        <v>#VALUE!</v>
      </c>
      <c r="K365" s="4" t="str">
        <f t="shared" si="33"/>
        <v>Ni62</v>
      </c>
    </row>
    <row r="366" spans="2:17" hidden="1" x14ac:dyDescent="0.2">
      <c r="B366" s="4">
        <v>28063</v>
      </c>
      <c r="C366" s="4">
        <v>1.0000000000000001E-9</v>
      </c>
      <c r="D366">
        <v>1</v>
      </c>
      <c r="E366" t="str">
        <f>VLOOKUP(B366,Nuclides!A:F,5,FALSE)</f>
        <v>Ni63</v>
      </c>
      <c r="F366">
        <f>VLOOKUP(B366,Nuclides!A:F,4,FALSE)</f>
        <v>3193629120</v>
      </c>
      <c r="G366" s="4" t="str">
        <f t="shared" si="29"/>
        <v>101.27y</v>
      </c>
      <c r="H366" s="4">
        <f t="shared" si="30"/>
        <v>2.1704060005563365E-10</v>
      </c>
      <c r="I366" s="4">
        <f t="shared" si="31"/>
        <v>0.58507154761926472</v>
      </c>
      <c r="J366" s="4">
        <f t="shared" si="32"/>
        <v>0.58504960514719484</v>
      </c>
      <c r="K366" s="4" t="str">
        <f t="shared" si="33"/>
        <v>Ni63</v>
      </c>
    </row>
    <row r="367" spans="2:17" hidden="1" x14ac:dyDescent="0.2">
      <c r="B367" s="4">
        <v>28064</v>
      </c>
      <c r="C367" s="4">
        <v>4.15E-7</v>
      </c>
      <c r="D367">
        <v>4.9099999999999998E-2</v>
      </c>
      <c r="E367" t="str">
        <f>VLOOKUP(B367,Nuclides!A:F,5,FALSE)</f>
        <v>Ni64</v>
      </c>
      <c r="F367" t="str">
        <f>VLOOKUP(B367,Nuclides!A:F,4,FALSE)</f>
        <v>STABLE</v>
      </c>
      <c r="G367" s="4" t="str">
        <f t="shared" si="29"/>
        <v>STABLE</v>
      </c>
      <c r="H367" s="4" t="e">
        <f t="shared" si="30"/>
        <v>#VALUE!</v>
      </c>
      <c r="I367" s="4" t="e">
        <f t="shared" si="31"/>
        <v>#VALUE!</v>
      </c>
      <c r="J367" s="4" t="e">
        <f t="shared" si="32"/>
        <v>#VALUE!</v>
      </c>
      <c r="K367" s="4" t="str">
        <f t="shared" si="33"/>
        <v>Ni64</v>
      </c>
    </row>
    <row r="368" spans="2:17" hidden="1" x14ac:dyDescent="0.2">
      <c r="B368" s="4">
        <v>28065</v>
      </c>
      <c r="C368" s="4">
        <v>0</v>
      </c>
      <c r="D368">
        <v>0</v>
      </c>
      <c r="E368" t="str">
        <f>VLOOKUP(B368,Nuclides!A:F,5,FALSE)</f>
        <v>Ni65</v>
      </c>
      <c r="F368">
        <f>VLOOKUP(B368,Nuclides!A:F,4,FALSE)</f>
        <v>9063</v>
      </c>
      <c r="G368" s="4" t="str">
        <f t="shared" si="29"/>
        <v>2.52h</v>
      </c>
      <c r="H368" s="4">
        <f t="shared" si="30"/>
        <v>7.6480986490118651E-5</v>
      </c>
      <c r="I368" s="4">
        <f t="shared" si="31"/>
        <v>0</v>
      </c>
      <c r="J368" s="4">
        <f t="shared" si="32"/>
        <v>0</v>
      </c>
      <c r="K368" s="4" t="str">
        <f t="shared" si="33"/>
        <v>Ni65</v>
      </c>
    </row>
    <row r="369" spans="2:17" hidden="1" x14ac:dyDescent="0.2">
      <c r="B369" s="4">
        <v>28066</v>
      </c>
      <c r="C369" s="4">
        <v>0</v>
      </c>
      <c r="D369">
        <v>0</v>
      </c>
      <c r="E369" t="str">
        <f>VLOOKUP(B369,Nuclides!A:F,5,FALSE)</f>
        <v>Ni66</v>
      </c>
      <c r="F369">
        <f>VLOOKUP(B369,Nuclides!A:F,4,FALSE)</f>
        <v>196560</v>
      </c>
      <c r="G369" s="4" t="str">
        <f t="shared" si="29"/>
        <v>2.28d</v>
      </c>
      <c r="H369" s="4">
        <f t="shared" si="30"/>
        <v>3.526389807488529E-6</v>
      </c>
      <c r="I369" s="4">
        <f t="shared" si="31"/>
        <v>0</v>
      </c>
      <c r="J369" s="4">
        <f t="shared" si="32"/>
        <v>0</v>
      </c>
      <c r="K369" s="4" t="str">
        <f t="shared" si="33"/>
        <v>Ni66</v>
      </c>
    </row>
    <row r="370" spans="2:17" hidden="1" x14ac:dyDescent="0.2">
      <c r="B370" s="4">
        <v>28067</v>
      </c>
      <c r="C370" s="4">
        <v>0</v>
      </c>
      <c r="D370">
        <v>0</v>
      </c>
      <c r="E370" t="str">
        <f>VLOOKUP(B370,Nuclides!A:F,5,FALSE)</f>
        <v>Ni67</v>
      </c>
      <c r="F370">
        <f>VLOOKUP(B370,Nuclides!A:F,4,FALSE)</f>
        <v>21</v>
      </c>
      <c r="G370" s="4" t="str">
        <f t="shared" si="29"/>
        <v>21s</v>
      </c>
      <c r="H370" s="4">
        <f t="shared" si="30"/>
        <v>3.3007008598092635E-2</v>
      </c>
      <c r="I370" s="4">
        <f t="shared" si="31"/>
        <v>0</v>
      </c>
      <c r="J370" s="4">
        <f t="shared" si="32"/>
        <v>0</v>
      </c>
      <c r="K370" s="4" t="str">
        <f t="shared" si="33"/>
        <v>Ni67</v>
      </c>
    </row>
    <row r="371" spans="2:17" hidden="1" x14ac:dyDescent="0.2">
      <c r="B371" s="4">
        <v>28068</v>
      </c>
      <c r="C371" s="4">
        <v>0</v>
      </c>
      <c r="D371">
        <v>0</v>
      </c>
      <c r="E371" t="str">
        <f>VLOOKUP(B371,Nuclides!A:F,5,FALSE)</f>
        <v>Ni68</v>
      </c>
      <c r="F371">
        <f>VLOOKUP(B371,Nuclides!A:F,4,FALSE)</f>
        <v>29</v>
      </c>
      <c r="G371" s="4" t="str">
        <f t="shared" si="29"/>
        <v>29s</v>
      </c>
      <c r="H371" s="4">
        <f t="shared" si="30"/>
        <v>2.3901626915860182E-2</v>
      </c>
      <c r="I371" s="4">
        <f t="shared" si="31"/>
        <v>0</v>
      </c>
      <c r="J371" s="4">
        <f t="shared" si="32"/>
        <v>0</v>
      </c>
      <c r="K371" s="4" t="str">
        <f t="shared" si="33"/>
        <v>Ni68</v>
      </c>
    </row>
    <row r="372" spans="2:17" hidden="1" x14ac:dyDescent="0.2">
      <c r="B372" s="4">
        <v>29057</v>
      </c>
      <c r="C372" s="4">
        <v>0</v>
      </c>
      <c r="D372">
        <v>0</v>
      </c>
      <c r="E372" t="str">
        <f>VLOOKUP(B372,Nuclides!A:F,5,FALSE)</f>
        <v>Cu57</v>
      </c>
      <c r="F372">
        <f>VLOOKUP(B372,Nuclides!A:F,4,FALSE)</f>
        <v>0.1963</v>
      </c>
      <c r="G372" s="4" t="str">
        <f t="shared" si="29"/>
        <v>0.1963s</v>
      </c>
      <c r="H372" s="4">
        <f t="shared" si="30"/>
        <v>3.5310605224653351</v>
      </c>
      <c r="I372" s="4">
        <f t="shared" si="31"/>
        <v>0</v>
      </c>
      <c r="J372" s="4">
        <f t="shared" si="32"/>
        <v>0</v>
      </c>
      <c r="K372" s="4" t="str">
        <f t="shared" si="33"/>
        <v>Cu57</v>
      </c>
    </row>
    <row r="373" spans="2:17" hidden="1" x14ac:dyDescent="0.2">
      <c r="B373" s="4">
        <v>29058</v>
      </c>
      <c r="C373" s="4">
        <v>2.3429999999999998E-6</v>
      </c>
      <c r="D373">
        <v>2.07E-2</v>
      </c>
      <c r="E373" t="str">
        <f>VLOOKUP(B373,Nuclides!A:F,5,FALSE)</f>
        <v>Cu58</v>
      </c>
      <c r="F373">
        <f>VLOOKUP(B373,Nuclides!A:F,4,FALSE)</f>
        <v>3.2040000000000002</v>
      </c>
      <c r="G373" s="4" t="str">
        <f t="shared" si="29"/>
        <v>3.204s</v>
      </c>
      <c r="H373" s="4">
        <f t="shared" si="30"/>
        <v>0.21633807133581312</v>
      </c>
      <c r="I373" s="4">
        <f t="shared" si="31"/>
        <v>877219200</v>
      </c>
      <c r="J373" s="4">
        <f t="shared" si="32"/>
        <v>0</v>
      </c>
      <c r="K373" s="4" t="str">
        <f t="shared" si="33"/>
        <v>Cu58</v>
      </c>
    </row>
    <row r="374" spans="2:17" hidden="1" x14ac:dyDescent="0.2">
      <c r="B374" s="4">
        <v>29059</v>
      </c>
      <c r="C374" s="4">
        <v>0</v>
      </c>
      <c r="D374">
        <v>0</v>
      </c>
      <c r="E374" t="str">
        <f>VLOOKUP(B374,Nuclides!A:F,5,FALSE)</f>
        <v>Cu59</v>
      </c>
      <c r="F374">
        <f>VLOOKUP(B374,Nuclides!A:F,4,FALSE)</f>
        <v>81.5</v>
      </c>
      <c r="G374" s="4" t="str">
        <f t="shared" si="29"/>
        <v>1.36min</v>
      </c>
      <c r="H374" s="4">
        <f t="shared" si="30"/>
        <v>8.504873381103624E-3</v>
      </c>
      <c r="I374" s="4">
        <f t="shared" si="31"/>
        <v>0</v>
      </c>
      <c r="J374" s="4">
        <f t="shared" si="32"/>
        <v>0</v>
      </c>
      <c r="K374" s="4" t="str">
        <f t="shared" si="33"/>
        <v>Cu59</v>
      </c>
    </row>
    <row r="375" spans="2:17" hidden="1" x14ac:dyDescent="0.2">
      <c r="B375" s="4">
        <v>29060</v>
      </c>
      <c r="C375" s="4">
        <v>2.8739999999999999E-6</v>
      </c>
      <c r="D375">
        <v>1.8700000000000001E-2</v>
      </c>
      <c r="E375" t="str">
        <f>VLOOKUP(B375,Nuclides!A:F,5,FALSE)</f>
        <v>Cu60</v>
      </c>
      <c r="F375">
        <f>VLOOKUP(B375,Nuclides!A:F,4,FALSE)</f>
        <v>1422</v>
      </c>
      <c r="G375" s="4" t="str">
        <f t="shared" si="29"/>
        <v>23.7min</v>
      </c>
      <c r="H375" s="4">
        <f t="shared" si="30"/>
        <v>4.8744527465537644E-4</v>
      </c>
      <c r="I375" s="4">
        <f t="shared" si="31"/>
        <v>1043843076.5650197</v>
      </c>
      <c r="J375" s="4">
        <f t="shared" si="32"/>
        <v>2.7401540698456776E-28</v>
      </c>
      <c r="K375" s="4" t="str">
        <f t="shared" si="33"/>
        <v>Cu60</v>
      </c>
    </row>
    <row r="376" spans="2:17" x14ac:dyDescent="0.2">
      <c r="B376" s="4">
        <v>29061</v>
      </c>
      <c r="C376" s="4">
        <v>9.2999999999999999E-8</v>
      </c>
      <c r="D376">
        <v>0.1037</v>
      </c>
      <c r="E376" t="str">
        <f>VLOOKUP(B376,Nuclides!A:F,5,FALSE)</f>
        <v>Cu61</v>
      </c>
      <c r="F376">
        <f>VLOOKUP(B376,Nuclides!A:F,4,FALSE)</f>
        <v>12020.4</v>
      </c>
      <c r="G376" s="4" t="str">
        <f t="shared" si="29"/>
        <v>3.34h</v>
      </c>
      <c r="H376" s="4">
        <f t="shared" si="30"/>
        <v>5.7664235845724375E-5</v>
      </c>
      <c r="I376" s="4">
        <f t="shared" si="31"/>
        <v>11830875.406232404</v>
      </c>
      <c r="J376" s="4">
        <f>I376*EXP(-H376*0.5*3600)</f>
        <v>10664463.538856534</v>
      </c>
      <c r="K376" s="4" t="str">
        <f t="shared" si="33"/>
        <v>Cu61</v>
      </c>
      <c r="L376" s="4">
        <f>J376</f>
        <v>10664463.538856534</v>
      </c>
      <c r="M376">
        <v>0</v>
      </c>
      <c r="O376" s="4" t="str">
        <f>K376</f>
        <v>Cu61</v>
      </c>
      <c r="P376" s="4" t="str">
        <f>G376</f>
        <v>3.34h</v>
      </c>
      <c r="Q376" s="4">
        <f>J376</f>
        <v>10664463.538856534</v>
      </c>
    </row>
    <row r="377" spans="2:17" hidden="1" x14ac:dyDescent="0.2">
      <c r="B377" s="4">
        <v>29062</v>
      </c>
      <c r="C377" s="4">
        <v>9.2800000000000005E-7</v>
      </c>
      <c r="D377">
        <v>3.2800000000000003E-2</v>
      </c>
      <c r="E377" t="str">
        <f>VLOOKUP(B377,Nuclides!A:F,5,FALSE)</f>
        <v>Cu62</v>
      </c>
      <c r="F377">
        <f>VLOOKUP(B377,Nuclides!A:F,4,FALSE)</f>
        <v>580.38</v>
      </c>
      <c r="G377" s="4" t="str">
        <f t="shared" si="29"/>
        <v>9.67min</v>
      </c>
      <c r="H377" s="4">
        <f t="shared" si="30"/>
        <v>1.1942988741168636E-3</v>
      </c>
      <c r="I377" s="4">
        <f t="shared" si="31"/>
        <v>347379166.61527079</v>
      </c>
      <c r="J377" s="4">
        <f t="shared" si="32"/>
        <v>8.1911935401652531E-82</v>
      </c>
      <c r="K377" s="4" t="str">
        <f t="shared" si="33"/>
        <v>Cu62</v>
      </c>
    </row>
    <row r="378" spans="2:17" hidden="1" x14ac:dyDescent="0.2">
      <c r="B378" s="4">
        <v>29063</v>
      </c>
      <c r="C378" s="4">
        <v>2.48E-7</v>
      </c>
      <c r="D378">
        <v>6.3500000000000001E-2</v>
      </c>
      <c r="E378" t="str">
        <f>VLOOKUP(B378,Nuclides!A:F,5,FALSE)</f>
        <v>Cu63</v>
      </c>
      <c r="F378" t="str">
        <f>VLOOKUP(B378,Nuclides!A:F,4,FALSE)</f>
        <v>STABLE</v>
      </c>
      <c r="G378" s="4" t="str">
        <f t="shared" si="29"/>
        <v>STABLE</v>
      </c>
      <c r="H378" s="4" t="e">
        <f t="shared" si="30"/>
        <v>#VALUE!</v>
      </c>
      <c r="I378" s="4" t="e">
        <f t="shared" si="31"/>
        <v>#VALUE!</v>
      </c>
      <c r="J378" s="4" t="e">
        <f t="shared" si="32"/>
        <v>#VALUE!</v>
      </c>
      <c r="K378" s="4" t="str">
        <f t="shared" si="33"/>
        <v>Cu63</v>
      </c>
    </row>
    <row r="379" spans="2:17" x14ac:dyDescent="0.2">
      <c r="B379" s="4">
        <v>29064</v>
      </c>
      <c r="C379" s="4">
        <v>1.17E-7</v>
      </c>
      <c r="D379">
        <v>9.2499999999999999E-2</v>
      </c>
      <c r="E379" t="str">
        <f>VLOOKUP(B379,Nuclides!A:F,5,FALSE)</f>
        <v>Cu64</v>
      </c>
      <c r="F379">
        <f>VLOOKUP(B379,Nuclides!A:F,4,FALSE)</f>
        <v>45723.6</v>
      </c>
      <c r="G379" s="4" t="str">
        <f t="shared" si="29"/>
        <v>12.7h</v>
      </c>
      <c r="H379" s="4">
        <f t="shared" si="30"/>
        <v>1.5159505825436871E-5</v>
      </c>
      <c r="I379" s="4">
        <f t="shared" si="31"/>
        <v>4529533.9371220861</v>
      </c>
      <c r="J379" s="4">
        <f>I379*EXP(-H379*0.5*3600)</f>
        <v>4407607.124658782</v>
      </c>
      <c r="K379" s="4" t="str">
        <f t="shared" si="33"/>
        <v>Cu64</v>
      </c>
      <c r="L379" s="4">
        <f>J379</f>
        <v>4407607.124658782</v>
      </c>
      <c r="M379">
        <v>0</v>
      </c>
      <c r="O379" s="4" t="str">
        <f>K379</f>
        <v>Cu64</v>
      </c>
      <c r="P379" s="4" t="str">
        <f>G379</f>
        <v>12.7h</v>
      </c>
      <c r="Q379" s="4">
        <f>J379</f>
        <v>4407607.124658782</v>
      </c>
    </row>
    <row r="380" spans="2:17" hidden="1" x14ac:dyDescent="0.2">
      <c r="B380" s="4">
        <v>29065</v>
      </c>
      <c r="C380" s="4">
        <v>0</v>
      </c>
      <c r="D380">
        <v>0</v>
      </c>
      <c r="E380" t="str">
        <f>VLOOKUP(B380,Nuclides!A:F,5,FALSE)</f>
        <v>Cu65</v>
      </c>
      <c r="F380" t="str">
        <f>VLOOKUP(B380,Nuclides!A:F,4,FALSE)</f>
        <v>STABLE</v>
      </c>
      <c r="G380" s="4" t="str">
        <f t="shared" si="29"/>
        <v>STABLE</v>
      </c>
      <c r="H380" s="4" t="e">
        <f t="shared" si="30"/>
        <v>#VALUE!</v>
      </c>
      <c r="I380" s="4" t="e">
        <f t="shared" si="31"/>
        <v>#VALUE!</v>
      </c>
      <c r="J380" s="4" t="e">
        <f t="shared" si="32"/>
        <v>#VALUE!</v>
      </c>
      <c r="K380" s="4" t="str">
        <f t="shared" si="33"/>
        <v>Cu65</v>
      </c>
    </row>
    <row r="381" spans="2:17" hidden="1" x14ac:dyDescent="0.2">
      <c r="B381" s="4">
        <v>29066</v>
      </c>
      <c r="C381" s="4">
        <v>0</v>
      </c>
      <c r="D381">
        <v>0</v>
      </c>
      <c r="E381" t="str">
        <f>VLOOKUP(B381,Nuclides!A:F,5,FALSE)</f>
        <v>Cu66</v>
      </c>
      <c r="F381">
        <f>VLOOKUP(B381,Nuclides!A:F,4,FALSE)</f>
        <v>307.2</v>
      </c>
      <c r="G381" s="4" t="str">
        <f t="shared" si="29"/>
        <v>5.12min</v>
      </c>
      <c r="H381" s="4">
        <f t="shared" si="30"/>
        <v>2.2563384783852386E-3</v>
      </c>
      <c r="I381" s="4">
        <f t="shared" si="31"/>
        <v>0</v>
      </c>
      <c r="J381" s="4">
        <f t="shared" si="32"/>
        <v>0</v>
      </c>
      <c r="K381" s="4" t="str">
        <f t="shared" si="33"/>
        <v>Cu66</v>
      </c>
    </row>
    <row r="382" spans="2:17" hidden="1" x14ac:dyDescent="0.2">
      <c r="B382" s="4">
        <v>29067</v>
      </c>
      <c r="C382" s="4">
        <v>0</v>
      </c>
      <c r="D382">
        <v>0</v>
      </c>
      <c r="E382" t="str">
        <f>VLOOKUP(B382,Nuclides!A:F,5,FALSE)</f>
        <v>Cu67</v>
      </c>
      <c r="F382">
        <f>VLOOKUP(B382,Nuclides!A:F,4,FALSE)</f>
        <v>222588</v>
      </c>
      <c r="G382" s="4" t="str">
        <f t="shared" si="29"/>
        <v>2.58d</v>
      </c>
      <c r="H382" s="4">
        <f t="shared" si="30"/>
        <v>3.1140366082625535E-6</v>
      </c>
      <c r="I382" s="4">
        <f t="shared" si="31"/>
        <v>0</v>
      </c>
      <c r="J382" s="4">
        <f t="shared" si="32"/>
        <v>0</v>
      </c>
      <c r="K382" s="4" t="str">
        <f t="shared" si="33"/>
        <v>Cu67</v>
      </c>
    </row>
    <row r="383" spans="2:17" hidden="1" x14ac:dyDescent="0.2">
      <c r="B383" s="4">
        <v>29068</v>
      </c>
      <c r="C383" s="4">
        <v>0</v>
      </c>
      <c r="D383">
        <v>0</v>
      </c>
      <c r="E383" t="str">
        <f>VLOOKUP(B383,Nuclides!A:F,5,FALSE)</f>
        <v>Cu68</v>
      </c>
      <c r="F383">
        <f>VLOOKUP(B383,Nuclides!A:F,4,FALSE)</f>
        <v>30.9</v>
      </c>
      <c r="G383" s="4" t="str">
        <f t="shared" si="29"/>
        <v>30.9s</v>
      </c>
      <c r="H383" s="4">
        <f t="shared" si="30"/>
        <v>2.2431947590936741E-2</v>
      </c>
      <c r="I383" s="4">
        <f t="shared" si="31"/>
        <v>0</v>
      </c>
      <c r="J383" s="4">
        <f t="shared" si="32"/>
        <v>0</v>
      </c>
      <c r="K383" s="4" t="str">
        <f t="shared" si="33"/>
        <v>Cu68</v>
      </c>
    </row>
    <row r="384" spans="2:17" hidden="1" x14ac:dyDescent="0.2">
      <c r="B384" s="4">
        <v>29069</v>
      </c>
      <c r="C384" s="4">
        <v>0</v>
      </c>
      <c r="D384">
        <v>0</v>
      </c>
      <c r="E384" t="str">
        <f>VLOOKUP(B384,Nuclides!A:F,5,FALSE)</f>
        <v>Cu69</v>
      </c>
      <c r="F384">
        <f>VLOOKUP(B384,Nuclides!A:F,4,FALSE)</f>
        <v>171</v>
      </c>
      <c r="G384" s="4" t="str">
        <f t="shared" si="29"/>
        <v>2.85min</v>
      </c>
      <c r="H384" s="4">
        <f t="shared" si="30"/>
        <v>4.0534922839762884E-3</v>
      </c>
      <c r="I384" s="4">
        <f t="shared" si="31"/>
        <v>0</v>
      </c>
      <c r="J384" s="4">
        <f t="shared" si="32"/>
        <v>0</v>
      </c>
      <c r="K384" s="4" t="str">
        <f t="shared" si="33"/>
        <v>Cu69</v>
      </c>
    </row>
    <row r="385" spans="2:11" hidden="1" x14ac:dyDescent="0.2">
      <c r="B385" s="4">
        <v>29070</v>
      </c>
      <c r="C385" s="4">
        <v>0</v>
      </c>
      <c r="D385">
        <v>0</v>
      </c>
      <c r="E385" t="str">
        <f>VLOOKUP(B385,Nuclides!A:F,5,FALSE)</f>
        <v>Cu70</v>
      </c>
      <c r="F385">
        <f>VLOOKUP(B385,Nuclides!A:F,4,FALSE)</f>
        <v>44.5</v>
      </c>
      <c r="G385" s="4" t="str">
        <f t="shared" si="29"/>
        <v>44.5s</v>
      </c>
      <c r="H385" s="4">
        <f t="shared" si="30"/>
        <v>1.5576341136178546E-2</v>
      </c>
      <c r="I385" s="4">
        <f t="shared" si="31"/>
        <v>0</v>
      </c>
      <c r="J385" s="4">
        <f t="shared" si="32"/>
        <v>0</v>
      </c>
      <c r="K385" s="4" t="str">
        <f t="shared" si="33"/>
        <v>Cu70</v>
      </c>
    </row>
    <row r="386" spans="2:11" hidden="1" x14ac:dyDescent="0.2">
      <c r="B386" s="4">
        <v>29071</v>
      </c>
      <c r="C386" s="4">
        <v>0</v>
      </c>
      <c r="D386">
        <v>0</v>
      </c>
      <c r="E386" t="str">
        <f>VLOOKUP(B386,Nuclides!A:F,5,FALSE)</f>
        <v>Cu71</v>
      </c>
      <c r="F386">
        <f>VLOOKUP(B386,Nuclides!A:F,4,FALSE)</f>
        <v>19.399999999999999</v>
      </c>
      <c r="G386" s="4" t="str">
        <f t="shared" si="29"/>
        <v>19.4s</v>
      </c>
      <c r="H386" s="4">
        <f t="shared" si="30"/>
        <v>3.5729236111337388E-2</v>
      </c>
      <c r="I386" s="4">
        <f t="shared" si="31"/>
        <v>0</v>
      </c>
      <c r="J386" s="4">
        <f t="shared" si="32"/>
        <v>0</v>
      </c>
      <c r="K386" s="4" t="str">
        <f t="shared" si="33"/>
        <v>Cu71</v>
      </c>
    </row>
    <row r="387" spans="2:11" hidden="1" x14ac:dyDescent="0.2">
      <c r="B387" s="4">
        <v>29072</v>
      </c>
      <c r="C387" s="4">
        <v>0</v>
      </c>
      <c r="D387">
        <v>0</v>
      </c>
      <c r="E387" t="str">
        <f>VLOOKUP(B387,Nuclides!A:F,5,FALSE)</f>
        <v>Cu72</v>
      </c>
      <c r="F387">
        <f>VLOOKUP(B387,Nuclides!A:F,4,FALSE)</f>
        <v>6.63</v>
      </c>
      <c r="G387" s="4" t="str">
        <f t="shared" si="29"/>
        <v>6.63s</v>
      </c>
      <c r="H387" s="4">
        <f t="shared" si="30"/>
        <v>0.10454708605730699</v>
      </c>
      <c r="I387" s="4">
        <f t="shared" si="31"/>
        <v>0</v>
      </c>
      <c r="J387" s="4">
        <f t="shared" si="32"/>
        <v>0</v>
      </c>
      <c r="K387" s="4" t="str">
        <f t="shared" si="33"/>
        <v>Cu72</v>
      </c>
    </row>
    <row r="388" spans="2:11" hidden="1" x14ac:dyDescent="0.2">
      <c r="B388" s="4">
        <v>29073</v>
      </c>
      <c r="C388" s="4">
        <v>0</v>
      </c>
      <c r="D388">
        <v>0</v>
      </c>
      <c r="E388" t="str">
        <f>VLOOKUP(B388,Nuclides!A:F,5,FALSE)</f>
        <v>Cu73</v>
      </c>
      <c r="F388">
        <f>VLOOKUP(B388,Nuclides!A:F,4,FALSE)</f>
        <v>4.2</v>
      </c>
      <c r="G388" s="4" t="str">
        <f t="shared" si="29"/>
        <v>4.2s</v>
      </c>
      <c r="H388" s="4">
        <f t="shared" si="30"/>
        <v>0.16503504299046315</v>
      </c>
      <c r="I388" s="4">
        <f t="shared" si="31"/>
        <v>0</v>
      </c>
      <c r="J388" s="4">
        <f t="shared" si="32"/>
        <v>0</v>
      </c>
      <c r="K388" s="4" t="str">
        <f t="shared" si="33"/>
        <v>Cu73</v>
      </c>
    </row>
    <row r="389" spans="2:11" hidden="1" x14ac:dyDescent="0.2">
      <c r="B389" s="4">
        <v>30057</v>
      </c>
      <c r="C389" s="4">
        <v>0</v>
      </c>
      <c r="D389">
        <v>0</v>
      </c>
      <c r="E389" t="str">
        <f>VLOOKUP(B389,Nuclides!A:F,5,FALSE)</f>
        <v>Zn57</v>
      </c>
      <c r="F389">
        <f>VLOOKUP(B389,Nuclides!A:F,4,FALSE)</f>
        <v>3.7999999999999999E-2</v>
      </c>
      <c r="G389" s="4" t="str">
        <f t="shared" ref="G389:G452" si="39">IF(F389="STABLE", "STABLE", IF(F389&lt;60, F389&amp;"s", IF(F389&lt;3600, ROUND(F389/60,2)&amp;"min", IF(F389&lt;86400, ROUND(F389/3600,2)&amp;"h", IF(F389&lt;31536000, ROUND(F389/86400,2)&amp;"d", ROUND(F389/31536000,2)&amp;"y")))))</f>
        <v>0.038s</v>
      </c>
      <c r="H389" s="4">
        <f t="shared" ref="H389:H452" si="40">LN(2)/F389</f>
        <v>18.240715277893297</v>
      </c>
      <c r="I389" s="4">
        <f t="shared" ref="I389:I452" si="41">60*6240000000000*C389*(1-EXP(-H389*2*3600))</f>
        <v>0</v>
      </c>
      <c r="J389" s="4">
        <f t="shared" ref="J389:J452" si="42">I389*EXP(-H389*48*3600)</f>
        <v>0</v>
      </c>
      <c r="K389" s="4" t="str">
        <f t="shared" ref="K389:K452" si="43">E389</f>
        <v>Zn57</v>
      </c>
    </row>
    <row r="390" spans="2:11" hidden="1" x14ac:dyDescent="0.2">
      <c r="B390" s="4">
        <v>30058</v>
      </c>
      <c r="C390" s="4">
        <v>0</v>
      </c>
      <c r="D390">
        <v>0</v>
      </c>
      <c r="E390" t="str">
        <f>VLOOKUP(B390,Nuclides!A:F,5,FALSE)</f>
        <v>Zn58</v>
      </c>
      <c r="F390">
        <f>VLOOKUP(B390,Nuclides!A:F,4,FALSE)</f>
        <v>8.5999999999999993E-2</v>
      </c>
      <c r="G390" s="4" t="str">
        <f t="shared" si="39"/>
        <v>0.086s</v>
      </c>
      <c r="H390" s="4">
        <f t="shared" si="40"/>
        <v>8.0598509367435511</v>
      </c>
      <c r="I390" s="4">
        <f t="shared" si="41"/>
        <v>0</v>
      </c>
      <c r="J390" s="4">
        <f t="shared" si="42"/>
        <v>0</v>
      </c>
      <c r="K390" s="4" t="str">
        <f t="shared" si="43"/>
        <v>Zn58</v>
      </c>
    </row>
    <row r="391" spans="2:11" hidden="1" x14ac:dyDescent="0.2">
      <c r="B391" s="4">
        <v>30059</v>
      </c>
      <c r="C391" s="4">
        <v>0</v>
      </c>
      <c r="D391">
        <v>0</v>
      </c>
      <c r="E391" t="str">
        <f>VLOOKUP(B391,Nuclides!A:F,5,FALSE)</f>
        <v>Zn59</v>
      </c>
      <c r="F391">
        <f>VLOOKUP(B391,Nuclides!A:F,4,FALSE)</f>
        <v>0.182</v>
      </c>
      <c r="G391" s="4" t="str">
        <f t="shared" si="39"/>
        <v>0.182s</v>
      </c>
      <c r="H391" s="4">
        <f t="shared" si="40"/>
        <v>3.8085009920876116</v>
      </c>
      <c r="I391" s="4">
        <f t="shared" si="41"/>
        <v>0</v>
      </c>
      <c r="J391" s="4">
        <f t="shared" si="42"/>
        <v>0</v>
      </c>
      <c r="K391" s="4" t="str">
        <f t="shared" si="43"/>
        <v>Zn59</v>
      </c>
    </row>
    <row r="392" spans="2:11" hidden="1" x14ac:dyDescent="0.2">
      <c r="B392" s="4">
        <v>30060</v>
      </c>
      <c r="C392" s="4">
        <v>0</v>
      </c>
      <c r="D392">
        <v>0</v>
      </c>
      <c r="E392" t="str">
        <f>VLOOKUP(B392,Nuclides!A:F,5,FALSE)</f>
        <v>Zn60</v>
      </c>
      <c r="F392">
        <f>VLOOKUP(B392,Nuclides!A:F,4,FALSE)</f>
        <v>142.79999999999899</v>
      </c>
      <c r="G392" s="4" t="str">
        <f t="shared" si="39"/>
        <v>2.38min</v>
      </c>
      <c r="H392" s="4">
        <f t="shared" si="40"/>
        <v>4.8539718526607158E-3</v>
      </c>
      <c r="I392" s="4">
        <f t="shared" si="41"/>
        <v>0</v>
      </c>
      <c r="J392" s="4">
        <f t="shared" si="42"/>
        <v>0</v>
      </c>
      <c r="K392" s="4" t="str">
        <f t="shared" si="43"/>
        <v>Zn60</v>
      </c>
    </row>
    <row r="393" spans="2:11" hidden="1" x14ac:dyDescent="0.2">
      <c r="B393" s="4">
        <v>30061</v>
      </c>
      <c r="C393" s="4">
        <v>0</v>
      </c>
      <c r="D393">
        <v>0</v>
      </c>
      <c r="E393" t="str">
        <f>VLOOKUP(B393,Nuclides!A:F,5,FALSE)</f>
        <v>Zn61</v>
      </c>
      <c r="F393">
        <f>VLOOKUP(B393,Nuclides!A:F,4,FALSE)</f>
        <v>89.1</v>
      </c>
      <c r="G393" s="4" t="str">
        <f t="shared" si="39"/>
        <v>1.49min</v>
      </c>
      <c r="H393" s="4">
        <f t="shared" si="40"/>
        <v>7.7794296359140888E-3</v>
      </c>
      <c r="I393" s="4">
        <f t="shared" si="41"/>
        <v>0</v>
      </c>
      <c r="J393" s="4">
        <f t="shared" si="42"/>
        <v>0</v>
      </c>
      <c r="K393" s="4" t="str">
        <f t="shared" si="43"/>
        <v>Zn61</v>
      </c>
    </row>
    <row r="394" spans="2:11" hidden="1" x14ac:dyDescent="0.2">
      <c r="B394" s="4">
        <v>30062</v>
      </c>
      <c r="C394" s="4">
        <v>0</v>
      </c>
      <c r="D394">
        <v>0</v>
      </c>
      <c r="E394" t="str">
        <f>VLOOKUP(B394,Nuclides!A:F,5,FALSE)</f>
        <v>Zn62</v>
      </c>
      <c r="F394">
        <f>VLOOKUP(B394,Nuclides!A:F,4,FALSE)</f>
        <v>33069.599999999999</v>
      </c>
      <c r="G394" s="4" t="str">
        <f t="shared" si="39"/>
        <v>9.19h</v>
      </c>
      <c r="H394" s="4">
        <f t="shared" si="40"/>
        <v>2.0960252938044166E-5</v>
      </c>
      <c r="I394" s="4">
        <f t="shared" si="41"/>
        <v>0</v>
      </c>
      <c r="J394" s="4">
        <f t="shared" si="42"/>
        <v>0</v>
      </c>
      <c r="K394" s="4" t="str">
        <f t="shared" si="43"/>
        <v>Zn62</v>
      </c>
    </row>
    <row r="395" spans="2:11" hidden="1" x14ac:dyDescent="0.2">
      <c r="B395" s="4">
        <v>30063</v>
      </c>
      <c r="C395" s="4">
        <v>0</v>
      </c>
      <c r="D395">
        <v>0</v>
      </c>
      <c r="E395" t="str">
        <f>VLOOKUP(B395,Nuclides!A:F,5,FALSE)</f>
        <v>Zn63</v>
      </c>
      <c r="F395">
        <f>VLOOKUP(B395,Nuclides!A:F,4,FALSE)</f>
        <v>2308.1999999999998</v>
      </c>
      <c r="G395" s="4" t="str">
        <f t="shared" si="39"/>
        <v>38.47min</v>
      </c>
      <c r="H395" s="4">
        <f t="shared" si="40"/>
        <v>3.002977127458389E-4</v>
      </c>
      <c r="I395" s="4">
        <f t="shared" si="41"/>
        <v>0</v>
      </c>
      <c r="J395" s="4">
        <f t="shared" si="42"/>
        <v>0</v>
      </c>
      <c r="K395" s="4" t="str">
        <f t="shared" si="43"/>
        <v>Zn63</v>
      </c>
    </row>
    <row r="396" spans="2:11" hidden="1" x14ac:dyDescent="0.2">
      <c r="B396" s="4">
        <v>30064</v>
      </c>
      <c r="C396" s="4">
        <v>0</v>
      </c>
      <c r="D396">
        <v>0</v>
      </c>
      <c r="E396" t="str">
        <f>VLOOKUP(B396,Nuclides!A:F,5,FALSE)</f>
        <v>Zn64</v>
      </c>
      <c r="F396">
        <f>VLOOKUP(B396,Nuclides!A:F,4,FALSE)</f>
        <v>2.209032E+28</v>
      </c>
      <c r="G396" s="4" t="str">
        <f t="shared" si="39"/>
        <v>7.00479452054795E+20y</v>
      </c>
      <c r="H396" s="4">
        <f t="shared" si="40"/>
        <v>3.1377869608043038E-29</v>
      </c>
      <c r="I396" s="4">
        <f t="shared" si="41"/>
        <v>0</v>
      </c>
      <c r="J396" s="4">
        <f t="shared" si="42"/>
        <v>0</v>
      </c>
      <c r="K396" s="4" t="str">
        <f t="shared" si="43"/>
        <v>Zn64</v>
      </c>
    </row>
    <row r="397" spans="2:11" hidden="1" x14ac:dyDescent="0.2">
      <c r="B397" s="4">
        <v>30065</v>
      </c>
      <c r="C397" s="4">
        <v>0</v>
      </c>
      <c r="D397">
        <v>0</v>
      </c>
      <c r="E397" t="str">
        <f>VLOOKUP(B397,Nuclides!A:F,5,FALSE)</f>
        <v>Zn65</v>
      </c>
      <c r="F397">
        <f>VLOOKUP(B397,Nuclides!A:F,4,FALSE)</f>
        <v>21075552</v>
      </c>
      <c r="G397" s="4" t="str">
        <f t="shared" si="39"/>
        <v>243.93d</v>
      </c>
      <c r="H397" s="4">
        <f t="shared" si="40"/>
        <v>3.2888684507999854E-8</v>
      </c>
      <c r="I397" s="4">
        <f t="shared" si="41"/>
        <v>0</v>
      </c>
      <c r="J397" s="4">
        <f t="shared" si="42"/>
        <v>0</v>
      </c>
      <c r="K397" s="4" t="str">
        <f t="shared" si="43"/>
        <v>Zn65</v>
      </c>
    </row>
    <row r="398" spans="2:11" hidden="1" x14ac:dyDescent="0.2">
      <c r="B398" s="4">
        <v>30066</v>
      </c>
      <c r="C398" s="4">
        <v>0</v>
      </c>
      <c r="D398">
        <v>0</v>
      </c>
      <c r="E398" t="str">
        <f>VLOOKUP(B398,Nuclides!A:F,5,FALSE)</f>
        <v>Zn66</v>
      </c>
      <c r="F398" t="str">
        <f>VLOOKUP(B398,Nuclides!A:F,4,FALSE)</f>
        <v>STABLE</v>
      </c>
      <c r="G398" s="4" t="str">
        <f t="shared" si="39"/>
        <v>STABLE</v>
      </c>
      <c r="H398" s="4" t="e">
        <f t="shared" si="40"/>
        <v>#VALUE!</v>
      </c>
      <c r="I398" s="4" t="e">
        <f t="shared" si="41"/>
        <v>#VALUE!</v>
      </c>
      <c r="J398" s="4" t="e">
        <f t="shared" si="42"/>
        <v>#VALUE!</v>
      </c>
      <c r="K398" s="4" t="str">
        <f t="shared" si="43"/>
        <v>Zn66</v>
      </c>
    </row>
    <row r="399" spans="2:11" hidden="1" x14ac:dyDescent="0.2">
      <c r="B399" s="4">
        <v>30067</v>
      </c>
      <c r="C399" s="4">
        <v>0</v>
      </c>
      <c r="D399">
        <v>0</v>
      </c>
      <c r="E399" t="str">
        <f>VLOOKUP(B399,Nuclides!A:F,5,FALSE)</f>
        <v>Zn67</v>
      </c>
      <c r="F399" t="str">
        <f>VLOOKUP(B399,Nuclides!A:F,4,FALSE)</f>
        <v>STABLE</v>
      </c>
      <c r="G399" s="4" t="str">
        <f t="shared" si="39"/>
        <v>STABLE</v>
      </c>
      <c r="H399" s="4" t="e">
        <f t="shared" si="40"/>
        <v>#VALUE!</v>
      </c>
      <c r="I399" s="4" t="e">
        <f t="shared" si="41"/>
        <v>#VALUE!</v>
      </c>
      <c r="J399" s="4" t="e">
        <f t="shared" si="42"/>
        <v>#VALUE!</v>
      </c>
      <c r="K399" s="4" t="str">
        <f t="shared" si="43"/>
        <v>Zn67</v>
      </c>
    </row>
    <row r="400" spans="2:11" hidden="1" x14ac:dyDescent="0.2">
      <c r="B400" s="4">
        <v>30068</v>
      </c>
      <c r="C400" s="4">
        <v>0</v>
      </c>
      <c r="D400">
        <v>0</v>
      </c>
      <c r="E400" t="str">
        <f>VLOOKUP(B400,Nuclides!A:F,5,FALSE)</f>
        <v>Zn68</v>
      </c>
      <c r="F400" t="str">
        <f>VLOOKUP(B400,Nuclides!A:F,4,FALSE)</f>
        <v>STABLE</v>
      </c>
      <c r="G400" s="4" t="str">
        <f t="shared" si="39"/>
        <v>STABLE</v>
      </c>
      <c r="H400" s="4" t="e">
        <f t="shared" si="40"/>
        <v>#VALUE!</v>
      </c>
      <c r="I400" s="4" t="e">
        <f t="shared" si="41"/>
        <v>#VALUE!</v>
      </c>
      <c r="J400" s="4" t="e">
        <f t="shared" si="42"/>
        <v>#VALUE!</v>
      </c>
      <c r="K400" s="4" t="str">
        <f t="shared" si="43"/>
        <v>Zn68</v>
      </c>
    </row>
    <row r="401" spans="2:11" hidden="1" x14ac:dyDescent="0.2">
      <c r="B401" s="4">
        <v>30069</v>
      </c>
      <c r="C401" s="4">
        <v>0</v>
      </c>
      <c r="D401">
        <v>0</v>
      </c>
      <c r="E401" t="str">
        <f>VLOOKUP(B401,Nuclides!A:F,5,FALSE)</f>
        <v>Zn69</v>
      </c>
      <c r="F401">
        <f>VLOOKUP(B401,Nuclides!A:F,4,FALSE)</f>
        <v>3384</v>
      </c>
      <c r="G401" s="4" t="str">
        <f t="shared" si="39"/>
        <v>56.4min</v>
      </c>
      <c r="H401" s="4">
        <f t="shared" si="40"/>
        <v>2.0483072711582307E-4</v>
      </c>
      <c r="I401" s="4">
        <f t="shared" si="41"/>
        <v>0</v>
      </c>
      <c r="J401" s="4">
        <f t="shared" si="42"/>
        <v>0</v>
      </c>
      <c r="K401" s="4" t="str">
        <f t="shared" si="43"/>
        <v>Zn69</v>
      </c>
    </row>
    <row r="402" spans="2:11" hidden="1" x14ac:dyDescent="0.2">
      <c r="B402" s="4">
        <v>30070</v>
      </c>
      <c r="C402" s="4">
        <v>0</v>
      </c>
      <c r="D402">
        <v>0</v>
      </c>
      <c r="E402" t="str">
        <f>VLOOKUP(B402,Nuclides!A:F,5,FALSE)</f>
        <v>Zn70</v>
      </c>
      <c r="F402">
        <f>VLOOKUP(B402,Nuclides!A:F,4,FALSE)</f>
        <v>7.2582480000000003E+24</v>
      </c>
      <c r="G402" s="4" t="str">
        <f t="shared" si="39"/>
        <v>230157534246575000y</v>
      </c>
      <c r="H402" s="4">
        <f t="shared" si="40"/>
        <v>9.5497864024478805E-26</v>
      </c>
      <c r="I402" s="4">
        <f t="shared" si="41"/>
        <v>0</v>
      </c>
      <c r="J402" s="4">
        <f t="shared" si="42"/>
        <v>0</v>
      </c>
      <c r="K402" s="4" t="str">
        <f t="shared" si="43"/>
        <v>Zn70</v>
      </c>
    </row>
    <row r="403" spans="2:11" hidden="1" x14ac:dyDescent="0.2">
      <c r="B403" s="4">
        <v>30071</v>
      </c>
      <c r="C403" s="4">
        <v>0</v>
      </c>
      <c r="D403">
        <v>0</v>
      </c>
      <c r="E403" t="str">
        <f>VLOOKUP(B403,Nuclides!A:F,5,FALSE)</f>
        <v>Zn71</v>
      </c>
      <c r="F403">
        <f>VLOOKUP(B403,Nuclides!A:F,4,FALSE)</f>
        <v>147</v>
      </c>
      <c r="G403" s="4" t="str">
        <f t="shared" si="39"/>
        <v>2.45min</v>
      </c>
      <c r="H403" s="4">
        <f t="shared" si="40"/>
        <v>4.7152869425846622E-3</v>
      </c>
      <c r="I403" s="4">
        <f t="shared" si="41"/>
        <v>0</v>
      </c>
      <c r="J403" s="4">
        <f t="shared" si="42"/>
        <v>0</v>
      </c>
      <c r="K403" s="4" t="str">
        <f t="shared" si="43"/>
        <v>Zn71</v>
      </c>
    </row>
    <row r="404" spans="2:11" hidden="1" x14ac:dyDescent="0.2">
      <c r="B404" s="4">
        <v>30072</v>
      </c>
      <c r="C404" s="4">
        <v>0</v>
      </c>
      <c r="D404">
        <v>0</v>
      </c>
      <c r="E404" t="str">
        <f>VLOOKUP(B404,Nuclides!A:F,5,FALSE)</f>
        <v>Zn72</v>
      </c>
      <c r="F404">
        <f>VLOOKUP(B404,Nuclides!A:F,4,FALSE)</f>
        <v>167400</v>
      </c>
      <c r="G404" s="4" t="str">
        <f t="shared" si="39"/>
        <v>1.94d</v>
      </c>
      <c r="H404" s="4">
        <f t="shared" si="40"/>
        <v>4.1406641610510472E-6</v>
      </c>
      <c r="I404" s="4">
        <f t="shared" si="41"/>
        <v>0</v>
      </c>
      <c r="J404" s="4">
        <f t="shared" si="42"/>
        <v>0</v>
      </c>
      <c r="K404" s="4" t="str">
        <f t="shared" si="43"/>
        <v>Zn72</v>
      </c>
    </row>
    <row r="405" spans="2:11" hidden="1" x14ac:dyDescent="0.2">
      <c r="B405" s="4">
        <v>30073</v>
      </c>
      <c r="C405" s="4">
        <v>0</v>
      </c>
      <c r="D405">
        <v>0</v>
      </c>
      <c r="E405" t="str">
        <f>VLOOKUP(B405,Nuclides!A:F,5,FALSE)</f>
        <v>Zn73</v>
      </c>
      <c r="F405">
        <f>VLOOKUP(B405,Nuclides!A:F,4,FALSE)</f>
        <v>23.5</v>
      </c>
      <c r="G405" s="4" t="str">
        <f t="shared" si="39"/>
        <v>23.5s</v>
      </c>
      <c r="H405" s="4">
        <f t="shared" si="40"/>
        <v>2.9495624704678522E-2</v>
      </c>
      <c r="I405" s="4">
        <f t="shared" si="41"/>
        <v>0</v>
      </c>
      <c r="J405" s="4">
        <f t="shared" si="42"/>
        <v>0</v>
      </c>
      <c r="K405" s="4" t="str">
        <f t="shared" si="43"/>
        <v>Zn73</v>
      </c>
    </row>
    <row r="406" spans="2:11" hidden="1" x14ac:dyDescent="0.2">
      <c r="B406" s="4">
        <v>30074</v>
      </c>
      <c r="C406" s="4">
        <v>0</v>
      </c>
      <c r="D406">
        <v>0</v>
      </c>
      <c r="E406" t="str">
        <f>VLOOKUP(B406,Nuclides!A:F,5,FALSE)</f>
        <v>Zn74</v>
      </c>
      <c r="F406">
        <f>VLOOKUP(B406,Nuclides!A:F,4,FALSE)</f>
        <v>95.6</v>
      </c>
      <c r="G406" s="4" t="str">
        <f t="shared" si="39"/>
        <v>1.59min</v>
      </c>
      <c r="H406" s="4">
        <f t="shared" si="40"/>
        <v>7.2504935205015206E-3</v>
      </c>
      <c r="I406" s="4">
        <f t="shared" si="41"/>
        <v>0</v>
      </c>
      <c r="J406" s="4">
        <f t="shared" si="42"/>
        <v>0</v>
      </c>
      <c r="K406" s="4" t="str">
        <f t="shared" si="43"/>
        <v>Zn74</v>
      </c>
    </row>
    <row r="407" spans="2:11" hidden="1" x14ac:dyDescent="0.2">
      <c r="B407" s="4">
        <v>30075</v>
      </c>
      <c r="C407" s="4">
        <v>0</v>
      </c>
      <c r="D407">
        <v>0</v>
      </c>
      <c r="E407" t="str">
        <f>VLOOKUP(B407,Nuclides!A:F,5,FALSE)</f>
        <v>Zn75</v>
      </c>
      <c r="F407">
        <f>VLOOKUP(B407,Nuclides!A:F,4,FALSE)</f>
        <v>10.199999999999999</v>
      </c>
      <c r="G407" s="4" t="str">
        <f t="shared" si="39"/>
        <v>10.2s</v>
      </c>
      <c r="H407" s="4">
        <f t="shared" si="40"/>
        <v>6.7955605937249544E-2</v>
      </c>
      <c r="I407" s="4">
        <f t="shared" si="41"/>
        <v>0</v>
      </c>
      <c r="J407" s="4">
        <f t="shared" si="42"/>
        <v>0</v>
      </c>
      <c r="K407" s="4" t="str">
        <f t="shared" si="43"/>
        <v>Zn75</v>
      </c>
    </row>
    <row r="408" spans="2:11" hidden="1" x14ac:dyDescent="0.2">
      <c r="B408" s="4">
        <v>30076</v>
      </c>
      <c r="C408" s="4">
        <v>0</v>
      </c>
      <c r="D408">
        <v>0</v>
      </c>
      <c r="E408" t="str">
        <f>VLOOKUP(B408,Nuclides!A:F,5,FALSE)</f>
        <v>Zn76</v>
      </c>
      <c r="F408">
        <f>VLOOKUP(B408,Nuclides!A:F,4,FALSE)</f>
        <v>5.7</v>
      </c>
      <c r="G408" s="4" t="str">
        <f t="shared" si="39"/>
        <v>5.7s</v>
      </c>
      <c r="H408" s="4">
        <f t="shared" si="40"/>
        <v>0.12160476851928864</v>
      </c>
      <c r="I408" s="4">
        <f t="shared" si="41"/>
        <v>0</v>
      </c>
      <c r="J408" s="4">
        <f t="shared" si="42"/>
        <v>0</v>
      </c>
      <c r="K408" s="4" t="str">
        <f t="shared" si="43"/>
        <v>Zn76</v>
      </c>
    </row>
    <row r="409" spans="2:11" hidden="1" x14ac:dyDescent="0.2">
      <c r="B409" s="4">
        <v>30077</v>
      </c>
      <c r="C409" s="4">
        <v>0</v>
      </c>
      <c r="D409">
        <v>0</v>
      </c>
      <c r="E409" t="str">
        <f>VLOOKUP(B409,Nuclides!A:F,5,FALSE)</f>
        <v>Zn77</v>
      </c>
      <c r="F409">
        <f>VLOOKUP(B409,Nuclides!A:F,4,FALSE)</f>
        <v>2.08</v>
      </c>
      <c r="G409" s="4" t="str">
        <f t="shared" si="39"/>
        <v>2.08s</v>
      </c>
      <c r="H409" s="4">
        <f t="shared" si="40"/>
        <v>0.33324383680766601</v>
      </c>
      <c r="I409" s="4">
        <f t="shared" si="41"/>
        <v>0</v>
      </c>
      <c r="J409" s="4">
        <f t="shared" si="42"/>
        <v>0</v>
      </c>
      <c r="K409" s="4" t="str">
        <f t="shared" si="43"/>
        <v>Zn77</v>
      </c>
    </row>
    <row r="410" spans="2:11" hidden="1" x14ac:dyDescent="0.2">
      <c r="B410" s="4">
        <v>30078</v>
      </c>
      <c r="C410" s="4">
        <v>0</v>
      </c>
      <c r="D410">
        <v>0</v>
      </c>
      <c r="E410" t="str">
        <f>VLOOKUP(B410,Nuclides!A:F,5,FALSE)</f>
        <v>Zn78</v>
      </c>
      <c r="F410">
        <f>VLOOKUP(B410,Nuclides!A:F,4,FALSE)</f>
        <v>1.47</v>
      </c>
      <c r="G410" s="4" t="str">
        <f t="shared" si="39"/>
        <v>1.47s</v>
      </c>
      <c r="H410" s="4">
        <f t="shared" si="40"/>
        <v>0.47152869425846616</v>
      </c>
      <c r="I410" s="4">
        <f t="shared" si="41"/>
        <v>0</v>
      </c>
      <c r="J410" s="4">
        <f t="shared" si="42"/>
        <v>0</v>
      </c>
      <c r="K410" s="4" t="str">
        <f t="shared" si="43"/>
        <v>Zn78</v>
      </c>
    </row>
    <row r="411" spans="2:11" hidden="1" x14ac:dyDescent="0.2">
      <c r="B411" s="4">
        <v>31062</v>
      </c>
      <c r="C411" s="4">
        <v>0</v>
      </c>
      <c r="D411">
        <v>0</v>
      </c>
      <c r="E411" t="str">
        <f>VLOOKUP(B411,Nuclides!A:F,5,FALSE)</f>
        <v>Ga62</v>
      </c>
      <c r="F411">
        <f>VLOOKUP(B411,Nuclides!A:F,4,FALSE)</f>
        <v>0.116121</v>
      </c>
      <c r="G411" s="4" t="str">
        <f t="shared" si="39"/>
        <v>0.116121s</v>
      </c>
      <c r="H411" s="4">
        <f t="shared" si="40"/>
        <v>5.9691802564561556</v>
      </c>
      <c r="I411" s="4">
        <f t="shared" si="41"/>
        <v>0</v>
      </c>
      <c r="J411" s="4">
        <f t="shared" si="42"/>
        <v>0</v>
      </c>
      <c r="K411" s="4" t="str">
        <f t="shared" si="43"/>
        <v>Ga62</v>
      </c>
    </row>
    <row r="412" spans="2:11" hidden="1" x14ac:dyDescent="0.2">
      <c r="B412" s="4">
        <v>31063</v>
      </c>
      <c r="C412" s="4">
        <v>0</v>
      </c>
      <c r="D412">
        <v>0</v>
      </c>
      <c r="E412" t="str">
        <f>VLOOKUP(B412,Nuclides!A:F,5,FALSE)</f>
        <v>Ga63</v>
      </c>
      <c r="F412">
        <f>VLOOKUP(B412,Nuclides!A:F,4,FALSE)</f>
        <v>32.4</v>
      </c>
      <c r="G412" s="4" t="str">
        <f t="shared" si="39"/>
        <v>32.4s</v>
      </c>
      <c r="H412" s="4">
        <f t="shared" si="40"/>
        <v>2.1393431498763743E-2</v>
      </c>
      <c r="I412" s="4">
        <f t="shared" si="41"/>
        <v>0</v>
      </c>
      <c r="J412" s="4">
        <f t="shared" si="42"/>
        <v>0</v>
      </c>
      <c r="K412" s="4" t="str">
        <f t="shared" si="43"/>
        <v>Ga63</v>
      </c>
    </row>
    <row r="413" spans="2:11" hidden="1" x14ac:dyDescent="0.2">
      <c r="B413" s="4">
        <v>31064</v>
      </c>
      <c r="C413" s="4">
        <v>0</v>
      </c>
      <c r="D413">
        <v>0</v>
      </c>
      <c r="E413" t="str">
        <f>VLOOKUP(B413,Nuclides!A:F,5,FALSE)</f>
        <v>Ga64</v>
      </c>
      <c r="F413">
        <f>VLOOKUP(B413,Nuclides!A:F,4,FALSE)</f>
        <v>157.61999999999901</v>
      </c>
      <c r="G413" s="4" t="str">
        <f t="shared" si="39"/>
        <v>2.63min</v>
      </c>
      <c r="H413" s="4">
        <f t="shared" si="40"/>
        <v>4.3975839396012536E-3</v>
      </c>
      <c r="I413" s="4">
        <f t="shared" si="41"/>
        <v>0</v>
      </c>
      <c r="J413" s="4">
        <f t="shared" si="42"/>
        <v>0</v>
      </c>
      <c r="K413" s="4" t="str">
        <f t="shared" si="43"/>
        <v>Ga64</v>
      </c>
    </row>
    <row r="414" spans="2:11" hidden="1" x14ac:dyDescent="0.2">
      <c r="B414" s="4">
        <v>31065</v>
      </c>
      <c r="C414" s="4">
        <v>0</v>
      </c>
      <c r="D414">
        <v>0</v>
      </c>
      <c r="E414" t="str">
        <f>VLOOKUP(B414,Nuclides!A:F,5,FALSE)</f>
        <v>Ga65</v>
      </c>
      <c r="F414">
        <f>VLOOKUP(B414,Nuclides!A:F,4,FALSE)</f>
        <v>912</v>
      </c>
      <c r="G414" s="4" t="str">
        <f t="shared" si="39"/>
        <v>15.2min</v>
      </c>
      <c r="H414" s="4">
        <f t="shared" si="40"/>
        <v>7.6002980324555401E-4</v>
      </c>
      <c r="I414" s="4">
        <f t="shared" si="41"/>
        <v>0</v>
      </c>
      <c r="J414" s="4">
        <f t="shared" si="42"/>
        <v>0</v>
      </c>
      <c r="K414" s="4" t="str">
        <f t="shared" si="43"/>
        <v>Ga65</v>
      </c>
    </row>
    <row r="415" spans="2:11" hidden="1" x14ac:dyDescent="0.2">
      <c r="B415" s="4">
        <v>31066</v>
      </c>
      <c r="C415" s="4">
        <v>0</v>
      </c>
      <c r="D415">
        <v>0</v>
      </c>
      <c r="E415" t="str">
        <f>VLOOKUP(B415,Nuclides!A:F,5,FALSE)</f>
        <v>Ga66</v>
      </c>
      <c r="F415">
        <f>VLOOKUP(B415,Nuclides!A:F,4,FALSE)</f>
        <v>34164</v>
      </c>
      <c r="G415" s="4" t="str">
        <f t="shared" si="39"/>
        <v>9.49h</v>
      </c>
      <c r="H415" s="4">
        <f t="shared" si="40"/>
        <v>2.0288818070481948E-5</v>
      </c>
      <c r="I415" s="4">
        <f t="shared" si="41"/>
        <v>0</v>
      </c>
      <c r="J415" s="4">
        <f t="shared" si="42"/>
        <v>0</v>
      </c>
      <c r="K415" s="4" t="str">
        <f t="shared" si="43"/>
        <v>Ga66</v>
      </c>
    </row>
    <row r="416" spans="2:11" hidden="1" x14ac:dyDescent="0.2">
      <c r="B416" s="4">
        <v>31067</v>
      </c>
      <c r="C416" s="4">
        <v>0</v>
      </c>
      <c r="D416">
        <v>0</v>
      </c>
      <c r="E416" t="str">
        <f>VLOOKUP(B416,Nuclides!A:F,5,FALSE)</f>
        <v>Ga67</v>
      </c>
      <c r="F416">
        <f>VLOOKUP(B416,Nuclides!A:F,4,FALSE)</f>
        <v>281810.88</v>
      </c>
      <c r="G416" s="4" t="str">
        <f t="shared" si="39"/>
        <v>3.26d</v>
      </c>
      <c r="H416" s="4">
        <f t="shared" si="40"/>
        <v>2.4596182395794844E-6</v>
      </c>
      <c r="I416" s="4">
        <f t="shared" si="41"/>
        <v>0</v>
      </c>
      <c r="J416" s="4">
        <f t="shared" si="42"/>
        <v>0</v>
      </c>
      <c r="K416" s="4" t="str">
        <f t="shared" si="43"/>
        <v>Ga67</v>
      </c>
    </row>
    <row r="417" spans="2:11" hidden="1" x14ac:dyDescent="0.2">
      <c r="B417" s="4">
        <v>31068</v>
      </c>
      <c r="C417" s="4">
        <v>0</v>
      </c>
      <c r="D417">
        <v>0</v>
      </c>
      <c r="E417" t="str">
        <f>VLOOKUP(B417,Nuclides!A:F,5,FALSE)</f>
        <v>Ga68</v>
      </c>
      <c r="F417">
        <f>VLOOKUP(B417,Nuclides!A:F,4,FALSE)</f>
        <v>4062.5999999999899</v>
      </c>
      <c r="G417" s="4" t="str">
        <f t="shared" si="39"/>
        <v>1.13h</v>
      </c>
      <c r="H417" s="4">
        <f t="shared" si="40"/>
        <v>1.7061664465119555E-4</v>
      </c>
      <c r="I417" s="4">
        <f t="shared" si="41"/>
        <v>0</v>
      </c>
      <c r="J417" s="4">
        <f t="shared" si="42"/>
        <v>0</v>
      </c>
      <c r="K417" s="4" t="str">
        <f t="shared" si="43"/>
        <v>Ga68</v>
      </c>
    </row>
    <row r="418" spans="2:11" hidden="1" x14ac:dyDescent="0.2">
      <c r="B418" s="4">
        <v>31069</v>
      </c>
      <c r="C418" s="4">
        <v>0</v>
      </c>
      <c r="D418">
        <v>0</v>
      </c>
      <c r="E418" t="str">
        <f>VLOOKUP(B418,Nuclides!A:F,5,FALSE)</f>
        <v>Ga69</v>
      </c>
      <c r="F418" t="str">
        <f>VLOOKUP(B418,Nuclides!A:F,4,FALSE)</f>
        <v>STABLE</v>
      </c>
      <c r="G418" s="4" t="str">
        <f t="shared" si="39"/>
        <v>STABLE</v>
      </c>
      <c r="H418" s="4" t="e">
        <f t="shared" si="40"/>
        <v>#VALUE!</v>
      </c>
      <c r="I418" s="4" t="e">
        <f t="shared" si="41"/>
        <v>#VALUE!</v>
      </c>
      <c r="J418" s="4" t="e">
        <f t="shared" si="42"/>
        <v>#VALUE!</v>
      </c>
      <c r="K418" s="4" t="str">
        <f t="shared" si="43"/>
        <v>Ga69</v>
      </c>
    </row>
    <row r="419" spans="2:11" hidden="1" x14ac:dyDescent="0.2">
      <c r="B419" s="4">
        <v>31070</v>
      </c>
      <c r="C419" s="4">
        <v>0</v>
      </c>
      <c r="D419">
        <v>0</v>
      </c>
      <c r="E419" t="str">
        <f>VLOOKUP(B419,Nuclides!A:F,5,FALSE)</f>
        <v>Ga70</v>
      </c>
      <c r="F419">
        <f>VLOOKUP(B419,Nuclides!A:F,4,FALSE)</f>
        <v>1268.4000000000001</v>
      </c>
      <c r="G419" s="4" t="str">
        <f t="shared" si="39"/>
        <v>21.14min</v>
      </c>
      <c r="H419" s="4">
        <f t="shared" si="40"/>
        <v>5.4647365228630181E-4</v>
      </c>
      <c r="I419" s="4">
        <f t="shared" si="41"/>
        <v>0</v>
      </c>
      <c r="J419" s="4">
        <f t="shared" si="42"/>
        <v>0</v>
      </c>
      <c r="K419" s="4" t="str">
        <f t="shared" si="43"/>
        <v>Ga70</v>
      </c>
    </row>
    <row r="420" spans="2:11" hidden="1" x14ac:dyDescent="0.2">
      <c r="B420" s="4">
        <v>31071</v>
      </c>
      <c r="C420" s="4">
        <v>0</v>
      </c>
      <c r="D420">
        <v>0</v>
      </c>
      <c r="E420" t="str">
        <f>VLOOKUP(B420,Nuclides!A:F,5,FALSE)</f>
        <v>Ga71</v>
      </c>
      <c r="F420" t="str">
        <f>VLOOKUP(B420,Nuclides!A:F,4,FALSE)</f>
        <v>STABLE</v>
      </c>
      <c r="G420" s="4" t="str">
        <f t="shared" si="39"/>
        <v>STABLE</v>
      </c>
      <c r="H420" s="4" t="e">
        <f t="shared" si="40"/>
        <v>#VALUE!</v>
      </c>
      <c r="I420" s="4" t="e">
        <f t="shared" si="41"/>
        <v>#VALUE!</v>
      </c>
      <c r="J420" s="4" t="e">
        <f t="shared" si="42"/>
        <v>#VALUE!</v>
      </c>
      <c r="K420" s="4" t="str">
        <f t="shared" si="43"/>
        <v>Ga71</v>
      </c>
    </row>
    <row r="421" spans="2:11" hidden="1" x14ac:dyDescent="0.2">
      <c r="B421" s="4">
        <v>31072</v>
      </c>
      <c r="C421" s="4">
        <v>0</v>
      </c>
      <c r="D421">
        <v>0</v>
      </c>
      <c r="E421" t="str">
        <f>VLOOKUP(B421,Nuclides!A:F,5,FALSE)</f>
        <v>Ga72</v>
      </c>
      <c r="F421">
        <f>VLOOKUP(B421,Nuclides!A:F,4,FALSE)</f>
        <v>50760</v>
      </c>
      <c r="G421" s="4" t="str">
        <f t="shared" si="39"/>
        <v>14.1h</v>
      </c>
      <c r="H421" s="4">
        <f t="shared" si="40"/>
        <v>1.3655381807721538E-5</v>
      </c>
      <c r="I421" s="4">
        <f t="shared" si="41"/>
        <v>0</v>
      </c>
      <c r="J421" s="4">
        <f t="shared" si="42"/>
        <v>0</v>
      </c>
      <c r="K421" s="4" t="str">
        <f t="shared" si="43"/>
        <v>Ga72</v>
      </c>
    </row>
    <row r="422" spans="2:11" hidden="1" x14ac:dyDescent="0.2">
      <c r="B422" s="4">
        <v>31073</v>
      </c>
      <c r="C422" s="4">
        <v>0</v>
      </c>
      <c r="D422">
        <v>0</v>
      </c>
      <c r="E422" t="str">
        <f>VLOOKUP(B422,Nuclides!A:F,5,FALSE)</f>
        <v>Ga73</v>
      </c>
      <c r="F422">
        <f>VLOOKUP(B422,Nuclides!A:F,4,FALSE)</f>
        <v>17496</v>
      </c>
      <c r="G422" s="4" t="str">
        <f t="shared" si="39"/>
        <v>4.86h</v>
      </c>
      <c r="H422" s="4">
        <f t="shared" si="40"/>
        <v>3.9617465738451376E-5</v>
      </c>
      <c r="I422" s="4">
        <f t="shared" si="41"/>
        <v>0</v>
      </c>
      <c r="J422" s="4">
        <f t="shared" si="42"/>
        <v>0</v>
      </c>
      <c r="K422" s="4" t="str">
        <f t="shared" si="43"/>
        <v>Ga73</v>
      </c>
    </row>
    <row r="423" spans="2:11" hidden="1" x14ac:dyDescent="0.2">
      <c r="B423" s="4">
        <v>31074</v>
      </c>
      <c r="C423" s="4">
        <v>0</v>
      </c>
      <c r="D423">
        <v>0</v>
      </c>
      <c r="E423" t="str">
        <f>VLOOKUP(B423,Nuclides!A:F,5,FALSE)</f>
        <v>Ga74</v>
      </c>
      <c r="F423">
        <f>VLOOKUP(B423,Nuclides!A:F,4,FALSE)</f>
        <v>487.19999999999902</v>
      </c>
      <c r="G423" s="4" t="str">
        <f t="shared" si="39"/>
        <v>8.12min</v>
      </c>
      <c r="H423" s="4">
        <f t="shared" si="40"/>
        <v>1.4227158878488233E-3</v>
      </c>
      <c r="I423" s="4">
        <f t="shared" si="41"/>
        <v>0</v>
      </c>
      <c r="J423" s="4">
        <f t="shared" si="42"/>
        <v>0</v>
      </c>
      <c r="K423" s="4" t="str">
        <f t="shared" si="43"/>
        <v>Ga74</v>
      </c>
    </row>
    <row r="424" spans="2:11" hidden="1" x14ac:dyDescent="0.2">
      <c r="B424" s="4">
        <v>31075</v>
      </c>
      <c r="C424" s="4">
        <v>0</v>
      </c>
      <c r="D424">
        <v>0</v>
      </c>
      <c r="E424" t="str">
        <f>VLOOKUP(B424,Nuclides!A:F,5,FALSE)</f>
        <v>Ga75</v>
      </c>
      <c r="F424">
        <f>VLOOKUP(B424,Nuclides!A:F,4,FALSE)</f>
        <v>126</v>
      </c>
      <c r="G424" s="4" t="str">
        <f t="shared" si="39"/>
        <v>2.1min</v>
      </c>
      <c r="H424" s="4">
        <f t="shared" si="40"/>
        <v>5.5011680996821053E-3</v>
      </c>
      <c r="I424" s="4">
        <f t="shared" si="41"/>
        <v>0</v>
      </c>
      <c r="J424" s="4">
        <f t="shared" si="42"/>
        <v>0</v>
      </c>
      <c r="K424" s="4" t="str">
        <f t="shared" si="43"/>
        <v>Ga75</v>
      </c>
    </row>
    <row r="425" spans="2:11" hidden="1" x14ac:dyDescent="0.2">
      <c r="B425" s="4">
        <v>31076</v>
      </c>
      <c r="C425" s="4">
        <v>0</v>
      </c>
      <c r="D425">
        <v>0</v>
      </c>
      <c r="E425" t="str">
        <f>VLOOKUP(B425,Nuclides!A:F,5,FALSE)</f>
        <v>Ga76</v>
      </c>
      <c r="F425">
        <f>VLOOKUP(B425,Nuclides!A:F,4,FALSE)</f>
        <v>32.6</v>
      </c>
      <c r="G425" s="4" t="str">
        <f t="shared" si="39"/>
        <v>32.6s</v>
      </c>
      <c r="H425" s="4">
        <f t="shared" si="40"/>
        <v>2.1262183452759056E-2</v>
      </c>
      <c r="I425" s="4">
        <f t="shared" si="41"/>
        <v>0</v>
      </c>
      <c r="J425" s="4">
        <f t="shared" si="42"/>
        <v>0</v>
      </c>
      <c r="K425" s="4" t="str">
        <f t="shared" si="43"/>
        <v>Ga76</v>
      </c>
    </row>
    <row r="426" spans="2:11" hidden="1" x14ac:dyDescent="0.2">
      <c r="B426" s="4">
        <v>31077</v>
      </c>
      <c r="C426" s="4">
        <v>0</v>
      </c>
      <c r="D426">
        <v>0</v>
      </c>
      <c r="E426" t="str">
        <f>VLOOKUP(B426,Nuclides!A:F,5,FALSE)</f>
        <v>Ga77</v>
      </c>
      <c r="F426">
        <f>VLOOKUP(B426,Nuclides!A:F,4,FALSE)</f>
        <v>13.2</v>
      </c>
      <c r="G426" s="4" t="str">
        <f t="shared" si="39"/>
        <v>13.2s</v>
      </c>
      <c r="H426" s="4">
        <f t="shared" si="40"/>
        <v>5.2511150042420102E-2</v>
      </c>
      <c r="I426" s="4">
        <f t="shared" si="41"/>
        <v>0</v>
      </c>
      <c r="J426" s="4">
        <f t="shared" si="42"/>
        <v>0</v>
      </c>
      <c r="K426" s="4" t="str">
        <f t="shared" si="43"/>
        <v>Ga77</v>
      </c>
    </row>
    <row r="427" spans="2:11" hidden="1" x14ac:dyDescent="0.2">
      <c r="B427" s="4">
        <v>31078</v>
      </c>
      <c r="C427" s="4">
        <v>0</v>
      </c>
      <c r="D427">
        <v>0</v>
      </c>
      <c r="E427" t="str">
        <f>VLOOKUP(B427,Nuclides!A:F,5,FALSE)</f>
        <v>Ga78</v>
      </c>
      <c r="F427">
        <f>VLOOKUP(B427,Nuclides!A:F,4,FALSE)</f>
        <v>5.09</v>
      </c>
      <c r="G427" s="4" t="str">
        <f t="shared" si="39"/>
        <v>5.09s</v>
      </c>
      <c r="H427" s="4">
        <f t="shared" si="40"/>
        <v>0.13617822800784779</v>
      </c>
      <c r="I427" s="4">
        <f t="shared" si="41"/>
        <v>0</v>
      </c>
      <c r="J427" s="4">
        <f t="shared" si="42"/>
        <v>0</v>
      </c>
      <c r="K427" s="4" t="str">
        <f t="shared" si="43"/>
        <v>Ga78</v>
      </c>
    </row>
    <row r="428" spans="2:11" hidden="1" x14ac:dyDescent="0.2">
      <c r="B428" s="4">
        <v>31079</v>
      </c>
      <c r="C428" s="4">
        <v>0</v>
      </c>
      <c r="D428">
        <v>0</v>
      </c>
      <c r="E428" t="str">
        <f>VLOOKUP(B428,Nuclides!A:F,5,FALSE)</f>
        <v>Ga79</v>
      </c>
      <c r="F428">
        <f>VLOOKUP(B428,Nuclides!A:F,4,FALSE)</f>
        <v>2.847</v>
      </c>
      <c r="G428" s="4" t="str">
        <f t="shared" si="39"/>
        <v>2.847s</v>
      </c>
      <c r="H428" s="4">
        <f t="shared" si="40"/>
        <v>0.24346581684578339</v>
      </c>
      <c r="I428" s="4">
        <f t="shared" si="41"/>
        <v>0</v>
      </c>
      <c r="J428" s="4">
        <f t="shared" si="42"/>
        <v>0</v>
      </c>
      <c r="K428" s="4" t="str">
        <f t="shared" si="43"/>
        <v>Ga79</v>
      </c>
    </row>
    <row r="429" spans="2:11" hidden="1" x14ac:dyDescent="0.2">
      <c r="B429" s="4">
        <v>31080</v>
      </c>
      <c r="C429" s="4">
        <v>0</v>
      </c>
      <c r="D429">
        <v>0</v>
      </c>
      <c r="E429" t="str">
        <f>VLOOKUP(B429,Nuclides!A:F,5,FALSE)</f>
        <v>Ga80</v>
      </c>
      <c r="F429">
        <f>VLOOKUP(B429,Nuclides!A:F,4,FALSE)</f>
        <v>1.9</v>
      </c>
      <c r="G429" s="4" t="str">
        <f t="shared" si="39"/>
        <v>1.9s</v>
      </c>
      <c r="H429" s="4">
        <f t="shared" si="40"/>
        <v>0.36481430555786598</v>
      </c>
      <c r="I429" s="4">
        <f t="shared" si="41"/>
        <v>0</v>
      </c>
      <c r="J429" s="4">
        <f t="shared" si="42"/>
        <v>0</v>
      </c>
      <c r="K429" s="4" t="str">
        <f t="shared" si="43"/>
        <v>Ga80</v>
      </c>
    </row>
    <row r="430" spans="2:11" hidden="1" x14ac:dyDescent="0.2">
      <c r="B430" s="4">
        <v>31081</v>
      </c>
      <c r="C430" s="4">
        <v>0</v>
      </c>
      <c r="D430">
        <v>0</v>
      </c>
      <c r="E430" t="str">
        <f>VLOOKUP(B430,Nuclides!A:F,5,FALSE)</f>
        <v>Ga81</v>
      </c>
      <c r="F430">
        <f>VLOOKUP(B430,Nuclides!A:F,4,FALSE)</f>
        <v>1.2170000000000001</v>
      </c>
      <c r="G430" s="4" t="str">
        <f t="shared" si="39"/>
        <v>1.217s</v>
      </c>
      <c r="H430" s="4">
        <f t="shared" si="40"/>
        <v>0.56955396923578083</v>
      </c>
      <c r="I430" s="4">
        <f t="shared" si="41"/>
        <v>0</v>
      </c>
      <c r="J430" s="4">
        <f t="shared" si="42"/>
        <v>0</v>
      </c>
      <c r="K430" s="4" t="str">
        <f t="shared" si="43"/>
        <v>Ga81</v>
      </c>
    </row>
    <row r="431" spans="2:11" hidden="1" x14ac:dyDescent="0.2">
      <c r="B431" s="4">
        <v>31082</v>
      </c>
      <c r="C431" s="4">
        <v>0</v>
      </c>
      <c r="D431">
        <v>0</v>
      </c>
      <c r="E431" t="str">
        <f>VLOOKUP(B431,Nuclides!A:F,5,FALSE)</f>
        <v>Ga82</v>
      </c>
      <c r="F431">
        <f>VLOOKUP(B431,Nuclides!A:F,4,FALSE)</f>
        <v>0.59899999999999998</v>
      </c>
      <c r="G431" s="4" t="str">
        <f t="shared" si="39"/>
        <v>0.599s</v>
      </c>
      <c r="H431" s="4">
        <f t="shared" si="40"/>
        <v>1.1571739241401424</v>
      </c>
      <c r="I431" s="4">
        <f t="shared" si="41"/>
        <v>0</v>
      </c>
      <c r="J431" s="4">
        <f t="shared" si="42"/>
        <v>0</v>
      </c>
      <c r="K431" s="4" t="str">
        <f t="shared" si="43"/>
        <v>Ga82</v>
      </c>
    </row>
    <row r="432" spans="2:11" hidden="1" x14ac:dyDescent="0.2">
      <c r="B432" s="4">
        <v>31083</v>
      </c>
      <c r="C432" s="4">
        <v>0</v>
      </c>
      <c r="D432">
        <v>0</v>
      </c>
      <c r="E432" t="str">
        <f>VLOOKUP(B432,Nuclides!A:F,5,FALSE)</f>
        <v>Ga83</v>
      </c>
      <c r="F432">
        <f>VLOOKUP(B432,Nuclides!A:F,4,FALSE)</f>
        <v>0.30809999999999998</v>
      </c>
      <c r="G432" s="4" t="str">
        <f t="shared" si="39"/>
        <v>0.3081s</v>
      </c>
      <c r="H432" s="4">
        <f t="shared" si="40"/>
        <v>2.2497474214863531</v>
      </c>
      <c r="I432" s="4">
        <f t="shared" si="41"/>
        <v>0</v>
      </c>
      <c r="J432" s="4">
        <f t="shared" si="42"/>
        <v>0</v>
      </c>
      <c r="K432" s="4" t="str">
        <f t="shared" si="43"/>
        <v>Ga83</v>
      </c>
    </row>
    <row r="433" spans="2:11" hidden="1" x14ac:dyDescent="0.2">
      <c r="B433" s="4">
        <v>32061</v>
      </c>
      <c r="C433" s="4">
        <v>0</v>
      </c>
      <c r="D433">
        <v>0</v>
      </c>
      <c r="E433" t="str">
        <f>VLOOKUP(B433,Nuclides!A:F,5,FALSE)</f>
        <v>Ge61</v>
      </c>
      <c r="F433">
        <f>VLOOKUP(B433,Nuclides!A:F,4,FALSE)</f>
        <v>4.3999999999999997E-2</v>
      </c>
      <c r="G433" s="4" t="str">
        <f t="shared" si="39"/>
        <v>0.044s</v>
      </c>
      <c r="H433" s="4">
        <f t="shared" si="40"/>
        <v>15.753345012726029</v>
      </c>
      <c r="I433" s="4">
        <f t="shared" si="41"/>
        <v>0</v>
      </c>
      <c r="J433" s="4">
        <f t="shared" si="42"/>
        <v>0</v>
      </c>
      <c r="K433" s="4" t="str">
        <f t="shared" si="43"/>
        <v>Ge61</v>
      </c>
    </row>
    <row r="434" spans="2:11" hidden="1" x14ac:dyDescent="0.2">
      <c r="B434" s="4">
        <v>32062</v>
      </c>
      <c r="C434" s="4">
        <v>0</v>
      </c>
      <c r="D434">
        <v>0</v>
      </c>
      <c r="E434" t="str">
        <f>VLOOKUP(B434,Nuclides!A:F,5,FALSE)</f>
        <v>Ge62</v>
      </c>
      <c r="F434">
        <f>VLOOKUP(B434,Nuclides!A:F,4,FALSE)</f>
        <v>0.129</v>
      </c>
      <c r="G434" s="4" t="str">
        <f t="shared" si="39"/>
        <v>0.129s</v>
      </c>
      <c r="H434" s="4">
        <f t="shared" si="40"/>
        <v>5.3732339578290329</v>
      </c>
      <c r="I434" s="4">
        <f t="shared" si="41"/>
        <v>0</v>
      </c>
      <c r="J434" s="4">
        <f t="shared" si="42"/>
        <v>0</v>
      </c>
      <c r="K434" s="4" t="str">
        <f t="shared" si="43"/>
        <v>Ge62</v>
      </c>
    </row>
    <row r="435" spans="2:11" hidden="1" x14ac:dyDescent="0.2">
      <c r="B435" s="4">
        <v>32063</v>
      </c>
      <c r="C435" s="4">
        <v>0</v>
      </c>
      <c r="D435">
        <v>0</v>
      </c>
      <c r="E435" t="str">
        <f>VLOOKUP(B435,Nuclides!A:F,5,FALSE)</f>
        <v>Ge63</v>
      </c>
      <c r="F435">
        <f>VLOOKUP(B435,Nuclides!A:F,4,FALSE)</f>
        <v>0.15</v>
      </c>
      <c r="G435" s="4" t="str">
        <f t="shared" si="39"/>
        <v>0.15s</v>
      </c>
      <c r="H435" s="4">
        <f t="shared" si="40"/>
        <v>4.6209812037329687</v>
      </c>
      <c r="I435" s="4">
        <f t="shared" si="41"/>
        <v>0</v>
      </c>
      <c r="J435" s="4">
        <f t="shared" si="42"/>
        <v>0</v>
      </c>
      <c r="K435" s="4" t="str">
        <f t="shared" si="43"/>
        <v>Ge63</v>
      </c>
    </row>
    <row r="436" spans="2:11" hidden="1" x14ac:dyDescent="0.2">
      <c r="B436" s="4">
        <v>32064</v>
      </c>
      <c r="C436" s="4">
        <v>0</v>
      </c>
      <c r="D436">
        <v>0</v>
      </c>
      <c r="E436" t="str">
        <f>VLOOKUP(B436,Nuclides!A:F,5,FALSE)</f>
        <v>Ge64</v>
      </c>
      <c r="F436">
        <f>VLOOKUP(B436,Nuclides!A:F,4,FALSE)</f>
        <v>63.7</v>
      </c>
      <c r="G436" s="4" t="str">
        <f t="shared" si="39"/>
        <v>1.06min</v>
      </c>
      <c r="H436" s="4">
        <f t="shared" si="40"/>
        <v>1.0881431405964604E-2</v>
      </c>
      <c r="I436" s="4">
        <f t="shared" si="41"/>
        <v>0</v>
      </c>
      <c r="J436" s="4">
        <f t="shared" si="42"/>
        <v>0</v>
      </c>
      <c r="K436" s="4" t="str">
        <f t="shared" si="43"/>
        <v>Ge64</v>
      </c>
    </row>
    <row r="437" spans="2:11" hidden="1" x14ac:dyDescent="0.2">
      <c r="B437" s="4">
        <v>32065</v>
      </c>
      <c r="C437" s="4">
        <v>0</v>
      </c>
      <c r="D437">
        <v>0</v>
      </c>
      <c r="E437" t="str">
        <f>VLOOKUP(B437,Nuclides!A:F,5,FALSE)</f>
        <v>Ge65</v>
      </c>
      <c r="F437">
        <f>VLOOKUP(B437,Nuclides!A:F,4,FALSE)</f>
        <v>30.9</v>
      </c>
      <c r="G437" s="4" t="str">
        <f t="shared" si="39"/>
        <v>30.9s</v>
      </c>
      <c r="H437" s="4">
        <f t="shared" si="40"/>
        <v>2.2431947590936741E-2</v>
      </c>
      <c r="I437" s="4">
        <f t="shared" si="41"/>
        <v>0</v>
      </c>
      <c r="J437" s="4">
        <f t="shared" si="42"/>
        <v>0</v>
      </c>
      <c r="K437" s="4" t="str">
        <f t="shared" si="43"/>
        <v>Ge65</v>
      </c>
    </row>
    <row r="438" spans="2:11" hidden="1" x14ac:dyDescent="0.2">
      <c r="B438" s="4">
        <v>32066</v>
      </c>
      <c r="C438" s="4">
        <v>0</v>
      </c>
      <c r="D438">
        <v>0</v>
      </c>
      <c r="E438" t="str">
        <f>VLOOKUP(B438,Nuclides!A:F,5,FALSE)</f>
        <v>Ge66</v>
      </c>
      <c r="F438">
        <f>VLOOKUP(B438,Nuclides!A:F,4,FALSE)</f>
        <v>8135.99999999999</v>
      </c>
      <c r="G438" s="4" t="str">
        <f t="shared" si="39"/>
        <v>2.26h</v>
      </c>
      <c r="H438" s="4">
        <f t="shared" si="40"/>
        <v>8.519508118976723E-5</v>
      </c>
      <c r="I438" s="4">
        <f t="shared" si="41"/>
        <v>0</v>
      </c>
      <c r="J438" s="4">
        <f t="shared" si="42"/>
        <v>0</v>
      </c>
      <c r="K438" s="4" t="str">
        <f t="shared" si="43"/>
        <v>Ge66</v>
      </c>
    </row>
    <row r="439" spans="2:11" hidden="1" x14ac:dyDescent="0.2">
      <c r="B439" s="4">
        <v>32067</v>
      </c>
      <c r="C439" s="4">
        <v>0</v>
      </c>
      <c r="D439">
        <v>0</v>
      </c>
      <c r="E439" t="str">
        <f>VLOOKUP(B439,Nuclides!A:F,5,FALSE)</f>
        <v>Ge67</v>
      </c>
      <c r="F439">
        <f>VLOOKUP(B439,Nuclides!A:F,4,FALSE)</f>
        <v>1134</v>
      </c>
      <c r="G439" s="4" t="str">
        <f t="shared" si="39"/>
        <v>18.9min</v>
      </c>
      <c r="H439" s="4">
        <f t="shared" si="40"/>
        <v>6.1124089996467839E-4</v>
      </c>
      <c r="I439" s="4">
        <f t="shared" si="41"/>
        <v>0</v>
      </c>
      <c r="J439" s="4">
        <f t="shared" si="42"/>
        <v>0</v>
      </c>
      <c r="K439" s="4" t="str">
        <f t="shared" si="43"/>
        <v>Ge67</v>
      </c>
    </row>
    <row r="440" spans="2:11" hidden="1" x14ac:dyDescent="0.2">
      <c r="B440" s="4">
        <v>32068</v>
      </c>
      <c r="C440" s="4">
        <v>0</v>
      </c>
      <c r="D440">
        <v>0</v>
      </c>
      <c r="E440" t="str">
        <f>VLOOKUP(B440,Nuclides!A:F,5,FALSE)</f>
        <v>Ge68</v>
      </c>
      <c r="F440">
        <f>VLOOKUP(B440,Nuclides!A:F,4,FALSE)</f>
        <v>23408352</v>
      </c>
      <c r="G440" s="4" t="str">
        <f t="shared" si="39"/>
        <v>270.93d</v>
      </c>
      <c r="H440" s="4">
        <f t="shared" si="40"/>
        <v>2.9611105496018911E-8</v>
      </c>
      <c r="I440" s="4">
        <f t="shared" si="41"/>
        <v>0</v>
      </c>
      <c r="J440" s="4">
        <f t="shared" si="42"/>
        <v>0</v>
      </c>
      <c r="K440" s="4" t="str">
        <f t="shared" si="43"/>
        <v>Ge68</v>
      </c>
    </row>
    <row r="441" spans="2:11" hidden="1" x14ac:dyDescent="0.2">
      <c r="B441" s="4">
        <v>32069</v>
      </c>
      <c r="C441" s="4">
        <v>0</v>
      </c>
      <c r="D441">
        <v>0</v>
      </c>
      <c r="E441" t="str">
        <f>VLOOKUP(B441,Nuclides!A:F,5,FALSE)</f>
        <v>Ge69</v>
      </c>
      <c r="F441">
        <f>VLOOKUP(B441,Nuclides!A:F,4,FALSE)</f>
        <v>140580</v>
      </c>
      <c r="G441" s="4" t="str">
        <f t="shared" si="39"/>
        <v>1.63d</v>
      </c>
      <c r="H441" s="4">
        <f t="shared" si="40"/>
        <v>4.930624417128648E-6</v>
      </c>
      <c r="I441" s="4">
        <f t="shared" si="41"/>
        <v>0</v>
      </c>
      <c r="J441" s="4">
        <f t="shared" si="42"/>
        <v>0</v>
      </c>
      <c r="K441" s="4" t="str">
        <f t="shared" si="43"/>
        <v>Ge69</v>
      </c>
    </row>
    <row r="442" spans="2:11" hidden="1" x14ac:dyDescent="0.2">
      <c r="B442" s="4">
        <v>32070</v>
      </c>
      <c r="C442" s="4">
        <v>0</v>
      </c>
      <c r="D442">
        <v>0</v>
      </c>
      <c r="E442" t="str">
        <f>VLOOKUP(B442,Nuclides!A:F,5,FALSE)</f>
        <v>Ge70</v>
      </c>
      <c r="F442" t="str">
        <f>VLOOKUP(B442,Nuclides!A:F,4,FALSE)</f>
        <v>STABLE</v>
      </c>
      <c r="G442" s="4" t="str">
        <f t="shared" si="39"/>
        <v>STABLE</v>
      </c>
      <c r="H442" s="4" t="e">
        <f t="shared" si="40"/>
        <v>#VALUE!</v>
      </c>
      <c r="I442" s="4" t="e">
        <f t="shared" si="41"/>
        <v>#VALUE!</v>
      </c>
      <c r="J442" s="4" t="e">
        <f t="shared" si="42"/>
        <v>#VALUE!</v>
      </c>
      <c r="K442" s="4" t="str">
        <f t="shared" si="43"/>
        <v>Ge70</v>
      </c>
    </row>
    <row r="443" spans="2:11" hidden="1" x14ac:dyDescent="0.2">
      <c r="B443" s="4">
        <v>32071</v>
      </c>
      <c r="C443" s="4">
        <v>0</v>
      </c>
      <c r="D443">
        <v>0</v>
      </c>
      <c r="E443" t="str">
        <f>VLOOKUP(B443,Nuclides!A:F,5,FALSE)</f>
        <v>Ge71</v>
      </c>
      <c r="F443">
        <f>VLOOKUP(B443,Nuclides!A:F,4,FALSE)</f>
        <v>987552</v>
      </c>
      <c r="G443" s="4" t="str">
        <f t="shared" si="39"/>
        <v>11.43d</v>
      </c>
      <c r="H443" s="4">
        <f t="shared" si="40"/>
        <v>7.0188423552374482E-7</v>
      </c>
      <c r="I443" s="4">
        <f t="shared" si="41"/>
        <v>0</v>
      </c>
      <c r="J443" s="4">
        <f t="shared" si="42"/>
        <v>0</v>
      </c>
      <c r="K443" s="4" t="str">
        <f t="shared" si="43"/>
        <v>Ge71</v>
      </c>
    </row>
    <row r="444" spans="2:11" hidden="1" x14ac:dyDescent="0.2">
      <c r="B444" s="4">
        <v>32072</v>
      </c>
      <c r="C444" s="4">
        <v>0</v>
      </c>
      <c r="D444">
        <v>0</v>
      </c>
      <c r="E444" t="str">
        <f>VLOOKUP(B444,Nuclides!A:F,5,FALSE)</f>
        <v>Ge72</v>
      </c>
      <c r="F444" t="str">
        <f>VLOOKUP(B444,Nuclides!A:F,4,FALSE)</f>
        <v>STABLE</v>
      </c>
      <c r="G444" s="4" t="str">
        <f t="shared" si="39"/>
        <v>STABLE</v>
      </c>
      <c r="H444" s="4" t="e">
        <f t="shared" si="40"/>
        <v>#VALUE!</v>
      </c>
      <c r="I444" s="4" t="e">
        <f t="shared" si="41"/>
        <v>#VALUE!</v>
      </c>
      <c r="J444" s="4" t="e">
        <f t="shared" si="42"/>
        <v>#VALUE!</v>
      </c>
      <c r="K444" s="4" t="str">
        <f t="shared" si="43"/>
        <v>Ge72</v>
      </c>
    </row>
    <row r="445" spans="2:11" hidden="1" x14ac:dyDescent="0.2">
      <c r="B445" s="4">
        <v>32073</v>
      </c>
      <c r="C445" s="4">
        <v>0</v>
      </c>
      <c r="D445">
        <v>0</v>
      </c>
      <c r="E445" t="str">
        <f>VLOOKUP(B445,Nuclides!A:F,5,FALSE)</f>
        <v>Ge73</v>
      </c>
      <c r="F445" t="str">
        <f>VLOOKUP(B445,Nuclides!A:F,4,FALSE)</f>
        <v>STABLE</v>
      </c>
      <c r="G445" s="4" t="str">
        <f t="shared" si="39"/>
        <v>STABLE</v>
      </c>
      <c r="H445" s="4" t="e">
        <f t="shared" si="40"/>
        <v>#VALUE!</v>
      </c>
      <c r="I445" s="4" t="e">
        <f t="shared" si="41"/>
        <v>#VALUE!</v>
      </c>
      <c r="J445" s="4" t="e">
        <f t="shared" si="42"/>
        <v>#VALUE!</v>
      </c>
      <c r="K445" s="4" t="str">
        <f t="shared" si="43"/>
        <v>Ge73</v>
      </c>
    </row>
    <row r="446" spans="2:11" hidden="1" x14ac:dyDescent="0.2">
      <c r="B446" s="4">
        <v>32074</v>
      </c>
      <c r="C446" s="4">
        <v>0</v>
      </c>
      <c r="D446">
        <v>0</v>
      </c>
      <c r="E446" t="str">
        <f>VLOOKUP(B446,Nuclides!A:F,5,FALSE)</f>
        <v>Ge74</v>
      </c>
      <c r="F446" t="str">
        <f>VLOOKUP(B446,Nuclides!A:F,4,FALSE)</f>
        <v>STABLE</v>
      </c>
      <c r="G446" s="4" t="str">
        <f t="shared" si="39"/>
        <v>STABLE</v>
      </c>
      <c r="H446" s="4" t="e">
        <f t="shared" si="40"/>
        <v>#VALUE!</v>
      </c>
      <c r="I446" s="4" t="e">
        <f t="shared" si="41"/>
        <v>#VALUE!</v>
      </c>
      <c r="J446" s="4" t="e">
        <f t="shared" si="42"/>
        <v>#VALUE!</v>
      </c>
      <c r="K446" s="4" t="str">
        <f t="shared" si="43"/>
        <v>Ge74</v>
      </c>
    </row>
    <row r="447" spans="2:11" hidden="1" x14ac:dyDescent="0.2">
      <c r="B447" s="4">
        <v>32075</v>
      </c>
      <c r="C447" s="4">
        <v>0</v>
      </c>
      <c r="D447">
        <v>0</v>
      </c>
      <c r="E447" t="str">
        <f>VLOOKUP(B447,Nuclides!A:F,5,FALSE)</f>
        <v>Ge75</v>
      </c>
      <c r="F447">
        <f>VLOOKUP(B447,Nuclides!A:F,4,FALSE)</f>
        <v>4966.8</v>
      </c>
      <c r="G447" s="4" t="str">
        <f t="shared" si="39"/>
        <v>1.38h</v>
      </c>
      <c r="H447" s="4">
        <f t="shared" si="40"/>
        <v>1.3955608853989394E-4</v>
      </c>
      <c r="I447" s="4">
        <f t="shared" si="41"/>
        <v>0</v>
      </c>
      <c r="J447" s="4">
        <f t="shared" si="42"/>
        <v>0</v>
      </c>
      <c r="K447" s="4" t="str">
        <f t="shared" si="43"/>
        <v>Ge75</v>
      </c>
    </row>
    <row r="448" spans="2:11" hidden="1" x14ac:dyDescent="0.2">
      <c r="B448" s="4">
        <v>32076</v>
      </c>
      <c r="C448" s="4">
        <v>0</v>
      </c>
      <c r="D448">
        <v>0</v>
      </c>
      <c r="E448" t="str">
        <f>VLOOKUP(B448,Nuclides!A:F,5,FALSE)</f>
        <v>Ge76</v>
      </c>
      <c r="F448" t="str">
        <f>VLOOKUP(B448,Nuclides!A:F,4,FALSE)</f>
        <v>STABLE</v>
      </c>
      <c r="G448" s="4" t="str">
        <f t="shared" si="39"/>
        <v>STABLE</v>
      </c>
      <c r="H448" s="4" t="e">
        <f t="shared" si="40"/>
        <v>#VALUE!</v>
      </c>
      <c r="I448" s="4" t="e">
        <f t="shared" si="41"/>
        <v>#VALUE!</v>
      </c>
      <c r="J448" s="4" t="e">
        <f t="shared" si="42"/>
        <v>#VALUE!</v>
      </c>
      <c r="K448" s="4" t="str">
        <f t="shared" si="43"/>
        <v>Ge76</v>
      </c>
    </row>
    <row r="449" spans="2:11" hidden="1" x14ac:dyDescent="0.2">
      <c r="B449" s="4">
        <v>32077</v>
      </c>
      <c r="C449" s="4">
        <v>0</v>
      </c>
      <c r="D449">
        <v>0</v>
      </c>
      <c r="E449" t="str">
        <f>VLOOKUP(B449,Nuclides!A:F,5,FALSE)</f>
        <v>Ge77</v>
      </c>
      <c r="F449">
        <f>VLOOKUP(B449,Nuclides!A:F,4,FALSE)</f>
        <v>40680</v>
      </c>
      <c r="G449" s="4" t="str">
        <f t="shared" si="39"/>
        <v>11.3h</v>
      </c>
      <c r="H449" s="4">
        <f t="shared" si="40"/>
        <v>1.7039016237953423E-5</v>
      </c>
      <c r="I449" s="4">
        <f t="shared" si="41"/>
        <v>0</v>
      </c>
      <c r="J449" s="4">
        <f t="shared" si="42"/>
        <v>0</v>
      </c>
      <c r="K449" s="4" t="str">
        <f t="shared" si="43"/>
        <v>Ge77</v>
      </c>
    </row>
    <row r="450" spans="2:11" hidden="1" x14ac:dyDescent="0.2">
      <c r="B450" s="4">
        <v>32078</v>
      </c>
      <c r="C450" s="4">
        <v>0</v>
      </c>
      <c r="D450">
        <v>0</v>
      </c>
      <c r="E450" t="str">
        <f>VLOOKUP(B450,Nuclides!A:F,5,FALSE)</f>
        <v>Ge78</v>
      </c>
      <c r="F450">
        <f>VLOOKUP(B450,Nuclides!A:F,4,FALSE)</f>
        <v>5280</v>
      </c>
      <c r="G450" s="4" t="str">
        <f t="shared" si="39"/>
        <v>1.47h</v>
      </c>
      <c r="H450" s="4">
        <f t="shared" si="40"/>
        <v>1.3127787510605024E-4</v>
      </c>
      <c r="I450" s="4">
        <f t="shared" si="41"/>
        <v>0</v>
      </c>
      <c r="J450" s="4">
        <f t="shared" si="42"/>
        <v>0</v>
      </c>
      <c r="K450" s="4" t="str">
        <f t="shared" si="43"/>
        <v>Ge78</v>
      </c>
    </row>
    <row r="451" spans="2:11" hidden="1" x14ac:dyDescent="0.2">
      <c r="B451" s="4">
        <v>32079</v>
      </c>
      <c r="C451" s="4">
        <v>0</v>
      </c>
      <c r="D451">
        <v>0</v>
      </c>
      <c r="E451" t="str">
        <f>VLOOKUP(B451,Nuclides!A:F,5,FALSE)</f>
        <v>Ge79</v>
      </c>
      <c r="F451">
        <f>VLOOKUP(B451,Nuclides!A:F,4,FALSE)</f>
        <v>18.98</v>
      </c>
      <c r="G451" s="4" t="str">
        <f t="shared" si="39"/>
        <v>18.98s</v>
      </c>
      <c r="H451" s="4">
        <f t="shared" si="40"/>
        <v>3.651987252686751E-2</v>
      </c>
      <c r="I451" s="4">
        <f t="shared" si="41"/>
        <v>0</v>
      </c>
      <c r="J451" s="4">
        <f t="shared" si="42"/>
        <v>0</v>
      </c>
      <c r="K451" s="4" t="str">
        <f t="shared" si="43"/>
        <v>Ge79</v>
      </c>
    </row>
    <row r="452" spans="2:11" hidden="1" x14ac:dyDescent="0.2">
      <c r="B452" s="4">
        <v>32080</v>
      </c>
      <c r="C452" s="4">
        <v>0</v>
      </c>
      <c r="D452">
        <v>0</v>
      </c>
      <c r="E452" t="str">
        <f>VLOOKUP(B452,Nuclides!A:F,5,FALSE)</f>
        <v>Ge80</v>
      </c>
      <c r="F452">
        <f>VLOOKUP(B452,Nuclides!A:F,4,FALSE)</f>
        <v>29.5</v>
      </c>
      <c r="G452" s="4" t="str">
        <f t="shared" si="39"/>
        <v>29.5s</v>
      </c>
      <c r="H452" s="4">
        <f t="shared" si="40"/>
        <v>2.3496514595252382E-2</v>
      </c>
      <c r="I452" s="4">
        <f t="shared" si="41"/>
        <v>0</v>
      </c>
      <c r="J452" s="4">
        <f t="shared" si="42"/>
        <v>0</v>
      </c>
      <c r="K452" s="4" t="str">
        <f t="shared" si="43"/>
        <v>Ge80</v>
      </c>
    </row>
    <row r="453" spans="2:11" hidden="1" x14ac:dyDescent="0.2">
      <c r="B453" s="4">
        <v>32081</v>
      </c>
      <c r="C453" s="4">
        <v>0</v>
      </c>
      <c r="D453">
        <v>0</v>
      </c>
      <c r="E453" t="str">
        <f>VLOOKUP(B453,Nuclides!A:F,5,FALSE)</f>
        <v>Ge81</v>
      </c>
      <c r="F453">
        <f>VLOOKUP(B453,Nuclides!A:F,4,FALSE)</f>
        <v>7.6</v>
      </c>
      <c r="G453" s="4" t="str">
        <f t="shared" ref="G453:G516" si="44">IF(F453="STABLE", "STABLE", IF(F453&lt;60, F453&amp;"s", IF(F453&lt;3600, ROUND(F453/60,2)&amp;"min", IF(F453&lt;86400, ROUND(F453/3600,2)&amp;"h", IF(F453&lt;31536000, ROUND(F453/86400,2)&amp;"d", ROUND(F453/31536000,2)&amp;"y")))))</f>
        <v>7.6s</v>
      </c>
      <c r="H453" s="4">
        <f t="shared" ref="H453:H516" si="45">LN(2)/F453</f>
        <v>9.1203576389466495E-2</v>
      </c>
      <c r="I453" s="4">
        <f t="shared" ref="I453:I516" si="46">60*6240000000000*C453*(1-EXP(-H453*2*3600))</f>
        <v>0</v>
      </c>
      <c r="J453" s="4">
        <f t="shared" ref="J453:J516" si="47">I453*EXP(-H453*48*3600)</f>
        <v>0</v>
      </c>
      <c r="K453" s="4" t="str">
        <f t="shared" ref="K453:K516" si="48">E453</f>
        <v>Ge81</v>
      </c>
    </row>
    <row r="454" spans="2:11" hidden="1" x14ac:dyDescent="0.2">
      <c r="B454" s="4">
        <v>32082</v>
      </c>
      <c r="C454" s="4">
        <v>0</v>
      </c>
      <c r="D454">
        <v>0</v>
      </c>
      <c r="E454" t="str">
        <f>VLOOKUP(B454,Nuclides!A:F,5,FALSE)</f>
        <v>Ge82</v>
      </c>
      <c r="F454">
        <f>VLOOKUP(B454,Nuclides!A:F,4,FALSE)</f>
        <v>4.5599999999999996</v>
      </c>
      <c r="G454" s="4" t="str">
        <f t="shared" si="44"/>
        <v>4.56s</v>
      </c>
      <c r="H454" s="4">
        <f t="shared" si="45"/>
        <v>0.15200596064911082</v>
      </c>
      <c r="I454" s="4">
        <f t="shared" si="46"/>
        <v>0</v>
      </c>
      <c r="J454" s="4">
        <f t="shared" si="47"/>
        <v>0</v>
      </c>
      <c r="K454" s="4" t="str">
        <f t="shared" si="48"/>
        <v>Ge82</v>
      </c>
    </row>
    <row r="455" spans="2:11" hidden="1" x14ac:dyDescent="0.2">
      <c r="B455" s="4">
        <v>32083</v>
      </c>
      <c r="C455" s="4">
        <v>0</v>
      </c>
      <c r="D455">
        <v>0</v>
      </c>
      <c r="E455" t="str">
        <f>VLOOKUP(B455,Nuclides!A:F,5,FALSE)</f>
        <v>Ge83</v>
      </c>
      <c r="F455">
        <f>VLOOKUP(B455,Nuclides!A:F,4,FALSE)</f>
        <v>1.85</v>
      </c>
      <c r="G455" s="4" t="str">
        <f t="shared" si="44"/>
        <v>1.85s</v>
      </c>
      <c r="H455" s="4">
        <f t="shared" si="45"/>
        <v>0.37467415165402446</v>
      </c>
      <c r="I455" s="4">
        <f t="shared" si="46"/>
        <v>0</v>
      </c>
      <c r="J455" s="4">
        <f t="shared" si="47"/>
        <v>0</v>
      </c>
      <c r="K455" s="4" t="str">
        <f t="shared" si="48"/>
        <v>Ge83</v>
      </c>
    </row>
    <row r="456" spans="2:11" hidden="1" x14ac:dyDescent="0.2">
      <c r="B456" s="4">
        <v>32084</v>
      </c>
      <c r="C456" s="4">
        <v>0</v>
      </c>
      <c r="D456">
        <v>0</v>
      </c>
      <c r="E456" t="str">
        <f>VLOOKUP(B456,Nuclides!A:F,5,FALSE)</f>
        <v>Ge84</v>
      </c>
      <c r="F456">
        <f>VLOOKUP(B456,Nuclides!A:F,4,FALSE)</f>
        <v>0.95399999999999996</v>
      </c>
      <c r="G456" s="4" t="str">
        <f t="shared" si="44"/>
        <v>0.954s</v>
      </c>
      <c r="H456" s="4">
        <f t="shared" si="45"/>
        <v>0.72656937165612712</v>
      </c>
      <c r="I456" s="4">
        <f t="shared" si="46"/>
        <v>0</v>
      </c>
      <c r="J456" s="4">
        <f t="shared" si="47"/>
        <v>0</v>
      </c>
      <c r="K456" s="4" t="str">
        <f t="shared" si="48"/>
        <v>Ge84</v>
      </c>
    </row>
    <row r="457" spans="2:11" hidden="1" x14ac:dyDescent="0.2">
      <c r="B457" s="4">
        <v>33066</v>
      </c>
      <c r="C457" s="4">
        <v>0</v>
      </c>
      <c r="D457">
        <v>0</v>
      </c>
      <c r="E457" t="str">
        <f>VLOOKUP(B457,Nuclides!A:F,5,FALSE)</f>
        <v>As66</v>
      </c>
      <c r="F457">
        <f>VLOOKUP(B457,Nuclides!A:F,4,FALSE)</f>
        <v>9.5769999999999994E-2</v>
      </c>
      <c r="G457" s="4" t="str">
        <f t="shared" si="44"/>
        <v>0.09577s</v>
      </c>
      <c r="H457" s="4">
        <f t="shared" si="45"/>
        <v>7.2376232699169396</v>
      </c>
      <c r="I457" s="4">
        <f t="shared" si="46"/>
        <v>0</v>
      </c>
      <c r="J457" s="4">
        <f t="shared" si="47"/>
        <v>0</v>
      </c>
      <c r="K457" s="4" t="str">
        <f t="shared" si="48"/>
        <v>As66</v>
      </c>
    </row>
    <row r="458" spans="2:11" hidden="1" x14ac:dyDescent="0.2">
      <c r="B458" s="4">
        <v>33067</v>
      </c>
      <c r="C458" s="4">
        <v>0</v>
      </c>
      <c r="D458">
        <v>0</v>
      </c>
      <c r="E458" t="str">
        <f>VLOOKUP(B458,Nuclides!A:F,5,FALSE)</f>
        <v>As67</v>
      </c>
      <c r="F458">
        <f>VLOOKUP(B458,Nuclides!A:F,4,FALSE)</f>
        <v>42.5</v>
      </c>
      <c r="G458" s="4" t="str">
        <f t="shared" si="44"/>
        <v>42.5s</v>
      </c>
      <c r="H458" s="4">
        <f t="shared" si="45"/>
        <v>1.6309345424939888E-2</v>
      </c>
      <c r="I458" s="4">
        <f t="shared" si="46"/>
        <v>0</v>
      </c>
      <c r="J458" s="4">
        <f t="shared" si="47"/>
        <v>0</v>
      </c>
      <c r="K458" s="4" t="str">
        <f t="shared" si="48"/>
        <v>As67</v>
      </c>
    </row>
    <row r="459" spans="2:11" hidden="1" x14ac:dyDescent="0.2">
      <c r="B459" s="4">
        <v>33068</v>
      </c>
      <c r="C459" s="4">
        <v>0</v>
      </c>
      <c r="D459">
        <v>0</v>
      </c>
      <c r="E459" t="str">
        <f>VLOOKUP(B459,Nuclides!A:F,5,FALSE)</f>
        <v>As68</v>
      </c>
      <c r="F459">
        <f>VLOOKUP(B459,Nuclides!A:F,4,FALSE)</f>
        <v>151.6</v>
      </c>
      <c r="G459" s="4" t="str">
        <f t="shared" si="44"/>
        <v>2.53min</v>
      </c>
      <c r="H459" s="4">
        <f t="shared" si="45"/>
        <v>4.5722109535616447E-3</v>
      </c>
      <c r="I459" s="4">
        <f t="shared" si="46"/>
        <v>0</v>
      </c>
      <c r="J459" s="4">
        <f t="shared" si="47"/>
        <v>0</v>
      </c>
      <c r="K459" s="4" t="str">
        <f t="shared" si="48"/>
        <v>As68</v>
      </c>
    </row>
    <row r="460" spans="2:11" hidden="1" x14ac:dyDescent="0.2">
      <c r="B460" s="4">
        <v>33069</v>
      </c>
      <c r="C460" s="4">
        <v>0</v>
      </c>
      <c r="D460">
        <v>0</v>
      </c>
      <c r="E460" t="str">
        <f>VLOOKUP(B460,Nuclides!A:F,5,FALSE)</f>
        <v>As69</v>
      </c>
      <c r="F460">
        <f>VLOOKUP(B460,Nuclides!A:F,4,FALSE)</f>
        <v>912</v>
      </c>
      <c r="G460" s="4" t="str">
        <f t="shared" si="44"/>
        <v>15.2min</v>
      </c>
      <c r="H460" s="4">
        <f t="shared" si="45"/>
        <v>7.6002980324555401E-4</v>
      </c>
      <c r="I460" s="4">
        <f t="shared" si="46"/>
        <v>0</v>
      </c>
      <c r="J460" s="4">
        <f t="shared" si="47"/>
        <v>0</v>
      </c>
      <c r="K460" s="4" t="str">
        <f t="shared" si="48"/>
        <v>As69</v>
      </c>
    </row>
    <row r="461" spans="2:11" hidden="1" x14ac:dyDescent="0.2">
      <c r="B461" s="4">
        <v>33070</v>
      </c>
      <c r="C461" s="4">
        <v>0</v>
      </c>
      <c r="D461">
        <v>0</v>
      </c>
      <c r="E461" t="str">
        <f>VLOOKUP(B461,Nuclides!A:F,5,FALSE)</f>
        <v>As70</v>
      </c>
      <c r="F461">
        <f>VLOOKUP(B461,Nuclides!A:F,4,FALSE)</f>
        <v>3156</v>
      </c>
      <c r="G461" s="4" t="str">
        <f t="shared" si="44"/>
        <v>52.6min</v>
      </c>
      <c r="H461" s="4">
        <f t="shared" si="45"/>
        <v>2.196283842078407E-4</v>
      </c>
      <c r="I461" s="4">
        <f t="shared" si="46"/>
        <v>0</v>
      </c>
      <c r="J461" s="4">
        <f t="shared" si="47"/>
        <v>0</v>
      </c>
      <c r="K461" s="4" t="str">
        <f t="shared" si="48"/>
        <v>As70</v>
      </c>
    </row>
    <row r="462" spans="2:11" hidden="1" x14ac:dyDescent="0.2">
      <c r="B462" s="4">
        <v>33071</v>
      </c>
      <c r="C462" s="4">
        <v>0</v>
      </c>
      <c r="D462">
        <v>0</v>
      </c>
      <c r="E462" t="str">
        <f>VLOOKUP(B462,Nuclides!A:F,5,FALSE)</f>
        <v>As71</v>
      </c>
      <c r="F462">
        <f>VLOOKUP(B462,Nuclides!A:F,4,FALSE)</f>
        <v>235080</v>
      </c>
      <c r="G462" s="4" t="str">
        <f t="shared" si="44"/>
        <v>2.72d</v>
      </c>
      <c r="H462" s="4">
        <f t="shared" si="45"/>
        <v>2.9485587058020475E-6</v>
      </c>
      <c r="I462" s="4">
        <f t="shared" si="46"/>
        <v>0</v>
      </c>
      <c r="J462" s="4">
        <f t="shared" si="47"/>
        <v>0</v>
      </c>
      <c r="K462" s="4" t="str">
        <f t="shared" si="48"/>
        <v>As71</v>
      </c>
    </row>
    <row r="463" spans="2:11" hidden="1" x14ac:dyDescent="0.2">
      <c r="B463" s="4">
        <v>33072</v>
      </c>
      <c r="C463" s="4">
        <v>0</v>
      </c>
      <c r="D463">
        <v>0</v>
      </c>
      <c r="E463" t="str">
        <f>VLOOKUP(B463,Nuclides!A:F,5,FALSE)</f>
        <v>As72</v>
      </c>
      <c r="F463">
        <f>VLOOKUP(B463,Nuclides!A:F,4,FALSE)</f>
        <v>93600</v>
      </c>
      <c r="G463" s="4" t="str">
        <f t="shared" si="44"/>
        <v>1.08d</v>
      </c>
      <c r="H463" s="4">
        <f t="shared" si="45"/>
        <v>7.4054185957259116E-6</v>
      </c>
      <c r="I463" s="4">
        <f t="shared" si="46"/>
        <v>0</v>
      </c>
      <c r="J463" s="4">
        <f t="shared" si="47"/>
        <v>0</v>
      </c>
      <c r="K463" s="4" t="str">
        <f t="shared" si="48"/>
        <v>As72</v>
      </c>
    </row>
    <row r="464" spans="2:11" hidden="1" x14ac:dyDescent="0.2">
      <c r="B464" s="4">
        <v>33073</v>
      </c>
      <c r="C464" s="4">
        <v>0</v>
      </c>
      <c r="D464">
        <v>0</v>
      </c>
      <c r="E464" t="str">
        <f>VLOOKUP(B464,Nuclides!A:F,5,FALSE)</f>
        <v>As73</v>
      </c>
      <c r="F464">
        <f>VLOOKUP(B464,Nuclides!A:F,4,FALSE)</f>
        <v>6937920</v>
      </c>
      <c r="G464" s="4" t="str">
        <f t="shared" si="44"/>
        <v>80.3d</v>
      </c>
      <c r="H464" s="4">
        <f t="shared" si="45"/>
        <v>9.9907058680403535E-8</v>
      </c>
      <c r="I464" s="4">
        <f t="shared" si="46"/>
        <v>0</v>
      </c>
      <c r="J464" s="4">
        <f t="shared" si="47"/>
        <v>0</v>
      </c>
      <c r="K464" s="4" t="str">
        <f t="shared" si="48"/>
        <v>As73</v>
      </c>
    </row>
    <row r="465" spans="2:11" hidden="1" x14ac:dyDescent="0.2">
      <c r="B465" s="4">
        <v>33074</v>
      </c>
      <c r="C465" s="4">
        <v>0</v>
      </c>
      <c r="D465">
        <v>0</v>
      </c>
      <c r="E465" t="str">
        <f>VLOOKUP(B465,Nuclides!A:F,5,FALSE)</f>
        <v>As74</v>
      </c>
      <c r="F465">
        <f>VLOOKUP(B465,Nuclides!A:F,4,FALSE)</f>
        <v>1535328</v>
      </c>
      <c r="G465" s="4" t="str">
        <f t="shared" si="44"/>
        <v>17.77d</v>
      </c>
      <c r="H465" s="4">
        <f t="shared" si="45"/>
        <v>4.5146521170716959E-7</v>
      </c>
      <c r="I465" s="4">
        <f t="shared" si="46"/>
        <v>0</v>
      </c>
      <c r="J465" s="4">
        <f t="shared" si="47"/>
        <v>0</v>
      </c>
      <c r="K465" s="4" t="str">
        <f t="shared" si="48"/>
        <v>As74</v>
      </c>
    </row>
    <row r="466" spans="2:11" hidden="1" x14ac:dyDescent="0.2">
      <c r="B466" s="4">
        <v>33075</v>
      </c>
      <c r="C466" s="4">
        <v>0</v>
      </c>
      <c r="D466">
        <v>0</v>
      </c>
      <c r="E466" t="str">
        <f>VLOOKUP(B466,Nuclides!A:F,5,FALSE)</f>
        <v>As75</v>
      </c>
      <c r="F466" t="str">
        <f>VLOOKUP(B466,Nuclides!A:F,4,FALSE)</f>
        <v>STABLE</v>
      </c>
      <c r="G466" s="4" t="str">
        <f t="shared" si="44"/>
        <v>STABLE</v>
      </c>
      <c r="H466" s="4" t="e">
        <f t="shared" si="45"/>
        <v>#VALUE!</v>
      </c>
      <c r="I466" s="4" t="e">
        <f t="shared" si="46"/>
        <v>#VALUE!</v>
      </c>
      <c r="J466" s="4" t="e">
        <f t="shared" si="47"/>
        <v>#VALUE!</v>
      </c>
      <c r="K466" s="4" t="str">
        <f t="shared" si="48"/>
        <v>As75</v>
      </c>
    </row>
    <row r="467" spans="2:11" hidden="1" x14ac:dyDescent="0.2">
      <c r="B467" s="4">
        <v>33076</v>
      </c>
      <c r="C467" s="4">
        <v>0</v>
      </c>
      <c r="D467">
        <v>0</v>
      </c>
      <c r="E467" t="str">
        <f>VLOOKUP(B467,Nuclides!A:F,5,FALSE)</f>
        <v>As76</v>
      </c>
      <c r="F467">
        <f>VLOOKUP(B467,Nuclides!A:F,4,FALSE)</f>
        <v>94538.880000000005</v>
      </c>
      <c r="G467" s="4" t="str">
        <f t="shared" si="44"/>
        <v>1.09d</v>
      </c>
      <c r="H467" s="4">
        <f t="shared" si="45"/>
        <v>7.3318742570246785E-6</v>
      </c>
      <c r="I467" s="4">
        <f t="shared" si="46"/>
        <v>0</v>
      </c>
      <c r="J467" s="4">
        <f t="shared" si="47"/>
        <v>0</v>
      </c>
      <c r="K467" s="4" t="str">
        <f t="shared" si="48"/>
        <v>As76</v>
      </c>
    </row>
    <row r="468" spans="2:11" hidden="1" x14ac:dyDescent="0.2">
      <c r="B468" s="4">
        <v>33077</v>
      </c>
      <c r="C468" s="4">
        <v>0</v>
      </c>
      <c r="D468">
        <v>0</v>
      </c>
      <c r="E468" t="str">
        <f>VLOOKUP(B468,Nuclides!A:F,5,FALSE)</f>
        <v>As77</v>
      </c>
      <c r="F468">
        <f>VLOOKUP(B468,Nuclides!A:F,4,FALSE)</f>
        <v>139788</v>
      </c>
      <c r="G468" s="4" t="str">
        <f t="shared" si="44"/>
        <v>1.62d</v>
      </c>
      <c r="H468" s="4">
        <f t="shared" si="45"/>
        <v>4.958559966234192E-6</v>
      </c>
      <c r="I468" s="4">
        <f t="shared" si="46"/>
        <v>0</v>
      </c>
      <c r="J468" s="4">
        <f t="shared" si="47"/>
        <v>0</v>
      </c>
      <c r="K468" s="4" t="str">
        <f t="shared" si="48"/>
        <v>As77</v>
      </c>
    </row>
    <row r="469" spans="2:11" hidden="1" x14ac:dyDescent="0.2">
      <c r="B469" s="4">
        <v>33078</v>
      </c>
      <c r="C469" s="4">
        <v>0</v>
      </c>
      <c r="D469">
        <v>0</v>
      </c>
      <c r="E469" t="str">
        <f>VLOOKUP(B469,Nuclides!A:F,5,FALSE)</f>
        <v>As78</v>
      </c>
      <c r="F469">
        <f>VLOOKUP(B469,Nuclides!A:F,4,FALSE)</f>
        <v>5442</v>
      </c>
      <c r="G469" s="4" t="str">
        <f t="shared" si="44"/>
        <v>1.51h</v>
      </c>
      <c r="H469" s="4">
        <f t="shared" si="45"/>
        <v>1.2736993395074335E-4</v>
      </c>
      <c r="I469" s="4">
        <f t="shared" si="46"/>
        <v>0</v>
      </c>
      <c r="J469" s="4">
        <f t="shared" si="47"/>
        <v>0</v>
      </c>
      <c r="K469" s="4" t="str">
        <f t="shared" si="48"/>
        <v>As78</v>
      </c>
    </row>
    <row r="470" spans="2:11" hidden="1" x14ac:dyDescent="0.2">
      <c r="B470" s="4">
        <v>33079</v>
      </c>
      <c r="C470" s="4">
        <v>0</v>
      </c>
      <c r="D470">
        <v>0</v>
      </c>
      <c r="E470" t="str">
        <f>VLOOKUP(B470,Nuclides!A:F,5,FALSE)</f>
        <v>As79</v>
      </c>
      <c r="F470">
        <f>VLOOKUP(B470,Nuclides!A:F,4,FALSE)</f>
        <v>540.6</v>
      </c>
      <c r="G470" s="4" t="str">
        <f t="shared" si="44"/>
        <v>9.01min</v>
      </c>
      <c r="H470" s="4">
        <f t="shared" si="45"/>
        <v>1.2821812440990479E-3</v>
      </c>
      <c r="I470" s="4">
        <f t="shared" si="46"/>
        <v>0</v>
      </c>
      <c r="J470" s="4">
        <f t="shared" si="47"/>
        <v>0</v>
      </c>
      <c r="K470" s="4" t="str">
        <f t="shared" si="48"/>
        <v>As79</v>
      </c>
    </row>
    <row r="471" spans="2:11" hidden="1" x14ac:dyDescent="0.2">
      <c r="B471" s="4">
        <v>33080</v>
      </c>
      <c r="C471" s="4">
        <v>0</v>
      </c>
      <c r="D471">
        <v>0</v>
      </c>
      <c r="E471" t="str">
        <f>VLOOKUP(B471,Nuclides!A:F,5,FALSE)</f>
        <v>As80</v>
      </c>
      <c r="F471">
        <f>VLOOKUP(B471,Nuclides!A:F,4,FALSE)</f>
        <v>15.2</v>
      </c>
      <c r="G471" s="4" t="str">
        <f t="shared" si="44"/>
        <v>15.2s</v>
      </c>
      <c r="H471" s="4">
        <f t="shared" si="45"/>
        <v>4.5601788194733248E-2</v>
      </c>
      <c r="I471" s="4">
        <f t="shared" si="46"/>
        <v>0</v>
      </c>
      <c r="J471" s="4">
        <f t="shared" si="47"/>
        <v>0</v>
      </c>
      <c r="K471" s="4" t="str">
        <f t="shared" si="48"/>
        <v>As80</v>
      </c>
    </row>
    <row r="472" spans="2:11" hidden="1" x14ac:dyDescent="0.2">
      <c r="B472" s="4">
        <v>33081</v>
      </c>
      <c r="C472" s="4">
        <v>0</v>
      </c>
      <c r="D472">
        <v>0</v>
      </c>
      <c r="E472" t="str">
        <f>VLOOKUP(B472,Nuclides!A:F,5,FALSE)</f>
        <v>As81</v>
      </c>
      <c r="F472">
        <f>VLOOKUP(B472,Nuclides!A:F,4,FALSE)</f>
        <v>33.299999999999997</v>
      </c>
      <c r="G472" s="4" t="str">
        <f t="shared" si="44"/>
        <v>33.3s</v>
      </c>
      <c r="H472" s="4">
        <f t="shared" si="45"/>
        <v>2.0815230647445806E-2</v>
      </c>
      <c r="I472" s="4">
        <f t="shared" si="46"/>
        <v>0</v>
      </c>
      <c r="J472" s="4">
        <f t="shared" si="47"/>
        <v>0</v>
      </c>
      <c r="K472" s="4" t="str">
        <f t="shared" si="48"/>
        <v>As81</v>
      </c>
    </row>
    <row r="473" spans="2:11" hidden="1" x14ac:dyDescent="0.2">
      <c r="B473" s="4">
        <v>33082</v>
      </c>
      <c r="C473" s="4">
        <v>0</v>
      </c>
      <c r="D473">
        <v>0</v>
      </c>
      <c r="E473" t="str">
        <f>VLOOKUP(B473,Nuclides!A:F,5,FALSE)</f>
        <v>As82</v>
      </c>
      <c r="F473">
        <f>VLOOKUP(B473,Nuclides!A:F,4,FALSE)</f>
        <v>19.100000000000001</v>
      </c>
      <c r="G473" s="4" t="str">
        <f t="shared" si="44"/>
        <v>19.1s</v>
      </c>
      <c r="H473" s="4">
        <f t="shared" si="45"/>
        <v>3.6290428301567812E-2</v>
      </c>
      <c r="I473" s="4">
        <f t="shared" si="46"/>
        <v>0</v>
      </c>
      <c r="J473" s="4">
        <f t="shared" si="47"/>
        <v>0</v>
      </c>
      <c r="K473" s="4" t="str">
        <f t="shared" si="48"/>
        <v>As82</v>
      </c>
    </row>
    <row r="474" spans="2:11" hidden="1" x14ac:dyDescent="0.2">
      <c r="B474" s="4">
        <v>33083</v>
      </c>
      <c r="C474" s="4">
        <v>0</v>
      </c>
      <c r="D474">
        <v>0</v>
      </c>
      <c r="E474" t="str">
        <f>VLOOKUP(B474,Nuclides!A:F,5,FALSE)</f>
        <v>As83</v>
      </c>
      <c r="F474">
        <f>VLOOKUP(B474,Nuclides!A:F,4,FALSE)</f>
        <v>13.4</v>
      </c>
      <c r="G474" s="4" t="str">
        <f t="shared" si="44"/>
        <v>13.4s</v>
      </c>
      <c r="H474" s="4">
        <f t="shared" si="45"/>
        <v>5.1727401534324272E-2</v>
      </c>
      <c r="I474" s="4">
        <f t="shared" si="46"/>
        <v>0</v>
      </c>
      <c r="J474" s="4">
        <f t="shared" si="47"/>
        <v>0</v>
      </c>
      <c r="K474" s="4" t="str">
        <f t="shared" si="48"/>
        <v>As83</v>
      </c>
    </row>
    <row r="475" spans="2:11" hidden="1" x14ac:dyDescent="0.2">
      <c r="B475" s="4">
        <v>33084</v>
      </c>
      <c r="C475" s="4">
        <v>0</v>
      </c>
      <c r="D475">
        <v>0</v>
      </c>
      <c r="E475" t="str">
        <f>VLOOKUP(B475,Nuclides!A:F,5,FALSE)</f>
        <v>As84</v>
      </c>
      <c r="F475">
        <f>VLOOKUP(B475,Nuclides!A:F,4,FALSE)</f>
        <v>4.0199999999999996</v>
      </c>
      <c r="G475" s="4" t="str">
        <f t="shared" si="44"/>
        <v>4.02s</v>
      </c>
      <c r="H475" s="4">
        <f t="shared" si="45"/>
        <v>0.17242467178108092</v>
      </c>
      <c r="I475" s="4">
        <f t="shared" si="46"/>
        <v>0</v>
      </c>
      <c r="J475" s="4">
        <f t="shared" si="47"/>
        <v>0</v>
      </c>
      <c r="K475" s="4" t="str">
        <f t="shared" si="48"/>
        <v>As84</v>
      </c>
    </row>
    <row r="476" spans="2:11" hidden="1" x14ac:dyDescent="0.2">
      <c r="B476" s="4">
        <v>33085</v>
      </c>
      <c r="C476" s="4">
        <v>0</v>
      </c>
      <c r="D476">
        <v>0</v>
      </c>
      <c r="E476" t="str">
        <f>VLOOKUP(B476,Nuclides!A:F,5,FALSE)</f>
        <v>As85</v>
      </c>
      <c r="F476">
        <f>VLOOKUP(B476,Nuclides!A:F,4,FALSE)</f>
        <v>2.0209999999999999</v>
      </c>
      <c r="G476" s="4" t="str">
        <f t="shared" si="44"/>
        <v>2.021s</v>
      </c>
      <c r="H476" s="4">
        <f t="shared" si="45"/>
        <v>0.34297238028695959</v>
      </c>
      <c r="I476" s="4">
        <f t="shared" si="46"/>
        <v>0</v>
      </c>
      <c r="J476" s="4">
        <f t="shared" si="47"/>
        <v>0</v>
      </c>
      <c r="K476" s="4" t="str">
        <f t="shared" si="48"/>
        <v>As85</v>
      </c>
    </row>
    <row r="477" spans="2:11" hidden="1" x14ac:dyDescent="0.2">
      <c r="B477" s="4">
        <v>33086</v>
      </c>
      <c r="C477" s="4">
        <v>0</v>
      </c>
      <c r="D477">
        <v>0</v>
      </c>
      <c r="E477" t="str">
        <f>VLOOKUP(B477,Nuclides!A:F,5,FALSE)</f>
        <v>As86</v>
      </c>
      <c r="F477">
        <f>VLOOKUP(B477,Nuclides!A:F,4,FALSE)</f>
        <v>0.94499999999999995</v>
      </c>
      <c r="G477" s="4" t="str">
        <f t="shared" si="44"/>
        <v>0.945s</v>
      </c>
      <c r="H477" s="4">
        <f t="shared" si="45"/>
        <v>0.73348907995761414</v>
      </c>
      <c r="I477" s="4">
        <f t="shared" si="46"/>
        <v>0</v>
      </c>
      <c r="J477" s="4">
        <f t="shared" si="47"/>
        <v>0</v>
      </c>
      <c r="K477" s="4" t="str">
        <f t="shared" si="48"/>
        <v>As86</v>
      </c>
    </row>
    <row r="478" spans="2:11" hidden="1" x14ac:dyDescent="0.2">
      <c r="B478" s="4">
        <v>33087</v>
      </c>
      <c r="C478" s="4">
        <v>0</v>
      </c>
      <c r="D478">
        <v>0</v>
      </c>
      <c r="E478" t="str">
        <f>VLOOKUP(B478,Nuclides!A:F,5,FALSE)</f>
        <v>As87</v>
      </c>
      <c r="F478">
        <f>VLOOKUP(B478,Nuclides!A:F,4,FALSE)</f>
        <v>0.48399999999999999</v>
      </c>
      <c r="G478" s="4" t="str">
        <f t="shared" si="44"/>
        <v>0.484s</v>
      </c>
      <c r="H478" s="4">
        <f t="shared" si="45"/>
        <v>1.4321222738841846</v>
      </c>
      <c r="I478" s="4">
        <f t="shared" si="46"/>
        <v>0</v>
      </c>
      <c r="J478" s="4">
        <f t="shared" si="47"/>
        <v>0</v>
      </c>
      <c r="K478" s="4" t="str">
        <f t="shared" si="48"/>
        <v>As87</v>
      </c>
    </row>
    <row r="479" spans="2:11" hidden="1" x14ac:dyDescent="0.2">
      <c r="B479" s="4">
        <v>34068</v>
      </c>
      <c r="C479" s="4">
        <v>0</v>
      </c>
      <c r="D479">
        <v>0</v>
      </c>
      <c r="E479" t="str">
        <f>VLOOKUP(B479,Nuclides!A:F,5,FALSE)</f>
        <v>Se68</v>
      </c>
      <c r="F479">
        <f>VLOOKUP(B479,Nuclides!A:F,4,FALSE)</f>
        <v>35.5</v>
      </c>
      <c r="G479" s="4" t="str">
        <f t="shared" si="44"/>
        <v>35.5s</v>
      </c>
      <c r="H479" s="4">
        <f t="shared" si="45"/>
        <v>1.9525272691829444E-2</v>
      </c>
      <c r="I479" s="4">
        <f t="shared" si="46"/>
        <v>0</v>
      </c>
      <c r="J479" s="4">
        <f t="shared" si="47"/>
        <v>0</v>
      </c>
      <c r="K479" s="4" t="str">
        <f t="shared" si="48"/>
        <v>Se68</v>
      </c>
    </row>
    <row r="480" spans="2:11" hidden="1" x14ac:dyDescent="0.2">
      <c r="B480" s="4">
        <v>34069</v>
      </c>
      <c r="C480" s="4">
        <v>0</v>
      </c>
      <c r="D480">
        <v>0</v>
      </c>
      <c r="E480" t="str">
        <f>VLOOKUP(B480,Nuclides!A:F,5,FALSE)</f>
        <v>Se69</v>
      </c>
      <c r="F480">
        <f>VLOOKUP(B480,Nuclides!A:F,4,FALSE)</f>
        <v>27.4</v>
      </c>
      <c r="G480" s="4" t="str">
        <f t="shared" si="44"/>
        <v>27.4s</v>
      </c>
      <c r="H480" s="4">
        <f t="shared" si="45"/>
        <v>2.5297342356202384E-2</v>
      </c>
      <c r="I480" s="4">
        <f t="shared" si="46"/>
        <v>0</v>
      </c>
      <c r="J480" s="4">
        <f t="shared" si="47"/>
        <v>0</v>
      </c>
      <c r="K480" s="4" t="str">
        <f t="shared" si="48"/>
        <v>Se69</v>
      </c>
    </row>
    <row r="481" spans="2:11" hidden="1" x14ac:dyDescent="0.2">
      <c r="B481" s="4">
        <v>34070</v>
      </c>
      <c r="C481" s="4">
        <v>0</v>
      </c>
      <c r="D481">
        <v>0</v>
      </c>
      <c r="E481" t="str">
        <f>VLOOKUP(B481,Nuclides!A:F,5,FALSE)</f>
        <v>Se70</v>
      </c>
      <c r="F481">
        <f>VLOOKUP(B481,Nuclides!A:F,4,FALSE)</f>
        <v>2466</v>
      </c>
      <c r="G481" s="4" t="str">
        <f t="shared" si="44"/>
        <v>41.1min</v>
      </c>
      <c r="H481" s="4">
        <f t="shared" si="45"/>
        <v>2.8108158173558204E-4</v>
      </c>
      <c r="I481" s="4">
        <f t="shared" si="46"/>
        <v>0</v>
      </c>
      <c r="J481" s="4">
        <f t="shared" si="47"/>
        <v>0</v>
      </c>
      <c r="K481" s="4" t="str">
        <f t="shared" si="48"/>
        <v>Se70</v>
      </c>
    </row>
    <row r="482" spans="2:11" hidden="1" x14ac:dyDescent="0.2">
      <c r="B482" s="4">
        <v>34071</v>
      </c>
      <c r="C482" s="4">
        <v>0</v>
      </c>
      <c r="D482">
        <v>0</v>
      </c>
      <c r="E482" t="str">
        <f>VLOOKUP(B482,Nuclides!A:F,5,FALSE)</f>
        <v>Se71</v>
      </c>
      <c r="F482">
        <f>VLOOKUP(B482,Nuclides!A:F,4,FALSE)</f>
        <v>284.39999999999998</v>
      </c>
      <c r="G482" s="4" t="str">
        <f t="shared" si="44"/>
        <v>4.74min</v>
      </c>
      <c r="H482" s="4">
        <f t="shared" si="45"/>
        <v>2.4372263732768823E-3</v>
      </c>
      <c r="I482" s="4">
        <f t="shared" si="46"/>
        <v>0</v>
      </c>
      <c r="J482" s="4">
        <f t="shared" si="47"/>
        <v>0</v>
      </c>
      <c r="K482" s="4" t="str">
        <f t="shared" si="48"/>
        <v>Se71</v>
      </c>
    </row>
    <row r="483" spans="2:11" hidden="1" x14ac:dyDescent="0.2">
      <c r="B483" s="4">
        <v>34072</v>
      </c>
      <c r="C483" s="4">
        <v>0</v>
      </c>
      <c r="D483">
        <v>0</v>
      </c>
      <c r="E483" t="str">
        <f>VLOOKUP(B483,Nuclides!A:F,5,FALSE)</f>
        <v>Se72</v>
      </c>
      <c r="F483">
        <f>VLOOKUP(B483,Nuclides!A:F,4,FALSE)</f>
        <v>725760</v>
      </c>
      <c r="G483" s="4" t="str">
        <f t="shared" si="44"/>
        <v>8.4d</v>
      </c>
      <c r="H483" s="4">
        <f t="shared" si="45"/>
        <v>9.5506390619481007E-7</v>
      </c>
      <c r="I483" s="4">
        <f t="shared" si="46"/>
        <v>0</v>
      </c>
      <c r="J483" s="4">
        <f t="shared" si="47"/>
        <v>0</v>
      </c>
      <c r="K483" s="4" t="str">
        <f t="shared" si="48"/>
        <v>Se72</v>
      </c>
    </row>
    <row r="484" spans="2:11" hidden="1" x14ac:dyDescent="0.2">
      <c r="B484" s="4">
        <v>34073</v>
      </c>
      <c r="C484" s="4">
        <v>0</v>
      </c>
      <c r="D484">
        <v>0</v>
      </c>
      <c r="E484" t="str">
        <f>VLOOKUP(B484,Nuclides!A:F,5,FALSE)</f>
        <v>Se73</v>
      </c>
      <c r="F484">
        <f>VLOOKUP(B484,Nuclides!A:F,4,FALSE)</f>
        <v>25740</v>
      </c>
      <c r="G484" s="4" t="str">
        <f t="shared" si="44"/>
        <v>7.15h</v>
      </c>
      <c r="H484" s="4">
        <f t="shared" si="45"/>
        <v>2.6928794893548767E-5</v>
      </c>
      <c r="I484" s="4">
        <f t="shared" si="46"/>
        <v>0</v>
      </c>
      <c r="J484" s="4">
        <f t="shared" si="47"/>
        <v>0</v>
      </c>
      <c r="K484" s="4" t="str">
        <f t="shared" si="48"/>
        <v>Se73</v>
      </c>
    </row>
    <row r="485" spans="2:11" hidden="1" x14ac:dyDescent="0.2">
      <c r="B485" s="4">
        <v>34074</v>
      </c>
      <c r="C485" s="4">
        <v>0</v>
      </c>
      <c r="D485">
        <v>0</v>
      </c>
      <c r="E485" t="str">
        <f>VLOOKUP(B485,Nuclides!A:F,5,FALSE)</f>
        <v>Se74</v>
      </c>
      <c r="F485" t="str">
        <f>VLOOKUP(B485,Nuclides!A:F,4,FALSE)</f>
        <v>STABLE</v>
      </c>
      <c r="G485" s="4" t="str">
        <f t="shared" si="44"/>
        <v>STABLE</v>
      </c>
      <c r="H485" s="4" t="e">
        <f t="shared" si="45"/>
        <v>#VALUE!</v>
      </c>
      <c r="I485" s="4" t="e">
        <f t="shared" si="46"/>
        <v>#VALUE!</v>
      </c>
      <c r="J485" s="4" t="e">
        <f t="shared" si="47"/>
        <v>#VALUE!</v>
      </c>
      <c r="K485" s="4" t="str">
        <f t="shared" si="48"/>
        <v>Se74</v>
      </c>
    </row>
    <row r="486" spans="2:11" hidden="1" x14ac:dyDescent="0.2">
      <c r="B486" s="4">
        <v>34075</v>
      </c>
      <c r="C486" s="4">
        <v>0</v>
      </c>
      <c r="D486">
        <v>0</v>
      </c>
      <c r="E486" t="str">
        <f>VLOOKUP(B486,Nuclides!A:F,5,FALSE)</f>
        <v>Se75</v>
      </c>
      <c r="F486">
        <f>VLOOKUP(B486,Nuclides!A:F,4,FALSE)</f>
        <v>10348992</v>
      </c>
      <c r="G486" s="4" t="str">
        <f t="shared" si="44"/>
        <v>119.78d</v>
      </c>
      <c r="H486" s="4">
        <f t="shared" si="45"/>
        <v>6.6977265086294909E-8</v>
      </c>
      <c r="I486" s="4">
        <f t="shared" si="46"/>
        <v>0</v>
      </c>
      <c r="J486" s="4">
        <f t="shared" si="47"/>
        <v>0</v>
      </c>
      <c r="K486" s="4" t="str">
        <f t="shared" si="48"/>
        <v>Se75</v>
      </c>
    </row>
    <row r="487" spans="2:11" hidden="1" x14ac:dyDescent="0.2">
      <c r="B487" s="4">
        <v>34076</v>
      </c>
      <c r="C487" s="4">
        <v>0</v>
      </c>
      <c r="D487">
        <v>0</v>
      </c>
      <c r="E487" t="str">
        <f>VLOOKUP(B487,Nuclides!A:F,5,FALSE)</f>
        <v>Se76</v>
      </c>
      <c r="F487" t="str">
        <f>VLOOKUP(B487,Nuclides!A:F,4,FALSE)</f>
        <v>STABLE</v>
      </c>
      <c r="G487" s="4" t="str">
        <f t="shared" si="44"/>
        <v>STABLE</v>
      </c>
      <c r="H487" s="4" t="e">
        <f t="shared" si="45"/>
        <v>#VALUE!</v>
      </c>
      <c r="I487" s="4" t="e">
        <f t="shared" si="46"/>
        <v>#VALUE!</v>
      </c>
      <c r="J487" s="4" t="e">
        <f t="shared" si="47"/>
        <v>#VALUE!</v>
      </c>
      <c r="K487" s="4" t="str">
        <f t="shared" si="48"/>
        <v>Se76</v>
      </c>
    </row>
    <row r="488" spans="2:11" hidden="1" x14ac:dyDescent="0.2">
      <c r="B488" s="4">
        <v>34077</v>
      </c>
      <c r="C488" s="4">
        <v>0</v>
      </c>
      <c r="D488">
        <v>0</v>
      </c>
      <c r="E488" t="str">
        <f>VLOOKUP(B488,Nuclides!A:F,5,FALSE)</f>
        <v>Se77</v>
      </c>
      <c r="F488" t="str">
        <f>VLOOKUP(B488,Nuclides!A:F,4,FALSE)</f>
        <v>STABLE</v>
      </c>
      <c r="G488" s="4" t="str">
        <f t="shared" si="44"/>
        <v>STABLE</v>
      </c>
      <c r="H488" s="4" t="e">
        <f t="shared" si="45"/>
        <v>#VALUE!</v>
      </c>
      <c r="I488" s="4" t="e">
        <f t="shared" si="46"/>
        <v>#VALUE!</v>
      </c>
      <c r="J488" s="4" t="e">
        <f t="shared" si="47"/>
        <v>#VALUE!</v>
      </c>
      <c r="K488" s="4" t="str">
        <f t="shared" si="48"/>
        <v>Se77</v>
      </c>
    </row>
    <row r="489" spans="2:11" hidden="1" x14ac:dyDescent="0.2">
      <c r="B489" s="4">
        <v>34078</v>
      </c>
      <c r="C489" s="4">
        <v>0</v>
      </c>
      <c r="D489">
        <v>0</v>
      </c>
      <c r="E489" t="str">
        <f>VLOOKUP(B489,Nuclides!A:F,5,FALSE)</f>
        <v>Se78</v>
      </c>
      <c r="F489" t="str">
        <f>VLOOKUP(B489,Nuclides!A:F,4,FALSE)</f>
        <v>STABLE</v>
      </c>
      <c r="G489" s="4" t="str">
        <f t="shared" si="44"/>
        <v>STABLE</v>
      </c>
      <c r="H489" s="4" t="e">
        <f t="shared" si="45"/>
        <v>#VALUE!</v>
      </c>
      <c r="I489" s="4" t="e">
        <f t="shared" si="46"/>
        <v>#VALUE!</v>
      </c>
      <c r="J489" s="4" t="e">
        <f t="shared" si="47"/>
        <v>#VALUE!</v>
      </c>
      <c r="K489" s="4" t="str">
        <f t="shared" si="48"/>
        <v>Se78</v>
      </c>
    </row>
    <row r="490" spans="2:11" hidden="1" x14ac:dyDescent="0.2">
      <c r="B490" s="4">
        <v>34079</v>
      </c>
      <c r="C490" s="4">
        <v>0</v>
      </c>
      <c r="D490">
        <v>0</v>
      </c>
      <c r="E490" t="str">
        <f>VLOOKUP(B490,Nuclides!A:F,5,FALSE)</f>
        <v>Se79</v>
      </c>
      <c r="F490">
        <f>VLOOKUP(B490,Nuclides!A:F,4,FALSE)</f>
        <v>10287777600000</v>
      </c>
      <c r="G490" s="4" t="str">
        <f t="shared" si="44"/>
        <v>326223.29y</v>
      </c>
      <c r="H490" s="4">
        <f t="shared" si="45"/>
        <v>6.7375793636902231E-14</v>
      </c>
      <c r="I490" s="4">
        <f t="shared" si="46"/>
        <v>0</v>
      </c>
      <c r="J490" s="4">
        <f t="shared" si="47"/>
        <v>0</v>
      </c>
      <c r="K490" s="4" t="str">
        <f t="shared" si="48"/>
        <v>Se79</v>
      </c>
    </row>
    <row r="491" spans="2:11" hidden="1" x14ac:dyDescent="0.2">
      <c r="B491" s="4">
        <v>34080</v>
      </c>
      <c r="C491" s="4">
        <v>0</v>
      </c>
      <c r="D491">
        <v>0</v>
      </c>
      <c r="E491" t="str">
        <f>VLOOKUP(B491,Nuclides!A:F,5,FALSE)</f>
        <v>Se80</v>
      </c>
      <c r="F491" t="str">
        <f>VLOOKUP(B491,Nuclides!A:F,4,FALSE)</f>
        <v>STABLE</v>
      </c>
      <c r="G491" s="4" t="str">
        <f t="shared" si="44"/>
        <v>STABLE</v>
      </c>
      <c r="H491" s="4" t="e">
        <f t="shared" si="45"/>
        <v>#VALUE!</v>
      </c>
      <c r="I491" s="4" t="e">
        <f t="shared" si="46"/>
        <v>#VALUE!</v>
      </c>
      <c r="J491" s="4" t="e">
        <f t="shared" si="47"/>
        <v>#VALUE!</v>
      </c>
      <c r="K491" s="4" t="str">
        <f t="shared" si="48"/>
        <v>Se80</v>
      </c>
    </row>
    <row r="492" spans="2:11" hidden="1" x14ac:dyDescent="0.2">
      <c r="B492" s="4">
        <v>34081</v>
      </c>
      <c r="C492" s="4">
        <v>0</v>
      </c>
      <c r="D492">
        <v>0</v>
      </c>
      <c r="E492" t="str">
        <f>VLOOKUP(B492,Nuclides!A:F,5,FALSE)</f>
        <v>Se81</v>
      </c>
      <c r="F492">
        <f>VLOOKUP(B492,Nuclides!A:F,4,FALSE)</f>
        <v>1107</v>
      </c>
      <c r="G492" s="4" t="str">
        <f t="shared" si="44"/>
        <v>18.45min</v>
      </c>
      <c r="H492" s="4">
        <f t="shared" si="45"/>
        <v>6.261492145979632E-4</v>
      </c>
      <c r="I492" s="4">
        <f t="shared" si="46"/>
        <v>0</v>
      </c>
      <c r="J492" s="4">
        <f t="shared" si="47"/>
        <v>0</v>
      </c>
      <c r="K492" s="4" t="str">
        <f t="shared" si="48"/>
        <v>Se81</v>
      </c>
    </row>
    <row r="493" spans="2:11" hidden="1" x14ac:dyDescent="0.2">
      <c r="B493" s="4">
        <v>34082</v>
      </c>
      <c r="C493" s="4">
        <v>0</v>
      </c>
      <c r="D493">
        <v>0</v>
      </c>
      <c r="E493" t="str">
        <f>VLOOKUP(B493,Nuclides!A:F,5,FALSE)</f>
        <v>Se82</v>
      </c>
      <c r="F493" t="str">
        <f>VLOOKUP(B493,Nuclides!A:F,4,FALSE)</f>
        <v>STABLE</v>
      </c>
      <c r="G493" s="4" t="str">
        <f t="shared" si="44"/>
        <v>STABLE</v>
      </c>
      <c r="H493" s="4" t="e">
        <f t="shared" si="45"/>
        <v>#VALUE!</v>
      </c>
      <c r="I493" s="4" t="e">
        <f t="shared" si="46"/>
        <v>#VALUE!</v>
      </c>
      <c r="J493" s="4" t="e">
        <f t="shared" si="47"/>
        <v>#VALUE!</v>
      </c>
      <c r="K493" s="4" t="str">
        <f t="shared" si="48"/>
        <v>Se82</v>
      </c>
    </row>
    <row r="494" spans="2:11" hidden="1" x14ac:dyDescent="0.2">
      <c r="B494" s="4">
        <v>34083</v>
      </c>
      <c r="C494" s="4">
        <v>0</v>
      </c>
      <c r="D494">
        <v>0</v>
      </c>
      <c r="E494" t="str">
        <f>VLOOKUP(B494,Nuclides!A:F,5,FALSE)</f>
        <v>Se83</v>
      </c>
      <c r="F494">
        <f>VLOOKUP(B494,Nuclides!A:F,4,FALSE)</f>
        <v>1335</v>
      </c>
      <c r="G494" s="4" t="str">
        <f t="shared" si="44"/>
        <v>22.25min</v>
      </c>
      <c r="H494" s="4">
        <f t="shared" si="45"/>
        <v>5.192113712059515E-4</v>
      </c>
      <c r="I494" s="4">
        <f t="shared" si="46"/>
        <v>0</v>
      </c>
      <c r="J494" s="4">
        <f t="shared" si="47"/>
        <v>0</v>
      </c>
      <c r="K494" s="4" t="str">
        <f t="shared" si="48"/>
        <v>Se83</v>
      </c>
    </row>
    <row r="495" spans="2:11" hidden="1" x14ac:dyDescent="0.2">
      <c r="B495" s="4">
        <v>34084</v>
      </c>
      <c r="C495" s="4">
        <v>0</v>
      </c>
      <c r="D495">
        <v>0</v>
      </c>
      <c r="E495" t="str">
        <f>VLOOKUP(B495,Nuclides!A:F,5,FALSE)</f>
        <v>Se84</v>
      </c>
      <c r="F495">
        <f>VLOOKUP(B495,Nuclides!A:F,4,FALSE)</f>
        <v>195.6</v>
      </c>
      <c r="G495" s="4" t="str">
        <f t="shared" si="44"/>
        <v>3.26min</v>
      </c>
      <c r="H495" s="4">
        <f t="shared" si="45"/>
        <v>3.5436972421265095E-3</v>
      </c>
      <c r="I495" s="4">
        <f t="shared" si="46"/>
        <v>0</v>
      </c>
      <c r="J495" s="4">
        <f t="shared" si="47"/>
        <v>0</v>
      </c>
      <c r="K495" s="4" t="str">
        <f t="shared" si="48"/>
        <v>Se84</v>
      </c>
    </row>
    <row r="496" spans="2:11" hidden="1" x14ac:dyDescent="0.2">
      <c r="B496" s="4">
        <v>34085</v>
      </c>
      <c r="C496" s="4">
        <v>0</v>
      </c>
      <c r="D496">
        <v>0</v>
      </c>
      <c r="E496" t="str">
        <f>VLOOKUP(B496,Nuclides!A:F,5,FALSE)</f>
        <v>Se85</v>
      </c>
      <c r="F496">
        <f>VLOOKUP(B496,Nuclides!A:F,4,FALSE)</f>
        <v>32.9</v>
      </c>
      <c r="G496" s="4" t="str">
        <f t="shared" si="44"/>
        <v>32.9s</v>
      </c>
      <c r="H496" s="4">
        <f t="shared" si="45"/>
        <v>2.106830336048466E-2</v>
      </c>
      <c r="I496" s="4">
        <f t="shared" si="46"/>
        <v>0</v>
      </c>
      <c r="J496" s="4">
        <f t="shared" si="47"/>
        <v>0</v>
      </c>
      <c r="K496" s="4" t="str">
        <f t="shared" si="48"/>
        <v>Se85</v>
      </c>
    </row>
    <row r="497" spans="2:11" hidden="1" x14ac:dyDescent="0.2">
      <c r="B497" s="4">
        <v>34086</v>
      </c>
      <c r="C497" s="4">
        <v>0</v>
      </c>
      <c r="D497">
        <v>0</v>
      </c>
      <c r="E497" t="str">
        <f>VLOOKUP(B497,Nuclides!A:F,5,FALSE)</f>
        <v>Se86</v>
      </c>
      <c r="F497">
        <f>VLOOKUP(B497,Nuclides!A:F,4,FALSE)</f>
        <v>14.3</v>
      </c>
      <c r="G497" s="4" t="str">
        <f t="shared" si="44"/>
        <v>14.3s</v>
      </c>
      <c r="H497" s="4">
        <f t="shared" si="45"/>
        <v>4.8471830808387781E-2</v>
      </c>
      <c r="I497" s="4">
        <f t="shared" si="46"/>
        <v>0</v>
      </c>
      <c r="J497" s="4">
        <f t="shared" si="47"/>
        <v>0</v>
      </c>
      <c r="K497" s="4" t="str">
        <f t="shared" si="48"/>
        <v>Se86</v>
      </c>
    </row>
    <row r="498" spans="2:11" hidden="1" x14ac:dyDescent="0.2">
      <c r="B498" s="4">
        <v>34087</v>
      </c>
      <c r="C498" s="4">
        <v>0</v>
      </c>
      <c r="D498">
        <v>0</v>
      </c>
      <c r="E498" t="str">
        <f>VLOOKUP(B498,Nuclides!A:F,5,FALSE)</f>
        <v>Se87</v>
      </c>
      <c r="F498">
        <f>VLOOKUP(B498,Nuclides!A:F,4,FALSE)</f>
        <v>5.5</v>
      </c>
      <c r="G498" s="4" t="str">
        <f t="shared" si="44"/>
        <v>5.5s</v>
      </c>
      <c r="H498" s="4">
        <f t="shared" si="45"/>
        <v>0.12602676010180824</v>
      </c>
      <c r="I498" s="4">
        <f t="shared" si="46"/>
        <v>0</v>
      </c>
      <c r="J498" s="4">
        <f t="shared" si="47"/>
        <v>0</v>
      </c>
      <c r="K498" s="4" t="str">
        <f t="shared" si="48"/>
        <v>Se87</v>
      </c>
    </row>
    <row r="499" spans="2:11" hidden="1" x14ac:dyDescent="0.2">
      <c r="B499" s="4">
        <v>34088</v>
      </c>
      <c r="C499" s="4">
        <v>0</v>
      </c>
      <c r="D499">
        <v>0</v>
      </c>
      <c r="E499" t="str">
        <f>VLOOKUP(B499,Nuclides!A:F,5,FALSE)</f>
        <v>Se88</v>
      </c>
      <c r="F499">
        <f>VLOOKUP(B499,Nuclides!A:F,4,FALSE)</f>
        <v>1.53</v>
      </c>
      <c r="G499" s="4" t="str">
        <f t="shared" si="44"/>
        <v>1.53s</v>
      </c>
      <c r="H499" s="4">
        <f t="shared" si="45"/>
        <v>0.45303737291499691</v>
      </c>
      <c r="I499" s="4">
        <f t="shared" si="46"/>
        <v>0</v>
      </c>
      <c r="J499" s="4">
        <f t="shared" si="47"/>
        <v>0</v>
      </c>
      <c r="K499" s="4" t="str">
        <f t="shared" si="48"/>
        <v>Se88</v>
      </c>
    </row>
    <row r="500" spans="2:11" hidden="1" x14ac:dyDescent="0.2">
      <c r="B500" s="4">
        <v>34089</v>
      </c>
      <c r="C500" s="4">
        <v>0</v>
      </c>
      <c r="D500">
        <v>0</v>
      </c>
      <c r="E500" t="str">
        <f>VLOOKUP(B500,Nuclides!A:F,5,FALSE)</f>
        <v>Se89</v>
      </c>
      <c r="F500">
        <f>VLOOKUP(B500,Nuclides!A:F,4,FALSE)</f>
        <v>0.43</v>
      </c>
      <c r="G500" s="4" t="str">
        <f t="shared" si="44"/>
        <v>0.43s</v>
      </c>
      <c r="H500" s="4">
        <f t="shared" si="45"/>
        <v>1.61197018734871</v>
      </c>
      <c r="I500" s="4">
        <f t="shared" si="46"/>
        <v>0</v>
      </c>
      <c r="J500" s="4">
        <f t="shared" si="47"/>
        <v>0</v>
      </c>
      <c r="K500" s="4" t="str">
        <f t="shared" si="48"/>
        <v>Se89</v>
      </c>
    </row>
    <row r="501" spans="2:11" hidden="1" x14ac:dyDescent="0.2">
      <c r="B501" s="4">
        <v>34090</v>
      </c>
      <c r="C501" s="4">
        <v>0</v>
      </c>
      <c r="D501">
        <v>0</v>
      </c>
      <c r="E501" t="str">
        <f>VLOOKUP(B501,Nuclides!A:F,5,FALSE)</f>
        <v>Se90</v>
      </c>
      <c r="F501">
        <f>VLOOKUP(B501,Nuclides!A:F,4,FALSE)</f>
        <v>0.19500000000000001</v>
      </c>
      <c r="G501" s="4" t="str">
        <f t="shared" si="44"/>
        <v>0.195s</v>
      </c>
      <c r="H501" s="4">
        <f t="shared" si="45"/>
        <v>3.5546009259484372</v>
      </c>
      <c r="I501" s="4">
        <f t="shared" si="46"/>
        <v>0</v>
      </c>
      <c r="J501" s="4">
        <f t="shared" si="47"/>
        <v>0</v>
      </c>
      <c r="K501" s="4" t="str">
        <f t="shared" si="48"/>
        <v>Se90</v>
      </c>
    </row>
    <row r="502" spans="2:11" hidden="1" x14ac:dyDescent="0.2">
      <c r="B502" s="4">
        <v>34091</v>
      </c>
      <c r="C502" s="4">
        <v>0</v>
      </c>
      <c r="D502">
        <v>0</v>
      </c>
      <c r="E502" t="str">
        <f>VLOOKUP(B502,Nuclides!A:F,5,FALSE)</f>
        <v>Se91</v>
      </c>
      <c r="F502">
        <f>VLOOKUP(B502,Nuclides!A:F,4,FALSE)</f>
        <v>0.27</v>
      </c>
      <c r="G502" s="4" t="str">
        <f t="shared" si="44"/>
        <v>0.27s</v>
      </c>
      <c r="H502" s="4">
        <f t="shared" si="45"/>
        <v>2.5672117798516489</v>
      </c>
      <c r="I502" s="4">
        <f t="shared" si="46"/>
        <v>0</v>
      </c>
      <c r="J502" s="4">
        <f t="shared" si="47"/>
        <v>0</v>
      </c>
      <c r="K502" s="4" t="str">
        <f t="shared" si="48"/>
        <v>Se91</v>
      </c>
    </row>
    <row r="503" spans="2:11" hidden="1" x14ac:dyDescent="0.2">
      <c r="B503" s="4">
        <v>35070</v>
      </c>
      <c r="C503" s="4">
        <v>0</v>
      </c>
      <c r="D503">
        <v>0</v>
      </c>
      <c r="E503" t="str">
        <f>VLOOKUP(B503,Nuclides!A:F,5,FALSE)</f>
        <v>Br70</v>
      </c>
      <c r="F503">
        <f>VLOOKUP(B503,Nuclides!A:F,4,FALSE)</f>
        <v>7.9099999999999906E-2</v>
      </c>
      <c r="G503" s="4" t="str">
        <f t="shared" si="44"/>
        <v>0.0790999999999999s</v>
      </c>
      <c r="H503" s="4">
        <f t="shared" si="45"/>
        <v>8.7629226366617718</v>
      </c>
      <c r="I503" s="4">
        <f t="shared" si="46"/>
        <v>0</v>
      </c>
      <c r="J503" s="4">
        <f t="shared" si="47"/>
        <v>0</v>
      </c>
      <c r="K503" s="4" t="str">
        <f t="shared" si="48"/>
        <v>Br70</v>
      </c>
    </row>
    <row r="504" spans="2:11" hidden="1" x14ac:dyDescent="0.2">
      <c r="B504" s="4">
        <v>35071</v>
      </c>
      <c r="C504" s="4">
        <v>0</v>
      </c>
      <c r="D504">
        <v>0</v>
      </c>
      <c r="E504" t="str">
        <f>VLOOKUP(B504,Nuclides!A:F,5,FALSE)</f>
        <v>Br71</v>
      </c>
      <c r="F504">
        <f>VLOOKUP(B504,Nuclides!A:F,4,FALSE)</f>
        <v>21.4</v>
      </c>
      <c r="G504" s="4" t="str">
        <f t="shared" si="44"/>
        <v>21.4s</v>
      </c>
      <c r="H504" s="4">
        <f t="shared" si="45"/>
        <v>3.2390055166352585E-2</v>
      </c>
      <c r="I504" s="4">
        <f t="shared" si="46"/>
        <v>0</v>
      </c>
      <c r="J504" s="4">
        <f t="shared" si="47"/>
        <v>0</v>
      </c>
      <c r="K504" s="4" t="str">
        <f t="shared" si="48"/>
        <v>Br71</v>
      </c>
    </row>
    <row r="505" spans="2:11" hidden="1" x14ac:dyDescent="0.2">
      <c r="B505" s="4">
        <v>35072</v>
      </c>
      <c r="C505" s="4">
        <v>0</v>
      </c>
      <c r="D505">
        <v>0</v>
      </c>
      <c r="E505" t="str">
        <f>VLOOKUP(B505,Nuclides!A:F,5,FALSE)</f>
        <v>Br72</v>
      </c>
      <c r="F505">
        <f>VLOOKUP(B505,Nuclides!A:F,4,FALSE)</f>
        <v>78.599999999999994</v>
      </c>
      <c r="G505" s="4" t="str">
        <f t="shared" si="44"/>
        <v>1.31min</v>
      </c>
      <c r="H505" s="4">
        <f t="shared" si="45"/>
        <v>8.818666419337727E-3</v>
      </c>
      <c r="I505" s="4">
        <f t="shared" si="46"/>
        <v>0</v>
      </c>
      <c r="J505" s="4">
        <f t="shared" si="47"/>
        <v>0</v>
      </c>
      <c r="K505" s="4" t="str">
        <f t="shared" si="48"/>
        <v>Br72</v>
      </c>
    </row>
    <row r="506" spans="2:11" hidden="1" x14ac:dyDescent="0.2">
      <c r="B506" s="4">
        <v>35073</v>
      </c>
      <c r="C506" s="4">
        <v>0</v>
      </c>
      <c r="D506">
        <v>0</v>
      </c>
      <c r="E506" t="str">
        <f>VLOOKUP(B506,Nuclides!A:F,5,FALSE)</f>
        <v>Br73</v>
      </c>
      <c r="F506">
        <f>VLOOKUP(B506,Nuclides!A:F,4,FALSE)</f>
        <v>204</v>
      </c>
      <c r="G506" s="4" t="str">
        <f t="shared" si="44"/>
        <v>3.4min</v>
      </c>
      <c r="H506" s="4">
        <f t="shared" si="45"/>
        <v>3.3977802968624769E-3</v>
      </c>
      <c r="I506" s="4">
        <f t="shared" si="46"/>
        <v>0</v>
      </c>
      <c r="J506" s="4">
        <f t="shared" si="47"/>
        <v>0</v>
      </c>
      <c r="K506" s="4" t="str">
        <f t="shared" si="48"/>
        <v>Br73</v>
      </c>
    </row>
    <row r="507" spans="2:11" hidden="1" x14ac:dyDescent="0.2">
      <c r="B507" s="4">
        <v>35074</v>
      </c>
      <c r="C507" s="4">
        <v>0</v>
      </c>
      <c r="D507">
        <v>0</v>
      </c>
      <c r="E507" t="str">
        <f>VLOOKUP(B507,Nuclides!A:F,5,FALSE)</f>
        <v>Br74</v>
      </c>
      <c r="F507">
        <f>VLOOKUP(B507,Nuclides!A:F,4,FALSE)</f>
        <v>1524</v>
      </c>
      <c r="G507" s="4" t="str">
        <f t="shared" si="44"/>
        <v>25.4min</v>
      </c>
      <c r="H507" s="4">
        <f t="shared" si="45"/>
        <v>4.5482098461938666E-4</v>
      </c>
      <c r="I507" s="4">
        <f t="shared" si="46"/>
        <v>0</v>
      </c>
      <c r="J507" s="4">
        <f t="shared" si="47"/>
        <v>0</v>
      </c>
      <c r="K507" s="4" t="str">
        <f t="shared" si="48"/>
        <v>Br74</v>
      </c>
    </row>
    <row r="508" spans="2:11" hidden="1" x14ac:dyDescent="0.2">
      <c r="B508" s="4">
        <v>35075</v>
      </c>
      <c r="C508" s="4">
        <v>0</v>
      </c>
      <c r="D508">
        <v>0</v>
      </c>
      <c r="E508" t="str">
        <f>VLOOKUP(B508,Nuclides!A:F,5,FALSE)</f>
        <v>Br75</v>
      </c>
      <c r="F508">
        <f>VLOOKUP(B508,Nuclides!A:F,4,FALSE)</f>
        <v>5802</v>
      </c>
      <c r="G508" s="4" t="str">
        <f t="shared" si="44"/>
        <v>1.61h</v>
      </c>
      <c r="H508" s="4">
        <f t="shared" si="45"/>
        <v>1.1946693908306538E-4</v>
      </c>
      <c r="I508" s="4">
        <f t="shared" si="46"/>
        <v>0</v>
      </c>
      <c r="J508" s="4">
        <f t="shared" si="47"/>
        <v>0</v>
      </c>
      <c r="K508" s="4" t="str">
        <f t="shared" si="48"/>
        <v>Br75</v>
      </c>
    </row>
    <row r="509" spans="2:11" hidden="1" x14ac:dyDescent="0.2">
      <c r="B509" s="4">
        <v>35076</v>
      </c>
      <c r="C509" s="4">
        <v>0</v>
      </c>
      <c r="D509">
        <v>0</v>
      </c>
      <c r="E509" t="str">
        <f>VLOOKUP(B509,Nuclides!A:F,5,FALSE)</f>
        <v>Br76</v>
      </c>
      <c r="F509">
        <f>VLOOKUP(B509,Nuclides!A:F,4,FALSE)</f>
        <v>58320</v>
      </c>
      <c r="G509" s="4" t="str">
        <f t="shared" si="44"/>
        <v>16.2h</v>
      </c>
      <c r="H509" s="4">
        <f t="shared" si="45"/>
        <v>1.1885239721535413E-5</v>
      </c>
      <c r="I509" s="4">
        <f t="shared" si="46"/>
        <v>0</v>
      </c>
      <c r="J509" s="4">
        <f t="shared" si="47"/>
        <v>0</v>
      </c>
      <c r="K509" s="4" t="str">
        <f t="shared" si="48"/>
        <v>Br76</v>
      </c>
    </row>
    <row r="510" spans="2:11" hidden="1" x14ac:dyDescent="0.2">
      <c r="B510" s="4">
        <v>35077</v>
      </c>
      <c r="C510" s="4">
        <v>0</v>
      </c>
      <c r="D510">
        <v>0</v>
      </c>
      <c r="E510" t="str">
        <f>VLOOKUP(B510,Nuclides!A:F,5,FALSE)</f>
        <v>Br77</v>
      </c>
      <c r="F510">
        <f>VLOOKUP(B510,Nuclides!A:F,4,FALSE)</f>
        <v>205329.6</v>
      </c>
      <c r="G510" s="4" t="str">
        <f t="shared" si="44"/>
        <v>2.38d</v>
      </c>
      <c r="H510" s="4">
        <f t="shared" si="45"/>
        <v>3.3757781662261325E-6</v>
      </c>
      <c r="I510" s="4">
        <f t="shared" si="46"/>
        <v>0</v>
      </c>
      <c r="J510" s="4">
        <f t="shared" si="47"/>
        <v>0</v>
      </c>
      <c r="K510" s="4" t="str">
        <f t="shared" si="48"/>
        <v>Br77</v>
      </c>
    </row>
    <row r="511" spans="2:11" hidden="1" x14ac:dyDescent="0.2">
      <c r="B511" s="4">
        <v>35078</v>
      </c>
      <c r="C511" s="4">
        <v>0</v>
      </c>
      <c r="D511">
        <v>0</v>
      </c>
      <c r="E511" t="str">
        <f>VLOOKUP(B511,Nuclides!A:F,5,FALSE)</f>
        <v>Br78</v>
      </c>
      <c r="F511">
        <f>VLOOKUP(B511,Nuclides!A:F,4,FALSE)</f>
        <v>387</v>
      </c>
      <c r="G511" s="4" t="str">
        <f t="shared" si="44"/>
        <v>6.45min</v>
      </c>
      <c r="H511" s="4">
        <f t="shared" si="45"/>
        <v>1.7910779859430111E-3</v>
      </c>
      <c r="I511" s="4">
        <f t="shared" si="46"/>
        <v>0</v>
      </c>
      <c r="J511" s="4">
        <f t="shared" si="47"/>
        <v>0</v>
      </c>
      <c r="K511" s="4" t="str">
        <f t="shared" si="48"/>
        <v>Br78</v>
      </c>
    </row>
    <row r="512" spans="2:11" hidden="1" x14ac:dyDescent="0.2">
      <c r="B512" s="4">
        <v>35079</v>
      </c>
      <c r="C512" s="4">
        <v>0</v>
      </c>
      <c r="D512">
        <v>0</v>
      </c>
      <c r="E512" t="str">
        <f>VLOOKUP(B512,Nuclides!A:F,5,FALSE)</f>
        <v>Br79</v>
      </c>
      <c r="F512" t="str">
        <f>VLOOKUP(B512,Nuclides!A:F,4,FALSE)</f>
        <v>STABLE</v>
      </c>
      <c r="G512" s="4" t="str">
        <f t="shared" si="44"/>
        <v>STABLE</v>
      </c>
      <c r="H512" s="4" t="e">
        <f t="shared" si="45"/>
        <v>#VALUE!</v>
      </c>
      <c r="I512" s="4" t="e">
        <f t="shared" si="46"/>
        <v>#VALUE!</v>
      </c>
      <c r="J512" s="4" t="e">
        <f t="shared" si="47"/>
        <v>#VALUE!</v>
      </c>
      <c r="K512" s="4" t="str">
        <f t="shared" si="48"/>
        <v>Br79</v>
      </c>
    </row>
    <row r="513" spans="2:11" hidden="1" x14ac:dyDescent="0.2">
      <c r="B513" s="4">
        <v>35080</v>
      </c>
      <c r="C513" s="4">
        <v>0</v>
      </c>
      <c r="D513">
        <v>0</v>
      </c>
      <c r="E513" t="str">
        <f>VLOOKUP(B513,Nuclides!A:F,5,FALSE)</f>
        <v>Br80</v>
      </c>
      <c r="F513">
        <f>VLOOKUP(B513,Nuclides!A:F,4,FALSE)</f>
        <v>1060.8</v>
      </c>
      <c r="G513" s="4" t="str">
        <f t="shared" si="44"/>
        <v>17.68min</v>
      </c>
      <c r="H513" s="4">
        <f t="shared" si="45"/>
        <v>6.5341928785816864E-4</v>
      </c>
      <c r="I513" s="4">
        <f t="shared" si="46"/>
        <v>0</v>
      </c>
      <c r="J513" s="4">
        <f t="shared" si="47"/>
        <v>0</v>
      </c>
      <c r="K513" s="4" t="str">
        <f t="shared" si="48"/>
        <v>Br80</v>
      </c>
    </row>
    <row r="514" spans="2:11" hidden="1" x14ac:dyDescent="0.2">
      <c r="B514" s="4">
        <v>35081</v>
      </c>
      <c r="C514" s="4">
        <v>0</v>
      </c>
      <c r="D514">
        <v>0</v>
      </c>
      <c r="E514" t="str">
        <f>VLOOKUP(B514,Nuclides!A:F,5,FALSE)</f>
        <v>Br81</v>
      </c>
      <c r="F514" t="str">
        <f>VLOOKUP(B514,Nuclides!A:F,4,FALSE)</f>
        <v>STABLE</v>
      </c>
      <c r="G514" s="4" t="str">
        <f t="shared" si="44"/>
        <v>STABLE</v>
      </c>
      <c r="H514" s="4" t="e">
        <f t="shared" si="45"/>
        <v>#VALUE!</v>
      </c>
      <c r="I514" s="4" t="e">
        <f t="shared" si="46"/>
        <v>#VALUE!</v>
      </c>
      <c r="J514" s="4" t="e">
        <f t="shared" si="47"/>
        <v>#VALUE!</v>
      </c>
      <c r="K514" s="4" t="str">
        <f t="shared" si="48"/>
        <v>Br81</v>
      </c>
    </row>
    <row r="515" spans="2:11" hidden="1" x14ac:dyDescent="0.2">
      <c r="B515" s="4">
        <v>35082</v>
      </c>
      <c r="C515" s="4">
        <v>0</v>
      </c>
      <c r="D515">
        <v>0</v>
      </c>
      <c r="E515" t="str">
        <f>VLOOKUP(B515,Nuclides!A:F,5,FALSE)</f>
        <v>Br82</v>
      </c>
      <c r="F515">
        <f>VLOOKUP(B515,Nuclides!A:F,4,FALSE)</f>
        <v>127015.19999999899</v>
      </c>
      <c r="G515" s="4" t="str">
        <f t="shared" si="44"/>
        <v>1.47d</v>
      </c>
      <c r="H515" s="4">
        <f t="shared" si="45"/>
        <v>5.4571986703949669E-6</v>
      </c>
      <c r="I515" s="4">
        <f t="shared" si="46"/>
        <v>0</v>
      </c>
      <c r="J515" s="4">
        <f t="shared" si="47"/>
        <v>0</v>
      </c>
      <c r="K515" s="4" t="str">
        <f t="shared" si="48"/>
        <v>Br82</v>
      </c>
    </row>
    <row r="516" spans="2:11" hidden="1" x14ac:dyDescent="0.2">
      <c r="B516" s="4">
        <v>35083</v>
      </c>
      <c r="C516" s="4">
        <v>0</v>
      </c>
      <c r="D516">
        <v>0</v>
      </c>
      <c r="E516" t="str">
        <f>VLOOKUP(B516,Nuclides!A:F,5,FALSE)</f>
        <v>Br83</v>
      </c>
      <c r="F516">
        <f>VLOOKUP(B516,Nuclides!A:F,4,FALSE)</f>
        <v>8546.4</v>
      </c>
      <c r="G516" s="4" t="str">
        <f t="shared" si="44"/>
        <v>2.37h</v>
      </c>
      <c r="H516" s="4">
        <f t="shared" si="45"/>
        <v>8.1103994729938379E-5</v>
      </c>
      <c r="I516" s="4">
        <f t="shared" si="46"/>
        <v>0</v>
      </c>
      <c r="J516" s="4">
        <f t="shared" si="47"/>
        <v>0</v>
      </c>
      <c r="K516" s="4" t="str">
        <f t="shared" si="48"/>
        <v>Br83</v>
      </c>
    </row>
    <row r="517" spans="2:11" hidden="1" x14ac:dyDescent="0.2">
      <c r="B517" s="4">
        <v>35084</v>
      </c>
      <c r="C517" s="4">
        <v>0</v>
      </c>
      <c r="D517">
        <v>0</v>
      </c>
      <c r="E517" t="str">
        <f>VLOOKUP(B517,Nuclides!A:F,5,FALSE)</f>
        <v>Br84</v>
      </c>
      <c r="F517">
        <f>VLOOKUP(B517,Nuclides!A:F,4,FALSE)</f>
        <v>1905.6</v>
      </c>
      <c r="G517" s="4" t="str">
        <f t="shared" ref="G517:G580" si="49">IF(F517="STABLE", "STABLE", IF(F517&lt;60, F517&amp;"s", IF(F517&lt;3600, ROUND(F517/60,2)&amp;"min", IF(F517&lt;86400, ROUND(F517/3600,2)&amp;"h", IF(F517&lt;31536000, ROUND(F517/86400,2)&amp;"d", ROUND(F517/31536000,2)&amp;"y")))))</f>
        <v>31.76min</v>
      </c>
      <c r="H517" s="4">
        <f t="shared" ref="H517:H580" si="50">LN(2)/F517</f>
        <v>3.6374222321575639E-4</v>
      </c>
      <c r="I517" s="4">
        <f t="shared" ref="I517:I580" si="51">60*6240000000000*C517*(1-EXP(-H517*2*3600))</f>
        <v>0</v>
      </c>
      <c r="J517" s="4">
        <f t="shared" ref="J517:J580" si="52">I517*EXP(-H517*48*3600)</f>
        <v>0</v>
      </c>
      <c r="K517" s="4" t="str">
        <f t="shared" ref="K517:K580" si="53">E517</f>
        <v>Br84</v>
      </c>
    </row>
    <row r="518" spans="2:11" hidden="1" x14ac:dyDescent="0.2">
      <c r="B518" s="4">
        <v>35085</v>
      </c>
      <c r="C518" s="4">
        <v>0</v>
      </c>
      <c r="D518">
        <v>0</v>
      </c>
      <c r="E518" t="str">
        <f>VLOOKUP(B518,Nuclides!A:F,5,FALSE)</f>
        <v>Br85</v>
      </c>
      <c r="F518">
        <f>VLOOKUP(B518,Nuclides!A:F,4,FALSE)</f>
        <v>174</v>
      </c>
      <c r="G518" s="4" t="str">
        <f t="shared" si="49"/>
        <v>2.9min</v>
      </c>
      <c r="H518" s="4">
        <f t="shared" si="50"/>
        <v>3.9836044859766972E-3</v>
      </c>
      <c r="I518" s="4">
        <f t="shared" si="51"/>
        <v>0</v>
      </c>
      <c r="J518" s="4">
        <f t="shared" si="52"/>
        <v>0</v>
      </c>
      <c r="K518" s="4" t="str">
        <f t="shared" si="53"/>
        <v>Br85</v>
      </c>
    </row>
    <row r="519" spans="2:11" hidden="1" x14ac:dyDescent="0.2">
      <c r="B519" s="4">
        <v>35086</v>
      </c>
      <c r="C519" s="4">
        <v>0</v>
      </c>
      <c r="D519">
        <v>0</v>
      </c>
      <c r="E519" t="str">
        <f>VLOOKUP(B519,Nuclides!A:F,5,FALSE)</f>
        <v>Br86</v>
      </c>
      <c r="F519">
        <f>VLOOKUP(B519,Nuclides!A:F,4,FALSE)</f>
        <v>55.1</v>
      </c>
      <c r="G519" s="4" t="str">
        <f t="shared" si="49"/>
        <v>55.1s</v>
      </c>
      <c r="H519" s="4">
        <f t="shared" si="50"/>
        <v>1.2579803639926411E-2</v>
      </c>
      <c r="I519" s="4">
        <f t="shared" si="51"/>
        <v>0</v>
      </c>
      <c r="J519" s="4">
        <f t="shared" si="52"/>
        <v>0</v>
      </c>
      <c r="K519" s="4" t="str">
        <f t="shared" si="53"/>
        <v>Br86</v>
      </c>
    </row>
    <row r="520" spans="2:11" hidden="1" x14ac:dyDescent="0.2">
      <c r="B520" s="4">
        <v>35087</v>
      </c>
      <c r="C520" s="4">
        <v>0</v>
      </c>
      <c r="D520">
        <v>0</v>
      </c>
      <c r="E520" t="str">
        <f>VLOOKUP(B520,Nuclides!A:F,5,FALSE)</f>
        <v>Br87</v>
      </c>
      <c r="F520">
        <f>VLOOKUP(B520,Nuclides!A:F,4,FALSE)</f>
        <v>55.65</v>
      </c>
      <c r="G520" s="4" t="str">
        <f t="shared" si="49"/>
        <v>55.65s</v>
      </c>
      <c r="H520" s="4">
        <f t="shared" si="50"/>
        <v>1.2455474942676466E-2</v>
      </c>
      <c r="I520" s="4">
        <f t="shared" si="51"/>
        <v>0</v>
      </c>
      <c r="J520" s="4">
        <f t="shared" si="52"/>
        <v>0</v>
      </c>
      <c r="K520" s="4" t="str">
        <f t="shared" si="53"/>
        <v>Br87</v>
      </c>
    </row>
    <row r="521" spans="2:11" hidden="1" x14ac:dyDescent="0.2">
      <c r="B521" s="4">
        <v>35088</v>
      </c>
      <c r="C521" s="4">
        <v>0</v>
      </c>
      <c r="D521">
        <v>0</v>
      </c>
      <c r="E521" t="str">
        <f>VLOOKUP(B521,Nuclides!A:F,5,FALSE)</f>
        <v>Br88</v>
      </c>
      <c r="F521">
        <f>VLOOKUP(B521,Nuclides!A:F,4,FALSE)</f>
        <v>16.34</v>
      </c>
      <c r="G521" s="4" t="str">
        <f t="shared" si="49"/>
        <v>16.34s</v>
      </c>
      <c r="H521" s="4">
        <f t="shared" si="50"/>
        <v>4.242026808812395E-2</v>
      </c>
      <c r="I521" s="4">
        <f t="shared" si="51"/>
        <v>0</v>
      </c>
      <c r="J521" s="4">
        <f t="shared" si="52"/>
        <v>0</v>
      </c>
      <c r="K521" s="4" t="str">
        <f t="shared" si="53"/>
        <v>Br88</v>
      </c>
    </row>
    <row r="522" spans="2:11" hidden="1" x14ac:dyDescent="0.2">
      <c r="B522" s="4">
        <v>35089</v>
      </c>
      <c r="C522" s="4">
        <v>0</v>
      </c>
      <c r="D522">
        <v>0</v>
      </c>
      <c r="E522" t="str">
        <f>VLOOKUP(B522,Nuclides!A:F,5,FALSE)</f>
        <v>Br89</v>
      </c>
      <c r="F522">
        <f>VLOOKUP(B522,Nuclides!A:F,4,FALSE)</f>
        <v>4.3570000000000002</v>
      </c>
      <c r="G522" s="4" t="str">
        <f t="shared" si="49"/>
        <v>4.357s</v>
      </c>
      <c r="H522" s="4">
        <f t="shared" si="50"/>
        <v>0.15908817547852772</v>
      </c>
      <c r="I522" s="4">
        <f t="shared" si="51"/>
        <v>0</v>
      </c>
      <c r="J522" s="4">
        <f t="shared" si="52"/>
        <v>0</v>
      </c>
      <c r="K522" s="4" t="str">
        <f t="shared" si="53"/>
        <v>Br89</v>
      </c>
    </row>
    <row r="523" spans="2:11" hidden="1" x14ac:dyDescent="0.2">
      <c r="B523" s="4">
        <v>35090</v>
      </c>
      <c r="C523" s="4">
        <v>0</v>
      </c>
      <c r="D523">
        <v>0</v>
      </c>
      <c r="E523" t="str">
        <f>VLOOKUP(B523,Nuclides!A:F,5,FALSE)</f>
        <v>Br90</v>
      </c>
      <c r="F523">
        <f>VLOOKUP(B523,Nuclides!A:F,4,FALSE)</f>
        <v>1.92</v>
      </c>
      <c r="G523" s="4" t="str">
        <f t="shared" si="49"/>
        <v>1.92s</v>
      </c>
      <c r="H523" s="4">
        <f t="shared" si="50"/>
        <v>0.36101415654163821</v>
      </c>
      <c r="I523" s="4">
        <f t="shared" si="51"/>
        <v>0</v>
      </c>
      <c r="J523" s="4">
        <f t="shared" si="52"/>
        <v>0</v>
      </c>
      <c r="K523" s="4" t="str">
        <f t="shared" si="53"/>
        <v>Br90</v>
      </c>
    </row>
    <row r="524" spans="2:11" hidden="1" x14ac:dyDescent="0.2">
      <c r="B524" s="4">
        <v>35091</v>
      </c>
      <c r="C524" s="4">
        <v>0</v>
      </c>
      <c r="D524">
        <v>0</v>
      </c>
      <c r="E524" t="str">
        <f>VLOOKUP(B524,Nuclides!A:F,5,FALSE)</f>
        <v>Br91</v>
      </c>
      <c r="F524">
        <f>VLOOKUP(B524,Nuclides!A:F,4,FALSE)</f>
        <v>0.54300000000000004</v>
      </c>
      <c r="G524" s="4" t="str">
        <f t="shared" si="49"/>
        <v>0.543s</v>
      </c>
      <c r="H524" s="4">
        <f t="shared" si="50"/>
        <v>1.2765141446776156</v>
      </c>
      <c r="I524" s="4">
        <f t="shared" si="51"/>
        <v>0</v>
      </c>
      <c r="J524" s="4">
        <f t="shared" si="52"/>
        <v>0</v>
      </c>
      <c r="K524" s="4" t="str">
        <f t="shared" si="53"/>
        <v>Br91</v>
      </c>
    </row>
    <row r="525" spans="2:11" hidden="1" x14ac:dyDescent="0.2">
      <c r="B525" s="4">
        <v>35092</v>
      </c>
      <c r="C525" s="4">
        <v>0</v>
      </c>
      <c r="D525">
        <v>0</v>
      </c>
      <c r="E525" t="str">
        <f>VLOOKUP(B525,Nuclides!A:F,5,FALSE)</f>
        <v>Br92</v>
      </c>
      <c r="F525">
        <f>VLOOKUP(B525,Nuclides!A:F,4,FALSE)</f>
        <v>0.314</v>
      </c>
      <c r="G525" s="4" t="str">
        <f t="shared" si="49"/>
        <v>0.314s</v>
      </c>
      <c r="H525" s="4">
        <f t="shared" si="50"/>
        <v>2.2074750973246666</v>
      </c>
      <c r="I525" s="4">
        <f t="shared" si="51"/>
        <v>0</v>
      </c>
      <c r="J525" s="4">
        <f t="shared" si="52"/>
        <v>0</v>
      </c>
      <c r="K525" s="4" t="str">
        <f t="shared" si="53"/>
        <v>Br92</v>
      </c>
    </row>
    <row r="526" spans="2:11" hidden="1" x14ac:dyDescent="0.2">
      <c r="B526" s="4">
        <v>36071</v>
      </c>
      <c r="C526" s="4">
        <v>0</v>
      </c>
      <c r="D526">
        <v>0</v>
      </c>
      <c r="E526" t="str">
        <f>VLOOKUP(B526,Nuclides!A:F,5,FALSE)</f>
        <v>Kr71</v>
      </c>
      <c r="F526">
        <f>VLOOKUP(B526,Nuclides!A:F,4,FALSE)</f>
        <v>0.1</v>
      </c>
      <c r="G526" s="4" t="str">
        <f t="shared" si="49"/>
        <v>0.1s</v>
      </c>
      <c r="H526" s="4">
        <f t="shared" si="50"/>
        <v>6.9314718055994522</v>
      </c>
      <c r="I526" s="4">
        <f t="shared" si="51"/>
        <v>0</v>
      </c>
      <c r="J526" s="4">
        <f t="shared" si="52"/>
        <v>0</v>
      </c>
      <c r="K526" s="4" t="str">
        <f t="shared" si="53"/>
        <v>Kr71</v>
      </c>
    </row>
    <row r="527" spans="2:11" hidden="1" x14ac:dyDescent="0.2">
      <c r="B527" s="4">
        <v>36072</v>
      </c>
      <c r="C527" s="4">
        <v>0</v>
      </c>
      <c r="D527">
        <v>0</v>
      </c>
      <c r="E527" t="str">
        <f>VLOOKUP(B527,Nuclides!A:F,5,FALSE)</f>
        <v>Kr72</v>
      </c>
      <c r="F527">
        <f>VLOOKUP(B527,Nuclides!A:F,4,FALSE)</f>
        <v>17.100000000000001</v>
      </c>
      <c r="G527" s="4" t="str">
        <f t="shared" si="49"/>
        <v>17.1s</v>
      </c>
      <c r="H527" s="4">
        <f t="shared" si="50"/>
        <v>4.0534922839762878E-2</v>
      </c>
      <c r="I527" s="4">
        <f t="shared" si="51"/>
        <v>0</v>
      </c>
      <c r="J527" s="4">
        <f t="shared" si="52"/>
        <v>0</v>
      </c>
      <c r="K527" s="4" t="str">
        <f t="shared" si="53"/>
        <v>Kr72</v>
      </c>
    </row>
    <row r="528" spans="2:11" hidden="1" x14ac:dyDescent="0.2">
      <c r="B528" s="4">
        <v>36073</v>
      </c>
      <c r="C528" s="4">
        <v>0</v>
      </c>
      <c r="D528">
        <v>0</v>
      </c>
      <c r="E528" t="str">
        <f>VLOOKUP(B528,Nuclides!A:F,5,FALSE)</f>
        <v>Kr73</v>
      </c>
      <c r="F528">
        <f>VLOOKUP(B528,Nuclides!A:F,4,FALSE)</f>
        <v>27.3</v>
      </c>
      <c r="G528" s="4" t="str">
        <f t="shared" si="49"/>
        <v>27.3s</v>
      </c>
      <c r="H528" s="4">
        <f t="shared" si="50"/>
        <v>2.539000661391741E-2</v>
      </c>
      <c r="I528" s="4">
        <f t="shared" si="51"/>
        <v>0</v>
      </c>
      <c r="J528" s="4">
        <f t="shared" si="52"/>
        <v>0</v>
      </c>
      <c r="K528" s="4" t="str">
        <f t="shared" si="53"/>
        <v>Kr73</v>
      </c>
    </row>
    <row r="529" spans="2:11" hidden="1" x14ac:dyDescent="0.2">
      <c r="B529" s="4">
        <v>36074</v>
      </c>
      <c r="C529" s="4">
        <v>0</v>
      </c>
      <c r="D529">
        <v>0</v>
      </c>
      <c r="E529" t="str">
        <f>VLOOKUP(B529,Nuclides!A:F,5,FALSE)</f>
        <v>Kr74</v>
      </c>
      <c r="F529">
        <f>VLOOKUP(B529,Nuclides!A:F,4,FALSE)</f>
        <v>690</v>
      </c>
      <c r="G529" s="4" t="str">
        <f t="shared" si="49"/>
        <v>11.5min</v>
      </c>
      <c r="H529" s="4">
        <f t="shared" si="50"/>
        <v>1.0045611312462974E-3</v>
      </c>
      <c r="I529" s="4">
        <f t="shared" si="51"/>
        <v>0</v>
      </c>
      <c r="J529" s="4">
        <f t="shared" si="52"/>
        <v>0</v>
      </c>
      <c r="K529" s="4" t="str">
        <f t="shared" si="53"/>
        <v>Kr74</v>
      </c>
    </row>
    <row r="530" spans="2:11" hidden="1" x14ac:dyDescent="0.2">
      <c r="B530" s="4">
        <v>36075</v>
      </c>
      <c r="C530" s="4">
        <v>0</v>
      </c>
      <c r="D530">
        <v>0</v>
      </c>
      <c r="E530" t="str">
        <f>VLOOKUP(B530,Nuclides!A:F,5,FALSE)</f>
        <v>Kr75</v>
      </c>
      <c r="F530">
        <f>VLOOKUP(B530,Nuclides!A:F,4,FALSE)</f>
        <v>276</v>
      </c>
      <c r="G530" s="4" t="str">
        <f t="shared" si="49"/>
        <v>4.6min</v>
      </c>
      <c r="H530" s="4">
        <f t="shared" si="50"/>
        <v>2.5114028281157438E-3</v>
      </c>
      <c r="I530" s="4">
        <f t="shared" si="51"/>
        <v>0</v>
      </c>
      <c r="J530" s="4">
        <f t="shared" si="52"/>
        <v>0</v>
      </c>
      <c r="K530" s="4" t="str">
        <f t="shared" si="53"/>
        <v>Kr75</v>
      </c>
    </row>
    <row r="531" spans="2:11" hidden="1" x14ac:dyDescent="0.2">
      <c r="B531" s="4">
        <v>36076</v>
      </c>
      <c r="C531" s="4">
        <v>0</v>
      </c>
      <c r="D531">
        <v>0</v>
      </c>
      <c r="E531" t="str">
        <f>VLOOKUP(B531,Nuclides!A:F,5,FALSE)</f>
        <v>Kr76</v>
      </c>
      <c r="F531">
        <f>VLOOKUP(B531,Nuclides!A:F,4,FALSE)</f>
        <v>53280</v>
      </c>
      <c r="G531" s="4" t="str">
        <f t="shared" si="49"/>
        <v>14.8h</v>
      </c>
      <c r="H531" s="4">
        <f t="shared" si="50"/>
        <v>1.3009519154653629E-5</v>
      </c>
      <c r="I531" s="4">
        <f t="shared" si="51"/>
        <v>0</v>
      </c>
      <c r="J531" s="4">
        <f t="shared" si="52"/>
        <v>0</v>
      </c>
      <c r="K531" s="4" t="str">
        <f t="shared" si="53"/>
        <v>Kr76</v>
      </c>
    </row>
    <row r="532" spans="2:11" hidden="1" x14ac:dyDescent="0.2">
      <c r="B532" s="4">
        <v>36077</v>
      </c>
      <c r="C532" s="4">
        <v>0</v>
      </c>
      <c r="D532">
        <v>0</v>
      </c>
      <c r="E532" t="str">
        <f>VLOOKUP(B532,Nuclides!A:F,5,FALSE)</f>
        <v>Kr77</v>
      </c>
      <c r="F532">
        <f>VLOOKUP(B532,Nuclides!A:F,4,FALSE)</f>
        <v>4464</v>
      </c>
      <c r="G532" s="4" t="str">
        <f t="shared" si="49"/>
        <v>1.24h</v>
      </c>
      <c r="H532" s="4">
        <f t="shared" si="50"/>
        <v>1.5527490603941426E-4</v>
      </c>
      <c r="I532" s="4">
        <f t="shared" si="51"/>
        <v>0</v>
      </c>
      <c r="J532" s="4">
        <f t="shared" si="52"/>
        <v>0</v>
      </c>
      <c r="K532" s="4" t="str">
        <f t="shared" si="53"/>
        <v>Kr77</v>
      </c>
    </row>
    <row r="533" spans="2:11" hidden="1" x14ac:dyDescent="0.2">
      <c r="B533" s="4">
        <v>36078</v>
      </c>
      <c r="C533" s="4">
        <v>0</v>
      </c>
      <c r="D533">
        <v>0</v>
      </c>
      <c r="E533" t="str">
        <f>VLOOKUP(B533,Nuclides!A:F,5,FALSE)</f>
        <v>Kr78</v>
      </c>
      <c r="F533">
        <f>VLOOKUP(B533,Nuclides!A:F,4,FALSE)</f>
        <v>4.73364E+28</v>
      </c>
      <c r="G533" s="4" t="str">
        <f t="shared" si="49"/>
        <v>1.50102739726027E+21y</v>
      </c>
      <c r="H533" s="4">
        <f t="shared" si="50"/>
        <v>1.4643005817086752E-29</v>
      </c>
      <c r="I533" s="4">
        <f t="shared" si="51"/>
        <v>0</v>
      </c>
      <c r="J533" s="4">
        <f t="shared" si="52"/>
        <v>0</v>
      </c>
      <c r="K533" s="4" t="str">
        <f t="shared" si="53"/>
        <v>Kr78</v>
      </c>
    </row>
    <row r="534" spans="2:11" hidden="1" x14ac:dyDescent="0.2">
      <c r="B534" s="4">
        <v>36079</v>
      </c>
      <c r="C534" s="4">
        <v>0</v>
      </c>
      <c r="D534">
        <v>0</v>
      </c>
      <c r="E534" t="str">
        <f>VLOOKUP(B534,Nuclides!A:F,5,FALSE)</f>
        <v>Kr79</v>
      </c>
      <c r="F534">
        <f>VLOOKUP(B534,Nuclides!A:F,4,FALSE)</f>
        <v>126144</v>
      </c>
      <c r="G534" s="4" t="str">
        <f t="shared" si="49"/>
        <v>1.46d</v>
      </c>
      <c r="H534" s="4">
        <f t="shared" si="50"/>
        <v>5.4948882274221945E-6</v>
      </c>
      <c r="I534" s="4">
        <f t="shared" si="51"/>
        <v>0</v>
      </c>
      <c r="J534" s="4">
        <f t="shared" si="52"/>
        <v>0</v>
      </c>
      <c r="K534" s="4" t="str">
        <f t="shared" si="53"/>
        <v>Kr79</v>
      </c>
    </row>
    <row r="535" spans="2:11" hidden="1" x14ac:dyDescent="0.2">
      <c r="B535" s="4">
        <v>36080</v>
      </c>
      <c r="C535" s="4">
        <v>0</v>
      </c>
      <c r="D535">
        <v>0</v>
      </c>
      <c r="E535" t="str">
        <f>VLOOKUP(B535,Nuclides!A:F,5,FALSE)</f>
        <v>Kr80</v>
      </c>
      <c r="F535" t="str">
        <f>VLOOKUP(B535,Nuclides!A:F,4,FALSE)</f>
        <v>STABLE</v>
      </c>
      <c r="G535" s="4" t="str">
        <f t="shared" si="49"/>
        <v>STABLE</v>
      </c>
      <c r="H535" s="4" t="e">
        <f t="shared" si="50"/>
        <v>#VALUE!</v>
      </c>
      <c r="I535" s="4" t="e">
        <f t="shared" si="51"/>
        <v>#VALUE!</v>
      </c>
      <c r="J535" s="4" t="e">
        <f t="shared" si="52"/>
        <v>#VALUE!</v>
      </c>
      <c r="K535" s="4" t="str">
        <f t="shared" si="53"/>
        <v>Kr80</v>
      </c>
    </row>
    <row r="536" spans="2:11" hidden="1" x14ac:dyDescent="0.2">
      <c r="B536" s="4">
        <v>36081</v>
      </c>
      <c r="C536" s="4">
        <v>0</v>
      </c>
      <c r="D536">
        <v>0</v>
      </c>
      <c r="E536" t="str">
        <f>VLOOKUP(B536,Nuclides!A:F,5,FALSE)</f>
        <v>Kr81</v>
      </c>
      <c r="F536">
        <f>VLOOKUP(B536,Nuclides!A:F,4,FALSE)</f>
        <v>7226690400000</v>
      </c>
      <c r="G536" s="4" t="str">
        <f t="shared" si="49"/>
        <v>229156.85y</v>
      </c>
      <c r="H536" s="4">
        <f t="shared" si="50"/>
        <v>9.5914885264760377E-14</v>
      </c>
      <c r="I536" s="4">
        <f t="shared" si="51"/>
        <v>0</v>
      </c>
      <c r="J536" s="4">
        <f t="shared" si="52"/>
        <v>0</v>
      </c>
      <c r="K536" s="4" t="str">
        <f t="shared" si="53"/>
        <v>Kr81</v>
      </c>
    </row>
    <row r="537" spans="2:11" hidden="1" x14ac:dyDescent="0.2">
      <c r="B537" s="4">
        <v>36082</v>
      </c>
      <c r="C537" s="4">
        <v>0</v>
      </c>
      <c r="D537">
        <v>0</v>
      </c>
      <c r="E537" t="str">
        <f>VLOOKUP(B537,Nuclides!A:F,5,FALSE)</f>
        <v>Kr82</v>
      </c>
      <c r="F537" t="str">
        <f>VLOOKUP(B537,Nuclides!A:F,4,FALSE)</f>
        <v>STABLE</v>
      </c>
      <c r="G537" s="4" t="str">
        <f t="shared" si="49"/>
        <v>STABLE</v>
      </c>
      <c r="H537" s="4" t="e">
        <f t="shared" si="50"/>
        <v>#VALUE!</v>
      </c>
      <c r="I537" s="4" t="e">
        <f t="shared" si="51"/>
        <v>#VALUE!</v>
      </c>
      <c r="J537" s="4" t="e">
        <f t="shared" si="52"/>
        <v>#VALUE!</v>
      </c>
      <c r="K537" s="4" t="str">
        <f t="shared" si="53"/>
        <v>Kr82</v>
      </c>
    </row>
    <row r="538" spans="2:11" hidden="1" x14ac:dyDescent="0.2">
      <c r="B538" s="4">
        <v>36083</v>
      </c>
      <c r="C538" s="4">
        <v>0</v>
      </c>
      <c r="D538">
        <v>0</v>
      </c>
      <c r="E538" t="str">
        <f>VLOOKUP(B538,Nuclides!A:F,5,FALSE)</f>
        <v>Kr83</v>
      </c>
      <c r="F538" t="str">
        <f>VLOOKUP(B538,Nuclides!A:F,4,FALSE)</f>
        <v>STABLE</v>
      </c>
      <c r="G538" s="4" t="str">
        <f t="shared" si="49"/>
        <v>STABLE</v>
      </c>
      <c r="H538" s="4" t="e">
        <f t="shared" si="50"/>
        <v>#VALUE!</v>
      </c>
      <c r="I538" s="4" t="e">
        <f t="shared" si="51"/>
        <v>#VALUE!</v>
      </c>
      <c r="J538" s="4" t="e">
        <f t="shared" si="52"/>
        <v>#VALUE!</v>
      </c>
      <c r="K538" s="4" t="str">
        <f t="shared" si="53"/>
        <v>Kr83</v>
      </c>
    </row>
    <row r="539" spans="2:11" hidden="1" x14ac:dyDescent="0.2">
      <c r="B539" s="4">
        <v>36084</v>
      </c>
      <c r="C539" s="4">
        <v>0</v>
      </c>
      <c r="D539">
        <v>0</v>
      </c>
      <c r="E539" t="str">
        <f>VLOOKUP(B539,Nuclides!A:F,5,FALSE)</f>
        <v>Kr84</v>
      </c>
      <c r="F539" t="str">
        <f>VLOOKUP(B539,Nuclides!A:F,4,FALSE)</f>
        <v>STABLE</v>
      </c>
      <c r="G539" s="4" t="str">
        <f t="shared" si="49"/>
        <v>STABLE</v>
      </c>
      <c r="H539" s="4" t="e">
        <f t="shared" si="50"/>
        <v>#VALUE!</v>
      </c>
      <c r="I539" s="4" t="e">
        <f t="shared" si="51"/>
        <v>#VALUE!</v>
      </c>
      <c r="J539" s="4" t="e">
        <f t="shared" si="52"/>
        <v>#VALUE!</v>
      </c>
      <c r="K539" s="4" t="str">
        <f t="shared" si="53"/>
        <v>Kr84</v>
      </c>
    </row>
    <row r="540" spans="2:11" hidden="1" x14ac:dyDescent="0.2">
      <c r="B540" s="4">
        <v>36085</v>
      </c>
      <c r="C540" s="4">
        <v>0</v>
      </c>
      <c r="D540">
        <v>0</v>
      </c>
      <c r="E540" t="str">
        <f>VLOOKUP(B540,Nuclides!A:F,5,FALSE)</f>
        <v>Kr85</v>
      </c>
      <c r="F540">
        <f>VLOOKUP(B540,Nuclides!A:F,4,FALSE)</f>
        <v>338897066.39999998</v>
      </c>
      <c r="G540" s="4" t="str">
        <f t="shared" si="49"/>
        <v>10.75y</v>
      </c>
      <c r="H540" s="4">
        <f t="shared" si="50"/>
        <v>2.045302982179917E-9</v>
      </c>
      <c r="I540" s="4">
        <f t="shared" si="51"/>
        <v>0</v>
      </c>
      <c r="J540" s="4">
        <f t="shared" si="52"/>
        <v>0</v>
      </c>
      <c r="K540" s="4" t="str">
        <f t="shared" si="53"/>
        <v>Kr85</v>
      </c>
    </row>
    <row r="541" spans="2:11" hidden="1" x14ac:dyDescent="0.2">
      <c r="B541" s="4">
        <v>36086</v>
      </c>
      <c r="C541" s="4">
        <v>0</v>
      </c>
      <c r="D541">
        <v>0</v>
      </c>
      <c r="E541" t="str">
        <f>VLOOKUP(B541,Nuclides!A:F,5,FALSE)</f>
        <v>Kr86</v>
      </c>
      <c r="F541" t="str">
        <f>VLOOKUP(B541,Nuclides!A:F,4,FALSE)</f>
        <v>STABLE</v>
      </c>
      <c r="G541" s="4" t="str">
        <f t="shared" si="49"/>
        <v>STABLE</v>
      </c>
      <c r="H541" s="4" t="e">
        <f t="shared" si="50"/>
        <v>#VALUE!</v>
      </c>
      <c r="I541" s="4" t="e">
        <f t="shared" si="51"/>
        <v>#VALUE!</v>
      </c>
      <c r="J541" s="4" t="e">
        <f t="shared" si="52"/>
        <v>#VALUE!</v>
      </c>
      <c r="K541" s="4" t="str">
        <f t="shared" si="53"/>
        <v>Kr86</v>
      </c>
    </row>
    <row r="542" spans="2:11" hidden="1" x14ac:dyDescent="0.2">
      <c r="B542" s="4">
        <v>36087</v>
      </c>
      <c r="C542" s="4">
        <v>0</v>
      </c>
      <c r="D542">
        <v>0</v>
      </c>
      <c r="E542" t="str">
        <f>VLOOKUP(B542,Nuclides!A:F,5,FALSE)</f>
        <v>Kr87</v>
      </c>
      <c r="F542">
        <f>VLOOKUP(B542,Nuclides!A:F,4,FALSE)</f>
        <v>4578</v>
      </c>
      <c r="G542" s="4" t="str">
        <f t="shared" si="49"/>
        <v>1.27h</v>
      </c>
      <c r="H542" s="4">
        <f t="shared" si="50"/>
        <v>1.5140829632152584E-4</v>
      </c>
      <c r="I542" s="4">
        <f t="shared" si="51"/>
        <v>0</v>
      </c>
      <c r="J542" s="4">
        <f t="shared" si="52"/>
        <v>0</v>
      </c>
      <c r="K542" s="4" t="str">
        <f t="shared" si="53"/>
        <v>Kr87</v>
      </c>
    </row>
    <row r="543" spans="2:11" hidden="1" x14ac:dyDescent="0.2">
      <c r="B543" s="4">
        <v>36088</v>
      </c>
      <c r="C543" s="4">
        <v>0</v>
      </c>
      <c r="D543">
        <v>0</v>
      </c>
      <c r="E543" t="str">
        <f>VLOOKUP(B543,Nuclides!A:F,5,FALSE)</f>
        <v>Kr88</v>
      </c>
      <c r="F543">
        <f>VLOOKUP(B543,Nuclides!A:F,4,FALSE)</f>
        <v>10170</v>
      </c>
      <c r="G543" s="4" t="str">
        <f t="shared" si="49"/>
        <v>2.83h</v>
      </c>
      <c r="H543" s="4">
        <f t="shared" si="50"/>
        <v>6.8156064951813692E-5</v>
      </c>
      <c r="I543" s="4">
        <f t="shared" si="51"/>
        <v>0</v>
      </c>
      <c r="J543" s="4">
        <f t="shared" si="52"/>
        <v>0</v>
      </c>
      <c r="K543" s="4" t="str">
        <f t="shared" si="53"/>
        <v>Kr88</v>
      </c>
    </row>
    <row r="544" spans="2:11" hidden="1" x14ac:dyDescent="0.2">
      <c r="B544" s="4">
        <v>36089</v>
      </c>
      <c r="C544" s="4">
        <v>0</v>
      </c>
      <c r="D544">
        <v>0</v>
      </c>
      <c r="E544" t="str">
        <f>VLOOKUP(B544,Nuclides!A:F,5,FALSE)</f>
        <v>Kr89</v>
      </c>
      <c r="F544">
        <f>VLOOKUP(B544,Nuclides!A:F,4,FALSE)</f>
        <v>189</v>
      </c>
      <c r="G544" s="4" t="str">
        <f t="shared" si="49"/>
        <v>3.15min</v>
      </c>
      <c r="H544" s="4">
        <f t="shared" si="50"/>
        <v>3.6674453997880704E-3</v>
      </c>
      <c r="I544" s="4">
        <f t="shared" si="51"/>
        <v>0</v>
      </c>
      <c r="J544" s="4">
        <f t="shared" si="52"/>
        <v>0</v>
      </c>
      <c r="K544" s="4" t="str">
        <f t="shared" si="53"/>
        <v>Kr89</v>
      </c>
    </row>
    <row r="545" spans="2:11" hidden="1" x14ac:dyDescent="0.2">
      <c r="B545" s="4">
        <v>36090</v>
      </c>
      <c r="C545" s="4">
        <v>0</v>
      </c>
      <c r="D545">
        <v>0</v>
      </c>
      <c r="E545" t="str">
        <f>VLOOKUP(B545,Nuclides!A:F,5,FALSE)</f>
        <v>Kr90</v>
      </c>
      <c r="F545">
        <f>VLOOKUP(B545,Nuclides!A:F,4,FALSE)</f>
        <v>32.32</v>
      </c>
      <c r="G545" s="4" t="str">
        <f t="shared" si="49"/>
        <v>32.32s</v>
      </c>
      <c r="H545" s="4">
        <f t="shared" si="50"/>
        <v>2.1446385537127018E-2</v>
      </c>
      <c r="I545" s="4">
        <f t="shared" si="51"/>
        <v>0</v>
      </c>
      <c r="J545" s="4">
        <f t="shared" si="52"/>
        <v>0</v>
      </c>
      <c r="K545" s="4" t="str">
        <f t="shared" si="53"/>
        <v>Kr90</v>
      </c>
    </row>
    <row r="546" spans="2:11" hidden="1" x14ac:dyDescent="0.2">
      <c r="B546" s="4">
        <v>36091</v>
      </c>
      <c r="C546" s="4">
        <v>0</v>
      </c>
      <c r="D546">
        <v>0</v>
      </c>
      <c r="E546" t="str">
        <f>VLOOKUP(B546,Nuclides!A:F,5,FALSE)</f>
        <v>Kr91</v>
      </c>
      <c r="F546">
        <f>VLOOKUP(B546,Nuclides!A:F,4,FALSE)</f>
        <v>8.57</v>
      </c>
      <c r="G546" s="4" t="str">
        <f t="shared" si="49"/>
        <v>8.57s</v>
      </c>
      <c r="H546" s="4">
        <f t="shared" si="50"/>
        <v>8.0880651173855928E-2</v>
      </c>
      <c r="I546" s="4">
        <f t="shared" si="51"/>
        <v>0</v>
      </c>
      <c r="J546" s="4">
        <f t="shared" si="52"/>
        <v>0</v>
      </c>
      <c r="K546" s="4" t="str">
        <f t="shared" si="53"/>
        <v>Kr91</v>
      </c>
    </row>
    <row r="547" spans="2:11" hidden="1" x14ac:dyDescent="0.2">
      <c r="B547" s="4">
        <v>36092</v>
      </c>
      <c r="C547" s="4">
        <v>0</v>
      </c>
      <c r="D547">
        <v>0</v>
      </c>
      <c r="E547" t="str">
        <f>VLOOKUP(B547,Nuclides!A:F,5,FALSE)</f>
        <v>Kr92</v>
      </c>
      <c r="F547">
        <f>VLOOKUP(B547,Nuclides!A:F,4,FALSE)</f>
        <v>1.84</v>
      </c>
      <c r="G547" s="4" t="str">
        <f t="shared" si="49"/>
        <v>1.84s</v>
      </c>
      <c r="H547" s="4">
        <f t="shared" si="50"/>
        <v>0.37671042421736156</v>
      </c>
      <c r="I547" s="4">
        <f t="shared" si="51"/>
        <v>0</v>
      </c>
      <c r="J547" s="4">
        <f t="shared" si="52"/>
        <v>0</v>
      </c>
      <c r="K547" s="4" t="str">
        <f t="shared" si="53"/>
        <v>Kr92</v>
      </c>
    </row>
    <row r="548" spans="2:11" hidden="1" x14ac:dyDescent="0.2">
      <c r="B548" s="4">
        <v>36093</v>
      </c>
      <c r="C548" s="4">
        <v>0</v>
      </c>
      <c r="D548">
        <v>0</v>
      </c>
      <c r="E548" t="str">
        <f>VLOOKUP(B548,Nuclides!A:F,5,FALSE)</f>
        <v>Kr93</v>
      </c>
      <c r="F548">
        <f>VLOOKUP(B548,Nuclides!A:F,4,FALSE)</f>
        <v>1.286</v>
      </c>
      <c r="G548" s="4" t="str">
        <f t="shared" si="49"/>
        <v>1.286s</v>
      </c>
      <c r="H548" s="4">
        <f t="shared" si="50"/>
        <v>0.53899469716947535</v>
      </c>
      <c r="I548" s="4">
        <f t="shared" si="51"/>
        <v>0</v>
      </c>
      <c r="J548" s="4">
        <f t="shared" si="52"/>
        <v>0</v>
      </c>
      <c r="K548" s="4" t="str">
        <f t="shared" si="53"/>
        <v>Kr93</v>
      </c>
    </row>
    <row r="549" spans="2:11" hidden="1" x14ac:dyDescent="0.2">
      <c r="B549" s="4">
        <v>36094</v>
      </c>
      <c r="C549" s="4">
        <v>0</v>
      </c>
      <c r="D549">
        <v>0</v>
      </c>
      <c r="E549" t="str">
        <f>VLOOKUP(B549,Nuclides!A:F,5,FALSE)</f>
        <v>Kr94</v>
      </c>
      <c r="F549">
        <f>VLOOKUP(B549,Nuclides!A:F,4,FALSE)</f>
        <v>0.21199999999999999</v>
      </c>
      <c r="G549" s="4" t="str">
        <f t="shared" si="49"/>
        <v>0.212s</v>
      </c>
      <c r="H549" s="4">
        <f t="shared" si="50"/>
        <v>3.2695621724525723</v>
      </c>
      <c r="I549" s="4">
        <f t="shared" si="51"/>
        <v>0</v>
      </c>
      <c r="J549" s="4">
        <f t="shared" si="52"/>
        <v>0</v>
      </c>
      <c r="K549" s="4" t="str">
        <f t="shared" si="53"/>
        <v>Kr94</v>
      </c>
    </row>
    <row r="550" spans="2:11" hidden="1" x14ac:dyDescent="0.2">
      <c r="B550" s="4">
        <v>36095</v>
      </c>
      <c r="C550" s="4">
        <v>0</v>
      </c>
      <c r="D550">
        <v>0</v>
      </c>
      <c r="E550" t="str">
        <f>VLOOKUP(B550,Nuclides!A:F,5,FALSE)</f>
        <v>Kr95</v>
      </c>
      <c r="F550">
        <f>VLOOKUP(B550,Nuclides!A:F,4,FALSE)</f>
        <v>0.114</v>
      </c>
      <c r="G550" s="4" t="str">
        <f t="shared" si="49"/>
        <v>0.114s</v>
      </c>
      <c r="H550" s="4">
        <f t="shared" si="50"/>
        <v>6.0802384259644322</v>
      </c>
      <c r="I550" s="4">
        <f t="shared" si="51"/>
        <v>0</v>
      </c>
      <c r="J550" s="4">
        <f t="shared" si="52"/>
        <v>0</v>
      </c>
      <c r="K550" s="4" t="str">
        <f t="shared" si="53"/>
        <v>Kr95</v>
      </c>
    </row>
    <row r="551" spans="2:11" hidden="1" x14ac:dyDescent="0.2">
      <c r="B551" s="4">
        <v>36096</v>
      </c>
      <c r="C551" s="4">
        <v>0</v>
      </c>
      <c r="D551">
        <v>0</v>
      </c>
      <c r="E551" t="str">
        <f>VLOOKUP(B551,Nuclides!A:F,5,FALSE)</f>
        <v>Kr96</v>
      </c>
      <c r="F551">
        <f>VLOOKUP(B551,Nuclides!A:F,4,FALSE)</f>
        <v>0.08</v>
      </c>
      <c r="G551" s="4" t="str">
        <f t="shared" si="49"/>
        <v>0.08s</v>
      </c>
      <c r="H551" s="4">
        <f t="shared" si="50"/>
        <v>8.6643397569993166</v>
      </c>
      <c r="I551" s="4">
        <f t="shared" si="51"/>
        <v>0</v>
      </c>
      <c r="J551" s="4">
        <f t="shared" si="52"/>
        <v>0</v>
      </c>
      <c r="K551" s="4" t="str">
        <f t="shared" si="53"/>
        <v>Kr96</v>
      </c>
    </row>
    <row r="552" spans="2:11" hidden="1" x14ac:dyDescent="0.2">
      <c r="B552" s="4">
        <v>36097</v>
      </c>
      <c r="C552" s="4">
        <v>0</v>
      </c>
      <c r="D552">
        <v>0</v>
      </c>
      <c r="E552" t="str">
        <f>VLOOKUP(B552,Nuclides!A:F,5,FALSE)</f>
        <v>Kr97</v>
      </c>
      <c r="F552">
        <f>VLOOKUP(B552,Nuclides!A:F,4,FALSE)</f>
        <v>6.3E-2</v>
      </c>
      <c r="G552" s="4" t="str">
        <f t="shared" si="49"/>
        <v>0.063s</v>
      </c>
      <c r="H552" s="4">
        <f t="shared" si="50"/>
        <v>11.00233619936421</v>
      </c>
      <c r="I552" s="4">
        <f t="shared" si="51"/>
        <v>0</v>
      </c>
      <c r="J552" s="4">
        <f t="shared" si="52"/>
        <v>0</v>
      </c>
      <c r="K552" s="4" t="str">
        <f t="shared" si="53"/>
        <v>Kr97</v>
      </c>
    </row>
    <row r="553" spans="2:11" hidden="1" x14ac:dyDescent="0.2">
      <c r="B553" s="4">
        <v>37074</v>
      </c>
      <c r="C553" s="4">
        <v>0</v>
      </c>
      <c r="D553">
        <v>0</v>
      </c>
      <c r="E553" t="str">
        <f>VLOOKUP(B553,Nuclides!A:F,5,FALSE)</f>
        <v>Rb74</v>
      </c>
      <c r="F553">
        <f>VLOOKUP(B553,Nuclides!A:F,4,FALSE)</f>
        <v>6.4899999999999999E-2</v>
      </c>
      <c r="G553" s="4" t="str">
        <f t="shared" si="49"/>
        <v>0.0649s</v>
      </c>
      <c r="H553" s="4">
        <f t="shared" si="50"/>
        <v>10.680233906932902</v>
      </c>
      <c r="I553" s="4">
        <f t="shared" si="51"/>
        <v>0</v>
      </c>
      <c r="J553" s="4">
        <f t="shared" si="52"/>
        <v>0</v>
      </c>
      <c r="K553" s="4" t="str">
        <f t="shared" si="53"/>
        <v>Rb74</v>
      </c>
    </row>
    <row r="554" spans="2:11" hidden="1" x14ac:dyDescent="0.2">
      <c r="B554" s="4">
        <v>37075</v>
      </c>
      <c r="C554" s="4">
        <v>0</v>
      </c>
      <c r="D554">
        <v>0</v>
      </c>
      <c r="E554" t="str">
        <f>VLOOKUP(B554,Nuclides!A:F,5,FALSE)</f>
        <v>Rb75</v>
      </c>
      <c r="F554">
        <f>VLOOKUP(B554,Nuclides!A:F,4,FALSE)</f>
        <v>19</v>
      </c>
      <c r="G554" s="4" t="str">
        <f t="shared" si="49"/>
        <v>19s</v>
      </c>
      <c r="H554" s="4">
        <f t="shared" si="50"/>
        <v>3.6481430555786593E-2</v>
      </c>
      <c r="I554" s="4">
        <f t="shared" si="51"/>
        <v>0</v>
      </c>
      <c r="J554" s="4">
        <f t="shared" si="52"/>
        <v>0</v>
      </c>
      <c r="K554" s="4" t="str">
        <f t="shared" si="53"/>
        <v>Rb75</v>
      </c>
    </row>
    <row r="555" spans="2:11" hidden="1" x14ac:dyDescent="0.2">
      <c r="B555" s="4">
        <v>37076</v>
      </c>
      <c r="C555" s="4">
        <v>0</v>
      </c>
      <c r="D555">
        <v>0</v>
      </c>
      <c r="E555" t="str">
        <f>VLOOKUP(B555,Nuclides!A:F,5,FALSE)</f>
        <v>Rb76</v>
      </c>
      <c r="F555">
        <f>VLOOKUP(B555,Nuclides!A:F,4,FALSE)</f>
        <v>36.5</v>
      </c>
      <c r="G555" s="4" t="str">
        <f t="shared" si="49"/>
        <v>36.5s</v>
      </c>
      <c r="H555" s="4">
        <f t="shared" si="50"/>
        <v>1.8990333713971103E-2</v>
      </c>
      <c r="I555" s="4">
        <f t="shared" si="51"/>
        <v>0</v>
      </c>
      <c r="J555" s="4">
        <f t="shared" si="52"/>
        <v>0</v>
      </c>
      <c r="K555" s="4" t="str">
        <f t="shared" si="53"/>
        <v>Rb76</v>
      </c>
    </row>
    <row r="556" spans="2:11" hidden="1" x14ac:dyDescent="0.2">
      <c r="B556" s="4">
        <v>37077</v>
      </c>
      <c r="C556" s="4">
        <v>0</v>
      </c>
      <c r="D556">
        <v>0</v>
      </c>
      <c r="E556" t="str">
        <f>VLOOKUP(B556,Nuclides!A:F,5,FALSE)</f>
        <v>Rb77</v>
      </c>
      <c r="F556">
        <f>VLOOKUP(B556,Nuclides!A:F,4,FALSE)</f>
        <v>226.2</v>
      </c>
      <c r="G556" s="4" t="str">
        <f t="shared" si="49"/>
        <v>3.77min</v>
      </c>
      <c r="H556" s="4">
        <f t="shared" si="50"/>
        <v>3.0643111430589979E-3</v>
      </c>
      <c r="I556" s="4">
        <f t="shared" si="51"/>
        <v>0</v>
      </c>
      <c r="J556" s="4">
        <f t="shared" si="52"/>
        <v>0</v>
      </c>
      <c r="K556" s="4" t="str">
        <f t="shared" si="53"/>
        <v>Rb77</v>
      </c>
    </row>
    <row r="557" spans="2:11" hidden="1" x14ac:dyDescent="0.2">
      <c r="B557" s="4">
        <v>37078</v>
      </c>
      <c r="C557" s="4">
        <v>0</v>
      </c>
      <c r="D557">
        <v>0</v>
      </c>
      <c r="E557" t="str">
        <f>VLOOKUP(B557,Nuclides!A:F,5,FALSE)</f>
        <v>Rb78</v>
      </c>
      <c r="F557">
        <f>VLOOKUP(B557,Nuclides!A:F,4,FALSE)</f>
        <v>1059.5999999999999</v>
      </c>
      <c r="G557" s="4" t="str">
        <f t="shared" si="49"/>
        <v>17.66min</v>
      </c>
      <c r="H557" s="4">
        <f t="shared" si="50"/>
        <v>6.5415928705166604E-4</v>
      </c>
      <c r="I557" s="4">
        <f t="shared" si="51"/>
        <v>0</v>
      </c>
      <c r="J557" s="4">
        <f t="shared" si="52"/>
        <v>0</v>
      </c>
      <c r="K557" s="4" t="str">
        <f t="shared" si="53"/>
        <v>Rb78</v>
      </c>
    </row>
    <row r="558" spans="2:11" hidden="1" x14ac:dyDescent="0.2">
      <c r="B558" s="4">
        <v>37079</v>
      </c>
      <c r="C558" s="4">
        <v>0</v>
      </c>
      <c r="D558">
        <v>0</v>
      </c>
      <c r="E558" t="str">
        <f>VLOOKUP(B558,Nuclides!A:F,5,FALSE)</f>
        <v>Rb79</v>
      </c>
      <c r="F558">
        <f>VLOOKUP(B558,Nuclides!A:F,4,FALSE)</f>
        <v>1374</v>
      </c>
      <c r="G558" s="4" t="str">
        <f t="shared" si="49"/>
        <v>22.9min</v>
      </c>
      <c r="H558" s="4">
        <f t="shared" si="50"/>
        <v>5.0447393053853367E-4</v>
      </c>
      <c r="I558" s="4">
        <f t="shared" si="51"/>
        <v>0</v>
      </c>
      <c r="J558" s="4">
        <f t="shared" si="52"/>
        <v>0</v>
      </c>
      <c r="K558" s="4" t="str">
        <f t="shared" si="53"/>
        <v>Rb79</v>
      </c>
    </row>
    <row r="559" spans="2:11" hidden="1" x14ac:dyDescent="0.2">
      <c r="B559" s="4">
        <v>37080</v>
      </c>
      <c r="C559" s="4">
        <v>0</v>
      </c>
      <c r="D559">
        <v>0</v>
      </c>
      <c r="E559" t="str">
        <f>VLOOKUP(B559,Nuclides!A:F,5,FALSE)</f>
        <v>Rb80</v>
      </c>
      <c r="F559">
        <f>VLOOKUP(B559,Nuclides!A:F,4,FALSE)</f>
        <v>33.4</v>
      </c>
      <c r="G559" s="4" t="str">
        <f t="shared" si="49"/>
        <v>33.4s</v>
      </c>
      <c r="H559" s="4">
        <f t="shared" si="50"/>
        <v>2.0752909597603154E-2</v>
      </c>
      <c r="I559" s="4">
        <f t="shared" si="51"/>
        <v>0</v>
      </c>
      <c r="J559" s="4">
        <f t="shared" si="52"/>
        <v>0</v>
      </c>
      <c r="K559" s="4" t="str">
        <f t="shared" si="53"/>
        <v>Rb80</v>
      </c>
    </row>
    <row r="560" spans="2:11" hidden="1" x14ac:dyDescent="0.2">
      <c r="B560" s="4">
        <v>37081</v>
      </c>
      <c r="C560" s="4">
        <v>0</v>
      </c>
      <c r="D560">
        <v>0</v>
      </c>
      <c r="E560" t="str">
        <f>VLOOKUP(B560,Nuclides!A:F,5,FALSE)</f>
        <v>Rb81</v>
      </c>
      <c r="F560">
        <f>VLOOKUP(B560,Nuclides!A:F,4,FALSE)</f>
        <v>16459.2</v>
      </c>
      <c r="G560" s="4" t="str">
        <f t="shared" si="49"/>
        <v>4.57h</v>
      </c>
      <c r="H560" s="4">
        <f t="shared" si="50"/>
        <v>4.2113054131424693E-5</v>
      </c>
      <c r="I560" s="4">
        <f t="shared" si="51"/>
        <v>0</v>
      </c>
      <c r="J560" s="4">
        <f t="shared" si="52"/>
        <v>0</v>
      </c>
      <c r="K560" s="4" t="str">
        <f t="shared" si="53"/>
        <v>Rb81</v>
      </c>
    </row>
    <row r="561" spans="2:11" hidden="1" x14ac:dyDescent="0.2">
      <c r="B561" s="4">
        <v>37082</v>
      </c>
      <c r="C561" s="4">
        <v>0</v>
      </c>
      <c r="D561">
        <v>0</v>
      </c>
      <c r="E561" t="str">
        <f>VLOOKUP(B561,Nuclides!A:F,5,FALSE)</f>
        <v>Rb82</v>
      </c>
      <c r="F561">
        <f>VLOOKUP(B561,Nuclides!A:F,4,FALSE)</f>
        <v>75.45</v>
      </c>
      <c r="G561" s="4" t="str">
        <f t="shared" si="49"/>
        <v>1.26min</v>
      </c>
      <c r="H561" s="4">
        <f t="shared" si="50"/>
        <v>9.1868413593100759E-3</v>
      </c>
      <c r="I561" s="4">
        <f t="shared" si="51"/>
        <v>0</v>
      </c>
      <c r="J561" s="4">
        <f t="shared" si="52"/>
        <v>0</v>
      </c>
      <c r="K561" s="4" t="str">
        <f t="shared" si="53"/>
        <v>Rb82</v>
      </c>
    </row>
    <row r="562" spans="2:11" hidden="1" x14ac:dyDescent="0.2">
      <c r="B562" s="4">
        <v>37083</v>
      </c>
      <c r="C562" s="4">
        <v>0</v>
      </c>
      <c r="D562">
        <v>0</v>
      </c>
      <c r="E562" t="str">
        <f>VLOOKUP(B562,Nuclides!A:F,5,FALSE)</f>
        <v>Rb83</v>
      </c>
      <c r="F562">
        <f>VLOOKUP(B562,Nuclides!A:F,4,FALSE)</f>
        <v>7447680</v>
      </c>
      <c r="G562" s="4" t="str">
        <f t="shared" si="49"/>
        <v>86.2d</v>
      </c>
      <c r="H562" s="4">
        <f t="shared" si="50"/>
        <v>9.3068872529424639E-8</v>
      </c>
      <c r="I562" s="4">
        <f t="shared" si="51"/>
        <v>0</v>
      </c>
      <c r="J562" s="4">
        <f t="shared" si="52"/>
        <v>0</v>
      </c>
      <c r="K562" s="4" t="str">
        <f t="shared" si="53"/>
        <v>Rb83</v>
      </c>
    </row>
    <row r="563" spans="2:11" hidden="1" x14ac:dyDescent="0.2">
      <c r="B563" s="4">
        <v>37084</v>
      </c>
      <c r="C563" s="4">
        <v>0</v>
      </c>
      <c r="D563">
        <v>0</v>
      </c>
      <c r="E563" t="str">
        <f>VLOOKUP(B563,Nuclides!A:F,5,FALSE)</f>
        <v>Rb84</v>
      </c>
      <c r="F563">
        <f>VLOOKUP(B563,Nuclides!A:F,4,FALSE)</f>
        <v>2835648</v>
      </c>
      <c r="G563" s="4" t="str">
        <f t="shared" si="49"/>
        <v>32.82d</v>
      </c>
      <c r="H563" s="4">
        <f t="shared" si="50"/>
        <v>2.4444048787435723E-7</v>
      </c>
      <c r="I563" s="4">
        <f t="shared" si="51"/>
        <v>0</v>
      </c>
      <c r="J563" s="4">
        <f t="shared" si="52"/>
        <v>0</v>
      </c>
      <c r="K563" s="4" t="str">
        <f t="shared" si="53"/>
        <v>Rb84</v>
      </c>
    </row>
    <row r="564" spans="2:11" hidden="1" x14ac:dyDescent="0.2">
      <c r="B564" s="4">
        <v>37085</v>
      </c>
      <c r="C564" s="4">
        <v>0</v>
      </c>
      <c r="D564">
        <v>0</v>
      </c>
      <c r="E564" t="str">
        <f>VLOOKUP(B564,Nuclides!A:F,5,FALSE)</f>
        <v>Rb85</v>
      </c>
      <c r="F564" t="str">
        <f>VLOOKUP(B564,Nuclides!A:F,4,FALSE)</f>
        <v>STABLE</v>
      </c>
      <c r="G564" s="4" t="str">
        <f t="shared" si="49"/>
        <v>STABLE</v>
      </c>
      <c r="H564" s="4" t="e">
        <f t="shared" si="50"/>
        <v>#VALUE!</v>
      </c>
      <c r="I564" s="4" t="e">
        <f t="shared" si="51"/>
        <v>#VALUE!</v>
      </c>
      <c r="J564" s="4" t="e">
        <f t="shared" si="52"/>
        <v>#VALUE!</v>
      </c>
      <c r="K564" s="4" t="str">
        <f t="shared" si="53"/>
        <v>Rb85</v>
      </c>
    </row>
    <row r="565" spans="2:11" hidden="1" x14ac:dyDescent="0.2">
      <c r="B565" s="4">
        <v>37086</v>
      </c>
      <c r="C565" s="4">
        <v>0</v>
      </c>
      <c r="D565">
        <v>0</v>
      </c>
      <c r="E565" t="str">
        <f>VLOOKUP(B565,Nuclides!A:F,5,FALSE)</f>
        <v>Rb86</v>
      </c>
      <c r="F565">
        <f>VLOOKUP(B565,Nuclides!A:F,4,FALSE)</f>
        <v>1610668.8</v>
      </c>
      <c r="G565" s="4" t="str">
        <f t="shared" si="49"/>
        <v>18.64d</v>
      </c>
      <c r="H565" s="4">
        <f t="shared" si="50"/>
        <v>4.3034743117886513E-7</v>
      </c>
      <c r="I565" s="4">
        <f t="shared" si="51"/>
        <v>0</v>
      </c>
      <c r="J565" s="4">
        <f t="shared" si="52"/>
        <v>0</v>
      </c>
      <c r="K565" s="4" t="str">
        <f t="shared" si="53"/>
        <v>Rb86</v>
      </c>
    </row>
    <row r="566" spans="2:11" hidden="1" x14ac:dyDescent="0.2">
      <c r="B566" s="4">
        <v>37087</v>
      </c>
      <c r="C566" s="4">
        <v>0</v>
      </c>
      <c r="D566">
        <v>0</v>
      </c>
      <c r="E566" t="str">
        <f>VLOOKUP(B566,Nuclides!A:F,5,FALSE)</f>
        <v>Rb87</v>
      </c>
      <c r="F566">
        <f>VLOOKUP(B566,Nuclides!A:F,4,FALSE)</f>
        <v>1.56841272E+18</v>
      </c>
      <c r="G566" s="4" t="str">
        <f t="shared" si="49"/>
        <v>49734041095.89y</v>
      </c>
      <c r="H566" s="4">
        <f t="shared" si="50"/>
        <v>4.419418254653949E-19</v>
      </c>
      <c r="I566" s="4">
        <f t="shared" si="51"/>
        <v>0</v>
      </c>
      <c r="J566" s="4">
        <f t="shared" si="52"/>
        <v>0</v>
      </c>
      <c r="K566" s="4" t="str">
        <f t="shared" si="53"/>
        <v>Rb87</v>
      </c>
    </row>
    <row r="567" spans="2:11" hidden="1" x14ac:dyDescent="0.2">
      <c r="B567" s="4">
        <v>37088</v>
      </c>
      <c r="C567" s="4">
        <v>0</v>
      </c>
      <c r="D567">
        <v>0</v>
      </c>
      <c r="E567" t="str">
        <f>VLOOKUP(B567,Nuclides!A:F,5,FALSE)</f>
        <v>Rb88</v>
      </c>
      <c r="F567">
        <f>VLOOKUP(B567,Nuclides!A:F,4,FALSE)</f>
        <v>1066.3799999999901</v>
      </c>
      <c r="G567" s="4" t="str">
        <f t="shared" si="49"/>
        <v>17.77min</v>
      </c>
      <c r="H567" s="4">
        <f t="shared" si="50"/>
        <v>6.5000016932045964E-4</v>
      </c>
      <c r="I567" s="4">
        <f t="shared" si="51"/>
        <v>0</v>
      </c>
      <c r="J567" s="4">
        <f t="shared" si="52"/>
        <v>0</v>
      </c>
      <c r="K567" s="4" t="str">
        <f t="shared" si="53"/>
        <v>Rb88</v>
      </c>
    </row>
    <row r="568" spans="2:11" hidden="1" x14ac:dyDescent="0.2">
      <c r="B568" s="4">
        <v>37089</v>
      </c>
      <c r="C568" s="4">
        <v>0</v>
      </c>
      <c r="D568">
        <v>0</v>
      </c>
      <c r="E568" t="str">
        <f>VLOOKUP(B568,Nuclides!A:F,5,FALSE)</f>
        <v>Rb89</v>
      </c>
      <c r="F568">
        <f>VLOOKUP(B568,Nuclides!A:F,4,FALSE)</f>
        <v>919.2</v>
      </c>
      <c r="G568" s="4" t="str">
        <f t="shared" si="49"/>
        <v>15.32min</v>
      </c>
      <c r="H568" s="4">
        <f t="shared" si="50"/>
        <v>7.5407656718880028E-4</v>
      </c>
      <c r="I568" s="4">
        <f t="shared" si="51"/>
        <v>0</v>
      </c>
      <c r="J568" s="4">
        <f t="shared" si="52"/>
        <v>0</v>
      </c>
      <c r="K568" s="4" t="str">
        <f t="shared" si="53"/>
        <v>Rb89</v>
      </c>
    </row>
    <row r="569" spans="2:11" hidden="1" x14ac:dyDescent="0.2">
      <c r="B569" s="4">
        <v>37090</v>
      </c>
      <c r="C569" s="4">
        <v>0</v>
      </c>
      <c r="D569">
        <v>0</v>
      </c>
      <c r="E569" t="str">
        <f>VLOOKUP(B569,Nuclides!A:F,5,FALSE)</f>
        <v>Rb90</v>
      </c>
      <c r="F569">
        <f>VLOOKUP(B569,Nuclides!A:F,4,FALSE)</f>
        <v>158</v>
      </c>
      <c r="G569" s="4" t="str">
        <f t="shared" si="49"/>
        <v>2.63min</v>
      </c>
      <c r="H569" s="4">
        <f t="shared" si="50"/>
        <v>4.3870074718983876E-3</v>
      </c>
      <c r="I569" s="4">
        <f t="shared" si="51"/>
        <v>0</v>
      </c>
      <c r="J569" s="4">
        <f t="shared" si="52"/>
        <v>0</v>
      </c>
      <c r="K569" s="4" t="str">
        <f t="shared" si="53"/>
        <v>Rb90</v>
      </c>
    </row>
    <row r="570" spans="2:11" hidden="1" x14ac:dyDescent="0.2">
      <c r="B570" s="4">
        <v>37091</v>
      </c>
      <c r="C570" s="4">
        <v>0</v>
      </c>
      <c r="D570">
        <v>0</v>
      </c>
      <c r="E570" t="str">
        <f>VLOOKUP(B570,Nuclides!A:F,5,FALSE)</f>
        <v>Rb91</v>
      </c>
      <c r="F570">
        <f>VLOOKUP(B570,Nuclides!A:F,4,FALSE)</f>
        <v>58.2</v>
      </c>
      <c r="G570" s="4" t="str">
        <f t="shared" si="49"/>
        <v>58.2s</v>
      </c>
      <c r="H570" s="4">
        <f t="shared" si="50"/>
        <v>1.1909745370445795E-2</v>
      </c>
      <c r="I570" s="4">
        <f t="shared" si="51"/>
        <v>0</v>
      </c>
      <c r="J570" s="4">
        <f t="shared" si="52"/>
        <v>0</v>
      </c>
      <c r="K570" s="4" t="str">
        <f t="shared" si="53"/>
        <v>Rb91</v>
      </c>
    </row>
    <row r="571" spans="2:11" hidden="1" x14ac:dyDescent="0.2">
      <c r="B571" s="4">
        <v>37092</v>
      </c>
      <c r="C571" s="4">
        <v>0</v>
      </c>
      <c r="D571">
        <v>0</v>
      </c>
      <c r="E571" t="str">
        <f>VLOOKUP(B571,Nuclides!A:F,5,FALSE)</f>
        <v>Rb92</v>
      </c>
      <c r="F571">
        <f>VLOOKUP(B571,Nuclides!A:F,4,FALSE)</f>
        <v>4.492</v>
      </c>
      <c r="G571" s="4" t="str">
        <f t="shared" si="49"/>
        <v>4.492s</v>
      </c>
      <c r="H571" s="4">
        <f t="shared" si="50"/>
        <v>0.15430703040070021</v>
      </c>
      <c r="I571" s="4">
        <f t="shared" si="51"/>
        <v>0</v>
      </c>
      <c r="J571" s="4">
        <f t="shared" si="52"/>
        <v>0</v>
      </c>
      <c r="K571" s="4" t="str">
        <f t="shared" si="53"/>
        <v>Rb92</v>
      </c>
    </row>
    <row r="572" spans="2:11" hidden="1" x14ac:dyDescent="0.2">
      <c r="B572" s="4">
        <v>37093</v>
      </c>
      <c r="C572" s="4">
        <v>0</v>
      </c>
      <c r="D572">
        <v>0</v>
      </c>
      <c r="E572" t="str">
        <f>VLOOKUP(B572,Nuclides!A:F,5,FALSE)</f>
        <v>Rb93</v>
      </c>
      <c r="F572">
        <f>VLOOKUP(B572,Nuclides!A:F,4,FALSE)</f>
        <v>5.84</v>
      </c>
      <c r="G572" s="4" t="str">
        <f t="shared" si="49"/>
        <v>5.84s</v>
      </c>
      <c r="H572" s="4">
        <f t="shared" si="50"/>
        <v>0.1186895857123194</v>
      </c>
      <c r="I572" s="4">
        <f t="shared" si="51"/>
        <v>0</v>
      </c>
      <c r="J572" s="4">
        <f t="shared" si="52"/>
        <v>0</v>
      </c>
      <c r="K572" s="4" t="str">
        <f t="shared" si="53"/>
        <v>Rb93</v>
      </c>
    </row>
    <row r="573" spans="2:11" hidden="1" x14ac:dyDescent="0.2">
      <c r="B573" s="4">
        <v>37094</v>
      </c>
      <c r="C573" s="4">
        <v>0</v>
      </c>
      <c r="D573">
        <v>0</v>
      </c>
      <c r="E573" t="str">
        <f>VLOOKUP(B573,Nuclides!A:F,5,FALSE)</f>
        <v>Rb94</v>
      </c>
      <c r="F573">
        <f>VLOOKUP(B573,Nuclides!A:F,4,FALSE)</f>
        <v>2.702</v>
      </c>
      <c r="G573" s="4" t="str">
        <f t="shared" si="49"/>
        <v>2.702s</v>
      </c>
      <c r="H573" s="4">
        <f t="shared" si="50"/>
        <v>0.25653115490745571</v>
      </c>
      <c r="I573" s="4">
        <f t="shared" si="51"/>
        <v>0</v>
      </c>
      <c r="J573" s="4">
        <f t="shared" si="52"/>
        <v>0</v>
      </c>
      <c r="K573" s="4" t="str">
        <f t="shared" si="53"/>
        <v>Rb94</v>
      </c>
    </row>
    <row r="574" spans="2:11" hidden="1" x14ac:dyDescent="0.2">
      <c r="B574" s="4">
        <v>37095</v>
      </c>
      <c r="C574" s="4">
        <v>0</v>
      </c>
      <c r="D574">
        <v>0</v>
      </c>
      <c r="E574" t="str">
        <f>VLOOKUP(B574,Nuclides!A:F,5,FALSE)</f>
        <v>Rb95</v>
      </c>
      <c r="F574">
        <f>VLOOKUP(B574,Nuclides!A:F,4,FALSE)</f>
        <v>0.37769999999999998</v>
      </c>
      <c r="G574" s="4" t="str">
        <f t="shared" si="49"/>
        <v>0.3777s</v>
      </c>
      <c r="H574" s="4">
        <f t="shared" si="50"/>
        <v>1.8351791913157143</v>
      </c>
      <c r="I574" s="4">
        <f t="shared" si="51"/>
        <v>0</v>
      </c>
      <c r="J574" s="4">
        <f t="shared" si="52"/>
        <v>0</v>
      </c>
      <c r="K574" s="4" t="str">
        <f t="shared" si="53"/>
        <v>Rb95</v>
      </c>
    </row>
    <row r="575" spans="2:11" hidden="1" x14ac:dyDescent="0.2">
      <c r="B575" s="4">
        <v>37096</v>
      </c>
      <c r="C575" s="4">
        <v>0</v>
      </c>
      <c r="D575">
        <v>0</v>
      </c>
      <c r="E575" t="str">
        <f>VLOOKUP(B575,Nuclides!A:F,5,FALSE)</f>
        <v>Rb96</v>
      </c>
      <c r="F575">
        <f>VLOOKUP(B575,Nuclides!A:F,4,FALSE)</f>
        <v>0.20300000000000001</v>
      </c>
      <c r="G575" s="4" t="str">
        <f t="shared" si="49"/>
        <v>0.203s</v>
      </c>
      <c r="H575" s="4">
        <f t="shared" si="50"/>
        <v>3.4145181308371688</v>
      </c>
      <c r="I575" s="4">
        <f t="shared" si="51"/>
        <v>0</v>
      </c>
      <c r="J575" s="4">
        <f t="shared" si="52"/>
        <v>0</v>
      </c>
      <c r="K575" s="4" t="str">
        <f t="shared" si="53"/>
        <v>Rb96</v>
      </c>
    </row>
    <row r="576" spans="2:11" hidden="1" x14ac:dyDescent="0.2">
      <c r="B576" s="4">
        <v>37097</v>
      </c>
      <c r="C576" s="4">
        <v>0</v>
      </c>
      <c r="D576">
        <v>0</v>
      </c>
      <c r="E576" t="str">
        <f>VLOOKUP(B576,Nuclides!A:F,5,FALSE)</f>
        <v>Rb97</v>
      </c>
      <c r="F576">
        <f>VLOOKUP(B576,Nuclides!A:F,4,FALSE)</f>
        <v>0.1691</v>
      </c>
      <c r="G576" s="4" t="str">
        <f t="shared" si="49"/>
        <v>0.1691s</v>
      </c>
      <c r="H576" s="4">
        <f t="shared" si="50"/>
        <v>4.0990371410996174</v>
      </c>
      <c r="I576" s="4">
        <f t="shared" si="51"/>
        <v>0</v>
      </c>
      <c r="J576" s="4">
        <f t="shared" si="52"/>
        <v>0</v>
      </c>
      <c r="K576" s="4" t="str">
        <f t="shared" si="53"/>
        <v>Rb97</v>
      </c>
    </row>
    <row r="577" spans="2:11" hidden="1" x14ac:dyDescent="0.2">
      <c r="B577" s="4">
        <v>37098</v>
      </c>
      <c r="C577" s="4">
        <v>0</v>
      </c>
      <c r="D577">
        <v>0</v>
      </c>
      <c r="E577" t="str">
        <f>VLOOKUP(B577,Nuclides!A:F,5,FALSE)</f>
        <v>Rb98</v>
      </c>
      <c r="F577">
        <f>VLOOKUP(B577,Nuclides!A:F,4,FALSE)</f>
        <v>0.10199999999999999</v>
      </c>
      <c r="G577" s="4" t="str">
        <f t="shared" si="49"/>
        <v>0.102s</v>
      </c>
      <c r="H577" s="4">
        <f t="shared" si="50"/>
        <v>6.7955605937249546</v>
      </c>
      <c r="I577" s="4">
        <f t="shared" si="51"/>
        <v>0</v>
      </c>
      <c r="J577" s="4">
        <f t="shared" si="52"/>
        <v>0</v>
      </c>
      <c r="K577" s="4" t="str">
        <f t="shared" si="53"/>
        <v>Rb98</v>
      </c>
    </row>
    <row r="578" spans="2:11" hidden="1" x14ac:dyDescent="0.2">
      <c r="B578" s="4">
        <v>37099</v>
      </c>
      <c r="C578" s="4">
        <v>0</v>
      </c>
      <c r="D578">
        <v>0</v>
      </c>
      <c r="E578" t="str">
        <f>VLOOKUP(B578,Nuclides!A:F,5,FALSE)</f>
        <v>Rb99</v>
      </c>
      <c r="F578">
        <f>VLOOKUP(B578,Nuclides!A:F,4,FALSE)</f>
        <v>5.3999999999999999E-2</v>
      </c>
      <c r="G578" s="4" t="str">
        <f t="shared" si="49"/>
        <v>0.054s</v>
      </c>
      <c r="H578" s="4">
        <f t="shared" si="50"/>
        <v>12.836058899258246</v>
      </c>
      <c r="I578" s="4">
        <f t="shared" si="51"/>
        <v>0</v>
      </c>
      <c r="J578" s="4">
        <f t="shared" si="52"/>
        <v>0</v>
      </c>
      <c r="K578" s="4" t="str">
        <f t="shared" si="53"/>
        <v>Rb99</v>
      </c>
    </row>
    <row r="579" spans="2:11" hidden="1" x14ac:dyDescent="0.2">
      <c r="B579" s="4">
        <v>37100</v>
      </c>
      <c r="C579" s="4">
        <v>0</v>
      </c>
      <c r="D579">
        <v>0</v>
      </c>
      <c r="E579" t="str">
        <f>VLOOKUP(B579,Nuclides!A:F,5,FALSE)</f>
        <v>Rb100</v>
      </c>
      <c r="F579">
        <f>VLOOKUP(B579,Nuclides!A:F,4,FALSE)</f>
        <v>5.0999999999999997E-2</v>
      </c>
      <c r="G579" s="4" t="str">
        <f t="shared" si="49"/>
        <v>0.051s</v>
      </c>
      <c r="H579" s="4">
        <f t="shared" si="50"/>
        <v>13.591121187449909</v>
      </c>
      <c r="I579" s="4">
        <f t="shared" si="51"/>
        <v>0</v>
      </c>
      <c r="J579" s="4">
        <f t="shared" si="52"/>
        <v>0</v>
      </c>
      <c r="K579" s="4" t="str">
        <f t="shared" si="53"/>
        <v>Rb100</v>
      </c>
    </row>
    <row r="580" spans="2:11" hidden="1" x14ac:dyDescent="0.2">
      <c r="B580" s="4">
        <v>38077</v>
      </c>
      <c r="C580" s="4">
        <v>0</v>
      </c>
      <c r="D580">
        <v>0</v>
      </c>
      <c r="E580" t="str">
        <f>VLOOKUP(B580,Nuclides!A:F,5,FALSE)</f>
        <v>Sr77</v>
      </c>
      <c r="F580">
        <f>VLOOKUP(B580,Nuclides!A:F,4,FALSE)</f>
        <v>9</v>
      </c>
      <c r="G580" s="4" t="str">
        <f t="shared" si="49"/>
        <v>9s</v>
      </c>
      <c r="H580" s="4">
        <f t="shared" si="50"/>
        <v>7.7016353395549478E-2</v>
      </c>
      <c r="I580" s="4">
        <f t="shared" si="51"/>
        <v>0</v>
      </c>
      <c r="J580" s="4">
        <f t="shared" si="52"/>
        <v>0</v>
      </c>
      <c r="K580" s="4" t="str">
        <f t="shared" si="53"/>
        <v>Sr77</v>
      </c>
    </row>
    <row r="581" spans="2:11" hidden="1" x14ac:dyDescent="0.2">
      <c r="B581" s="4">
        <v>38078</v>
      </c>
      <c r="C581" s="4">
        <v>0</v>
      </c>
      <c r="D581">
        <v>0</v>
      </c>
      <c r="E581" t="str">
        <f>VLOOKUP(B581,Nuclides!A:F,5,FALSE)</f>
        <v>Sr78</v>
      </c>
      <c r="F581">
        <f>VLOOKUP(B581,Nuclides!A:F,4,FALSE)</f>
        <v>160</v>
      </c>
      <c r="G581" s="4" t="str">
        <f t="shared" ref="G581:G644" si="54">IF(F581="STABLE", "STABLE", IF(F581&lt;60, F581&amp;"s", IF(F581&lt;3600, ROUND(F581/60,2)&amp;"min", IF(F581&lt;86400, ROUND(F581/3600,2)&amp;"h", IF(F581&lt;31536000, ROUND(F581/86400,2)&amp;"d", ROUND(F581/31536000,2)&amp;"y")))))</f>
        <v>2.67min</v>
      </c>
      <c r="H581" s="4">
        <f t="shared" ref="H581:H644" si="55">LN(2)/F581</f>
        <v>4.3321698784996579E-3</v>
      </c>
      <c r="I581" s="4">
        <f t="shared" ref="I581:I644" si="56">60*6240000000000*C581*(1-EXP(-H581*2*3600))</f>
        <v>0</v>
      </c>
      <c r="J581" s="4">
        <f t="shared" ref="J581:J644" si="57">I581*EXP(-H581*48*3600)</f>
        <v>0</v>
      </c>
      <c r="K581" s="4" t="str">
        <f t="shared" ref="K581:K644" si="58">E581</f>
        <v>Sr78</v>
      </c>
    </row>
    <row r="582" spans="2:11" hidden="1" x14ac:dyDescent="0.2">
      <c r="B582" s="4">
        <v>38079</v>
      </c>
      <c r="C582" s="4">
        <v>0</v>
      </c>
      <c r="D582">
        <v>0</v>
      </c>
      <c r="E582" t="str">
        <f>VLOOKUP(B582,Nuclides!A:F,5,FALSE)</f>
        <v>Sr79</v>
      </c>
      <c r="F582">
        <f>VLOOKUP(B582,Nuclides!A:F,4,FALSE)</f>
        <v>135</v>
      </c>
      <c r="G582" s="4" t="str">
        <f t="shared" si="54"/>
        <v>2.25min</v>
      </c>
      <c r="H582" s="4">
        <f t="shared" si="55"/>
        <v>5.1344235597032984E-3</v>
      </c>
      <c r="I582" s="4">
        <f t="shared" si="56"/>
        <v>0</v>
      </c>
      <c r="J582" s="4">
        <f t="shared" si="57"/>
        <v>0</v>
      </c>
      <c r="K582" s="4" t="str">
        <f t="shared" si="58"/>
        <v>Sr79</v>
      </c>
    </row>
    <row r="583" spans="2:11" hidden="1" x14ac:dyDescent="0.2">
      <c r="B583" s="4">
        <v>38080</v>
      </c>
      <c r="C583" s="4">
        <v>0</v>
      </c>
      <c r="D583">
        <v>0</v>
      </c>
      <c r="E583" t="str">
        <f>VLOOKUP(B583,Nuclides!A:F,5,FALSE)</f>
        <v>Sr80</v>
      </c>
      <c r="F583">
        <f>VLOOKUP(B583,Nuclides!A:F,4,FALSE)</f>
        <v>6378</v>
      </c>
      <c r="G583" s="4" t="str">
        <f t="shared" si="54"/>
        <v>1.77h</v>
      </c>
      <c r="H583" s="4">
        <f t="shared" si="55"/>
        <v>1.0867782699277912E-4</v>
      </c>
      <c r="I583" s="4">
        <f t="shared" si="56"/>
        <v>0</v>
      </c>
      <c r="J583" s="4">
        <f t="shared" si="57"/>
        <v>0</v>
      </c>
      <c r="K583" s="4" t="str">
        <f t="shared" si="58"/>
        <v>Sr80</v>
      </c>
    </row>
    <row r="584" spans="2:11" hidden="1" x14ac:dyDescent="0.2">
      <c r="B584" s="4">
        <v>38081</v>
      </c>
      <c r="C584" s="4">
        <v>0</v>
      </c>
      <c r="D584">
        <v>0</v>
      </c>
      <c r="E584" t="str">
        <f>VLOOKUP(B584,Nuclides!A:F,5,FALSE)</f>
        <v>Sr81</v>
      </c>
      <c r="F584">
        <f>VLOOKUP(B584,Nuclides!A:F,4,FALSE)</f>
        <v>1338</v>
      </c>
      <c r="G584" s="4" t="str">
        <f t="shared" si="54"/>
        <v>22.3min</v>
      </c>
      <c r="H584" s="4">
        <f t="shared" si="55"/>
        <v>5.1804722014943589E-4</v>
      </c>
      <c r="I584" s="4">
        <f t="shared" si="56"/>
        <v>0</v>
      </c>
      <c r="J584" s="4">
        <f t="shared" si="57"/>
        <v>0</v>
      </c>
      <c r="K584" s="4" t="str">
        <f t="shared" si="58"/>
        <v>Sr81</v>
      </c>
    </row>
    <row r="585" spans="2:11" hidden="1" x14ac:dyDescent="0.2">
      <c r="B585" s="4">
        <v>38082</v>
      </c>
      <c r="C585" s="4">
        <v>0</v>
      </c>
      <c r="D585">
        <v>0</v>
      </c>
      <c r="E585" t="str">
        <f>VLOOKUP(B585,Nuclides!A:F,5,FALSE)</f>
        <v>Sr82</v>
      </c>
      <c r="F585">
        <f>VLOOKUP(B585,Nuclides!A:F,4,FALSE)</f>
        <v>2189376</v>
      </c>
      <c r="G585" s="4" t="str">
        <f t="shared" si="54"/>
        <v>25.34d</v>
      </c>
      <c r="H585" s="4">
        <f t="shared" si="55"/>
        <v>3.165957700093293E-7</v>
      </c>
      <c r="I585" s="4">
        <f t="shared" si="56"/>
        <v>0</v>
      </c>
      <c r="J585" s="4">
        <f t="shared" si="57"/>
        <v>0</v>
      </c>
      <c r="K585" s="4" t="str">
        <f t="shared" si="58"/>
        <v>Sr82</v>
      </c>
    </row>
    <row r="586" spans="2:11" hidden="1" x14ac:dyDescent="0.2">
      <c r="B586" s="4">
        <v>38083</v>
      </c>
      <c r="C586" s="4">
        <v>0</v>
      </c>
      <c r="D586">
        <v>0</v>
      </c>
      <c r="E586" t="str">
        <f>VLOOKUP(B586,Nuclides!A:F,5,FALSE)</f>
        <v>Sr83</v>
      </c>
      <c r="F586">
        <f>VLOOKUP(B586,Nuclides!A:F,4,FALSE)</f>
        <v>116675.999999999</v>
      </c>
      <c r="G586" s="4" t="str">
        <f t="shared" si="54"/>
        <v>1.35d</v>
      </c>
      <c r="H586" s="4">
        <f t="shared" si="55"/>
        <v>5.9407862847539446E-6</v>
      </c>
      <c r="I586" s="4">
        <f t="shared" si="56"/>
        <v>0</v>
      </c>
      <c r="J586" s="4">
        <f t="shared" si="57"/>
        <v>0</v>
      </c>
      <c r="K586" s="4" t="str">
        <f t="shared" si="58"/>
        <v>Sr83</v>
      </c>
    </row>
    <row r="587" spans="2:11" hidden="1" x14ac:dyDescent="0.2">
      <c r="B587" s="4">
        <v>38084</v>
      </c>
      <c r="C587" s="4">
        <v>0</v>
      </c>
      <c r="D587">
        <v>0</v>
      </c>
      <c r="E587" t="str">
        <f>VLOOKUP(B587,Nuclides!A:F,5,FALSE)</f>
        <v>Sr84</v>
      </c>
      <c r="F587" t="str">
        <f>VLOOKUP(B587,Nuclides!A:F,4,FALSE)</f>
        <v>STABLE</v>
      </c>
      <c r="G587" s="4" t="str">
        <f t="shared" si="54"/>
        <v>STABLE</v>
      </c>
      <c r="H587" s="4" t="e">
        <f t="shared" si="55"/>
        <v>#VALUE!</v>
      </c>
      <c r="I587" s="4" t="e">
        <f t="shared" si="56"/>
        <v>#VALUE!</v>
      </c>
      <c r="J587" s="4" t="e">
        <f t="shared" si="57"/>
        <v>#VALUE!</v>
      </c>
      <c r="K587" s="4" t="str">
        <f t="shared" si="58"/>
        <v>Sr84</v>
      </c>
    </row>
    <row r="588" spans="2:11" hidden="1" x14ac:dyDescent="0.2">
      <c r="B588" s="4">
        <v>38085</v>
      </c>
      <c r="C588" s="4">
        <v>0</v>
      </c>
      <c r="D588">
        <v>0</v>
      </c>
      <c r="E588" t="str">
        <f>VLOOKUP(B588,Nuclides!A:F,5,FALSE)</f>
        <v>Sr85</v>
      </c>
      <c r="F588">
        <f>VLOOKUP(B588,Nuclides!A:F,4,FALSE)</f>
        <v>5602953.5999999996</v>
      </c>
      <c r="G588" s="4" t="str">
        <f t="shared" si="54"/>
        <v>64.85d</v>
      </c>
      <c r="H588" s="4">
        <f t="shared" si="55"/>
        <v>1.2371103350917369E-7</v>
      </c>
      <c r="I588" s="4">
        <f t="shared" si="56"/>
        <v>0</v>
      </c>
      <c r="J588" s="4">
        <f t="shared" si="57"/>
        <v>0</v>
      </c>
      <c r="K588" s="4" t="str">
        <f t="shared" si="58"/>
        <v>Sr85</v>
      </c>
    </row>
    <row r="589" spans="2:11" hidden="1" x14ac:dyDescent="0.2">
      <c r="B589" s="4">
        <v>38086</v>
      </c>
      <c r="C589" s="4">
        <v>0</v>
      </c>
      <c r="D589">
        <v>0</v>
      </c>
      <c r="E589" t="str">
        <f>VLOOKUP(B589,Nuclides!A:F,5,FALSE)</f>
        <v>Sr86</v>
      </c>
      <c r="F589" t="str">
        <f>VLOOKUP(B589,Nuclides!A:F,4,FALSE)</f>
        <v>STABLE</v>
      </c>
      <c r="G589" s="4" t="str">
        <f t="shared" si="54"/>
        <v>STABLE</v>
      </c>
      <c r="H589" s="4" t="e">
        <f t="shared" si="55"/>
        <v>#VALUE!</v>
      </c>
      <c r="I589" s="4" t="e">
        <f t="shared" si="56"/>
        <v>#VALUE!</v>
      </c>
      <c r="J589" s="4" t="e">
        <f t="shared" si="57"/>
        <v>#VALUE!</v>
      </c>
      <c r="K589" s="4" t="str">
        <f t="shared" si="58"/>
        <v>Sr86</v>
      </c>
    </row>
    <row r="590" spans="2:11" hidden="1" x14ac:dyDescent="0.2">
      <c r="B590" s="4">
        <v>38087</v>
      </c>
      <c r="C590" s="4">
        <v>0</v>
      </c>
      <c r="D590">
        <v>0</v>
      </c>
      <c r="E590" t="str">
        <f>VLOOKUP(B590,Nuclides!A:F,5,FALSE)</f>
        <v>Sr87</v>
      </c>
      <c r="F590" t="str">
        <f>VLOOKUP(B590,Nuclides!A:F,4,FALSE)</f>
        <v>STABLE</v>
      </c>
      <c r="G590" s="4" t="str">
        <f t="shared" si="54"/>
        <v>STABLE</v>
      </c>
      <c r="H590" s="4" t="e">
        <f t="shared" si="55"/>
        <v>#VALUE!</v>
      </c>
      <c r="I590" s="4" t="e">
        <f t="shared" si="56"/>
        <v>#VALUE!</v>
      </c>
      <c r="J590" s="4" t="e">
        <f t="shared" si="57"/>
        <v>#VALUE!</v>
      </c>
      <c r="K590" s="4" t="str">
        <f t="shared" si="58"/>
        <v>Sr87</v>
      </c>
    </row>
    <row r="591" spans="2:11" hidden="1" x14ac:dyDescent="0.2">
      <c r="B591" s="4">
        <v>38088</v>
      </c>
      <c r="C591" s="4">
        <v>0</v>
      </c>
      <c r="D591">
        <v>0</v>
      </c>
      <c r="E591" t="str">
        <f>VLOOKUP(B591,Nuclides!A:F,5,FALSE)</f>
        <v>Sr88</v>
      </c>
      <c r="F591" t="str">
        <f>VLOOKUP(B591,Nuclides!A:F,4,FALSE)</f>
        <v>STABLE</v>
      </c>
      <c r="G591" s="4" t="str">
        <f t="shared" si="54"/>
        <v>STABLE</v>
      </c>
      <c r="H591" s="4" t="e">
        <f t="shared" si="55"/>
        <v>#VALUE!</v>
      </c>
      <c r="I591" s="4" t="e">
        <f t="shared" si="56"/>
        <v>#VALUE!</v>
      </c>
      <c r="J591" s="4" t="e">
        <f t="shared" si="57"/>
        <v>#VALUE!</v>
      </c>
      <c r="K591" s="4" t="str">
        <f t="shared" si="58"/>
        <v>Sr88</v>
      </c>
    </row>
    <row r="592" spans="2:11" hidden="1" x14ac:dyDescent="0.2">
      <c r="B592" s="4">
        <v>38089</v>
      </c>
      <c r="C592" s="4">
        <v>0</v>
      </c>
      <c r="D592">
        <v>0</v>
      </c>
      <c r="E592" t="str">
        <f>VLOOKUP(B592,Nuclides!A:F,5,FALSE)</f>
        <v>Sr89</v>
      </c>
      <c r="F592">
        <f>VLOOKUP(B592,Nuclides!A:F,4,FALSE)</f>
        <v>4368643.2</v>
      </c>
      <c r="G592" s="4" t="str">
        <f t="shared" si="54"/>
        <v>50.56d</v>
      </c>
      <c r="H592" s="4">
        <f t="shared" si="55"/>
        <v>1.5866417760094148E-7</v>
      </c>
      <c r="I592" s="4">
        <f t="shared" si="56"/>
        <v>0</v>
      </c>
      <c r="J592" s="4">
        <f t="shared" si="57"/>
        <v>0</v>
      </c>
      <c r="K592" s="4" t="str">
        <f t="shared" si="58"/>
        <v>Sr89</v>
      </c>
    </row>
    <row r="593" spans="2:11" hidden="1" x14ac:dyDescent="0.2">
      <c r="B593" s="4">
        <v>38090</v>
      </c>
      <c r="C593" s="4">
        <v>0</v>
      </c>
      <c r="D593">
        <v>0</v>
      </c>
      <c r="E593" t="str">
        <f>VLOOKUP(B593,Nuclides!A:F,5,FALSE)</f>
        <v>Sr90</v>
      </c>
      <c r="F593">
        <f>VLOOKUP(B593,Nuclides!A:F,4,FALSE)</f>
        <v>912014640</v>
      </c>
      <c r="G593" s="4" t="str">
        <f t="shared" si="54"/>
        <v>28.92y</v>
      </c>
      <c r="H593" s="4">
        <f t="shared" si="55"/>
        <v>7.6001760296298017E-10</v>
      </c>
      <c r="I593" s="4">
        <f t="shared" si="56"/>
        <v>0</v>
      </c>
      <c r="J593" s="4">
        <f t="shared" si="57"/>
        <v>0</v>
      </c>
      <c r="K593" s="4" t="str">
        <f t="shared" si="58"/>
        <v>Sr90</v>
      </c>
    </row>
    <row r="594" spans="2:11" hidden="1" x14ac:dyDescent="0.2">
      <c r="B594" s="4">
        <v>38091</v>
      </c>
      <c r="C594" s="4">
        <v>0</v>
      </c>
      <c r="D594">
        <v>0</v>
      </c>
      <c r="E594" t="str">
        <f>VLOOKUP(B594,Nuclides!A:F,5,FALSE)</f>
        <v>Sr91</v>
      </c>
      <c r="F594">
        <f>VLOOKUP(B594,Nuclides!A:F,4,FALSE)</f>
        <v>34740</v>
      </c>
      <c r="G594" s="4" t="str">
        <f t="shared" si="54"/>
        <v>9.65h</v>
      </c>
      <c r="H594" s="4">
        <f t="shared" si="55"/>
        <v>1.9952423159468777E-5</v>
      </c>
      <c r="I594" s="4">
        <f t="shared" si="56"/>
        <v>0</v>
      </c>
      <c r="J594" s="4">
        <f t="shared" si="57"/>
        <v>0</v>
      </c>
      <c r="K594" s="4" t="str">
        <f t="shared" si="58"/>
        <v>Sr91</v>
      </c>
    </row>
    <row r="595" spans="2:11" hidden="1" x14ac:dyDescent="0.2">
      <c r="B595" s="4">
        <v>38092</v>
      </c>
      <c r="C595" s="4">
        <v>0</v>
      </c>
      <c r="D595">
        <v>0</v>
      </c>
      <c r="E595" t="str">
        <f>VLOOKUP(B595,Nuclides!A:F,5,FALSE)</f>
        <v>Sr92</v>
      </c>
      <c r="F595">
        <f>VLOOKUP(B595,Nuclides!A:F,4,FALSE)</f>
        <v>9399.6</v>
      </c>
      <c r="G595" s="4" t="str">
        <f t="shared" si="54"/>
        <v>2.61h</v>
      </c>
      <c r="H595" s="4">
        <f t="shared" si="55"/>
        <v>7.3742199727642167E-5</v>
      </c>
      <c r="I595" s="4">
        <f t="shared" si="56"/>
        <v>0</v>
      </c>
      <c r="J595" s="4">
        <f t="shared" si="57"/>
        <v>0</v>
      </c>
      <c r="K595" s="4" t="str">
        <f t="shared" si="58"/>
        <v>Sr92</v>
      </c>
    </row>
    <row r="596" spans="2:11" hidden="1" x14ac:dyDescent="0.2">
      <c r="B596" s="4">
        <v>38093</v>
      </c>
      <c r="C596" s="4">
        <v>0</v>
      </c>
      <c r="D596">
        <v>0</v>
      </c>
      <c r="E596" t="str">
        <f>VLOOKUP(B596,Nuclides!A:F,5,FALSE)</f>
        <v>Sr93</v>
      </c>
      <c r="F596">
        <f>VLOOKUP(B596,Nuclides!A:F,4,FALSE)</f>
        <v>445.79999999999899</v>
      </c>
      <c r="G596" s="4" t="str">
        <f t="shared" si="54"/>
        <v>7.43min</v>
      </c>
      <c r="H596" s="4">
        <f t="shared" si="55"/>
        <v>1.5548388976221329E-3</v>
      </c>
      <c r="I596" s="4">
        <f t="shared" si="56"/>
        <v>0</v>
      </c>
      <c r="J596" s="4">
        <f t="shared" si="57"/>
        <v>0</v>
      </c>
      <c r="K596" s="4" t="str">
        <f t="shared" si="58"/>
        <v>Sr93</v>
      </c>
    </row>
    <row r="597" spans="2:11" hidden="1" x14ac:dyDescent="0.2">
      <c r="B597" s="4">
        <v>38094</v>
      </c>
      <c r="C597" s="4">
        <v>0</v>
      </c>
      <c r="D597">
        <v>0</v>
      </c>
      <c r="E597" t="str">
        <f>VLOOKUP(B597,Nuclides!A:F,5,FALSE)</f>
        <v>Sr94</v>
      </c>
      <c r="F597">
        <f>VLOOKUP(B597,Nuclides!A:F,4,FALSE)</f>
        <v>75.3</v>
      </c>
      <c r="G597" s="4" t="str">
        <f t="shared" si="54"/>
        <v>1.26min</v>
      </c>
      <c r="H597" s="4">
        <f t="shared" si="55"/>
        <v>9.2051418401055147E-3</v>
      </c>
      <c r="I597" s="4">
        <f t="shared" si="56"/>
        <v>0</v>
      </c>
      <c r="J597" s="4">
        <f t="shared" si="57"/>
        <v>0</v>
      </c>
      <c r="K597" s="4" t="str">
        <f t="shared" si="58"/>
        <v>Sr94</v>
      </c>
    </row>
    <row r="598" spans="2:11" hidden="1" x14ac:dyDescent="0.2">
      <c r="B598" s="4">
        <v>38095</v>
      </c>
      <c r="C598" s="4">
        <v>0</v>
      </c>
      <c r="D598">
        <v>0</v>
      </c>
      <c r="E598" t="str">
        <f>VLOOKUP(B598,Nuclides!A:F,5,FALSE)</f>
        <v>Sr95</v>
      </c>
      <c r="F598">
        <f>VLOOKUP(B598,Nuclides!A:F,4,FALSE)</f>
        <v>23.9</v>
      </c>
      <c r="G598" s="4" t="str">
        <f t="shared" si="54"/>
        <v>23.9s</v>
      </c>
      <c r="H598" s="4">
        <f t="shared" si="55"/>
        <v>2.9001974082006082E-2</v>
      </c>
      <c r="I598" s="4">
        <f t="shared" si="56"/>
        <v>0</v>
      </c>
      <c r="J598" s="4">
        <f t="shared" si="57"/>
        <v>0</v>
      </c>
      <c r="K598" s="4" t="str">
        <f t="shared" si="58"/>
        <v>Sr95</v>
      </c>
    </row>
    <row r="599" spans="2:11" hidden="1" x14ac:dyDescent="0.2">
      <c r="B599" s="4">
        <v>38096</v>
      </c>
      <c r="C599" s="4">
        <v>0</v>
      </c>
      <c r="D599">
        <v>0</v>
      </c>
      <c r="E599" t="str">
        <f>VLOOKUP(B599,Nuclides!A:F,5,FALSE)</f>
        <v>Sr96</v>
      </c>
      <c r="F599">
        <f>VLOOKUP(B599,Nuclides!A:F,4,FALSE)</f>
        <v>1.07</v>
      </c>
      <c r="G599" s="4" t="str">
        <f t="shared" si="54"/>
        <v>1.07s</v>
      </c>
      <c r="H599" s="4">
        <f t="shared" si="55"/>
        <v>0.64780110332705165</v>
      </c>
      <c r="I599" s="4">
        <f t="shared" si="56"/>
        <v>0</v>
      </c>
      <c r="J599" s="4">
        <f t="shared" si="57"/>
        <v>0</v>
      </c>
      <c r="K599" s="4" t="str">
        <f t="shared" si="58"/>
        <v>Sr96</v>
      </c>
    </row>
    <row r="600" spans="2:11" hidden="1" x14ac:dyDescent="0.2">
      <c r="B600" s="4">
        <v>38097</v>
      </c>
      <c r="C600" s="4">
        <v>0</v>
      </c>
      <c r="D600">
        <v>0</v>
      </c>
      <c r="E600" t="str">
        <f>VLOOKUP(B600,Nuclides!A:F,5,FALSE)</f>
        <v>Sr97</v>
      </c>
      <c r="F600">
        <f>VLOOKUP(B600,Nuclides!A:F,4,FALSE)</f>
        <v>0.42899999999999999</v>
      </c>
      <c r="G600" s="4" t="str">
        <f t="shared" si="54"/>
        <v>0.429s</v>
      </c>
      <c r="H600" s="4">
        <f t="shared" si="55"/>
        <v>1.6157276936129261</v>
      </c>
      <c r="I600" s="4">
        <f t="shared" si="56"/>
        <v>0</v>
      </c>
      <c r="J600" s="4">
        <f t="shared" si="57"/>
        <v>0</v>
      </c>
      <c r="K600" s="4" t="str">
        <f t="shared" si="58"/>
        <v>Sr97</v>
      </c>
    </row>
    <row r="601" spans="2:11" hidden="1" x14ac:dyDescent="0.2">
      <c r="B601" s="4">
        <v>38098</v>
      </c>
      <c r="C601" s="4">
        <v>0</v>
      </c>
      <c r="D601">
        <v>0</v>
      </c>
      <c r="E601" t="str">
        <f>VLOOKUP(B601,Nuclides!A:F,5,FALSE)</f>
        <v>Sr98</v>
      </c>
      <c r="F601">
        <f>VLOOKUP(B601,Nuclides!A:F,4,FALSE)</f>
        <v>0.65300000000000002</v>
      </c>
      <c r="G601" s="4" t="str">
        <f t="shared" si="54"/>
        <v>0.653s</v>
      </c>
      <c r="H601" s="4">
        <f t="shared" si="55"/>
        <v>1.0614811340887369</v>
      </c>
      <c r="I601" s="4">
        <f t="shared" si="56"/>
        <v>0</v>
      </c>
      <c r="J601" s="4">
        <f t="shared" si="57"/>
        <v>0</v>
      </c>
      <c r="K601" s="4" t="str">
        <f t="shared" si="58"/>
        <v>Sr98</v>
      </c>
    </row>
    <row r="602" spans="2:11" hidden="1" x14ac:dyDescent="0.2">
      <c r="B602" s="4">
        <v>38099</v>
      </c>
      <c r="C602" s="4">
        <v>0</v>
      </c>
      <c r="D602">
        <v>0</v>
      </c>
      <c r="E602" t="str">
        <f>VLOOKUP(B602,Nuclides!A:F,5,FALSE)</f>
        <v>Sr99</v>
      </c>
      <c r="F602">
        <f>VLOOKUP(B602,Nuclides!A:F,4,FALSE)</f>
        <v>0.26900000000000002</v>
      </c>
      <c r="G602" s="4" t="str">
        <f t="shared" si="54"/>
        <v>0.269s</v>
      </c>
      <c r="H602" s="4">
        <f t="shared" si="55"/>
        <v>2.5767553180667111</v>
      </c>
      <c r="I602" s="4">
        <f t="shared" si="56"/>
        <v>0</v>
      </c>
      <c r="J602" s="4">
        <f t="shared" si="57"/>
        <v>0</v>
      </c>
      <c r="K602" s="4" t="str">
        <f t="shared" si="58"/>
        <v>Sr99</v>
      </c>
    </row>
    <row r="603" spans="2:11" hidden="1" x14ac:dyDescent="0.2">
      <c r="B603" s="4">
        <v>38100</v>
      </c>
      <c r="C603" s="4">
        <v>0</v>
      </c>
      <c r="D603">
        <v>0</v>
      </c>
      <c r="E603" t="str">
        <f>VLOOKUP(B603,Nuclides!A:F,5,FALSE)</f>
        <v>Sr100</v>
      </c>
      <c r="F603">
        <f>VLOOKUP(B603,Nuclides!A:F,4,FALSE)</f>
        <v>0.20200000000000001</v>
      </c>
      <c r="G603" s="4" t="str">
        <f t="shared" si="54"/>
        <v>0.202s</v>
      </c>
      <c r="H603" s="4">
        <f t="shared" si="55"/>
        <v>3.431421685940323</v>
      </c>
      <c r="I603" s="4">
        <f t="shared" si="56"/>
        <v>0</v>
      </c>
      <c r="J603" s="4">
        <f t="shared" si="57"/>
        <v>0</v>
      </c>
      <c r="K603" s="4" t="str">
        <f t="shared" si="58"/>
        <v>Sr100</v>
      </c>
    </row>
    <row r="604" spans="2:11" hidden="1" x14ac:dyDescent="0.2">
      <c r="B604" s="4">
        <v>39080</v>
      </c>
      <c r="C604" s="4">
        <v>0</v>
      </c>
      <c r="D604">
        <v>0</v>
      </c>
      <c r="E604" t="str">
        <f>VLOOKUP(B604,Nuclides!A:F,5,FALSE)</f>
        <v>Y80</v>
      </c>
      <c r="F604">
        <f>VLOOKUP(B604,Nuclides!A:F,4,FALSE)</f>
        <v>30.1</v>
      </c>
      <c r="G604" s="4" t="str">
        <f t="shared" si="54"/>
        <v>30.1s</v>
      </c>
      <c r="H604" s="4">
        <f t="shared" si="55"/>
        <v>2.3028145533552997E-2</v>
      </c>
      <c r="I604" s="4">
        <f t="shared" si="56"/>
        <v>0</v>
      </c>
      <c r="J604" s="4">
        <f t="shared" si="57"/>
        <v>0</v>
      </c>
      <c r="K604" s="4" t="str">
        <f t="shared" si="58"/>
        <v>Y80</v>
      </c>
    </row>
    <row r="605" spans="2:11" hidden="1" x14ac:dyDescent="0.2">
      <c r="B605" s="4">
        <v>39081</v>
      </c>
      <c r="C605" s="4">
        <v>0</v>
      </c>
      <c r="D605">
        <v>0</v>
      </c>
      <c r="E605" t="str">
        <f>VLOOKUP(B605,Nuclides!A:F,5,FALSE)</f>
        <v>Y81</v>
      </c>
      <c r="F605">
        <f>VLOOKUP(B605,Nuclides!A:F,4,FALSE)</f>
        <v>70.400000000000006</v>
      </c>
      <c r="G605" s="4" t="str">
        <f t="shared" si="54"/>
        <v>1.17min</v>
      </c>
      <c r="H605" s="4">
        <f t="shared" si="55"/>
        <v>9.8458406329537673E-3</v>
      </c>
      <c r="I605" s="4">
        <f t="shared" si="56"/>
        <v>0</v>
      </c>
      <c r="J605" s="4">
        <f t="shared" si="57"/>
        <v>0</v>
      </c>
      <c r="K605" s="4" t="str">
        <f t="shared" si="58"/>
        <v>Y81</v>
      </c>
    </row>
    <row r="606" spans="2:11" hidden="1" x14ac:dyDescent="0.2">
      <c r="B606" s="4">
        <v>39082</v>
      </c>
      <c r="C606" s="4">
        <v>0</v>
      </c>
      <c r="D606">
        <v>0</v>
      </c>
      <c r="E606" t="str">
        <f>VLOOKUP(B606,Nuclides!A:F,5,FALSE)</f>
        <v>Y82</v>
      </c>
      <c r="F606">
        <f>VLOOKUP(B606,Nuclides!A:F,4,FALSE)</f>
        <v>8.3000000000000007</v>
      </c>
      <c r="G606" s="4" t="str">
        <f t="shared" si="54"/>
        <v>8.3s</v>
      </c>
      <c r="H606" s="4">
        <f t="shared" si="55"/>
        <v>8.3511708501198226E-2</v>
      </c>
      <c r="I606" s="4">
        <f t="shared" si="56"/>
        <v>0</v>
      </c>
      <c r="J606" s="4">
        <f t="shared" si="57"/>
        <v>0</v>
      </c>
      <c r="K606" s="4" t="str">
        <f t="shared" si="58"/>
        <v>Y82</v>
      </c>
    </row>
    <row r="607" spans="2:11" hidden="1" x14ac:dyDescent="0.2">
      <c r="B607" s="4">
        <v>39083</v>
      </c>
      <c r="C607" s="4">
        <v>0</v>
      </c>
      <c r="D607">
        <v>0</v>
      </c>
      <c r="E607" t="str">
        <f>VLOOKUP(B607,Nuclides!A:F,5,FALSE)</f>
        <v>Y83</v>
      </c>
      <c r="F607">
        <f>VLOOKUP(B607,Nuclides!A:F,4,FALSE)</f>
        <v>424.8</v>
      </c>
      <c r="G607" s="4" t="str">
        <f t="shared" si="54"/>
        <v>7.08min</v>
      </c>
      <c r="H607" s="4">
        <f t="shared" si="55"/>
        <v>1.6317024024480821E-3</v>
      </c>
      <c r="I607" s="4">
        <f t="shared" si="56"/>
        <v>0</v>
      </c>
      <c r="J607" s="4">
        <f t="shared" si="57"/>
        <v>0</v>
      </c>
      <c r="K607" s="4" t="str">
        <f t="shared" si="58"/>
        <v>Y83</v>
      </c>
    </row>
    <row r="608" spans="2:11" hidden="1" x14ac:dyDescent="0.2">
      <c r="B608" s="4">
        <v>39084</v>
      </c>
      <c r="C608" s="4">
        <v>0</v>
      </c>
      <c r="D608">
        <v>0</v>
      </c>
      <c r="E608" t="str">
        <f>VLOOKUP(B608,Nuclides!A:F,5,FALSE)</f>
        <v>Y84</v>
      </c>
      <c r="F608">
        <f>VLOOKUP(B608,Nuclides!A:F,4,FALSE)</f>
        <v>2370</v>
      </c>
      <c r="G608" s="4" t="str">
        <f t="shared" si="54"/>
        <v>39.5min</v>
      </c>
      <c r="H608" s="4">
        <f t="shared" si="55"/>
        <v>2.9246716479322586E-4</v>
      </c>
      <c r="I608" s="4">
        <f t="shared" si="56"/>
        <v>0</v>
      </c>
      <c r="J608" s="4">
        <f t="shared" si="57"/>
        <v>0</v>
      </c>
      <c r="K608" s="4" t="str">
        <f t="shared" si="58"/>
        <v>Y84</v>
      </c>
    </row>
    <row r="609" spans="2:11" hidden="1" x14ac:dyDescent="0.2">
      <c r="B609" s="4">
        <v>39085</v>
      </c>
      <c r="C609" s="4">
        <v>0</v>
      </c>
      <c r="D609">
        <v>0</v>
      </c>
      <c r="E609" t="str">
        <f>VLOOKUP(B609,Nuclides!A:F,5,FALSE)</f>
        <v>Y85</v>
      </c>
      <c r="F609">
        <f>VLOOKUP(B609,Nuclides!A:F,4,FALSE)</f>
        <v>9648</v>
      </c>
      <c r="G609" s="4" t="str">
        <f t="shared" si="54"/>
        <v>2.68h</v>
      </c>
      <c r="H609" s="4">
        <f t="shared" si="55"/>
        <v>7.184361324211705E-5</v>
      </c>
      <c r="I609" s="4">
        <f t="shared" si="56"/>
        <v>0</v>
      </c>
      <c r="J609" s="4">
        <f t="shared" si="57"/>
        <v>0</v>
      </c>
      <c r="K609" s="4" t="str">
        <f t="shared" si="58"/>
        <v>Y85</v>
      </c>
    </row>
    <row r="610" spans="2:11" hidden="1" x14ac:dyDescent="0.2">
      <c r="B610" s="4">
        <v>39086</v>
      </c>
      <c r="C610" s="4">
        <v>0</v>
      </c>
      <c r="D610">
        <v>0</v>
      </c>
      <c r="E610" t="str">
        <f>VLOOKUP(B610,Nuclides!A:F,5,FALSE)</f>
        <v>Y86</v>
      </c>
      <c r="F610">
        <f>VLOOKUP(B610,Nuclides!A:F,4,FALSE)</f>
        <v>53064</v>
      </c>
      <c r="G610" s="4" t="str">
        <f t="shared" si="54"/>
        <v>14.74h</v>
      </c>
      <c r="H610" s="4">
        <f t="shared" si="55"/>
        <v>1.3062475134930372E-5</v>
      </c>
      <c r="I610" s="4">
        <f t="shared" si="56"/>
        <v>0</v>
      </c>
      <c r="J610" s="4">
        <f t="shared" si="57"/>
        <v>0</v>
      </c>
      <c r="K610" s="4" t="str">
        <f t="shared" si="58"/>
        <v>Y86</v>
      </c>
    </row>
    <row r="611" spans="2:11" hidden="1" x14ac:dyDescent="0.2">
      <c r="B611" s="4">
        <v>39087</v>
      </c>
      <c r="C611" s="4">
        <v>0</v>
      </c>
      <c r="D611">
        <v>0</v>
      </c>
      <c r="E611" t="str">
        <f>VLOOKUP(B611,Nuclides!A:F,5,FALSE)</f>
        <v>Y87</v>
      </c>
      <c r="F611">
        <f>VLOOKUP(B611,Nuclides!A:F,4,FALSE)</f>
        <v>287280</v>
      </c>
      <c r="G611" s="4" t="str">
        <f t="shared" si="54"/>
        <v>3.33d</v>
      </c>
      <c r="H611" s="4">
        <f t="shared" si="55"/>
        <v>2.4127930261763619E-6</v>
      </c>
      <c r="I611" s="4">
        <f t="shared" si="56"/>
        <v>0</v>
      </c>
      <c r="J611" s="4">
        <f t="shared" si="57"/>
        <v>0</v>
      </c>
      <c r="K611" s="4" t="str">
        <f t="shared" si="58"/>
        <v>Y87</v>
      </c>
    </row>
    <row r="612" spans="2:11" hidden="1" x14ac:dyDescent="0.2">
      <c r="B612" s="4">
        <v>39088</v>
      </c>
      <c r="C612" s="4">
        <v>0</v>
      </c>
      <c r="D612">
        <v>0</v>
      </c>
      <c r="E612" t="str">
        <f>VLOOKUP(B612,Nuclides!A:F,5,FALSE)</f>
        <v>Y88</v>
      </c>
      <c r="F612">
        <f>VLOOKUP(B612,Nuclides!A:F,4,FALSE)</f>
        <v>9212486.4000000004</v>
      </c>
      <c r="G612" s="4" t="str">
        <f t="shared" si="54"/>
        <v>106.63d</v>
      </c>
      <c r="H612" s="4">
        <f t="shared" si="55"/>
        <v>7.5239967850584322E-8</v>
      </c>
      <c r="I612" s="4">
        <f t="shared" si="56"/>
        <v>0</v>
      </c>
      <c r="J612" s="4">
        <f t="shared" si="57"/>
        <v>0</v>
      </c>
      <c r="K612" s="4" t="str">
        <f t="shared" si="58"/>
        <v>Y88</v>
      </c>
    </row>
    <row r="613" spans="2:11" hidden="1" x14ac:dyDescent="0.2">
      <c r="B613" s="4">
        <v>39089</v>
      </c>
      <c r="C613" s="4">
        <v>0</v>
      </c>
      <c r="D613">
        <v>0</v>
      </c>
      <c r="E613" t="str">
        <f>VLOOKUP(B613,Nuclides!A:F,5,FALSE)</f>
        <v>Y89</v>
      </c>
      <c r="F613" t="str">
        <f>VLOOKUP(B613,Nuclides!A:F,4,FALSE)</f>
        <v>STABLE</v>
      </c>
      <c r="G613" s="4" t="str">
        <f t="shared" si="54"/>
        <v>STABLE</v>
      </c>
      <c r="H613" s="4" t="e">
        <f t="shared" si="55"/>
        <v>#VALUE!</v>
      </c>
      <c r="I613" s="4" t="e">
        <f t="shared" si="56"/>
        <v>#VALUE!</v>
      </c>
      <c r="J613" s="4" t="e">
        <f t="shared" si="57"/>
        <v>#VALUE!</v>
      </c>
      <c r="K613" s="4" t="str">
        <f t="shared" si="58"/>
        <v>Y89</v>
      </c>
    </row>
    <row r="614" spans="2:11" hidden="1" x14ac:dyDescent="0.2">
      <c r="B614" s="4">
        <v>39090</v>
      </c>
      <c r="C614" s="4">
        <v>0</v>
      </c>
      <c r="D614">
        <v>0</v>
      </c>
      <c r="E614" t="str">
        <f>VLOOKUP(B614,Nuclides!A:F,5,FALSE)</f>
        <v>Y90</v>
      </c>
      <c r="F614">
        <f>VLOOKUP(B614,Nuclides!A:F,4,FALSE)</f>
        <v>230590.8</v>
      </c>
      <c r="G614" s="4" t="str">
        <f t="shared" si="54"/>
        <v>2.67d</v>
      </c>
      <c r="H614" s="4">
        <f t="shared" si="55"/>
        <v>3.0059619922388289E-6</v>
      </c>
      <c r="I614" s="4">
        <f t="shared" si="56"/>
        <v>0</v>
      </c>
      <c r="J614" s="4">
        <f t="shared" si="57"/>
        <v>0</v>
      </c>
      <c r="K614" s="4" t="str">
        <f t="shared" si="58"/>
        <v>Y90</v>
      </c>
    </row>
    <row r="615" spans="2:11" hidden="1" x14ac:dyDescent="0.2">
      <c r="B615" s="4">
        <v>39091</v>
      </c>
      <c r="C615" s="4">
        <v>0</v>
      </c>
      <c r="D615">
        <v>0</v>
      </c>
      <c r="E615" t="str">
        <f>VLOOKUP(B615,Nuclides!A:F,5,FALSE)</f>
        <v>Y91</v>
      </c>
      <c r="F615">
        <f>VLOOKUP(B615,Nuclides!A:F,4,FALSE)</f>
        <v>5055264</v>
      </c>
      <c r="G615" s="4" t="str">
        <f t="shared" si="54"/>
        <v>58.51d</v>
      </c>
      <c r="H615" s="4">
        <f t="shared" si="55"/>
        <v>1.3711394312145624E-7</v>
      </c>
      <c r="I615" s="4">
        <f t="shared" si="56"/>
        <v>0</v>
      </c>
      <c r="J615" s="4">
        <f t="shared" si="57"/>
        <v>0</v>
      </c>
      <c r="K615" s="4" t="str">
        <f t="shared" si="58"/>
        <v>Y91</v>
      </c>
    </row>
    <row r="616" spans="2:11" hidden="1" x14ac:dyDescent="0.2">
      <c r="B616" s="4">
        <v>39092</v>
      </c>
      <c r="C616" s="4">
        <v>0</v>
      </c>
      <c r="D616">
        <v>0</v>
      </c>
      <c r="E616" t="str">
        <f>VLOOKUP(B616,Nuclides!A:F,5,FALSE)</f>
        <v>Y92</v>
      </c>
      <c r="F616">
        <f>VLOOKUP(B616,Nuclides!A:F,4,FALSE)</f>
        <v>12744</v>
      </c>
      <c r="G616" s="4" t="str">
        <f t="shared" si="54"/>
        <v>3.54h</v>
      </c>
      <c r="H616" s="4">
        <f t="shared" si="55"/>
        <v>5.4390080081602739E-5</v>
      </c>
      <c r="I616" s="4">
        <f t="shared" si="56"/>
        <v>0</v>
      </c>
      <c r="J616" s="4">
        <f t="shared" si="57"/>
        <v>0</v>
      </c>
      <c r="K616" s="4" t="str">
        <f t="shared" si="58"/>
        <v>Y92</v>
      </c>
    </row>
    <row r="617" spans="2:11" hidden="1" x14ac:dyDescent="0.2">
      <c r="B617" s="4">
        <v>39093</v>
      </c>
      <c r="C617" s="4">
        <v>0</v>
      </c>
      <c r="D617">
        <v>0</v>
      </c>
      <c r="E617" t="str">
        <f>VLOOKUP(B617,Nuclides!A:F,5,FALSE)</f>
        <v>Y93</v>
      </c>
      <c r="F617">
        <f>VLOOKUP(B617,Nuclides!A:F,4,FALSE)</f>
        <v>36648</v>
      </c>
      <c r="G617" s="4" t="str">
        <f t="shared" si="54"/>
        <v>10.18h</v>
      </c>
      <c r="H617" s="4">
        <f t="shared" si="55"/>
        <v>1.891364277886775E-5</v>
      </c>
      <c r="I617" s="4">
        <f t="shared" si="56"/>
        <v>0</v>
      </c>
      <c r="J617" s="4">
        <f t="shared" si="57"/>
        <v>0</v>
      </c>
      <c r="K617" s="4" t="str">
        <f t="shared" si="58"/>
        <v>Y93</v>
      </c>
    </row>
    <row r="618" spans="2:11" hidden="1" x14ac:dyDescent="0.2">
      <c r="B618" s="4">
        <v>39094</v>
      </c>
      <c r="C618" s="4">
        <v>0</v>
      </c>
      <c r="D618">
        <v>0</v>
      </c>
      <c r="E618" t="str">
        <f>VLOOKUP(B618,Nuclides!A:F,5,FALSE)</f>
        <v>Y94</v>
      </c>
      <c r="F618">
        <f>VLOOKUP(B618,Nuclides!A:F,4,FALSE)</f>
        <v>1122</v>
      </c>
      <c r="G618" s="4" t="str">
        <f t="shared" si="54"/>
        <v>18.7min</v>
      </c>
      <c r="H618" s="4">
        <f t="shared" si="55"/>
        <v>6.1777823579317766E-4</v>
      </c>
      <c r="I618" s="4">
        <f t="shared" si="56"/>
        <v>0</v>
      </c>
      <c r="J618" s="4">
        <f t="shared" si="57"/>
        <v>0</v>
      </c>
      <c r="K618" s="4" t="str">
        <f t="shared" si="58"/>
        <v>Y94</v>
      </c>
    </row>
    <row r="619" spans="2:11" hidden="1" x14ac:dyDescent="0.2">
      <c r="B619" s="4">
        <v>39095</v>
      </c>
      <c r="C619" s="4">
        <v>0</v>
      </c>
      <c r="D619">
        <v>0</v>
      </c>
      <c r="E619" t="str">
        <f>VLOOKUP(B619,Nuclides!A:F,5,FALSE)</f>
        <v>Y95</v>
      </c>
      <c r="F619">
        <f>VLOOKUP(B619,Nuclides!A:F,4,FALSE)</f>
        <v>618</v>
      </c>
      <c r="G619" s="4" t="str">
        <f t="shared" si="54"/>
        <v>10.3min</v>
      </c>
      <c r="H619" s="4">
        <f t="shared" si="55"/>
        <v>1.1215973795468371E-3</v>
      </c>
      <c r="I619" s="4">
        <f t="shared" si="56"/>
        <v>0</v>
      </c>
      <c r="J619" s="4">
        <f t="shared" si="57"/>
        <v>0</v>
      </c>
      <c r="K619" s="4" t="str">
        <f t="shared" si="58"/>
        <v>Y95</v>
      </c>
    </row>
    <row r="620" spans="2:11" hidden="1" x14ac:dyDescent="0.2">
      <c r="B620" s="4">
        <v>39096</v>
      </c>
      <c r="C620" s="4">
        <v>0</v>
      </c>
      <c r="D620">
        <v>0</v>
      </c>
      <c r="E620" t="str">
        <f>VLOOKUP(B620,Nuclides!A:F,5,FALSE)</f>
        <v>Y96</v>
      </c>
      <c r="F620">
        <f>VLOOKUP(B620,Nuclides!A:F,4,FALSE)</f>
        <v>5.34</v>
      </c>
      <c r="G620" s="4" t="str">
        <f t="shared" si="54"/>
        <v>5.34s</v>
      </c>
      <c r="H620" s="4">
        <f t="shared" si="55"/>
        <v>0.12980284280148788</v>
      </c>
      <c r="I620" s="4">
        <f t="shared" si="56"/>
        <v>0</v>
      </c>
      <c r="J620" s="4">
        <f t="shared" si="57"/>
        <v>0</v>
      </c>
      <c r="K620" s="4" t="str">
        <f t="shared" si="58"/>
        <v>Y96</v>
      </c>
    </row>
    <row r="621" spans="2:11" hidden="1" x14ac:dyDescent="0.2">
      <c r="B621" s="4">
        <v>39097</v>
      </c>
      <c r="C621" s="4">
        <v>0</v>
      </c>
      <c r="D621">
        <v>0</v>
      </c>
      <c r="E621" t="str">
        <f>VLOOKUP(B621,Nuclides!A:F,5,FALSE)</f>
        <v>Y97</v>
      </c>
      <c r="F621">
        <f>VLOOKUP(B621,Nuclides!A:F,4,FALSE)</f>
        <v>3.75</v>
      </c>
      <c r="G621" s="4" t="str">
        <f t="shared" si="54"/>
        <v>3.75s</v>
      </c>
      <c r="H621" s="4">
        <f t="shared" si="55"/>
        <v>0.18483924814931874</v>
      </c>
      <c r="I621" s="4">
        <f t="shared" si="56"/>
        <v>0</v>
      </c>
      <c r="J621" s="4">
        <f t="shared" si="57"/>
        <v>0</v>
      </c>
      <c r="K621" s="4" t="str">
        <f t="shared" si="58"/>
        <v>Y97</v>
      </c>
    </row>
    <row r="622" spans="2:11" hidden="1" x14ac:dyDescent="0.2">
      <c r="B622" s="4">
        <v>39098</v>
      </c>
      <c r="C622" s="4">
        <v>0</v>
      </c>
      <c r="D622">
        <v>0</v>
      </c>
      <c r="E622" t="str">
        <f>VLOOKUP(B622,Nuclides!A:F,5,FALSE)</f>
        <v>Y98</v>
      </c>
      <c r="F622">
        <f>VLOOKUP(B622,Nuclides!A:F,4,FALSE)</f>
        <v>0.54800000000000004</v>
      </c>
      <c r="G622" s="4" t="str">
        <f t="shared" si="54"/>
        <v>0.548s</v>
      </c>
      <c r="H622" s="4">
        <f t="shared" si="55"/>
        <v>1.264867117810119</v>
      </c>
      <c r="I622" s="4">
        <f t="shared" si="56"/>
        <v>0</v>
      </c>
      <c r="J622" s="4">
        <f t="shared" si="57"/>
        <v>0</v>
      </c>
      <c r="K622" s="4" t="str">
        <f t="shared" si="58"/>
        <v>Y98</v>
      </c>
    </row>
    <row r="623" spans="2:11" hidden="1" x14ac:dyDescent="0.2">
      <c r="B623" s="4">
        <v>39099</v>
      </c>
      <c r="C623" s="4">
        <v>0</v>
      </c>
      <c r="D623">
        <v>0</v>
      </c>
      <c r="E623" t="str">
        <f>VLOOKUP(B623,Nuclides!A:F,5,FALSE)</f>
        <v>Y99</v>
      </c>
      <c r="F623">
        <f>VLOOKUP(B623,Nuclides!A:F,4,FALSE)</f>
        <v>1.484</v>
      </c>
      <c r="G623" s="4" t="str">
        <f t="shared" si="54"/>
        <v>1.484s</v>
      </c>
      <c r="H623" s="4">
        <f t="shared" si="55"/>
        <v>0.46708031035036746</v>
      </c>
      <c r="I623" s="4">
        <f t="shared" si="56"/>
        <v>0</v>
      </c>
      <c r="J623" s="4">
        <f t="shared" si="57"/>
        <v>0</v>
      </c>
      <c r="K623" s="4" t="str">
        <f t="shared" si="58"/>
        <v>Y99</v>
      </c>
    </row>
    <row r="624" spans="2:11" hidden="1" x14ac:dyDescent="0.2">
      <c r="B624" s="4">
        <v>39100</v>
      </c>
      <c r="C624" s="4">
        <v>0</v>
      </c>
      <c r="D624">
        <v>0</v>
      </c>
      <c r="E624" t="str">
        <f>VLOOKUP(B624,Nuclides!A:F,5,FALSE)</f>
        <v>Y100</v>
      </c>
      <c r="F624">
        <f>VLOOKUP(B624,Nuclides!A:F,4,FALSE)</f>
        <v>0.73499999999999999</v>
      </c>
      <c r="G624" s="4" t="str">
        <f t="shared" si="54"/>
        <v>0.735s</v>
      </c>
      <c r="H624" s="4">
        <f t="shared" si="55"/>
        <v>0.94305738851693233</v>
      </c>
      <c r="I624" s="4">
        <f t="shared" si="56"/>
        <v>0</v>
      </c>
      <c r="J624" s="4">
        <f t="shared" si="57"/>
        <v>0</v>
      </c>
      <c r="K624" s="4" t="str">
        <f t="shared" si="58"/>
        <v>Y100</v>
      </c>
    </row>
    <row r="625" spans="2:11" hidden="1" x14ac:dyDescent="0.2">
      <c r="B625" s="4">
        <v>39101</v>
      </c>
      <c r="C625" s="4">
        <v>0</v>
      </c>
      <c r="D625">
        <v>0</v>
      </c>
      <c r="E625" t="str">
        <f>VLOOKUP(B625,Nuclides!A:F,5,FALSE)</f>
        <v>Y101</v>
      </c>
      <c r="F625">
        <f>VLOOKUP(B625,Nuclides!A:F,4,FALSE)</f>
        <v>0.45</v>
      </c>
      <c r="G625" s="4" t="str">
        <f t="shared" si="54"/>
        <v>0.45s</v>
      </c>
      <c r="H625" s="4">
        <f t="shared" si="55"/>
        <v>1.5403270679109895</v>
      </c>
      <c r="I625" s="4">
        <f t="shared" si="56"/>
        <v>0</v>
      </c>
      <c r="J625" s="4">
        <f t="shared" si="57"/>
        <v>0</v>
      </c>
      <c r="K625" s="4" t="str">
        <f t="shared" si="58"/>
        <v>Y101</v>
      </c>
    </row>
    <row r="626" spans="2:11" hidden="1" x14ac:dyDescent="0.2">
      <c r="B626" s="4">
        <v>39102</v>
      </c>
      <c r="C626" s="4">
        <v>0</v>
      </c>
      <c r="D626">
        <v>0</v>
      </c>
      <c r="E626" t="str">
        <f>VLOOKUP(B626,Nuclides!A:F,5,FALSE)</f>
        <v>Y102</v>
      </c>
      <c r="F626">
        <f>VLOOKUP(B626,Nuclides!A:F,4,FALSE)</f>
        <v>0.36</v>
      </c>
      <c r="G626" s="4" t="str">
        <f t="shared" si="54"/>
        <v>0.36s</v>
      </c>
      <c r="H626" s="4">
        <f t="shared" si="55"/>
        <v>1.925408834888737</v>
      </c>
      <c r="I626" s="4">
        <f t="shared" si="56"/>
        <v>0</v>
      </c>
      <c r="J626" s="4">
        <f t="shared" si="57"/>
        <v>0</v>
      </c>
      <c r="K626" s="4" t="str">
        <f t="shared" si="58"/>
        <v>Y102</v>
      </c>
    </row>
    <row r="627" spans="2:11" hidden="1" x14ac:dyDescent="0.2">
      <c r="B627" s="4">
        <v>40081</v>
      </c>
      <c r="C627" s="4">
        <v>0</v>
      </c>
      <c r="D627">
        <v>0</v>
      </c>
      <c r="E627" t="str">
        <f>VLOOKUP(B627,Nuclides!A:F,5,FALSE)</f>
        <v>Zr81</v>
      </c>
      <c r="F627">
        <f>VLOOKUP(B627,Nuclides!A:F,4,FALSE)</f>
        <v>5.5</v>
      </c>
      <c r="G627" s="4" t="str">
        <f t="shared" si="54"/>
        <v>5.5s</v>
      </c>
      <c r="H627" s="4">
        <f t="shared" si="55"/>
        <v>0.12602676010180824</v>
      </c>
      <c r="I627" s="4">
        <f t="shared" si="56"/>
        <v>0</v>
      </c>
      <c r="J627" s="4">
        <f t="shared" si="57"/>
        <v>0</v>
      </c>
      <c r="K627" s="4" t="str">
        <f t="shared" si="58"/>
        <v>Zr81</v>
      </c>
    </row>
    <row r="628" spans="2:11" hidden="1" x14ac:dyDescent="0.2">
      <c r="B628" s="4">
        <v>40082</v>
      </c>
      <c r="C628" s="4">
        <v>0</v>
      </c>
      <c r="D628">
        <v>0</v>
      </c>
      <c r="E628" t="str">
        <f>VLOOKUP(B628,Nuclides!A:F,5,FALSE)</f>
        <v>Zr82</v>
      </c>
      <c r="F628">
        <f>VLOOKUP(B628,Nuclides!A:F,4,FALSE)</f>
        <v>32</v>
      </c>
      <c r="G628" s="4" t="str">
        <f t="shared" si="54"/>
        <v>32s</v>
      </c>
      <c r="H628" s="4">
        <f t="shared" si="55"/>
        <v>2.166084939249829E-2</v>
      </c>
      <c r="I628" s="4">
        <f t="shared" si="56"/>
        <v>0</v>
      </c>
      <c r="J628" s="4">
        <f t="shared" si="57"/>
        <v>0</v>
      </c>
      <c r="K628" s="4" t="str">
        <f t="shared" si="58"/>
        <v>Zr82</v>
      </c>
    </row>
    <row r="629" spans="2:11" hidden="1" x14ac:dyDescent="0.2">
      <c r="B629" s="4">
        <v>40083</v>
      </c>
      <c r="C629" s="4">
        <v>0</v>
      </c>
      <c r="D629">
        <v>0</v>
      </c>
      <c r="E629" t="str">
        <f>VLOOKUP(B629,Nuclides!A:F,5,FALSE)</f>
        <v>Zr83</v>
      </c>
      <c r="F629">
        <f>VLOOKUP(B629,Nuclides!A:F,4,FALSE)</f>
        <v>42</v>
      </c>
      <c r="G629" s="4" t="str">
        <f t="shared" si="54"/>
        <v>42s</v>
      </c>
      <c r="H629" s="4">
        <f t="shared" si="55"/>
        <v>1.6503504299046318E-2</v>
      </c>
      <c r="I629" s="4">
        <f t="shared" si="56"/>
        <v>0</v>
      </c>
      <c r="J629" s="4">
        <f t="shared" si="57"/>
        <v>0</v>
      </c>
      <c r="K629" s="4" t="str">
        <f t="shared" si="58"/>
        <v>Zr83</v>
      </c>
    </row>
    <row r="630" spans="2:11" hidden="1" x14ac:dyDescent="0.2">
      <c r="B630" s="4">
        <v>40084</v>
      </c>
      <c r="C630" s="4">
        <v>0</v>
      </c>
      <c r="D630">
        <v>0</v>
      </c>
      <c r="E630" t="str">
        <f>VLOOKUP(B630,Nuclides!A:F,5,FALSE)</f>
        <v>Zr84</v>
      </c>
      <c r="F630">
        <f>VLOOKUP(B630,Nuclides!A:F,4,FALSE)</f>
        <v>1548</v>
      </c>
      <c r="G630" s="4" t="str">
        <f t="shared" si="54"/>
        <v>25.8min</v>
      </c>
      <c r="H630" s="4">
        <f t="shared" si="55"/>
        <v>4.4776949648575278E-4</v>
      </c>
      <c r="I630" s="4">
        <f t="shared" si="56"/>
        <v>0</v>
      </c>
      <c r="J630" s="4">
        <f t="shared" si="57"/>
        <v>0</v>
      </c>
      <c r="K630" s="4" t="str">
        <f t="shared" si="58"/>
        <v>Zr84</v>
      </c>
    </row>
    <row r="631" spans="2:11" hidden="1" x14ac:dyDescent="0.2">
      <c r="B631" s="4">
        <v>40085</v>
      </c>
      <c r="C631" s="4">
        <v>0</v>
      </c>
      <c r="D631">
        <v>0</v>
      </c>
      <c r="E631" t="str">
        <f>VLOOKUP(B631,Nuclides!A:F,5,FALSE)</f>
        <v>Zr85</v>
      </c>
      <c r="F631">
        <f>VLOOKUP(B631,Nuclides!A:F,4,FALSE)</f>
        <v>471.6</v>
      </c>
      <c r="G631" s="4" t="str">
        <f t="shared" si="54"/>
        <v>7.86min</v>
      </c>
      <c r="H631" s="4">
        <f t="shared" si="55"/>
        <v>1.4697777365562876E-3</v>
      </c>
      <c r="I631" s="4">
        <f t="shared" si="56"/>
        <v>0</v>
      </c>
      <c r="J631" s="4">
        <f t="shared" si="57"/>
        <v>0</v>
      </c>
      <c r="K631" s="4" t="str">
        <f t="shared" si="58"/>
        <v>Zr85</v>
      </c>
    </row>
    <row r="632" spans="2:11" hidden="1" x14ac:dyDescent="0.2">
      <c r="B632" s="4">
        <v>40086</v>
      </c>
      <c r="C632" s="4">
        <v>0</v>
      </c>
      <c r="D632">
        <v>0</v>
      </c>
      <c r="E632" t="str">
        <f>VLOOKUP(B632,Nuclides!A:F,5,FALSE)</f>
        <v>Zr86</v>
      </c>
      <c r="F632">
        <f>VLOOKUP(B632,Nuclides!A:F,4,FALSE)</f>
        <v>59400</v>
      </c>
      <c r="G632" s="4" t="str">
        <f t="shared" si="54"/>
        <v>16.5h</v>
      </c>
      <c r="H632" s="4">
        <f t="shared" si="55"/>
        <v>1.1669144453871133E-5</v>
      </c>
      <c r="I632" s="4">
        <f t="shared" si="56"/>
        <v>0</v>
      </c>
      <c r="J632" s="4">
        <f t="shared" si="57"/>
        <v>0</v>
      </c>
      <c r="K632" s="4" t="str">
        <f t="shared" si="58"/>
        <v>Zr86</v>
      </c>
    </row>
    <row r="633" spans="2:11" hidden="1" x14ac:dyDescent="0.2">
      <c r="B633" s="4">
        <v>40087</v>
      </c>
      <c r="C633" s="4">
        <v>0</v>
      </c>
      <c r="D633">
        <v>0</v>
      </c>
      <c r="E633" t="str">
        <f>VLOOKUP(B633,Nuclides!A:F,5,FALSE)</f>
        <v>Zr87</v>
      </c>
      <c r="F633">
        <f>VLOOKUP(B633,Nuclides!A:F,4,FALSE)</f>
        <v>6048</v>
      </c>
      <c r="G633" s="4" t="str">
        <f t="shared" si="54"/>
        <v>1.68h</v>
      </c>
      <c r="H633" s="4">
        <f t="shared" si="55"/>
        <v>1.146076687433772E-4</v>
      </c>
      <c r="I633" s="4">
        <f t="shared" si="56"/>
        <v>0</v>
      </c>
      <c r="J633" s="4">
        <f t="shared" si="57"/>
        <v>0</v>
      </c>
      <c r="K633" s="4" t="str">
        <f t="shared" si="58"/>
        <v>Zr87</v>
      </c>
    </row>
    <row r="634" spans="2:11" hidden="1" x14ac:dyDescent="0.2">
      <c r="B634" s="4">
        <v>40088</v>
      </c>
      <c r="C634" s="4">
        <v>0</v>
      </c>
      <c r="D634">
        <v>0</v>
      </c>
      <c r="E634" t="str">
        <f>VLOOKUP(B634,Nuclides!A:F,5,FALSE)</f>
        <v>Zr88</v>
      </c>
      <c r="F634">
        <f>VLOOKUP(B634,Nuclides!A:F,4,FALSE)</f>
        <v>7205760</v>
      </c>
      <c r="G634" s="4" t="str">
        <f t="shared" si="54"/>
        <v>83.4d</v>
      </c>
      <c r="H634" s="4">
        <f t="shared" si="55"/>
        <v>9.6193486954872943E-8</v>
      </c>
      <c r="I634" s="4">
        <f t="shared" si="56"/>
        <v>0</v>
      </c>
      <c r="J634" s="4">
        <f t="shared" si="57"/>
        <v>0</v>
      </c>
      <c r="K634" s="4" t="str">
        <f t="shared" si="58"/>
        <v>Zr88</v>
      </c>
    </row>
    <row r="635" spans="2:11" hidden="1" x14ac:dyDescent="0.2">
      <c r="B635" s="4">
        <v>40089</v>
      </c>
      <c r="C635" s="4">
        <v>0</v>
      </c>
      <c r="D635">
        <v>0</v>
      </c>
      <c r="E635" t="str">
        <f>VLOOKUP(B635,Nuclides!A:F,5,FALSE)</f>
        <v>Zr89</v>
      </c>
      <c r="F635">
        <f>VLOOKUP(B635,Nuclides!A:F,4,FALSE)</f>
        <v>282276</v>
      </c>
      <c r="G635" s="4" t="str">
        <f t="shared" si="54"/>
        <v>3.27d</v>
      </c>
      <c r="H635" s="4">
        <f t="shared" si="55"/>
        <v>2.4555654060562899E-6</v>
      </c>
      <c r="I635" s="4">
        <f t="shared" si="56"/>
        <v>0</v>
      </c>
      <c r="J635" s="4">
        <f t="shared" si="57"/>
        <v>0</v>
      </c>
      <c r="K635" s="4" t="str">
        <f t="shared" si="58"/>
        <v>Zr89</v>
      </c>
    </row>
    <row r="636" spans="2:11" hidden="1" x14ac:dyDescent="0.2">
      <c r="B636" s="4">
        <v>40090</v>
      </c>
      <c r="C636" s="4">
        <v>0</v>
      </c>
      <c r="D636">
        <v>0</v>
      </c>
      <c r="E636" t="str">
        <f>VLOOKUP(B636,Nuclides!A:F,5,FALSE)</f>
        <v>Zr90</v>
      </c>
      <c r="F636" t="str">
        <f>VLOOKUP(B636,Nuclides!A:F,4,FALSE)</f>
        <v>STABLE</v>
      </c>
      <c r="G636" s="4" t="str">
        <f t="shared" si="54"/>
        <v>STABLE</v>
      </c>
      <c r="H636" s="4" t="e">
        <f t="shared" si="55"/>
        <v>#VALUE!</v>
      </c>
      <c r="I636" s="4" t="e">
        <f t="shared" si="56"/>
        <v>#VALUE!</v>
      </c>
      <c r="J636" s="4" t="e">
        <f t="shared" si="57"/>
        <v>#VALUE!</v>
      </c>
      <c r="K636" s="4" t="str">
        <f t="shared" si="58"/>
        <v>Zr90</v>
      </c>
    </row>
    <row r="637" spans="2:11" hidden="1" x14ac:dyDescent="0.2">
      <c r="B637" s="4">
        <v>40091</v>
      </c>
      <c r="C637" s="4">
        <v>0</v>
      </c>
      <c r="D637">
        <v>0</v>
      </c>
      <c r="E637" t="str">
        <f>VLOOKUP(B637,Nuclides!A:F,5,FALSE)</f>
        <v>Zr91</v>
      </c>
      <c r="F637" t="str">
        <f>VLOOKUP(B637,Nuclides!A:F,4,FALSE)</f>
        <v>STABLE</v>
      </c>
      <c r="G637" s="4" t="str">
        <f t="shared" si="54"/>
        <v>STABLE</v>
      </c>
      <c r="H637" s="4" t="e">
        <f t="shared" si="55"/>
        <v>#VALUE!</v>
      </c>
      <c r="I637" s="4" t="e">
        <f t="shared" si="56"/>
        <v>#VALUE!</v>
      </c>
      <c r="J637" s="4" t="e">
        <f t="shared" si="57"/>
        <v>#VALUE!</v>
      </c>
      <c r="K637" s="4" t="str">
        <f t="shared" si="58"/>
        <v>Zr91</v>
      </c>
    </row>
    <row r="638" spans="2:11" hidden="1" x14ac:dyDescent="0.2">
      <c r="B638" s="4">
        <v>40092</v>
      </c>
      <c r="C638" s="4">
        <v>0</v>
      </c>
      <c r="D638">
        <v>0</v>
      </c>
      <c r="E638" t="str">
        <f>VLOOKUP(B638,Nuclides!A:F,5,FALSE)</f>
        <v>Zr92</v>
      </c>
      <c r="F638" t="str">
        <f>VLOOKUP(B638,Nuclides!A:F,4,FALSE)</f>
        <v>STABLE</v>
      </c>
      <c r="G638" s="4" t="str">
        <f t="shared" si="54"/>
        <v>STABLE</v>
      </c>
      <c r="H638" s="4" t="e">
        <f t="shared" si="55"/>
        <v>#VALUE!</v>
      </c>
      <c r="I638" s="4" t="e">
        <f t="shared" si="56"/>
        <v>#VALUE!</v>
      </c>
      <c r="J638" s="4" t="e">
        <f t="shared" si="57"/>
        <v>#VALUE!</v>
      </c>
      <c r="K638" s="4" t="str">
        <f t="shared" si="58"/>
        <v>Zr92</v>
      </c>
    </row>
    <row r="639" spans="2:11" hidden="1" x14ac:dyDescent="0.2">
      <c r="B639" s="4">
        <v>40093</v>
      </c>
      <c r="C639" s="4">
        <v>0</v>
      </c>
      <c r="D639">
        <v>0</v>
      </c>
      <c r="E639" t="str">
        <f>VLOOKUP(B639,Nuclides!A:F,5,FALSE)</f>
        <v>Zr93</v>
      </c>
      <c r="F639">
        <f>VLOOKUP(B639,Nuclides!A:F,4,FALSE)</f>
        <v>50807736000000</v>
      </c>
      <c r="G639" s="4" t="str">
        <f t="shared" si="54"/>
        <v>1611102.74y</v>
      </c>
      <c r="H639" s="4">
        <f t="shared" si="55"/>
        <v>1.3642552003496973E-14</v>
      </c>
      <c r="I639" s="4">
        <f t="shared" si="56"/>
        <v>0</v>
      </c>
      <c r="J639" s="4">
        <f t="shared" si="57"/>
        <v>0</v>
      </c>
      <c r="K639" s="4" t="str">
        <f t="shared" si="58"/>
        <v>Zr93</v>
      </c>
    </row>
    <row r="640" spans="2:11" hidden="1" x14ac:dyDescent="0.2">
      <c r="B640" s="4">
        <v>40094</v>
      </c>
      <c r="C640" s="4">
        <v>0</v>
      </c>
      <c r="D640">
        <v>0</v>
      </c>
      <c r="E640" t="str">
        <f>VLOOKUP(B640,Nuclides!A:F,5,FALSE)</f>
        <v>Zr94</v>
      </c>
      <c r="F640" t="str">
        <f>VLOOKUP(B640,Nuclides!A:F,4,FALSE)</f>
        <v>STABLE</v>
      </c>
      <c r="G640" s="4" t="str">
        <f t="shared" si="54"/>
        <v>STABLE</v>
      </c>
      <c r="H640" s="4" t="e">
        <f t="shared" si="55"/>
        <v>#VALUE!</v>
      </c>
      <c r="I640" s="4" t="e">
        <f t="shared" si="56"/>
        <v>#VALUE!</v>
      </c>
      <c r="J640" s="4" t="e">
        <f t="shared" si="57"/>
        <v>#VALUE!</v>
      </c>
      <c r="K640" s="4" t="str">
        <f t="shared" si="58"/>
        <v>Zr94</v>
      </c>
    </row>
    <row r="641" spans="2:11" hidden="1" x14ac:dyDescent="0.2">
      <c r="B641" s="4">
        <v>40095</v>
      </c>
      <c r="C641" s="4">
        <v>0</v>
      </c>
      <c r="D641">
        <v>0</v>
      </c>
      <c r="E641" t="str">
        <f>VLOOKUP(B641,Nuclides!A:F,5,FALSE)</f>
        <v>Zr95</v>
      </c>
      <c r="F641">
        <f>VLOOKUP(B641,Nuclides!A:F,4,FALSE)</f>
        <v>5532364.7999999998</v>
      </c>
      <c r="G641" s="4" t="str">
        <f t="shared" si="54"/>
        <v>64.03d</v>
      </c>
      <c r="H641" s="4">
        <f t="shared" si="55"/>
        <v>1.2528949294159802E-7</v>
      </c>
      <c r="I641" s="4">
        <f t="shared" si="56"/>
        <v>0</v>
      </c>
      <c r="J641" s="4">
        <f t="shared" si="57"/>
        <v>0</v>
      </c>
      <c r="K641" s="4" t="str">
        <f t="shared" si="58"/>
        <v>Zr95</v>
      </c>
    </row>
    <row r="642" spans="2:11" hidden="1" x14ac:dyDescent="0.2">
      <c r="B642" s="4">
        <v>40096</v>
      </c>
      <c r="C642" s="4">
        <v>0</v>
      </c>
      <c r="D642">
        <v>0</v>
      </c>
      <c r="E642" t="str">
        <f>VLOOKUP(B642,Nuclides!A:F,5,FALSE)</f>
        <v>Zr96</v>
      </c>
      <c r="F642">
        <f>VLOOKUP(B642,Nuclides!A:F,4,FALSE)</f>
        <v>7.4160360000000004E+26</v>
      </c>
      <c r="G642" s="4" t="str">
        <f t="shared" si="54"/>
        <v>23516095890411000000y</v>
      </c>
      <c r="H642" s="4">
        <f t="shared" si="55"/>
        <v>9.3465994577149465E-28</v>
      </c>
      <c r="I642" s="4">
        <f t="shared" si="56"/>
        <v>0</v>
      </c>
      <c r="J642" s="4">
        <f t="shared" si="57"/>
        <v>0</v>
      </c>
      <c r="K642" s="4" t="str">
        <f t="shared" si="58"/>
        <v>Zr96</v>
      </c>
    </row>
    <row r="643" spans="2:11" hidden="1" x14ac:dyDescent="0.2">
      <c r="B643" s="4">
        <v>40097</v>
      </c>
      <c r="C643" s="4">
        <v>0</v>
      </c>
      <c r="D643">
        <v>0</v>
      </c>
      <c r="E643" t="str">
        <f>VLOOKUP(B643,Nuclides!A:F,5,FALSE)</f>
        <v>Zr97</v>
      </c>
      <c r="F643">
        <f>VLOOKUP(B643,Nuclides!A:F,4,FALSE)</f>
        <v>60296.3999999999</v>
      </c>
      <c r="G643" s="4" t="str">
        <f t="shared" si="54"/>
        <v>16.75h</v>
      </c>
      <c r="H643" s="4">
        <f t="shared" si="55"/>
        <v>1.149566442706275E-5</v>
      </c>
      <c r="I643" s="4">
        <f t="shared" si="56"/>
        <v>0</v>
      </c>
      <c r="J643" s="4">
        <f t="shared" si="57"/>
        <v>0</v>
      </c>
      <c r="K643" s="4" t="str">
        <f t="shared" si="58"/>
        <v>Zr97</v>
      </c>
    </row>
    <row r="644" spans="2:11" hidden="1" x14ac:dyDescent="0.2">
      <c r="B644" s="4">
        <v>40098</v>
      </c>
      <c r="C644" s="4">
        <v>0</v>
      </c>
      <c r="D644">
        <v>0</v>
      </c>
      <c r="E644" t="str">
        <f>VLOOKUP(B644,Nuclides!A:F,5,FALSE)</f>
        <v>Zr98</v>
      </c>
      <c r="F644">
        <f>VLOOKUP(B644,Nuclides!A:F,4,FALSE)</f>
        <v>30.7</v>
      </c>
      <c r="G644" s="4" t="str">
        <f t="shared" si="54"/>
        <v>30.7s</v>
      </c>
      <c r="H644" s="4">
        <f t="shared" si="55"/>
        <v>2.2578084057327207E-2</v>
      </c>
      <c r="I644" s="4">
        <f t="shared" si="56"/>
        <v>0</v>
      </c>
      <c r="J644" s="4">
        <f t="shared" si="57"/>
        <v>0</v>
      </c>
      <c r="K644" s="4" t="str">
        <f t="shared" si="58"/>
        <v>Zr98</v>
      </c>
    </row>
    <row r="645" spans="2:11" hidden="1" x14ac:dyDescent="0.2">
      <c r="B645" s="4">
        <v>40099</v>
      </c>
      <c r="C645" s="4">
        <v>0</v>
      </c>
      <c r="D645">
        <v>0</v>
      </c>
      <c r="E645" t="str">
        <f>VLOOKUP(B645,Nuclides!A:F,5,FALSE)</f>
        <v>Zr99</v>
      </c>
      <c r="F645">
        <f>VLOOKUP(B645,Nuclides!A:F,4,FALSE)</f>
        <v>2.1</v>
      </c>
      <c r="G645" s="4" t="str">
        <f t="shared" ref="G645:G708" si="59">IF(F645="STABLE", "STABLE", IF(F645&lt;60, F645&amp;"s", IF(F645&lt;3600, ROUND(F645/60,2)&amp;"min", IF(F645&lt;86400, ROUND(F645/3600,2)&amp;"h", IF(F645&lt;31536000, ROUND(F645/86400,2)&amp;"d", ROUND(F645/31536000,2)&amp;"y")))))</f>
        <v>2.1s</v>
      </c>
      <c r="H645" s="4">
        <f t="shared" ref="H645:H708" si="60">LN(2)/F645</f>
        <v>0.3300700859809263</v>
      </c>
      <c r="I645" s="4">
        <f t="shared" ref="I645:I708" si="61">60*6240000000000*C645*(1-EXP(-H645*2*3600))</f>
        <v>0</v>
      </c>
      <c r="J645" s="4">
        <f t="shared" ref="J645:J708" si="62">I645*EXP(-H645*48*3600)</f>
        <v>0</v>
      </c>
      <c r="K645" s="4" t="str">
        <f t="shared" ref="K645:K708" si="63">E645</f>
        <v>Zr99</v>
      </c>
    </row>
    <row r="646" spans="2:11" hidden="1" x14ac:dyDescent="0.2">
      <c r="B646" s="4">
        <v>40100</v>
      </c>
      <c r="C646" s="4">
        <v>0</v>
      </c>
      <c r="D646">
        <v>0</v>
      </c>
      <c r="E646" t="str">
        <f>VLOOKUP(B646,Nuclides!A:F,5,FALSE)</f>
        <v>Zr100</v>
      </c>
      <c r="F646">
        <f>VLOOKUP(B646,Nuclides!A:F,4,FALSE)</f>
        <v>7.1</v>
      </c>
      <c r="G646" s="4" t="str">
        <f t="shared" si="59"/>
        <v>7.1s</v>
      </c>
      <c r="H646" s="4">
        <f t="shared" si="60"/>
        <v>9.7626363459147228E-2</v>
      </c>
      <c r="I646" s="4">
        <f t="shared" si="61"/>
        <v>0</v>
      </c>
      <c r="J646" s="4">
        <f t="shared" si="62"/>
        <v>0</v>
      </c>
      <c r="K646" s="4" t="str">
        <f t="shared" si="63"/>
        <v>Zr100</v>
      </c>
    </row>
    <row r="647" spans="2:11" hidden="1" x14ac:dyDescent="0.2">
      <c r="B647" s="4">
        <v>40101</v>
      </c>
      <c r="C647" s="4">
        <v>0</v>
      </c>
      <c r="D647">
        <v>0</v>
      </c>
      <c r="E647" t="str">
        <f>VLOOKUP(B647,Nuclides!A:F,5,FALSE)</f>
        <v>Zr101</v>
      </c>
      <c r="F647">
        <f>VLOOKUP(B647,Nuclides!A:F,4,FALSE)</f>
        <v>2.2999999999999998</v>
      </c>
      <c r="G647" s="4" t="str">
        <f t="shared" si="59"/>
        <v>2.3s</v>
      </c>
      <c r="H647" s="4">
        <f t="shared" si="60"/>
        <v>0.30136833937388929</v>
      </c>
      <c r="I647" s="4">
        <f t="shared" si="61"/>
        <v>0</v>
      </c>
      <c r="J647" s="4">
        <f t="shared" si="62"/>
        <v>0</v>
      </c>
      <c r="K647" s="4" t="str">
        <f t="shared" si="63"/>
        <v>Zr101</v>
      </c>
    </row>
    <row r="648" spans="2:11" hidden="1" x14ac:dyDescent="0.2">
      <c r="B648" s="4">
        <v>40102</v>
      </c>
      <c r="C648" s="4">
        <v>0</v>
      </c>
      <c r="D648">
        <v>0</v>
      </c>
      <c r="E648" t="str">
        <f>VLOOKUP(B648,Nuclides!A:F,5,FALSE)</f>
        <v>Zr102</v>
      </c>
      <c r="F648">
        <f>VLOOKUP(B648,Nuclides!A:F,4,FALSE)</f>
        <v>2.9</v>
      </c>
      <c r="G648" s="4" t="str">
        <f t="shared" si="59"/>
        <v>2.9s</v>
      </c>
      <c r="H648" s="4">
        <f t="shared" si="60"/>
        <v>0.23901626915860183</v>
      </c>
      <c r="I648" s="4">
        <f t="shared" si="61"/>
        <v>0</v>
      </c>
      <c r="J648" s="4">
        <f t="shared" si="62"/>
        <v>0</v>
      </c>
      <c r="K648" s="4" t="str">
        <f t="shared" si="63"/>
        <v>Zr102</v>
      </c>
    </row>
    <row r="649" spans="2:11" hidden="1" x14ac:dyDescent="0.2">
      <c r="B649" s="4">
        <v>41084</v>
      </c>
      <c r="C649" s="4">
        <v>0</v>
      </c>
      <c r="D649">
        <v>0</v>
      </c>
      <c r="E649" t="str">
        <f>VLOOKUP(B649,Nuclides!A:F,5,FALSE)</f>
        <v>Nb84</v>
      </c>
      <c r="F649">
        <f>VLOOKUP(B649,Nuclides!A:F,4,FALSE)</f>
        <v>9.8000000000000007</v>
      </c>
      <c r="G649" s="4" t="str">
        <f t="shared" si="59"/>
        <v>9.8s</v>
      </c>
      <c r="H649" s="4">
        <f t="shared" si="60"/>
        <v>7.0729304138769919E-2</v>
      </c>
      <c r="I649" s="4">
        <f t="shared" si="61"/>
        <v>0</v>
      </c>
      <c r="J649" s="4">
        <f t="shared" si="62"/>
        <v>0</v>
      </c>
      <c r="K649" s="4" t="str">
        <f t="shared" si="63"/>
        <v>Nb84</v>
      </c>
    </row>
    <row r="650" spans="2:11" hidden="1" x14ac:dyDescent="0.2">
      <c r="B650" s="4">
        <v>41085</v>
      </c>
      <c r="C650" s="4">
        <v>0</v>
      </c>
      <c r="D650">
        <v>0</v>
      </c>
      <c r="E650" t="str">
        <f>VLOOKUP(B650,Nuclides!A:F,5,FALSE)</f>
        <v>Nb85</v>
      </c>
      <c r="F650">
        <f>VLOOKUP(B650,Nuclides!A:F,4,FALSE)</f>
        <v>20.5</v>
      </c>
      <c r="G650" s="4" t="str">
        <f t="shared" si="59"/>
        <v>20.5s</v>
      </c>
      <c r="H650" s="4">
        <f t="shared" si="60"/>
        <v>3.3812057588290013E-2</v>
      </c>
      <c r="I650" s="4">
        <f t="shared" si="61"/>
        <v>0</v>
      </c>
      <c r="J650" s="4">
        <f t="shared" si="62"/>
        <v>0</v>
      </c>
      <c r="K650" s="4" t="str">
        <f t="shared" si="63"/>
        <v>Nb85</v>
      </c>
    </row>
    <row r="651" spans="2:11" hidden="1" x14ac:dyDescent="0.2">
      <c r="B651" s="4">
        <v>41086</v>
      </c>
      <c r="C651" s="4">
        <v>0</v>
      </c>
      <c r="D651">
        <v>0</v>
      </c>
      <c r="E651" t="str">
        <f>VLOOKUP(B651,Nuclides!A:F,5,FALSE)</f>
        <v>Nb86</v>
      </c>
      <c r="F651">
        <f>VLOOKUP(B651,Nuclides!A:F,4,FALSE)</f>
        <v>88</v>
      </c>
      <c r="G651" s="4" t="str">
        <f t="shared" si="59"/>
        <v>1.47min</v>
      </c>
      <c r="H651" s="4">
        <f t="shared" si="60"/>
        <v>7.8766725063630152E-3</v>
      </c>
      <c r="I651" s="4">
        <f t="shared" si="61"/>
        <v>0</v>
      </c>
      <c r="J651" s="4">
        <f t="shared" si="62"/>
        <v>0</v>
      </c>
      <c r="K651" s="4" t="str">
        <f t="shared" si="63"/>
        <v>Nb86</v>
      </c>
    </row>
    <row r="652" spans="2:11" hidden="1" x14ac:dyDescent="0.2">
      <c r="B652" s="4">
        <v>41087</v>
      </c>
      <c r="C652" s="4">
        <v>0</v>
      </c>
      <c r="D652">
        <v>0</v>
      </c>
      <c r="E652" t="str">
        <f>VLOOKUP(B652,Nuclides!A:F,5,FALSE)</f>
        <v>Nb87</v>
      </c>
      <c r="F652">
        <f>VLOOKUP(B652,Nuclides!A:F,4,FALSE)</f>
        <v>222</v>
      </c>
      <c r="G652" s="4" t="str">
        <f t="shared" si="59"/>
        <v>3.7min</v>
      </c>
      <c r="H652" s="4">
        <f t="shared" si="60"/>
        <v>3.1222845971168706E-3</v>
      </c>
      <c r="I652" s="4">
        <f t="shared" si="61"/>
        <v>0</v>
      </c>
      <c r="J652" s="4">
        <f t="shared" si="62"/>
        <v>0</v>
      </c>
      <c r="K652" s="4" t="str">
        <f t="shared" si="63"/>
        <v>Nb87</v>
      </c>
    </row>
    <row r="653" spans="2:11" hidden="1" x14ac:dyDescent="0.2">
      <c r="B653" s="4">
        <v>41088</v>
      </c>
      <c r="C653" s="4">
        <v>0</v>
      </c>
      <c r="D653">
        <v>0</v>
      </c>
      <c r="E653" t="str">
        <f>VLOOKUP(B653,Nuclides!A:F,5,FALSE)</f>
        <v>Nb88</v>
      </c>
      <c r="F653">
        <f>VLOOKUP(B653,Nuclides!A:F,4,FALSE)</f>
        <v>873</v>
      </c>
      <c r="G653" s="4" t="str">
        <f t="shared" si="59"/>
        <v>14.55min</v>
      </c>
      <c r="H653" s="4">
        <f t="shared" si="60"/>
        <v>7.9398302469638638E-4</v>
      </c>
      <c r="I653" s="4">
        <f t="shared" si="61"/>
        <v>0</v>
      </c>
      <c r="J653" s="4">
        <f t="shared" si="62"/>
        <v>0</v>
      </c>
      <c r="K653" s="4" t="str">
        <f t="shared" si="63"/>
        <v>Nb88</v>
      </c>
    </row>
    <row r="654" spans="2:11" hidden="1" x14ac:dyDescent="0.2">
      <c r="B654" s="4">
        <v>41089</v>
      </c>
      <c r="C654" s="4">
        <v>0</v>
      </c>
      <c r="D654">
        <v>0</v>
      </c>
      <c r="E654" t="str">
        <f>VLOOKUP(B654,Nuclides!A:F,5,FALSE)</f>
        <v>Nb89</v>
      </c>
      <c r="F654">
        <f>VLOOKUP(B654,Nuclides!A:F,4,FALSE)</f>
        <v>7307.99999999999</v>
      </c>
      <c r="G654" s="4" t="str">
        <f t="shared" si="59"/>
        <v>2.03h</v>
      </c>
      <c r="H654" s="4">
        <f t="shared" si="60"/>
        <v>9.4847725856588155E-5</v>
      </c>
      <c r="I654" s="4">
        <f t="shared" si="61"/>
        <v>0</v>
      </c>
      <c r="J654" s="4">
        <f t="shared" si="62"/>
        <v>0</v>
      </c>
      <c r="K654" s="4" t="str">
        <f t="shared" si="63"/>
        <v>Nb89</v>
      </c>
    </row>
    <row r="655" spans="2:11" hidden="1" x14ac:dyDescent="0.2">
      <c r="B655" s="4">
        <v>41090</v>
      </c>
      <c r="C655" s="4">
        <v>0</v>
      </c>
      <c r="D655">
        <v>0</v>
      </c>
      <c r="E655" t="str">
        <f>VLOOKUP(B655,Nuclides!A:F,5,FALSE)</f>
        <v>Nb90</v>
      </c>
      <c r="F655">
        <f>VLOOKUP(B655,Nuclides!A:F,4,FALSE)</f>
        <v>52560</v>
      </c>
      <c r="G655" s="4" t="str">
        <f t="shared" si="59"/>
        <v>14.6h</v>
      </c>
      <c r="H655" s="4">
        <f t="shared" si="60"/>
        <v>1.3187731745813266E-5</v>
      </c>
      <c r="I655" s="4">
        <f t="shared" si="61"/>
        <v>0</v>
      </c>
      <c r="J655" s="4">
        <f t="shared" si="62"/>
        <v>0</v>
      </c>
      <c r="K655" s="4" t="str">
        <f t="shared" si="63"/>
        <v>Nb90</v>
      </c>
    </row>
    <row r="656" spans="2:11" hidden="1" x14ac:dyDescent="0.2">
      <c r="B656" s="4">
        <v>41091</v>
      </c>
      <c r="C656" s="4">
        <v>2.0000000000000001E-9</v>
      </c>
      <c r="D656">
        <v>0.70709999999999995</v>
      </c>
      <c r="E656" t="str">
        <f>VLOOKUP(B656,Nuclides!A:F,5,FALSE)</f>
        <v>Nb91</v>
      </c>
      <c r="F656">
        <f>VLOOKUP(B656,Nuclides!A:F,4,FALSE)</f>
        <v>21459168000</v>
      </c>
      <c r="G656" s="4" t="str">
        <f t="shared" si="59"/>
        <v>680.47y</v>
      </c>
      <c r="H656" s="4">
        <f t="shared" si="60"/>
        <v>3.2300748125926655E-11</v>
      </c>
      <c r="I656" s="4">
        <f t="shared" si="61"/>
        <v>0.17414494112983903</v>
      </c>
      <c r="J656" s="4">
        <f t="shared" si="62"/>
        <v>0.17414396913049865</v>
      </c>
      <c r="K656" s="4" t="str">
        <f t="shared" si="63"/>
        <v>Nb91</v>
      </c>
    </row>
    <row r="657" spans="2:11" hidden="1" x14ac:dyDescent="0.2">
      <c r="B657" s="4">
        <v>41092</v>
      </c>
      <c r="C657" s="4">
        <v>4.0000000000000002E-9</v>
      </c>
      <c r="D657">
        <v>0.5</v>
      </c>
      <c r="E657" t="str">
        <f>VLOOKUP(B657,Nuclides!A:F,5,FALSE)</f>
        <v>Nb92</v>
      </c>
      <c r="F657">
        <f>VLOOKUP(B657,Nuclides!A:F,4,FALSE)</f>
        <v>1095048720000000</v>
      </c>
      <c r="G657" s="4" t="str">
        <f t="shared" si="59"/>
        <v>34723767.12y</v>
      </c>
      <c r="H657" s="4">
        <f t="shared" si="60"/>
        <v>6.3298296039279903E-16</v>
      </c>
      <c r="I657" s="4">
        <f t="shared" si="61"/>
        <v>6.8252603568907944E-6</v>
      </c>
      <c r="J657" s="4">
        <f t="shared" si="62"/>
        <v>6.8252603561442509E-6</v>
      </c>
      <c r="K657" s="4" t="str">
        <f t="shared" si="63"/>
        <v>Nb92</v>
      </c>
    </row>
    <row r="658" spans="2:11" hidden="1" x14ac:dyDescent="0.2">
      <c r="B658" s="4">
        <v>41093</v>
      </c>
      <c r="C658" s="4">
        <v>0</v>
      </c>
      <c r="D658">
        <v>0</v>
      </c>
      <c r="E658" t="str">
        <f>VLOOKUP(B658,Nuclides!A:F,5,FALSE)</f>
        <v>Nb93</v>
      </c>
      <c r="F658" t="str">
        <f>VLOOKUP(B658,Nuclides!A:F,4,FALSE)</f>
        <v>STABLE</v>
      </c>
      <c r="G658" s="4" t="str">
        <f t="shared" si="59"/>
        <v>STABLE</v>
      </c>
      <c r="H658" s="4" t="e">
        <f t="shared" si="60"/>
        <v>#VALUE!</v>
      </c>
      <c r="I658" s="4" t="e">
        <f t="shared" si="61"/>
        <v>#VALUE!</v>
      </c>
      <c r="J658" s="4" t="e">
        <f t="shared" si="62"/>
        <v>#VALUE!</v>
      </c>
      <c r="K658" s="4" t="str">
        <f t="shared" si="63"/>
        <v>Nb93</v>
      </c>
    </row>
    <row r="659" spans="2:11" hidden="1" x14ac:dyDescent="0.2">
      <c r="B659" s="4">
        <v>41094</v>
      </c>
      <c r="C659" s="4">
        <v>3E-9</v>
      </c>
      <c r="D659">
        <v>0.57740000000000002</v>
      </c>
      <c r="E659" t="str">
        <f>VLOOKUP(B659,Nuclides!A:F,5,FALSE)</f>
        <v>Nb94</v>
      </c>
      <c r="F659">
        <f>VLOOKUP(B659,Nuclides!A:F,4,FALSE)</f>
        <v>640619280000</v>
      </c>
      <c r="G659" s="4" t="str">
        <f t="shared" si="59"/>
        <v>20313.9y</v>
      </c>
      <c r="H659" s="4">
        <f t="shared" si="60"/>
        <v>1.0819955037256219E-12</v>
      </c>
      <c r="I659" s="4">
        <f t="shared" si="61"/>
        <v>8.750140858282407E-3</v>
      </c>
      <c r="J659" s="4">
        <f t="shared" si="62"/>
        <v>8.7501392222790221E-3</v>
      </c>
      <c r="K659" s="4" t="str">
        <f t="shared" si="63"/>
        <v>Nb94</v>
      </c>
    </row>
    <row r="660" spans="2:11" hidden="1" x14ac:dyDescent="0.2">
      <c r="B660" s="4">
        <v>41095</v>
      </c>
      <c r="C660" s="4">
        <v>0</v>
      </c>
      <c r="D660">
        <v>0</v>
      </c>
      <c r="E660" t="str">
        <f>VLOOKUP(B660,Nuclides!A:F,5,FALSE)</f>
        <v>Nb95</v>
      </c>
      <c r="F660">
        <f>VLOOKUP(B660,Nuclides!A:F,4,FALSE)</f>
        <v>3023222.4</v>
      </c>
      <c r="G660" s="4" t="str">
        <f t="shared" si="59"/>
        <v>34.99d</v>
      </c>
      <c r="H660" s="4">
        <f t="shared" si="60"/>
        <v>2.2927429373371449E-7</v>
      </c>
      <c r="I660" s="4">
        <f t="shared" si="61"/>
        <v>0</v>
      </c>
      <c r="J660" s="4">
        <f t="shared" si="62"/>
        <v>0</v>
      </c>
      <c r="K660" s="4" t="str">
        <f t="shared" si="63"/>
        <v>Nb95</v>
      </c>
    </row>
    <row r="661" spans="2:11" hidden="1" x14ac:dyDescent="0.2">
      <c r="B661" s="4">
        <v>41096</v>
      </c>
      <c r="C661" s="4">
        <v>0</v>
      </c>
      <c r="D661">
        <v>0</v>
      </c>
      <c r="E661" t="str">
        <f>VLOOKUP(B661,Nuclides!A:F,5,FALSE)</f>
        <v>Nb96</v>
      </c>
      <c r="F661">
        <f>VLOOKUP(B661,Nuclides!A:F,4,FALSE)</f>
        <v>84060</v>
      </c>
      <c r="G661" s="4" t="str">
        <f t="shared" si="59"/>
        <v>23.35h</v>
      </c>
      <c r="H661" s="4">
        <f t="shared" si="60"/>
        <v>8.2458622479175036E-6</v>
      </c>
      <c r="I661" s="4">
        <f t="shared" si="61"/>
        <v>0</v>
      </c>
      <c r="J661" s="4">
        <f t="shared" si="62"/>
        <v>0</v>
      </c>
      <c r="K661" s="4" t="str">
        <f t="shared" si="63"/>
        <v>Nb96</v>
      </c>
    </row>
    <row r="662" spans="2:11" hidden="1" x14ac:dyDescent="0.2">
      <c r="B662" s="4">
        <v>41097</v>
      </c>
      <c r="C662" s="4">
        <v>0</v>
      </c>
      <c r="D662">
        <v>0</v>
      </c>
      <c r="E662" t="str">
        <f>VLOOKUP(B662,Nuclides!A:F,5,FALSE)</f>
        <v>Nb97</v>
      </c>
      <c r="F662">
        <f>VLOOKUP(B662,Nuclides!A:F,4,FALSE)</f>
        <v>4326</v>
      </c>
      <c r="G662" s="4" t="str">
        <f t="shared" si="59"/>
        <v>1.2h</v>
      </c>
      <c r="H662" s="4">
        <f t="shared" si="60"/>
        <v>1.6022819707811958E-4</v>
      </c>
      <c r="I662" s="4">
        <f t="shared" si="61"/>
        <v>0</v>
      </c>
      <c r="J662" s="4">
        <f t="shared" si="62"/>
        <v>0</v>
      </c>
      <c r="K662" s="4" t="str">
        <f t="shared" si="63"/>
        <v>Nb97</v>
      </c>
    </row>
    <row r="663" spans="2:11" hidden="1" x14ac:dyDescent="0.2">
      <c r="B663" s="4">
        <v>41098</v>
      </c>
      <c r="C663" s="4">
        <v>0</v>
      </c>
      <c r="D663">
        <v>0</v>
      </c>
      <c r="E663" t="str">
        <f>VLOOKUP(B663,Nuclides!A:F,5,FALSE)</f>
        <v>Nb98</v>
      </c>
      <c r="F663">
        <f>VLOOKUP(B663,Nuclides!A:F,4,FALSE)</f>
        <v>2.86</v>
      </c>
      <c r="G663" s="4" t="str">
        <f t="shared" si="59"/>
        <v>2.86s</v>
      </c>
      <c r="H663" s="4">
        <f t="shared" si="60"/>
        <v>0.24235915404193892</v>
      </c>
      <c r="I663" s="4">
        <f t="shared" si="61"/>
        <v>0</v>
      </c>
      <c r="J663" s="4">
        <f t="shared" si="62"/>
        <v>0</v>
      </c>
      <c r="K663" s="4" t="str">
        <f t="shared" si="63"/>
        <v>Nb98</v>
      </c>
    </row>
    <row r="664" spans="2:11" hidden="1" x14ac:dyDescent="0.2">
      <c r="B664" s="4">
        <v>41099</v>
      </c>
      <c r="C664" s="4">
        <v>0</v>
      </c>
      <c r="D664">
        <v>0</v>
      </c>
      <c r="E664" t="str">
        <f>VLOOKUP(B664,Nuclides!A:F,5,FALSE)</f>
        <v>Nb99</v>
      </c>
      <c r="F664">
        <f>VLOOKUP(B664,Nuclides!A:F,4,FALSE)</f>
        <v>15</v>
      </c>
      <c r="G664" s="4" t="str">
        <f t="shared" si="59"/>
        <v>15s</v>
      </c>
      <c r="H664" s="4">
        <f t="shared" si="60"/>
        <v>4.6209812037329684E-2</v>
      </c>
      <c r="I664" s="4">
        <f t="shared" si="61"/>
        <v>0</v>
      </c>
      <c r="J664" s="4">
        <f t="shared" si="62"/>
        <v>0</v>
      </c>
      <c r="K664" s="4" t="str">
        <f t="shared" si="63"/>
        <v>Nb99</v>
      </c>
    </row>
    <row r="665" spans="2:11" hidden="1" x14ac:dyDescent="0.2">
      <c r="B665" s="4">
        <v>41100</v>
      </c>
      <c r="C665" s="4">
        <v>0</v>
      </c>
      <c r="D665">
        <v>0</v>
      </c>
      <c r="E665" t="str">
        <f>VLOOKUP(B665,Nuclides!A:F,5,FALSE)</f>
        <v>Nb100</v>
      </c>
      <c r="F665">
        <f>VLOOKUP(B665,Nuclides!A:F,4,FALSE)</f>
        <v>1.5</v>
      </c>
      <c r="G665" s="4" t="str">
        <f t="shared" si="59"/>
        <v>1.5s</v>
      </c>
      <c r="H665" s="4">
        <f t="shared" si="60"/>
        <v>0.46209812037329684</v>
      </c>
      <c r="I665" s="4">
        <f t="shared" si="61"/>
        <v>0</v>
      </c>
      <c r="J665" s="4">
        <f t="shared" si="62"/>
        <v>0</v>
      </c>
      <c r="K665" s="4" t="str">
        <f t="shared" si="63"/>
        <v>Nb100</v>
      </c>
    </row>
    <row r="666" spans="2:11" hidden="1" x14ac:dyDescent="0.2">
      <c r="B666" s="4">
        <v>41101</v>
      </c>
      <c r="C666" s="4">
        <v>0</v>
      </c>
      <c r="D666">
        <v>0</v>
      </c>
      <c r="E666" t="str">
        <f>VLOOKUP(B666,Nuclides!A:F,5,FALSE)</f>
        <v>Nb101</v>
      </c>
      <c r="F666">
        <f>VLOOKUP(B666,Nuclides!A:F,4,FALSE)</f>
        <v>7.1</v>
      </c>
      <c r="G666" s="4" t="str">
        <f t="shared" si="59"/>
        <v>7.1s</v>
      </c>
      <c r="H666" s="4">
        <f t="shared" si="60"/>
        <v>9.7626363459147228E-2</v>
      </c>
      <c r="I666" s="4">
        <f t="shared" si="61"/>
        <v>0</v>
      </c>
      <c r="J666" s="4">
        <f t="shared" si="62"/>
        <v>0</v>
      </c>
      <c r="K666" s="4" t="str">
        <f t="shared" si="63"/>
        <v>Nb101</v>
      </c>
    </row>
    <row r="667" spans="2:11" hidden="1" x14ac:dyDescent="0.2">
      <c r="B667" s="4">
        <v>41102</v>
      </c>
      <c r="C667" s="4">
        <v>0</v>
      </c>
      <c r="D667">
        <v>0</v>
      </c>
      <c r="E667" t="str">
        <f>VLOOKUP(B667,Nuclides!A:F,5,FALSE)</f>
        <v>Nb102</v>
      </c>
      <c r="F667">
        <f>VLOOKUP(B667,Nuclides!A:F,4,FALSE)</f>
        <v>4.3</v>
      </c>
      <c r="G667" s="4" t="str">
        <f t="shared" si="59"/>
        <v>4.3s</v>
      </c>
      <c r="H667" s="4">
        <f t="shared" si="60"/>
        <v>0.16119701873487099</v>
      </c>
      <c r="I667" s="4">
        <f t="shared" si="61"/>
        <v>0</v>
      </c>
      <c r="J667" s="4">
        <f t="shared" si="62"/>
        <v>0</v>
      </c>
      <c r="K667" s="4" t="str">
        <f t="shared" si="63"/>
        <v>Nb102</v>
      </c>
    </row>
    <row r="668" spans="2:11" hidden="1" x14ac:dyDescent="0.2">
      <c r="B668" s="4">
        <v>41103</v>
      </c>
      <c r="C668" s="4">
        <v>0</v>
      </c>
      <c r="D668">
        <v>0</v>
      </c>
      <c r="E668" t="str">
        <f>VLOOKUP(B668,Nuclides!A:F,5,FALSE)</f>
        <v>Nb103</v>
      </c>
      <c r="F668">
        <f>VLOOKUP(B668,Nuclides!A:F,4,FALSE)</f>
        <v>1.5</v>
      </c>
      <c r="G668" s="4" t="str">
        <f t="shared" si="59"/>
        <v>1.5s</v>
      </c>
      <c r="H668" s="4">
        <f t="shared" si="60"/>
        <v>0.46209812037329684</v>
      </c>
      <c r="I668" s="4">
        <f t="shared" si="61"/>
        <v>0</v>
      </c>
      <c r="J668" s="4">
        <f t="shared" si="62"/>
        <v>0</v>
      </c>
      <c r="K668" s="4" t="str">
        <f t="shared" si="63"/>
        <v>Nb103</v>
      </c>
    </row>
    <row r="669" spans="2:11" hidden="1" x14ac:dyDescent="0.2">
      <c r="B669" s="4">
        <v>41104</v>
      </c>
      <c r="C669" s="4">
        <v>0</v>
      </c>
      <c r="D669">
        <v>0</v>
      </c>
      <c r="E669" t="str">
        <f>VLOOKUP(B669,Nuclides!A:F,5,FALSE)</f>
        <v>Nb104</v>
      </c>
      <c r="F669">
        <f>VLOOKUP(B669,Nuclides!A:F,4,FALSE)</f>
        <v>4.9000000000000004</v>
      </c>
      <c r="G669" s="4" t="str">
        <f t="shared" si="59"/>
        <v>4.9s</v>
      </c>
      <c r="H669" s="4">
        <f t="shared" si="60"/>
        <v>0.14145860827753984</v>
      </c>
      <c r="I669" s="4">
        <f t="shared" si="61"/>
        <v>0</v>
      </c>
      <c r="J669" s="4">
        <f t="shared" si="62"/>
        <v>0</v>
      </c>
      <c r="K669" s="4" t="str">
        <f t="shared" si="63"/>
        <v>Nb104</v>
      </c>
    </row>
    <row r="670" spans="2:11" hidden="1" x14ac:dyDescent="0.2">
      <c r="B670" s="4">
        <v>41105</v>
      </c>
      <c r="C670" s="4">
        <v>0</v>
      </c>
      <c r="D670">
        <v>0</v>
      </c>
      <c r="E670" t="str">
        <f>VLOOKUP(B670,Nuclides!A:F,5,FALSE)</f>
        <v>Nb105</v>
      </c>
      <c r="F670">
        <f>VLOOKUP(B670,Nuclides!A:F,4,FALSE)</f>
        <v>2.95</v>
      </c>
      <c r="G670" s="4" t="str">
        <f t="shared" si="59"/>
        <v>2.95s</v>
      </c>
      <c r="H670" s="4">
        <f t="shared" si="60"/>
        <v>0.23496514595252382</v>
      </c>
      <c r="I670" s="4">
        <f t="shared" si="61"/>
        <v>0</v>
      </c>
      <c r="J670" s="4">
        <f t="shared" si="62"/>
        <v>0</v>
      </c>
      <c r="K670" s="4" t="str">
        <f t="shared" si="63"/>
        <v>Nb105</v>
      </c>
    </row>
    <row r="671" spans="2:11" hidden="1" x14ac:dyDescent="0.2">
      <c r="B671" s="4">
        <v>41106</v>
      </c>
      <c r="C671" s="4">
        <v>0</v>
      </c>
      <c r="D671">
        <v>0</v>
      </c>
      <c r="E671" t="str">
        <f>VLOOKUP(B671,Nuclides!A:F,5,FALSE)</f>
        <v>Nb106</v>
      </c>
      <c r="F671">
        <f>VLOOKUP(B671,Nuclides!A:F,4,FALSE)</f>
        <v>1.02</v>
      </c>
      <c r="G671" s="4" t="str">
        <f t="shared" si="59"/>
        <v>1.02s</v>
      </c>
      <c r="H671" s="4">
        <f t="shared" si="60"/>
        <v>0.67955605937249541</v>
      </c>
      <c r="I671" s="4">
        <f t="shared" si="61"/>
        <v>0</v>
      </c>
      <c r="J671" s="4">
        <f t="shared" si="62"/>
        <v>0</v>
      </c>
      <c r="K671" s="4" t="str">
        <f t="shared" si="63"/>
        <v>Nb106</v>
      </c>
    </row>
    <row r="672" spans="2:11" hidden="1" x14ac:dyDescent="0.2">
      <c r="B672" s="4">
        <v>42087</v>
      </c>
      <c r="C672" s="4">
        <v>0</v>
      </c>
      <c r="D672">
        <v>0</v>
      </c>
      <c r="E672" t="str">
        <f>VLOOKUP(B672,Nuclides!A:F,5,FALSE)</f>
        <v>Mo87</v>
      </c>
      <c r="F672">
        <f>VLOOKUP(B672,Nuclides!A:F,4,FALSE)</f>
        <v>14.02</v>
      </c>
      <c r="G672" s="4" t="str">
        <f t="shared" si="59"/>
        <v>14.02s</v>
      </c>
      <c r="H672" s="4">
        <f t="shared" si="60"/>
        <v>4.9439884490723632E-2</v>
      </c>
      <c r="I672" s="4">
        <f t="shared" si="61"/>
        <v>0</v>
      </c>
      <c r="J672" s="4">
        <f t="shared" si="62"/>
        <v>0</v>
      </c>
      <c r="K672" s="4" t="str">
        <f t="shared" si="63"/>
        <v>Mo87</v>
      </c>
    </row>
    <row r="673" spans="2:17" hidden="1" x14ac:dyDescent="0.2">
      <c r="B673" s="4">
        <v>42088</v>
      </c>
      <c r="C673" s="4">
        <v>0</v>
      </c>
      <c r="D673">
        <v>0</v>
      </c>
      <c r="E673" t="str">
        <f>VLOOKUP(B673,Nuclides!A:F,5,FALSE)</f>
        <v>Mo88</v>
      </c>
      <c r="F673">
        <f>VLOOKUP(B673,Nuclides!A:F,4,FALSE)</f>
        <v>480</v>
      </c>
      <c r="G673" s="4" t="str">
        <f t="shared" si="59"/>
        <v>8min</v>
      </c>
      <c r="H673" s="4">
        <f t="shared" si="60"/>
        <v>1.4440566261665526E-3</v>
      </c>
      <c r="I673" s="4">
        <f t="shared" si="61"/>
        <v>0</v>
      </c>
      <c r="J673" s="4">
        <f t="shared" si="62"/>
        <v>0</v>
      </c>
      <c r="K673" s="4" t="str">
        <f t="shared" si="63"/>
        <v>Mo88</v>
      </c>
    </row>
    <row r="674" spans="2:17" hidden="1" x14ac:dyDescent="0.2">
      <c r="B674" s="4">
        <v>42089</v>
      </c>
      <c r="C674" s="4">
        <v>0</v>
      </c>
      <c r="D674">
        <v>0</v>
      </c>
      <c r="E674" t="str">
        <f>VLOOKUP(B674,Nuclides!A:F,5,FALSE)</f>
        <v>Mo89</v>
      </c>
      <c r="F674">
        <f>VLOOKUP(B674,Nuclides!A:F,4,FALSE)</f>
        <v>126.6</v>
      </c>
      <c r="G674" s="4" t="str">
        <f t="shared" si="59"/>
        <v>2.11min</v>
      </c>
      <c r="H674" s="4">
        <f t="shared" si="60"/>
        <v>5.4750962129537541E-3</v>
      </c>
      <c r="I674" s="4">
        <f t="shared" si="61"/>
        <v>0</v>
      </c>
      <c r="J674" s="4">
        <f t="shared" si="62"/>
        <v>0</v>
      </c>
      <c r="K674" s="4" t="str">
        <f t="shared" si="63"/>
        <v>Mo89</v>
      </c>
    </row>
    <row r="675" spans="2:17" hidden="1" x14ac:dyDescent="0.2">
      <c r="B675" s="4">
        <v>42090</v>
      </c>
      <c r="C675" s="4">
        <v>0</v>
      </c>
      <c r="D675">
        <v>0</v>
      </c>
      <c r="E675" t="str">
        <f>VLOOKUP(B675,Nuclides!A:F,5,FALSE)</f>
        <v>Mo90</v>
      </c>
      <c r="F675">
        <f>VLOOKUP(B675,Nuclides!A:F,4,FALSE)</f>
        <v>20016</v>
      </c>
      <c r="G675" s="4" t="str">
        <f t="shared" si="59"/>
        <v>5.56h</v>
      </c>
      <c r="H675" s="4">
        <f t="shared" si="60"/>
        <v>3.4629655303754263E-5</v>
      </c>
      <c r="I675" s="4">
        <f t="shared" si="61"/>
        <v>0</v>
      </c>
      <c r="J675" s="4">
        <f t="shared" si="62"/>
        <v>0</v>
      </c>
      <c r="K675" s="4" t="str">
        <f t="shared" si="63"/>
        <v>Mo90</v>
      </c>
    </row>
    <row r="676" spans="2:17" hidden="1" x14ac:dyDescent="0.2">
      <c r="B676" s="4">
        <v>42091</v>
      </c>
      <c r="C676" s="4">
        <v>0</v>
      </c>
      <c r="D676">
        <v>0</v>
      </c>
      <c r="E676" t="str">
        <f>VLOOKUP(B676,Nuclides!A:F,5,FALSE)</f>
        <v>Mo91</v>
      </c>
      <c r="F676">
        <f>VLOOKUP(B676,Nuclides!A:F,4,FALSE)</f>
        <v>929.4</v>
      </c>
      <c r="G676" s="4" t="str">
        <f t="shared" si="59"/>
        <v>15.49min</v>
      </c>
      <c r="H676" s="4">
        <f t="shared" si="60"/>
        <v>7.4580071073805177E-4</v>
      </c>
      <c r="I676" s="4">
        <f t="shared" si="61"/>
        <v>0</v>
      </c>
      <c r="J676" s="4">
        <f t="shared" si="62"/>
        <v>0</v>
      </c>
      <c r="K676" s="4" t="str">
        <f t="shared" si="63"/>
        <v>Mo91</v>
      </c>
    </row>
    <row r="677" spans="2:17" hidden="1" x14ac:dyDescent="0.2">
      <c r="B677" s="4">
        <v>42092</v>
      </c>
      <c r="C677" s="4">
        <v>1.079E-6</v>
      </c>
      <c r="D677">
        <v>3.04E-2</v>
      </c>
      <c r="E677" t="str">
        <f>VLOOKUP(B677,Nuclides!A:F,5,FALSE)</f>
        <v>Mo92</v>
      </c>
      <c r="F677" t="str">
        <f>VLOOKUP(B677,Nuclides!A:F,4,FALSE)</f>
        <v>STABLE</v>
      </c>
      <c r="G677" s="4" t="str">
        <f t="shared" si="59"/>
        <v>STABLE</v>
      </c>
      <c r="H677" s="4" t="e">
        <f t="shared" si="60"/>
        <v>#VALUE!</v>
      </c>
      <c r="I677" s="4" t="e">
        <f t="shared" si="61"/>
        <v>#VALUE!</v>
      </c>
      <c r="J677" s="4" t="e">
        <f t="shared" si="62"/>
        <v>#VALUE!</v>
      </c>
      <c r="K677" s="4" t="str">
        <f t="shared" si="63"/>
        <v>Mo92</v>
      </c>
    </row>
    <row r="678" spans="2:17" hidden="1" x14ac:dyDescent="0.2">
      <c r="B678" s="4">
        <v>42093</v>
      </c>
      <c r="C678" s="4">
        <v>0</v>
      </c>
      <c r="D678">
        <v>0</v>
      </c>
      <c r="E678" t="str">
        <f>VLOOKUP(B678,Nuclides!A:F,5,FALSE)</f>
        <v>Mo93</v>
      </c>
      <c r="F678">
        <f>VLOOKUP(B678,Nuclides!A:F,4,FALSE)</f>
        <v>126230400000</v>
      </c>
      <c r="G678" s="4" t="str">
        <f t="shared" si="59"/>
        <v>4002.74y</v>
      </c>
      <c r="H678" s="4">
        <f t="shared" si="60"/>
        <v>5.4911271814075315E-12</v>
      </c>
      <c r="I678" s="4">
        <f t="shared" si="61"/>
        <v>0</v>
      </c>
      <c r="J678" s="4">
        <f t="shared" si="62"/>
        <v>0</v>
      </c>
      <c r="K678" s="4" t="str">
        <f t="shared" si="63"/>
        <v>Mo93</v>
      </c>
    </row>
    <row r="679" spans="2:17" hidden="1" x14ac:dyDescent="0.2">
      <c r="B679" s="4">
        <v>42094</v>
      </c>
      <c r="C679" s="4">
        <v>5.2699999999999999E-7</v>
      </c>
      <c r="D679">
        <v>4.36E-2</v>
      </c>
      <c r="E679" t="str">
        <f>VLOOKUP(B679,Nuclides!A:F,5,FALSE)</f>
        <v>Mo94</v>
      </c>
      <c r="F679" t="str">
        <f>VLOOKUP(B679,Nuclides!A:F,4,FALSE)</f>
        <v>STABLE</v>
      </c>
      <c r="G679" s="4" t="str">
        <f t="shared" si="59"/>
        <v>STABLE</v>
      </c>
      <c r="H679" s="4" t="e">
        <f t="shared" si="60"/>
        <v>#VALUE!</v>
      </c>
      <c r="I679" s="4" t="e">
        <f t="shared" si="61"/>
        <v>#VALUE!</v>
      </c>
      <c r="J679" s="4" t="e">
        <f t="shared" si="62"/>
        <v>#VALUE!</v>
      </c>
      <c r="K679" s="4" t="str">
        <f t="shared" si="63"/>
        <v>Mo94</v>
      </c>
    </row>
    <row r="680" spans="2:17" hidden="1" x14ac:dyDescent="0.2">
      <c r="B680" s="4">
        <v>42095</v>
      </c>
      <c r="C680" s="4">
        <v>6.4099999999999998E-7</v>
      </c>
      <c r="D680">
        <v>3.95E-2</v>
      </c>
      <c r="E680" t="str">
        <f>VLOOKUP(B680,Nuclides!A:F,5,FALSE)</f>
        <v>Mo95</v>
      </c>
      <c r="F680" t="str">
        <f>VLOOKUP(B680,Nuclides!A:F,4,FALSE)</f>
        <v>STABLE</v>
      </c>
      <c r="G680" s="4" t="str">
        <f t="shared" si="59"/>
        <v>STABLE</v>
      </c>
      <c r="H680" s="4" t="e">
        <f t="shared" si="60"/>
        <v>#VALUE!</v>
      </c>
      <c r="I680" s="4" t="e">
        <f t="shared" si="61"/>
        <v>#VALUE!</v>
      </c>
      <c r="J680" s="4" t="e">
        <f t="shared" si="62"/>
        <v>#VALUE!</v>
      </c>
      <c r="K680" s="4" t="str">
        <f t="shared" si="63"/>
        <v>Mo95</v>
      </c>
    </row>
    <row r="681" spans="2:17" hidden="1" x14ac:dyDescent="0.2">
      <c r="B681" s="4">
        <v>42096</v>
      </c>
      <c r="C681" s="4">
        <v>6.6599999999999996E-7</v>
      </c>
      <c r="D681">
        <v>3.8699999999999998E-2</v>
      </c>
      <c r="E681" t="str">
        <f>VLOOKUP(B681,Nuclides!A:F,5,FALSE)</f>
        <v>Mo96</v>
      </c>
      <c r="F681" t="str">
        <f>VLOOKUP(B681,Nuclides!A:F,4,FALSE)</f>
        <v>STABLE</v>
      </c>
      <c r="G681" s="4" t="str">
        <f t="shared" si="59"/>
        <v>STABLE</v>
      </c>
      <c r="H681" s="4" t="e">
        <f t="shared" si="60"/>
        <v>#VALUE!</v>
      </c>
      <c r="I681" s="4" t="e">
        <f t="shared" si="61"/>
        <v>#VALUE!</v>
      </c>
      <c r="J681" s="4" t="e">
        <f t="shared" si="62"/>
        <v>#VALUE!</v>
      </c>
      <c r="K681" s="4" t="str">
        <f t="shared" si="63"/>
        <v>Mo96</v>
      </c>
    </row>
    <row r="682" spans="2:17" hidden="1" x14ac:dyDescent="0.2">
      <c r="B682" s="4">
        <v>42097</v>
      </c>
      <c r="C682" s="4">
        <v>3.4799999999999999E-7</v>
      </c>
      <c r="D682">
        <v>5.3600000000000002E-2</v>
      </c>
      <c r="E682" t="str">
        <f>VLOOKUP(B682,Nuclides!A:F,5,FALSE)</f>
        <v>Mo97</v>
      </c>
      <c r="F682" t="str">
        <f>VLOOKUP(B682,Nuclides!A:F,4,FALSE)</f>
        <v>STABLE</v>
      </c>
      <c r="G682" s="4" t="str">
        <f t="shared" si="59"/>
        <v>STABLE</v>
      </c>
      <c r="H682" s="4" t="e">
        <f t="shared" si="60"/>
        <v>#VALUE!</v>
      </c>
      <c r="I682" s="4" t="e">
        <f t="shared" si="61"/>
        <v>#VALUE!</v>
      </c>
      <c r="J682" s="4" t="e">
        <f t="shared" si="62"/>
        <v>#VALUE!</v>
      </c>
      <c r="K682" s="4" t="str">
        <f t="shared" si="63"/>
        <v>Mo97</v>
      </c>
    </row>
    <row r="683" spans="2:17" hidden="1" x14ac:dyDescent="0.2">
      <c r="B683" s="4">
        <v>42098</v>
      </c>
      <c r="C683" s="4">
        <v>8.8700000000000004E-7</v>
      </c>
      <c r="D683">
        <v>3.3599999999999998E-2</v>
      </c>
      <c r="E683" t="str">
        <f>VLOOKUP(B683,Nuclides!A:F,5,FALSE)</f>
        <v>Mo98</v>
      </c>
      <c r="F683" t="str">
        <f>VLOOKUP(B683,Nuclides!A:F,4,FALSE)</f>
        <v>STABLE</v>
      </c>
      <c r="G683" s="4" t="str">
        <f t="shared" si="59"/>
        <v>STABLE</v>
      </c>
      <c r="H683" s="4" t="e">
        <f t="shared" si="60"/>
        <v>#VALUE!</v>
      </c>
      <c r="I683" s="4" t="e">
        <f t="shared" si="61"/>
        <v>#VALUE!</v>
      </c>
      <c r="J683" s="4" t="e">
        <f t="shared" si="62"/>
        <v>#VALUE!</v>
      </c>
      <c r="K683" s="4" t="str">
        <f t="shared" si="63"/>
        <v>Mo98</v>
      </c>
    </row>
    <row r="684" spans="2:17" x14ac:dyDescent="0.2">
      <c r="B684" s="4">
        <v>42099</v>
      </c>
      <c r="C684" s="4">
        <v>2.0000000000000001E-9</v>
      </c>
      <c r="D684">
        <v>0.70709999999999995</v>
      </c>
      <c r="E684" t="str">
        <f>VLOOKUP(B684,Nuclides!A:F,5,FALSE)</f>
        <v>Mo99</v>
      </c>
      <c r="F684">
        <f>VLOOKUP(B684,Nuclides!A:F,4,FALSE)</f>
        <v>237513.60000000001</v>
      </c>
      <c r="G684" s="4" t="str">
        <f t="shared" si="59"/>
        <v>2.75d</v>
      </c>
      <c r="H684" s="4">
        <f t="shared" si="60"/>
        <v>2.9183473306789393E-6</v>
      </c>
      <c r="I684" s="4">
        <f t="shared" si="61"/>
        <v>15569.712043127187</v>
      </c>
      <c r="J684" s="4">
        <f>I684*EXP(-H684*0.5*3600)</f>
        <v>15488.138395276379</v>
      </c>
      <c r="K684" s="4" t="str">
        <f t="shared" si="63"/>
        <v>Mo99</v>
      </c>
      <c r="L684" s="4">
        <f>J684</f>
        <v>15488.138395276379</v>
      </c>
      <c r="M684">
        <v>0</v>
      </c>
      <c r="O684" s="4" t="str">
        <f>K684</f>
        <v>Mo99</v>
      </c>
      <c r="P684" s="4" t="str">
        <f>G684</f>
        <v>2.75d</v>
      </c>
      <c r="Q684" s="4">
        <f>J684</f>
        <v>15488.138395276379</v>
      </c>
    </row>
    <row r="685" spans="2:17" hidden="1" x14ac:dyDescent="0.2">
      <c r="B685" s="4">
        <v>42100</v>
      </c>
      <c r="C685" s="4">
        <v>3.5600000000000001E-7</v>
      </c>
      <c r="D685">
        <v>5.2999999999999999E-2</v>
      </c>
      <c r="E685" t="str">
        <f>VLOOKUP(B685,Nuclides!A:F,5,FALSE)</f>
        <v>Mo100</v>
      </c>
      <c r="F685">
        <f>VLOOKUP(B685,Nuclides!A:F,4,FALSE)</f>
        <v>2.3037048000000002E+26</v>
      </c>
      <c r="G685" s="4" t="str">
        <f t="shared" si="59"/>
        <v>7305000000000000000y</v>
      </c>
      <c r="H685" s="4">
        <f t="shared" si="60"/>
        <v>3.0088368117301542E-27</v>
      </c>
      <c r="I685" s="4">
        <f t="shared" si="61"/>
        <v>0</v>
      </c>
      <c r="J685" s="4">
        <f t="shared" si="62"/>
        <v>0</v>
      </c>
      <c r="K685" s="4" t="str">
        <f t="shared" si="63"/>
        <v>Mo100</v>
      </c>
    </row>
    <row r="686" spans="2:17" hidden="1" x14ac:dyDescent="0.2">
      <c r="B686" s="4">
        <v>42101</v>
      </c>
      <c r="C686" s="4">
        <v>0</v>
      </c>
      <c r="D686">
        <v>0</v>
      </c>
      <c r="E686" t="str">
        <f>VLOOKUP(B686,Nuclides!A:F,5,FALSE)</f>
        <v>Mo101</v>
      </c>
      <c r="F686">
        <f>VLOOKUP(B686,Nuclides!A:F,4,FALSE)</f>
        <v>876.599999999999</v>
      </c>
      <c r="G686" s="4" t="str">
        <f t="shared" si="59"/>
        <v>14.61min</v>
      </c>
      <c r="H686" s="4">
        <f t="shared" si="60"/>
        <v>7.9072231412268543E-4</v>
      </c>
      <c r="I686" s="4">
        <f t="shared" si="61"/>
        <v>0</v>
      </c>
      <c r="J686" s="4">
        <f t="shared" si="62"/>
        <v>0</v>
      </c>
      <c r="K686" s="4" t="str">
        <f t="shared" si="63"/>
        <v>Mo101</v>
      </c>
    </row>
    <row r="687" spans="2:17" hidden="1" x14ac:dyDescent="0.2">
      <c r="B687" s="4">
        <v>42102</v>
      </c>
      <c r="C687" s="4">
        <v>0</v>
      </c>
      <c r="D687">
        <v>0</v>
      </c>
      <c r="E687" t="str">
        <f>VLOOKUP(B687,Nuclides!A:F,5,FALSE)</f>
        <v>Mo102</v>
      </c>
      <c r="F687">
        <f>VLOOKUP(B687,Nuclides!A:F,4,FALSE)</f>
        <v>678</v>
      </c>
      <c r="G687" s="4" t="str">
        <f t="shared" si="59"/>
        <v>11.3min</v>
      </c>
      <c r="H687" s="4">
        <f t="shared" si="60"/>
        <v>1.0223409742772054E-3</v>
      </c>
      <c r="I687" s="4">
        <f t="shared" si="61"/>
        <v>0</v>
      </c>
      <c r="J687" s="4">
        <f t="shared" si="62"/>
        <v>0</v>
      </c>
      <c r="K687" s="4" t="str">
        <f t="shared" si="63"/>
        <v>Mo102</v>
      </c>
    </row>
    <row r="688" spans="2:17" hidden="1" x14ac:dyDescent="0.2">
      <c r="B688" s="4">
        <v>42103</v>
      </c>
      <c r="C688" s="4">
        <v>0</v>
      </c>
      <c r="D688">
        <v>0</v>
      </c>
      <c r="E688" t="str">
        <f>VLOOKUP(B688,Nuclides!A:F,5,FALSE)</f>
        <v>Mo103</v>
      </c>
      <c r="F688">
        <f>VLOOKUP(B688,Nuclides!A:F,4,FALSE)</f>
        <v>67.5</v>
      </c>
      <c r="G688" s="4" t="str">
        <f t="shared" si="59"/>
        <v>1.13min</v>
      </c>
      <c r="H688" s="4">
        <f t="shared" si="60"/>
        <v>1.0268847119406597E-2</v>
      </c>
      <c r="I688" s="4">
        <f t="shared" si="61"/>
        <v>0</v>
      </c>
      <c r="J688" s="4">
        <f t="shared" si="62"/>
        <v>0</v>
      </c>
      <c r="K688" s="4" t="str">
        <f t="shared" si="63"/>
        <v>Mo103</v>
      </c>
    </row>
    <row r="689" spans="2:17" hidden="1" x14ac:dyDescent="0.2">
      <c r="B689" s="4">
        <v>42104</v>
      </c>
      <c r="C689" s="4">
        <v>0</v>
      </c>
      <c r="D689">
        <v>0</v>
      </c>
      <c r="E689" t="str">
        <f>VLOOKUP(B689,Nuclides!A:F,5,FALSE)</f>
        <v>Mo104</v>
      </c>
      <c r="F689">
        <f>VLOOKUP(B689,Nuclides!A:F,4,FALSE)</f>
        <v>60</v>
      </c>
      <c r="G689" s="4" t="str">
        <f t="shared" si="59"/>
        <v>1min</v>
      </c>
      <c r="H689" s="4">
        <f t="shared" si="60"/>
        <v>1.1552453009332421E-2</v>
      </c>
      <c r="I689" s="4">
        <f t="shared" si="61"/>
        <v>0</v>
      </c>
      <c r="J689" s="4">
        <f t="shared" si="62"/>
        <v>0</v>
      </c>
      <c r="K689" s="4" t="str">
        <f t="shared" si="63"/>
        <v>Mo104</v>
      </c>
    </row>
    <row r="690" spans="2:17" hidden="1" x14ac:dyDescent="0.2">
      <c r="B690" s="4">
        <v>42105</v>
      </c>
      <c r="C690" s="4">
        <v>0</v>
      </c>
      <c r="D690">
        <v>0</v>
      </c>
      <c r="E690" t="str">
        <f>VLOOKUP(B690,Nuclides!A:F,5,FALSE)</f>
        <v>Mo105</v>
      </c>
      <c r="F690">
        <f>VLOOKUP(B690,Nuclides!A:F,4,FALSE)</f>
        <v>35.6</v>
      </c>
      <c r="G690" s="4" t="str">
        <f t="shared" si="59"/>
        <v>35.6s</v>
      </c>
      <c r="H690" s="4">
        <f t="shared" si="60"/>
        <v>1.9470426420223182E-2</v>
      </c>
      <c r="I690" s="4">
        <f t="shared" si="61"/>
        <v>0</v>
      </c>
      <c r="J690" s="4">
        <f t="shared" si="62"/>
        <v>0</v>
      </c>
      <c r="K690" s="4" t="str">
        <f t="shared" si="63"/>
        <v>Mo105</v>
      </c>
    </row>
    <row r="691" spans="2:17" hidden="1" x14ac:dyDescent="0.2">
      <c r="B691" s="4">
        <v>42106</v>
      </c>
      <c r="C691" s="4">
        <v>0</v>
      </c>
      <c r="D691">
        <v>0</v>
      </c>
      <c r="E691" t="str">
        <f>VLOOKUP(B691,Nuclides!A:F,5,FALSE)</f>
        <v>Mo106</v>
      </c>
      <c r="F691">
        <f>VLOOKUP(B691,Nuclides!A:F,4,FALSE)</f>
        <v>8.73</v>
      </c>
      <c r="G691" s="4" t="str">
        <f t="shared" si="59"/>
        <v>8.73s</v>
      </c>
      <c r="H691" s="4">
        <f t="shared" si="60"/>
        <v>7.9398302469638637E-2</v>
      </c>
      <c r="I691" s="4">
        <f t="shared" si="61"/>
        <v>0</v>
      </c>
      <c r="J691" s="4">
        <f t="shared" si="62"/>
        <v>0</v>
      </c>
      <c r="K691" s="4" t="str">
        <f t="shared" si="63"/>
        <v>Mo106</v>
      </c>
    </row>
    <row r="692" spans="2:17" hidden="1" x14ac:dyDescent="0.2">
      <c r="B692" s="4">
        <v>42107</v>
      </c>
      <c r="C692" s="4">
        <v>0</v>
      </c>
      <c r="D692">
        <v>0</v>
      </c>
      <c r="E692" t="str">
        <f>VLOOKUP(B692,Nuclides!A:F,5,FALSE)</f>
        <v>Mo107</v>
      </c>
      <c r="F692">
        <f>VLOOKUP(B692,Nuclides!A:F,4,FALSE)</f>
        <v>3.5</v>
      </c>
      <c r="G692" s="4" t="str">
        <f t="shared" si="59"/>
        <v>3.5s</v>
      </c>
      <c r="H692" s="4">
        <f t="shared" si="60"/>
        <v>0.19804205158855578</v>
      </c>
      <c r="I692" s="4">
        <f t="shared" si="61"/>
        <v>0</v>
      </c>
      <c r="J692" s="4">
        <f t="shared" si="62"/>
        <v>0</v>
      </c>
      <c r="K692" s="4" t="str">
        <f t="shared" si="63"/>
        <v>Mo107</v>
      </c>
    </row>
    <row r="693" spans="2:17" hidden="1" x14ac:dyDescent="0.2">
      <c r="B693" s="4">
        <v>42108</v>
      </c>
      <c r="C693" s="4">
        <v>0</v>
      </c>
      <c r="D693">
        <v>0</v>
      </c>
      <c r="E693" t="str">
        <f>VLOOKUP(B693,Nuclides!A:F,5,FALSE)</f>
        <v>Mo108</v>
      </c>
      <c r="F693">
        <f>VLOOKUP(B693,Nuclides!A:F,4,FALSE)</f>
        <v>1.0900000000000001</v>
      </c>
      <c r="G693" s="4" t="str">
        <f t="shared" si="59"/>
        <v>1.09s</v>
      </c>
      <c r="H693" s="4">
        <f t="shared" si="60"/>
        <v>0.63591484455040848</v>
      </c>
      <c r="I693" s="4">
        <f t="shared" si="61"/>
        <v>0</v>
      </c>
      <c r="J693" s="4">
        <f t="shared" si="62"/>
        <v>0</v>
      </c>
      <c r="K693" s="4" t="str">
        <f t="shared" si="63"/>
        <v>Mo108</v>
      </c>
    </row>
    <row r="694" spans="2:17" hidden="1" x14ac:dyDescent="0.2">
      <c r="B694" s="4">
        <v>43090</v>
      </c>
      <c r="C694" s="4">
        <v>0</v>
      </c>
      <c r="D694">
        <v>0</v>
      </c>
      <c r="E694" t="str">
        <f>VLOOKUP(B694,Nuclides!A:F,5,FALSE)</f>
        <v>Tc90</v>
      </c>
      <c r="F694">
        <f>VLOOKUP(B694,Nuclides!A:F,4,FALSE)</f>
        <v>8.6999999999999993</v>
      </c>
      <c r="G694" s="4" t="str">
        <f t="shared" si="59"/>
        <v>8.7s</v>
      </c>
      <c r="H694" s="4">
        <f t="shared" si="60"/>
        <v>7.9672089719533948E-2</v>
      </c>
      <c r="I694" s="4">
        <f t="shared" si="61"/>
        <v>0</v>
      </c>
      <c r="J694" s="4">
        <f t="shared" si="62"/>
        <v>0</v>
      </c>
      <c r="K694" s="4" t="str">
        <f t="shared" si="63"/>
        <v>Tc90</v>
      </c>
    </row>
    <row r="695" spans="2:17" hidden="1" x14ac:dyDescent="0.2">
      <c r="B695" s="4">
        <v>43091</v>
      </c>
      <c r="C695" s="4">
        <v>0</v>
      </c>
      <c r="D695">
        <v>0</v>
      </c>
      <c r="E695" t="str">
        <f>VLOOKUP(B695,Nuclides!A:F,5,FALSE)</f>
        <v>Tc91</v>
      </c>
      <c r="F695">
        <f>VLOOKUP(B695,Nuclides!A:F,4,FALSE)</f>
        <v>188.4</v>
      </c>
      <c r="G695" s="4" t="str">
        <f t="shared" si="59"/>
        <v>3.14min</v>
      </c>
      <c r="H695" s="4">
        <f t="shared" si="60"/>
        <v>3.6791251622077773E-3</v>
      </c>
      <c r="I695" s="4">
        <f t="shared" si="61"/>
        <v>0</v>
      </c>
      <c r="J695" s="4">
        <f t="shared" si="62"/>
        <v>0</v>
      </c>
      <c r="K695" s="4" t="str">
        <f t="shared" si="63"/>
        <v>Tc91</v>
      </c>
    </row>
    <row r="696" spans="2:17" hidden="1" x14ac:dyDescent="0.2">
      <c r="B696" s="4">
        <v>43092</v>
      </c>
      <c r="C696" s="4">
        <v>1.6E-7</v>
      </c>
      <c r="D696">
        <v>7.9100000000000004E-2</v>
      </c>
      <c r="E696" t="str">
        <f>VLOOKUP(B696,Nuclides!A:F,5,FALSE)</f>
        <v>Tc92</v>
      </c>
      <c r="F696">
        <f>VLOOKUP(B696,Nuclides!A:F,4,FALSE)</f>
        <v>255</v>
      </c>
      <c r="G696" s="4" t="str">
        <f t="shared" si="59"/>
        <v>4.25min</v>
      </c>
      <c r="H696" s="4">
        <f t="shared" si="60"/>
        <v>2.7182242374899817E-3</v>
      </c>
      <c r="I696" s="4">
        <f t="shared" si="61"/>
        <v>59903999.810423128</v>
      </c>
      <c r="J696" s="4">
        <f t="shared" si="62"/>
        <v>6.1004889103966667E-197</v>
      </c>
      <c r="K696" s="4" t="str">
        <f t="shared" si="63"/>
        <v>Tc92</v>
      </c>
    </row>
    <row r="697" spans="2:17" x14ac:dyDescent="0.2">
      <c r="B697" s="4">
        <v>43093</v>
      </c>
      <c r="C697" s="4">
        <v>2.3000000000000001E-8</v>
      </c>
      <c r="D697">
        <v>0.20849999999999999</v>
      </c>
      <c r="E697" t="str">
        <f>VLOOKUP(B697,Nuclides!A:F,5,FALSE)</f>
        <v>Tc93</v>
      </c>
      <c r="F697">
        <f>VLOOKUP(B697,Nuclides!A:F,4,FALSE)</f>
        <v>9900</v>
      </c>
      <c r="G697" s="4" t="str">
        <f t="shared" si="59"/>
        <v>2.75h</v>
      </c>
      <c r="H697" s="4">
        <f t="shared" si="60"/>
        <v>7.0014866723226796E-5</v>
      </c>
      <c r="I697" s="4">
        <f t="shared" si="61"/>
        <v>3409650.0881722122</v>
      </c>
      <c r="J697" s="4">
        <f t="shared" ref="J697:J700" si="64">I697*EXP(-H697*0.5*3600)</f>
        <v>3005917.7003290351</v>
      </c>
      <c r="K697" s="4" t="str">
        <f t="shared" si="63"/>
        <v>Tc93</v>
      </c>
      <c r="L697" s="4">
        <f t="shared" ref="L697:L700" si="65">J697</f>
        <v>3005917.7003290351</v>
      </c>
      <c r="M697">
        <v>0</v>
      </c>
      <c r="O697" s="4" t="str">
        <f t="shared" ref="O697:O700" si="66">K697</f>
        <v>Tc93</v>
      </c>
      <c r="P697" s="4" t="str">
        <f t="shared" ref="P697:P700" si="67">G697</f>
        <v>2.75h</v>
      </c>
      <c r="Q697" s="4">
        <f t="shared" ref="Q697:Q700" si="68">J697</f>
        <v>3005917.7003290351</v>
      </c>
    </row>
    <row r="698" spans="2:17" x14ac:dyDescent="0.2">
      <c r="B698" s="4">
        <v>43094</v>
      </c>
      <c r="C698" s="4">
        <v>6.4199999999999995E-7</v>
      </c>
      <c r="D698">
        <v>3.95E-2</v>
      </c>
      <c r="E698" t="str">
        <f>VLOOKUP(B698,Nuclides!A:F,5,FALSE)</f>
        <v>Tc94</v>
      </c>
      <c r="F698">
        <f>VLOOKUP(B698,Nuclides!A:F,4,FALSE)</f>
        <v>17580</v>
      </c>
      <c r="G698" s="4" t="str">
        <f t="shared" si="59"/>
        <v>4.88h</v>
      </c>
      <c r="H698" s="4">
        <f t="shared" si="60"/>
        <v>3.9428167267346149E-5</v>
      </c>
      <c r="I698" s="4">
        <f t="shared" si="61"/>
        <v>59404989.534046397</v>
      </c>
      <c r="J698" s="4">
        <f t="shared" si="64"/>
        <v>55335105.18820475</v>
      </c>
      <c r="K698" s="4" t="str">
        <f t="shared" si="63"/>
        <v>Tc94</v>
      </c>
      <c r="L698" s="4">
        <f t="shared" si="65"/>
        <v>55335105.18820475</v>
      </c>
      <c r="M698">
        <v>0</v>
      </c>
      <c r="O698" s="4" t="str">
        <f t="shared" si="66"/>
        <v>Tc94</v>
      </c>
      <c r="P698" s="4" t="str">
        <f t="shared" si="67"/>
        <v>4.88h</v>
      </c>
      <c r="Q698" s="4">
        <f t="shared" si="68"/>
        <v>55335105.18820475</v>
      </c>
    </row>
    <row r="699" spans="2:17" x14ac:dyDescent="0.2">
      <c r="B699" s="4">
        <v>43095</v>
      </c>
      <c r="C699" s="4">
        <v>6.9800000000000003E-7</v>
      </c>
      <c r="D699">
        <v>3.7900000000000003E-2</v>
      </c>
      <c r="E699" t="str">
        <f>VLOOKUP(B699,Nuclides!A:F,5,FALSE)</f>
        <v>Tc95</v>
      </c>
      <c r="F699">
        <f>VLOOKUP(B699,Nuclides!A:F,4,FALSE)</f>
        <v>72000</v>
      </c>
      <c r="G699" s="4" t="str">
        <f t="shared" si="59"/>
        <v>20h</v>
      </c>
      <c r="H699" s="4">
        <f t="shared" si="60"/>
        <v>9.6270441744436842E-6</v>
      </c>
      <c r="I699" s="4">
        <f t="shared" si="61"/>
        <v>17500568.682096276</v>
      </c>
      <c r="J699" s="4">
        <f t="shared" si="64"/>
        <v>17199919.387020137</v>
      </c>
      <c r="K699" s="4" t="str">
        <f t="shared" si="63"/>
        <v>Tc95</v>
      </c>
      <c r="L699" s="4">
        <f t="shared" si="65"/>
        <v>17199919.387020137</v>
      </c>
      <c r="M699">
        <v>0</v>
      </c>
      <c r="O699" s="4" t="str">
        <f t="shared" si="66"/>
        <v>Tc95</v>
      </c>
      <c r="P699" s="4" t="str">
        <f t="shared" si="67"/>
        <v>20h</v>
      </c>
      <c r="Q699" s="4">
        <f t="shared" si="68"/>
        <v>17199919.387020137</v>
      </c>
    </row>
    <row r="700" spans="2:17" x14ac:dyDescent="0.2">
      <c r="B700" s="4">
        <v>43096</v>
      </c>
      <c r="C700" s="4">
        <v>6.1900000000000002E-7</v>
      </c>
      <c r="D700">
        <v>4.02E-2</v>
      </c>
      <c r="E700" t="str">
        <f>VLOOKUP(B700,Nuclides!A:F,5,FALSE)</f>
        <v>Tc96</v>
      </c>
      <c r="F700">
        <f>VLOOKUP(B700,Nuclides!A:F,4,FALSE)</f>
        <v>369792</v>
      </c>
      <c r="G700" s="4" t="str">
        <f t="shared" si="59"/>
        <v>4.28d</v>
      </c>
      <c r="H700" s="4">
        <f t="shared" si="60"/>
        <v>1.8744244887935522E-6</v>
      </c>
      <c r="I700" s="4">
        <f t="shared" si="61"/>
        <v>3106702.3290157616</v>
      </c>
      <c r="J700" s="4">
        <f t="shared" si="64"/>
        <v>3096238.0898612118</v>
      </c>
      <c r="K700" s="4" t="str">
        <f t="shared" si="63"/>
        <v>Tc96</v>
      </c>
      <c r="L700" s="4">
        <f t="shared" si="65"/>
        <v>3096238.0898612118</v>
      </c>
      <c r="M700">
        <v>0</v>
      </c>
      <c r="O700" s="4" t="str">
        <f t="shared" si="66"/>
        <v>Tc96</v>
      </c>
      <c r="P700" s="4" t="str">
        <f t="shared" si="67"/>
        <v>4.28d</v>
      </c>
      <c r="Q700" s="4">
        <f t="shared" si="68"/>
        <v>3096238.0898612118</v>
      </c>
    </row>
    <row r="701" spans="2:17" hidden="1" x14ac:dyDescent="0.2">
      <c r="B701" s="4">
        <v>43097</v>
      </c>
      <c r="C701" s="4">
        <v>1.0669999999999999E-6</v>
      </c>
      <c r="D701">
        <v>3.0599999999999999E-2</v>
      </c>
      <c r="E701" t="str">
        <f>VLOOKUP(B701,Nuclides!A:F,5,FALSE)</f>
        <v>Tc97</v>
      </c>
      <c r="F701">
        <f>VLOOKUP(B701,Nuclides!A:F,4,FALSE)</f>
        <v>132857496000000</v>
      </c>
      <c r="G701" s="4" t="str">
        <f t="shared" si="59"/>
        <v>4212883.56y</v>
      </c>
      <c r="H701" s="4">
        <f t="shared" si="60"/>
        <v>5.2172229752090563E-15</v>
      </c>
      <c r="I701" s="4">
        <f t="shared" si="61"/>
        <v>1.5006227831548811E-2</v>
      </c>
      <c r="J701" s="4">
        <f t="shared" si="62"/>
        <v>1.5006227818020154E-2</v>
      </c>
      <c r="K701" s="4" t="str">
        <f t="shared" si="63"/>
        <v>Tc97</v>
      </c>
    </row>
    <row r="702" spans="2:17" hidden="1" x14ac:dyDescent="0.2">
      <c r="B702" s="4">
        <v>43098</v>
      </c>
      <c r="C702" s="4">
        <v>1.15E-7</v>
      </c>
      <c r="D702">
        <v>9.3299999999999994E-2</v>
      </c>
      <c r="E702" t="str">
        <f>VLOOKUP(B702,Nuclides!A:F,5,FALSE)</f>
        <v>Tc98</v>
      </c>
      <c r="F702">
        <f>VLOOKUP(B702,Nuclides!A:F,4,FALSE)</f>
        <v>132541920000000</v>
      </c>
      <c r="G702" s="4" t="str">
        <f t="shared" si="59"/>
        <v>4202876.71y</v>
      </c>
      <c r="H702" s="4">
        <f t="shared" si="60"/>
        <v>5.2296449346738394E-15</v>
      </c>
      <c r="I702" s="4">
        <f t="shared" si="61"/>
        <v>1.6212063371767726E-3</v>
      </c>
      <c r="J702" s="4">
        <f t="shared" si="62"/>
        <v>1.6212063357117165E-3</v>
      </c>
      <c r="K702" s="4" t="str">
        <f t="shared" si="63"/>
        <v>Tc98</v>
      </c>
    </row>
    <row r="703" spans="2:17" hidden="1" x14ac:dyDescent="0.2">
      <c r="B703" s="4">
        <v>43099</v>
      </c>
      <c r="C703" s="4">
        <v>4.2399999999999999E-7</v>
      </c>
      <c r="D703">
        <v>4.8599999999999997E-2</v>
      </c>
      <c r="E703" t="str">
        <f>VLOOKUP(B703,Nuclides!A:F,5,FALSE)</f>
        <v>Tc99</v>
      </c>
      <c r="F703">
        <f>VLOOKUP(B703,Nuclides!A:F,4,FALSE)</f>
        <v>6661809360000</v>
      </c>
      <c r="G703" s="4" t="str">
        <f t="shared" si="59"/>
        <v>211244.59y</v>
      </c>
      <c r="H703" s="4">
        <f t="shared" si="60"/>
        <v>1.040478859575089E-13</v>
      </c>
      <c r="I703" s="4">
        <f t="shared" si="61"/>
        <v>0.1189234322282573</v>
      </c>
      <c r="J703" s="4">
        <f t="shared" si="62"/>
        <v>0.11892343009007647</v>
      </c>
      <c r="K703" s="4" t="str">
        <f t="shared" si="63"/>
        <v>Tc99</v>
      </c>
    </row>
    <row r="704" spans="2:17" hidden="1" x14ac:dyDescent="0.2">
      <c r="B704" s="4">
        <v>43100</v>
      </c>
      <c r="C704" s="4">
        <v>2.3000000000000001E-8</v>
      </c>
      <c r="D704">
        <v>0.20849999999999999</v>
      </c>
      <c r="E704" t="str">
        <f>VLOOKUP(B704,Nuclides!A:F,5,FALSE)</f>
        <v>Tc100</v>
      </c>
      <c r="F704">
        <f>VLOOKUP(B704,Nuclides!A:F,4,FALSE)</f>
        <v>15.46</v>
      </c>
      <c r="G704" s="4" t="str">
        <f t="shared" si="59"/>
        <v>15.46s</v>
      </c>
      <c r="H704" s="4">
        <f t="shared" si="60"/>
        <v>4.4834875844757129E-2</v>
      </c>
      <c r="I704" s="4">
        <f t="shared" si="61"/>
        <v>8611200</v>
      </c>
      <c r="J704" s="4">
        <f t="shared" si="62"/>
        <v>0</v>
      </c>
      <c r="K704" s="4" t="str">
        <f t="shared" si="63"/>
        <v>Tc100</v>
      </c>
    </row>
    <row r="705" spans="2:11" hidden="1" x14ac:dyDescent="0.2">
      <c r="B705" s="4">
        <v>43101</v>
      </c>
      <c r="C705" s="4">
        <v>0</v>
      </c>
      <c r="D705">
        <v>0</v>
      </c>
      <c r="E705" t="str">
        <f>VLOOKUP(B705,Nuclides!A:F,5,FALSE)</f>
        <v>Tc101</v>
      </c>
      <c r="F705">
        <f>VLOOKUP(B705,Nuclides!A:F,4,FALSE)</f>
        <v>841.19999999999902</v>
      </c>
      <c r="G705" s="4" t="str">
        <f t="shared" si="59"/>
        <v>14.02min</v>
      </c>
      <c r="H705" s="4">
        <f t="shared" si="60"/>
        <v>8.239980748453948E-4</v>
      </c>
      <c r="I705" s="4">
        <f t="shared" si="61"/>
        <v>0</v>
      </c>
      <c r="J705" s="4">
        <f t="shared" si="62"/>
        <v>0</v>
      </c>
      <c r="K705" s="4" t="str">
        <f t="shared" si="63"/>
        <v>Tc101</v>
      </c>
    </row>
    <row r="706" spans="2:11" hidden="1" x14ac:dyDescent="0.2">
      <c r="B706" s="4">
        <v>43102</v>
      </c>
      <c r="C706" s="4">
        <v>0</v>
      </c>
      <c r="D706">
        <v>0</v>
      </c>
      <c r="E706" t="str">
        <f>VLOOKUP(B706,Nuclides!A:F,5,FALSE)</f>
        <v>Tc102</v>
      </c>
      <c r="F706">
        <f>VLOOKUP(B706,Nuclides!A:F,4,FALSE)</f>
        <v>5.28</v>
      </c>
      <c r="G706" s="4" t="str">
        <f t="shared" si="59"/>
        <v>5.28s</v>
      </c>
      <c r="H706" s="4">
        <f t="shared" si="60"/>
        <v>0.13127787510605024</v>
      </c>
      <c r="I706" s="4">
        <f t="shared" si="61"/>
        <v>0</v>
      </c>
      <c r="J706" s="4">
        <f t="shared" si="62"/>
        <v>0</v>
      </c>
      <c r="K706" s="4" t="str">
        <f t="shared" si="63"/>
        <v>Tc102</v>
      </c>
    </row>
    <row r="707" spans="2:11" hidden="1" x14ac:dyDescent="0.2">
      <c r="B707" s="4">
        <v>43103</v>
      </c>
      <c r="C707" s="4">
        <v>0</v>
      </c>
      <c r="D707">
        <v>0</v>
      </c>
      <c r="E707" t="str">
        <f>VLOOKUP(B707,Nuclides!A:F,5,FALSE)</f>
        <v>Tc103</v>
      </c>
      <c r="F707">
        <f>VLOOKUP(B707,Nuclides!A:F,4,FALSE)</f>
        <v>54.2</v>
      </c>
      <c r="G707" s="4" t="str">
        <f t="shared" si="59"/>
        <v>54.2s</v>
      </c>
      <c r="H707" s="4">
        <f t="shared" si="60"/>
        <v>1.2788693368264673E-2</v>
      </c>
      <c r="I707" s="4">
        <f t="shared" si="61"/>
        <v>0</v>
      </c>
      <c r="J707" s="4">
        <f t="shared" si="62"/>
        <v>0</v>
      </c>
      <c r="K707" s="4" t="str">
        <f t="shared" si="63"/>
        <v>Tc103</v>
      </c>
    </row>
    <row r="708" spans="2:11" hidden="1" x14ac:dyDescent="0.2">
      <c r="B708" s="4">
        <v>43104</v>
      </c>
      <c r="C708" s="4">
        <v>0</v>
      </c>
      <c r="D708">
        <v>0</v>
      </c>
      <c r="E708" t="str">
        <f>VLOOKUP(B708,Nuclides!A:F,5,FALSE)</f>
        <v>Tc104</v>
      </c>
      <c r="F708">
        <f>VLOOKUP(B708,Nuclides!A:F,4,FALSE)</f>
        <v>1098</v>
      </c>
      <c r="G708" s="4" t="str">
        <f t="shared" si="59"/>
        <v>18.3min</v>
      </c>
      <c r="H708" s="4">
        <f t="shared" si="60"/>
        <v>6.3128158520942197E-4</v>
      </c>
      <c r="I708" s="4">
        <f t="shared" si="61"/>
        <v>0</v>
      </c>
      <c r="J708" s="4">
        <f t="shared" si="62"/>
        <v>0</v>
      </c>
      <c r="K708" s="4" t="str">
        <f t="shared" si="63"/>
        <v>Tc104</v>
      </c>
    </row>
    <row r="709" spans="2:11" hidden="1" x14ac:dyDescent="0.2">
      <c r="B709" s="4">
        <v>43105</v>
      </c>
      <c r="C709" s="4">
        <v>0</v>
      </c>
      <c r="D709">
        <v>0</v>
      </c>
      <c r="E709" t="str">
        <f>VLOOKUP(B709,Nuclides!A:F,5,FALSE)</f>
        <v>Tc105</v>
      </c>
      <c r="F709">
        <f>VLOOKUP(B709,Nuclides!A:F,4,FALSE)</f>
        <v>456</v>
      </c>
      <c r="G709" s="4" t="str">
        <f t="shared" ref="G709:G772" si="69">IF(F709="STABLE", "STABLE", IF(F709&lt;60, F709&amp;"s", IF(F709&lt;3600, ROUND(F709/60,2)&amp;"min", IF(F709&lt;86400, ROUND(F709/3600,2)&amp;"h", IF(F709&lt;31536000, ROUND(F709/86400,2)&amp;"d", ROUND(F709/31536000,2)&amp;"y")))))</f>
        <v>7.6min</v>
      </c>
      <c r="H709" s="4">
        <f t="shared" ref="H709:H772" si="70">LN(2)/F709</f>
        <v>1.520059606491108E-3</v>
      </c>
      <c r="I709" s="4">
        <f t="shared" ref="I709:I772" si="71">60*6240000000000*C709*(1-EXP(-H709*2*3600))</f>
        <v>0</v>
      </c>
      <c r="J709" s="4">
        <f t="shared" ref="J709:J772" si="72">I709*EXP(-H709*48*3600)</f>
        <v>0</v>
      </c>
      <c r="K709" s="4" t="str">
        <f t="shared" ref="K709:K772" si="73">E709</f>
        <v>Tc105</v>
      </c>
    </row>
    <row r="710" spans="2:11" hidden="1" x14ac:dyDescent="0.2">
      <c r="B710" s="4">
        <v>43106</v>
      </c>
      <c r="C710" s="4">
        <v>0</v>
      </c>
      <c r="D710">
        <v>0</v>
      </c>
      <c r="E710" t="str">
        <f>VLOOKUP(B710,Nuclides!A:F,5,FALSE)</f>
        <v>Tc106</v>
      </c>
      <c r="F710">
        <f>VLOOKUP(B710,Nuclides!A:F,4,FALSE)</f>
        <v>35.6</v>
      </c>
      <c r="G710" s="4" t="str">
        <f t="shared" si="69"/>
        <v>35.6s</v>
      </c>
      <c r="H710" s="4">
        <f t="shared" si="70"/>
        <v>1.9470426420223182E-2</v>
      </c>
      <c r="I710" s="4">
        <f t="shared" si="71"/>
        <v>0</v>
      </c>
      <c r="J710" s="4">
        <f t="shared" si="72"/>
        <v>0</v>
      </c>
      <c r="K710" s="4" t="str">
        <f t="shared" si="73"/>
        <v>Tc106</v>
      </c>
    </row>
    <row r="711" spans="2:11" hidden="1" x14ac:dyDescent="0.2">
      <c r="B711" s="4">
        <v>43107</v>
      </c>
      <c r="C711" s="4">
        <v>0</v>
      </c>
      <c r="D711">
        <v>0</v>
      </c>
      <c r="E711" t="str">
        <f>VLOOKUP(B711,Nuclides!A:F,5,FALSE)</f>
        <v>Tc107</v>
      </c>
      <c r="F711">
        <f>VLOOKUP(B711,Nuclides!A:F,4,FALSE)</f>
        <v>21.2</v>
      </c>
      <c r="G711" s="4" t="str">
        <f t="shared" si="69"/>
        <v>21.2s</v>
      </c>
      <c r="H711" s="4">
        <f t="shared" si="70"/>
        <v>3.2695621724525725E-2</v>
      </c>
      <c r="I711" s="4">
        <f t="shared" si="71"/>
        <v>0</v>
      </c>
      <c r="J711" s="4">
        <f t="shared" si="72"/>
        <v>0</v>
      </c>
      <c r="K711" s="4" t="str">
        <f t="shared" si="73"/>
        <v>Tc107</v>
      </c>
    </row>
    <row r="712" spans="2:11" hidden="1" x14ac:dyDescent="0.2">
      <c r="B712" s="4">
        <v>43108</v>
      </c>
      <c r="C712" s="4">
        <v>0</v>
      </c>
      <c r="D712">
        <v>0</v>
      </c>
      <c r="E712" t="str">
        <f>VLOOKUP(B712,Nuclides!A:F,5,FALSE)</f>
        <v>Tc108</v>
      </c>
      <c r="F712">
        <f>VLOOKUP(B712,Nuclides!A:F,4,FALSE)</f>
        <v>5.17</v>
      </c>
      <c r="G712" s="4" t="str">
        <f t="shared" si="69"/>
        <v>5.17s</v>
      </c>
      <c r="H712" s="4">
        <f t="shared" si="70"/>
        <v>0.13407102138490237</v>
      </c>
      <c r="I712" s="4">
        <f t="shared" si="71"/>
        <v>0</v>
      </c>
      <c r="J712" s="4">
        <f t="shared" si="72"/>
        <v>0</v>
      </c>
      <c r="K712" s="4" t="str">
        <f t="shared" si="73"/>
        <v>Tc108</v>
      </c>
    </row>
    <row r="713" spans="2:11" hidden="1" x14ac:dyDescent="0.2">
      <c r="B713" s="4">
        <v>43109</v>
      </c>
      <c r="C713" s="4">
        <v>0</v>
      </c>
      <c r="D713">
        <v>0</v>
      </c>
      <c r="E713" t="str">
        <f>VLOOKUP(B713,Nuclides!A:F,5,FALSE)</f>
        <v>Tc109</v>
      </c>
      <c r="F713">
        <f>VLOOKUP(B713,Nuclides!A:F,4,FALSE)</f>
        <v>0.86</v>
      </c>
      <c r="G713" s="4" t="str">
        <f t="shared" si="69"/>
        <v>0.86s</v>
      </c>
      <c r="H713" s="4">
        <f t="shared" si="70"/>
        <v>0.805985093674355</v>
      </c>
      <c r="I713" s="4">
        <f t="shared" si="71"/>
        <v>0</v>
      </c>
      <c r="J713" s="4">
        <f t="shared" si="72"/>
        <v>0</v>
      </c>
      <c r="K713" s="4" t="str">
        <f t="shared" si="73"/>
        <v>Tc109</v>
      </c>
    </row>
    <row r="714" spans="2:11" hidden="1" x14ac:dyDescent="0.2">
      <c r="B714" s="4">
        <v>43110</v>
      </c>
      <c r="C714" s="4">
        <v>0</v>
      </c>
      <c r="D714">
        <v>0</v>
      </c>
      <c r="E714" t="str">
        <f>VLOOKUP(B714,Nuclides!A:F,5,FALSE)</f>
        <v>Tc110</v>
      </c>
      <c r="F714">
        <f>VLOOKUP(B714,Nuclides!A:F,4,FALSE)</f>
        <v>0.92</v>
      </c>
      <c r="G714" s="4" t="str">
        <f t="shared" si="69"/>
        <v>0.92s</v>
      </c>
      <c r="H714" s="4">
        <f t="shared" si="70"/>
        <v>0.75342084843472312</v>
      </c>
      <c r="I714" s="4">
        <f t="shared" si="71"/>
        <v>0</v>
      </c>
      <c r="J714" s="4">
        <f t="shared" si="72"/>
        <v>0</v>
      </c>
      <c r="K714" s="4" t="str">
        <f t="shared" si="73"/>
        <v>Tc110</v>
      </c>
    </row>
    <row r="715" spans="2:11" hidden="1" x14ac:dyDescent="0.2">
      <c r="B715" s="4">
        <v>44092</v>
      </c>
      <c r="C715" s="4">
        <v>0</v>
      </c>
      <c r="D715">
        <v>0</v>
      </c>
      <c r="E715" t="str">
        <f>VLOOKUP(B715,Nuclides!A:F,5,FALSE)</f>
        <v>Ru92</v>
      </c>
      <c r="F715">
        <f>VLOOKUP(B715,Nuclides!A:F,4,FALSE)</f>
        <v>219</v>
      </c>
      <c r="G715" s="4" t="str">
        <f t="shared" si="69"/>
        <v>3.65min</v>
      </c>
      <c r="H715" s="4">
        <f t="shared" si="70"/>
        <v>3.1650556189951841E-3</v>
      </c>
      <c r="I715" s="4">
        <f t="shared" si="71"/>
        <v>0</v>
      </c>
      <c r="J715" s="4">
        <f t="shared" si="72"/>
        <v>0</v>
      </c>
      <c r="K715" s="4" t="str">
        <f t="shared" si="73"/>
        <v>Ru92</v>
      </c>
    </row>
    <row r="716" spans="2:11" hidden="1" x14ac:dyDescent="0.2">
      <c r="B716" s="4">
        <v>44093</v>
      </c>
      <c r="C716" s="4">
        <v>0</v>
      </c>
      <c r="D716">
        <v>0</v>
      </c>
      <c r="E716" t="str">
        <f>VLOOKUP(B716,Nuclides!A:F,5,FALSE)</f>
        <v>Ru93</v>
      </c>
      <c r="F716">
        <f>VLOOKUP(B716,Nuclides!A:F,4,FALSE)</f>
        <v>59.7</v>
      </c>
      <c r="G716" s="4" t="str">
        <f t="shared" si="69"/>
        <v>59.7s</v>
      </c>
      <c r="H716" s="4">
        <f t="shared" si="70"/>
        <v>1.1610505537017509E-2</v>
      </c>
      <c r="I716" s="4">
        <f t="shared" si="71"/>
        <v>0</v>
      </c>
      <c r="J716" s="4">
        <f t="shared" si="72"/>
        <v>0</v>
      </c>
      <c r="K716" s="4" t="str">
        <f t="shared" si="73"/>
        <v>Ru93</v>
      </c>
    </row>
    <row r="717" spans="2:11" hidden="1" x14ac:dyDescent="0.2">
      <c r="B717" s="4">
        <v>44094</v>
      </c>
      <c r="C717" s="4">
        <v>0</v>
      </c>
      <c r="D717">
        <v>0</v>
      </c>
      <c r="E717" t="str">
        <f>VLOOKUP(B717,Nuclides!A:F,5,FALSE)</f>
        <v>Ru94</v>
      </c>
      <c r="F717">
        <f>VLOOKUP(B717,Nuclides!A:F,4,FALSE)</f>
        <v>3108</v>
      </c>
      <c r="G717" s="4" t="str">
        <f t="shared" si="69"/>
        <v>51.8min</v>
      </c>
      <c r="H717" s="4">
        <f t="shared" si="70"/>
        <v>2.2302032836549077E-4</v>
      </c>
      <c r="I717" s="4">
        <f t="shared" si="71"/>
        <v>0</v>
      </c>
      <c r="J717" s="4">
        <f t="shared" si="72"/>
        <v>0</v>
      </c>
      <c r="K717" s="4" t="str">
        <f t="shared" si="73"/>
        <v>Ru94</v>
      </c>
    </row>
    <row r="718" spans="2:11" hidden="1" x14ac:dyDescent="0.2">
      <c r="B718" s="4">
        <v>44095</v>
      </c>
      <c r="C718" s="4">
        <v>0</v>
      </c>
      <c r="D718">
        <v>0</v>
      </c>
      <c r="E718" t="str">
        <f>VLOOKUP(B718,Nuclides!A:F,5,FALSE)</f>
        <v>Ru95</v>
      </c>
      <c r="F718">
        <f>VLOOKUP(B718,Nuclides!A:F,4,FALSE)</f>
        <v>5914.8</v>
      </c>
      <c r="G718" s="4" t="str">
        <f t="shared" si="69"/>
        <v>1.64h</v>
      </c>
      <c r="H718" s="4">
        <f t="shared" si="70"/>
        <v>1.171886083316334E-4</v>
      </c>
      <c r="I718" s="4">
        <f t="shared" si="71"/>
        <v>0</v>
      </c>
      <c r="J718" s="4">
        <f t="shared" si="72"/>
        <v>0</v>
      </c>
      <c r="K718" s="4" t="str">
        <f t="shared" si="73"/>
        <v>Ru95</v>
      </c>
    </row>
    <row r="719" spans="2:11" hidden="1" x14ac:dyDescent="0.2">
      <c r="B719" s="4">
        <v>44096</v>
      </c>
      <c r="C719" s="4">
        <v>0</v>
      </c>
      <c r="D719">
        <v>0</v>
      </c>
      <c r="E719" t="str">
        <f>VLOOKUP(B719,Nuclides!A:F,5,FALSE)</f>
        <v>Ru96</v>
      </c>
      <c r="F719" t="str">
        <f>VLOOKUP(B719,Nuclides!A:F,4,FALSE)</f>
        <v>STABLE</v>
      </c>
      <c r="G719" s="4" t="str">
        <f t="shared" si="69"/>
        <v>STABLE</v>
      </c>
      <c r="H719" s="4" t="e">
        <f t="shared" si="70"/>
        <v>#VALUE!</v>
      </c>
      <c r="I719" s="4" t="e">
        <f t="shared" si="71"/>
        <v>#VALUE!</v>
      </c>
      <c r="J719" s="4" t="e">
        <f t="shared" si="72"/>
        <v>#VALUE!</v>
      </c>
      <c r="K719" s="4" t="str">
        <f t="shared" si="73"/>
        <v>Ru96</v>
      </c>
    </row>
    <row r="720" spans="2:11" hidden="1" x14ac:dyDescent="0.2">
      <c r="B720" s="4">
        <v>44097</v>
      </c>
      <c r="C720" s="4">
        <v>0</v>
      </c>
      <c r="D720">
        <v>0</v>
      </c>
      <c r="E720" t="str">
        <f>VLOOKUP(B720,Nuclides!A:F,5,FALSE)</f>
        <v>Ru97</v>
      </c>
      <c r="F720">
        <f>VLOOKUP(B720,Nuclides!A:F,4,FALSE)</f>
        <v>244512</v>
      </c>
      <c r="G720" s="4" t="str">
        <f t="shared" si="69"/>
        <v>2.83d</v>
      </c>
      <c r="H720" s="4">
        <f t="shared" si="70"/>
        <v>2.8348186614969625E-6</v>
      </c>
      <c r="I720" s="4">
        <f t="shared" si="71"/>
        <v>0</v>
      </c>
      <c r="J720" s="4">
        <f t="shared" si="72"/>
        <v>0</v>
      </c>
      <c r="K720" s="4" t="str">
        <f t="shared" si="73"/>
        <v>Ru97</v>
      </c>
    </row>
    <row r="721" spans="2:11" hidden="1" x14ac:dyDescent="0.2">
      <c r="B721" s="4">
        <v>44098</v>
      </c>
      <c r="C721" s="4">
        <v>0</v>
      </c>
      <c r="D721">
        <v>0</v>
      </c>
      <c r="E721" t="str">
        <f>VLOOKUP(B721,Nuclides!A:F,5,FALSE)</f>
        <v>Ru98</v>
      </c>
      <c r="F721" t="str">
        <f>VLOOKUP(B721,Nuclides!A:F,4,FALSE)</f>
        <v>STABLE</v>
      </c>
      <c r="G721" s="4" t="str">
        <f t="shared" si="69"/>
        <v>STABLE</v>
      </c>
      <c r="H721" s="4" t="e">
        <f t="shared" si="70"/>
        <v>#VALUE!</v>
      </c>
      <c r="I721" s="4" t="e">
        <f t="shared" si="71"/>
        <v>#VALUE!</v>
      </c>
      <c r="J721" s="4" t="e">
        <f t="shared" si="72"/>
        <v>#VALUE!</v>
      </c>
      <c r="K721" s="4" t="str">
        <f t="shared" si="73"/>
        <v>Ru98</v>
      </c>
    </row>
    <row r="722" spans="2:11" hidden="1" x14ac:dyDescent="0.2">
      <c r="B722" s="4">
        <v>44099</v>
      </c>
      <c r="C722" s="4">
        <v>0</v>
      </c>
      <c r="D722">
        <v>0</v>
      </c>
      <c r="E722" t="str">
        <f>VLOOKUP(B722,Nuclides!A:F,5,FALSE)</f>
        <v>Ru99</v>
      </c>
      <c r="F722" t="str">
        <f>VLOOKUP(B722,Nuclides!A:F,4,FALSE)</f>
        <v>STABLE</v>
      </c>
      <c r="G722" s="4" t="str">
        <f t="shared" si="69"/>
        <v>STABLE</v>
      </c>
      <c r="H722" s="4" t="e">
        <f t="shared" si="70"/>
        <v>#VALUE!</v>
      </c>
      <c r="I722" s="4" t="e">
        <f t="shared" si="71"/>
        <v>#VALUE!</v>
      </c>
      <c r="J722" s="4" t="e">
        <f t="shared" si="72"/>
        <v>#VALUE!</v>
      </c>
      <c r="K722" s="4" t="str">
        <f t="shared" si="73"/>
        <v>Ru99</v>
      </c>
    </row>
    <row r="723" spans="2:11" hidden="1" x14ac:dyDescent="0.2">
      <c r="B723" s="4">
        <v>44100</v>
      </c>
      <c r="C723" s="4">
        <v>0</v>
      </c>
      <c r="D723">
        <v>0</v>
      </c>
      <c r="E723" t="str">
        <f>VLOOKUP(B723,Nuclides!A:F,5,FALSE)</f>
        <v>Ru100</v>
      </c>
      <c r="F723" t="str">
        <f>VLOOKUP(B723,Nuclides!A:F,4,FALSE)</f>
        <v>STABLE</v>
      </c>
      <c r="G723" s="4" t="str">
        <f t="shared" si="69"/>
        <v>STABLE</v>
      </c>
      <c r="H723" s="4" t="e">
        <f t="shared" si="70"/>
        <v>#VALUE!</v>
      </c>
      <c r="I723" s="4" t="e">
        <f t="shared" si="71"/>
        <v>#VALUE!</v>
      </c>
      <c r="J723" s="4" t="e">
        <f t="shared" si="72"/>
        <v>#VALUE!</v>
      </c>
      <c r="K723" s="4" t="str">
        <f t="shared" si="73"/>
        <v>Ru100</v>
      </c>
    </row>
    <row r="724" spans="2:11" hidden="1" x14ac:dyDescent="0.2">
      <c r="B724" s="4">
        <v>44101</v>
      </c>
      <c r="C724" s="4">
        <v>0</v>
      </c>
      <c r="D724">
        <v>0</v>
      </c>
      <c r="E724" t="str">
        <f>VLOOKUP(B724,Nuclides!A:F,5,FALSE)</f>
        <v>Ru101</v>
      </c>
      <c r="F724" t="str">
        <f>VLOOKUP(B724,Nuclides!A:F,4,FALSE)</f>
        <v>STABLE</v>
      </c>
      <c r="G724" s="4" t="str">
        <f t="shared" si="69"/>
        <v>STABLE</v>
      </c>
      <c r="H724" s="4" t="e">
        <f t="shared" si="70"/>
        <v>#VALUE!</v>
      </c>
      <c r="I724" s="4" t="e">
        <f t="shared" si="71"/>
        <v>#VALUE!</v>
      </c>
      <c r="J724" s="4" t="e">
        <f t="shared" si="72"/>
        <v>#VALUE!</v>
      </c>
      <c r="K724" s="4" t="str">
        <f t="shared" si="73"/>
        <v>Ru101</v>
      </c>
    </row>
    <row r="725" spans="2:11" hidden="1" x14ac:dyDescent="0.2">
      <c r="B725" s="4">
        <v>44102</v>
      </c>
      <c r="C725" s="4">
        <v>0</v>
      </c>
      <c r="D725">
        <v>0</v>
      </c>
      <c r="E725" t="str">
        <f>VLOOKUP(B725,Nuclides!A:F,5,FALSE)</f>
        <v>Ru102</v>
      </c>
      <c r="F725" t="str">
        <f>VLOOKUP(B725,Nuclides!A:F,4,FALSE)</f>
        <v>STABLE</v>
      </c>
      <c r="G725" s="4" t="str">
        <f t="shared" si="69"/>
        <v>STABLE</v>
      </c>
      <c r="H725" s="4" t="e">
        <f t="shared" si="70"/>
        <v>#VALUE!</v>
      </c>
      <c r="I725" s="4" t="e">
        <f t="shared" si="71"/>
        <v>#VALUE!</v>
      </c>
      <c r="J725" s="4" t="e">
        <f t="shared" si="72"/>
        <v>#VALUE!</v>
      </c>
      <c r="K725" s="4" t="str">
        <f t="shared" si="73"/>
        <v>Ru102</v>
      </c>
    </row>
    <row r="726" spans="2:11" hidden="1" x14ac:dyDescent="0.2">
      <c r="B726" s="4">
        <v>44103</v>
      </c>
      <c r="C726" s="4">
        <v>0</v>
      </c>
      <c r="D726">
        <v>0</v>
      </c>
      <c r="E726" t="str">
        <f>VLOOKUP(B726,Nuclides!A:F,5,FALSE)</f>
        <v>Ru103</v>
      </c>
      <c r="F726">
        <f>VLOOKUP(B726,Nuclides!A:F,4,FALSE)</f>
        <v>3390940.8</v>
      </c>
      <c r="G726" s="4" t="str">
        <f t="shared" si="69"/>
        <v>39.25d</v>
      </c>
      <c r="H726" s="4">
        <f t="shared" si="70"/>
        <v>2.0441146615120656E-7</v>
      </c>
      <c r="I726" s="4">
        <f t="shared" si="71"/>
        <v>0</v>
      </c>
      <c r="J726" s="4">
        <f t="shared" si="72"/>
        <v>0</v>
      </c>
      <c r="K726" s="4" t="str">
        <f t="shared" si="73"/>
        <v>Ru103</v>
      </c>
    </row>
    <row r="727" spans="2:11" hidden="1" x14ac:dyDescent="0.2">
      <c r="B727" s="4">
        <v>44104</v>
      </c>
      <c r="C727" s="4">
        <v>0</v>
      </c>
      <c r="D727">
        <v>0</v>
      </c>
      <c r="E727" t="str">
        <f>VLOOKUP(B727,Nuclides!A:F,5,FALSE)</f>
        <v>Ru104</v>
      </c>
      <c r="F727" t="str">
        <f>VLOOKUP(B727,Nuclides!A:F,4,FALSE)</f>
        <v>STABLE</v>
      </c>
      <c r="G727" s="4" t="str">
        <f t="shared" si="69"/>
        <v>STABLE</v>
      </c>
      <c r="H727" s="4" t="e">
        <f t="shared" si="70"/>
        <v>#VALUE!</v>
      </c>
      <c r="I727" s="4" t="e">
        <f t="shared" si="71"/>
        <v>#VALUE!</v>
      </c>
      <c r="J727" s="4" t="e">
        <f t="shared" si="72"/>
        <v>#VALUE!</v>
      </c>
      <c r="K727" s="4" t="str">
        <f t="shared" si="73"/>
        <v>Ru104</v>
      </c>
    </row>
    <row r="728" spans="2:11" hidden="1" x14ac:dyDescent="0.2">
      <c r="B728" s="4">
        <v>44105</v>
      </c>
      <c r="C728" s="4">
        <v>0</v>
      </c>
      <c r="D728">
        <v>0</v>
      </c>
      <c r="E728" t="str">
        <f>VLOOKUP(B728,Nuclides!A:F,5,FALSE)</f>
        <v>Ru105</v>
      </c>
      <c r="F728">
        <f>VLOOKUP(B728,Nuclides!A:F,4,FALSE)</f>
        <v>15984</v>
      </c>
      <c r="G728" s="4" t="str">
        <f t="shared" si="69"/>
        <v>4.44h</v>
      </c>
      <c r="H728" s="4">
        <f t="shared" si="70"/>
        <v>4.3365063848845423E-5</v>
      </c>
      <c r="I728" s="4">
        <f t="shared" si="71"/>
        <v>0</v>
      </c>
      <c r="J728" s="4">
        <f t="shared" si="72"/>
        <v>0</v>
      </c>
      <c r="K728" s="4" t="str">
        <f t="shared" si="73"/>
        <v>Ru105</v>
      </c>
    </row>
    <row r="729" spans="2:11" hidden="1" x14ac:dyDescent="0.2">
      <c r="B729" s="4">
        <v>44106</v>
      </c>
      <c r="C729" s="4">
        <v>0</v>
      </c>
      <c r="D729">
        <v>0</v>
      </c>
      <c r="E729" t="str">
        <f>VLOOKUP(B729,Nuclides!A:F,5,FALSE)</f>
        <v>Ru106</v>
      </c>
      <c r="F729">
        <f>VLOOKUP(B729,Nuclides!A:F,4,FALSE)</f>
        <v>32123520</v>
      </c>
      <c r="G729" s="4" t="str">
        <f t="shared" si="69"/>
        <v>1.02y</v>
      </c>
      <c r="H729" s="4">
        <f t="shared" si="70"/>
        <v>2.1577560010856383E-8</v>
      </c>
      <c r="I729" s="4">
        <f t="shared" si="71"/>
        <v>0</v>
      </c>
      <c r="J729" s="4">
        <f t="shared" si="72"/>
        <v>0</v>
      </c>
      <c r="K729" s="4" t="str">
        <f t="shared" si="73"/>
        <v>Ru106</v>
      </c>
    </row>
    <row r="730" spans="2:11" hidden="1" x14ac:dyDescent="0.2">
      <c r="B730" s="4">
        <v>44107</v>
      </c>
      <c r="C730" s="4">
        <v>0</v>
      </c>
      <c r="D730">
        <v>0</v>
      </c>
      <c r="E730" t="str">
        <f>VLOOKUP(B730,Nuclides!A:F,5,FALSE)</f>
        <v>Ru107</v>
      </c>
      <c r="F730">
        <f>VLOOKUP(B730,Nuclides!A:F,4,FALSE)</f>
        <v>225</v>
      </c>
      <c r="G730" s="4" t="str">
        <f t="shared" si="69"/>
        <v>3.75min</v>
      </c>
      <c r="H730" s="4">
        <f t="shared" si="70"/>
        <v>3.080654135821979E-3</v>
      </c>
      <c r="I730" s="4">
        <f t="shared" si="71"/>
        <v>0</v>
      </c>
      <c r="J730" s="4">
        <f t="shared" si="72"/>
        <v>0</v>
      </c>
      <c r="K730" s="4" t="str">
        <f t="shared" si="73"/>
        <v>Ru107</v>
      </c>
    </row>
    <row r="731" spans="2:11" hidden="1" x14ac:dyDescent="0.2">
      <c r="B731" s="4">
        <v>44108</v>
      </c>
      <c r="C731" s="4">
        <v>0</v>
      </c>
      <c r="D731">
        <v>0</v>
      </c>
      <c r="E731" t="str">
        <f>VLOOKUP(B731,Nuclides!A:F,5,FALSE)</f>
        <v>Ru108</v>
      </c>
      <c r="F731">
        <f>VLOOKUP(B731,Nuclides!A:F,4,FALSE)</f>
        <v>273</v>
      </c>
      <c r="G731" s="4" t="str">
        <f t="shared" si="69"/>
        <v>4.55min</v>
      </c>
      <c r="H731" s="4">
        <f t="shared" si="70"/>
        <v>2.5390006613917409E-3</v>
      </c>
      <c r="I731" s="4">
        <f t="shared" si="71"/>
        <v>0</v>
      </c>
      <c r="J731" s="4">
        <f t="shared" si="72"/>
        <v>0</v>
      </c>
      <c r="K731" s="4" t="str">
        <f t="shared" si="73"/>
        <v>Ru108</v>
      </c>
    </row>
    <row r="732" spans="2:11" hidden="1" x14ac:dyDescent="0.2">
      <c r="B732" s="4">
        <v>44109</v>
      </c>
      <c r="C732" s="4">
        <v>0</v>
      </c>
      <c r="D732">
        <v>0</v>
      </c>
      <c r="E732" t="str">
        <f>VLOOKUP(B732,Nuclides!A:F,5,FALSE)</f>
        <v>Ru109</v>
      </c>
      <c r="F732">
        <f>VLOOKUP(B732,Nuclides!A:F,4,FALSE)</f>
        <v>34.5</v>
      </c>
      <c r="G732" s="4" t="str">
        <f t="shared" si="69"/>
        <v>34.5s</v>
      </c>
      <c r="H732" s="4">
        <f t="shared" si="70"/>
        <v>2.009122262492595E-2</v>
      </c>
      <c r="I732" s="4">
        <f t="shared" si="71"/>
        <v>0</v>
      </c>
      <c r="J732" s="4">
        <f t="shared" si="72"/>
        <v>0</v>
      </c>
      <c r="K732" s="4" t="str">
        <f t="shared" si="73"/>
        <v>Ru109</v>
      </c>
    </row>
    <row r="733" spans="2:11" hidden="1" x14ac:dyDescent="0.2">
      <c r="B733" s="4">
        <v>44110</v>
      </c>
      <c r="C733" s="4">
        <v>0</v>
      </c>
      <c r="D733">
        <v>0</v>
      </c>
      <c r="E733" t="str">
        <f>VLOOKUP(B733,Nuclides!A:F,5,FALSE)</f>
        <v>Ru110</v>
      </c>
      <c r="F733">
        <f>VLOOKUP(B733,Nuclides!A:F,4,FALSE)</f>
        <v>11.6</v>
      </c>
      <c r="G733" s="4" t="str">
        <f t="shared" si="69"/>
        <v>11.6s</v>
      </c>
      <c r="H733" s="4">
        <f t="shared" si="70"/>
        <v>5.9754067289650457E-2</v>
      </c>
      <c r="I733" s="4">
        <f t="shared" si="71"/>
        <v>0</v>
      </c>
      <c r="J733" s="4">
        <f t="shared" si="72"/>
        <v>0</v>
      </c>
      <c r="K733" s="4" t="str">
        <f t="shared" si="73"/>
        <v>Ru110</v>
      </c>
    </row>
    <row r="734" spans="2:11" hidden="1" x14ac:dyDescent="0.2">
      <c r="B734" s="4">
        <v>44111</v>
      </c>
      <c r="C734" s="4">
        <v>0</v>
      </c>
      <c r="D734">
        <v>0</v>
      </c>
      <c r="E734" t="str">
        <f>VLOOKUP(B734,Nuclides!A:F,5,FALSE)</f>
        <v>Ru111</v>
      </c>
      <c r="F734">
        <f>VLOOKUP(B734,Nuclides!A:F,4,FALSE)</f>
        <v>2.12</v>
      </c>
      <c r="G734" s="4" t="str">
        <f t="shared" si="69"/>
        <v>2.12s</v>
      </c>
      <c r="H734" s="4">
        <f t="shared" si="70"/>
        <v>0.3269562172452572</v>
      </c>
      <c r="I734" s="4">
        <f t="shared" si="71"/>
        <v>0</v>
      </c>
      <c r="J734" s="4">
        <f t="shared" si="72"/>
        <v>0</v>
      </c>
      <c r="K734" s="4" t="str">
        <f t="shared" si="73"/>
        <v>Ru111</v>
      </c>
    </row>
    <row r="735" spans="2:11" hidden="1" x14ac:dyDescent="0.2">
      <c r="B735" s="4">
        <v>44112</v>
      </c>
      <c r="C735" s="4">
        <v>0</v>
      </c>
      <c r="D735">
        <v>0</v>
      </c>
      <c r="E735" t="str">
        <f>VLOOKUP(B735,Nuclides!A:F,5,FALSE)</f>
        <v>Ru112</v>
      </c>
      <c r="F735">
        <f>VLOOKUP(B735,Nuclides!A:F,4,FALSE)</f>
        <v>1.75</v>
      </c>
      <c r="G735" s="4" t="str">
        <f t="shared" si="69"/>
        <v>1.75s</v>
      </c>
      <c r="H735" s="4">
        <f t="shared" si="70"/>
        <v>0.39608410317711157</v>
      </c>
      <c r="I735" s="4">
        <f t="shared" si="71"/>
        <v>0</v>
      </c>
      <c r="J735" s="4">
        <f t="shared" si="72"/>
        <v>0</v>
      </c>
      <c r="K735" s="4" t="str">
        <f t="shared" si="73"/>
        <v>Ru112</v>
      </c>
    </row>
    <row r="736" spans="2:11" hidden="1" x14ac:dyDescent="0.2">
      <c r="B736" s="4">
        <v>44113</v>
      </c>
      <c r="C736" s="4">
        <v>0</v>
      </c>
      <c r="D736">
        <v>0</v>
      </c>
      <c r="E736" t="str">
        <f>VLOOKUP(B736,Nuclides!A:F,5,FALSE)</f>
        <v>Ru113</v>
      </c>
      <c r="F736">
        <f>VLOOKUP(B736,Nuclides!A:F,4,FALSE)</f>
        <v>0.8</v>
      </c>
      <c r="G736" s="4" t="str">
        <f t="shared" si="69"/>
        <v>0.8s</v>
      </c>
      <c r="H736" s="4">
        <f t="shared" si="70"/>
        <v>0.86643397569993152</v>
      </c>
      <c r="I736" s="4">
        <f t="shared" si="71"/>
        <v>0</v>
      </c>
      <c r="J736" s="4">
        <f t="shared" si="72"/>
        <v>0</v>
      </c>
      <c r="K736" s="4" t="str">
        <f t="shared" si="73"/>
        <v>Ru113</v>
      </c>
    </row>
    <row r="737" spans="2:11" hidden="1" x14ac:dyDescent="0.2">
      <c r="B737" s="4">
        <v>45094</v>
      </c>
      <c r="C737" s="4">
        <v>0</v>
      </c>
      <c r="D737">
        <v>0</v>
      </c>
      <c r="E737" t="str">
        <f>VLOOKUP(B737,Nuclides!A:F,5,FALSE)</f>
        <v>Rh94</v>
      </c>
      <c r="F737">
        <f>VLOOKUP(B737,Nuclides!A:F,4,FALSE)</f>
        <v>66</v>
      </c>
      <c r="G737" s="4" t="str">
        <f t="shared" si="69"/>
        <v>1.1min</v>
      </c>
      <c r="H737" s="4">
        <f t="shared" si="70"/>
        <v>1.050223000848402E-2</v>
      </c>
      <c r="I737" s="4">
        <f t="shared" si="71"/>
        <v>0</v>
      </c>
      <c r="J737" s="4">
        <f t="shared" si="72"/>
        <v>0</v>
      </c>
      <c r="K737" s="4" t="str">
        <f t="shared" si="73"/>
        <v>Rh94</v>
      </c>
    </row>
    <row r="738" spans="2:11" hidden="1" x14ac:dyDescent="0.2">
      <c r="B738" s="4">
        <v>45095</v>
      </c>
      <c r="C738" s="4">
        <v>0</v>
      </c>
      <c r="D738">
        <v>0</v>
      </c>
      <c r="E738" t="str">
        <f>VLOOKUP(B738,Nuclides!A:F,5,FALSE)</f>
        <v>Rh95</v>
      </c>
      <c r="F738">
        <f>VLOOKUP(B738,Nuclides!A:F,4,FALSE)</f>
        <v>301.2</v>
      </c>
      <c r="G738" s="4" t="str">
        <f t="shared" si="69"/>
        <v>5.02min</v>
      </c>
      <c r="H738" s="4">
        <f t="shared" si="70"/>
        <v>2.3012854600263787E-3</v>
      </c>
      <c r="I738" s="4">
        <f t="shared" si="71"/>
        <v>0</v>
      </c>
      <c r="J738" s="4">
        <f t="shared" si="72"/>
        <v>0</v>
      </c>
      <c r="K738" s="4" t="str">
        <f t="shared" si="73"/>
        <v>Rh95</v>
      </c>
    </row>
    <row r="739" spans="2:11" hidden="1" x14ac:dyDescent="0.2">
      <c r="B739" s="4">
        <v>45096</v>
      </c>
      <c r="C739" s="4">
        <v>0</v>
      </c>
      <c r="D739">
        <v>0</v>
      </c>
      <c r="E739" t="str">
        <f>VLOOKUP(B739,Nuclides!A:F,5,FALSE)</f>
        <v>Rh96</v>
      </c>
      <c r="F739">
        <f>VLOOKUP(B739,Nuclides!A:F,4,FALSE)</f>
        <v>594</v>
      </c>
      <c r="G739" s="4" t="str">
        <f t="shared" si="69"/>
        <v>9.9min</v>
      </c>
      <c r="H739" s="4">
        <f t="shared" si="70"/>
        <v>1.1669144453871133E-3</v>
      </c>
      <c r="I739" s="4">
        <f t="shared" si="71"/>
        <v>0</v>
      </c>
      <c r="J739" s="4">
        <f t="shared" si="72"/>
        <v>0</v>
      </c>
      <c r="K739" s="4" t="str">
        <f t="shared" si="73"/>
        <v>Rh96</v>
      </c>
    </row>
    <row r="740" spans="2:11" hidden="1" x14ac:dyDescent="0.2">
      <c r="B740" s="4">
        <v>45097</v>
      </c>
      <c r="C740" s="4">
        <v>0</v>
      </c>
      <c r="D740">
        <v>0</v>
      </c>
      <c r="E740" t="str">
        <f>VLOOKUP(B740,Nuclides!A:F,5,FALSE)</f>
        <v>Rh97</v>
      </c>
      <c r="F740">
        <f>VLOOKUP(B740,Nuclides!A:F,4,FALSE)</f>
        <v>1842</v>
      </c>
      <c r="G740" s="4" t="str">
        <f t="shared" si="69"/>
        <v>30.7min</v>
      </c>
      <c r="H740" s="4">
        <f t="shared" si="70"/>
        <v>3.7630140095545346E-4</v>
      </c>
      <c r="I740" s="4">
        <f t="shared" si="71"/>
        <v>0</v>
      </c>
      <c r="J740" s="4">
        <f t="shared" si="72"/>
        <v>0</v>
      </c>
      <c r="K740" s="4" t="str">
        <f t="shared" si="73"/>
        <v>Rh97</v>
      </c>
    </row>
    <row r="741" spans="2:11" hidden="1" x14ac:dyDescent="0.2">
      <c r="B741" s="4">
        <v>45098</v>
      </c>
      <c r="C741" s="4">
        <v>0</v>
      </c>
      <c r="D741">
        <v>0</v>
      </c>
      <c r="E741" t="str">
        <f>VLOOKUP(B741,Nuclides!A:F,5,FALSE)</f>
        <v>Rh98</v>
      </c>
      <c r="F741">
        <f>VLOOKUP(B741,Nuclides!A:F,4,FALSE)</f>
        <v>523.20000000000005</v>
      </c>
      <c r="G741" s="4" t="str">
        <f t="shared" si="69"/>
        <v>8.72min</v>
      </c>
      <c r="H741" s="4">
        <f t="shared" si="70"/>
        <v>1.3248225928133509E-3</v>
      </c>
      <c r="I741" s="4">
        <f t="shared" si="71"/>
        <v>0</v>
      </c>
      <c r="J741" s="4">
        <f t="shared" si="72"/>
        <v>0</v>
      </c>
      <c r="K741" s="4" t="str">
        <f t="shared" si="73"/>
        <v>Rh98</v>
      </c>
    </row>
    <row r="742" spans="2:11" hidden="1" x14ac:dyDescent="0.2">
      <c r="B742" s="4">
        <v>45099</v>
      </c>
      <c r="C742" s="4">
        <v>0</v>
      </c>
      <c r="D742">
        <v>0</v>
      </c>
      <c r="E742" t="str">
        <f>VLOOKUP(B742,Nuclides!A:F,5,FALSE)</f>
        <v>Rh99</v>
      </c>
      <c r="F742">
        <f>VLOOKUP(B742,Nuclides!A:F,4,FALSE)</f>
        <v>1391040</v>
      </c>
      <c r="G742" s="4" t="str">
        <f t="shared" si="69"/>
        <v>16.1d</v>
      </c>
      <c r="H742" s="4">
        <f t="shared" si="70"/>
        <v>4.9829421192772694E-7</v>
      </c>
      <c r="I742" s="4">
        <f t="shared" si="71"/>
        <v>0</v>
      </c>
      <c r="J742" s="4">
        <f t="shared" si="72"/>
        <v>0</v>
      </c>
      <c r="K742" s="4" t="str">
        <f t="shared" si="73"/>
        <v>Rh99</v>
      </c>
    </row>
    <row r="743" spans="2:11" hidden="1" x14ac:dyDescent="0.2">
      <c r="B743" s="4">
        <v>45100</v>
      </c>
      <c r="C743" s="4">
        <v>0</v>
      </c>
      <c r="D743">
        <v>0</v>
      </c>
      <c r="E743" t="str">
        <f>VLOOKUP(B743,Nuclides!A:F,5,FALSE)</f>
        <v>Rh100</v>
      </c>
      <c r="F743">
        <f>VLOOKUP(B743,Nuclides!A:F,4,FALSE)</f>
        <v>74880</v>
      </c>
      <c r="G743" s="4" t="str">
        <f t="shared" si="69"/>
        <v>20.8h</v>
      </c>
      <c r="H743" s="4">
        <f t="shared" si="70"/>
        <v>9.2567732446573882E-6</v>
      </c>
      <c r="I743" s="4">
        <f t="shared" si="71"/>
        <v>0</v>
      </c>
      <c r="J743" s="4">
        <f t="shared" si="72"/>
        <v>0</v>
      </c>
      <c r="K743" s="4" t="str">
        <f t="shared" si="73"/>
        <v>Rh100</v>
      </c>
    </row>
    <row r="744" spans="2:11" hidden="1" x14ac:dyDescent="0.2">
      <c r="B744" s="4">
        <v>45101</v>
      </c>
      <c r="C744" s="4">
        <v>0</v>
      </c>
      <c r="D744">
        <v>0</v>
      </c>
      <c r="E744" t="str">
        <f>VLOOKUP(B744,Nuclides!A:F,5,FALSE)</f>
        <v>Rh101</v>
      </c>
      <c r="F744">
        <f>VLOOKUP(B744,Nuclides!A:F,4,FALSE)</f>
        <v>104140080</v>
      </c>
      <c r="G744" s="4" t="str">
        <f t="shared" si="69"/>
        <v>3.3y</v>
      </c>
      <c r="H744" s="4">
        <f t="shared" si="70"/>
        <v>6.6559117350394321E-9</v>
      </c>
      <c r="I744" s="4">
        <f t="shared" si="71"/>
        <v>0</v>
      </c>
      <c r="J744" s="4">
        <f t="shared" si="72"/>
        <v>0</v>
      </c>
      <c r="K744" s="4" t="str">
        <f t="shared" si="73"/>
        <v>Rh101</v>
      </c>
    </row>
    <row r="745" spans="2:11" hidden="1" x14ac:dyDescent="0.2">
      <c r="B745" s="4">
        <v>45102</v>
      </c>
      <c r="C745" s="4">
        <v>0</v>
      </c>
      <c r="D745">
        <v>0</v>
      </c>
      <c r="E745" t="str">
        <f>VLOOKUP(B745,Nuclides!A:F,5,FALSE)</f>
        <v>Rh102</v>
      </c>
      <c r="F745">
        <f>VLOOKUP(B745,Nuclides!A:F,4,FALSE)</f>
        <v>17910720</v>
      </c>
      <c r="G745" s="4" t="str">
        <f t="shared" si="69"/>
        <v>207.3d</v>
      </c>
      <c r="H745" s="4">
        <f t="shared" si="70"/>
        <v>3.8700129339297656E-8</v>
      </c>
      <c r="I745" s="4">
        <f t="shared" si="71"/>
        <v>0</v>
      </c>
      <c r="J745" s="4">
        <f t="shared" si="72"/>
        <v>0</v>
      </c>
      <c r="K745" s="4" t="str">
        <f t="shared" si="73"/>
        <v>Rh102</v>
      </c>
    </row>
    <row r="746" spans="2:11" hidden="1" x14ac:dyDescent="0.2">
      <c r="B746" s="4">
        <v>45103</v>
      </c>
      <c r="C746" s="4">
        <v>0</v>
      </c>
      <c r="D746">
        <v>0</v>
      </c>
      <c r="E746" t="str">
        <f>VLOOKUP(B746,Nuclides!A:F,5,FALSE)</f>
        <v>Rh103</v>
      </c>
      <c r="F746" t="str">
        <f>VLOOKUP(B746,Nuclides!A:F,4,FALSE)</f>
        <v>STABLE</v>
      </c>
      <c r="G746" s="4" t="str">
        <f t="shared" si="69"/>
        <v>STABLE</v>
      </c>
      <c r="H746" s="4" t="e">
        <f t="shared" si="70"/>
        <v>#VALUE!</v>
      </c>
      <c r="I746" s="4" t="e">
        <f t="shared" si="71"/>
        <v>#VALUE!</v>
      </c>
      <c r="J746" s="4" t="e">
        <f t="shared" si="72"/>
        <v>#VALUE!</v>
      </c>
      <c r="K746" s="4" t="str">
        <f t="shared" si="73"/>
        <v>Rh103</v>
      </c>
    </row>
    <row r="747" spans="2:11" hidden="1" x14ac:dyDescent="0.2">
      <c r="B747" s="4">
        <v>45104</v>
      </c>
      <c r="C747" s="4">
        <v>0</v>
      </c>
      <c r="D747">
        <v>0</v>
      </c>
      <c r="E747" t="str">
        <f>VLOOKUP(B747,Nuclides!A:F,5,FALSE)</f>
        <v>Rh104</v>
      </c>
      <c r="F747">
        <f>VLOOKUP(B747,Nuclides!A:F,4,FALSE)</f>
        <v>42.3</v>
      </c>
      <c r="G747" s="4" t="str">
        <f t="shared" si="69"/>
        <v>42.3s</v>
      </c>
      <c r="H747" s="4">
        <f t="shared" si="70"/>
        <v>1.6386458169265847E-2</v>
      </c>
      <c r="I747" s="4">
        <f t="shared" si="71"/>
        <v>0</v>
      </c>
      <c r="J747" s="4">
        <f t="shared" si="72"/>
        <v>0</v>
      </c>
      <c r="K747" s="4" t="str">
        <f t="shared" si="73"/>
        <v>Rh104</v>
      </c>
    </row>
    <row r="748" spans="2:11" hidden="1" x14ac:dyDescent="0.2">
      <c r="B748" s="4">
        <v>45105</v>
      </c>
      <c r="C748" s="4">
        <v>0</v>
      </c>
      <c r="D748">
        <v>0</v>
      </c>
      <c r="E748" t="str">
        <f>VLOOKUP(B748,Nuclides!A:F,5,FALSE)</f>
        <v>Rh105</v>
      </c>
      <c r="F748">
        <f>VLOOKUP(B748,Nuclides!A:F,4,FALSE)</f>
        <v>127296</v>
      </c>
      <c r="G748" s="4" t="str">
        <f t="shared" si="69"/>
        <v>1.47d</v>
      </c>
      <c r="H748" s="4">
        <f t="shared" si="70"/>
        <v>5.4451607321514057E-6</v>
      </c>
      <c r="I748" s="4">
        <f t="shared" si="71"/>
        <v>0</v>
      </c>
      <c r="J748" s="4">
        <f t="shared" si="72"/>
        <v>0</v>
      </c>
      <c r="K748" s="4" t="str">
        <f t="shared" si="73"/>
        <v>Rh105</v>
      </c>
    </row>
    <row r="749" spans="2:11" hidden="1" x14ac:dyDescent="0.2">
      <c r="B749" s="4">
        <v>45106</v>
      </c>
      <c r="C749" s="4">
        <v>0</v>
      </c>
      <c r="D749">
        <v>0</v>
      </c>
      <c r="E749" t="str">
        <f>VLOOKUP(B749,Nuclides!A:F,5,FALSE)</f>
        <v>Rh106</v>
      </c>
      <c r="F749">
        <f>VLOOKUP(B749,Nuclides!A:F,4,FALSE)</f>
        <v>30.07</v>
      </c>
      <c r="G749" s="4" t="str">
        <f t="shared" si="69"/>
        <v>30.07s</v>
      </c>
      <c r="H749" s="4">
        <f t="shared" si="70"/>
        <v>2.3051120071830571E-2</v>
      </c>
      <c r="I749" s="4">
        <f t="shared" si="71"/>
        <v>0</v>
      </c>
      <c r="J749" s="4">
        <f t="shared" si="72"/>
        <v>0</v>
      </c>
      <c r="K749" s="4" t="str">
        <f t="shared" si="73"/>
        <v>Rh106</v>
      </c>
    </row>
    <row r="750" spans="2:11" hidden="1" x14ac:dyDescent="0.2">
      <c r="B750" s="4">
        <v>45107</v>
      </c>
      <c r="C750" s="4">
        <v>0</v>
      </c>
      <c r="D750">
        <v>0</v>
      </c>
      <c r="E750" t="str">
        <f>VLOOKUP(B750,Nuclides!A:F,5,FALSE)</f>
        <v>Rh107</v>
      </c>
      <c r="F750">
        <f>VLOOKUP(B750,Nuclides!A:F,4,FALSE)</f>
        <v>1302</v>
      </c>
      <c r="G750" s="4" t="str">
        <f t="shared" si="69"/>
        <v>21.7min</v>
      </c>
      <c r="H750" s="4">
        <f t="shared" si="70"/>
        <v>5.3237110642084893E-4</v>
      </c>
      <c r="I750" s="4">
        <f t="shared" si="71"/>
        <v>0</v>
      </c>
      <c r="J750" s="4">
        <f t="shared" si="72"/>
        <v>0</v>
      </c>
      <c r="K750" s="4" t="str">
        <f t="shared" si="73"/>
        <v>Rh107</v>
      </c>
    </row>
    <row r="751" spans="2:11" hidden="1" x14ac:dyDescent="0.2">
      <c r="B751" s="4">
        <v>45108</v>
      </c>
      <c r="C751" s="4">
        <v>0</v>
      </c>
      <c r="D751">
        <v>0</v>
      </c>
      <c r="E751" t="str">
        <f>VLOOKUP(B751,Nuclides!A:F,5,FALSE)</f>
        <v>Rh108</v>
      </c>
      <c r="F751">
        <f>VLOOKUP(B751,Nuclides!A:F,4,FALSE)</f>
        <v>16.8</v>
      </c>
      <c r="G751" s="4" t="str">
        <f t="shared" si="69"/>
        <v>16.8s</v>
      </c>
      <c r="H751" s="4">
        <f t="shared" si="70"/>
        <v>4.1258760747615787E-2</v>
      </c>
      <c r="I751" s="4">
        <f t="shared" si="71"/>
        <v>0</v>
      </c>
      <c r="J751" s="4">
        <f t="shared" si="72"/>
        <v>0</v>
      </c>
      <c r="K751" s="4" t="str">
        <f t="shared" si="73"/>
        <v>Rh108</v>
      </c>
    </row>
    <row r="752" spans="2:11" hidden="1" x14ac:dyDescent="0.2">
      <c r="B752" s="4">
        <v>45109</v>
      </c>
      <c r="C752" s="4">
        <v>0</v>
      </c>
      <c r="D752">
        <v>0</v>
      </c>
      <c r="E752" t="str">
        <f>VLOOKUP(B752,Nuclides!A:F,5,FALSE)</f>
        <v>Rh109</v>
      </c>
      <c r="F752">
        <f>VLOOKUP(B752,Nuclides!A:F,4,FALSE)</f>
        <v>80</v>
      </c>
      <c r="G752" s="4" t="str">
        <f t="shared" si="69"/>
        <v>1.33min</v>
      </c>
      <c r="H752" s="4">
        <f t="shared" si="70"/>
        <v>8.6643397569993157E-3</v>
      </c>
      <c r="I752" s="4">
        <f t="shared" si="71"/>
        <v>0</v>
      </c>
      <c r="J752" s="4">
        <f t="shared" si="72"/>
        <v>0</v>
      </c>
      <c r="K752" s="4" t="str">
        <f t="shared" si="73"/>
        <v>Rh109</v>
      </c>
    </row>
    <row r="753" spans="2:11" hidden="1" x14ac:dyDescent="0.2">
      <c r="B753" s="4">
        <v>45110</v>
      </c>
      <c r="C753" s="4">
        <v>0</v>
      </c>
      <c r="D753">
        <v>0</v>
      </c>
      <c r="E753" t="str">
        <f>VLOOKUP(B753,Nuclides!A:F,5,FALSE)</f>
        <v>Rh110</v>
      </c>
      <c r="F753">
        <f>VLOOKUP(B753,Nuclides!A:F,4,FALSE)</f>
        <v>28.5</v>
      </c>
      <c r="G753" s="4" t="str">
        <f t="shared" si="69"/>
        <v>28.5s</v>
      </c>
      <c r="H753" s="4">
        <f t="shared" si="70"/>
        <v>2.4320953703857728E-2</v>
      </c>
      <c r="I753" s="4">
        <f t="shared" si="71"/>
        <v>0</v>
      </c>
      <c r="J753" s="4">
        <f t="shared" si="72"/>
        <v>0</v>
      </c>
      <c r="K753" s="4" t="str">
        <f t="shared" si="73"/>
        <v>Rh110</v>
      </c>
    </row>
    <row r="754" spans="2:11" hidden="1" x14ac:dyDescent="0.2">
      <c r="B754" s="4">
        <v>45111</v>
      </c>
      <c r="C754" s="4">
        <v>0</v>
      </c>
      <c r="D754">
        <v>0</v>
      </c>
      <c r="E754" t="str">
        <f>VLOOKUP(B754,Nuclides!A:F,5,FALSE)</f>
        <v>Rh111</v>
      </c>
      <c r="F754">
        <f>VLOOKUP(B754,Nuclides!A:F,4,FALSE)</f>
        <v>11</v>
      </c>
      <c r="G754" s="4" t="str">
        <f t="shared" si="69"/>
        <v>11s</v>
      </c>
      <c r="H754" s="4">
        <f t="shared" si="70"/>
        <v>6.3013380050904122E-2</v>
      </c>
      <c r="I754" s="4">
        <f t="shared" si="71"/>
        <v>0</v>
      </c>
      <c r="J754" s="4">
        <f t="shared" si="72"/>
        <v>0</v>
      </c>
      <c r="K754" s="4" t="str">
        <f t="shared" si="73"/>
        <v>Rh111</v>
      </c>
    </row>
    <row r="755" spans="2:11" hidden="1" x14ac:dyDescent="0.2">
      <c r="B755" s="4">
        <v>45112</v>
      </c>
      <c r="C755" s="4">
        <v>0</v>
      </c>
      <c r="D755">
        <v>0</v>
      </c>
      <c r="E755" t="str">
        <f>VLOOKUP(B755,Nuclides!A:F,5,FALSE)</f>
        <v>Rh112</v>
      </c>
      <c r="F755">
        <f>VLOOKUP(B755,Nuclides!A:F,4,FALSE)</f>
        <v>3.6</v>
      </c>
      <c r="G755" s="4" t="str">
        <f t="shared" si="69"/>
        <v>3.6s</v>
      </c>
      <c r="H755" s="4">
        <f t="shared" si="70"/>
        <v>0.19254088348887369</v>
      </c>
      <c r="I755" s="4">
        <f t="shared" si="71"/>
        <v>0</v>
      </c>
      <c r="J755" s="4">
        <f t="shared" si="72"/>
        <v>0</v>
      </c>
      <c r="K755" s="4" t="str">
        <f t="shared" si="73"/>
        <v>Rh112</v>
      </c>
    </row>
    <row r="756" spans="2:11" hidden="1" x14ac:dyDescent="0.2">
      <c r="B756" s="4">
        <v>45113</v>
      </c>
      <c r="C756" s="4">
        <v>0</v>
      </c>
      <c r="D756">
        <v>0</v>
      </c>
      <c r="E756" t="str">
        <f>VLOOKUP(B756,Nuclides!A:F,5,FALSE)</f>
        <v>Rh113</v>
      </c>
      <c r="F756">
        <f>VLOOKUP(B756,Nuclides!A:F,4,FALSE)</f>
        <v>2.8</v>
      </c>
      <c r="G756" s="4" t="str">
        <f t="shared" si="69"/>
        <v>2.8s</v>
      </c>
      <c r="H756" s="4">
        <f t="shared" si="70"/>
        <v>0.24755256448569476</v>
      </c>
      <c r="I756" s="4">
        <f t="shared" si="71"/>
        <v>0</v>
      </c>
      <c r="J756" s="4">
        <f t="shared" si="72"/>
        <v>0</v>
      </c>
      <c r="K756" s="4" t="str">
        <f t="shared" si="73"/>
        <v>Rh113</v>
      </c>
    </row>
    <row r="757" spans="2:11" hidden="1" x14ac:dyDescent="0.2">
      <c r="B757" s="4">
        <v>45114</v>
      </c>
      <c r="C757" s="4">
        <v>0</v>
      </c>
      <c r="D757">
        <v>0</v>
      </c>
      <c r="E757" t="str">
        <f>VLOOKUP(B757,Nuclides!A:F,5,FALSE)</f>
        <v>Rh114</v>
      </c>
      <c r="F757">
        <f>VLOOKUP(B757,Nuclides!A:F,4,FALSE)</f>
        <v>1.85</v>
      </c>
      <c r="G757" s="4" t="str">
        <f t="shared" si="69"/>
        <v>1.85s</v>
      </c>
      <c r="H757" s="4">
        <f t="shared" si="70"/>
        <v>0.37467415165402446</v>
      </c>
      <c r="I757" s="4">
        <f t="shared" si="71"/>
        <v>0</v>
      </c>
      <c r="J757" s="4">
        <f t="shared" si="72"/>
        <v>0</v>
      </c>
      <c r="K757" s="4" t="str">
        <f t="shared" si="73"/>
        <v>Rh114</v>
      </c>
    </row>
    <row r="758" spans="2:11" hidden="1" x14ac:dyDescent="0.2">
      <c r="B758" s="4">
        <v>46096</v>
      </c>
      <c r="C758" s="4">
        <v>0</v>
      </c>
      <c r="D758">
        <v>0</v>
      </c>
      <c r="E758" t="str">
        <f>VLOOKUP(B758,Nuclides!A:F,5,FALSE)</f>
        <v>Pd96</v>
      </c>
      <c r="F758">
        <f>VLOOKUP(B758,Nuclides!A:F,4,FALSE)</f>
        <v>122</v>
      </c>
      <c r="G758" s="4" t="str">
        <f t="shared" si="69"/>
        <v>2.03min</v>
      </c>
      <c r="H758" s="4">
        <f t="shared" si="70"/>
        <v>5.6815342668847975E-3</v>
      </c>
      <c r="I758" s="4">
        <f t="shared" si="71"/>
        <v>0</v>
      </c>
      <c r="J758" s="4">
        <f t="shared" si="72"/>
        <v>0</v>
      </c>
      <c r="K758" s="4" t="str">
        <f t="shared" si="73"/>
        <v>Pd96</v>
      </c>
    </row>
    <row r="759" spans="2:11" hidden="1" x14ac:dyDescent="0.2">
      <c r="B759" s="4">
        <v>46097</v>
      </c>
      <c r="C759" s="4">
        <v>0</v>
      </c>
      <c r="D759">
        <v>0</v>
      </c>
      <c r="E759" t="str">
        <f>VLOOKUP(B759,Nuclides!A:F,5,FALSE)</f>
        <v>Pd97</v>
      </c>
      <c r="F759">
        <f>VLOOKUP(B759,Nuclides!A:F,4,FALSE)</f>
        <v>186</v>
      </c>
      <c r="G759" s="4" t="str">
        <f t="shared" si="69"/>
        <v>3.1min</v>
      </c>
      <c r="H759" s="4">
        <f t="shared" si="70"/>
        <v>3.7265977449459425E-3</v>
      </c>
      <c r="I759" s="4">
        <f t="shared" si="71"/>
        <v>0</v>
      </c>
      <c r="J759" s="4">
        <f t="shared" si="72"/>
        <v>0</v>
      </c>
      <c r="K759" s="4" t="str">
        <f t="shared" si="73"/>
        <v>Pd97</v>
      </c>
    </row>
    <row r="760" spans="2:11" hidden="1" x14ac:dyDescent="0.2">
      <c r="B760" s="4">
        <v>46098</v>
      </c>
      <c r="C760" s="4">
        <v>0</v>
      </c>
      <c r="D760">
        <v>0</v>
      </c>
      <c r="E760" t="str">
        <f>VLOOKUP(B760,Nuclides!A:F,5,FALSE)</f>
        <v>Pd98</v>
      </c>
      <c r="F760">
        <f>VLOOKUP(B760,Nuclides!A:F,4,FALSE)</f>
        <v>1062</v>
      </c>
      <c r="G760" s="4" t="str">
        <f t="shared" si="69"/>
        <v>17.7min</v>
      </c>
      <c r="H760" s="4">
        <f t="shared" si="70"/>
        <v>6.5268096097923281E-4</v>
      </c>
      <c r="I760" s="4">
        <f t="shared" si="71"/>
        <v>0</v>
      </c>
      <c r="J760" s="4">
        <f t="shared" si="72"/>
        <v>0</v>
      </c>
      <c r="K760" s="4" t="str">
        <f t="shared" si="73"/>
        <v>Pd98</v>
      </c>
    </row>
    <row r="761" spans="2:11" hidden="1" x14ac:dyDescent="0.2">
      <c r="B761" s="4">
        <v>46099</v>
      </c>
      <c r="C761" s="4">
        <v>0</v>
      </c>
      <c r="D761">
        <v>0</v>
      </c>
      <c r="E761" t="str">
        <f>VLOOKUP(B761,Nuclides!A:F,5,FALSE)</f>
        <v>Pd99</v>
      </c>
      <c r="F761">
        <f>VLOOKUP(B761,Nuclides!A:F,4,FALSE)</f>
        <v>1284</v>
      </c>
      <c r="G761" s="4" t="str">
        <f t="shared" si="69"/>
        <v>21.4min</v>
      </c>
      <c r="H761" s="4">
        <f t="shared" si="70"/>
        <v>5.3983425277254302E-4</v>
      </c>
      <c r="I761" s="4">
        <f t="shared" si="71"/>
        <v>0</v>
      </c>
      <c r="J761" s="4">
        <f t="shared" si="72"/>
        <v>0</v>
      </c>
      <c r="K761" s="4" t="str">
        <f t="shared" si="73"/>
        <v>Pd99</v>
      </c>
    </row>
    <row r="762" spans="2:11" hidden="1" x14ac:dyDescent="0.2">
      <c r="B762" s="4">
        <v>46100</v>
      </c>
      <c r="C762" s="4">
        <v>0</v>
      </c>
      <c r="D762">
        <v>0</v>
      </c>
      <c r="E762" t="str">
        <f>VLOOKUP(B762,Nuclides!A:F,5,FALSE)</f>
        <v>Pd100</v>
      </c>
      <c r="F762">
        <f>VLOOKUP(B762,Nuclides!A:F,4,FALSE)</f>
        <v>313632</v>
      </c>
      <c r="G762" s="4" t="str">
        <f t="shared" si="69"/>
        <v>3.63d</v>
      </c>
      <c r="H762" s="4">
        <f t="shared" si="70"/>
        <v>2.2100652374755931E-6</v>
      </c>
      <c r="I762" s="4">
        <f t="shared" si="71"/>
        <v>0</v>
      </c>
      <c r="J762" s="4">
        <f t="shared" si="72"/>
        <v>0</v>
      </c>
      <c r="K762" s="4" t="str">
        <f t="shared" si="73"/>
        <v>Pd100</v>
      </c>
    </row>
    <row r="763" spans="2:11" hidden="1" x14ac:dyDescent="0.2">
      <c r="B763" s="4">
        <v>46101</v>
      </c>
      <c r="C763" s="4">
        <v>0</v>
      </c>
      <c r="D763">
        <v>0</v>
      </c>
      <c r="E763" t="str">
        <f>VLOOKUP(B763,Nuclides!A:F,5,FALSE)</f>
        <v>Pd101</v>
      </c>
      <c r="F763">
        <f>VLOOKUP(B763,Nuclides!A:F,4,FALSE)</f>
        <v>30492</v>
      </c>
      <c r="G763" s="4" t="str">
        <f t="shared" si="69"/>
        <v>8.47h</v>
      </c>
      <c r="H763" s="4">
        <f t="shared" si="70"/>
        <v>2.2732099585463247E-5</v>
      </c>
      <c r="I763" s="4">
        <f t="shared" si="71"/>
        <v>0</v>
      </c>
      <c r="J763" s="4">
        <f t="shared" si="72"/>
        <v>0</v>
      </c>
      <c r="K763" s="4" t="str">
        <f t="shared" si="73"/>
        <v>Pd101</v>
      </c>
    </row>
    <row r="764" spans="2:11" hidden="1" x14ac:dyDescent="0.2">
      <c r="B764" s="4">
        <v>46102</v>
      </c>
      <c r="C764" s="4">
        <v>0</v>
      </c>
      <c r="D764">
        <v>0</v>
      </c>
      <c r="E764" t="str">
        <f>VLOOKUP(B764,Nuclides!A:F,5,FALSE)</f>
        <v>Pd102</v>
      </c>
      <c r="F764" t="str">
        <f>VLOOKUP(B764,Nuclides!A:F,4,FALSE)</f>
        <v>STABLE</v>
      </c>
      <c r="G764" s="4" t="str">
        <f t="shared" si="69"/>
        <v>STABLE</v>
      </c>
      <c r="H764" s="4" t="e">
        <f t="shared" si="70"/>
        <v>#VALUE!</v>
      </c>
      <c r="I764" s="4" t="e">
        <f t="shared" si="71"/>
        <v>#VALUE!</v>
      </c>
      <c r="J764" s="4" t="e">
        <f t="shared" si="72"/>
        <v>#VALUE!</v>
      </c>
      <c r="K764" s="4" t="str">
        <f t="shared" si="73"/>
        <v>Pd102</v>
      </c>
    </row>
    <row r="765" spans="2:11" hidden="1" x14ac:dyDescent="0.2">
      <c r="B765" s="4">
        <v>46103</v>
      </c>
      <c r="C765" s="4">
        <v>0</v>
      </c>
      <c r="D765">
        <v>0</v>
      </c>
      <c r="E765" t="str">
        <f>VLOOKUP(B765,Nuclides!A:F,5,FALSE)</f>
        <v>Pd103</v>
      </c>
      <c r="F765">
        <f>VLOOKUP(B765,Nuclides!A:F,4,FALSE)</f>
        <v>1468022.4</v>
      </c>
      <c r="G765" s="4" t="str">
        <f t="shared" si="69"/>
        <v>16.99d</v>
      </c>
      <c r="H765" s="4">
        <f t="shared" si="70"/>
        <v>4.7216389924291711E-7</v>
      </c>
      <c r="I765" s="4">
        <f t="shared" si="71"/>
        <v>0</v>
      </c>
      <c r="J765" s="4">
        <f t="shared" si="72"/>
        <v>0</v>
      </c>
      <c r="K765" s="4" t="str">
        <f t="shared" si="73"/>
        <v>Pd103</v>
      </c>
    </row>
    <row r="766" spans="2:11" hidden="1" x14ac:dyDescent="0.2">
      <c r="B766" s="4">
        <v>46104</v>
      </c>
      <c r="C766" s="4">
        <v>0</v>
      </c>
      <c r="D766">
        <v>0</v>
      </c>
      <c r="E766" t="str">
        <f>VLOOKUP(B766,Nuclides!A:F,5,FALSE)</f>
        <v>Pd104</v>
      </c>
      <c r="F766" t="str">
        <f>VLOOKUP(B766,Nuclides!A:F,4,FALSE)</f>
        <v>STABLE</v>
      </c>
      <c r="G766" s="4" t="str">
        <f t="shared" si="69"/>
        <v>STABLE</v>
      </c>
      <c r="H766" s="4" t="e">
        <f t="shared" si="70"/>
        <v>#VALUE!</v>
      </c>
      <c r="I766" s="4" t="e">
        <f t="shared" si="71"/>
        <v>#VALUE!</v>
      </c>
      <c r="J766" s="4" t="e">
        <f t="shared" si="72"/>
        <v>#VALUE!</v>
      </c>
      <c r="K766" s="4" t="str">
        <f t="shared" si="73"/>
        <v>Pd104</v>
      </c>
    </row>
    <row r="767" spans="2:11" hidden="1" x14ac:dyDescent="0.2">
      <c r="B767" s="4">
        <v>46105</v>
      </c>
      <c r="C767" s="4">
        <v>0</v>
      </c>
      <c r="D767">
        <v>0</v>
      </c>
      <c r="E767" t="str">
        <f>VLOOKUP(B767,Nuclides!A:F,5,FALSE)</f>
        <v>Pd105</v>
      </c>
      <c r="F767" t="str">
        <f>VLOOKUP(B767,Nuclides!A:F,4,FALSE)</f>
        <v>STABLE</v>
      </c>
      <c r="G767" s="4" t="str">
        <f t="shared" si="69"/>
        <v>STABLE</v>
      </c>
      <c r="H767" s="4" t="e">
        <f t="shared" si="70"/>
        <v>#VALUE!</v>
      </c>
      <c r="I767" s="4" t="e">
        <f t="shared" si="71"/>
        <v>#VALUE!</v>
      </c>
      <c r="J767" s="4" t="e">
        <f t="shared" si="72"/>
        <v>#VALUE!</v>
      </c>
      <c r="K767" s="4" t="str">
        <f t="shared" si="73"/>
        <v>Pd105</v>
      </c>
    </row>
    <row r="768" spans="2:11" hidden="1" x14ac:dyDescent="0.2">
      <c r="B768" s="4">
        <v>46106</v>
      </c>
      <c r="C768" s="4">
        <v>0</v>
      </c>
      <c r="D768">
        <v>0</v>
      </c>
      <c r="E768" t="str">
        <f>VLOOKUP(B768,Nuclides!A:F,5,FALSE)</f>
        <v>Pd106</v>
      </c>
      <c r="F768" t="str">
        <f>VLOOKUP(B768,Nuclides!A:F,4,FALSE)</f>
        <v>STABLE</v>
      </c>
      <c r="G768" s="4" t="str">
        <f t="shared" si="69"/>
        <v>STABLE</v>
      </c>
      <c r="H768" s="4" t="e">
        <f t="shared" si="70"/>
        <v>#VALUE!</v>
      </c>
      <c r="I768" s="4" t="e">
        <f t="shared" si="71"/>
        <v>#VALUE!</v>
      </c>
      <c r="J768" s="4" t="e">
        <f t="shared" si="72"/>
        <v>#VALUE!</v>
      </c>
      <c r="K768" s="4" t="str">
        <f t="shared" si="73"/>
        <v>Pd106</v>
      </c>
    </row>
    <row r="769" spans="2:11" hidden="1" x14ac:dyDescent="0.2">
      <c r="B769" s="4">
        <v>46107</v>
      </c>
      <c r="C769" s="4">
        <v>0</v>
      </c>
      <c r="D769">
        <v>0</v>
      </c>
      <c r="E769" t="str">
        <f>VLOOKUP(B769,Nuclides!A:F,5,FALSE)</f>
        <v>Pd107</v>
      </c>
      <c r="F769">
        <f>VLOOKUP(B769,Nuclides!A:F,4,FALSE)</f>
        <v>205124400000000</v>
      </c>
      <c r="G769" s="4" t="str">
        <f t="shared" si="69"/>
        <v>6504452.05y</v>
      </c>
      <c r="H769" s="4">
        <f t="shared" si="70"/>
        <v>3.3791551885584809E-15</v>
      </c>
      <c r="I769" s="4">
        <f t="shared" si="71"/>
        <v>0</v>
      </c>
      <c r="J769" s="4">
        <f t="shared" si="72"/>
        <v>0</v>
      </c>
      <c r="K769" s="4" t="str">
        <f t="shared" si="73"/>
        <v>Pd107</v>
      </c>
    </row>
    <row r="770" spans="2:11" hidden="1" x14ac:dyDescent="0.2">
      <c r="B770" s="4">
        <v>46108</v>
      </c>
      <c r="C770" s="4">
        <v>0</v>
      </c>
      <c r="D770">
        <v>0</v>
      </c>
      <c r="E770" t="str">
        <f>VLOOKUP(B770,Nuclides!A:F,5,FALSE)</f>
        <v>Pd108</v>
      </c>
      <c r="F770" t="str">
        <f>VLOOKUP(B770,Nuclides!A:F,4,FALSE)</f>
        <v>STABLE</v>
      </c>
      <c r="G770" s="4" t="str">
        <f t="shared" si="69"/>
        <v>STABLE</v>
      </c>
      <c r="H770" s="4" t="e">
        <f t="shared" si="70"/>
        <v>#VALUE!</v>
      </c>
      <c r="I770" s="4" t="e">
        <f t="shared" si="71"/>
        <v>#VALUE!</v>
      </c>
      <c r="J770" s="4" t="e">
        <f t="shared" si="72"/>
        <v>#VALUE!</v>
      </c>
      <c r="K770" s="4" t="str">
        <f t="shared" si="73"/>
        <v>Pd108</v>
      </c>
    </row>
    <row r="771" spans="2:11" hidden="1" x14ac:dyDescent="0.2">
      <c r="B771" s="4">
        <v>46109</v>
      </c>
      <c r="C771" s="4">
        <v>0</v>
      </c>
      <c r="D771">
        <v>0</v>
      </c>
      <c r="E771" t="str">
        <f>VLOOKUP(B771,Nuclides!A:F,5,FALSE)</f>
        <v>Pd109</v>
      </c>
      <c r="F771">
        <f>VLOOKUP(B771,Nuclides!A:F,4,FALSE)</f>
        <v>49324.32</v>
      </c>
      <c r="G771" s="4" t="str">
        <f t="shared" si="69"/>
        <v>13.7h</v>
      </c>
      <c r="H771" s="4">
        <f t="shared" si="70"/>
        <v>1.4052848180369142E-5</v>
      </c>
      <c r="I771" s="4">
        <f t="shared" si="71"/>
        <v>0</v>
      </c>
      <c r="J771" s="4">
        <f t="shared" si="72"/>
        <v>0</v>
      </c>
      <c r="K771" s="4" t="str">
        <f t="shared" si="73"/>
        <v>Pd109</v>
      </c>
    </row>
    <row r="772" spans="2:11" hidden="1" x14ac:dyDescent="0.2">
      <c r="B772" s="4">
        <v>46110</v>
      </c>
      <c r="C772" s="4">
        <v>0</v>
      </c>
      <c r="D772">
        <v>0</v>
      </c>
      <c r="E772" t="str">
        <f>VLOOKUP(B772,Nuclides!A:F,5,FALSE)</f>
        <v>Pd110</v>
      </c>
      <c r="F772" t="str">
        <f>VLOOKUP(B772,Nuclides!A:F,4,FALSE)</f>
        <v>STABLE</v>
      </c>
      <c r="G772" s="4" t="str">
        <f t="shared" si="69"/>
        <v>STABLE</v>
      </c>
      <c r="H772" s="4" t="e">
        <f t="shared" si="70"/>
        <v>#VALUE!</v>
      </c>
      <c r="I772" s="4" t="e">
        <f t="shared" si="71"/>
        <v>#VALUE!</v>
      </c>
      <c r="J772" s="4" t="e">
        <f t="shared" si="72"/>
        <v>#VALUE!</v>
      </c>
      <c r="K772" s="4" t="str">
        <f t="shared" si="73"/>
        <v>Pd110</v>
      </c>
    </row>
    <row r="773" spans="2:11" hidden="1" x14ac:dyDescent="0.2">
      <c r="B773" s="4">
        <v>46111</v>
      </c>
      <c r="C773" s="4">
        <v>0</v>
      </c>
      <c r="D773">
        <v>0</v>
      </c>
      <c r="E773" t="str">
        <f>VLOOKUP(B773,Nuclides!A:F,5,FALSE)</f>
        <v>Pd111</v>
      </c>
      <c r="F773">
        <f>VLOOKUP(B773,Nuclides!A:F,4,FALSE)</f>
        <v>1404</v>
      </c>
      <c r="G773" s="4" t="str">
        <f t="shared" ref="G773:G836" si="74">IF(F773="STABLE", "STABLE", IF(F773&lt;60, F773&amp;"s", IF(F773&lt;3600, ROUND(F773/60,2)&amp;"min", IF(F773&lt;86400, ROUND(F773/3600,2)&amp;"h", IF(F773&lt;31536000, ROUND(F773/86400,2)&amp;"d", ROUND(F773/31536000,2)&amp;"y")))))</f>
        <v>23.4min</v>
      </c>
      <c r="H773" s="4">
        <f t="shared" ref="H773:H836" si="75">LN(2)/F773</f>
        <v>4.9369457304839404E-4</v>
      </c>
      <c r="I773" s="4">
        <f t="shared" ref="I773:I836" si="76">60*6240000000000*C773*(1-EXP(-H773*2*3600))</f>
        <v>0</v>
      </c>
      <c r="J773" s="4">
        <f t="shared" ref="J773:J836" si="77">I773*EXP(-H773*48*3600)</f>
        <v>0</v>
      </c>
      <c r="K773" s="4" t="str">
        <f t="shared" ref="K773:K836" si="78">E773</f>
        <v>Pd111</v>
      </c>
    </row>
    <row r="774" spans="2:11" hidden="1" x14ac:dyDescent="0.2">
      <c r="B774" s="4">
        <v>46112</v>
      </c>
      <c r="C774" s="4">
        <v>0</v>
      </c>
      <c r="D774">
        <v>0</v>
      </c>
      <c r="E774" t="str">
        <f>VLOOKUP(B774,Nuclides!A:F,5,FALSE)</f>
        <v>Pd112</v>
      </c>
      <c r="F774">
        <f>VLOOKUP(B774,Nuclides!A:F,4,FALSE)</f>
        <v>75744</v>
      </c>
      <c r="G774" s="4" t="str">
        <f t="shared" si="74"/>
        <v>21.04h</v>
      </c>
      <c r="H774" s="4">
        <f t="shared" si="75"/>
        <v>9.151182675326696E-6</v>
      </c>
      <c r="I774" s="4">
        <f t="shared" si="76"/>
        <v>0</v>
      </c>
      <c r="J774" s="4">
        <f t="shared" si="77"/>
        <v>0</v>
      </c>
      <c r="K774" s="4" t="str">
        <f t="shared" si="78"/>
        <v>Pd112</v>
      </c>
    </row>
    <row r="775" spans="2:11" hidden="1" x14ac:dyDescent="0.2">
      <c r="B775" s="4">
        <v>46113</v>
      </c>
      <c r="C775" s="4">
        <v>0</v>
      </c>
      <c r="D775">
        <v>0</v>
      </c>
      <c r="E775" t="str">
        <f>VLOOKUP(B775,Nuclides!A:F,5,FALSE)</f>
        <v>Pd113</v>
      </c>
      <c r="F775">
        <f>VLOOKUP(B775,Nuclides!A:F,4,FALSE)</f>
        <v>93</v>
      </c>
      <c r="G775" s="4" t="str">
        <f t="shared" si="74"/>
        <v>1.55min</v>
      </c>
      <c r="H775" s="4">
        <f t="shared" si="75"/>
        <v>7.453195489891885E-3</v>
      </c>
      <c r="I775" s="4">
        <f t="shared" si="76"/>
        <v>0</v>
      </c>
      <c r="J775" s="4">
        <f t="shared" si="77"/>
        <v>0</v>
      </c>
      <c r="K775" s="4" t="str">
        <f t="shared" si="78"/>
        <v>Pd113</v>
      </c>
    </row>
    <row r="776" spans="2:11" hidden="1" x14ac:dyDescent="0.2">
      <c r="B776" s="4">
        <v>46114</v>
      </c>
      <c r="C776" s="4">
        <v>0</v>
      </c>
      <c r="D776">
        <v>0</v>
      </c>
      <c r="E776" t="str">
        <f>VLOOKUP(B776,Nuclides!A:F,5,FALSE)</f>
        <v>Pd114</v>
      </c>
      <c r="F776">
        <f>VLOOKUP(B776,Nuclides!A:F,4,FALSE)</f>
        <v>145.19999999999999</v>
      </c>
      <c r="G776" s="4" t="str">
        <f t="shared" si="74"/>
        <v>2.42min</v>
      </c>
      <c r="H776" s="4">
        <f t="shared" si="75"/>
        <v>4.7737409129472823E-3</v>
      </c>
      <c r="I776" s="4">
        <f t="shared" si="76"/>
        <v>0</v>
      </c>
      <c r="J776" s="4">
        <f t="shared" si="77"/>
        <v>0</v>
      </c>
      <c r="K776" s="4" t="str">
        <f t="shared" si="78"/>
        <v>Pd114</v>
      </c>
    </row>
    <row r="777" spans="2:11" hidden="1" x14ac:dyDescent="0.2">
      <c r="B777" s="4">
        <v>46115</v>
      </c>
      <c r="C777" s="4">
        <v>0</v>
      </c>
      <c r="D777">
        <v>0</v>
      </c>
      <c r="E777" t="str">
        <f>VLOOKUP(B777,Nuclides!A:F,5,FALSE)</f>
        <v>Pd115</v>
      </c>
      <c r="F777">
        <f>VLOOKUP(B777,Nuclides!A:F,4,FALSE)</f>
        <v>25</v>
      </c>
      <c r="G777" s="4" t="str">
        <f t="shared" si="74"/>
        <v>25s</v>
      </c>
      <c r="H777" s="4">
        <f t="shared" si="75"/>
        <v>2.7725887222397813E-2</v>
      </c>
      <c r="I777" s="4">
        <f t="shared" si="76"/>
        <v>0</v>
      </c>
      <c r="J777" s="4">
        <f t="shared" si="77"/>
        <v>0</v>
      </c>
      <c r="K777" s="4" t="str">
        <f t="shared" si="78"/>
        <v>Pd115</v>
      </c>
    </row>
    <row r="778" spans="2:11" hidden="1" x14ac:dyDescent="0.2">
      <c r="B778" s="4">
        <v>46116</v>
      </c>
      <c r="C778" s="4">
        <v>0</v>
      </c>
      <c r="D778">
        <v>0</v>
      </c>
      <c r="E778" t="str">
        <f>VLOOKUP(B778,Nuclides!A:F,5,FALSE)</f>
        <v>Pd116</v>
      </c>
      <c r="F778">
        <f>VLOOKUP(B778,Nuclides!A:F,4,FALSE)</f>
        <v>11.8</v>
      </c>
      <c r="G778" s="4" t="str">
        <f t="shared" si="74"/>
        <v>11.8s</v>
      </c>
      <c r="H778" s="4">
        <f t="shared" si="75"/>
        <v>5.8741286488130956E-2</v>
      </c>
      <c r="I778" s="4">
        <f t="shared" si="76"/>
        <v>0</v>
      </c>
      <c r="J778" s="4">
        <f t="shared" si="77"/>
        <v>0</v>
      </c>
      <c r="K778" s="4" t="str">
        <f t="shared" si="78"/>
        <v>Pd116</v>
      </c>
    </row>
    <row r="779" spans="2:11" hidden="1" x14ac:dyDescent="0.2">
      <c r="B779" s="4">
        <v>46117</v>
      </c>
      <c r="C779" s="4">
        <v>0</v>
      </c>
      <c r="D779">
        <v>0</v>
      </c>
      <c r="E779" t="str">
        <f>VLOOKUP(B779,Nuclides!A:F,5,FALSE)</f>
        <v>Pd117</v>
      </c>
      <c r="F779">
        <f>VLOOKUP(B779,Nuclides!A:F,4,FALSE)</f>
        <v>4.3</v>
      </c>
      <c r="G779" s="4" t="str">
        <f t="shared" si="74"/>
        <v>4.3s</v>
      </c>
      <c r="H779" s="4">
        <f t="shared" si="75"/>
        <v>0.16119701873487099</v>
      </c>
      <c r="I779" s="4">
        <f t="shared" si="76"/>
        <v>0</v>
      </c>
      <c r="J779" s="4">
        <f t="shared" si="77"/>
        <v>0</v>
      </c>
      <c r="K779" s="4" t="str">
        <f t="shared" si="78"/>
        <v>Pd117</v>
      </c>
    </row>
    <row r="780" spans="2:11" hidden="1" x14ac:dyDescent="0.2">
      <c r="B780" s="4">
        <v>46118</v>
      </c>
      <c r="C780" s="4">
        <v>0</v>
      </c>
      <c r="D780">
        <v>0</v>
      </c>
      <c r="E780" t="str">
        <f>VLOOKUP(B780,Nuclides!A:F,5,FALSE)</f>
        <v>Pd118</v>
      </c>
      <c r="F780">
        <f>VLOOKUP(B780,Nuclides!A:F,4,FALSE)</f>
        <v>1.9</v>
      </c>
      <c r="G780" s="4" t="str">
        <f t="shared" si="74"/>
        <v>1.9s</v>
      </c>
      <c r="H780" s="4">
        <f t="shared" si="75"/>
        <v>0.36481430555786598</v>
      </c>
      <c r="I780" s="4">
        <f t="shared" si="76"/>
        <v>0</v>
      </c>
      <c r="J780" s="4">
        <f t="shared" si="77"/>
        <v>0</v>
      </c>
      <c r="K780" s="4" t="str">
        <f t="shared" si="78"/>
        <v>Pd118</v>
      </c>
    </row>
    <row r="781" spans="2:11" hidden="1" x14ac:dyDescent="0.2">
      <c r="B781" s="4">
        <v>47096</v>
      </c>
      <c r="C781" s="4">
        <v>0</v>
      </c>
      <c r="D781">
        <v>0</v>
      </c>
      <c r="E781" t="str">
        <f>VLOOKUP(B781,Nuclides!A:F,5,FALSE)</f>
        <v>Ag96</v>
      </c>
      <c r="F781">
        <f>VLOOKUP(B781,Nuclides!A:F,4,FALSE)</f>
        <v>4.4000000000000004</v>
      </c>
      <c r="G781" s="4" t="str">
        <f t="shared" si="74"/>
        <v>4.4s</v>
      </c>
      <c r="H781" s="4">
        <f t="shared" si="75"/>
        <v>0.15753345012726028</v>
      </c>
      <c r="I781" s="4">
        <f t="shared" si="76"/>
        <v>0</v>
      </c>
      <c r="J781" s="4">
        <f t="shared" si="77"/>
        <v>0</v>
      </c>
      <c r="K781" s="4" t="str">
        <f t="shared" si="78"/>
        <v>Ag96</v>
      </c>
    </row>
    <row r="782" spans="2:11" hidden="1" x14ac:dyDescent="0.2">
      <c r="B782" s="4">
        <v>47097</v>
      </c>
      <c r="C782" s="4">
        <v>0</v>
      </c>
      <c r="D782">
        <v>0</v>
      </c>
      <c r="E782" t="str">
        <f>VLOOKUP(B782,Nuclides!A:F,5,FALSE)</f>
        <v>Ag97</v>
      </c>
      <c r="F782">
        <f>VLOOKUP(B782,Nuclides!A:F,4,FALSE)</f>
        <v>25.5</v>
      </c>
      <c r="G782" s="4" t="str">
        <f t="shared" si="74"/>
        <v>25.5s</v>
      </c>
      <c r="H782" s="4">
        <f t="shared" si="75"/>
        <v>2.7182242374899815E-2</v>
      </c>
      <c r="I782" s="4">
        <f t="shared" si="76"/>
        <v>0</v>
      </c>
      <c r="J782" s="4">
        <f t="shared" si="77"/>
        <v>0</v>
      </c>
      <c r="K782" s="4" t="str">
        <f t="shared" si="78"/>
        <v>Ag97</v>
      </c>
    </row>
    <row r="783" spans="2:11" hidden="1" x14ac:dyDescent="0.2">
      <c r="B783" s="4">
        <v>47098</v>
      </c>
      <c r="C783" s="4">
        <v>0</v>
      </c>
      <c r="D783">
        <v>0</v>
      </c>
      <c r="E783" t="str">
        <f>VLOOKUP(B783,Nuclides!A:F,5,FALSE)</f>
        <v>Ag98</v>
      </c>
      <c r="F783">
        <f>VLOOKUP(B783,Nuclides!A:F,4,FALSE)</f>
        <v>47.5</v>
      </c>
      <c r="G783" s="4" t="str">
        <f t="shared" si="74"/>
        <v>47.5s</v>
      </c>
      <c r="H783" s="4">
        <f t="shared" si="75"/>
        <v>1.4592572222314637E-2</v>
      </c>
      <c r="I783" s="4">
        <f t="shared" si="76"/>
        <v>0</v>
      </c>
      <c r="J783" s="4">
        <f t="shared" si="77"/>
        <v>0</v>
      </c>
      <c r="K783" s="4" t="str">
        <f t="shared" si="78"/>
        <v>Ag98</v>
      </c>
    </row>
    <row r="784" spans="2:11" hidden="1" x14ac:dyDescent="0.2">
      <c r="B784" s="4">
        <v>47099</v>
      </c>
      <c r="C784" s="4">
        <v>0</v>
      </c>
      <c r="D784">
        <v>0</v>
      </c>
      <c r="E784" t="str">
        <f>VLOOKUP(B784,Nuclides!A:F,5,FALSE)</f>
        <v>Ag99</v>
      </c>
      <c r="F784">
        <f>VLOOKUP(B784,Nuclides!A:F,4,FALSE)</f>
        <v>124</v>
      </c>
      <c r="G784" s="4" t="str">
        <f t="shared" si="74"/>
        <v>2.07min</v>
      </c>
      <c r="H784" s="4">
        <f t="shared" si="75"/>
        <v>5.5898966174189133E-3</v>
      </c>
      <c r="I784" s="4">
        <f t="shared" si="76"/>
        <v>0</v>
      </c>
      <c r="J784" s="4">
        <f t="shared" si="77"/>
        <v>0</v>
      </c>
      <c r="K784" s="4" t="str">
        <f t="shared" si="78"/>
        <v>Ag99</v>
      </c>
    </row>
    <row r="785" spans="2:11" hidden="1" x14ac:dyDescent="0.2">
      <c r="B785" s="4">
        <v>47100</v>
      </c>
      <c r="C785" s="4">
        <v>0</v>
      </c>
      <c r="D785">
        <v>0</v>
      </c>
      <c r="E785" t="str">
        <f>VLOOKUP(B785,Nuclides!A:F,5,FALSE)</f>
        <v>Ag100</v>
      </c>
      <c r="F785">
        <f>VLOOKUP(B785,Nuclides!A:F,4,FALSE)</f>
        <v>120.6</v>
      </c>
      <c r="G785" s="4" t="str">
        <f t="shared" si="74"/>
        <v>2.01min</v>
      </c>
      <c r="H785" s="4">
        <f t="shared" si="75"/>
        <v>5.7474890593693642E-3</v>
      </c>
      <c r="I785" s="4">
        <f t="shared" si="76"/>
        <v>0</v>
      </c>
      <c r="J785" s="4">
        <f t="shared" si="77"/>
        <v>0</v>
      </c>
      <c r="K785" s="4" t="str">
        <f t="shared" si="78"/>
        <v>Ag100</v>
      </c>
    </row>
    <row r="786" spans="2:11" hidden="1" x14ac:dyDescent="0.2">
      <c r="B786" s="4">
        <v>47101</v>
      </c>
      <c r="C786" s="4">
        <v>0</v>
      </c>
      <c r="D786">
        <v>0</v>
      </c>
      <c r="E786" t="str">
        <f>VLOOKUP(B786,Nuclides!A:F,5,FALSE)</f>
        <v>Ag101</v>
      </c>
      <c r="F786">
        <f>VLOOKUP(B786,Nuclides!A:F,4,FALSE)</f>
        <v>666</v>
      </c>
      <c r="G786" s="4" t="str">
        <f t="shared" si="74"/>
        <v>11.1min</v>
      </c>
      <c r="H786" s="4">
        <f t="shared" si="75"/>
        <v>1.0407615323722902E-3</v>
      </c>
      <c r="I786" s="4">
        <f t="shared" si="76"/>
        <v>0</v>
      </c>
      <c r="J786" s="4">
        <f t="shared" si="77"/>
        <v>0</v>
      </c>
      <c r="K786" s="4" t="str">
        <f t="shared" si="78"/>
        <v>Ag101</v>
      </c>
    </row>
    <row r="787" spans="2:11" hidden="1" x14ac:dyDescent="0.2">
      <c r="B787" s="4">
        <v>47102</v>
      </c>
      <c r="C787" s="4">
        <v>0</v>
      </c>
      <c r="D787">
        <v>0</v>
      </c>
      <c r="E787" t="str">
        <f>VLOOKUP(B787,Nuclides!A:F,5,FALSE)</f>
        <v>Ag102</v>
      </c>
      <c r="F787">
        <f>VLOOKUP(B787,Nuclides!A:F,4,FALSE)</f>
        <v>774</v>
      </c>
      <c r="G787" s="4" t="str">
        <f t="shared" si="74"/>
        <v>12.9min</v>
      </c>
      <c r="H787" s="4">
        <f t="shared" si="75"/>
        <v>8.9553899297150556E-4</v>
      </c>
      <c r="I787" s="4">
        <f t="shared" si="76"/>
        <v>0</v>
      </c>
      <c r="J787" s="4">
        <f t="shared" si="77"/>
        <v>0</v>
      </c>
      <c r="K787" s="4" t="str">
        <f t="shared" si="78"/>
        <v>Ag102</v>
      </c>
    </row>
    <row r="788" spans="2:11" hidden="1" x14ac:dyDescent="0.2">
      <c r="B788" s="4">
        <v>47103</v>
      </c>
      <c r="C788" s="4">
        <v>0</v>
      </c>
      <c r="D788">
        <v>0</v>
      </c>
      <c r="E788" t="str">
        <f>VLOOKUP(B788,Nuclides!A:F,5,FALSE)</f>
        <v>Ag103</v>
      </c>
      <c r="F788">
        <f>VLOOKUP(B788,Nuclides!A:F,4,FALSE)</f>
        <v>3942</v>
      </c>
      <c r="G788" s="4" t="str">
        <f t="shared" si="74"/>
        <v>1.1h</v>
      </c>
      <c r="H788" s="4">
        <f t="shared" si="75"/>
        <v>1.7583642327751023E-4</v>
      </c>
      <c r="I788" s="4">
        <f t="shared" si="76"/>
        <v>0</v>
      </c>
      <c r="J788" s="4">
        <f t="shared" si="77"/>
        <v>0</v>
      </c>
      <c r="K788" s="4" t="str">
        <f t="shared" si="78"/>
        <v>Ag103</v>
      </c>
    </row>
    <row r="789" spans="2:11" hidden="1" x14ac:dyDescent="0.2">
      <c r="B789" s="4">
        <v>47104</v>
      </c>
      <c r="C789" s="4">
        <v>0</v>
      </c>
      <c r="D789">
        <v>0</v>
      </c>
      <c r="E789" t="str">
        <f>VLOOKUP(B789,Nuclides!A:F,5,FALSE)</f>
        <v>Ag104</v>
      </c>
      <c r="F789">
        <f>VLOOKUP(B789,Nuclides!A:F,4,FALSE)</f>
        <v>4152</v>
      </c>
      <c r="G789" s="4" t="str">
        <f t="shared" si="74"/>
        <v>1.15h</v>
      </c>
      <c r="H789" s="4">
        <f t="shared" si="75"/>
        <v>1.6694296256260726E-4</v>
      </c>
      <c r="I789" s="4">
        <f t="shared" si="76"/>
        <v>0</v>
      </c>
      <c r="J789" s="4">
        <f t="shared" si="77"/>
        <v>0</v>
      </c>
      <c r="K789" s="4" t="str">
        <f t="shared" si="78"/>
        <v>Ag104</v>
      </c>
    </row>
    <row r="790" spans="2:11" hidden="1" x14ac:dyDescent="0.2">
      <c r="B790" s="4">
        <v>47105</v>
      </c>
      <c r="C790" s="4">
        <v>0</v>
      </c>
      <c r="D790">
        <v>0</v>
      </c>
      <c r="E790" t="str">
        <f>VLOOKUP(B790,Nuclides!A:F,5,FALSE)</f>
        <v>Ag105</v>
      </c>
      <c r="F790">
        <f>VLOOKUP(B790,Nuclides!A:F,4,FALSE)</f>
        <v>3567456</v>
      </c>
      <c r="G790" s="4" t="str">
        <f t="shared" si="74"/>
        <v>41.29d</v>
      </c>
      <c r="H790" s="4">
        <f t="shared" si="75"/>
        <v>1.9429733136440794E-7</v>
      </c>
      <c r="I790" s="4">
        <f t="shared" si="76"/>
        <v>0</v>
      </c>
      <c r="J790" s="4">
        <f t="shared" si="77"/>
        <v>0</v>
      </c>
      <c r="K790" s="4" t="str">
        <f t="shared" si="78"/>
        <v>Ag105</v>
      </c>
    </row>
    <row r="791" spans="2:11" hidden="1" x14ac:dyDescent="0.2">
      <c r="B791" s="4">
        <v>47106</v>
      </c>
      <c r="C791" s="4">
        <v>0</v>
      </c>
      <c r="D791">
        <v>0</v>
      </c>
      <c r="E791" t="str">
        <f>VLOOKUP(B791,Nuclides!A:F,5,FALSE)</f>
        <v>Ag106</v>
      </c>
      <c r="F791">
        <f>VLOOKUP(B791,Nuclides!A:F,4,FALSE)</f>
        <v>1437.6</v>
      </c>
      <c r="G791" s="4" t="str">
        <f t="shared" si="74"/>
        <v>23.96min</v>
      </c>
      <c r="H791" s="4">
        <f t="shared" si="75"/>
        <v>4.8215580172505934E-4</v>
      </c>
      <c r="I791" s="4">
        <f t="shared" si="76"/>
        <v>0</v>
      </c>
      <c r="J791" s="4">
        <f t="shared" si="77"/>
        <v>0</v>
      </c>
      <c r="K791" s="4" t="str">
        <f t="shared" si="78"/>
        <v>Ag106</v>
      </c>
    </row>
    <row r="792" spans="2:11" hidden="1" x14ac:dyDescent="0.2">
      <c r="B792" s="4">
        <v>47107</v>
      </c>
      <c r="C792" s="4">
        <v>0</v>
      </c>
      <c r="D792">
        <v>0</v>
      </c>
      <c r="E792" t="str">
        <f>VLOOKUP(B792,Nuclides!A:F,5,FALSE)</f>
        <v>Ag107</v>
      </c>
      <c r="F792" t="str">
        <f>VLOOKUP(B792,Nuclides!A:F,4,FALSE)</f>
        <v>STABLE</v>
      </c>
      <c r="G792" s="4" t="str">
        <f t="shared" si="74"/>
        <v>STABLE</v>
      </c>
      <c r="H792" s="4" t="e">
        <f t="shared" si="75"/>
        <v>#VALUE!</v>
      </c>
      <c r="I792" s="4" t="e">
        <f t="shared" si="76"/>
        <v>#VALUE!</v>
      </c>
      <c r="J792" s="4" t="e">
        <f t="shared" si="77"/>
        <v>#VALUE!</v>
      </c>
      <c r="K792" s="4" t="str">
        <f t="shared" si="78"/>
        <v>Ag107</v>
      </c>
    </row>
    <row r="793" spans="2:11" hidden="1" x14ac:dyDescent="0.2">
      <c r="B793" s="4">
        <v>47108</v>
      </c>
      <c r="C793" s="4">
        <v>0</v>
      </c>
      <c r="D793">
        <v>0</v>
      </c>
      <c r="E793" t="str">
        <f>VLOOKUP(B793,Nuclides!A:F,5,FALSE)</f>
        <v>Ag108</v>
      </c>
      <c r="F793">
        <f>VLOOKUP(B793,Nuclides!A:F,4,FALSE)</f>
        <v>142.91999999999999</v>
      </c>
      <c r="G793" s="4" t="str">
        <f t="shared" si="74"/>
        <v>2.38min</v>
      </c>
      <c r="H793" s="4">
        <f t="shared" si="75"/>
        <v>4.849896309543418E-3</v>
      </c>
      <c r="I793" s="4">
        <f t="shared" si="76"/>
        <v>0</v>
      </c>
      <c r="J793" s="4">
        <f t="shared" si="77"/>
        <v>0</v>
      </c>
      <c r="K793" s="4" t="str">
        <f t="shared" si="78"/>
        <v>Ag108</v>
      </c>
    </row>
    <row r="794" spans="2:11" hidden="1" x14ac:dyDescent="0.2">
      <c r="B794" s="4">
        <v>47109</v>
      </c>
      <c r="C794" s="4">
        <v>0</v>
      </c>
      <c r="D794">
        <v>0</v>
      </c>
      <c r="E794" t="str">
        <f>VLOOKUP(B794,Nuclides!A:F,5,FALSE)</f>
        <v>Ag109</v>
      </c>
      <c r="F794" t="str">
        <f>VLOOKUP(B794,Nuclides!A:F,4,FALSE)</f>
        <v>STABLE</v>
      </c>
      <c r="G794" s="4" t="str">
        <f t="shared" si="74"/>
        <v>STABLE</v>
      </c>
      <c r="H794" s="4" t="e">
        <f t="shared" si="75"/>
        <v>#VALUE!</v>
      </c>
      <c r="I794" s="4" t="e">
        <f t="shared" si="76"/>
        <v>#VALUE!</v>
      </c>
      <c r="J794" s="4" t="e">
        <f t="shared" si="77"/>
        <v>#VALUE!</v>
      </c>
      <c r="K794" s="4" t="str">
        <f t="shared" si="78"/>
        <v>Ag109</v>
      </c>
    </row>
    <row r="795" spans="2:11" hidden="1" x14ac:dyDescent="0.2">
      <c r="B795" s="4">
        <v>47110</v>
      </c>
      <c r="C795" s="4">
        <v>0</v>
      </c>
      <c r="D795">
        <v>0</v>
      </c>
      <c r="E795" t="str">
        <f>VLOOKUP(B795,Nuclides!A:F,5,FALSE)</f>
        <v>Ag110</v>
      </c>
      <c r="F795">
        <f>VLOOKUP(B795,Nuclides!A:F,4,FALSE)</f>
        <v>24.6</v>
      </c>
      <c r="G795" s="4" t="str">
        <f t="shared" si="74"/>
        <v>24.6s</v>
      </c>
      <c r="H795" s="4">
        <f t="shared" si="75"/>
        <v>2.8176714656908342E-2</v>
      </c>
      <c r="I795" s="4">
        <f t="shared" si="76"/>
        <v>0</v>
      </c>
      <c r="J795" s="4">
        <f t="shared" si="77"/>
        <v>0</v>
      </c>
      <c r="K795" s="4" t="str">
        <f t="shared" si="78"/>
        <v>Ag110</v>
      </c>
    </row>
    <row r="796" spans="2:11" hidden="1" x14ac:dyDescent="0.2">
      <c r="B796" s="4">
        <v>47111</v>
      </c>
      <c r="C796" s="4">
        <v>0</v>
      </c>
      <c r="D796">
        <v>0</v>
      </c>
      <c r="E796" t="str">
        <f>VLOOKUP(B796,Nuclides!A:F,5,FALSE)</f>
        <v>Ag111</v>
      </c>
      <c r="F796">
        <f>VLOOKUP(B796,Nuclides!A:F,4,FALSE)</f>
        <v>643680</v>
      </c>
      <c r="G796" s="4" t="str">
        <f t="shared" si="74"/>
        <v>7.45d</v>
      </c>
      <c r="H796" s="4">
        <f t="shared" si="75"/>
        <v>1.0768505787968328E-6</v>
      </c>
      <c r="I796" s="4">
        <f t="shared" si="76"/>
        <v>0</v>
      </c>
      <c r="J796" s="4">
        <f t="shared" si="77"/>
        <v>0</v>
      </c>
      <c r="K796" s="4" t="str">
        <f t="shared" si="78"/>
        <v>Ag111</v>
      </c>
    </row>
    <row r="797" spans="2:11" hidden="1" x14ac:dyDescent="0.2">
      <c r="B797" s="4">
        <v>47112</v>
      </c>
      <c r="C797" s="4">
        <v>0</v>
      </c>
      <c r="D797">
        <v>0</v>
      </c>
      <c r="E797" t="str">
        <f>VLOOKUP(B797,Nuclides!A:F,5,FALSE)</f>
        <v>Ag112</v>
      </c>
      <c r="F797">
        <f>VLOOKUP(B797,Nuclides!A:F,4,FALSE)</f>
        <v>11268</v>
      </c>
      <c r="G797" s="4" t="str">
        <f t="shared" si="74"/>
        <v>3.13h</v>
      </c>
      <c r="H797" s="4">
        <f t="shared" si="75"/>
        <v>6.1514659261620983E-5</v>
      </c>
      <c r="I797" s="4">
        <f t="shared" si="76"/>
        <v>0</v>
      </c>
      <c r="J797" s="4">
        <f t="shared" si="77"/>
        <v>0</v>
      </c>
      <c r="K797" s="4" t="str">
        <f t="shared" si="78"/>
        <v>Ag112</v>
      </c>
    </row>
    <row r="798" spans="2:11" hidden="1" x14ac:dyDescent="0.2">
      <c r="B798" s="4">
        <v>47113</v>
      </c>
      <c r="C798" s="4">
        <v>0</v>
      </c>
      <c r="D798">
        <v>0</v>
      </c>
      <c r="E798" t="str">
        <f>VLOOKUP(B798,Nuclides!A:F,5,FALSE)</f>
        <v>Ag113</v>
      </c>
      <c r="F798">
        <f>VLOOKUP(B798,Nuclides!A:F,4,FALSE)</f>
        <v>19332</v>
      </c>
      <c r="G798" s="4" t="str">
        <f t="shared" si="74"/>
        <v>5.37h</v>
      </c>
      <c r="H798" s="4">
        <f t="shared" si="75"/>
        <v>3.5854913126419684E-5</v>
      </c>
      <c r="I798" s="4">
        <f t="shared" si="76"/>
        <v>0</v>
      </c>
      <c r="J798" s="4">
        <f t="shared" si="77"/>
        <v>0</v>
      </c>
      <c r="K798" s="4" t="str">
        <f t="shared" si="78"/>
        <v>Ag113</v>
      </c>
    </row>
    <row r="799" spans="2:11" hidden="1" x14ac:dyDescent="0.2">
      <c r="B799" s="4">
        <v>47114</v>
      </c>
      <c r="C799" s="4">
        <v>0</v>
      </c>
      <c r="D799">
        <v>0</v>
      </c>
      <c r="E799" t="str">
        <f>VLOOKUP(B799,Nuclides!A:F,5,FALSE)</f>
        <v>Ag114</v>
      </c>
      <c r="F799">
        <f>VLOOKUP(B799,Nuclides!A:F,4,FALSE)</f>
        <v>4.5999999999999996</v>
      </c>
      <c r="G799" s="4" t="str">
        <f t="shared" si="74"/>
        <v>4.6s</v>
      </c>
      <c r="H799" s="4">
        <f t="shared" si="75"/>
        <v>0.15068416968694465</v>
      </c>
      <c r="I799" s="4">
        <f t="shared" si="76"/>
        <v>0</v>
      </c>
      <c r="J799" s="4">
        <f t="shared" si="77"/>
        <v>0</v>
      </c>
      <c r="K799" s="4" t="str">
        <f t="shared" si="78"/>
        <v>Ag114</v>
      </c>
    </row>
    <row r="800" spans="2:11" hidden="1" x14ac:dyDescent="0.2">
      <c r="B800" s="4">
        <v>47115</v>
      </c>
      <c r="C800" s="4">
        <v>0</v>
      </c>
      <c r="D800">
        <v>0</v>
      </c>
      <c r="E800" t="str">
        <f>VLOOKUP(B800,Nuclides!A:F,5,FALSE)</f>
        <v>Ag115</v>
      </c>
      <c r="F800">
        <f>VLOOKUP(B800,Nuclides!A:F,4,FALSE)</f>
        <v>1200</v>
      </c>
      <c r="G800" s="4" t="str">
        <f t="shared" si="74"/>
        <v>20min</v>
      </c>
      <c r="H800" s="4">
        <f t="shared" si="75"/>
        <v>5.7762265046662107E-4</v>
      </c>
      <c r="I800" s="4">
        <f t="shared" si="76"/>
        <v>0</v>
      </c>
      <c r="J800" s="4">
        <f t="shared" si="77"/>
        <v>0</v>
      </c>
      <c r="K800" s="4" t="str">
        <f t="shared" si="78"/>
        <v>Ag115</v>
      </c>
    </row>
    <row r="801" spans="2:11" hidden="1" x14ac:dyDescent="0.2">
      <c r="B801" s="4">
        <v>47116</v>
      </c>
      <c r="C801" s="4">
        <v>0</v>
      </c>
      <c r="D801">
        <v>0</v>
      </c>
      <c r="E801" t="str">
        <f>VLOOKUP(B801,Nuclides!A:F,5,FALSE)</f>
        <v>Ag116</v>
      </c>
      <c r="F801">
        <f>VLOOKUP(B801,Nuclides!A:F,4,FALSE)</f>
        <v>237</v>
      </c>
      <c r="G801" s="4" t="str">
        <f t="shared" si="74"/>
        <v>3.95min</v>
      </c>
      <c r="H801" s="4">
        <f t="shared" si="75"/>
        <v>2.9246716479322584E-3</v>
      </c>
      <c r="I801" s="4">
        <f t="shared" si="76"/>
        <v>0</v>
      </c>
      <c r="J801" s="4">
        <f t="shared" si="77"/>
        <v>0</v>
      </c>
      <c r="K801" s="4" t="str">
        <f t="shared" si="78"/>
        <v>Ag116</v>
      </c>
    </row>
    <row r="802" spans="2:11" hidden="1" x14ac:dyDescent="0.2">
      <c r="B802" s="4">
        <v>47117</v>
      </c>
      <c r="C802" s="4">
        <v>0</v>
      </c>
      <c r="D802">
        <v>0</v>
      </c>
      <c r="E802" t="str">
        <f>VLOOKUP(B802,Nuclides!A:F,5,FALSE)</f>
        <v>Ag117</v>
      </c>
      <c r="F802">
        <f>VLOOKUP(B802,Nuclides!A:F,4,FALSE)</f>
        <v>72.8</v>
      </c>
      <c r="G802" s="4" t="str">
        <f t="shared" si="74"/>
        <v>1.21min</v>
      </c>
      <c r="H802" s="4">
        <f t="shared" si="75"/>
        <v>9.5212524802190286E-3</v>
      </c>
      <c r="I802" s="4">
        <f t="shared" si="76"/>
        <v>0</v>
      </c>
      <c r="J802" s="4">
        <f t="shared" si="77"/>
        <v>0</v>
      </c>
      <c r="K802" s="4" t="str">
        <f t="shared" si="78"/>
        <v>Ag117</v>
      </c>
    </row>
    <row r="803" spans="2:11" hidden="1" x14ac:dyDescent="0.2">
      <c r="B803" s="4">
        <v>47118</v>
      </c>
      <c r="C803" s="4">
        <v>0</v>
      </c>
      <c r="D803">
        <v>0</v>
      </c>
      <c r="E803" t="str">
        <f>VLOOKUP(B803,Nuclides!A:F,5,FALSE)</f>
        <v>Ag118</v>
      </c>
      <c r="F803">
        <f>VLOOKUP(B803,Nuclides!A:F,4,FALSE)</f>
        <v>3.76</v>
      </c>
      <c r="G803" s="4" t="str">
        <f t="shared" si="74"/>
        <v>3.76s</v>
      </c>
      <c r="H803" s="4">
        <f t="shared" si="75"/>
        <v>0.18434765440424078</v>
      </c>
      <c r="I803" s="4">
        <f t="shared" si="76"/>
        <v>0</v>
      </c>
      <c r="J803" s="4">
        <f t="shared" si="77"/>
        <v>0</v>
      </c>
      <c r="K803" s="4" t="str">
        <f t="shared" si="78"/>
        <v>Ag118</v>
      </c>
    </row>
    <row r="804" spans="2:11" hidden="1" x14ac:dyDescent="0.2">
      <c r="B804" s="4">
        <v>47119</v>
      </c>
      <c r="C804" s="4">
        <v>0</v>
      </c>
      <c r="D804">
        <v>0</v>
      </c>
      <c r="E804" t="str">
        <f>VLOOKUP(B804,Nuclides!A:F,5,FALSE)</f>
        <v>Ag119</v>
      </c>
      <c r="F804">
        <f>VLOOKUP(B804,Nuclides!A:F,4,FALSE)</f>
        <v>6</v>
      </c>
      <c r="G804" s="4" t="str">
        <f t="shared" si="74"/>
        <v>6s</v>
      </c>
      <c r="H804" s="4">
        <f t="shared" si="75"/>
        <v>0.11552453009332421</v>
      </c>
      <c r="I804" s="4">
        <f t="shared" si="76"/>
        <v>0</v>
      </c>
      <c r="J804" s="4">
        <f t="shared" si="77"/>
        <v>0</v>
      </c>
      <c r="K804" s="4" t="str">
        <f t="shared" si="78"/>
        <v>Ag119</v>
      </c>
    </row>
    <row r="805" spans="2:11" hidden="1" x14ac:dyDescent="0.2">
      <c r="B805" s="4">
        <v>47120</v>
      </c>
      <c r="C805" s="4">
        <v>0</v>
      </c>
      <c r="D805">
        <v>0</v>
      </c>
      <c r="E805" t="str">
        <f>VLOOKUP(B805,Nuclides!A:F,5,FALSE)</f>
        <v>Ag120</v>
      </c>
      <c r="F805">
        <f>VLOOKUP(B805,Nuclides!A:F,4,FALSE)</f>
        <v>1.23</v>
      </c>
      <c r="G805" s="4" t="str">
        <f t="shared" si="74"/>
        <v>1.23s</v>
      </c>
      <c r="H805" s="4">
        <f t="shared" si="75"/>
        <v>0.56353429313816694</v>
      </c>
      <c r="I805" s="4">
        <f t="shared" si="76"/>
        <v>0</v>
      </c>
      <c r="J805" s="4">
        <f t="shared" si="77"/>
        <v>0</v>
      </c>
      <c r="K805" s="4" t="str">
        <f t="shared" si="78"/>
        <v>Ag120</v>
      </c>
    </row>
    <row r="806" spans="2:11" hidden="1" x14ac:dyDescent="0.2">
      <c r="B806" s="4">
        <v>47121</v>
      </c>
      <c r="C806" s="4">
        <v>0</v>
      </c>
      <c r="D806">
        <v>0</v>
      </c>
      <c r="E806" t="str">
        <f>VLOOKUP(B806,Nuclides!A:F,5,FALSE)</f>
        <v>Ag121</v>
      </c>
      <c r="F806">
        <f>VLOOKUP(B806,Nuclides!A:F,4,FALSE)</f>
        <v>0.78</v>
      </c>
      <c r="G806" s="4" t="str">
        <f t="shared" si="74"/>
        <v>0.78s</v>
      </c>
      <c r="H806" s="4">
        <f t="shared" si="75"/>
        <v>0.88865023148710931</v>
      </c>
      <c r="I806" s="4">
        <f t="shared" si="76"/>
        <v>0</v>
      </c>
      <c r="J806" s="4">
        <f t="shared" si="77"/>
        <v>0</v>
      </c>
      <c r="K806" s="4" t="str">
        <f t="shared" si="78"/>
        <v>Ag121</v>
      </c>
    </row>
    <row r="807" spans="2:11" hidden="1" x14ac:dyDescent="0.2">
      <c r="B807" s="4">
        <v>47122</v>
      </c>
      <c r="C807" s="4">
        <v>0</v>
      </c>
      <c r="D807">
        <v>0</v>
      </c>
      <c r="E807" t="str">
        <f>VLOOKUP(B807,Nuclides!A:F,5,FALSE)</f>
        <v>Ag122</v>
      </c>
      <c r="F807">
        <f>VLOOKUP(B807,Nuclides!A:F,4,FALSE)</f>
        <v>0.52900000000000003</v>
      </c>
      <c r="G807" s="4" t="str">
        <f t="shared" si="74"/>
        <v>0.529s</v>
      </c>
      <c r="H807" s="4">
        <f t="shared" si="75"/>
        <v>1.3102971277125619</v>
      </c>
      <c r="I807" s="4">
        <f t="shared" si="76"/>
        <v>0</v>
      </c>
      <c r="J807" s="4">
        <f t="shared" si="77"/>
        <v>0</v>
      </c>
      <c r="K807" s="4" t="str">
        <f t="shared" si="78"/>
        <v>Ag122</v>
      </c>
    </row>
    <row r="808" spans="2:11" hidden="1" x14ac:dyDescent="0.2">
      <c r="B808" s="4">
        <v>47123</v>
      </c>
      <c r="C808" s="4">
        <v>0</v>
      </c>
      <c r="D808">
        <v>0</v>
      </c>
      <c r="E808" t="str">
        <f>VLOOKUP(B808,Nuclides!A:F,5,FALSE)</f>
        <v>Ag123</v>
      </c>
      <c r="F808">
        <f>VLOOKUP(B808,Nuclides!A:F,4,FALSE)</f>
        <v>0.3</v>
      </c>
      <c r="G808" s="4" t="str">
        <f t="shared" si="74"/>
        <v>0.3s</v>
      </c>
      <c r="H808" s="4">
        <f t="shared" si="75"/>
        <v>2.3104906018664844</v>
      </c>
      <c r="I808" s="4">
        <f t="shared" si="76"/>
        <v>0</v>
      </c>
      <c r="J808" s="4">
        <f t="shared" si="77"/>
        <v>0</v>
      </c>
      <c r="K808" s="4" t="str">
        <f t="shared" si="78"/>
        <v>Ag123</v>
      </c>
    </row>
    <row r="809" spans="2:11" hidden="1" x14ac:dyDescent="0.2">
      <c r="B809" s="4">
        <v>48097</v>
      </c>
      <c r="C809" s="4">
        <v>0</v>
      </c>
      <c r="D809">
        <v>0</v>
      </c>
      <c r="E809" t="str">
        <f>VLOOKUP(B809,Nuclides!A:F,5,FALSE)</f>
        <v>Cd97</v>
      </c>
      <c r="F809">
        <f>VLOOKUP(B809,Nuclides!A:F,4,FALSE)</f>
        <v>1.1000000000000001</v>
      </c>
      <c r="G809" s="4" t="str">
        <f t="shared" si="74"/>
        <v>1.1s</v>
      </c>
      <c r="H809" s="4">
        <f t="shared" si="75"/>
        <v>0.63013380050904111</v>
      </c>
      <c r="I809" s="4">
        <f t="shared" si="76"/>
        <v>0</v>
      </c>
      <c r="J809" s="4">
        <f t="shared" si="77"/>
        <v>0</v>
      </c>
      <c r="K809" s="4" t="str">
        <f t="shared" si="78"/>
        <v>Cd97</v>
      </c>
    </row>
    <row r="810" spans="2:11" hidden="1" x14ac:dyDescent="0.2">
      <c r="B810" s="4">
        <v>48098</v>
      </c>
      <c r="C810" s="4">
        <v>0</v>
      </c>
      <c r="D810">
        <v>0</v>
      </c>
      <c r="E810" t="str">
        <f>VLOOKUP(B810,Nuclides!A:F,5,FALSE)</f>
        <v>Cd98</v>
      </c>
      <c r="F810">
        <f>VLOOKUP(B810,Nuclides!A:F,4,FALSE)</f>
        <v>9.1999999999999993</v>
      </c>
      <c r="G810" s="4" t="str">
        <f t="shared" si="74"/>
        <v>9.2s</v>
      </c>
      <c r="H810" s="4">
        <f t="shared" si="75"/>
        <v>7.5342084843472323E-2</v>
      </c>
      <c r="I810" s="4">
        <f t="shared" si="76"/>
        <v>0</v>
      </c>
      <c r="J810" s="4">
        <f t="shared" si="77"/>
        <v>0</v>
      </c>
      <c r="K810" s="4" t="str">
        <f t="shared" si="78"/>
        <v>Cd98</v>
      </c>
    </row>
    <row r="811" spans="2:11" hidden="1" x14ac:dyDescent="0.2">
      <c r="B811" s="4">
        <v>48099</v>
      </c>
      <c r="C811" s="4">
        <v>0</v>
      </c>
      <c r="D811">
        <v>0</v>
      </c>
      <c r="E811" t="str">
        <f>VLOOKUP(B811,Nuclides!A:F,5,FALSE)</f>
        <v>Cd99</v>
      </c>
      <c r="F811">
        <f>VLOOKUP(B811,Nuclides!A:F,4,FALSE)</f>
        <v>16</v>
      </c>
      <c r="G811" s="4" t="str">
        <f t="shared" si="74"/>
        <v>16s</v>
      </c>
      <c r="H811" s="4">
        <f t="shared" si="75"/>
        <v>4.332169878499658E-2</v>
      </c>
      <c r="I811" s="4">
        <f t="shared" si="76"/>
        <v>0</v>
      </c>
      <c r="J811" s="4">
        <f t="shared" si="77"/>
        <v>0</v>
      </c>
      <c r="K811" s="4" t="str">
        <f t="shared" si="78"/>
        <v>Cd99</v>
      </c>
    </row>
    <row r="812" spans="2:11" hidden="1" x14ac:dyDescent="0.2">
      <c r="B812" s="4">
        <v>48100</v>
      </c>
      <c r="C812" s="4">
        <v>0</v>
      </c>
      <c r="D812">
        <v>0</v>
      </c>
      <c r="E812" t="str">
        <f>VLOOKUP(B812,Nuclides!A:F,5,FALSE)</f>
        <v>Cd100</v>
      </c>
      <c r="F812">
        <f>VLOOKUP(B812,Nuclides!A:F,4,FALSE)</f>
        <v>49.1</v>
      </c>
      <c r="G812" s="4" t="str">
        <f t="shared" si="74"/>
        <v>49.1s</v>
      </c>
      <c r="H812" s="4">
        <f t="shared" si="75"/>
        <v>1.4117050520569149E-2</v>
      </c>
      <c r="I812" s="4">
        <f t="shared" si="76"/>
        <v>0</v>
      </c>
      <c r="J812" s="4">
        <f t="shared" si="77"/>
        <v>0</v>
      </c>
      <c r="K812" s="4" t="str">
        <f t="shared" si="78"/>
        <v>Cd100</v>
      </c>
    </row>
    <row r="813" spans="2:11" hidden="1" x14ac:dyDescent="0.2">
      <c r="B813" s="4">
        <v>48101</v>
      </c>
      <c r="C813" s="4">
        <v>0</v>
      </c>
      <c r="D813">
        <v>0</v>
      </c>
      <c r="E813" t="str">
        <f>VLOOKUP(B813,Nuclides!A:F,5,FALSE)</f>
        <v>Cd101</v>
      </c>
      <c r="F813">
        <f>VLOOKUP(B813,Nuclides!A:F,4,FALSE)</f>
        <v>81.599999999999994</v>
      </c>
      <c r="G813" s="4" t="str">
        <f t="shared" si="74"/>
        <v>1.36min</v>
      </c>
      <c r="H813" s="4">
        <f t="shared" si="75"/>
        <v>8.494450742156193E-3</v>
      </c>
      <c r="I813" s="4">
        <f t="shared" si="76"/>
        <v>0</v>
      </c>
      <c r="J813" s="4">
        <f t="shared" si="77"/>
        <v>0</v>
      </c>
      <c r="K813" s="4" t="str">
        <f t="shared" si="78"/>
        <v>Cd101</v>
      </c>
    </row>
    <row r="814" spans="2:11" hidden="1" x14ac:dyDescent="0.2">
      <c r="B814" s="4">
        <v>48102</v>
      </c>
      <c r="C814" s="4">
        <v>0</v>
      </c>
      <c r="D814">
        <v>0</v>
      </c>
      <c r="E814" t="str">
        <f>VLOOKUP(B814,Nuclides!A:F,5,FALSE)</f>
        <v>Cd102</v>
      </c>
      <c r="F814">
        <f>VLOOKUP(B814,Nuclides!A:F,4,FALSE)</f>
        <v>330</v>
      </c>
      <c r="G814" s="4" t="str">
        <f t="shared" si="74"/>
        <v>5.5min</v>
      </c>
      <c r="H814" s="4">
        <f t="shared" si="75"/>
        <v>2.1004460016968039E-3</v>
      </c>
      <c r="I814" s="4">
        <f t="shared" si="76"/>
        <v>0</v>
      </c>
      <c r="J814" s="4">
        <f t="shared" si="77"/>
        <v>0</v>
      </c>
      <c r="K814" s="4" t="str">
        <f t="shared" si="78"/>
        <v>Cd102</v>
      </c>
    </row>
    <row r="815" spans="2:11" hidden="1" x14ac:dyDescent="0.2">
      <c r="B815" s="4">
        <v>48103</v>
      </c>
      <c r="C815" s="4">
        <v>0</v>
      </c>
      <c r="D815">
        <v>0</v>
      </c>
      <c r="E815" t="str">
        <f>VLOOKUP(B815,Nuclides!A:F,5,FALSE)</f>
        <v>Cd103</v>
      </c>
      <c r="F815">
        <f>VLOOKUP(B815,Nuclides!A:F,4,FALSE)</f>
        <v>438</v>
      </c>
      <c r="G815" s="4" t="str">
        <f t="shared" si="74"/>
        <v>7.3min</v>
      </c>
      <c r="H815" s="4">
        <f t="shared" si="75"/>
        <v>1.582527809497592E-3</v>
      </c>
      <c r="I815" s="4">
        <f t="shared" si="76"/>
        <v>0</v>
      </c>
      <c r="J815" s="4">
        <f t="shared" si="77"/>
        <v>0</v>
      </c>
      <c r="K815" s="4" t="str">
        <f t="shared" si="78"/>
        <v>Cd103</v>
      </c>
    </row>
    <row r="816" spans="2:11" hidden="1" x14ac:dyDescent="0.2">
      <c r="B816" s="4">
        <v>48104</v>
      </c>
      <c r="C816" s="4">
        <v>0</v>
      </c>
      <c r="D816">
        <v>0</v>
      </c>
      <c r="E816" t="str">
        <f>VLOOKUP(B816,Nuclides!A:F,5,FALSE)</f>
        <v>Cd104</v>
      </c>
      <c r="F816">
        <f>VLOOKUP(B816,Nuclides!A:F,4,FALSE)</f>
        <v>3462</v>
      </c>
      <c r="G816" s="4" t="str">
        <f t="shared" si="74"/>
        <v>57.7min</v>
      </c>
      <c r="H816" s="4">
        <f t="shared" si="75"/>
        <v>2.002158233853106E-4</v>
      </c>
      <c r="I816" s="4">
        <f t="shared" si="76"/>
        <v>0</v>
      </c>
      <c r="J816" s="4">
        <f t="shared" si="77"/>
        <v>0</v>
      </c>
      <c r="K816" s="4" t="str">
        <f t="shared" si="78"/>
        <v>Cd104</v>
      </c>
    </row>
    <row r="817" spans="2:11" hidden="1" x14ac:dyDescent="0.2">
      <c r="B817" s="4">
        <v>48105</v>
      </c>
      <c r="C817" s="4">
        <v>0</v>
      </c>
      <c r="D817">
        <v>0</v>
      </c>
      <c r="E817" t="str">
        <f>VLOOKUP(B817,Nuclides!A:F,5,FALSE)</f>
        <v>Cd105</v>
      </c>
      <c r="F817">
        <f>VLOOKUP(B817,Nuclides!A:F,4,FALSE)</f>
        <v>3330</v>
      </c>
      <c r="G817" s="4" t="str">
        <f t="shared" si="74"/>
        <v>55.5min</v>
      </c>
      <c r="H817" s="4">
        <f t="shared" si="75"/>
        <v>2.0815230647445806E-4</v>
      </c>
      <c r="I817" s="4">
        <f t="shared" si="76"/>
        <v>0</v>
      </c>
      <c r="J817" s="4">
        <f t="shared" si="77"/>
        <v>0</v>
      </c>
      <c r="K817" s="4" t="str">
        <f t="shared" si="78"/>
        <v>Cd105</v>
      </c>
    </row>
    <row r="818" spans="2:11" hidden="1" x14ac:dyDescent="0.2">
      <c r="B818" s="4">
        <v>48106</v>
      </c>
      <c r="C818" s="4">
        <v>0</v>
      </c>
      <c r="D818">
        <v>0</v>
      </c>
      <c r="E818" t="str">
        <f>VLOOKUP(B818,Nuclides!A:F,5,FALSE)</f>
        <v>Cd106</v>
      </c>
      <c r="F818">
        <f>VLOOKUP(B818,Nuclides!A:F,4,FALSE)</f>
        <v>1.1360736E+28</v>
      </c>
      <c r="G818" s="4" t="str">
        <f t="shared" si="74"/>
        <v>3.60246575342466E+20y</v>
      </c>
      <c r="H818" s="4">
        <f t="shared" si="75"/>
        <v>6.1012524237861461E-29</v>
      </c>
      <c r="I818" s="4">
        <f t="shared" si="76"/>
        <v>0</v>
      </c>
      <c r="J818" s="4">
        <f t="shared" si="77"/>
        <v>0</v>
      </c>
      <c r="K818" s="4" t="str">
        <f t="shared" si="78"/>
        <v>Cd106</v>
      </c>
    </row>
    <row r="819" spans="2:11" hidden="1" x14ac:dyDescent="0.2">
      <c r="B819" s="4">
        <v>48107</v>
      </c>
      <c r="C819" s="4">
        <v>0</v>
      </c>
      <c r="D819">
        <v>0</v>
      </c>
      <c r="E819" t="str">
        <f>VLOOKUP(B819,Nuclides!A:F,5,FALSE)</f>
        <v>Cd107</v>
      </c>
      <c r="F819">
        <f>VLOOKUP(B819,Nuclides!A:F,4,FALSE)</f>
        <v>23400</v>
      </c>
      <c r="G819" s="4" t="str">
        <f t="shared" si="74"/>
        <v>6.5h</v>
      </c>
      <c r="H819" s="4">
        <f t="shared" si="75"/>
        <v>2.9621674382903646E-5</v>
      </c>
      <c r="I819" s="4">
        <f t="shared" si="76"/>
        <v>0</v>
      </c>
      <c r="J819" s="4">
        <f t="shared" si="77"/>
        <v>0</v>
      </c>
      <c r="K819" s="4" t="str">
        <f t="shared" si="78"/>
        <v>Cd107</v>
      </c>
    </row>
    <row r="820" spans="2:11" hidden="1" x14ac:dyDescent="0.2">
      <c r="B820" s="4">
        <v>48108</v>
      </c>
      <c r="C820" s="4">
        <v>0</v>
      </c>
      <c r="D820">
        <v>0</v>
      </c>
      <c r="E820" t="str">
        <f>VLOOKUP(B820,Nuclides!A:F,5,FALSE)</f>
        <v>Cd108</v>
      </c>
      <c r="F820">
        <f>VLOOKUP(B820,Nuclides!A:F,4,FALSE)</f>
        <v>5.9959439999999997E+25</v>
      </c>
      <c r="G820" s="4" t="str">
        <f t="shared" si="74"/>
        <v>1901301369863010000y</v>
      </c>
      <c r="H820" s="4">
        <f t="shared" si="75"/>
        <v>1.1560267750331646E-26</v>
      </c>
      <c r="I820" s="4">
        <f t="shared" si="76"/>
        <v>0</v>
      </c>
      <c r="J820" s="4">
        <f t="shared" si="77"/>
        <v>0</v>
      </c>
      <c r="K820" s="4" t="str">
        <f t="shared" si="78"/>
        <v>Cd108</v>
      </c>
    </row>
    <row r="821" spans="2:11" hidden="1" x14ac:dyDescent="0.2">
      <c r="B821" s="4">
        <v>48109</v>
      </c>
      <c r="C821" s="4">
        <v>0</v>
      </c>
      <c r="D821">
        <v>0</v>
      </c>
      <c r="E821" t="str">
        <f>VLOOKUP(B821,Nuclides!A:F,5,FALSE)</f>
        <v>Cd109</v>
      </c>
      <c r="F821">
        <f>VLOOKUP(B821,Nuclides!A:F,4,FALSE)</f>
        <v>39864960</v>
      </c>
      <c r="G821" s="4" t="str">
        <f t="shared" si="74"/>
        <v>1.26y</v>
      </c>
      <c r="H821" s="4">
        <f t="shared" si="75"/>
        <v>1.7387379306537502E-8</v>
      </c>
      <c r="I821" s="4">
        <f t="shared" si="76"/>
        <v>0</v>
      </c>
      <c r="J821" s="4">
        <f t="shared" si="77"/>
        <v>0</v>
      </c>
      <c r="K821" s="4" t="str">
        <f t="shared" si="78"/>
        <v>Cd109</v>
      </c>
    </row>
    <row r="822" spans="2:11" hidden="1" x14ac:dyDescent="0.2">
      <c r="B822" s="4">
        <v>48110</v>
      </c>
      <c r="C822" s="4">
        <v>0</v>
      </c>
      <c r="D822">
        <v>0</v>
      </c>
      <c r="E822" t="str">
        <f>VLOOKUP(B822,Nuclides!A:F,5,FALSE)</f>
        <v>Cd110</v>
      </c>
      <c r="F822" t="str">
        <f>VLOOKUP(B822,Nuclides!A:F,4,FALSE)</f>
        <v>STABLE</v>
      </c>
      <c r="G822" s="4" t="str">
        <f t="shared" si="74"/>
        <v>STABLE</v>
      </c>
      <c r="H822" s="4" t="e">
        <f t="shared" si="75"/>
        <v>#VALUE!</v>
      </c>
      <c r="I822" s="4" t="e">
        <f t="shared" si="76"/>
        <v>#VALUE!</v>
      </c>
      <c r="J822" s="4" t="e">
        <f t="shared" si="77"/>
        <v>#VALUE!</v>
      </c>
      <c r="K822" s="4" t="str">
        <f t="shared" si="78"/>
        <v>Cd110</v>
      </c>
    </row>
    <row r="823" spans="2:11" hidden="1" x14ac:dyDescent="0.2">
      <c r="B823" s="4">
        <v>48111</v>
      </c>
      <c r="C823" s="4">
        <v>0</v>
      </c>
      <c r="D823">
        <v>0</v>
      </c>
      <c r="E823" t="str">
        <f>VLOOKUP(B823,Nuclides!A:F,5,FALSE)</f>
        <v>Cd111</v>
      </c>
      <c r="F823" t="str">
        <f>VLOOKUP(B823,Nuclides!A:F,4,FALSE)</f>
        <v>STABLE</v>
      </c>
      <c r="G823" s="4" t="str">
        <f t="shared" si="74"/>
        <v>STABLE</v>
      </c>
      <c r="H823" s="4" t="e">
        <f t="shared" si="75"/>
        <v>#VALUE!</v>
      </c>
      <c r="I823" s="4" t="e">
        <f t="shared" si="76"/>
        <v>#VALUE!</v>
      </c>
      <c r="J823" s="4" t="e">
        <f t="shared" si="77"/>
        <v>#VALUE!</v>
      </c>
      <c r="K823" s="4" t="str">
        <f t="shared" si="78"/>
        <v>Cd111</v>
      </c>
    </row>
    <row r="824" spans="2:11" hidden="1" x14ac:dyDescent="0.2">
      <c r="B824" s="4">
        <v>48112</v>
      </c>
      <c r="C824" s="4">
        <v>0</v>
      </c>
      <c r="D824">
        <v>0</v>
      </c>
      <c r="E824" t="str">
        <f>VLOOKUP(B824,Nuclides!A:F,5,FALSE)</f>
        <v>Cd112</v>
      </c>
      <c r="F824" t="str">
        <f>VLOOKUP(B824,Nuclides!A:F,4,FALSE)</f>
        <v>STABLE</v>
      </c>
      <c r="G824" s="4" t="str">
        <f t="shared" si="74"/>
        <v>STABLE</v>
      </c>
      <c r="H824" s="4" t="e">
        <f t="shared" si="75"/>
        <v>#VALUE!</v>
      </c>
      <c r="I824" s="4" t="e">
        <f t="shared" si="76"/>
        <v>#VALUE!</v>
      </c>
      <c r="J824" s="4" t="e">
        <f t="shared" si="77"/>
        <v>#VALUE!</v>
      </c>
      <c r="K824" s="4" t="str">
        <f t="shared" si="78"/>
        <v>Cd112</v>
      </c>
    </row>
    <row r="825" spans="2:11" hidden="1" x14ac:dyDescent="0.2">
      <c r="B825" s="4">
        <v>48113</v>
      </c>
      <c r="C825" s="4">
        <v>0</v>
      </c>
      <c r="D825">
        <v>0</v>
      </c>
      <c r="E825" t="str">
        <f>VLOOKUP(B825,Nuclides!A:F,5,FALSE)</f>
        <v>Cd113</v>
      </c>
      <c r="F825">
        <f>VLOOKUP(B825,Nuclides!A:F,4,FALSE)</f>
        <v>2.5246080000000001E+23</v>
      </c>
      <c r="G825" s="4" t="str">
        <f t="shared" si="74"/>
        <v>8005479452054790y</v>
      </c>
      <c r="H825" s="4">
        <f t="shared" si="75"/>
        <v>2.7455635907037657E-24</v>
      </c>
      <c r="I825" s="4">
        <f t="shared" si="76"/>
        <v>0</v>
      </c>
      <c r="J825" s="4">
        <f t="shared" si="77"/>
        <v>0</v>
      </c>
      <c r="K825" s="4" t="str">
        <f t="shared" si="78"/>
        <v>Cd113</v>
      </c>
    </row>
    <row r="826" spans="2:11" hidden="1" x14ac:dyDescent="0.2">
      <c r="B826" s="4">
        <v>48114</v>
      </c>
      <c r="C826" s="4">
        <v>0</v>
      </c>
      <c r="D826">
        <v>0</v>
      </c>
      <c r="E826" t="str">
        <f>VLOOKUP(B826,Nuclides!A:F,5,FALSE)</f>
        <v>Cd114</v>
      </c>
      <c r="F826">
        <f>VLOOKUP(B826,Nuclides!A:F,4,FALSE)</f>
        <v>6.627096E+25</v>
      </c>
      <c r="G826" s="4" t="str">
        <f t="shared" si="74"/>
        <v>2101438356164380000y</v>
      </c>
      <c r="H826" s="4">
        <f t="shared" si="75"/>
        <v>1.045928986934768E-26</v>
      </c>
      <c r="I826" s="4">
        <f t="shared" si="76"/>
        <v>0</v>
      </c>
      <c r="J826" s="4">
        <f t="shared" si="77"/>
        <v>0</v>
      </c>
      <c r="K826" s="4" t="str">
        <f t="shared" si="78"/>
        <v>Cd114</v>
      </c>
    </row>
    <row r="827" spans="2:11" hidden="1" x14ac:dyDescent="0.2">
      <c r="B827" s="4">
        <v>48115</v>
      </c>
      <c r="C827" s="4">
        <v>0</v>
      </c>
      <c r="D827">
        <v>0</v>
      </c>
      <c r="E827" t="str">
        <f>VLOOKUP(B827,Nuclides!A:F,5,FALSE)</f>
        <v>Cd115</v>
      </c>
      <c r="F827">
        <f>VLOOKUP(B827,Nuclides!A:F,4,FALSE)</f>
        <v>192456</v>
      </c>
      <c r="G827" s="4" t="str">
        <f t="shared" si="74"/>
        <v>2.23d</v>
      </c>
      <c r="H827" s="4">
        <f t="shared" si="75"/>
        <v>3.6015877944046708E-6</v>
      </c>
      <c r="I827" s="4">
        <f t="shared" si="76"/>
        <v>0</v>
      </c>
      <c r="J827" s="4">
        <f t="shared" si="77"/>
        <v>0</v>
      </c>
      <c r="K827" s="4" t="str">
        <f t="shared" si="78"/>
        <v>Cd115</v>
      </c>
    </row>
    <row r="828" spans="2:11" hidden="1" x14ac:dyDescent="0.2">
      <c r="B828" s="4">
        <v>48116</v>
      </c>
      <c r="C828" s="4">
        <v>0</v>
      </c>
      <c r="D828">
        <v>0</v>
      </c>
      <c r="E828" t="str">
        <f>VLOOKUP(B828,Nuclides!A:F,5,FALSE)</f>
        <v>Cd116</v>
      </c>
      <c r="F828">
        <f>VLOOKUP(B828,Nuclides!A:F,4,FALSE)</f>
        <v>1.0414008E+27</v>
      </c>
      <c r="G828" s="4" t="str">
        <f t="shared" si="74"/>
        <v>33022602739726000000y</v>
      </c>
      <c r="H828" s="4">
        <f t="shared" si="75"/>
        <v>6.6559117350394328E-28</v>
      </c>
      <c r="I828" s="4">
        <f t="shared" si="76"/>
        <v>0</v>
      </c>
      <c r="J828" s="4">
        <f t="shared" si="77"/>
        <v>0</v>
      </c>
      <c r="K828" s="4" t="str">
        <f t="shared" si="78"/>
        <v>Cd116</v>
      </c>
    </row>
    <row r="829" spans="2:11" hidden="1" x14ac:dyDescent="0.2">
      <c r="B829" s="4">
        <v>48117</v>
      </c>
      <c r="C829" s="4">
        <v>0</v>
      </c>
      <c r="D829">
        <v>0</v>
      </c>
      <c r="E829" t="str">
        <f>VLOOKUP(B829,Nuclides!A:F,5,FALSE)</f>
        <v>Cd117</v>
      </c>
      <c r="F829">
        <f>VLOOKUP(B829,Nuclides!A:F,4,FALSE)</f>
        <v>8964</v>
      </c>
      <c r="G829" s="4" t="str">
        <f t="shared" si="74"/>
        <v>2.49h</v>
      </c>
      <c r="H829" s="4">
        <f t="shared" si="75"/>
        <v>7.7325656019627993E-5</v>
      </c>
      <c r="I829" s="4">
        <f t="shared" si="76"/>
        <v>0</v>
      </c>
      <c r="J829" s="4">
        <f t="shared" si="77"/>
        <v>0</v>
      </c>
      <c r="K829" s="4" t="str">
        <f t="shared" si="78"/>
        <v>Cd117</v>
      </c>
    </row>
    <row r="830" spans="2:11" hidden="1" x14ac:dyDescent="0.2">
      <c r="B830" s="4">
        <v>48118</v>
      </c>
      <c r="C830" s="4">
        <v>0</v>
      </c>
      <c r="D830">
        <v>0</v>
      </c>
      <c r="E830" t="str">
        <f>VLOOKUP(B830,Nuclides!A:F,5,FALSE)</f>
        <v>Cd118</v>
      </c>
      <c r="F830">
        <f>VLOOKUP(B830,Nuclides!A:F,4,FALSE)</f>
        <v>3018</v>
      </c>
      <c r="G830" s="4" t="str">
        <f t="shared" si="74"/>
        <v>50.3min</v>
      </c>
      <c r="H830" s="4">
        <f t="shared" si="75"/>
        <v>2.2967103398275192E-4</v>
      </c>
      <c r="I830" s="4">
        <f t="shared" si="76"/>
        <v>0</v>
      </c>
      <c r="J830" s="4">
        <f t="shared" si="77"/>
        <v>0</v>
      </c>
      <c r="K830" s="4" t="str">
        <f t="shared" si="78"/>
        <v>Cd118</v>
      </c>
    </row>
    <row r="831" spans="2:11" hidden="1" x14ac:dyDescent="0.2">
      <c r="B831" s="4">
        <v>48119</v>
      </c>
      <c r="C831" s="4">
        <v>0</v>
      </c>
      <c r="D831">
        <v>0</v>
      </c>
      <c r="E831" t="str">
        <f>VLOOKUP(B831,Nuclides!A:F,5,FALSE)</f>
        <v>Cd119</v>
      </c>
      <c r="F831">
        <f>VLOOKUP(B831,Nuclides!A:F,4,FALSE)</f>
        <v>161.4</v>
      </c>
      <c r="G831" s="4" t="str">
        <f t="shared" si="74"/>
        <v>2.69min</v>
      </c>
      <c r="H831" s="4">
        <f t="shared" si="75"/>
        <v>4.2945921967778517E-3</v>
      </c>
      <c r="I831" s="4">
        <f t="shared" si="76"/>
        <v>0</v>
      </c>
      <c r="J831" s="4">
        <f t="shared" si="77"/>
        <v>0</v>
      </c>
      <c r="K831" s="4" t="str">
        <f t="shared" si="78"/>
        <v>Cd119</v>
      </c>
    </row>
    <row r="832" spans="2:11" hidden="1" x14ac:dyDescent="0.2">
      <c r="B832" s="4">
        <v>48120</v>
      </c>
      <c r="C832" s="4">
        <v>0</v>
      </c>
      <c r="D832">
        <v>0</v>
      </c>
      <c r="E832" t="str">
        <f>VLOOKUP(B832,Nuclides!A:F,5,FALSE)</f>
        <v>Cd120</v>
      </c>
      <c r="F832">
        <f>VLOOKUP(B832,Nuclides!A:F,4,FALSE)</f>
        <v>50.8</v>
      </c>
      <c r="G832" s="4" t="str">
        <f t="shared" si="74"/>
        <v>50.8s</v>
      </c>
      <c r="H832" s="4">
        <f t="shared" si="75"/>
        <v>1.3644629538581601E-2</v>
      </c>
      <c r="I832" s="4">
        <f t="shared" si="76"/>
        <v>0</v>
      </c>
      <c r="J832" s="4">
        <f t="shared" si="77"/>
        <v>0</v>
      </c>
      <c r="K832" s="4" t="str">
        <f t="shared" si="78"/>
        <v>Cd120</v>
      </c>
    </row>
    <row r="833" spans="2:11" hidden="1" x14ac:dyDescent="0.2">
      <c r="B833" s="4">
        <v>48121</v>
      </c>
      <c r="C833" s="4">
        <v>0</v>
      </c>
      <c r="D833">
        <v>0</v>
      </c>
      <c r="E833" t="str">
        <f>VLOOKUP(B833,Nuclides!A:F,5,FALSE)</f>
        <v>Cd121</v>
      </c>
      <c r="F833">
        <f>VLOOKUP(B833,Nuclides!A:F,4,FALSE)</f>
        <v>13.5</v>
      </c>
      <c r="G833" s="4" t="str">
        <f t="shared" si="74"/>
        <v>13.5s</v>
      </c>
      <c r="H833" s="4">
        <f t="shared" si="75"/>
        <v>5.1344235597032988E-2</v>
      </c>
      <c r="I833" s="4">
        <f t="shared" si="76"/>
        <v>0</v>
      </c>
      <c r="J833" s="4">
        <f t="shared" si="77"/>
        <v>0</v>
      </c>
      <c r="K833" s="4" t="str">
        <f t="shared" si="78"/>
        <v>Cd121</v>
      </c>
    </row>
    <row r="834" spans="2:11" hidden="1" x14ac:dyDescent="0.2">
      <c r="B834" s="4">
        <v>48122</v>
      </c>
      <c r="C834" s="4">
        <v>0</v>
      </c>
      <c r="D834">
        <v>0</v>
      </c>
      <c r="E834" t="str">
        <f>VLOOKUP(B834,Nuclides!A:F,5,FALSE)</f>
        <v>Cd122</v>
      </c>
      <c r="F834">
        <f>VLOOKUP(B834,Nuclides!A:F,4,FALSE)</f>
        <v>5.24</v>
      </c>
      <c r="G834" s="4" t="str">
        <f t="shared" si="74"/>
        <v>5.24s</v>
      </c>
      <c r="H834" s="4">
        <f t="shared" si="75"/>
        <v>0.1322799962900659</v>
      </c>
      <c r="I834" s="4">
        <f t="shared" si="76"/>
        <v>0</v>
      </c>
      <c r="J834" s="4">
        <f t="shared" si="77"/>
        <v>0</v>
      </c>
      <c r="K834" s="4" t="str">
        <f t="shared" si="78"/>
        <v>Cd122</v>
      </c>
    </row>
    <row r="835" spans="2:11" hidden="1" x14ac:dyDescent="0.2">
      <c r="B835" s="4">
        <v>48123</v>
      </c>
      <c r="C835" s="4">
        <v>0</v>
      </c>
      <c r="D835">
        <v>0</v>
      </c>
      <c r="E835" t="str">
        <f>VLOOKUP(B835,Nuclides!A:F,5,FALSE)</f>
        <v>Cd123</v>
      </c>
      <c r="F835">
        <f>VLOOKUP(B835,Nuclides!A:F,4,FALSE)</f>
        <v>2.1</v>
      </c>
      <c r="G835" s="4" t="str">
        <f t="shared" si="74"/>
        <v>2.1s</v>
      </c>
      <c r="H835" s="4">
        <f t="shared" si="75"/>
        <v>0.3300700859809263</v>
      </c>
      <c r="I835" s="4">
        <f t="shared" si="76"/>
        <v>0</v>
      </c>
      <c r="J835" s="4">
        <f t="shared" si="77"/>
        <v>0</v>
      </c>
      <c r="K835" s="4" t="str">
        <f t="shared" si="78"/>
        <v>Cd123</v>
      </c>
    </row>
    <row r="836" spans="2:11" hidden="1" x14ac:dyDescent="0.2">
      <c r="B836" s="4">
        <v>48124</v>
      </c>
      <c r="C836" s="4">
        <v>0</v>
      </c>
      <c r="D836">
        <v>0</v>
      </c>
      <c r="E836" t="str">
        <f>VLOOKUP(B836,Nuclides!A:F,5,FALSE)</f>
        <v>Cd124</v>
      </c>
      <c r="F836">
        <f>VLOOKUP(B836,Nuclides!A:F,4,FALSE)</f>
        <v>1.25</v>
      </c>
      <c r="G836" s="4" t="str">
        <f t="shared" si="74"/>
        <v>1.25s</v>
      </c>
      <c r="H836" s="4">
        <f t="shared" si="75"/>
        <v>0.55451774444795621</v>
      </c>
      <c r="I836" s="4">
        <f t="shared" si="76"/>
        <v>0</v>
      </c>
      <c r="J836" s="4">
        <f t="shared" si="77"/>
        <v>0</v>
      </c>
      <c r="K836" s="4" t="str">
        <f t="shared" si="78"/>
        <v>Cd124</v>
      </c>
    </row>
    <row r="837" spans="2:11" hidden="1" x14ac:dyDescent="0.2">
      <c r="B837" s="4">
        <v>48125</v>
      </c>
      <c r="C837" s="4">
        <v>0</v>
      </c>
      <c r="D837">
        <v>0</v>
      </c>
      <c r="E837" t="str">
        <f>VLOOKUP(B837,Nuclides!A:F,5,FALSE)</f>
        <v>Cd125</v>
      </c>
      <c r="F837">
        <f>VLOOKUP(B837,Nuclides!A:F,4,FALSE)</f>
        <v>0.68</v>
      </c>
      <c r="G837" s="4" t="str">
        <f t="shared" ref="G837:G900" si="79">IF(F837="STABLE", "STABLE", IF(F837&lt;60, F837&amp;"s", IF(F837&lt;3600, ROUND(F837/60,2)&amp;"min", IF(F837&lt;86400, ROUND(F837/3600,2)&amp;"h", IF(F837&lt;31536000, ROUND(F837/86400,2)&amp;"d", ROUND(F837/31536000,2)&amp;"y")))))</f>
        <v>0.68s</v>
      </c>
      <c r="H837" s="4">
        <f t="shared" ref="H837:H900" si="80">LN(2)/F837</f>
        <v>1.019334089058743</v>
      </c>
      <c r="I837" s="4">
        <f t="shared" ref="I837:I900" si="81">60*6240000000000*C837*(1-EXP(-H837*2*3600))</f>
        <v>0</v>
      </c>
      <c r="J837" s="4">
        <f t="shared" ref="J837:J900" si="82">I837*EXP(-H837*48*3600)</f>
        <v>0</v>
      </c>
      <c r="K837" s="4" t="str">
        <f t="shared" ref="K837:K900" si="83">E837</f>
        <v>Cd125</v>
      </c>
    </row>
    <row r="838" spans="2:11" hidden="1" x14ac:dyDescent="0.2">
      <c r="B838" s="4">
        <v>48126</v>
      </c>
      <c r="C838" s="4">
        <v>0</v>
      </c>
      <c r="D838">
        <v>0</v>
      </c>
      <c r="E838" t="str">
        <f>VLOOKUP(B838,Nuclides!A:F,5,FALSE)</f>
        <v>Cd126</v>
      </c>
      <c r="F838">
        <f>VLOOKUP(B838,Nuclides!A:F,4,FALSE)</f>
        <v>0.51500000000000001</v>
      </c>
      <c r="G838" s="4" t="str">
        <f t="shared" si="79"/>
        <v>0.515s</v>
      </c>
      <c r="H838" s="4">
        <f t="shared" si="80"/>
        <v>1.3459168554562044</v>
      </c>
      <c r="I838" s="4">
        <f t="shared" si="81"/>
        <v>0</v>
      </c>
      <c r="J838" s="4">
        <f t="shared" si="82"/>
        <v>0</v>
      </c>
      <c r="K838" s="4" t="str">
        <f t="shared" si="83"/>
        <v>Cd126</v>
      </c>
    </row>
    <row r="839" spans="2:11" hidden="1" x14ac:dyDescent="0.2">
      <c r="B839" s="4">
        <v>49100</v>
      </c>
      <c r="C839" s="4">
        <v>0</v>
      </c>
      <c r="D839">
        <v>0</v>
      </c>
      <c r="E839" t="str">
        <f>VLOOKUP(B839,Nuclides!A:F,5,FALSE)</f>
        <v>In100</v>
      </c>
      <c r="F839">
        <f>VLOOKUP(B839,Nuclides!A:F,4,FALSE)</f>
        <v>5.8</v>
      </c>
      <c r="G839" s="4" t="str">
        <f t="shared" si="79"/>
        <v>5.8s</v>
      </c>
      <c r="H839" s="4">
        <f t="shared" si="80"/>
        <v>0.11950813457930091</v>
      </c>
      <c r="I839" s="4">
        <f t="shared" si="81"/>
        <v>0</v>
      </c>
      <c r="J839" s="4">
        <f t="shared" si="82"/>
        <v>0</v>
      </c>
      <c r="K839" s="4" t="str">
        <f t="shared" si="83"/>
        <v>In100</v>
      </c>
    </row>
    <row r="840" spans="2:11" hidden="1" x14ac:dyDescent="0.2">
      <c r="B840" s="4">
        <v>49101</v>
      </c>
      <c r="C840" s="4">
        <v>0</v>
      </c>
      <c r="D840">
        <v>0</v>
      </c>
      <c r="E840" t="str">
        <f>VLOOKUP(B840,Nuclides!A:F,5,FALSE)</f>
        <v>In101</v>
      </c>
      <c r="F840">
        <f>VLOOKUP(B840,Nuclides!A:F,4,FALSE)</f>
        <v>15.1</v>
      </c>
      <c r="G840" s="4" t="str">
        <f t="shared" si="79"/>
        <v>15.1s</v>
      </c>
      <c r="H840" s="4">
        <f t="shared" si="80"/>
        <v>4.5903786792049359E-2</v>
      </c>
      <c r="I840" s="4">
        <f t="shared" si="81"/>
        <v>0</v>
      </c>
      <c r="J840" s="4">
        <f t="shared" si="82"/>
        <v>0</v>
      </c>
      <c r="K840" s="4" t="str">
        <f t="shared" si="83"/>
        <v>In101</v>
      </c>
    </row>
    <row r="841" spans="2:11" hidden="1" x14ac:dyDescent="0.2">
      <c r="B841" s="4">
        <v>49102</v>
      </c>
      <c r="C841" s="4">
        <v>0</v>
      </c>
      <c r="D841">
        <v>0</v>
      </c>
      <c r="E841" t="str">
        <f>VLOOKUP(B841,Nuclides!A:F,5,FALSE)</f>
        <v>In102</v>
      </c>
      <c r="F841">
        <f>VLOOKUP(B841,Nuclides!A:F,4,FALSE)</f>
        <v>23.3</v>
      </c>
      <c r="G841" s="4" t="str">
        <f t="shared" si="79"/>
        <v>23.3s</v>
      </c>
      <c r="H841" s="4">
        <f t="shared" si="80"/>
        <v>2.9748806032615677E-2</v>
      </c>
      <c r="I841" s="4">
        <f t="shared" si="81"/>
        <v>0</v>
      </c>
      <c r="J841" s="4">
        <f t="shared" si="82"/>
        <v>0</v>
      </c>
      <c r="K841" s="4" t="str">
        <f t="shared" si="83"/>
        <v>In102</v>
      </c>
    </row>
    <row r="842" spans="2:11" hidden="1" x14ac:dyDescent="0.2">
      <c r="B842" s="4">
        <v>49103</v>
      </c>
      <c r="C842" s="4">
        <v>0</v>
      </c>
      <c r="D842">
        <v>0</v>
      </c>
      <c r="E842" t="str">
        <f>VLOOKUP(B842,Nuclides!A:F,5,FALSE)</f>
        <v>In103</v>
      </c>
      <c r="F842">
        <f>VLOOKUP(B842,Nuclides!A:F,4,FALSE)</f>
        <v>65</v>
      </c>
      <c r="G842" s="4" t="str">
        <f t="shared" si="79"/>
        <v>1.08min</v>
      </c>
      <c r="H842" s="4">
        <f t="shared" si="80"/>
        <v>1.0663802777845312E-2</v>
      </c>
      <c r="I842" s="4">
        <f t="shared" si="81"/>
        <v>0</v>
      </c>
      <c r="J842" s="4">
        <f t="shared" si="82"/>
        <v>0</v>
      </c>
      <c r="K842" s="4" t="str">
        <f t="shared" si="83"/>
        <v>In103</v>
      </c>
    </row>
    <row r="843" spans="2:11" hidden="1" x14ac:dyDescent="0.2">
      <c r="B843" s="4">
        <v>49104</v>
      </c>
      <c r="C843" s="4">
        <v>0</v>
      </c>
      <c r="D843">
        <v>0</v>
      </c>
      <c r="E843" t="str">
        <f>VLOOKUP(B843,Nuclides!A:F,5,FALSE)</f>
        <v>In104</v>
      </c>
      <c r="F843">
        <f>VLOOKUP(B843,Nuclides!A:F,4,FALSE)</f>
        <v>108</v>
      </c>
      <c r="G843" s="4" t="str">
        <f t="shared" si="79"/>
        <v>1.8min</v>
      </c>
      <c r="H843" s="4">
        <f t="shared" si="80"/>
        <v>6.4180294496291234E-3</v>
      </c>
      <c r="I843" s="4">
        <f t="shared" si="81"/>
        <v>0</v>
      </c>
      <c r="J843" s="4">
        <f t="shared" si="82"/>
        <v>0</v>
      </c>
      <c r="K843" s="4" t="str">
        <f t="shared" si="83"/>
        <v>In104</v>
      </c>
    </row>
    <row r="844" spans="2:11" hidden="1" x14ac:dyDescent="0.2">
      <c r="B844" s="4">
        <v>49105</v>
      </c>
      <c r="C844" s="4">
        <v>0</v>
      </c>
      <c r="D844">
        <v>0</v>
      </c>
      <c r="E844" t="str">
        <f>VLOOKUP(B844,Nuclides!A:F,5,FALSE)</f>
        <v>In105</v>
      </c>
      <c r="F844">
        <f>VLOOKUP(B844,Nuclides!A:F,4,FALSE)</f>
        <v>304.2</v>
      </c>
      <c r="G844" s="4" t="str">
        <f t="shared" si="79"/>
        <v>5.07min</v>
      </c>
      <c r="H844" s="4">
        <f t="shared" si="80"/>
        <v>2.2785903371464341E-3</v>
      </c>
      <c r="I844" s="4">
        <f t="shared" si="81"/>
        <v>0</v>
      </c>
      <c r="J844" s="4">
        <f t="shared" si="82"/>
        <v>0</v>
      </c>
      <c r="K844" s="4" t="str">
        <f t="shared" si="83"/>
        <v>In105</v>
      </c>
    </row>
    <row r="845" spans="2:11" hidden="1" x14ac:dyDescent="0.2">
      <c r="B845" s="4">
        <v>49106</v>
      </c>
      <c r="C845" s="4">
        <v>0</v>
      </c>
      <c r="D845">
        <v>0</v>
      </c>
      <c r="E845" t="str">
        <f>VLOOKUP(B845,Nuclides!A:F,5,FALSE)</f>
        <v>In106</v>
      </c>
      <c r="F845">
        <f>VLOOKUP(B845,Nuclides!A:F,4,FALSE)</f>
        <v>372</v>
      </c>
      <c r="G845" s="4" t="str">
        <f t="shared" si="79"/>
        <v>6.2min</v>
      </c>
      <c r="H845" s="4">
        <f t="shared" si="80"/>
        <v>1.8632988724729713E-3</v>
      </c>
      <c r="I845" s="4">
        <f t="shared" si="81"/>
        <v>0</v>
      </c>
      <c r="J845" s="4">
        <f t="shared" si="82"/>
        <v>0</v>
      </c>
      <c r="K845" s="4" t="str">
        <f t="shared" si="83"/>
        <v>In106</v>
      </c>
    </row>
    <row r="846" spans="2:11" hidden="1" x14ac:dyDescent="0.2">
      <c r="B846" s="4">
        <v>49107</v>
      </c>
      <c r="C846" s="4">
        <v>0</v>
      </c>
      <c r="D846">
        <v>0</v>
      </c>
      <c r="E846" t="str">
        <f>VLOOKUP(B846,Nuclides!A:F,5,FALSE)</f>
        <v>In107</v>
      </c>
      <c r="F846">
        <f>VLOOKUP(B846,Nuclides!A:F,4,FALSE)</f>
        <v>1944</v>
      </c>
      <c r="G846" s="4" t="str">
        <f t="shared" si="79"/>
        <v>32.4min</v>
      </c>
      <c r="H846" s="4">
        <f t="shared" si="80"/>
        <v>3.5655719164606238E-4</v>
      </c>
      <c r="I846" s="4">
        <f t="shared" si="81"/>
        <v>0</v>
      </c>
      <c r="J846" s="4">
        <f t="shared" si="82"/>
        <v>0</v>
      </c>
      <c r="K846" s="4" t="str">
        <f t="shared" si="83"/>
        <v>In107</v>
      </c>
    </row>
    <row r="847" spans="2:11" hidden="1" x14ac:dyDescent="0.2">
      <c r="B847" s="4">
        <v>49108</v>
      </c>
      <c r="C847" s="4">
        <v>0</v>
      </c>
      <c r="D847">
        <v>0</v>
      </c>
      <c r="E847" t="str">
        <f>VLOOKUP(B847,Nuclides!A:F,5,FALSE)</f>
        <v>In108</v>
      </c>
      <c r="F847">
        <f>VLOOKUP(B847,Nuclides!A:F,4,FALSE)</f>
        <v>3480</v>
      </c>
      <c r="G847" s="4" t="str">
        <f t="shared" si="79"/>
        <v>58min</v>
      </c>
      <c r="H847" s="4">
        <f t="shared" si="80"/>
        <v>1.9918022429883485E-4</v>
      </c>
      <c r="I847" s="4">
        <f t="shared" si="81"/>
        <v>0</v>
      </c>
      <c r="J847" s="4">
        <f t="shared" si="82"/>
        <v>0</v>
      </c>
      <c r="K847" s="4" t="str">
        <f t="shared" si="83"/>
        <v>In108</v>
      </c>
    </row>
    <row r="848" spans="2:11" hidden="1" x14ac:dyDescent="0.2">
      <c r="B848" s="4">
        <v>49109</v>
      </c>
      <c r="C848" s="4">
        <v>0</v>
      </c>
      <c r="D848">
        <v>0</v>
      </c>
      <c r="E848" t="str">
        <f>VLOOKUP(B848,Nuclides!A:F,5,FALSE)</f>
        <v>In109</v>
      </c>
      <c r="F848">
        <f>VLOOKUP(B848,Nuclides!A:F,4,FALSE)</f>
        <v>15001.199999999901</v>
      </c>
      <c r="G848" s="4" t="str">
        <f t="shared" si="79"/>
        <v>4.17h</v>
      </c>
      <c r="H848" s="4">
        <f t="shared" si="80"/>
        <v>4.6206115548086146E-5</v>
      </c>
      <c r="I848" s="4">
        <f t="shared" si="81"/>
        <v>0</v>
      </c>
      <c r="J848" s="4">
        <f t="shared" si="82"/>
        <v>0</v>
      </c>
      <c r="K848" s="4" t="str">
        <f t="shared" si="83"/>
        <v>In109</v>
      </c>
    </row>
    <row r="849" spans="2:11" hidden="1" x14ac:dyDescent="0.2">
      <c r="B849" s="4">
        <v>49110</v>
      </c>
      <c r="C849" s="4">
        <v>0</v>
      </c>
      <c r="D849">
        <v>0</v>
      </c>
      <c r="E849" t="str">
        <f>VLOOKUP(B849,Nuclides!A:F,5,FALSE)</f>
        <v>In110</v>
      </c>
      <c r="F849">
        <f>VLOOKUP(B849,Nuclides!A:F,4,FALSE)</f>
        <v>17640</v>
      </c>
      <c r="G849" s="4" t="str">
        <f t="shared" si="79"/>
        <v>4.9h</v>
      </c>
      <c r="H849" s="4">
        <f t="shared" si="80"/>
        <v>3.9294057854872179E-5</v>
      </c>
      <c r="I849" s="4">
        <f t="shared" si="81"/>
        <v>0</v>
      </c>
      <c r="J849" s="4">
        <f t="shared" si="82"/>
        <v>0</v>
      </c>
      <c r="K849" s="4" t="str">
        <f t="shared" si="83"/>
        <v>In110</v>
      </c>
    </row>
    <row r="850" spans="2:11" hidden="1" x14ac:dyDescent="0.2">
      <c r="B850" s="4">
        <v>49111</v>
      </c>
      <c r="C850" s="4">
        <v>0</v>
      </c>
      <c r="D850">
        <v>0</v>
      </c>
      <c r="E850" t="str">
        <f>VLOOKUP(B850,Nuclides!A:F,5,FALSE)</f>
        <v>In111</v>
      </c>
      <c r="F850">
        <f>VLOOKUP(B850,Nuclides!A:F,4,FALSE)</f>
        <v>242326.08</v>
      </c>
      <c r="G850" s="4" t="str">
        <f t="shared" si="79"/>
        <v>2.8d</v>
      </c>
      <c r="H850" s="4">
        <f t="shared" si="80"/>
        <v>2.8603903490699198E-6</v>
      </c>
      <c r="I850" s="4">
        <f t="shared" si="81"/>
        <v>0</v>
      </c>
      <c r="J850" s="4">
        <f t="shared" si="82"/>
        <v>0</v>
      </c>
      <c r="K850" s="4" t="str">
        <f t="shared" si="83"/>
        <v>In111</v>
      </c>
    </row>
    <row r="851" spans="2:11" hidden="1" x14ac:dyDescent="0.2">
      <c r="B851" s="4">
        <v>49112</v>
      </c>
      <c r="C851" s="4">
        <v>0</v>
      </c>
      <c r="D851">
        <v>0</v>
      </c>
      <c r="E851" t="str">
        <f>VLOOKUP(B851,Nuclides!A:F,5,FALSE)</f>
        <v>In112</v>
      </c>
      <c r="F851">
        <f>VLOOKUP(B851,Nuclides!A:F,4,FALSE)</f>
        <v>892.8</v>
      </c>
      <c r="G851" s="4" t="str">
        <f t="shared" si="79"/>
        <v>14.88min</v>
      </c>
      <c r="H851" s="4">
        <f t="shared" si="80"/>
        <v>7.7637453019707139E-4</v>
      </c>
      <c r="I851" s="4">
        <f t="shared" si="81"/>
        <v>0</v>
      </c>
      <c r="J851" s="4">
        <f t="shared" si="82"/>
        <v>0</v>
      </c>
      <c r="K851" s="4" t="str">
        <f t="shared" si="83"/>
        <v>In112</v>
      </c>
    </row>
    <row r="852" spans="2:11" hidden="1" x14ac:dyDescent="0.2">
      <c r="B852" s="4">
        <v>49113</v>
      </c>
      <c r="C852" s="4">
        <v>0</v>
      </c>
      <c r="D852">
        <v>0</v>
      </c>
      <c r="E852" t="str">
        <f>VLOOKUP(B852,Nuclides!A:F,5,FALSE)</f>
        <v>In113</v>
      </c>
      <c r="F852" t="str">
        <f>VLOOKUP(B852,Nuclides!A:F,4,FALSE)</f>
        <v>STABLE</v>
      </c>
      <c r="G852" s="4" t="str">
        <f t="shared" si="79"/>
        <v>STABLE</v>
      </c>
      <c r="H852" s="4" t="e">
        <f t="shared" si="80"/>
        <v>#VALUE!</v>
      </c>
      <c r="I852" s="4" t="e">
        <f t="shared" si="81"/>
        <v>#VALUE!</v>
      </c>
      <c r="J852" s="4" t="e">
        <f t="shared" si="82"/>
        <v>#VALUE!</v>
      </c>
      <c r="K852" s="4" t="str">
        <f t="shared" si="83"/>
        <v>In113</v>
      </c>
    </row>
    <row r="853" spans="2:11" hidden="1" x14ac:dyDescent="0.2">
      <c r="B853" s="4">
        <v>49114</v>
      </c>
      <c r="C853" s="4">
        <v>0</v>
      </c>
      <c r="D853">
        <v>0</v>
      </c>
      <c r="E853" t="str">
        <f>VLOOKUP(B853,Nuclides!A:F,5,FALSE)</f>
        <v>In114</v>
      </c>
      <c r="F853">
        <f>VLOOKUP(B853,Nuclides!A:F,4,FALSE)</f>
        <v>71.900000000000006</v>
      </c>
      <c r="G853" s="4" t="str">
        <f t="shared" si="79"/>
        <v>1.2min</v>
      </c>
      <c r="H853" s="4">
        <f t="shared" si="80"/>
        <v>9.6404336656459692E-3</v>
      </c>
      <c r="I853" s="4">
        <f t="shared" si="81"/>
        <v>0</v>
      </c>
      <c r="J853" s="4">
        <f t="shared" si="82"/>
        <v>0</v>
      </c>
      <c r="K853" s="4" t="str">
        <f t="shared" si="83"/>
        <v>In114</v>
      </c>
    </row>
    <row r="854" spans="2:11" hidden="1" x14ac:dyDescent="0.2">
      <c r="B854" s="4">
        <v>49115</v>
      </c>
      <c r="C854" s="4">
        <v>0</v>
      </c>
      <c r="D854">
        <v>0</v>
      </c>
      <c r="E854" t="str">
        <f>VLOOKUP(B854,Nuclides!A:F,5,FALSE)</f>
        <v>In115</v>
      </c>
      <c r="F854">
        <f>VLOOKUP(B854,Nuclides!A:F,4,FALSE)</f>
        <v>1.3916901599999999E+22</v>
      </c>
      <c r="G854" s="4" t="str">
        <f t="shared" si="79"/>
        <v>441302054794520y</v>
      </c>
      <c r="H854" s="4">
        <f t="shared" si="80"/>
        <v>4.980614223498895E-23</v>
      </c>
      <c r="I854" s="4">
        <f t="shared" si="81"/>
        <v>0</v>
      </c>
      <c r="J854" s="4">
        <f t="shared" si="82"/>
        <v>0</v>
      </c>
      <c r="K854" s="4" t="str">
        <f t="shared" si="83"/>
        <v>In115</v>
      </c>
    </row>
    <row r="855" spans="2:11" hidden="1" x14ac:dyDescent="0.2">
      <c r="B855" s="4">
        <v>49116</v>
      </c>
      <c r="C855" s="4">
        <v>0</v>
      </c>
      <c r="D855">
        <v>0</v>
      </c>
      <c r="E855" t="str">
        <f>VLOOKUP(B855,Nuclides!A:F,5,FALSE)</f>
        <v>In116</v>
      </c>
      <c r="F855">
        <f>VLOOKUP(B855,Nuclides!A:F,4,FALSE)</f>
        <v>14.1</v>
      </c>
      <c r="G855" s="4" t="str">
        <f t="shared" si="79"/>
        <v>14.1s</v>
      </c>
      <c r="H855" s="4">
        <f t="shared" si="80"/>
        <v>4.9159374507797539E-2</v>
      </c>
      <c r="I855" s="4">
        <f t="shared" si="81"/>
        <v>0</v>
      </c>
      <c r="J855" s="4">
        <f t="shared" si="82"/>
        <v>0</v>
      </c>
      <c r="K855" s="4" t="str">
        <f t="shared" si="83"/>
        <v>In116</v>
      </c>
    </row>
    <row r="856" spans="2:11" hidden="1" x14ac:dyDescent="0.2">
      <c r="B856" s="4">
        <v>49117</v>
      </c>
      <c r="C856" s="4">
        <v>0</v>
      </c>
      <c r="D856">
        <v>0</v>
      </c>
      <c r="E856" t="str">
        <f>VLOOKUP(B856,Nuclides!A:F,5,FALSE)</f>
        <v>In117</v>
      </c>
      <c r="F856">
        <f>VLOOKUP(B856,Nuclides!A:F,4,FALSE)</f>
        <v>2592</v>
      </c>
      <c r="G856" s="4" t="str">
        <f t="shared" si="79"/>
        <v>43.2min</v>
      </c>
      <c r="H856" s="4">
        <f t="shared" si="80"/>
        <v>2.6741789373454681E-4</v>
      </c>
      <c r="I856" s="4">
        <f t="shared" si="81"/>
        <v>0</v>
      </c>
      <c r="J856" s="4">
        <f t="shared" si="82"/>
        <v>0</v>
      </c>
      <c r="K856" s="4" t="str">
        <f t="shared" si="83"/>
        <v>In117</v>
      </c>
    </row>
    <row r="857" spans="2:11" hidden="1" x14ac:dyDescent="0.2">
      <c r="B857" s="4">
        <v>49118</v>
      </c>
      <c r="C857" s="4">
        <v>0</v>
      </c>
      <c r="D857">
        <v>0</v>
      </c>
      <c r="E857" t="str">
        <f>VLOOKUP(B857,Nuclides!A:F,5,FALSE)</f>
        <v>In118</v>
      </c>
      <c r="F857">
        <f>VLOOKUP(B857,Nuclides!A:F,4,FALSE)</f>
        <v>5</v>
      </c>
      <c r="G857" s="4" t="str">
        <f t="shared" si="79"/>
        <v>5s</v>
      </c>
      <c r="H857" s="4">
        <f t="shared" si="80"/>
        <v>0.13862943611198905</v>
      </c>
      <c r="I857" s="4">
        <f t="shared" si="81"/>
        <v>0</v>
      </c>
      <c r="J857" s="4">
        <f t="shared" si="82"/>
        <v>0</v>
      </c>
      <c r="K857" s="4" t="str">
        <f t="shared" si="83"/>
        <v>In118</v>
      </c>
    </row>
    <row r="858" spans="2:11" hidden="1" x14ac:dyDescent="0.2">
      <c r="B858" s="4">
        <v>49119</v>
      </c>
      <c r="C858" s="4">
        <v>0</v>
      </c>
      <c r="D858">
        <v>0</v>
      </c>
      <c r="E858" t="str">
        <f>VLOOKUP(B858,Nuclides!A:F,5,FALSE)</f>
        <v>In119</v>
      </c>
      <c r="F858">
        <f>VLOOKUP(B858,Nuclides!A:F,4,FALSE)</f>
        <v>144</v>
      </c>
      <c r="G858" s="4" t="str">
        <f t="shared" si="79"/>
        <v>2.4min</v>
      </c>
      <c r="H858" s="4">
        <f t="shared" si="80"/>
        <v>4.8135220872218424E-3</v>
      </c>
      <c r="I858" s="4">
        <f t="shared" si="81"/>
        <v>0</v>
      </c>
      <c r="J858" s="4">
        <f t="shared" si="82"/>
        <v>0</v>
      </c>
      <c r="K858" s="4" t="str">
        <f t="shared" si="83"/>
        <v>In119</v>
      </c>
    </row>
    <row r="859" spans="2:11" hidden="1" x14ac:dyDescent="0.2">
      <c r="B859" s="4">
        <v>49120</v>
      </c>
      <c r="C859" s="4">
        <v>0</v>
      </c>
      <c r="D859">
        <v>0</v>
      </c>
      <c r="E859" t="str">
        <f>VLOOKUP(B859,Nuclides!A:F,5,FALSE)</f>
        <v>In120</v>
      </c>
      <c r="F859">
        <f>VLOOKUP(B859,Nuclides!A:F,4,FALSE)</f>
        <v>3.08</v>
      </c>
      <c r="G859" s="4" t="str">
        <f t="shared" si="79"/>
        <v>3.08s</v>
      </c>
      <c r="H859" s="4">
        <f t="shared" si="80"/>
        <v>0.22504778589608612</v>
      </c>
      <c r="I859" s="4">
        <f t="shared" si="81"/>
        <v>0</v>
      </c>
      <c r="J859" s="4">
        <f t="shared" si="82"/>
        <v>0</v>
      </c>
      <c r="K859" s="4" t="str">
        <f t="shared" si="83"/>
        <v>In120</v>
      </c>
    </row>
    <row r="860" spans="2:11" hidden="1" x14ac:dyDescent="0.2">
      <c r="B860" s="4">
        <v>49121</v>
      </c>
      <c r="C860" s="4">
        <v>0</v>
      </c>
      <c r="D860">
        <v>0</v>
      </c>
      <c r="E860" t="str">
        <f>VLOOKUP(B860,Nuclides!A:F,5,FALSE)</f>
        <v>In121</v>
      </c>
      <c r="F860">
        <f>VLOOKUP(B860,Nuclides!A:F,4,FALSE)</f>
        <v>23.1</v>
      </c>
      <c r="G860" s="4" t="str">
        <f t="shared" si="79"/>
        <v>23.1s</v>
      </c>
      <c r="H860" s="4">
        <f t="shared" si="80"/>
        <v>3.0006371452811483E-2</v>
      </c>
      <c r="I860" s="4">
        <f t="shared" si="81"/>
        <v>0</v>
      </c>
      <c r="J860" s="4">
        <f t="shared" si="82"/>
        <v>0</v>
      </c>
      <c r="K860" s="4" t="str">
        <f t="shared" si="83"/>
        <v>In121</v>
      </c>
    </row>
    <row r="861" spans="2:11" hidden="1" x14ac:dyDescent="0.2">
      <c r="B861" s="4">
        <v>49122</v>
      </c>
      <c r="C861" s="4">
        <v>0</v>
      </c>
      <c r="D861">
        <v>0</v>
      </c>
      <c r="E861" t="str">
        <f>VLOOKUP(B861,Nuclides!A:F,5,FALSE)</f>
        <v>In122</v>
      </c>
      <c r="F861">
        <f>VLOOKUP(B861,Nuclides!A:F,4,FALSE)</f>
        <v>1.5</v>
      </c>
      <c r="G861" s="4" t="str">
        <f t="shared" si="79"/>
        <v>1.5s</v>
      </c>
      <c r="H861" s="4">
        <f t="shared" si="80"/>
        <v>0.46209812037329684</v>
      </c>
      <c r="I861" s="4">
        <f t="shared" si="81"/>
        <v>0</v>
      </c>
      <c r="J861" s="4">
        <f t="shared" si="82"/>
        <v>0</v>
      </c>
      <c r="K861" s="4" t="str">
        <f t="shared" si="83"/>
        <v>In122</v>
      </c>
    </row>
    <row r="862" spans="2:11" hidden="1" x14ac:dyDescent="0.2">
      <c r="B862" s="4">
        <v>49123</v>
      </c>
      <c r="C862" s="4">
        <v>0</v>
      </c>
      <c r="D862">
        <v>0</v>
      </c>
      <c r="E862" t="str">
        <f>VLOOKUP(B862,Nuclides!A:F,5,FALSE)</f>
        <v>In123</v>
      </c>
      <c r="F862">
        <f>VLOOKUP(B862,Nuclides!A:F,4,FALSE)</f>
        <v>6.17</v>
      </c>
      <c r="G862" s="4" t="str">
        <f t="shared" si="79"/>
        <v>6.17s</v>
      </c>
      <c r="H862" s="4">
        <f t="shared" si="80"/>
        <v>0.11234152035007217</v>
      </c>
      <c r="I862" s="4">
        <f t="shared" si="81"/>
        <v>0</v>
      </c>
      <c r="J862" s="4">
        <f t="shared" si="82"/>
        <v>0</v>
      </c>
      <c r="K862" s="4" t="str">
        <f t="shared" si="83"/>
        <v>In123</v>
      </c>
    </row>
    <row r="863" spans="2:11" hidden="1" x14ac:dyDescent="0.2">
      <c r="B863" s="4">
        <v>49124</v>
      </c>
      <c r="C863" s="4">
        <v>0</v>
      </c>
      <c r="D863">
        <v>0</v>
      </c>
      <c r="E863" t="str">
        <f>VLOOKUP(B863,Nuclides!A:F,5,FALSE)</f>
        <v>In124</v>
      </c>
      <c r="F863">
        <f>VLOOKUP(B863,Nuclides!A:F,4,FALSE)</f>
        <v>3.12</v>
      </c>
      <c r="G863" s="4" t="str">
        <f t="shared" si="79"/>
        <v>3.12s</v>
      </c>
      <c r="H863" s="4">
        <f t="shared" si="80"/>
        <v>0.22216255787177733</v>
      </c>
      <c r="I863" s="4">
        <f t="shared" si="81"/>
        <v>0</v>
      </c>
      <c r="J863" s="4">
        <f t="shared" si="82"/>
        <v>0</v>
      </c>
      <c r="K863" s="4" t="str">
        <f t="shared" si="83"/>
        <v>In124</v>
      </c>
    </row>
    <row r="864" spans="2:11" hidden="1" x14ac:dyDescent="0.2">
      <c r="B864" s="4">
        <v>49125</v>
      </c>
      <c r="C864" s="4">
        <v>0</v>
      </c>
      <c r="D864">
        <v>0</v>
      </c>
      <c r="E864" t="str">
        <f>VLOOKUP(B864,Nuclides!A:F,5,FALSE)</f>
        <v>In125</v>
      </c>
      <c r="F864">
        <f>VLOOKUP(B864,Nuclides!A:F,4,FALSE)</f>
        <v>2.36</v>
      </c>
      <c r="G864" s="4" t="str">
        <f t="shared" si="79"/>
        <v>2.36s</v>
      </c>
      <c r="H864" s="4">
        <f t="shared" si="80"/>
        <v>0.29370643244065481</v>
      </c>
      <c r="I864" s="4">
        <f t="shared" si="81"/>
        <v>0</v>
      </c>
      <c r="J864" s="4">
        <f t="shared" si="82"/>
        <v>0</v>
      </c>
      <c r="K864" s="4" t="str">
        <f t="shared" si="83"/>
        <v>In125</v>
      </c>
    </row>
    <row r="865" spans="2:11" hidden="1" x14ac:dyDescent="0.2">
      <c r="B865" s="4">
        <v>49126</v>
      </c>
      <c r="C865" s="4">
        <v>0</v>
      </c>
      <c r="D865">
        <v>0</v>
      </c>
      <c r="E865" t="str">
        <f>VLOOKUP(B865,Nuclides!A:F,5,FALSE)</f>
        <v>In126</v>
      </c>
      <c r="F865">
        <f>VLOOKUP(B865,Nuclides!A:F,4,FALSE)</f>
        <v>1.53</v>
      </c>
      <c r="G865" s="4" t="str">
        <f t="shared" si="79"/>
        <v>1.53s</v>
      </c>
      <c r="H865" s="4">
        <f t="shared" si="80"/>
        <v>0.45303737291499691</v>
      </c>
      <c r="I865" s="4">
        <f t="shared" si="81"/>
        <v>0</v>
      </c>
      <c r="J865" s="4">
        <f t="shared" si="82"/>
        <v>0</v>
      </c>
      <c r="K865" s="4" t="str">
        <f t="shared" si="83"/>
        <v>In126</v>
      </c>
    </row>
    <row r="866" spans="2:11" hidden="1" x14ac:dyDescent="0.2">
      <c r="B866" s="4">
        <v>49127</v>
      </c>
      <c r="C866" s="4">
        <v>0</v>
      </c>
      <c r="D866">
        <v>0</v>
      </c>
      <c r="E866" t="str">
        <f>VLOOKUP(B866,Nuclides!A:F,5,FALSE)</f>
        <v>In127</v>
      </c>
      <c r="F866">
        <f>VLOOKUP(B866,Nuclides!A:F,4,FALSE)</f>
        <v>1.0900000000000001</v>
      </c>
      <c r="G866" s="4" t="str">
        <f t="shared" si="79"/>
        <v>1.09s</v>
      </c>
      <c r="H866" s="4">
        <f t="shared" si="80"/>
        <v>0.63591484455040848</v>
      </c>
      <c r="I866" s="4">
        <f t="shared" si="81"/>
        <v>0</v>
      </c>
      <c r="J866" s="4">
        <f t="shared" si="82"/>
        <v>0</v>
      </c>
      <c r="K866" s="4" t="str">
        <f t="shared" si="83"/>
        <v>In127</v>
      </c>
    </row>
    <row r="867" spans="2:11" hidden="1" x14ac:dyDescent="0.2">
      <c r="B867" s="4">
        <v>49128</v>
      </c>
      <c r="C867" s="4">
        <v>0</v>
      </c>
      <c r="D867">
        <v>0</v>
      </c>
      <c r="E867" t="str">
        <f>VLOOKUP(B867,Nuclides!A:F,5,FALSE)</f>
        <v>In128</v>
      </c>
      <c r="F867">
        <f>VLOOKUP(B867,Nuclides!A:F,4,FALSE)</f>
        <v>0.84</v>
      </c>
      <c r="G867" s="4" t="str">
        <f t="shared" si="79"/>
        <v>0.84s</v>
      </c>
      <c r="H867" s="4">
        <f t="shared" si="80"/>
        <v>0.82517521495231583</v>
      </c>
      <c r="I867" s="4">
        <f t="shared" si="81"/>
        <v>0</v>
      </c>
      <c r="J867" s="4">
        <f t="shared" si="82"/>
        <v>0</v>
      </c>
      <c r="K867" s="4" t="str">
        <f t="shared" si="83"/>
        <v>In128</v>
      </c>
    </row>
    <row r="868" spans="2:11" hidden="1" x14ac:dyDescent="0.2">
      <c r="B868" s="4">
        <v>49129</v>
      </c>
      <c r="C868" s="4">
        <v>0</v>
      </c>
      <c r="D868">
        <v>0</v>
      </c>
      <c r="E868" t="str">
        <f>VLOOKUP(B868,Nuclides!A:F,5,FALSE)</f>
        <v>In129</v>
      </c>
      <c r="F868">
        <f>VLOOKUP(B868,Nuclides!A:F,4,FALSE)</f>
        <v>0.61099999999999999</v>
      </c>
      <c r="G868" s="4" t="str">
        <f t="shared" si="79"/>
        <v>0.611s</v>
      </c>
      <c r="H868" s="4">
        <f t="shared" si="80"/>
        <v>1.1344471040260971</v>
      </c>
      <c r="I868" s="4">
        <f t="shared" si="81"/>
        <v>0</v>
      </c>
      <c r="J868" s="4">
        <f t="shared" si="82"/>
        <v>0</v>
      </c>
      <c r="K868" s="4" t="str">
        <f t="shared" si="83"/>
        <v>In129</v>
      </c>
    </row>
    <row r="869" spans="2:11" hidden="1" x14ac:dyDescent="0.2">
      <c r="B869" s="4">
        <v>49130</v>
      </c>
      <c r="C869" s="4">
        <v>0</v>
      </c>
      <c r="D869">
        <v>0</v>
      </c>
      <c r="E869" t="str">
        <f>VLOOKUP(B869,Nuclides!A:F,5,FALSE)</f>
        <v>In130</v>
      </c>
      <c r="F869">
        <f>VLOOKUP(B869,Nuclides!A:F,4,FALSE)</f>
        <v>0.28999999999999998</v>
      </c>
      <c r="G869" s="4" t="str">
        <f t="shared" si="79"/>
        <v>0.29s</v>
      </c>
      <c r="H869" s="4">
        <f t="shared" si="80"/>
        <v>2.3901626915860184</v>
      </c>
      <c r="I869" s="4">
        <f t="shared" si="81"/>
        <v>0</v>
      </c>
      <c r="J869" s="4">
        <f t="shared" si="82"/>
        <v>0</v>
      </c>
      <c r="K869" s="4" t="str">
        <f t="shared" si="83"/>
        <v>In130</v>
      </c>
    </row>
    <row r="870" spans="2:11" hidden="1" x14ac:dyDescent="0.2">
      <c r="B870" s="4">
        <v>49131</v>
      </c>
      <c r="C870" s="4">
        <v>0</v>
      </c>
      <c r="D870">
        <v>0</v>
      </c>
      <c r="E870" t="str">
        <f>VLOOKUP(B870,Nuclides!A:F,5,FALSE)</f>
        <v>In131</v>
      </c>
      <c r="F870">
        <f>VLOOKUP(B870,Nuclides!A:F,4,FALSE)</f>
        <v>0.28000000000000003</v>
      </c>
      <c r="G870" s="4" t="str">
        <f t="shared" si="79"/>
        <v>0.28s</v>
      </c>
      <c r="H870" s="4">
        <f t="shared" si="80"/>
        <v>2.4755256448569471</v>
      </c>
      <c r="I870" s="4">
        <f t="shared" si="81"/>
        <v>0</v>
      </c>
      <c r="J870" s="4">
        <f t="shared" si="82"/>
        <v>0</v>
      </c>
      <c r="K870" s="4" t="str">
        <f t="shared" si="83"/>
        <v>In131</v>
      </c>
    </row>
    <row r="871" spans="2:11" hidden="1" x14ac:dyDescent="0.2">
      <c r="B871" s="4">
        <v>49132</v>
      </c>
      <c r="C871" s="4">
        <v>0</v>
      </c>
      <c r="D871">
        <v>0</v>
      </c>
      <c r="E871" t="str">
        <f>VLOOKUP(B871,Nuclides!A:F,5,FALSE)</f>
        <v>In132</v>
      </c>
      <c r="F871">
        <f>VLOOKUP(B871,Nuclides!A:F,4,FALSE)</f>
        <v>0.20699999999999999</v>
      </c>
      <c r="G871" s="4" t="str">
        <f t="shared" si="79"/>
        <v>0.207s</v>
      </c>
      <c r="H871" s="4">
        <f t="shared" si="80"/>
        <v>3.348537104154325</v>
      </c>
      <c r="I871" s="4">
        <f t="shared" si="81"/>
        <v>0</v>
      </c>
      <c r="J871" s="4">
        <f t="shared" si="82"/>
        <v>0</v>
      </c>
      <c r="K871" s="4" t="str">
        <f t="shared" si="83"/>
        <v>In132</v>
      </c>
    </row>
    <row r="872" spans="2:11" hidden="1" x14ac:dyDescent="0.2">
      <c r="B872" s="4">
        <v>50103</v>
      </c>
      <c r="C872" s="4">
        <v>0</v>
      </c>
      <c r="D872">
        <v>0</v>
      </c>
      <c r="E872" t="str">
        <f>VLOOKUP(B872,Nuclides!A:F,5,FALSE)</f>
        <v>Sn103</v>
      </c>
      <c r="F872">
        <f>VLOOKUP(B872,Nuclides!A:F,4,FALSE)</f>
        <v>7</v>
      </c>
      <c r="G872" s="4" t="str">
        <f t="shared" si="79"/>
        <v>7s</v>
      </c>
      <c r="H872" s="4">
        <f t="shared" si="80"/>
        <v>9.9021025794277892E-2</v>
      </c>
      <c r="I872" s="4">
        <f t="shared" si="81"/>
        <v>0</v>
      </c>
      <c r="J872" s="4">
        <f t="shared" si="82"/>
        <v>0</v>
      </c>
      <c r="K872" s="4" t="str">
        <f t="shared" si="83"/>
        <v>Sn103</v>
      </c>
    </row>
    <row r="873" spans="2:11" hidden="1" x14ac:dyDescent="0.2">
      <c r="B873" s="4">
        <v>50104</v>
      </c>
      <c r="C873" s="4">
        <v>0</v>
      </c>
      <c r="D873">
        <v>0</v>
      </c>
      <c r="E873" t="str">
        <f>VLOOKUP(B873,Nuclides!A:F,5,FALSE)</f>
        <v>Sn104</v>
      </c>
      <c r="F873">
        <f>VLOOKUP(B873,Nuclides!A:F,4,FALSE)</f>
        <v>20.8</v>
      </c>
      <c r="G873" s="4" t="str">
        <f t="shared" si="79"/>
        <v>20.8s</v>
      </c>
      <c r="H873" s="4">
        <f t="shared" si="80"/>
        <v>3.3324383680766602E-2</v>
      </c>
      <c r="I873" s="4">
        <f t="shared" si="81"/>
        <v>0</v>
      </c>
      <c r="J873" s="4">
        <f t="shared" si="82"/>
        <v>0</v>
      </c>
      <c r="K873" s="4" t="str">
        <f t="shared" si="83"/>
        <v>Sn104</v>
      </c>
    </row>
    <row r="874" spans="2:11" hidden="1" x14ac:dyDescent="0.2">
      <c r="B874" s="4">
        <v>50105</v>
      </c>
      <c r="C874" s="4">
        <v>0</v>
      </c>
      <c r="D874">
        <v>0</v>
      </c>
      <c r="E874" t="str">
        <f>VLOOKUP(B874,Nuclides!A:F,5,FALSE)</f>
        <v>Sn105</v>
      </c>
      <c r="F874">
        <f>VLOOKUP(B874,Nuclides!A:F,4,FALSE)</f>
        <v>32.700000000000003</v>
      </c>
      <c r="G874" s="4" t="str">
        <f t="shared" si="79"/>
        <v>32.7s</v>
      </c>
      <c r="H874" s="4">
        <f t="shared" si="80"/>
        <v>2.1197161485013615E-2</v>
      </c>
      <c r="I874" s="4">
        <f t="shared" si="81"/>
        <v>0</v>
      </c>
      <c r="J874" s="4">
        <f t="shared" si="82"/>
        <v>0</v>
      </c>
      <c r="K874" s="4" t="str">
        <f t="shared" si="83"/>
        <v>Sn105</v>
      </c>
    </row>
    <row r="875" spans="2:11" hidden="1" x14ac:dyDescent="0.2">
      <c r="B875" s="4">
        <v>50106</v>
      </c>
      <c r="C875" s="4">
        <v>0</v>
      </c>
      <c r="D875">
        <v>0</v>
      </c>
      <c r="E875" t="str">
        <f>VLOOKUP(B875,Nuclides!A:F,5,FALSE)</f>
        <v>Sn106</v>
      </c>
      <c r="F875">
        <f>VLOOKUP(B875,Nuclides!A:F,4,FALSE)</f>
        <v>115</v>
      </c>
      <c r="G875" s="4" t="str">
        <f t="shared" si="79"/>
        <v>1.92min</v>
      </c>
      <c r="H875" s="4">
        <f t="shared" si="80"/>
        <v>6.0273667874777854E-3</v>
      </c>
      <c r="I875" s="4">
        <f t="shared" si="81"/>
        <v>0</v>
      </c>
      <c r="J875" s="4">
        <f t="shared" si="82"/>
        <v>0</v>
      </c>
      <c r="K875" s="4" t="str">
        <f t="shared" si="83"/>
        <v>Sn106</v>
      </c>
    </row>
    <row r="876" spans="2:11" hidden="1" x14ac:dyDescent="0.2">
      <c r="B876" s="4">
        <v>50107</v>
      </c>
      <c r="C876" s="4">
        <v>0</v>
      </c>
      <c r="D876">
        <v>0</v>
      </c>
      <c r="E876" t="str">
        <f>VLOOKUP(B876,Nuclides!A:F,5,FALSE)</f>
        <v>Sn107</v>
      </c>
      <c r="F876">
        <f>VLOOKUP(B876,Nuclides!A:F,4,FALSE)</f>
        <v>174</v>
      </c>
      <c r="G876" s="4" t="str">
        <f t="shared" si="79"/>
        <v>2.9min</v>
      </c>
      <c r="H876" s="4">
        <f t="shared" si="80"/>
        <v>3.9836044859766972E-3</v>
      </c>
      <c r="I876" s="4">
        <f t="shared" si="81"/>
        <v>0</v>
      </c>
      <c r="J876" s="4">
        <f t="shared" si="82"/>
        <v>0</v>
      </c>
      <c r="K876" s="4" t="str">
        <f t="shared" si="83"/>
        <v>Sn107</v>
      </c>
    </row>
    <row r="877" spans="2:11" hidden="1" x14ac:dyDescent="0.2">
      <c r="B877" s="4">
        <v>50108</v>
      </c>
      <c r="C877" s="4">
        <v>0</v>
      </c>
      <c r="D877">
        <v>0</v>
      </c>
      <c r="E877" t="str">
        <f>VLOOKUP(B877,Nuclides!A:F,5,FALSE)</f>
        <v>Sn108</v>
      </c>
      <c r="F877">
        <f>VLOOKUP(B877,Nuclides!A:F,4,FALSE)</f>
        <v>618</v>
      </c>
      <c r="G877" s="4" t="str">
        <f t="shared" si="79"/>
        <v>10.3min</v>
      </c>
      <c r="H877" s="4">
        <f t="shared" si="80"/>
        <v>1.1215973795468371E-3</v>
      </c>
      <c r="I877" s="4">
        <f t="shared" si="81"/>
        <v>0</v>
      </c>
      <c r="J877" s="4">
        <f t="shared" si="82"/>
        <v>0</v>
      </c>
      <c r="K877" s="4" t="str">
        <f t="shared" si="83"/>
        <v>Sn108</v>
      </c>
    </row>
    <row r="878" spans="2:11" hidden="1" x14ac:dyDescent="0.2">
      <c r="B878" s="4">
        <v>50109</v>
      </c>
      <c r="C878" s="4">
        <v>0</v>
      </c>
      <c r="D878">
        <v>0</v>
      </c>
      <c r="E878" t="str">
        <f>VLOOKUP(B878,Nuclides!A:F,5,FALSE)</f>
        <v>Sn109</v>
      </c>
      <c r="F878">
        <f>VLOOKUP(B878,Nuclides!A:F,4,FALSE)</f>
        <v>1080</v>
      </c>
      <c r="G878" s="4" t="str">
        <f t="shared" si="79"/>
        <v>18min</v>
      </c>
      <c r="H878" s="4">
        <f t="shared" si="80"/>
        <v>6.418029449629123E-4</v>
      </c>
      <c r="I878" s="4">
        <f t="shared" si="81"/>
        <v>0</v>
      </c>
      <c r="J878" s="4">
        <f t="shared" si="82"/>
        <v>0</v>
      </c>
      <c r="K878" s="4" t="str">
        <f t="shared" si="83"/>
        <v>Sn109</v>
      </c>
    </row>
    <row r="879" spans="2:11" hidden="1" x14ac:dyDescent="0.2">
      <c r="B879" s="4">
        <v>50110</v>
      </c>
      <c r="C879" s="4">
        <v>0</v>
      </c>
      <c r="D879">
        <v>0</v>
      </c>
      <c r="E879" t="str">
        <f>VLOOKUP(B879,Nuclides!A:F,5,FALSE)</f>
        <v>Sn110</v>
      </c>
      <c r="F879">
        <f>VLOOKUP(B879,Nuclides!A:F,4,FALSE)</f>
        <v>14796</v>
      </c>
      <c r="G879" s="4" t="str">
        <f t="shared" si="79"/>
        <v>4.11h</v>
      </c>
      <c r="H879" s="4">
        <f t="shared" si="80"/>
        <v>4.6846930289263672E-5</v>
      </c>
      <c r="I879" s="4">
        <f t="shared" si="81"/>
        <v>0</v>
      </c>
      <c r="J879" s="4">
        <f t="shared" si="82"/>
        <v>0</v>
      </c>
      <c r="K879" s="4" t="str">
        <f t="shared" si="83"/>
        <v>Sn110</v>
      </c>
    </row>
    <row r="880" spans="2:11" hidden="1" x14ac:dyDescent="0.2">
      <c r="B880" s="4">
        <v>50111</v>
      </c>
      <c r="C880" s="4">
        <v>0</v>
      </c>
      <c r="D880">
        <v>0</v>
      </c>
      <c r="E880" t="str">
        <f>VLOOKUP(B880,Nuclides!A:F,5,FALSE)</f>
        <v>Sn111</v>
      </c>
      <c r="F880">
        <f>VLOOKUP(B880,Nuclides!A:F,4,FALSE)</f>
        <v>2118</v>
      </c>
      <c r="G880" s="4" t="str">
        <f t="shared" si="79"/>
        <v>35.3min</v>
      </c>
      <c r="H880" s="4">
        <f t="shared" si="80"/>
        <v>3.2726495777145672E-4</v>
      </c>
      <c r="I880" s="4">
        <f t="shared" si="81"/>
        <v>0</v>
      </c>
      <c r="J880" s="4">
        <f t="shared" si="82"/>
        <v>0</v>
      </c>
      <c r="K880" s="4" t="str">
        <f t="shared" si="83"/>
        <v>Sn111</v>
      </c>
    </row>
    <row r="881" spans="2:11" hidden="1" x14ac:dyDescent="0.2">
      <c r="B881" s="4">
        <v>50112</v>
      </c>
      <c r="C881" s="4">
        <v>0</v>
      </c>
      <c r="D881">
        <v>0</v>
      </c>
      <c r="E881" t="e">
        <f>VLOOKUP(B881,Nuclides!A:F,5,FALSE)</f>
        <v>#N/A</v>
      </c>
      <c r="F881" t="e">
        <f>VLOOKUP(B881,Nuclides!A:F,4,FALSE)</f>
        <v>#N/A</v>
      </c>
      <c r="G881" s="4" t="e">
        <f t="shared" si="79"/>
        <v>#N/A</v>
      </c>
      <c r="H881" s="4" t="e">
        <f t="shared" si="80"/>
        <v>#N/A</v>
      </c>
      <c r="I881" s="4" t="e">
        <f t="shared" si="81"/>
        <v>#N/A</v>
      </c>
      <c r="J881" s="4" t="e">
        <f t="shared" si="82"/>
        <v>#N/A</v>
      </c>
      <c r="K881" s="4" t="e">
        <f t="shared" si="83"/>
        <v>#N/A</v>
      </c>
    </row>
    <row r="882" spans="2:11" hidden="1" x14ac:dyDescent="0.2">
      <c r="B882" s="4">
        <v>50113</v>
      </c>
      <c r="C882" s="4">
        <v>0</v>
      </c>
      <c r="D882">
        <v>0</v>
      </c>
      <c r="E882" t="str">
        <f>VLOOKUP(B882,Nuclides!A:F,5,FALSE)</f>
        <v>Sn113</v>
      </c>
      <c r="F882">
        <f>VLOOKUP(B882,Nuclides!A:F,4,FALSE)</f>
        <v>9943776</v>
      </c>
      <c r="G882" s="4" t="str">
        <f t="shared" si="79"/>
        <v>115.09d</v>
      </c>
      <c r="H882" s="4">
        <f t="shared" si="80"/>
        <v>6.9706636649894903E-8</v>
      </c>
      <c r="I882" s="4">
        <f t="shared" si="81"/>
        <v>0</v>
      </c>
      <c r="J882" s="4">
        <f t="shared" si="82"/>
        <v>0</v>
      </c>
      <c r="K882" s="4" t="str">
        <f t="shared" si="83"/>
        <v>Sn113</v>
      </c>
    </row>
    <row r="883" spans="2:11" hidden="1" x14ac:dyDescent="0.2">
      <c r="B883" s="4">
        <v>50114</v>
      </c>
      <c r="C883" s="4">
        <v>0</v>
      </c>
      <c r="D883">
        <v>0</v>
      </c>
      <c r="E883" t="str">
        <f>VLOOKUP(B883,Nuclides!A:F,5,FALSE)</f>
        <v>Sn114</v>
      </c>
      <c r="F883" t="str">
        <f>VLOOKUP(B883,Nuclides!A:F,4,FALSE)</f>
        <v>STABLE</v>
      </c>
      <c r="G883" s="4" t="str">
        <f t="shared" si="79"/>
        <v>STABLE</v>
      </c>
      <c r="H883" s="4" t="e">
        <f t="shared" si="80"/>
        <v>#VALUE!</v>
      </c>
      <c r="I883" s="4" t="e">
        <f t="shared" si="81"/>
        <v>#VALUE!</v>
      </c>
      <c r="J883" s="4" t="e">
        <f t="shared" si="82"/>
        <v>#VALUE!</v>
      </c>
      <c r="K883" s="4" t="str">
        <f t="shared" si="83"/>
        <v>Sn114</v>
      </c>
    </row>
    <row r="884" spans="2:11" hidden="1" x14ac:dyDescent="0.2">
      <c r="B884" s="4">
        <v>50115</v>
      </c>
      <c r="C884" s="4">
        <v>0</v>
      </c>
      <c r="D884">
        <v>0</v>
      </c>
      <c r="E884" t="str">
        <f>VLOOKUP(B884,Nuclides!A:F,5,FALSE)</f>
        <v>Sn115</v>
      </c>
      <c r="F884" t="str">
        <f>VLOOKUP(B884,Nuclides!A:F,4,FALSE)</f>
        <v>STABLE</v>
      </c>
      <c r="G884" s="4" t="str">
        <f t="shared" si="79"/>
        <v>STABLE</v>
      </c>
      <c r="H884" s="4" t="e">
        <f t="shared" si="80"/>
        <v>#VALUE!</v>
      </c>
      <c r="I884" s="4" t="e">
        <f t="shared" si="81"/>
        <v>#VALUE!</v>
      </c>
      <c r="J884" s="4" t="e">
        <f t="shared" si="82"/>
        <v>#VALUE!</v>
      </c>
      <c r="K884" s="4" t="str">
        <f t="shared" si="83"/>
        <v>Sn115</v>
      </c>
    </row>
    <row r="885" spans="2:11" hidden="1" x14ac:dyDescent="0.2">
      <c r="B885" s="4">
        <v>50116</v>
      </c>
      <c r="C885" s="4">
        <v>0</v>
      </c>
      <c r="D885">
        <v>0</v>
      </c>
      <c r="E885" t="str">
        <f>VLOOKUP(B885,Nuclides!A:F,5,FALSE)</f>
        <v>Sn116</v>
      </c>
      <c r="F885" t="str">
        <f>VLOOKUP(B885,Nuclides!A:F,4,FALSE)</f>
        <v>STABLE</v>
      </c>
      <c r="G885" s="4" t="str">
        <f t="shared" si="79"/>
        <v>STABLE</v>
      </c>
      <c r="H885" s="4" t="e">
        <f t="shared" si="80"/>
        <v>#VALUE!</v>
      </c>
      <c r="I885" s="4" t="e">
        <f t="shared" si="81"/>
        <v>#VALUE!</v>
      </c>
      <c r="J885" s="4" t="e">
        <f t="shared" si="82"/>
        <v>#VALUE!</v>
      </c>
      <c r="K885" s="4" t="str">
        <f t="shared" si="83"/>
        <v>Sn116</v>
      </c>
    </row>
    <row r="886" spans="2:11" hidden="1" x14ac:dyDescent="0.2">
      <c r="B886" s="4">
        <v>50117</v>
      </c>
      <c r="C886" s="4">
        <v>0</v>
      </c>
      <c r="D886">
        <v>0</v>
      </c>
      <c r="E886" t="str">
        <f>VLOOKUP(B886,Nuclides!A:F,5,FALSE)</f>
        <v>Sn117</v>
      </c>
      <c r="F886" t="str">
        <f>VLOOKUP(B886,Nuclides!A:F,4,FALSE)</f>
        <v>STABLE</v>
      </c>
      <c r="G886" s="4" t="str">
        <f t="shared" si="79"/>
        <v>STABLE</v>
      </c>
      <c r="H886" s="4" t="e">
        <f t="shared" si="80"/>
        <v>#VALUE!</v>
      </c>
      <c r="I886" s="4" t="e">
        <f t="shared" si="81"/>
        <v>#VALUE!</v>
      </c>
      <c r="J886" s="4" t="e">
        <f t="shared" si="82"/>
        <v>#VALUE!</v>
      </c>
      <c r="K886" s="4" t="str">
        <f t="shared" si="83"/>
        <v>Sn117</v>
      </c>
    </row>
    <row r="887" spans="2:11" hidden="1" x14ac:dyDescent="0.2">
      <c r="B887" s="4">
        <v>50118</v>
      </c>
      <c r="C887" s="4">
        <v>0</v>
      </c>
      <c r="D887">
        <v>0</v>
      </c>
      <c r="E887" t="str">
        <f>VLOOKUP(B887,Nuclides!A:F,5,FALSE)</f>
        <v>Sn118</v>
      </c>
      <c r="F887" t="str">
        <f>VLOOKUP(B887,Nuclides!A:F,4,FALSE)</f>
        <v>STABLE</v>
      </c>
      <c r="G887" s="4" t="str">
        <f t="shared" si="79"/>
        <v>STABLE</v>
      </c>
      <c r="H887" s="4" t="e">
        <f t="shared" si="80"/>
        <v>#VALUE!</v>
      </c>
      <c r="I887" s="4" t="e">
        <f t="shared" si="81"/>
        <v>#VALUE!</v>
      </c>
      <c r="J887" s="4" t="e">
        <f t="shared" si="82"/>
        <v>#VALUE!</v>
      </c>
      <c r="K887" s="4" t="str">
        <f t="shared" si="83"/>
        <v>Sn118</v>
      </c>
    </row>
    <row r="888" spans="2:11" hidden="1" x14ac:dyDescent="0.2">
      <c r="B888" s="4">
        <v>50119</v>
      </c>
      <c r="C888" s="4">
        <v>0</v>
      </c>
      <c r="D888">
        <v>0</v>
      </c>
      <c r="E888" t="str">
        <f>VLOOKUP(B888,Nuclides!A:F,5,FALSE)</f>
        <v>Sn119</v>
      </c>
      <c r="F888" t="str">
        <f>VLOOKUP(B888,Nuclides!A:F,4,FALSE)</f>
        <v>STABLE</v>
      </c>
      <c r="G888" s="4" t="str">
        <f t="shared" si="79"/>
        <v>STABLE</v>
      </c>
      <c r="H888" s="4" t="e">
        <f t="shared" si="80"/>
        <v>#VALUE!</v>
      </c>
      <c r="I888" s="4" t="e">
        <f t="shared" si="81"/>
        <v>#VALUE!</v>
      </c>
      <c r="J888" s="4" t="e">
        <f t="shared" si="82"/>
        <v>#VALUE!</v>
      </c>
      <c r="K888" s="4" t="str">
        <f t="shared" si="83"/>
        <v>Sn119</v>
      </c>
    </row>
    <row r="889" spans="2:11" hidden="1" x14ac:dyDescent="0.2">
      <c r="B889" s="4">
        <v>50120</v>
      </c>
      <c r="C889" s="4">
        <v>0</v>
      </c>
      <c r="D889">
        <v>0</v>
      </c>
      <c r="E889" t="str">
        <f>VLOOKUP(B889,Nuclides!A:F,5,FALSE)</f>
        <v>Sn120</v>
      </c>
      <c r="F889" t="str">
        <f>VLOOKUP(B889,Nuclides!A:F,4,FALSE)</f>
        <v>STABLE</v>
      </c>
      <c r="G889" s="4" t="str">
        <f t="shared" si="79"/>
        <v>STABLE</v>
      </c>
      <c r="H889" s="4" t="e">
        <f t="shared" si="80"/>
        <v>#VALUE!</v>
      </c>
      <c r="I889" s="4" t="e">
        <f t="shared" si="81"/>
        <v>#VALUE!</v>
      </c>
      <c r="J889" s="4" t="e">
        <f t="shared" si="82"/>
        <v>#VALUE!</v>
      </c>
      <c r="K889" s="4" t="str">
        <f t="shared" si="83"/>
        <v>Sn120</v>
      </c>
    </row>
    <row r="890" spans="2:11" hidden="1" x14ac:dyDescent="0.2">
      <c r="B890" s="4">
        <v>50121</v>
      </c>
      <c r="C890" s="4">
        <v>0</v>
      </c>
      <c r="D890">
        <v>0</v>
      </c>
      <c r="E890" t="str">
        <f>VLOOKUP(B890,Nuclides!A:F,5,FALSE)</f>
        <v>Sn121</v>
      </c>
      <c r="F890">
        <f>VLOOKUP(B890,Nuclides!A:F,4,FALSE)</f>
        <v>97308</v>
      </c>
      <c r="G890" s="4" t="str">
        <f t="shared" si="79"/>
        <v>1.13d</v>
      </c>
      <c r="H890" s="4">
        <f t="shared" si="80"/>
        <v>7.1232291338835997E-6</v>
      </c>
      <c r="I890" s="4">
        <f t="shared" si="81"/>
        <v>0</v>
      </c>
      <c r="J890" s="4">
        <f t="shared" si="82"/>
        <v>0</v>
      </c>
      <c r="K890" s="4" t="str">
        <f t="shared" si="83"/>
        <v>Sn121</v>
      </c>
    </row>
    <row r="891" spans="2:11" hidden="1" x14ac:dyDescent="0.2">
      <c r="B891" s="4">
        <v>50122</v>
      </c>
      <c r="C891" s="4">
        <v>0</v>
      </c>
      <c r="D891">
        <v>0</v>
      </c>
      <c r="E891" t="str">
        <f>VLOOKUP(B891,Nuclides!A:F,5,FALSE)</f>
        <v>Sn122</v>
      </c>
      <c r="F891" t="str">
        <f>VLOOKUP(B891,Nuclides!A:F,4,FALSE)</f>
        <v>STABLE</v>
      </c>
      <c r="G891" s="4" t="str">
        <f t="shared" si="79"/>
        <v>STABLE</v>
      </c>
      <c r="H891" s="4" t="e">
        <f t="shared" si="80"/>
        <v>#VALUE!</v>
      </c>
      <c r="I891" s="4" t="e">
        <f t="shared" si="81"/>
        <v>#VALUE!</v>
      </c>
      <c r="J891" s="4" t="e">
        <f t="shared" si="82"/>
        <v>#VALUE!</v>
      </c>
      <c r="K891" s="4" t="str">
        <f t="shared" si="83"/>
        <v>Sn122</v>
      </c>
    </row>
    <row r="892" spans="2:11" hidden="1" x14ac:dyDescent="0.2">
      <c r="B892" s="4">
        <v>50123</v>
      </c>
      <c r="C892" s="4">
        <v>0</v>
      </c>
      <c r="D892">
        <v>0</v>
      </c>
      <c r="E892" t="str">
        <f>VLOOKUP(B892,Nuclides!A:F,5,FALSE)</f>
        <v>Sn123</v>
      </c>
      <c r="F892">
        <f>VLOOKUP(B892,Nuclides!A:F,4,FALSE)</f>
        <v>11162879.999999899</v>
      </c>
      <c r="G892" s="4" t="str">
        <f t="shared" si="79"/>
        <v>129.2d</v>
      </c>
      <c r="H892" s="4">
        <f t="shared" si="80"/>
        <v>6.2093938173656935E-8</v>
      </c>
      <c r="I892" s="4">
        <f t="shared" si="81"/>
        <v>0</v>
      </c>
      <c r="J892" s="4">
        <f t="shared" si="82"/>
        <v>0</v>
      </c>
      <c r="K892" s="4" t="str">
        <f t="shared" si="83"/>
        <v>Sn123</v>
      </c>
    </row>
    <row r="893" spans="2:11" hidden="1" x14ac:dyDescent="0.2">
      <c r="B893" s="4">
        <v>50124</v>
      </c>
      <c r="C893" s="4">
        <v>0</v>
      </c>
      <c r="D893">
        <v>0</v>
      </c>
      <c r="E893" t="str">
        <f>VLOOKUP(B893,Nuclides!A:F,5,FALSE)</f>
        <v>Sn124</v>
      </c>
      <c r="F893">
        <f>VLOOKUP(B893,Nuclides!A:F,4,FALSE)</f>
        <v>3.786912E+28</v>
      </c>
      <c r="G893" s="4" t="str">
        <f t="shared" si="79"/>
        <v>1.20082191780822E+21y</v>
      </c>
      <c r="H893" s="4">
        <f t="shared" si="80"/>
        <v>1.8303757271358439E-29</v>
      </c>
      <c r="I893" s="4">
        <f t="shared" si="81"/>
        <v>0</v>
      </c>
      <c r="J893" s="4">
        <f t="shared" si="82"/>
        <v>0</v>
      </c>
      <c r="K893" s="4" t="str">
        <f t="shared" si="83"/>
        <v>Sn124</v>
      </c>
    </row>
    <row r="894" spans="2:11" hidden="1" x14ac:dyDescent="0.2">
      <c r="B894" s="4">
        <v>50125</v>
      </c>
      <c r="C894" s="4">
        <v>0</v>
      </c>
      <c r="D894">
        <v>0</v>
      </c>
      <c r="E894" t="str">
        <f>VLOOKUP(B894,Nuclides!A:F,5,FALSE)</f>
        <v>Sn125</v>
      </c>
      <c r="F894">
        <f>VLOOKUP(B894,Nuclides!A:F,4,FALSE)</f>
        <v>832896</v>
      </c>
      <c r="G894" s="4" t="str">
        <f t="shared" si="79"/>
        <v>9.64d</v>
      </c>
      <c r="H894" s="4">
        <f t="shared" si="80"/>
        <v>8.3221336224444019E-7</v>
      </c>
      <c r="I894" s="4">
        <f t="shared" si="81"/>
        <v>0</v>
      </c>
      <c r="J894" s="4">
        <f t="shared" si="82"/>
        <v>0</v>
      </c>
      <c r="K894" s="4" t="str">
        <f t="shared" si="83"/>
        <v>Sn125</v>
      </c>
    </row>
    <row r="895" spans="2:11" hidden="1" x14ac:dyDescent="0.2">
      <c r="B895" s="4">
        <v>50126</v>
      </c>
      <c r="C895" s="4">
        <v>0</v>
      </c>
      <c r="D895">
        <v>0</v>
      </c>
      <c r="E895" t="str">
        <f>VLOOKUP(B895,Nuclides!A:F,5,FALSE)</f>
        <v>Sn126</v>
      </c>
      <c r="F895">
        <f>VLOOKUP(B895,Nuclides!A:F,4,FALSE)</f>
        <v>7258248000000</v>
      </c>
      <c r="G895" s="4" t="str">
        <f t="shared" si="79"/>
        <v>230157.53y</v>
      </c>
      <c r="H895" s="4">
        <f t="shared" si="80"/>
        <v>9.5497864024478811E-14</v>
      </c>
      <c r="I895" s="4">
        <f t="shared" si="81"/>
        <v>0</v>
      </c>
      <c r="J895" s="4">
        <f t="shared" si="82"/>
        <v>0</v>
      </c>
      <c r="K895" s="4" t="str">
        <f t="shared" si="83"/>
        <v>Sn126</v>
      </c>
    </row>
    <row r="896" spans="2:11" hidden="1" x14ac:dyDescent="0.2">
      <c r="B896" s="4">
        <v>50127</v>
      </c>
      <c r="C896" s="4">
        <v>0</v>
      </c>
      <c r="D896">
        <v>0</v>
      </c>
      <c r="E896" t="str">
        <f>VLOOKUP(B896,Nuclides!A:F,5,FALSE)</f>
        <v>Sn127</v>
      </c>
      <c r="F896">
        <f>VLOOKUP(B896,Nuclides!A:F,4,FALSE)</f>
        <v>7560</v>
      </c>
      <c r="G896" s="4" t="str">
        <f t="shared" si="79"/>
        <v>2.1h</v>
      </c>
      <c r="H896" s="4">
        <f t="shared" si="80"/>
        <v>9.1686134994701753E-5</v>
      </c>
      <c r="I896" s="4">
        <f t="shared" si="81"/>
        <v>0</v>
      </c>
      <c r="J896" s="4">
        <f t="shared" si="82"/>
        <v>0</v>
      </c>
      <c r="K896" s="4" t="str">
        <f t="shared" si="83"/>
        <v>Sn127</v>
      </c>
    </row>
    <row r="897" spans="2:11" hidden="1" x14ac:dyDescent="0.2">
      <c r="B897" s="4">
        <v>50128</v>
      </c>
      <c r="C897" s="4">
        <v>0</v>
      </c>
      <c r="D897">
        <v>0</v>
      </c>
      <c r="E897" t="str">
        <f>VLOOKUP(B897,Nuclides!A:F,5,FALSE)</f>
        <v>Sn128</v>
      </c>
      <c r="F897">
        <f>VLOOKUP(B897,Nuclides!A:F,4,FALSE)</f>
        <v>3544.2</v>
      </c>
      <c r="G897" s="4" t="str">
        <f t="shared" si="79"/>
        <v>59.07min</v>
      </c>
      <c r="H897" s="4">
        <f t="shared" si="80"/>
        <v>1.9557225341683464E-4</v>
      </c>
      <c r="I897" s="4">
        <f t="shared" si="81"/>
        <v>0</v>
      </c>
      <c r="J897" s="4">
        <f t="shared" si="82"/>
        <v>0</v>
      </c>
      <c r="K897" s="4" t="str">
        <f t="shared" si="83"/>
        <v>Sn128</v>
      </c>
    </row>
    <row r="898" spans="2:11" hidden="1" x14ac:dyDescent="0.2">
      <c r="B898" s="4">
        <v>50129</v>
      </c>
      <c r="C898" s="4">
        <v>0</v>
      </c>
      <c r="D898">
        <v>0</v>
      </c>
      <c r="E898" t="str">
        <f>VLOOKUP(B898,Nuclides!A:F,5,FALSE)</f>
        <v>Sn129</v>
      </c>
      <c r="F898">
        <f>VLOOKUP(B898,Nuclides!A:F,4,FALSE)</f>
        <v>133.80000000000001</v>
      </c>
      <c r="G898" s="4" t="str">
        <f t="shared" si="79"/>
        <v>2.23min</v>
      </c>
      <c r="H898" s="4">
        <f t="shared" si="80"/>
        <v>5.1804722014943587E-3</v>
      </c>
      <c r="I898" s="4">
        <f t="shared" si="81"/>
        <v>0</v>
      </c>
      <c r="J898" s="4">
        <f t="shared" si="82"/>
        <v>0</v>
      </c>
      <c r="K898" s="4" t="str">
        <f t="shared" si="83"/>
        <v>Sn129</v>
      </c>
    </row>
    <row r="899" spans="2:11" hidden="1" x14ac:dyDescent="0.2">
      <c r="B899" s="4">
        <v>50130</v>
      </c>
      <c r="C899" s="4">
        <v>0</v>
      </c>
      <c r="D899">
        <v>0</v>
      </c>
      <c r="E899" t="str">
        <f>VLOOKUP(B899,Nuclides!A:F,5,FALSE)</f>
        <v>Sn130</v>
      </c>
      <c r="F899">
        <f>VLOOKUP(B899,Nuclides!A:F,4,FALSE)</f>
        <v>223.2</v>
      </c>
      <c r="G899" s="4" t="str">
        <f t="shared" si="79"/>
        <v>3.72min</v>
      </c>
      <c r="H899" s="4">
        <f t="shared" si="80"/>
        <v>3.1054981207882856E-3</v>
      </c>
      <c r="I899" s="4">
        <f t="shared" si="81"/>
        <v>0</v>
      </c>
      <c r="J899" s="4">
        <f t="shared" si="82"/>
        <v>0</v>
      </c>
      <c r="K899" s="4" t="str">
        <f t="shared" si="83"/>
        <v>Sn130</v>
      </c>
    </row>
    <row r="900" spans="2:11" hidden="1" x14ac:dyDescent="0.2">
      <c r="B900" s="4">
        <v>50131</v>
      </c>
      <c r="C900" s="4">
        <v>0</v>
      </c>
      <c r="D900">
        <v>0</v>
      </c>
      <c r="E900" t="str">
        <f>VLOOKUP(B900,Nuclides!A:F,5,FALSE)</f>
        <v>Sn131</v>
      </c>
      <c r="F900">
        <f>VLOOKUP(B900,Nuclides!A:F,4,FALSE)</f>
        <v>56</v>
      </c>
      <c r="G900" s="4" t="str">
        <f t="shared" si="79"/>
        <v>56s</v>
      </c>
      <c r="H900" s="4">
        <f t="shared" si="80"/>
        <v>1.2377628224284737E-2</v>
      </c>
      <c r="I900" s="4">
        <f t="shared" si="81"/>
        <v>0</v>
      </c>
      <c r="J900" s="4">
        <f t="shared" si="82"/>
        <v>0</v>
      </c>
      <c r="K900" s="4" t="str">
        <f t="shared" si="83"/>
        <v>Sn131</v>
      </c>
    </row>
    <row r="901" spans="2:11" hidden="1" x14ac:dyDescent="0.2">
      <c r="B901" s="4">
        <v>50132</v>
      </c>
      <c r="C901" s="4">
        <v>0</v>
      </c>
      <c r="D901">
        <v>0</v>
      </c>
      <c r="E901" t="str">
        <f>VLOOKUP(B901,Nuclides!A:F,5,FALSE)</f>
        <v>Sn132</v>
      </c>
      <c r="F901">
        <f>VLOOKUP(B901,Nuclides!A:F,4,FALSE)</f>
        <v>39.700000000000003</v>
      </c>
      <c r="G901" s="4" t="str">
        <f t="shared" ref="G901:G964" si="84">IF(F901="STABLE", "STABLE", IF(F901&lt;60, F901&amp;"s", IF(F901&lt;3600, ROUND(F901/60,2)&amp;"min", IF(F901&lt;86400, ROUND(F901/3600,2)&amp;"h", IF(F901&lt;31536000, ROUND(F901/86400,2)&amp;"d", ROUND(F901/31536000,2)&amp;"y")))))</f>
        <v>39.7s</v>
      </c>
      <c r="H901" s="4">
        <f t="shared" ref="H901:H964" si="85">LN(2)/F901</f>
        <v>1.7459626714356302E-2</v>
      </c>
      <c r="I901" s="4">
        <f t="shared" ref="I901:I964" si="86">60*6240000000000*C901*(1-EXP(-H901*2*3600))</f>
        <v>0</v>
      </c>
      <c r="J901" s="4">
        <f t="shared" ref="J901:J964" si="87">I901*EXP(-H901*48*3600)</f>
        <v>0</v>
      </c>
      <c r="K901" s="4" t="str">
        <f t="shared" ref="K901:K964" si="88">E901</f>
        <v>Sn132</v>
      </c>
    </row>
    <row r="902" spans="2:11" hidden="1" x14ac:dyDescent="0.2">
      <c r="B902" s="4">
        <v>50133</v>
      </c>
      <c r="C902" s="4">
        <v>0</v>
      </c>
      <c r="D902">
        <v>0</v>
      </c>
      <c r="E902" t="str">
        <f>VLOOKUP(B902,Nuclides!A:F,5,FALSE)</f>
        <v>Sn133</v>
      </c>
      <c r="F902">
        <f>VLOOKUP(B902,Nuclides!A:F,4,FALSE)</f>
        <v>1.46</v>
      </c>
      <c r="G902" s="4" t="str">
        <f t="shared" si="84"/>
        <v>1.46s</v>
      </c>
      <c r="H902" s="4">
        <f t="shared" si="85"/>
        <v>0.47475834284927759</v>
      </c>
      <c r="I902" s="4">
        <f t="shared" si="86"/>
        <v>0</v>
      </c>
      <c r="J902" s="4">
        <f t="shared" si="87"/>
        <v>0</v>
      </c>
      <c r="K902" s="4" t="str">
        <f t="shared" si="88"/>
        <v>Sn133</v>
      </c>
    </row>
    <row r="903" spans="2:11" hidden="1" x14ac:dyDescent="0.2">
      <c r="B903" s="4">
        <v>50134</v>
      </c>
      <c r="C903" s="4">
        <v>0</v>
      </c>
      <c r="D903">
        <v>0</v>
      </c>
      <c r="E903" t="str">
        <f>VLOOKUP(B903,Nuclides!A:F,5,FALSE)</f>
        <v>Sn134</v>
      </c>
      <c r="F903">
        <f>VLOOKUP(B903,Nuclides!A:F,4,FALSE)</f>
        <v>1.05</v>
      </c>
      <c r="G903" s="4" t="str">
        <f t="shared" si="84"/>
        <v>1.05s</v>
      </c>
      <c r="H903" s="4">
        <f t="shared" si="85"/>
        <v>0.6601401719618526</v>
      </c>
      <c r="I903" s="4">
        <f t="shared" si="86"/>
        <v>0</v>
      </c>
      <c r="J903" s="4">
        <f t="shared" si="87"/>
        <v>0</v>
      </c>
      <c r="K903" s="4" t="str">
        <f t="shared" si="88"/>
        <v>Sn134</v>
      </c>
    </row>
    <row r="904" spans="2:11" hidden="1" x14ac:dyDescent="0.2">
      <c r="B904" s="4">
        <v>51108</v>
      </c>
      <c r="C904" s="4">
        <v>0</v>
      </c>
      <c r="D904">
        <v>0</v>
      </c>
      <c r="E904" t="str">
        <f>VLOOKUP(B904,Nuclides!A:F,5,FALSE)</f>
        <v>Sb108</v>
      </c>
      <c r="F904">
        <f>VLOOKUP(B904,Nuclides!A:F,4,FALSE)</f>
        <v>7.4</v>
      </c>
      <c r="G904" s="4" t="str">
        <f t="shared" si="84"/>
        <v>7.4s</v>
      </c>
      <c r="H904" s="4">
        <f t="shared" si="85"/>
        <v>9.3668537913506114E-2</v>
      </c>
      <c r="I904" s="4">
        <f t="shared" si="86"/>
        <v>0</v>
      </c>
      <c r="J904" s="4">
        <f t="shared" si="87"/>
        <v>0</v>
      </c>
      <c r="K904" s="4" t="str">
        <f t="shared" si="88"/>
        <v>Sb108</v>
      </c>
    </row>
    <row r="905" spans="2:11" hidden="1" x14ac:dyDescent="0.2">
      <c r="B905" s="4">
        <v>51109</v>
      </c>
      <c r="C905" s="4">
        <v>0</v>
      </c>
      <c r="D905">
        <v>0</v>
      </c>
      <c r="E905" t="str">
        <f>VLOOKUP(B905,Nuclides!A:F,5,FALSE)</f>
        <v>Sb109</v>
      </c>
      <c r="F905">
        <f>VLOOKUP(B905,Nuclides!A:F,4,FALSE)</f>
        <v>17</v>
      </c>
      <c r="G905" s="4" t="str">
        <f t="shared" si="84"/>
        <v>17s</v>
      </c>
      <c r="H905" s="4">
        <f t="shared" si="85"/>
        <v>4.0773363562349722E-2</v>
      </c>
      <c r="I905" s="4">
        <f t="shared" si="86"/>
        <v>0</v>
      </c>
      <c r="J905" s="4">
        <f t="shared" si="87"/>
        <v>0</v>
      </c>
      <c r="K905" s="4" t="str">
        <f t="shared" si="88"/>
        <v>Sb109</v>
      </c>
    </row>
    <row r="906" spans="2:11" hidden="1" x14ac:dyDescent="0.2">
      <c r="B906" s="4">
        <v>51110</v>
      </c>
      <c r="C906" s="4">
        <v>0</v>
      </c>
      <c r="D906">
        <v>0</v>
      </c>
      <c r="E906" t="str">
        <f>VLOOKUP(B906,Nuclides!A:F,5,FALSE)</f>
        <v>Sb110</v>
      </c>
      <c r="F906">
        <f>VLOOKUP(B906,Nuclides!A:F,4,FALSE)</f>
        <v>23</v>
      </c>
      <c r="G906" s="4" t="str">
        <f t="shared" si="84"/>
        <v>23s</v>
      </c>
      <c r="H906" s="4">
        <f t="shared" si="85"/>
        <v>3.0136833937388925E-2</v>
      </c>
      <c r="I906" s="4">
        <f t="shared" si="86"/>
        <v>0</v>
      </c>
      <c r="J906" s="4">
        <f t="shared" si="87"/>
        <v>0</v>
      </c>
      <c r="K906" s="4" t="str">
        <f t="shared" si="88"/>
        <v>Sb110</v>
      </c>
    </row>
    <row r="907" spans="2:11" hidden="1" x14ac:dyDescent="0.2">
      <c r="B907" s="4">
        <v>51111</v>
      </c>
      <c r="C907" s="4">
        <v>0</v>
      </c>
      <c r="D907">
        <v>0</v>
      </c>
      <c r="E907" t="str">
        <f>VLOOKUP(B907,Nuclides!A:F,5,FALSE)</f>
        <v>Sb111</v>
      </c>
      <c r="F907">
        <f>VLOOKUP(B907,Nuclides!A:F,4,FALSE)</f>
        <v>75</v>
      </c>
      <c r="G907" s="4" t="str">
        <f t="shared" si="84"/>
        <v>1.25min</v>
      </c>
      <c r="H907" s="4">
        <f t="shared" si="85"/>
        <v>9.2419624074659371E-3</v>
      </c>
      <c r="I907" s="4">
        <f t="shared" si="86"/>
        <v>0</v>
      </c>
      <c r="J907" s="4">
        <f t="shared" si="87"/>
        <v>0</v>
      </c>
      <c r="K907" s="4" t="str">
        <f t="shared" si="88"/>
        <v>Sb111</v>
      </c>
    </row>
    <row r="908" spans="2:11" hidden="1" x14ac:dyDescent="0.2">
      <c r="B908" s="4">
        <v>51112</v>
      </c>
      <c r="C908" s="4">
        <v>0</v>
      </c>
      <c r="D908">
        <v>0</v>
      </c>
      <c r="E908" t="str">
        <f>VLOOKUP(B908,Nuclides!A:F,5,FALSE)</f>
        <v>Sb112</v>
      </c>
      <c r="F908">
        <f>VLOOKUP(B908,Nuclides!A:F,4,FALSE)</f>
        <v>53.5</v>
      </c>
      <c r="G908" s="4" t="str">
        <f t="shared" si="84"/>
        <v>53.5s</v>
      </c>
      <c r="H908" s="4">
        <f t="shared" si="85"/>
        <v>1.2956022066541034E-2</v>
      </c>
      <c r="I908" s="4">
        <f t="shared" si="86"/>
        <v>0</v>
      </c>
      <c r="J908" s="4">
        <f t="shared" si="87"/>
        <v>0</v>
      </c>
      <c r="K908" s="4" t="str">
        <f t="shared" si="88"/>
        <v>Sb112</v>
      </c>
    </row>
    <row r="909" spans="2:11" hidden="1" x14ac:dyDescent="0.2">
      <c r="B909" s="4">
        <v>51113</v>
      </c>
      <c r="C909" s="4">
        <v>0</v>
      </c>
      <c r="D909">
        <v>0</v>
      </c>
      <c r="E909" t="str">
        <f>VLOOKUP(B909,Nuclides!A:F,5,FALSE)</f>
        <v>Sb113</v>
      </c>
      <c r="F909">
        <f>VLOOKUP(B909,Nuclides!A:F,4,FALSE)</f>
        <v>400.2</v>
      </c>
      <c r="G909" s="4" t="str">
        <f t="shared" si="84"/>
        <v>6.67min</v>
      </c>
      <c r="H909" s="4">
        <f t="shared" si="85"/>
        <v>1.732001950424651E-3</v>
      </c>
      <c r="I909" s="4">
        <f t="shared" si="86"/>
        <v>0</v>
      </c>
      <c r="J909" s="4">
        <f t="shared" si="87"/>
        <v>0</v>
      </c>
      <c r="K909" s="4" t="str">
        <f t="shared" si="88"/>
        <v>Sb113</v>
      </c>
    </row>
    <row r="910" spans="2:11" hidden="1" x14ac:dyDescent="0.2">
      <c r="B910" s="4">
        <v>51114</v>
      </c>
      <c r="C910" s="4">
        <v>0</v>
      </c>
      <c r="D910">
        <v>0</v>
      </c>
      <c r="E910" t="str">
        <f>VLOOKUP(B910,Nuclides!A:F,5,FALSE)</f>
        <v>Sb114</v>
      </c>
      <c r="F910">
        <f>VLOOKUP(B910,Nuclides!A:F,4,FALSE)</f>
        <v>209.4</v>
      </c>
      <c r="G910" s="4" t="str">
        <f t="shared" si="84"/>
        <v>3.49min</v>
      </c>
      <c r="H910" s="4">
        <f t="shared" si="85"/>
        <v>3.3101584553961094E-3</v>
      </c>
      <c r="I910" s="4">
        <f t="shared" si="86"/>
        <v>0</v>
      </c>
      <c r="J910" s="4">
        <f t="shared" si="87"/>
        <v>0</v>
      </c>
      <c r="K910" s="4" t="str">
        <f t="shared" si="88"/>
        <v>Sb114</v>
      </c>
    </row>
    <row r="911" spans="2:11" hidden="1" x14ac:dyDescent="0.2">
      <c r="B911" s="4">
        <v>51115</v>
      </c>
      <c r="C911" s="4">
        <v>0</v>
      </c>
      <c r="D911">
        <v>0</v>
      </c>
      <c r="E911" t="str">
        <f>VLOOKUP(B911,Nuclides!A:F,5,FALSE)</f>
        <v>Sb115</v>
      </c>
      <c r="F911">
        <f>VLOOKUP(B911,Nuclides!A:F,4,FALSE)</f>
        <v>1926</v>
      </c>
      <c r="G911" s="4" t="str">
        <f t="shared" si="84"/>
        <v>32.1min</v>
      </c>
      <c r="H911" s="4">
        <f t="shared" si="85"/>
        <v>3.5988950184836203E-4</v>
      </c>
      <c r="I911" s="4">
        <f t="shared" si="86"/>
        <v>0</v>
      </c>
      <c r="J911" s="4">
        <f t="shared" si="87"/>
        <v>0</v>
      </c>
      <c r="K911" s="4" t="str">
        <f t="shared" si="88"/>
        <v>Sb115</v>
      </c>
    </row>
    <row r="912" spans="2:11" hidden="1" x14ac:dyDescent="0.2">
      <c r="B912" s="4">
        <v>51116</v>
      </c>
      <c r="C912" s="4">
        <v>0</v>
      </c>
      <c r="D912">
        <v>0</v>
      </c>
      <c r="E912" t="str">
        <f>VLOOKUP(B912,Nuclides!A:F,5,FALSE)</f>
        <v>Sb116</v>
      </c>
      <c r="F912">
        <f>VLOOKUP(B912,Nuclides!A:F,4,FALSE)</f>
        <v>948</v>
      </c>
      <c r="G912" s="4" t="str">
        <f t="shared" si="84"/>
        <v>15.8min</v>
      </c>
      <c r="H912" s="4">
        <f t="shared" si="85"/>
        <v>7.311679119830646E-4</v>
      </c>
      <c r="I912" s="4">
        <f t="shared" si="86"/>
        <v>0</v>
      </c>
      <c r="J912" s="4">
        <f t="shared" si="87"/>
        <v>0</v>
      </c>
      <c r="K912" s="4" t="str">
        <f t="shared" si="88"/>
        <v>Sb116</v>
      </c>
    </row>
    <row r="913" spans="2:11" hidden="1" x14ac:dyDescent="0.2">
      <c r="B913" s="4">
        <v>51117</v>
      </c>
      <c r="C913" s="4">
        <v>0</v>
      </c>
      <c r="D913">
        <v>0</v>
      </c>
      <c r="E913" t="str">
        <f>VLOOKUP(B913,Nuclides!A:F,5,FALSE)</f>
        <v>Sb117</v>
      </c>
      <c r="F913">
        <f>VLOOKUP(B913,Nuclides!A:F,4,FALSE)</f>
        <v>10080</v>
      </c>
      <c r="G913" s="4" t="str">
        <f t="shared" si="84"/>
        <v>2.8h</v>
      </c>
      <c r="H913" s="4">
        <f t="shared" si="85"/>
        <v>6.8764601246026322E-5</v>
      </c>
      <c r="I913" s="4">
        <f t="shared" si="86"/>
        <v>0</v>
      </c>
      <c r="J913" s="4">
        <f t="shared" si="87"/>
        <v>0</v>
      </c>
      <c r="K913" s="4" t="str">
        <f t="shared" si="88"/>
        <v>Sb117</v>
      </c>
    </row>
    <row r="914" spans="2:11" hidden="1" x14ac:dyDescent="0.2">
      <c r="B914" s="4">
        <v>51118</v>
      </c>
      <c r="C914" s="4">
        <v>0</v>
      </c>
      <c r="D914">
        <v>0</v>
      </c>
      <c r="E914" t="str">
        <f>VLOOKUP(B914,Nuclides!A:F,5,FALSE)</f>
        <v>Sb118</v>
      </c>
      <c r="F914">
        <f>VLOOKUP(B914,Nuclides!A:F,4,FALSE)</f>
        <v>216</v>
      </c>
      <c r="G914" s="4" t="str">
        <f t="shared" si="84"/>
        <v>3.6min</v>
      </c>
      <c r="H914" s="4">
        <f t="shared" si="85"/>
        <v>3.2090147248145617E-3</v>
      </c>
      <c r="I914" s="4">
        <f t="shared" si="86"/>
        <v>0</v>
      </c>
      <c r="J914" s="4">
        <f t="shared" si="87"/>
        <v>0</v>
      </c>
      <c r="K914" s="4" t="str">
        <f t="shared" si="88"/>
        <v>Sb118</v>
      </c>
    </row>
    <row r="915" spans="2:11" hidden="1" x14ac:dyDescent="0.2">
      <c r="B915" s="4">
        <v>51119</v>
      </c>
      <c r="C915" s="4">
        <v>0</v>
      </c>
      <c r="D915">
        <v>0</v>
      </c>
      <c r="E915" t="str">
        <f>VLOOKUP(B915,Nuclides!A:F,5,FALSE)</f>
        <v>Sb119</v>
      </c>
      <c r="F915">
        <f>VLOOKUP(B915,Nuclides!A:F,4,FALSE)</f>
        <v>137484</v>
      </c>
      <c r="G915" s="4" t="str">
        <f t="shared" si="84"/>
        <v>1.59d</v>
      </c>
      <c r="H915" s="4">
        <f t="shared" si="85"/>
        <v>5.0416570696222494E-6</v>
      </c>
      <c r="I915" s="4">
        <f t="shared" si="86"/>
        <v>0</v>
      </c>
      <c r="J915" s="4">
        <f t="shared" si="87"/>
        <v>0</v>
      </c>
      <c r="K915" s="4" t="str">
        <f t="shared" si="88"/>
        <v>Sb119</v>
      </c>
    </row>
    <row r="916" spans="2:11" hidden="1" x14ac:dyDescent="0.2">
      <c r="B916" s="4">
        <v>51120</v>
      </c>
      <c r="C916" s="4">
        <v>0</v>
      </c>
      <c r="D916">
        <v>0</v>
      </c>
      <c r="E916" t="str">
        <f>VLOOKUP(B916,Nuclides!A:F,5,FALSE)</f>
        <v>Sb120</v>
      </c>
      <c r="F916">
        <f>VLOOKUP(B916,Nuclides!A:F,4,FALSE)</f>
        <v>953.4</v>
      </c>
      <c r="G916" s="4" t="str">
        <f t="shared" si="84"/>
        <v>15.89min</v>
      </c>
      <c r="H916" s="4">
        <f t="shared" si="85"/>
        <v>7.2702662110336197E-4</v>
      </c>
      <c r="I916" s="4">
        <f t="shared" si="86"/>
        <v>0</v>
      </c>
      <c r="J916" s="4">
        <f t="shared" si="87"/>
        <v>0</v>
      </c>
      <c r="K916" s="4" t="str">
        <f t="shared" si="88"/>
        <v>Sb120</v>
      </c>
    </row>
    <row r="917" spans="2:11" hidden="1" x14ac:dyDescent="0.2">
      <c r="B917" s="4">
        <v>51121</v>
      </c>
      <c r="C917" s="4">
        <v>0</v>
      </c>
      <c r="D917">
        <v>0</v>
      </c>
      <c r="E917" t="str">
        <f>VLOOKUP(B917,Nuclides!A:F,5,FALSE)</f>
        <v>Sb121</v>
      </c>
      <c r="F917" t="str">
        <f>VLOOKUP(B917,Nuclides!A:F,4,FALSE)</f>
        <v>STABLE</v>
      </c>
      <c r="G917" s="4" t="str">
        <f t="shared" si="84"/>
        <v>STABLE</v>
      </c>
      <c r="H917" s="4" t="e">
        <f t="shared" si="85"/>
        <v>#VALUE!</v>
      </c>
      <c r="I917" s="4" t="e">
        <f t="shared" si="86"/>
        <v>#VALUE!</v>
      </c>
      <c r="J917" s="4" t="e">
        <f t="shared" si="87"/>
        <v>#VALUE!</v>
      </c>
      <c r="K917" s="4" t="str">
        <f t="shared" si="88"/>
        <v>Sb121</v>
      </c>
    </row>
    <row r="918" spans="2:11" hidden="1" x14ac:dyDescent="0.2">
      <c r="B918" s="4">
        <v>51122</v>
      </c>
      <c r="C918" s="4">
        <v>0</v>
      </c>
      <c r="D918">
        <v>0</v>
      </c>
      <c r="E918" t="str">
        <f>VLOOKUP(B918,Nuclides!A:F,5,FALSE)</f>
        <v>Sb122</v>
      </c>
      <c r="F918">
        <f>VLOOKUP(B918,Nuclides!A:F,4,FALSE)</f>
        <v>235336.32000000001</v>
      </c>
      <c r="G918" s="4" t="str">
        <f t="shared" si="84"/>
        <v>2.72d</v>
      </c>
      <c r="H918" s="4">
        <f t="shared" si="85"/>
        <v>2.9453472398988192E-6</v>
      </c>
      <c r="I918" s="4">
        <f t="shared" si="86"/>
        <v>0</v>
      </c>
      <c r="J918" s="4">
        <f t="shared" si="87"/>
        <v>0</v>
      </c>
      <c r="K918" s="4" t="str">
        <f t="shared" si="88"/>
        <v>Sb122</v>
      </c>
    </row>
    <row r="919" spans="2:11" hidden="1" x14ac:dyDescent="0.2">
      <c r="B919" s="4">
        <v>51123</v>
      </c>
      <c r="C919" s="4">
        <v>0</v>
      </c>
      <c r="D919">
        <v>0</v>
      </c>
      <c r="E919" t="str">
        <f>VLOOKUP(B919,Nuclides!A:F,5,FALSE)</f>
        <v>Sb123</v>
      </c>
      <c r="F919" t="str">
        <f>VLOOKUP(B919,Nuclides!A:F,4,FALSE)</f>
        <v>STABLE</v>
      </c>
      <c r="G919" s="4" t="str">
        <f t="shared" si="84"/>
        <v>STABLE</v>
      </c>
      <c r="H919" s="4" t="e">
        <f t="shared" si="85"/>
        <v>#VALUE!</v>
      </c>
      <c r="I919" s="4" t="e">
        <f t="shared" si="86"/>
        <v>#VALUE!</v>
      </c>
      <c r="J919" s="4" t="e">
        <f t="shared" si="87"/>
        <v>#VALUE!</v>
      </c>
      <c r="K919" s="4" t="str">
        <f t="shared" si="88"/>
        <v>Sb123</v>
      </c>
    </row>
    <row r="920" spans="2:11" hidden="1" x14ac:dyDescent="0.2">
      <c r="B920" s="4">
        <v>51124</v>
      </c>
      <c r="C920" s="4">
        <v>0</v>
      </c>
      <c r="D920">
        <v>0</v>
      </c>
      <c r="E920" t="str">
        <f>VLOOKUP(B920,Nuclides!A:F,5,FALSE)</f>
        <v>Sb124</v>
      </c>
      <c r="F920">
        <f>VLOOKUP(B920,Nuclides!A:F,4,FALSE)</f>
        <v>5201280</v>
      </c>
      <c r="G920" s="4" t="str">
        <f t="shared" si="84"/>
        <v>60.2d</v>
      </c>
      <c r="H920" s="4">
        <f t="shared" si="85"/>
        <v>1.3326473109695023E-7</v>
      </c>
      <c r="I920" s="4">
        <f t="shared" si="86"/>
        <v>0</v>
      </c>
      <c r="J920" s="4">
        <f t="shared" si="87"/>
        <v>0</v>
      </c>
      <c r="K920" s="4" t="str">
        <f t="shared" si="88"/>
        <v>Sb124</v>
      </c>
    </row>
    <row r="921" spans="2:11" hidden="1" x14ac:dyDescent="0.2">
      <c r="B921" s="4">
        <v>51125</v>
      </c>
      <c r="C921" s="4">
        <v>0</v>
      </c>
      <c r="D921">
        <v>0</v>
      </c>
      <c r="E921" t="str">
        <f>VLOOKUP(B921,Nuclides!A:F,5,FALSE)</f>
        <v>Sb125</v>
      </c>
      <c r="F921">
        <f>VLOOKUP(B921,Nuclides!A:F,4,FALSE)</f>
        <v>87053533.055999994</v>
      </c>
      <c r="G921" s="4" t="str">
        <f t="shared" si="84"/>
        <v>2.76y</v>
      </c>
      <c r="H921" s="4">
        <f t="shared" si="85"/>
        <v>7.9623095838517667E-9</v>
      </c>
      <c r="I921" s="4">
        <f t="shared" si="86"/>
        <v>0</v>
      </c>
      <c r="J921" s="4">
        <f t="shared" si="87"/>
        <v>0</v>
      </c>
      <c r="K921" s="4" t="str">
        <f t="shared" si="88"/>
        <v>Sb125</v>
      </c>
    </row>
    <row r="922" spans="2:11" hidden="1" x14ac:dyDescent="0.2">
      <c r="B922" s="4">
        <v>51126</v>
      </c>
      <c r="C922" s="4">
        <v>0</v>
      </c>
      <c r="D922">
        <v>0</v>
      </c>
      <c r="E922" t="str">
        <f>VLOOKUP(B922,Nuclides!A:F,5,FALSE)</f>
        <v>Sb126</v>
      </c>
      <c r="F922">
        <f>VLOOKUP(B922,Nuclides!A:F,4,FALSE)</f>
        <v>1067040</v>
      </c>
      <c r="G922" s="4" t="str">
        <f t="shared" si="84"/>
        <v>12.35d</v>
      </c>
      <c r="H922" s="4">
        <f t="shared" si="85"/>
        <v>6.4959812243209751E-7</v>
      </c>
      <c r="I922" s="4">
        <f t="shared" si="86"/>
        <v>0</v>
      </c>
      <c r="J922" s="4">
        <f t="shared" si="87"/>
        <v>0</v>
      </c>
      <c r="K922" s="4" t="str">
        <f t="shared" si="88"/>
        <v>Sb126</v>
      </c>
    </row>
    <row r="923" spans="2:11" hidden="1" x14ac:dyDescent="0.2">
      <c r="B923" s="4">
        <v>51127</v>
      </c>
      <c r="C923" s="4">
        <v>0</v>
      </c>
      <c r="D923">
        <v>0</v>
      </c>
      <c r="E923" t="str">
        <f>VLOOKUP(B923,Nuclides!A:F,5,FALSE)</f>
        <v>Sb127</v>
      </c>
      <c r="F923">
        <f>VLOOKUP(B923,Nuclides!A:F,4,FALSE)</f>
        <v>332640</v>
      </c>
      <c r="G923" s="4" t="str">
        <f t="shared" si="84"/>
        <v>3.85d</v>
      </c>
      <c r="H923" s="4">
        <f t="shared" si="85"/>
        <v>2.083775795334131E-6</v>
      </c>
      <c r="I923" s="4">
        <f t="shared" si="86"/>
        <v>0</v>
      </c>
      <c r="J923" s="4">
        <f t="shared" si="87"/>
        <v>0</v>
      </c>
      <c r="K923" s="4" t="str">
        <f t="shared" si="88"/>
        <v>Sb127</v>
      </c>
    </row>
    <row r="924" spans="2:11" hidden="1" x14ac:dyDescent="0.2">
      <c r="B924" s="4">
        <v>51128</v>
      </c>
      <c r="C924" s="4">
        <v>0</v>
      </c>
      <c r="D924">
        <v>0</v>
      </c>
      <c r="E924" t="str">
        <f>VLOOKUP(B924,Nuclides!A:F,5,FALSE)</f>
        <v>Sb128</v>
      </c>
      <c r="F924">
        <f>VLOOKUP(B924,Nuclides!A:F,4,FALSE)</f>
        <v>32580</v>
      </c>
      <c r="G924" s="4" t="str">
        <f t="shared" si="84"/>
        <v>9.05h</v>
      </c>
      <c r="H924" s="4">
        <f t="shared" si="85"/>
        <v>2.1275235744626926E-5</v>
      </c>
      <c r="I924" s="4">
        <f t="shared" si="86"/>
        <v>0</v>
      </c>
      <c r="J924" s="4">
        <f t="shared" si="87"/>
        <v>0</v>
      </c>
      <c r="K924" s="4" t="str">
        <f t="shared" si="88"/>
        <v>Sb128</v>
      </c>
    </row>
    <row r="925" spans="2:11" hidden="1" x14ac:dyDescent="0.2">
      <c r="B925" s="4">
        <v>51129</v>
      </c>
      <c r="C925" s="4">
        <v>0</v>
      </c>
      <c r="D925">
        <v>0</v>
      </c>
      <c r="E925" t="str">
        <f>VLOOKUP(B925,Nuclides!A:F,5,FALSE)</f>
        <v>Sb129</v>
      </c>
      <c r="F925">
        <f>VLOOKUP(B925,Nuclides!A:F,4,FALSE)</f>
        <v>15717.5999999999</v>
      </c>
      <c r="G925" s="4" t="str">
        <f t="shared" si="84"/>
        <v>4.37h</v>
      </c>
      <c r="H925" s="4">
        <f t="shared" si="85"/>
        <v>4.4100064931029528E-5</v>
      </c>
      <c r="I925" s="4">
        <f t="shared" si="86"/>
        <v>0</v>
      </c>
      <c r="J925" s="4">
        <f t="shared" si="87"/>
        <v>0</v>
      </c>
      <c r="K925" s="4" t="str">
        <f t="shared" si="88"/>
        <v>Sb129</v>
      </c>
    </row>
    <row r="926" spans="2:11" hidden="1" x14ac:dyDescent="0.2">
      <c r="B926" s="4">
        <v>51130</v>
      </c>
      <c r="C926" s="4">
        <v>0</v>
      </c>
      <c r="D926">
        <v>0</v>
      </c>
      <c r="E926" t="str">
        <f>VLOOKUP(B926,Nuclides!A:F,5,FALSE)</f>
        <v>Sb130</v>
      </c>
      <c r="F926">
        <f>VLOOKUP(B926,Nuclides!A:F,4,FALSE)</f>
        <v>2370</v>
      </c>
      <c r="G926" s="4" t="str">
        <f t="shared" si="84"/>
        <v>39.5min</v>
      </c>
      <c r="H926" s="4">
        <f t="shared" si="85"/>
        <v>2.9246716479322586E-4</v>
      </c>
      <c r="I926" s="4">
        <f t="shared" si="86"/>
        <v>0</v>
      </c>
      <c r="J926" s="4">
        <f t="shared" si="87"/>
        <v>0</v>
      </c>
      <c r="K926" s="4" t="str">
        <f t="shared" si="88"/>
        <v>Sb130</v>
      </c>
    </row>
    <row r="927" spans="2:11" hidden="1" x14ac:dyDescent="0.2">
      <c r="B927" s="4">
        <v>51131</v>
      </c>
      <c r="C927" s="4">
        <v>0</v>
      </c>
      <c r="D927">
        <v>0</v>
      </c>
      <c r="E927" t="str">
        <f>VLOOKUP(B927,Nuclides!A:F,5,FALSE)</f>
        <v>Sb131</v>
      </c>
      <c r="F927">
        <f>VLOOKUP(B927,Nuclides!A:F,4,FALSE)</f>
        <v>1381.8</v>
      </c>
      <c r="G927" s="4" t="str">
        <f t="shared" si="84"/>
        <v>23.03min</v>
      </c>
      <c r="H927" s="4">
        <f t="shared" si="85"/>
        <v>5.0162627048773E-4</v>
      </c>
      <c r="I927" s="4">
        <f t="shared" si="86"/>
        <v>0</v>
      </c>
      <c r="J927" s="4">
        <f t="shared" si="87"/>
        <v>0</v>
      </c>
      <c r="K927" s="4" t="str">
        <f t="shared" si="88"/>
        <v>Sb131</v>
      </c>
    </row>
    <row r="928" spans="2:11" hidden="1" x14ac:dyDescent="0.2">
      <c r="B928" s="4">
        <v>51132</v>
      </c>
      <c r="C928" s="4">
        <v>0</v>
      </c>
      <c r="D928">
        <v>0</v>
      </c>
      <c r="E928" t="str">
        <f>VLOOKUP(B928,Nuclides!A:F,5,FALSE)</f>
        <v>Sb132</v>
      </c>
      <c r="F928">
        <f>VLOOKUP(B928,Nuclides!A:F,4,FALSE)</f>
        <v>167.4</v>
      </c>
      <c r="G928" s="4" t="str">
        <f t="shared" si="84"/>
        <v>2.79min</v>
      </c>
      <c r="H928" s="4">
        <f t="shared" si="85"/>
        <v>4.1406641610510471E-3</v>
      </c>
      <c r="I928" s="4">
        <f t="shared" si="86"/>
        <v>0</v>
      </c>
      <c r="J928" s="4">
        <f t="shared" si="87"/>
        <v>0</v>
      </c>
      <c r="K928" s="4" t="str">
        <f t="shared" si="88"/>
        <v>Sb132</v>
      </c>
    </row>
    <row r="929" spans="2:11" hidden="1" x14ac:dyDescent="0.2">
      <c r="B929" s="4">
        <v>51133</v>
      </c>
      <c r="C929" s="4">
        <v>0</v>
      </c>
      <c r="D929">
        <v>0</v>
      </c>
      <c r="E929" t="str">
        <f>VLOOKUP(B929,Nuclides!A:F,5,FALSE)</f>
        <v>Sb133</v>
      </c>
      <c r="F929">
        <f>VLOOKUP(B929,Nuclides!A:F,4,FALSE)</f>
        <v>140.39999999999901</v>
      </c>
      <c r="G929" s="4" t="str">
        <f t="shared" si="84"/>
        <v>2.34min</v>
      </c>
      <c r="H929" s="4">
        <f t="shared" si="85"/>
        <v>4.9369457304839753E-3</v>
      </c>
      <c r="I929" s="4">
        <f t="shared" si="86"/>
        <v>0</v>
      </c>
      <c r="J929" s="4">
        <f t="shared" si="87"/>
        <v>0</v>
      </c>
      <c r="K929" s="4" t="str">
        <f t="shared" si="88"/>
        <v>Sb133</v>
      </c>
    </row>
    <row r="930" spans="2:11" hidden="1" x14ac:dyDescent="0.2">
      <c r="B930" s="4">
        <v>51134</v>
      </c>
      <c r="C930" s="4">
        <v>0</v>
      </c>
      <c r="D930">
        <v>0</v>
      </c>
      <c r="E930" t="str">
        <f>VLOOKUP(B930,Nuclides!A:F,5,FALSE)</f>
        <v>Sb134</v>
      </c>
      <c r="F930">
        <f>VLOOKUP(B930,Nuclides!A:F,4,FALSE)</f>
        <v>0.78</v>
      </c>
      <c r="G930" s="4" t="str">
        <f t="shared" si="84"/>
        <v>0.78s</v>
      </c>
      <c r="H930" s="4">
        <f t="shared" si="85"/>
        <v>0.88865023148710931</v>
      </c>
      <c r="I930" s="4">
        <f t="shared" si="86"/>
        <v>0</v>
      </c>
      <c r="J930" s="4">
        <f t="shared" si="87"/>
        <v>0</v>
      </c>
      <c r="K930" s="4" t="str">
        <f t="shared" si="88"/>
        <v>Sb134</v>
      </c>
    </row>
    <row r="931" spans="2:11" hidden="1" x14ac:dyDescent="0.2">
      <c r="B931" s="4">
        <v>51135</v>
      </c>
      <c r="C931" s="4">
        <v>0</v>
      </c>
      <c r="D931">
        <v>0</v>
      </c>
      <c r="E931" t="str">
        <f>VLOOKUP(B931,Nuclides!A:F,5,FALSE)</f>
        <v>Sb135</v>
      </c>
      <c r="F931">
        <f>VLOOKUP(B931,Nuclides!A:F,4,FALSE)</f>
        <v>1.679</v>
      </c>
      <c r="G931" s="4" t="str">
        <f t="shared" si="84"/>
        <v>1.679s</v>
      </c>
      <c r="H931" s="4">
        <f t="shared" si="85"/>
        <v>0.41283334160806745</v>
      </c>
      <c r="I931" s="4">
        <f t="shared" si="86"/>
        <v>0</v>
      </c>
      <c r="J931" s="4">
        <f t="shared" si="87"/>
        <v>0</v>
      </c>
      <c r="K931" s="4" t="str">
        <f t="shared" si="88"/>
        <v>Sb135</v>
      </c>
    </row>
    <row r="932" spans="2:11" hidden="1" x14ac:dyDescent="0.2">
      <c r="B932" s="4">
        <v>51136</v>
      </c>
      <c r="C932" s="4">
        <v>0</v>
      </c>
      <c r="D932">
        <v>0</v>
      </c>
      <c r="E932" t="str">
        <f>VLOOKUP(B932,Nuclides!A:F,5,FALSE)</f>
        <v>Sb136</v>
      </c>
      <c r="F932">
        <f>VLOOKUP(B932,Nuclides!A:F,4,FALSE)</f>
        <v>0.92300000000000004</v>
      </c>
      <c r="G932" s="4" t="str">
        <f t="shared" si="84"/>
        <v>0.923s</v>
      </c>
      <c r="H932" s="4">
        <f t="shared" si="85"/>
        <v>0.75097202660882478</v>
      </c>
      <c r="I932" s="4">
        <f t="shared" si="86"/>
        <v>0</v>
      </c>
      <c r="J932" s="4">
        <f t="shared" si="87"/>
        <v>0</v>
      </c>
      <c r="K932" s="4" t="str">
        <f t="shared" si="88"/>
        <v>Sb136</v>
      </c>
    </row>
    <row r="933" spans="2:11" hidden="1" x14ac:dyDescent="0.2">
      <c r="B933" s="4">
        <v>52106</v>
      </c>
      <c r="C933" s="4">
        <v>0</v>
      </c>
      <c r="D933">
        <v>0</v>
      </c>
      <c r="E933" t="str">
        <f>VLOOKUP(B933,Nuclides!A:F,5,FALSE)</f>
        <v>Te106</v>
      </c>
      <c r="F933">
        <f>VLOOKUP(B933,Nuclides!A:F,4,FALSE)</f>
        <v>6.9999999999999994E-5</v>
      </c>
      <c r="G933" s="4" t="str">
        <f t="shared" si="84"/>
        <v>0.00007s</v>
      </c>
      <c r="H933" s="4">
        <f t="shared" si="85"/>
        <v>9902.1025794277903</v>
      </c>
      <c r="I933" s="4">
        <f t="shared" si="86"/>
        <v>0</v>
      </c>
      <c r="J933" s="4">
        <f t="shared" si="87"/>
        <v>0</v>
      </c>
      <c r="K933" s="4" t="str">
        <f t="shared" si="88"/>
        <v>Te106</v>
      </c>
    </row>
    <row r="934" spans="2:11" hidden="1" x14ac:dyDescent="0.2">
      <c r="B934" s="4">
        <v>52107</v>
      </c>
      <c r="C934" s="4">
        <v>0</v>
      </c>
      <c r="D934">
        <v>0</v>
      </c>
      <c r="E934" t="str">
        <f>VLOOKUP(B934,Nuclides!A:F,5,FALSE)</f>
        <v>Te107</v>
      </c>
      <c r="F934">
        <f>VLOOKUP(B934,Nuclides!A:F,4,FALSE)</f>
        <v>3.0999999999999999E-3</v>
      </c>
      <c r="G934" s="4" t="str">
        <f t="shared" si="84"/>
        <v>0.0031s</v>
      </c>
      <c r="H934" s="4">
        <f t="shared" si="85"/>
        <v>223.59586469675656</v>
      </c>
      <c r="I934" s="4">
        <f t="shared" si="86"/>
        <v>0</v>
      </c>
      <c r="J934" s="4">
        <f t="shared" si="87"/>
        <v>0</v>
      </c>
      <c r="K934" s="4" t="str">
        <f t="shared" si="88"/>
        <v>Te107</v>
      </c>
    </row>
    <row r="935" spans="2:11" hidden="1" x14ac:dyDescent="0.2">
      <c r="B935" s="4">
        <v>52108</v>
      </c>
      <c r="C935" s="4">
        <v>0</v>
      </c>
      <c r="D935">
        <v>0</v>
      </c>
      <c r="E935" t="str">
        <f>VLOOKUP(B935,Nuclides!A:F,5,FALSE)</f>
        <v>Te108</v>
      </c>
      <c r="F935">
        <f>VLOOKUP(B935,Nuclides!A:F,4,FALSE)</f>
        <v>2.1</v>
      </c>
      <c r="G935" s="4" t="str">
        <f t="shared" si="84"/>
        <v>2.1s</v>
      </c>
      <c r="H935" s="4">
        <f t="shared" si="85"/>
        <v>0.3300700859809263</v>
      </c>
      <c r="I935" s="4">
        <f t="shared" si="86"/>
        <v>0</v>
      </c>
      <c r="J935" s="4">
        <f t="shared" si="87"/>
        <v>0</v>
      </c>
      <c r="K935" s="4" t="str">
        <f t="shared" si="88"/>
        <v>Te108</v>
      </c>
    </row>
    <row r="936" spans="2:11" hidden="1" x14ac:dyDescent="0.2">
      <c r="B936" s="4">
        <v>52109</v>
      </c>
      <c r="C936" s="4">
        <v>0</v>
      </c>
      <c r="D936">
        <v>0</v>
      </c>
      <c r="E936" t="str">
        <f>VLOOKUP(B936,Nuclides!A:F,5,FALSE)</f>
        <v>Te109</v>
      </c>
      <c r="F936">
        <f>VLOOKUP(B936,Nuclides!A:F,4,FALSE)</f>
        <v>4.5999999999999996</v>
      </c>
      <c r="G936" s="4" t="str">
        <f t="shared" si="84"/>
        <v>4.6s</v>
      </c>
      <c r="H936" s="4">
        <f t="shared" si="85"/>
        <v>0.15068416968694465</v>
      </c>
      <c r="I936" s="4">
        <f t="shared" si="86"/>
        <v>0</v>
      </c>
      <c r="J936" s="4">
        <f t="shared" si="87"/>
        <v>0</v>
      </c>
      <c r="K936" s="4" t="str">
        <f t="shared" si="88"/>
        <v>Te109</v>
      </c>
    </row>
    <row r="937" spans="2:11" hidden="1" x14ac:dyDescent="0.2">
      <c r="B937" s="4">
        <v>52110</v>
      </c>
      <c r="C937" s="4">
        <v>0</v>
      </c>
      <c r="D937">
        <v>0</v>
      </c>
      <c r="E937" t="str">
        <f>VLOOKUP(B937,Nuclides!A:F,5,FALSE)</f>
        <v>Te110</v>
      </c>
      <c r="F937">
        <f>VLOOKUP(B937,Nuclides!A:F,4,FALSE)</f>
        <v>18.600000000000001</v>
      </c>
      <c r="G937" s="4" t="str">
        <f t="shared" si="84"/>
        <v>18.6s</v>
      </c>
      <c r="H937" s="4">
        <f t="shared" si="85"/>
        <v>3.726597744945942E-2</v>
      </c>
      <c r="I937" s="4">
        <f t="shared" si="86"/>
        <v>0</v>
      </c>
      <c r="J937" s="4">
        <f t="shared" si="87"/>
        <v>0</v>
      </c>
      <c r="K937" s="4" t="str">
        <f t="shared" si="88"/>
        <v>Te110</v>
      </c>
    </row>
    <row r="938" spans="2:11" hidden="1" x14ac:dyDescent="0.2">
      <c r="B938" s="4">
        <v>52111</v>
      </c>
      <c r="C938" s="4">
        <v>0</v>
      </c>
      <c r="D938">
        <v>0</v>
      </c>
      <c r="E938" t="str">
        <f>VLOOKUP(B938,Nuclides!A:F,5,FALSE)</f>
        <v>Te111</v>
      </c>
      <c r="F938">
        <f>VLOOKUP(B938,Nuclides!A:F,4,FALSE)</f>
        <v>19.3</v>
      </c>
      <c r="G938" s="4" t="str">
        <f t="shared" si="84"/>
        <v>19.3s</v>
      </c>
      <c r="H938" s="4">
        <f t="shared" si="85"/>
        <v>3.5914361687043796E-2</v>
      </c>
      <c r="I938" s="4">
        <f t="shared" si="86"/>
        <v>0</v>
      </c>
      <c r="J938" s="4">
        <f t="shared" si="87"/>
        <v>0</v>
      </c>
      <c r="K938" s="4" t="str">
        <f t="shared" si="88"/>
        <v>Te111</v>
      </c>
    </row>
    <row r="939" spans="2:11" hidden="1" x14ac:dyDescent="0.2">
      <c r="B939" s="4">
        <v>52112</v>
      </c>
      <c r="C939" s="4">
        <v>0</v>
      </c>
      <c r="D939">
        <v>0</v>
      </c>
      <c r="E939" t="str">
        <f>VLOOKUP(B939,Nuclides!A:F,5,FALSE)</f>
        <v>Te112</v>
      </c>
      <c r="F939">
        <f>VLOOKUP(B939,Nuclides!A:F,4,FALSE)</f>
        <v>120</v>
      </c>
      <c r="G939" s="4" t="str">
        <f t="shared" si="84"/>
        <v>2min</v>
      </c>
      <c r="H939" s="4">
        <f t="shared" si="85"/>
        <v>5.7762265046662105E-3</v>
      </c>
      <c r="I939" s="4">
        <f t="shared" si="86"/>
        <v>0</v>
      </c>
      <c r="J939" s="4">
        <f t="shared" si="87"/>
        <v>0</v>
      </c>
      <c r="K939" s="4" t="str">
        <f t="shared" si="88"/>
        <v>Te112</v>
      </c>
    </row>
    <row r="940" spans="2:11" hidden="1" x14ac:dyDescent="0.2">
      <c r="B940" s="4">
        <v>52113</v>
      </c>
      <c r="C940" s="4">
        <v>0</v>
      </c>
      <c r="D940">
        <v>0</v>
      </c>
      <c r="E940" t="str">
        <f>VLOOKUP(B940,Nuclides!A:F,5,FALSE)</f>
        <v>Te113</v>
      </c>
      <c r="F940">
        <f>VLOOKUP(B940,Nuclides!A:F,4,FALSE)</f>
        <v>102</v>
      </c>
      <c r="G940" s="4" t="str">
        <f t="shared" si="84"/>
        <v>1.7min</v>
      </c>
      <c r="H940" s="4">
        <f t="shared" si="85"/>
        <v>6.7955605937249537E-3</v>
      </c>
      <c r="I940" s="4">
        <f t="shared" si="86"/>
        <v>0</v>
      </c>
      <c r="J940" s="4">
        <f t="shared" si="87"/>
        <v>0</v>
      </c>
      <c r="K940" s="4" t="str">
        <f t="shared" si="88"/>
        <v>Te113</v>
      </c>
    </row>
    <row r="941" spans="2:11" hidden="1" x14ac:dyDescent="0.2">
      <c r="B941" s="4">
        <v>52114</v>
      </c>
      <c r="C941" s="4">
        <v>0</v>
      </c>
      <c r="D941">
        <v>0</v>
      </c>
      <c r="E941" t="str">
        <f>VLOOKUP(B941,Nuclides!A:F,5,FALSE)</f>
        <v>Te114</v>
      </c>
      <c r="F941">
        <f>VLOOKUP(B941,Nuclides!A:F,4,FALSE)</f>
        <v>912</v>
      </c>
      <c r="G941" s="4" t="str">
        <f t="shared" si="84"/>
        <v>15.2min</v>
      </c>
      <c r="H941" s="4">
        <f t="shared" si="85"/>
        <v>7.6002980324555401E-4</v>
      </c>
      <c r="I941" s="4">
        <f t="shared" si="86"/>
        <v>0</v>
      </c>
      <c r="J941" s="4">
        <f t="shared" si="87"/>
        <v>0</v>
      </c>
      <c r="K941" s="4" t="str">
        <f t="shared" si="88"/>
        <v>Te114</v>
      </c>
    </row>
    <row r="942" spans="2:11" hidden="1" x14ac:dyDescent="0.2">
      <c r="B942" s="4">
        <v>52115</v>
      </c>
      <c r="C942" s="4">
        <v>0</v>
      </c>
      <c r="D942">
        <v>0</v>
      </c>
      <c r="E942" t="str">
        <f>VLOOKUP(B942,Nuclides!A:F,5,FALSE)</f>
        <v>Te115</v>
      </c>
      <c r="F942">
        <f>VLOOKUP(B942,Nuclides!A:F,4,FALSE)</f>
        <v>348</v>
      </c>
      <c r="G942" s="4" t="str">
        <f t="shared" si="84"/>
        <v>5.8min</v>
      </c>
      <c r="H942" s="4">
        <f t="shared" si="85"/>
        <v>1.9918022429883486E-3</v>
      </c>
      <c r="I942" s="4">
        <f t="shared" si="86"/>
        <v>0</v>
      </c>
      <c r="J942" s="4">
        <f t="shared" si="87"/>
        <v>0</v>
      </c>
      <c r="K942" s="4" t="str">
        <f t="shared" si="88"/>
        <v>Te115</v>
      </c>
    </row>
    <row r="943" spans="2:11" hidden="1" x14ac:dyDescent="0.2">
      <c r="B943" s="4">
        <v>52116</v>
      </c>
      <c r="C943" s="4">
        <v>0</v>
      </c>
      <c r="D943">
        <v>0</v>
      </c>
      <c r="E943" t="str">
        <f>VLOOKUP(B943,Nuclides!A:F,5,FALSE)</f>
        <v>Te116</v>
      </c>
      <c r="F943">
        <f>VLOOKUP(B943,Nuclides!A:F,4,FALSE)</f>
        <v>8964</v>
      </c>
      <c r="G943" s="4" t="str">
        <f t="shared" si="84"/>
        <v>2.49h</v>
      </c>
      <c r="H943" s="4">
        <f t="shared" si="85"/>
        <v>7.7325656019627993E-5</v>
      </c>
      <c r="I943" s="4">
        <f t="shared" si="86"/>
        <v>0</v>
      </c>
      <c r="J943" s="4">
        <f t="shared" si="87"/>
        <v>0</v>
      </c>
      <c r="K943" s="4" t="str">
        <f t="shared" si="88"/>
        <v>Te116</v>
      </c>
    </row>
    <row r="944" spans="2:11" hidden="1" x14ac:dyDescent="0.2">
      <c r="B944" s="4">
        <v>52117</v>
      </c>
      <c r="C944" s="4">
        <v>0</v>
      </c>
      <c r="D944">
        <v>0</v>
      </c>
      <c r="E944" t="str">
        <f>VLOOKUP(B944,Nuclides!A:F,5,FALSE)</f>
        <v>Te117</v>
      </c>
      <c r="F944">
        <f>VLOOKUP(B944,Nuclides!A:F,4,FALSE)</f>
        <v>3720</v>
      </c>
      <c r="G944" s="4" t="str">
        <f t="shared" si="84"/>
        <v>1.03h</v>
      </c>
      <c r="H944" s="4">
        <f t="shared" si="85"/>
        <v>1.8632988724729711E-4</v>
      </c>
      <c r="I944" s="4">
        <f t="shared" si="86"/>
        <v>0</v>
      </c>
      <c r="J944" s="4">
        <f t="shared" si="87"/>
        <v>0</v>
      </c>
      <c r="K944" s="4" t="str">
        <f t="shared" si="88"/>
        <v>Te117</v>
      </c>
    </row>
    <row r="945" spans="2:11" hidden="1" x14ac:dyDescent="0.2">
      <c r="B945" s="4">
        <v>52118</v>
      </c>
      <c r="C945" s="4">
        <v>0</v>
      </c>
      <c r="D945">
        <v>0</v>
      </c>
      <c r="E945" t="str">
        <f>VLOOKUP(B945,Nuclides!A:F,5,FALSE)</f>
        <v>Te118</v>
      </c>
      <c r="F945">
        <f>VLOOKUP(B945,Nuclides!A:F,4,FALSE)</f>
        <v>518400</v>
      </c>
      <c r="G945" s="4" t="str">
        <f t="shared" si="84"/>
        <v>6d</v>
      </c>
      <c r="H945" s="4">
        <f t="shared" si="85"/>
        <v>1.3370894686727339E-6</v>
      </c>
      <c r="I945" s="4">
        <f t="shared" si="86"/>
        <v>0</v>
      </c>
      <c r="J945" s="4">
        <f t="shared" si="87"/>
        <v>0</v>
      </c>
      <c r="K945" s="4" t="str">
        <f t="shared" si="88"/>
        <v>Te118</v>
      </c>
    </row>
    <row r="946" spans="2:11" hidden="1" x14ac:dyDescent="0.2">
      <c r="B946" s="4">
        <v>52119</v>
      </c>
      <c r="C946" s="4">
        <v>0</v>
      </c>
      <c r="D946">
        <v>0</v>
      </c>
      <c r="E946" t="str">
        <f>VLOOKUP(B946,Nuclides!A:F,5,FALSE)</f>
        <v>Te119</v>
      </c>
      <c r="F946">
        <f>VLOOKUP(B946,Nuclides!A:F,4,FALSE)</f>
        <v>57780</v>
      </c>
      <c r="G946" s="4" t="str">
        <f t="shared" si="84"/>
        <v>16.05h</v>
      </c>
      <c r="H946" s="4">
        <f t="shared" si="85"/>
        <v>1.1996316728278734E-5</v>
      </c>
      <c r="I946" s="4">
        <f t="shared" si="86"/>
        <v>0</v>
      </c>
      <c r="J946" s="4">
        <f t="shared" si="87"/>
        <v>0</v>
      </c>
      <c r="K946" s="4" t="str">
        <f t="shared" si="88"/>
        <v>Te119</v>
      </c>
    </row>
    <row r="947" spans="2:11" hidden="1" x14ac:dyDescent="0.2">
      <c r="B947" s="4">
        <v>52120</v>
      </c>
      <c r="C947" s="4">
        <v>0</v>
      </c>
      <c r="D947">
        <v>0</v>
      </c>
      <c r="E947" t="str">
        <f>VLOOKUP(B947,Nuclides!A:F,5,FALSE)</f>
        <v>Te120</v>
      </c>
      <c r="F947" t="str">
        <f>VLOOKUP(B947,Nuclides!A:F,4,FALSE)</f>
        <v>STABLE</v>
      </c>
      <c r="G947" s="4" t="str">
        <f t="shared" si="84"/>
        <v>STABLE</v>
      </c>
      <c r="H947" s="4" t="e">
        <f t="shared" si="85"/>
        <v>#VALUE!</v>
      </c>
      <c r="I947" s="4" t="e">
        <f t="shared" si="86"/>
        <v>#VALUE!</v>
      </c>
      <c r="J947" s="4" t="e">
        <f t="shared" si="87"/>
        <v>#VALUE!</v>
      </c>
      <c r="K947" s="4" t="str">
        <f t="shared" si="88"/>
        <v>Te120</v>
      </c>
    </row>
    <row r="948" spans="2:11" hidden="1" x14ac:dyDescent="0.2">
      <c r="B948" s="4">
        <v>52121</v>
      </c>
      <c r="C948" s="4">
        <v>0</v>
      </c>
      <c r="D948">
        <v>0</v>
      </c>
      <c r="E948" t="str">
        <f>VLOOKUP(B948,Nuclides!A:F,5,FALSE)</f>
        <v>Te121</v>
      </c>
      <c r="F948">
        <f>VLOOKUP(B948,Nuclides!A:F,4,FALSE)</f>
        <v>1656288</v>
      </c>
      <c r="G948" s="4" t="str">
        <f t="shared" si="84"/>
        <v>19.17d</v>
      </c>
      <c r="H948" s="4">
        <f t="shared" si="85"/>
        <v>4.1849435639209198E-7</v>
      </c>
      <c r="I948" s="4">
        <f t="shared" si="86"/>
        <v>0</v>
      </c>
      <c r="J948" s="4">
        <f t="shared" si="87"/>
        <v>0</v>
      </c>
      <c r="K948" s="4" t="str">
        <f t="shared" si="88"/>
        <v>Te121</v>
      </c>
    </row>
    <row r="949" spans="2:11" hidden="1" x14ac:dyDescent="0.2">
      <c r="B949" s="4">
        <v>52122</v>
      </c>
      <c r="C949" s="4">
        <v>0</v>
      </c>
      <c r="D949">
        <v>0</v>
      </c>
      <c r="E949" t="str">
        <f>VLOOKUP(B949,Nuclides!A:F,5,FALSE)</f>
        <v>Te122</v>
      </c>
      <c r="F949" t="str">
        <f>VLOOKUP(B949,Nuclides!A:F,4,FALSE)</f>
        <v>STABLE</v>
      </c>
      <c r="G949" s="4" t="str">
        <f t="shared" si="84"/>
        <v>STABLE</v>
      </c>
      <c r="H949" s="4" t="e">
        <f t="shared" si="85"/>
        <v>#VALUE!</v>
      </c>
      <c r="I949" s="4" t="e">
        <f t="shared" si="86"/>
        <v>#VALUE!</v>
      </c>
      <c r="J949" s="4" t="e">
        <f t="shared" si="87"/>
        <v>#VALUE!</v>
      </c>
      <c r="K949" s="4" t="str">
        <f t="shared" si="88"/>
        <v>Te122</v>
      </c>
    </row>
    <row r="950" spans="2:11" hidden="1" x14ac:dyDescent="0.2">
      <c r="B950" s="4">
        <v>52123</v>
      </c>
      <c r="C950" s="4">
        <v>0</v>
      </c>
      <c r="D950">
        <v>0</v>
      </c>
      <c r="E950" t="str">
        <f>VLOOKUP(B950,Nuclides!A:F,5,FALSE)</f>
        <v>Te123</v>
      </c>
      <c r="F950">
        <f>VLOOKUP(B950,Nuclides!A:F,4,FALSE)</f>
        <v>2.9032991999999999E+24</v>
      </c>
      <c r="G950" s="4" t="str">
        <f t="shared" si="84"/>
        <v>92063013698630100y</v>
      </c>
      <c r="H950" s="4">
        <f t="shared" si="85"/>
        <v>2.3874466006119702E-25</v>
      </c>
      <c r="I950" s="4">
        <f t="shared" si="86"/>
        <v>0</v>
      </c>
      <c r="J950" s="4">
        <f t="shared" si="87"/>
        <v>0</v>
      </c>
      <c r="K950" s="4" t="str">
        <f t="shared" si="88"/>
        <v>Te123</v>
      </c>
    </row>
    <row r="951" spans="2:11" hidden="1" x14ac:dyDescent="0.2">
      <c r="B951" s="4">
        <v>52124</v>
      </c>
      <c r="C951" s="4">
        <v>0</v>
      </c>
      <c r="D951">
        <v>0</v>
      </c>
      <c r="E951" t="str">
        <f>VLOOKUP(B951,Nuclides!A:F,5,FALSE)</f>
        <v>Te124</v>
      </c>
      <c r="F951" t="str">
        <f>VLOOKUP(B951,Nuclides!A:F,4,FALSE)</f>
        <v>STABLE</v>
      </c>
      <c r="G951" s="4" t="str">
        <f t="shared" si="84"/>
        <v>STABLE</v>
      </c>
      <c r="H951" s="4" t="e">
        <f t="shared" si="85"/>
        <v>#VALUE!</v>
      </c>
      <c r="I951" s="4" t="e">
        <f t="shared" si="86"/>
        <v>#VALUE!</v>
      </c>
      <c r="J951" s="4" t="e">
        <f t="shared" si="87"/>
        <v>#VALUE!</v>
      </c>
      <c r="K951" s="4" t="str">
        <f t="shared" si="88"/>
        <v>Te124</v>
      </c>
    </row>
    <row r="952" spans="2:11" hidden="1" x14ac:dyDescent="0.2">
      <c r="B952" s="4">
        <v>52125</v>
      </c>
      <c r="C952" s="4">
        <v>0</v>
      </c>
      <c r="D952">
        <v>0</v>
      </c>
      <c r="E952" t="str">
        <f>VLOOKUP(B952,Nuclides!A:F,5,FALSE)</f>
        <v>Te125</v>
      </c>
      <c r="F952" t="str">
        <f>VLOOKUP(B952,Nuclides!A:F,4,FALSE)</f>
        <v>STABLE</v>
      </c>
      <c r="G952" s="4" t="str">
        <f t="shared" si="84"/>
        <v>STABLE</v>
      </c>
      <c r="H952" s="4" t="e">
        <f t="shared" si="85"/>
        <v>#VALUE!</v>
      </c>
      <c r="I952" s="4" t="e">
        <f t="shared" si="86"/>
        <v>#VALUE!</v>
      </c>
      <c r="J952" s="4" t="e">
        <f t="shared" si="87"/>
        <v>#VALUE!</v>
      </c>
      <c r="K952" s="4" t="str">
        <f t="shared" si="88"/>
        <v>Te125</v>
      </c>
    </row>
    <row r="953" spans="2:11" hidden="1" x14ac:dyDescent="0.2">
      <c r="B953" s="4">
        <v>52126</v>
      </c>
      <c r="C953" s="4">
        <v>0</v>
      </c>
      <c r="D953">
        <v>0</v>
      </c>
      <c r="E953" t="str">
        <f>VLOOKUP(B953,Nuclides!A:F,5,FALSE)</f>
        <v>Te126</v>
      </c>
      <c r="F953" t="str">
        <f>VLOOKUP(B953,Nuclides!A:F,4,FALSE)</f>
        <v>STABLE</v>
      </c>
      <c r="G953" s="4" t="str">
        <f t="shared" si="84"/>
        <v>STABLE</v>
      </c>
      <c r="H953" s="4" t="e">
        <f t="shared" si="85"/>
        <v>#VALUE!</v>
      </c>
      <c r="I953" s="4" t="e">
        <f t="shared" si="86"/>
        <v>#VALUE!</v>
      </c>
      <c r="J953" s="4" t="e">
        <f t="shared" si="87"/>
        <v>#VALUE!</v>
      </c>
      <c r="K953" s="4" t="str">
        <f t="shared" si="88"/>
        <v>Te126</v>
      </c>
    </row>
    <row r="954" spans="2:11" hidden="1" x14ac:dyDescent="0.2">
      <c r="B954" s="4">
        <v>52127</v>
      </c>
      <c r="C954" s="4">
        <v>0</v>
      </c>
      <c r="D954">
        <v>0</v>
      </c>
      <c r="E954" t="str">
        <f>VLOOKUP(B954,Nuclides!A:F,5,FALSE)</f>
        <v>Te127</v>
      </c>
      <c r="F954">
        <f>VLOOKUP(B954,Nuclides!A:F,4,FALSE)</f>
        <v>33660</v>
      </c>
      <c r="G954" s="4" t="str">
        <f t="shared" si="84"/>
        <v>9.35h</v>
      </c>
      <c r="H954" s="4">
        <f t="shared" si="85"/>
        <v>2.0592607859772586E-5</v>
      </c>
      <c r="I954" s="4">
        <f t="shared" si="86"/>
        <v>0</v>
      </c>
      <c r="J954" s="4">
        <f t="shared" si="87"/>
        <v>0</v>
      </c>
      <c r="K954" s="4" t="str">
        <f t="shared" si="88"/>
        <v>Te127</v>
      </c>
    </row>
    <row r="955" spans="2:11" hidden="1" x14ac:dyDescent="0.2">
      <c r="B955" s="4">
        <v>52128</v>
      </c>
      <c r="C955" s="4">
        <v>0</v>
      </c>
      <c r="D955">
        <v>0</v>
      </c>
      <c r="E955" t="str">
        <f>VLOOKUP(B955,Nuclides!A:F,5,FALSE)</f>
        <v>Te128</v>
      </c>
      <c r="F955">
        <f>VLOOKUP(B955,Nuclides!A:F,4,FALSE)</f>
        <v>7.6053815999999996E+31</v>
      </c>
      <c r="G955" s="4" t="str">
        <f t="shared" si="84"/>
        <v>2.41165068493151E+24y</v>
      </c>
      <c r="H955" s="4">
        <f t="shared" si="85"/>
        <v>9.1139040355311737E-33</v>
      </c>
      <c r="I955" s="4">
        <f t="shared" si="86"/>
        <v>0</v>
      </c>
      <c r="J955" s="4">
        <f t="shared" si="87"/>
        <v>0</v>
      </c>
      <c r="K955" s="4" t="str">
        <f t="shared" si="88"/>
        <v>Te128</v>
      </c>
    </row>
    <row r="956" spans="2:11" hidden="1" x14ac:dyDescent="0.2">
      <c r="B956" s="4">
        <v>52129</v>
      </c>
      <c r="C956" s="4">
        <v>0</v>
      </c>
      <c r="D956">
        <v>0</v>
      </c>
      <c r="E956" t="str">
        <f>VLOOKUP(B956,Nuclides!A:F,5,FALSE)</f>
        <v>Te129</v>
      </c>
      <c r="F956">
        <f>VLOOKUP(B956,Nuclides!A:F,4,FALSE)</f>
        <v>4194</v>
      </c>
      <c r="G956" s="4" t="str">
        <f t="shared" si="84"/>
        <v>1.17h</v>
      </c>
      <c r="H956" s="4">
        <f t="shared" si="85"/>
        <v>1.6527114462564266E-4</v>
      </c>
      <c r="I956" s="4">
        <f t="shared" si="86"/>
        <v>0</v>
      </c>
      <c r="J956" s="4">
        <f t="shared" si="87"/>
        <v>0</v>
      </c>
      <c r="K956" s="4" t="str">
        <f t="shared" si="88"/>
        <v>Te129</v>
      </c>
    </row>
    <row r="957" spans="2:11" hidden="1" x14ac:dyDescent="0.2">
      <c r="B957" s="4">
        <v>52130</v>
      </c>
      <c r="C957" s="4">
        <v>0</v>
      </c>
      <c r="D957">
        <v>0</v>
      </c>
      <c r="E957" t="str">
        <f>VLOOKUP(B957,Nuclides!A:F,5,FALSE)</f>
        <v>Te130</v>
      </c>
      <c r="F957">
        <f>VLOOKUP(B957,Nuclides!A:F,4,FALSE)</f>
        <v>9.46728E+31</v>
      </c>
      <c r="G957" s="4" t="str">
        <f t="shared" si="84"/>
        <v>3.00205479452055E+24y</v>
      </c>
      <c r="H957" s="4">
        <f t="shared" si="85"/>
        <v>7.321502908543376E-33</v>
      </c>
      <c r="I957" s="4">
        <f t="shared" si="86"/>
        <v>0</v>
      </c>
      <c r="J957" s="4">
        <f t="shared" si="87"/>
        <v>0</v>
      </c>
      <c r="K957" s="4" t="str">
        <f t="shared" si="88"/>
        <v>Te130</v>
      </c>
    </row>
    <row r="958" spans="2:11" hidden="1" x14ac:dyDescent="0.2">
      <c r="B958" s="4">
        <v>52131</v>
      </c>
      <c r="C958" s="4">
        <v>0</v>
      </c>
      <c r="D958">
        <v>0</v>
      </c>
      <c r="E958" t="str">
        <f>VLOOKUP(B958,Nuclides!A:F,5,FALSE)</f>
        <v>Te131</v>
      </c>
      <c r="F958">
        <f>VLOOKUP(B958,Nuclides!A:F,4,FALSE)</f>
        <v>1500</v>
      </c>
      <c r="G958" s="4" t="str">
        <f t="shared" si="84"/>
        <v>25min</v>
      </c>
      <c r="H958" s="4">
        <f t="shared" si="85"/>
        <v>4.6209812037329687E-4</v>
      </c>
      <c r="I958" s="4">
        <f t="shared" si="86"/>
        <v>0</v>
      </c>
      <c r="J958" s="4">
        <f t="shared" si="87"/>
        <v>0</v>
      </c>
      <c r="K958" s="4" t="str">
        <f t="shared" si="88"/>
        <v>Te131</v>
      </c>
    </row>
    <row r="959" spans="2:11" hidden="1" x14ac:dyDescent="0.2">
      <c r="B959" s="4">
        <v>52132</v>
      </c>
      <c r="C959" s="4">
        <v>0</v>
      </c>
      <c r="D959">
        <v>0</v>
      </c>
      <c r="E959" t="str">
        <f>VLOOKUP(B959,Nuclides!A:F,5,FALSE)</f>
        <v>Te132</v>
      </c>
      <c r="F959">
        <f>VLOOKUP(B959,Nuclides!A:F,4,FALSE)</f>
        <v>276825.59999999998</v>
      </c>
      <c r="G959" s="4" t="str">
        <f t="shared" si="84"/>
        <v>3.2d</v>
      </c>
      <c r="H959" s="4">
        <f t="shared" si="85"/>
        <v>2.5039128626830225E-6</v>
      </c>
      <c r="I959" s="4">
        <f t="shared" si="86"/>
        <v>0</v>
      </c>
      <c r="J959" s="4">
        <f t="shared" si="87"/>
        <v>0</v>
      </c>
      <c r="K959" s="4" t="str">
        <f t="shared" si="88"/>
        <v>Te132</v>
      </c>
    </row>
    <row r="960" spans="2:11" hidden="1" x14ac:dyDescent="0.2">
      <c r="B960" s="4">
        <v>52133</v>
      </c>
      <c r="C960" s="4">
        <v>0</v>
      </c>
      <c r="D960">
        <v>0</v>
      </c>
      <c r="E960" t="str">
        <f>VLOOKUP(B960,Nuclides!A:F,5,FALSE)</f>
        <v>Te133</v>
      </c>
      <c r="F960">
        <f>VLOOKUP(B960,Nuclides!A:F,4,FALSE)</f>
        <v>750</v>
      </c>
      <c r="G960" s="4" t="str">
        <f t="shared" si="84"/>
        <v>12.5min</v>
      </c>
      <c r="H960" s="4">
        <f t="shared" si="85"/>
        <v>9.2419624074659373E-4</v>
      </c>
      <c r="I960" s="4">
        <f t="shared" si="86"/>
        <v>0</v>
      </c>
      <c r="J960" s="4">
        <f t="shared" si="87"/>
        <v>0</v>
      </c>
      <c r="K960" s="4" t="str">
        <f t="shared" si="88"/>
        <v>Te133</v>
      </c>
    </row>
    <row r="961" spans="2:11" hidden="1" x14ac:dyDescent="0.2">
      <c r="B961" s="4">
        <v>52134</v>
      </c>
      <c r="C961" s="4">
        <v>0</v>
      </c>
      <c r="D961">
        <v>0</v>
      </c>
      <c r="E961" t="str">
        <f>VLOOKUP(B961,Nuclides!A:F,5,FALSE)</f>
        <v>Te134</v>
      </c>
      <c r="F961">
        <f>VLOOKUP(B961,Nuclides!A:F,4,FALSE)</f>
        <v>2508</v>
      </c>
      <c r="G961" s="4" t="str">
        <f t="shared" si="84"/>
        <v>41.8min</v>
      </c>
      <c r="H961" s="4">
        <f t="shared" si="85"/>
        <v>2.7637447390747421E-4</v>
      </c>
      <c r="I961" s="4">
        <f t="shared" si="86"/>
        <v>0</v>
      </c>
      <c r="J961" s="4">
        <f t="shared" si="87"/>
        <v>0</v>
      </c>
      <c r="K961" s="4" t="str">
        <f t="shared" si="88"/>
        <v>Te134</v>
      </c>
    </row>
    <row r="962" spans="2:11" hidden="1" x14ac:dyDescent="0.2">
      <c r="B962" s="4">
        <v>52135</v>
      </c>
      <c r="C962" s="4">
        <v>0</v>
      </c>
      <c r="D962">
        <v>0</v>
      </c>
      <c r="E962" t="str">
        <f>VLOOKUP(B962,Nuclides!A:F,5,FALSE)</f>
        <v>Te135</v>
      </c>
      <c r="F962">
        <f>VLOOKUP(B962,Nuclides!A:F,4,FALSE)</f>
        <v>19</v>
      </c>
      <c r="G962" s="4" t="str">
        <f t="shared" si="84"/>
        <v>19s</v>
      </c>
      <c r="H962" s="4">
        <f t="shared" si="85"/>
        <v>3.6481430555786593E-2</v>
      </c>
      <c r="I962" s="4">
        <f t="shared" si="86"/>
        <v>0</v>
      </c>
      <c r="J962" s="4">
        <f t="shared" si="87"/>
        <v>0</v>
      </c>
      <c r="K962" s="4" t="str">
        <f t="shared" si="88"/>
        <v>Te135</v>
      </c>
    </row>
    <row r="963" spans="2:11" hidden="1" x14ac:dyDescent="0.2">
      <c r="B963" s="4">
        <v>52136</v>
      </c>
      <c r="C963" s="4">
        <v>0</v>
      </c>
      <c r="D963">
        <v>0</v>
      </c>
      <c r="E963" t="str">
        <f>VLOOKUP(B963,Nuclides!A:F,5,FALSE)</f>
        <v>Te136</v>
      </c>
      <c r="F963">
        <f>VLOOKUP(B963,Nuclides!A:F,4,FALSE)</f>
        <v>17.63</v>
      </c>
      <c r="G963" s="4" t="str">
        <f t="shared" si="84"/>
        <v>17.63s</v>
      </c>
      <c r="H963" s="4">
        <f t="shared" si="85"/>
        <v>3.9316346032895369E-2</v>
      </c>
      <c r="I963" s="4">
        <f t="shared" si="86"/>
        <v>0</v>
      </c>
      <c r="J963" s="4">
        <f t="shared" si="87"/>
        <v>0</v>
      </c>
      <c r="K963" s="4" t="str">
        <f t="shared" si="88"/>
        <v>Te136</v>
      </c>
    </row>
    <row r="964" spans="2:11" hidden="1" x14ac:dyDescent="0.2">
      <c r="B964" s="4">
        <v>52137</v>
      </c>
      <c r="C964" s="4">
        <v>0</v>
      </c>
      <c r="D964">
        <v>0</v>
      </c>
      <c r="E964" t="str">
        <f>VLOOKUP(B964,Nuclides!A:F,5,FALSE)</f>
        <v>Te137</v>
      </c>
      <c r="F964">
        <f>VLOOKUP(B964,Nuclides!A:F,4,FALSE)</f>
        <v>2.4900000000000002</v>
      </c>
      <c r="G964" s="4" t="str">
        <f t="shared" si="84"/>
        <v>2.49s</v>
      </c>
      <c r="H964" s="4">
        <f t="shared" si="85"/>
        <v>0.27837236167066071</v>
      </c>
      <c r="I964" s="4">
        <f t="shared" si="86"/>
        <v>0</v>
      </c>
      <c r="J964" s="4">
        <f t="shared" si="87"/>
        <v>0</v>
      </c>
      <c r="K964" s="4" t="str">
        <f t="shared" si="88"/>
        <v>Te137</v>
      </c>
    </row>
    <row r="965" spans="2:11" hidden="1" x14ac:dyDescent="0.2">
      <c r="B965" s="4">
        <v>52138</v>
      </c>
      <c r="C965" s="4">
        <v>0</v>
      </c>
      <c r="D965">
        <v>0</v>
      </c>
      <c r="E965" t="str">
        <f>VLOOKUP(B965,Nuclides!A:F,5,FALSE)</f>
        <v>Te138</v>
      </c>
      <c r="F965">
        <f>VLOOKUP(B965,Nuclides!A:F,4,FALSE)</f>
        <v>1.4</v>
      </c>
      <c r="G965" s="4" t="str">
        <f t="shared" ref="G965:G1028" si="89">IF(F965="STABLE", "STABLE", IF(F965&lt;60, F965&amp;"s", IF(F965&lt;3600, ROUND(F965/60,2)&amp;"min", IF(F965&lt;86400, ROUND(F965/3600,2)&amp;"h", IF(F965&lt;31536000, ROUND(F965/86400,2)&amp;"d", ROUND(F965/31536000,2)&amp;"y")))))</f>
        <v>1.4s</v>
      </c>
      <c r="H965" s="4">
        <f t="shared" ref="H965:H1028" si="90">LN(2)/F965</f>
        <v>0.49510512897138953</v>
      </c>
      <c r="I965" s="4">
        <f t="shared" ref="I965:I1028" si="91">60*6240000000000*C965*(1-EXP(-H965*2*3600))</f>
        <v>0</v>
      </c>
      <c r="J965" s="4">
        <f t="shared" ref="J965:J1028" si="92">I965*EXP(-H965*48*3600)</f>
        <v>0</v>
      </c>
      <c r="K965" s="4" t="str">
        <f t="shared" ref="K965:K1028" si="93">E965</f>
        <v>Te138</v>
      </c>
    </row>
    <row r="966" spans="2:11" hidden="1" x14ac:dyDescent="0.2">
      <c r="B966" s="4">
        <v>53110</v>
      </c>
      <c r="C966" s="4">
        <v>0</v>
      </c>
      <c r="D966">
        <v>0</v>
      </c>
      <c r="E966" t="str">
        <f>VLOOKUP(B966,Nuclides!A:F,5,FALSE)</f>
        <v>I110</v>
      </c>
      <c r="F966">
        <f>VLOOKUP(B966,Nuclides!A:F,4,FALSE)</f>
        <v>0.65</v>
      </c>
      <c r="G966" s="4" t="str">
        <f t="shared" si="89"/>
        <v>0.65s</v>
      </c>
      <c r="H966" s="4">
        <f t="shared" si="90"/>
        <v>1.0663802777845313</v>
      </c>
      <c r="I966" s="4">
        <f t="shared" si="91"/>
        <v>0</v>
      </c>
      <c r="J966" s="4">
        <f t="shared" si="92"/>
        <v>0</v>
      </c>
      <c r="K966" s="4" t="str">
        <f t="shared" si="93"/>
        <v>I110</v>
      </c>
    </row>
    <row r="967" spans="2:11" hidden="1" x14ac:dyDescent="0.2">
      <c r="B967" s="4">
        <v>53111</v>
      </c>
      <c r="C967" s="4">
        <v>0</v>
      </c>
      <c r="D967">
        <v>0</v>
      </c>
      <c r="E967" t="str">
        <f>VLOOKUP(B967,Nuclides!A:F,5,FALSE)</f>
        <v>I111</v>
      </c>
      <c r="F967">
        <f>VLOOKUP(B967,Nuclides!A:F,4,FALSE)</f>
        <v>2.5</v>
      </c>
      <c r="G967" s="4" t="str">
        <f t="shared" si="89"/>
        <v>2.5s</v>
      </c>
      <c r="H967" s="4">
        <f t="shared" si="90"/>
        <v>0.2772588722239781</v>
      </c>
      <c r="I967" s="4">
        <f t="shared" si="91"/>
        <v>0</v>
      </c>
      <c r="J967" s="4">
        <f t="shared" si="92"/>
        <v>0</v>
      </c>
      <c r="K967" s="4" t="str">
        <f t="shared" si="93"/>
        <v>I111</v>
      </c>
    </row>
    <row r="968" spans="2:11" hidden="1" x14ac:dyDescent="0.2">
      <c r="B968" s="4">
        <v>53112</v>
      </c>
      <c r="C968" s="4">
        <v>0</v>
      </c>
      <c r="D968">
        <v>0</v>
      </c>
      <c r="E968" t="str">
        <f>VLOOKUP(B968,Nuclides!A:F,5,FALSE)</f>
        <v>I112</v>
      </c>
      <c r="F968">
        <f>VLOOKUP(B968,Nuclides!A:F,4,FALSE)</f>
        <v>3.34</v>
      </c>
      <c r="G968" s="4" t="str">
        <f t="shared" si="89"/>
        <v>3.34s</v>
      </c>
      <c r="H968" s="4">
        <f t="shared" si="90"/>
        <v>0.20752909597603153</v>
      </c>
      <c r="I968" s="4">
        <f t="shared" si="91"/>
        <v>0</v>
      </c>
      <c r="J968" s="4">
        <f t="shared" si="92"/>
        <v>0</v>
      </c>
      <c r="K968" s="4" t="str">
        <f t="shared" si="93"/>
        <v>I112</v>
      </c>
    </row>
    <row r="969" spans="2:11" hidden="1" x14ac:dyDescent="0.2">
      <c r="B969" s="4">
        <v>53113</v>
      </c>
      <c r="C969" s="4">
        <v>0</v>
      </c>
      <c r="D969">
        <v>0</v>
      </c>
      <c r="E969" t="str">
        <f>VLOOKUP(B969,Nuclides!A:F,5,FALSE)</f>
        <v>I113</v>
      </c>
      <c r="F969">
        <f>VLOOKUP(B969,Nuclides!A:F,4,FALSE)</f>
        <v>6.6</v>
      </c>
      <c r="G969" s="4" t="str">
        <f t="shared" si="89"/>
        <v>6.6s</v>
      </c>
      <c r="H969" s="4">
        <f t="shared" si="90"/>
        <v>0.1050223000848402</v>
      </c>
      <c r="I969" s="4">
        <f t="shared" si="91"/>
        <v>0</v>
      </c>
      <c r="J969" s="4">
        <f t="shared" si="92"/>
        <v>0</v>
      </c>
      <c r="K969" s="4" t="str">
        <f t="shared" si="93"/>
        <v>I113</v>
      </c>
    </row>
    <row r="970" spans="2:11" hidden="1" x14ac:dyDescent="0.2">
      <c r="B970" s="4">
        <v>53114</v>
      </c>
      <c r="C970" s="4">
        <v>0</v>
      </c>
      <c r="D970">
        <v>0</v>
      </c>
      <c r="E970" t="str">
        <f>VLOOKUP(B970,Nuclides!A:F,5,FALSE)</f>
        <v>I114</v>
      </c>
      <c r="F970">
        <f>VLOOKUP(B970,Nuclides!A:F,4,FALSE)</f>
        <v>2.1</v>
      </c>
      <c r="G970" s="4" t="str">
        <f t="shared" si="89"/>
        <v>2.1s</v>
      </c>
      <c r="H970" s="4">
        <f t="shared" si="90"/>
        <v>0.3300700859809263</v>
      </c>
      <c r="I970" s="4">
        <f t="shared" si="91"/>
        <v>0</v>
      </c>
      <c r="J970" s="4">
        <f t="shared" si="92"/>
        <v>0</v>
      </c>
      <c r="K970" s="4" t="str">
        <f t="shared" si="93"/>
        <v>I114</v>
      </c>
    </row>
    <row r="971" spans="2:11" hidden="1" x14ac:dyDescent="0.2">
      <c r="B971" s="4">
        <v>53115</v>
      </c>
      <c r="C971" s="4">
        <v>0</v>
      </c>
      <c r="D971">
        <v>0</v>
      </c>
      <c r="E971" t="str">
        <f>VLOOKUP(B971,Nuclides!A:F,5,FALSE)</f>
        <v>I115</v>
      </c>
      <c r="F971">
        <f>VLOOKUP(B971,Nuclides!A:F,4,FALSE)</f>
        <v>78</v>
      </c>
      <c r="G971" s="4" t="str">
        <f t="shared" si="89"/>
        <v>1.3min</v>
      </c>
      <c r="H971" s="4">
        <f t="shared" si="90"/>
        <v>8.8865023148710937E-3</v>
      </c>
      <c r="I971" s="4">
        <f t="shared" si="91"/>
        <v>0</v>
      </c>
      <c r="J971" s="4">
        <f t="shared" si="92"/>
        <v>0</v>
      </c>
      <c r="K971" s="4" t="str">
        <f t="shared" si="93"/>
        <v>I115</v>
      </c>
    </row>
    <row r="972" spans="2:11" hidden="1" x14ac:dyDescent="0.2">
      <c r="B972" s="4">
        <v>53116</v>
      </c>
      <c r="C972" s="4">
        <v>0</v>
      </c>
      <c r="D972">
        <v>0</v>
      </c>
      <c r="E972" t="str">
        <f>VLOOKUP(B972,Nuclides!A:F,5,FALSE)</f>
        <v>I116</v>
      </c>
      <c r="F972">
        <f>VLOOKUP(B972,Nuclides!A:F,4,FALSE)</f>
        <v>2.91</v>
      </c>
      <c r="G972" s="4" t="str">
        <f t="shared" si="89"/>
        <v>2.91s</v>
      </c>
      <c r="H972" s="4">
        <f t="shared" si="90"/>
        <v>0.23819490740891588</v>
      </c>
      <c r="I972" s="4">
        <f t="shared" si="91"/>
        <v>0</v>
      </c>
      <c r="J972" s="4">
        <f t="shared" si="92"/>
        <v>0</v>
      </c>
      <c r="K972" s="4" t="str">
        <f t="shared" si="93"/>
        <v>I116</v>
      </c>
    </row>
    <row r="973" spans="2:11" hidden="1" x14ac:dyDescent="0.2">
      <c r="B973" s="4">
        <v>53117</v>
      </c>
      <c r="C973" s="4">
        <v>0</v>
      </c>
      <c r="D973">
        <v>0</v>
      </c>
      <c r="E973" t="str">
        <f>VLOOKUP(B973,Nuclides!A:F,5,FALSE)</f>
        <v>I117</v>
      </c>
      <c r="F973">
        <f>VLOOKUP(B973,Nuclides!A:F,4,FALSE)</f>
        <v>133.19999999999999</v>
      </c>
      <c r="G973" s="4" t="str">
        <f t="shared" si="89"/>
        <v>2.22min</v>
      </c>
      <c r="H973" s="4">
        <f t="shared" si="90"/>
        <v>5.2038076618614515E-3</v>
      </c>
      <c r="I973" s="4">
        <f t="shared" si="91"/>
        <v>0</v>
      </c>
      <c r="J973" s="4">
        <f t="shared" si="92"/>
        <v>0</v>
      </c>
      <c r="K973" s="4" t="str">
        <f t="shared" si="93"/>
        <v>I117</v>
      </c>
    </row>
    <row r="974" spans="2:11" hidden="1" x14ac:dyDescent="0.2">
      <c r="B974" s="4">
        <v>53118</v>
      </c>
      <c r="C974" s="4">
        <v>0</v>
      </c>
      <c r="D974">
        <v>0</v>
      </c>
      <c r="E974" t="str">
        <f>VLOOKUP(B974,Nuclides!A:F,5,FALSE)</f>
        <v>I118</v>
      </c>
      <c r="F974">
        <f>VLOOKUP(B974,Nuclides!A:F,4,FALSE)</f>
        <v>822</v>
      </c>
      <c r="G974" s="4" t="str">
        <f t="shared" si="89"/>
        <v>13.7min</v>
      </c>
      <c r="H974" s="4">
        <f t="shared" si="90"/>
        <v>8.4324474520674608E-4</v>
      </c>
      <c r="I974" s="4">
        <f t="shared" si="91"/>
        <v>0</v>
      </c>
      <c r="J974" s="4">
        <f t="shared" si="92"/>
        <v>0</v>
      </c>
      <c r="K974" s="4" t="str">
        <f t="shared" si="93"/>
        <v>I118</v>
      </c>
    </row>
    <row r="975" spans="2:11" hidden="1" x14ac:dyDescent="0.2">
      <c r="B975" s="4">
        <v>53119</v>
      </c>
      <c r="C975" s="4">
        <v>0</v>
      </c>
      <c r="D975">
        <v>0</v>
      </c>
      <c r="E975" t="str">
        <f>VLOOKUP(B975,Nuclides!A:F,5,FALSE)</f>
        <v>I119</v>
      </c>
      <c r="F975">
        <f>VLOOKUP(B975,Nuclides!A:F,4,FALSE)</f>
        <v>1146</v>
      </c>
      <c r="G975" s="4" t="str">
        <f t="shared" si="89"/>
        <v>19.1min</v>
      </c>
      <c r="H975" s="4">
        <f t="shared" si="90"/>
        <v>6.0484047169279695E-4</v>
      </c>
      <c r="I975" s="4">
        <f t="shared" si="91"/>
        <v>0</v>
      </c>
      <c r="J975" s="4">
        <f t="shared" si="92"/>
        <v>0</v>
      </c>
      <c r="K975" s="4" t="str">
        <f t="shared" si="93"/>
        <v>I119</v>
      </c>
    </row>
    <row r="976" spans="2:11" hidden="1" x14ac:dyDescent="0.2">
      <c r="B976" s="4">
        <v>53120</v>
      </c>
      <c r="C976" s="4">
        <v>0</v>
      </c>
      <c r="D976">
        <v>0</v>
      </c>
      <c r="E976" t="str">
        <f>VLOOKUP(B976,Nuclides!A:F,5,FALSE)</f>
        <v>I120</v>
      </c>
      <c r="F976">
        <f>VLOOKUP(B976,Nuclides!A:F,4,FALSE)</f>
        <v>4896</v>
      </c>
      <c r="G976" s="4" t="str">
        <f t="shared" si="89"/>
        <v>1.36h</v>
      </c>
      <c r="H976" s="4">
        <f t="shared" si="90"/>
        <v>1.4157417903593654E-4</v>
      </c>
      <c r="I976" s="4">
        <f t="shared" si="91"/>
        <v>0</v>
      </c>
      <c r="J976" s="4">
        <f t="shared" si="92"/>
        <v>0</v>
      </c>
      <c r="K976" s="4" t="str">
        <f t="shared" si="93"/>
        <v>I120</v>
      </c>
    </row>
    <row r="977" spans="2:11" hidden="1" x14ac:dyDescent="0.2">
      <c r="B977" s="4">
        <v>53121</v>
      </c>
      <c r="C977" s="4">
        <v>0</v>
      </c>
      <c r="D977">
        <v>0</v>
      </c>
      <c r="E977" t="str">
        <f>VLOOKUP(B977,Nuclides!A:F,5,FALSE)</f>
        <v>I121</v>
      </c>
      <c r="F977">
        <f>VLOOKUP(B977,Nuclides!A:F,4,FALSE)</f>
        <v>7632</v>
      </c>
      <c r="G977" s="4" t="str">
        <f t="shared" si="89"/>
        <v>2.12h</v>
      </c>
      <c r="H977" s="4">
        <f t="shared" si="90"/>
        <v>9.0821171457015893E-5</v>
      </c>
      <c r="I977" s="4">
        <f t="shared" si="91"/>
        <v>0</v>
      </c>
      <c r="J977" s="4">
        <f t="shared" si="92"/>
        <v>0</v>
      </c>
      <c r="K977" s="4" t="str">
        <f t="shared" si="93"/>
        <v>I121</v>
      </c>
    </row>
    <row r="978" spans="2:11" hidden="1" x14ac:dyDescent="0.2">
      <c r="B978" s="4">
        <v>53122</v>
      </c>
      <c r="C978" s="4">
        <v>0</v>
      </c>
      <c r="D978">
        <v>0</v>
      </c>
      <c r="E978" t="str">
        <f>VLOOKUP(B978,Nuclides!A:F,5,FALSE)</f>
        <v>I122</v>
      </c>
      <c r="F978">
        <f>VLOOKUP(B978,Nuclides!A:F,4,FALSE)</f>
        <v>217.79999999999899</v>
      </c>
      <c r="G978" s="4" t="str">
        <f t="shared" si="89"/>
        <v>3.63min</v>
      </c>
      <c r="H978" s="4">
        <f t="shared" si="90"/>
        <v>3.1824939419648692E-3</v>
      </c>
      <c r="I978" s="4">
        <f t="shared" si="91"/>
        <v>0</v>
      </c>
      <c r="J978" s="4">
        <f t="shared" si="92"/>
        <v>0</v>
      </c>
      <c r="K978" s="4" t="str">
        <f t="shared" si="93"/>
        <v>I122</v>
      </c>
    </row>
    <row r="979" spans="2:11" hidden="1" x14ac:dyDescent="0.2">
      <c r="B979" s="4">
        <v>53123</v>
      </c>
      <c r="C979" s="4">
        <v>0</v>
      </c>
      <c r="D979">
        <v>0</v>
      </c>
      <c r="E979" t="str">
        <f>VLOOKUP(B979,Nuclides!A:F,5,FALSE)</f>
        <v>I123</v>
      </c>
      <c r="F979">
        <f>VLOOKUP(B979,Nuclides!A:F,4,FALSE)</f>
        <v>47604.6</v>
      </c>
      <c r="G979" s="4" t="str">
        <f t="shared" si="89"/>
        <v>13.22h</v>
      </c>
      <c r="H979" s="4">
        <f t="shared" si="90"/>
        <v>1.4560508450022588E-5</v>
      </c>
      <c r="I979" s="4">
        <f t="shared" si="91"/>
        <v>0</v>
      </c>
      <c r="J979" s="4">
        <f t="shared" si="92"/>
        <v>0</v>
      </c>
      <c r="K979" s="4" t="str">
        <f t="shared" si="93"/>
        <v>I123</v>
      </c>
    </row>
    <row r="980" spans="2:11" hidden="1" x14ac:dyDescent="0.2">
      <c r="B980" s="4">
        <v>53124</v>
      </c>
      <c r="C980" s="4">
        <v>0</v>
      </c>
      <c r="D980">
        <v>0</v>
      </c>
      <c r="E980" t="str">
        <f>VLOOKUP(B980,Nuclides!A:F,5,FALSE)</f>
        <v>I124</v>
      </c>
      <c r="F980">
        <f>VLOOKUP(B980,Nuclides!A:F,4,FALSE)</f>
        <v>360806.40000000002</v>
      </c>
      <c r="G980" s="4" t="str">
        <f t="shared" si="89"/>
        <v>4.18d</v>
      </c>
      <c r="H980" s="4">
        <f t="shared" si="90"/>
        <v>1.9211055584378362E-6</v>
      </c>
      <c r="I980" s="4">
        <f t="shared" si="91"/>
        <v>0</v>
      </c>
      <c r="J980" s="4">
        <f t="shared" si="92"/>
        <v>0</v>
      </c>
      <c r="K980" s="4" t="str">
        <f t="shared" si="93"/>
        <v>I124</v>
      </c>
    </row>
    <row r="981" spans="2:11" hidden="1" x14ac:dyDescent="0.2">
      <c r="B981" s="4">
        <v>53125</v>
      </c>
      <c r="C981" s="4">
        <v>0</v>
      </c>
      <c r="D981">
        <v>0</v>
      </c>
      <c r="E981" t="str">
        <f>VLOOKUP(B981,Nuclides!A:F,5,FALSE)</f>
        <v>I125</v>
      </c>
      <c r="F981">
        <f>VLOOKUP(B981,Nuclides!A:F,4,FALSE)</f>
        <v>5132764.8</v>
      </c>
      <c r="G981" s="4" t="str">
        <f t="shared" si="89"/>
        <v>59.41d</v>
      </c>
      <c r="H981" s="4">
        <f t="shared" si="90"/>
        <v>1.3504362805791244E-7</v>
      </c>
      <c r="I981" s="4">
        <f t="shared" si="91"/>
        <v>0</v>
      </c>
      <c r="J981" s="4">
        <f t="shared" si="92"/>
        <v>0</v>
      </c>
      <c r="K981" s="4" t="str">
        <f t="shared" si="93"/>
        <v>I125</v>
      </c>
    </row>
    <row r="982" spans="2:11" hidden="1" x14ac:dyDescent="0.2">
      <c r="B982" s="4">
        <v>53126</v>
      </c>
      <c r="C982" s="4">
        <v>0</v>
      </c>
      <c r="D982">
        <v>0</v>
      </c>
      <c r="E982" t="str">
        <f>VLOOKUP(B982,Nuclides!A:F,5,FALSE)</f>
        <v>I126</v>
      </c>
      <c r="F982">
        <f>VLOOKUP(B982,Nuclides!A:F,4,FALSE)</f>
        <v>1117152</v>
      </c>
      <c r="G982" s="4" t="str">
        <f t="shared" si="89"/>
        <v>12.93d</v>
      </c>
      <c r="H982" s="4">
        <f t="shared" si="90"/>
        <v>6.2045915019616423E-7</v>
      </c>
      <c r="I982" s="4">
        <f t="shared" si="91"/>
        <v>0</v>
      </c>
      <c r="J982" s="4">
        <f t="shared" si="92"/>
        <v>0</v>
      </c>
      <c r="K982" s="4" t="str">
        <f t="shared" si="93"/>
        <v>I126</v>
      </c>
    </row>
    <row r="983" spans="2:11" hidden="1" x14ac:dyDescent="0.2">
      <c r="B983" s="4">
        <v>53127</v>
      </c>
      <c r="C983" s="4">
        <v>0</v>
      </c>
      <c r="D983">
        <v>0</v>
      </c>
      <c r="E983" t="str">
        <f>VLOOKUP(B983,Nuclides!A:F,5,FALSE)</f>
        <v>I127</v>
      </c>
      <c r="F983" t="str">
        <f>VLOOKUP(B983,Nuclides!A:F,4,FALSE)</f>
        <v>STABLE</v>
      </c>
      <c r="G983" s="4" t="str">
        <f t="shared" si="89"/>
        <v>STABLE</v>
      </c>
      <c r="H983" s="4" t="e">
        <f t="shared" si="90"/>
        <v>#VALUE!</v>
      </c>
      <c r="I983" s="4" t="e">
        <f t="shared" si="91"/>
        <v>#VALUE!</v>
      </c>
      <c r="J983" s="4" t="e">
        <f t="shared" si="92"/>
        <v>#VALUE!</v>
      </c>
      <c r="K983" s="4" t="str">
        <f t="shared" si="93"/>
        <v>I127</v>
      </c>
    </row>
    <row r="984" spans="2:11" hidden="1" x14ac:dyDescent="0.2">
      <c r="B984" s="4">
        <v>53128</v>
      </c>
      <c r="C984" s="4">
        <v>0</v>
      </c>
      <c r="D984">
        <v>0</v>
      </c>
      <c r="E984" t="str">
        <f>VLOOKUP(B984,Nuclides!A:F,5,FALSE)</f>
        <v>I128</v>
      </c>
      <c r="F984">
        <f>VLOOKUP(B984,Nuclides!A:F,4,FALSE)</f>
        <v>1499.3999999999901</v>
      </c>
      <c r="G984" s="4" t="str">
        <f t="shared" si="89"/>
        <v>24.99min</v>
      </c>
      <c r="H984" s="4">
        <f t="shared" si="90"/>
        <v>4.622830335867346E-4</v>
      </c>
      <c r="I984" s="4">
        <f t="shared" si="91"/>
        <v>0</v>
      </c>
      <c r="J984" s="4">
        <f t="shared" si="92"/>
        <v>0</v>
      </c>
      <c r="K984" s="4" t="str">
        <f t="shared" si="93"/>
        <v>I128</v>
      </c>
    </row>
    <row r="985" spans="2:11" hidden="1" x14ac:dyDescent="0.2">
      <c r="B985" s="4">
        <v>53129</v>
      </c>
      <c r="C985" s="4">
        <v>0</v>
      </c>
      <c r="D985">
        <v>0</v>
      </c>
      <c r="E985" t="str">
        <f>VLOOKUP(B985,Nuclides!A:F,5,FALSE)</f>
        <v>I129</v>
      </c>
      <c r="F985">
        <f>VLOOKUP(B985,Nuclides!A:F,4,FALSE)</f>
        <v>495454320000000</v>
      </c>
      <c r="G985" s="4" t="str">
        <f t="shared" si="89"/>
        <v>15710753.42y</v>
      </c>
      <c r="H985" s="4">
        <f t="shared" si="90"/>
        <v>1.3990132946261228E-15</v>
      </c>
      <c r="I985" s="4">
        <f t="shared" si="91"/>
        <v>0</v>
      </c>
      <c r="J985" s="4">
        <f t="shared" si="92"/>
        <v>0</v>
      </c>
      <c r="K985" s="4" t="str">
        <f t="shared" si="93"/>
        <v>I129</v>
      </c>
    </row>
    <row r="986" spans="2:11" hidden="1" x14ac:dyDescent="0.2">
      <c r="B986" s="4">
        <v>53130</v>
      </c>
      <c r="C986" s="4">
        <v>0</v>
      </c>
      <c r="D986">
        <v>0</v>
      </c>
      <c r="E986" t="str">
        <f>VLOOKUP(B986,Nuclides!A:F,5,FALSE)</f>
        <v>I130</v>
      </c>
      <c r="F986">
        <f>VLOOKUP(B986,Nuclides!A:F,4,FALSE)</f>
        <v>44496</v>
      </c>
      <c r="G986" s="4" t="str">
        <f t="shared" si="89"/>
        <v>12.36h</v>
      </c>
      <c r="H986" s="4">
        <f t="shared" si="90"/>
        <v>1.5577741382594957E-5</v>
      </c>
      <c r="I986" s="4">
        <f t="shared" si="91"/>
        <v>0</v>
      </c>
      <c r="J986" s="4">
        <f t="shared" si="92"/>
        <v>0</v>
      </c>
      <c r="K986" s="4" t="str">
        <f t="shared" si="93"/>
        <v>I130</v>
      </c>
    </row>
    <row r="987" spans="2:11" hidden="1" x14ac:dyDescent="0.2">
      <c r="B987" s="4">
        <v>53131</v>
      </c>
      <c r="C987" s="4">
        <v>0</v>
      </c>
      <c r="D987">
        <v>0</v>
      </c>
      <c r="E987" t="str">
        <f>VLOOKUP(B987,Nuclides!A:F,5,FALSE)</f>
        <v>I131</v>
      </c>
      <c r="F987">
        <f>VLOOKUP(B987,Nuclides!A:F,4,FALSE)</f>
        <v>693377.28</v>
      </c>
      <c r="G987" s="4" t="str">
        <f t="shared" si="89"/>
        <v>8.03d</v>
      </c>
      <c r="H987" s="4">
        <f t="shared" si="90"/>
        <v>9.9966814684199819E-7</v>
      </c>
      <c r="I987" s="4">
        <f t="shared" si="91"/>
        <v>0</v>
      </c>
      <c r="J987" s="4">
        <f t="shared" si="92"/>
        <v>0</v>
      </c>
      <c r="K987" s="4" t="str">
        <f t="shared" si="93"/>
        <v>I131</v>
      </c>
    </row>
    <row r="988" spans="2:11" hidden="1" x14ac:dyDescent="0.2">
      <c r="B988" s="4">
        <v>53132</v>
      </c>
      <c r="C988" s="4">
        <v>0</v>
      </c>
      <c r="D988">
        <v>0</v>
      </c>
      <c r="E988" t="str">
        <f>VLOOKUP(B988,Nuclides!A:F,5,FALSE)</f>
        <v>I132</v>
      </c>
      <c r="F988">
        <f>VLOOKUP(B988,Nuclides!A:F,4,FALSE)</f>
        <v>8262</v>
      </c>
      <c r="G988" s="4" t="str">
        <f t="shared" si="89"/>
        <v>2.3h</v>
      </c>
      <c r="H988" s="4">
        <f t="shared" si="90"/>
        <v>8.389580979907351E-5</v>
      </c>
      <c r="I988" s="4">
        <f t="shared" si="91"/>
        <v>0</v>
      </c>
      <c r="J988" s="4">
        <f t="shared" si="92"/>
        <v>0</v>
      </c>
      <c r="K988" s="4" t="str">
        <f t="shared" si="93"/>
        <v>I132</v>
      </c>
    </row>
    <row r="989" spans="2:11" hidden="1" x14ac:dyDescent="0.2">
      <c r="B989" s="4">
        <v>53133</v>
      </c>
      <c r="C989" s="4">
        <v>0</v>
      </c>
      <c r="D989">
        <v>0</v>
      </c>
      <c r="E989" t="str">
        <f>VLOOKUP(B989,Nuclides!A:F,5,FALSE)</f>
        <v>I133</v>
      </c>
      <c r="F989">
        <f>VLOOKUP(B989,Nuclides!A:F,4,FALSE)</f>
        <v>74988</v>
      </c>
      <c r="G989" s="4" t="str">
        <f t="shared" si="89"/>
        <v>20.83h</v>
      </c>
      <c r="H989" s="4">
        <f t="shared" si="90"/>
        <v>9.2434413580832301E-6</v>
      </c>
      <c r="I989" s="4">
        <f t="shared" si="91"/>
        <v>0</v>
      </c>
      <c r="J989" s="4">
        <f t="shared" si="92"/>
        <v>0</v>
      </c>
      <c r="K989" s="4" t="str">
        <f t="shared" si="93"/>
        <v>I133</v>
      </c>
    </row>
    <row r="990" spans="2:11" hidden="1" x14ac:dyDescent="0.2">
      <c r="B990" s="4">
        <v>53134</v>
      </c>
      <c r="C990" s="4">
        <v>0</v>
      </c>
      <c r="D990">
        <v>0</v>
      </c>
      <c r="E990" t="str">
        <f>VLOOKUP(B990,Nuclides!A:F,5,FALSE)</f>
        <v>I134</v>
      </c>
      <c r="F990">
        <f>VLOOKUP(B990,Nuclides!A:F,4,FALSE)</f>
        <v>3150</v>
      </c>
      <c r="G990" s="4" t="str">
        <f t="shared" si="89"/>
        <v>52.5min</v>
      </c>
      <c r="H990" s="4">
        <f t="shared" si="90"/>
        <v>2.2004672398728421E-4</v>
      </c>
      <c r="I990" s="4">
        <f t="shared" si="91"/>
        <v>0</v>
      </c>
      <c r="J990" s="4">
        <f t="shared" si="92"/>
        <v>0</v>
      </c>
      <c r="K990" s="4" t="str">
        <f t="shared" si="93"/>
        <v>I134</v>
      </c>
    </row>
    <row r="991" spans="2:11" hidden="1" x14ac:dyDescent="0.2">
      <c r="B991" s="4">
        <v>53135</v>
      </c>
      <c r="C991" s="4">
        <v>0</v>
      </c>
      <c r="D991">
        <v>0</v>
      </c>
      <c r="E991" t="str">
        <f>VLOOKUP(B991,Nuclides!A:F,5,FALSE)</f>
        <v>I135</v>
      </c>
      <c r="F991">
        <f>VLOOKUP(B991,Nuclides!A:F,4,FALSE)</f>
        <v>23688</v>
      </c>
      <c r="G991" s="4" t="str">
        <f t="shared" si="89"/>
        <v>6.58h</v>
      </c>
      <c r="H991" s="4">
        <f t="shared" si="90"/>
        <v>2.9261532445117581E-5</v>
      </c>
      <c r="I991" s="4">
        <f t="shared" si="91"/>
        <v>0</v>
      </c>
      <c r="J991" s="4">
        <f t="shared" si="92"/>
        <v>0</v>
      </c>
      <c r="K991" s="4" t="str">
        <f t="shared" si="93"/>
        <v>I135</v>
      </c>
    </row>
    <row r="992" spans="2:11" hidden="1" x14ac:dyDescent="0.2">
      <c r="B992" s="4">
        <v>53136</v>
      </c>
      <c r="C992" s="4">
        <v>0</v>
      </c>
      <c r="D992">
        <v>0</v>
      </c>
      <c r="E992" t="str">
        <f>VLOOKUP(B992,Nuclides!A:F,5,FALSE)</f>
        <v>I136</v>
      </c>
      <c r="F992">
        <f>VLOOKUP(B992,Nuclides!A:F,4,FALSE)</f>
        <v>83.4</v>
      </c>
      <c r="G992" s="4" t="str">
        <f t="shared" si="89"/>
        <v>1.39min</v>
      </c>
      <c r="H992" s="4">
        <f t="shared" si="90"/>
        <v>8.3111172729010228E-3</v>
      </c>
      <c r="I992" s="4">
        <f t="shared" si="91"/>
        <v>0</v>
      </c>
      <c r="J992" s="4">
        <f t="shared" si="92"/>
        <v>0</v>
      </c>
      <c r="K992" s="4" t="str">
        <f t="shared" si="93"/>
        <v>I136</v>
      </c>
    </row>
    <row r="993" spans="2:11" hidden="1" x14ac:dyDescent="0.2">
      <c r="B993" s="4">
        <v>53137</v>
      </c>
      <c r="C993" s="4">
        <v>0</v>
      </c>
      <c r="D993">
        <v>0</v>
      </c>
      <c r="E993" t="str">
        <f>VLOOKUP(B993,Nuclides!A:F,5,FALSE)</f>
        <v>I137</v>
      </c>
      <c r="F993">
        <f>VLOOKUP(B993,Nuclides!A:F,4,FALSE)</f>
        <v>24.5</v>
      </c>
      <c r="G993" s="4" t="str">
        <f t="shared" si="89"/>
        <v>24.5s</v>
      </c>
      <c r="H993" s="4">
        <f t="shared" si="90"/>
        <v>2.829172165550797E-2</v>
      </c>
      <c r="I993" s="4">
        <f t="shared" si="91"/>
        <v>0</v>
      </c>
      <c r="J993" s="4">
        <f t="shared" si="92"/>
        <v>0</v>
      </c>
      <c r="K993" s="4" t="str">
        <f t="shared" si="93"/>
        <v>I137</v>
      </c>
    </row>
    <row r="994" spans="2:11" hidden="1" x14ac:dyDescent="0.2">
      <c r="B994" s="4">
        <v>53138</v>
      </c>
      <c r="C994" s="4">
        <v>0</v>
      </c>
      <c r="D994">
        <v>0</v>
      </c>
      <c r="E994" t="str">
        <f>VLOOKUP(B994,Nuclides!A:F,5,FALSE)</f>
        <v>I138</v>
      </c>
      <c r="F994">
        <f>VLOOKUP(B994,Nuclides!A:F,4,FALSE)</f>
        <v>6.23</v>
      </c>
      <c r="G994" s="4" t="str">
        <f t="shared" si="89"/>
        <v>6.23s</v>
      </c>
      <c r="H994" s="4">
        <f t="shared" si="90"/>
        <v>0.11125957954413246</v>
      </c>
      <c r="I994" s="4">
        <f t="shared" si="91"/>
        <v>0</v>
      </c>
      <c r="J994" s="4">
        <f t="shared" si="92"/>
        <v>0</v>
      </c>
      <c r="K994" s="4" t="str">
        <f t="shared" si="93"/>
        <v>I138</v>
      </c>
    </row>
    <row r="995" spans="2:11" hidden="1" x14ac:dyDescent="0.2">
      <c r="B995" s="4">
        <v>53139</v>
      </c>
      <c r="C995" s="4">
        <v>0</v>
      </c>
      <c r="D995">
        <v>0</v>
      </c>
      <c r="E995" t="str">
        <f>VLOOKUP(B995,Nuclides!A:F,5,FALSE)</f>
        <v>I139</v>
      </c>
      <c r="F995">
        <f>VLOOKUP(B995,Nuclides!A:F,4,FALSE)</f>
        <v>2.2799999999999998</v>
      </c>
      <c r="G995" s="4" t="str">
        <f t="shared" si="89"/>
        <v>2.28s</v>
      </c>
      <c r="H995" s="4">
        <f t="shared" si="90"/>
        <v>0.30401192129822163</v>
      </c>
      <c r="I995" s="4">
        <f t="shared" si="91"/>
        <v>0</v>
      </c>
      <c r="J995" s="4">
        <f t="shared" si="92"/>
        <v>0</v>
      </c>
      <c r="K995" s="4" t="str">
        <f t="shared" si="93"/>
        <v>I139</v>
      </c>
    </row>
    <row r="996" spans="2:11" hidden="1" x14ac:dyDescent="0.2">
      <c r="B996" s="4">
        <v>53140</v>
      </c>
      <c r="C996" s="4">
        <v>0</v>
      </c>
      <c r="D996">
        <v>0</v>
      </c>
      <c r="E996" t="str">
        <f>VLOOKUP(B996,Nuclides!A:F,5,FALSE)</f>
        <v>I140</v>
      </c>
      <c r="F996">
        <f>VLOOKUP(B996,Nuclides!A:F,4,FALSE)</f>
        <v>0.86</v>
      </c>
      <c r="G996" s="4" t="str">
        <f t="shared" si="89"/>
        <v>0.86s</v>
      </c>
      <c r="H996" s="4">
        <f t="shared" si="90"/>
        <v>0.805985093674355</v>
      </c>
      <c r="I996" s="4">
        <f t="shared" si="91"/>
        <v>0</v>
      </c>
      <c r="J996" s="4">
        <f t="shared" si="92"/>
        <v>0</v>
      </c>
      <c r="K996" s="4" t="str">
        <f t="shared" si="93"/>
        <v>I140</v>
      </c>
    </row>
    <row r="997" spans="2:11" hidden="1" x14ac:dyDescent="0.2">
      <c r="B997" s="4">
        <v>53141</v>
      </c>
      <c r="C997" s="4">
        <v>0</v>
      </c>
      <c r="D997">
        <v>0</v>
      </c>
      <c r="E997" t="str">
        <f>VLOOKUP(B997,Nuclides!A:F,5,FALSE)</f>
        <v>I141</v>
      </c>
      <c r="F997">
        <f>VLOOKUP(B997,Nuclides!A:F,4,FALSE)</f>
        <v>0.43</v>
      </c>
      <c r="G997" s="4" t="str">
        <f t="shared" si="89"/>
        <v>0.43s</v>
      </c>
      <c r="H997" s="4">
        <f t="shared" si="90"/>
        <v>1.61197018734871</v>
      </c>
      <c r="I997" s="4">
        <f t="shared" si="91"/>
        <v>0</v>
      </c>
      <c r="J997" s="4">
        <f t="shared" si="92"/>
        <v>0</v>
      </c>
      <c r="K997" s="4" t="str">
        <f t="shared" si="93"/>
        <v>I141</v>
      </c>
    </row>
    <row r="998" spans="2:11" hidden="1" x14ac:dyDescent="0.2">
      <c r="B998" s="4">
        <v>53142</v>
      </c>
      <c r="C998" s="4">
        <v>0</v>
      </c>
      <c r="D998">
        <v>0</v>
      </c>
      <c r="E998" t="str">
        <f>VLOOKUP(B998,Nuclides!A:F,5,FALSE)</f>
        <v>I142</v>
      </c>
      <c r="F998">
        <f>VLOOKUP(B998,Nuclides!A:F,4,FALSE)</f>
        <v>0.222</v>
      </c>
      <c r="G998" s="4" t="str">
        <f t="shared" si="89"/>
        <v>0.222s</v>
      </c>
      <c r="H998" s="4">
        <f t="shared" si="90"/>
        <v>3.1222845971168707</v>
      </c>
      <c r="I998" s="4">
        <f t="shared" si="91"/>
        <v>0</v>
      </c>
      <c r="J998" s="4">
        <f t="shared" si="92"/>
        <v>0</v>
      </c>
      <c r="K998" s="4" t="str">
        <f t="shared" si="93"/>
        <v>I142</v>
      </c>
    </row>
    <row r="999" spans="2:11" hidden="1" x14ac:dyDescent="0.2">
      <c r="B999" s="4">
        <v>54110</v>
      </c>
      <c r="C999" s="4">
        <v>0</v>
      </c>
      <c r="D999">
        <v>0</v>
      </c>
      <c r="E999" t="str">
        <f>VLOOKUP(B999,Nuclides!A:F,5,FALSE)</f>
        <v>Xe110</v>
      </c>
      <c r="F999">
        <f>VLOOKUP(B999,Nuclides!A:F,4,FALSE)</f>
        <v>9.2999999999999999E-2</v>
      </c>
      <c r="G999" s="4" t="str">
        <f t="shared" si="89"/>
        <v>0.093s</v>
      </c>
      <c r="H999" s="4">
        <f t="shared" si="90"/>
        <v>7.4531954898918853</v>
      </c>
      <c r="I999" s="4">
        <f t="shared" si="91"/>
        <v>0</v>
      </c>
      <c r="J999" s="4">
        <f t="shared" si="92"/>
        <v>0</v>
      </c>
      <c r="K999" s="4" t="str">
        <f t="shared" si="93"/>
        <v>Xe110</v>
      </c>
    </row>
    <row r="1000" spans="2:11" hidden="1" x14ac:dyDescent="0.2">
      <c r="B1000" s="4">
        <v>54111</v>
      </c>
      <c r="C1000" s="4">
        <v>0</v>
      </c>
      <c r="D1000">
        <v>0</v>
      </c>
      <c r="E1000" t="str">
        <f>VLOOKUP(B1000,Nuclides!A:F,5,FALSE)</f>
        <v>Xe111</v>
      </c>
      <c r="F1000">
        <f>VLOOKUP(B1000,Nuclides!A:F,4,FALSE)</f>
        <v>0.81</v>
      </c>
      <c r="G1000" s="4" t="str">
        <f t="shared" si="89"/>
        <v>0.81s</v>
      </c>
      <c r="H1000" s="4">
        <f t="shared" si="90"/>
        <v>0.85573725995054972</v>
      </c>
      <c r="I1000" s="4">
        <f t="shared" si="91"/>
        <v>0</v>
      </c>
      <c r="J1000" s="4">
        <f t="shared" si="92"/>
        <v>0</v>
      </c>
      <c r="K1000" s="4" t="str">
        <f t="shared" si="93"/>
        <v>Xe111</v>
      </c>
    </row>
    <row r="1001" spans="2:11" hidden="1" x14ac:dyDescent="0.2">
      <c r="B1001" s="4">
        <v>54112</v>
      </c>
      <c r="C1001" s="4">
        <v>0</v>
      </c>
      <c r="D1001">
        <v>0</v>
      </c>
      <c r="E1001" t="str">
        <f>VLOOKUP(B1001,Nuclides!A:F,5,FALSE)</f>
        <v>Xe112</v>
      </c>
      <c r="F1001">
        <f>VLOOKUP(B1001,Nuclides!A:F,4,FALSE)</f>
        <v>2.7</v>
      </c>
      <c r="G1001" s="4" t="str">
        <f t="shared" si="89"/>
        <v>2.7s</v>
      </c>
      <c r="H1001" s="4">
        <f t="shared" si="90"/>
        <v>0.25672117798516492</v>
      </c>
      <c r="I1001" s="4">
        <f t="shared" si="91"/>
        <v>0</v>
      </c>
      <c r="J1001" s="4">
        <f t="shared" si="92"/>
        <v>0</v>
      </c>
      <c r="K1001" s="4" t="str">
        <f t="shared" si="93"/>
        <v>Xe112</v>
      </c>
    </row>
    <row r="1002" spans="2:11" hidden="1" x14ac:dyDescent="0.2">
      <c r="B1002" s="4">
        <v>54113</v>
      </c>
      <c r="C1002" s="4">
        <v>0</v>
      </c>
      <c r="D1002">
        <v>0</v>
      </c>
      <c r="E1002" t="str">
        <f>VLOOKUP(B1002,Nuclides!A:F,5,FALSE)</f>
        <v>Xe113</v>
      </c>
      <c r="F1002">
        <f>VLOOKUP(B1002,Nuclides!A:F,4,FALSE)</f>
        <v>2.74</v>
      </c>
      <c r="G1002" s="4" t="str">
        <f t="shared" si="89"/>
        <v>2.74s</v>
      </c>
      <c r="H1002" s="4">
        <f t="shared" si="90"/>
        <v>0.25297342356202379</v>
      </c>
      <c r="I1002" s="4">
        <f t="shared" si="91"/>
        <v>0</v>
      </c>
      <c r="J1002" s="4">
        <f t="shared" si="92"/>
        <v>0</v>
      </c>
      <c r="K1002" s="4" t="str">
        <f t="shared" si="93"/>
        <v>Xe113</v>
      </c>
    </row>
    <row r="1003" spans="2:11" hidden="1" x14ac:dyDescent="0.2">
      <c r="B1003" s="4">
        <v>54114</v>
      </c>
      <c r="C1003" s="4">
        <v>0</v>
      </c>
      <c r="D1003">
        <v>0</v>
      </c>
      <c r="E1003" t="str">
        <f>VLOOKUP(B1003,Nuclides!A:F,5,FALSE)</f>
        <v>Xe114</v>
      </c>
      <c r="F1003">
        <f>VLOOKUP(B1003,Nuclides!A:F,4,FALSE)</f>
        <v>10</v>
      </c>
      <c r="G1003" s="4" t="str">
        <f t="shared" si="89"/>
        <v>10s</v>
      </c>
      <c r="H1003" s="4">
        <f t="shared" si="90"/>
        <v>6.9314718055994526E-2</v>
      </c>
      <c r="I1003" s="4">
        <f t="shared" si="91"/>
        <v>0</v>
      </c>
      <c r="J1003" s="4">
        <f t="shared" si="92"/>
        <v>0</v>
      </c>
      <c r="K1003" s="4" t="str">
        <f t="shared" si="93"/>
        <v>Xe114</v>
      </c>
    </row>
    <row r="1004" spans="2:11" hidden="1" x14ac:dyDescent="0.2">
      <c r="B1004" s="4">
        <v>54115</v>
      </c>
      <c r="C1004" s="4">
        <v>0</v>
      </c>
      <c r="D1004">
        <v>0</v>
      </c>
      <c r="E1004" t="str">
        <f>VLOOKUP(B1004,Nuclides!A:F,5,FALSE)</f>
        <v>Xe115</v>
      </c>
      <c r="F1004">
        <f>VLOOKUP(B1004,Nuclides!A:F,4,FALSE)</f>
        <v>18</v>
      </c>
      <c r="G1004" s="4" t="str">
        <f t="shared" si="89"/>
        <v>18s</v>
      </c>
      <c r="H1004" s="4">
        <f t="shared" si="90"/>
        <v>3.8508176697774739E-2</v>
      </c>
      <c r="I1004" s="4">
        <f t="shared" si="91"/>
        <v>0</v>
      </c>
      <c r="J1004" s="4">
        <f t="shared" si="92"/>
        <v>0</v>
      </c>
      <c r="K1004" s="4" t="str">
        <f t="shared" si="93"/>
        <v>Xe115</v>
      </c>
    </row>
    <row r="1005" spans="2:11" hidden="1" x14ac:dyDescent="0.2">
      <c r="B1005" s="4">
        <v>54116</v>
      </c>
      <c r="C1005" s="4">
        <v>0</v>
      </c>
      <c r="D1005">
        <v>0</v>
      </c>
      <c r="E1005" t="str">
        <f>VLOOKUP(B1005,Nuclides!A:F,5,FALSE)</f>
        <v>Xe116</v>
      </c>
      <c r="F1005">
        <f>VLOOKUP(B1005,Nuclides!A:F,4,FALSE)</f>
        <v>59</v>
      </c>
      <c r="G1005" s="4" t="str">
        <f t="shared" si="89"/>
        <v>59s</v>
      </c>
      <c r="H1005" s="4">
        <f t="shared" si="90"/>
        <v>1.1748257297626191E-2</v>
      </c>
      <c r="I1005" s="4">
        <f t="shared" si="91"/>
        <v>0</v>
      </c>
      <c r="J1005" s="4">
        <f t="shared" si="92"/>
        <v>0</v>
      </c>
      <c r="K1005" s="4" t="str">
        <f t="shared" si="93"/>
        <v>Xe116</v>
      </c>
    </row>
    <row r="1006" spans="2:11" hidden="1" x14ac:dyDescent="0.2">
      <c r="B1006" s="4">
        <v>54117</v>
      </c>
      <c r="C1006" s="4">
        <v>0</v>
      </c>
      <c r="D1006">
        <v>0</v>
      </c>
      <c r="E1006" t="str">
        <f>VLOOKUP(B1006,Nuclides!A:F,5,FALSE)</f>
        <v>Xe117</v>
      </c>
      <c r="F1006">
        <f>VLOOKUP(B1006,Nuclides!A:F,4,FALSE)</f>
        <v>61</v>
      </c>
      <c r="G1006" s="4" t="str">
        <f t="shared" si="89"/>
        <v>1.02min</v>
      </c>
      <c r="H1006" s="4">
        <f t="shared" si="90"/>
        <v>1.1363068533769595E-2</v>
      </c>
      <c r="I1006" s="4">
        <f t="shared" si="91"/>
        <v>0</v>
      </c>
      <c r="J1006" s="4">
        <f t="shared" si="92"/>
        <v>0</v>
      </c>
      <c r="K1006" s="4" t="str">
        <f t="shared" si="93"/>
        <v>Xe117</v>
      </c>
    </row>
    <row r="1007" spans="2:11" hidden="1" x14ac:dyDescent="0.2">
      <c r="B1007" s="4">
        <v>54118</v>
      </c>
      <c r="C1007" s="4">
        <v>0</v>
      </c>
      <c r="D1007">
        <v>0</v>
      </c>
      <c r="E1007" t="str">
        <f>VLOOKUP(B1007,Nuclides!A:F,5,FALSE)</f>
        <v>Xe118</v>
      </c>
      <c r="F1007">
        <f>VLOOKUP(B1007,Nuclides!A:F,4,FALSE)</f>
        <v>228</v>
      </c>
      <c r="G1007" s="4" t="str">
        <f t="shared" si="89"/>
        <v>3.8min</v>
      </c>
      <c r="H1007" s="4">
        <f t="shared" si="90"/>
        <v>3.040119212982216E-3</v>
      </c>
      <c r="I1007" s="4">
        <f t="shared" si="91"/>
        <v>0</v>
      </c>
      <c r="J1007" s="4">
        <f t="shared" si="92"/>
        <v>0</v>
      </c>
      <c r="K1007" s="4" t="str">
        <f t="shared" si="93"/>
        <v>Xe118</v>
      </c>
    </row>
    <row r="1008" spans="2:11" hidden="1" x14ac:dyDescent="0.2">
      <c r="B1008" s="4">
        <v>54119</v>
      </c>
      <c r="C1008" s="4">
        <v>0</v>
      </c>
      <c r="D1008">
        <v>0</v>
      </c>
      <c r="E1008" t="str">
        <f>VLOOKUP(B1008,Nuclides!A:F,5,FALSE)</f>
        <v>Xe119</v>
      </c>
      <c r="F1008">
        <f>VLOOKUP(B1008,Nuclides!A:F,4,FALSE)</f>
        <v>348</v>
      </c>
      <c r="G1008" s="4" t="str">
        <f t="shared" si="89"/>
        <v>5.8min</v>
      </c>
      <c r="H1008" s="4">
        <f t="shared" si="90"/>
        <v>1.9918022429883486E-3</v>
      </c>
      <c r="I1008" s="4">
        <f t="shared" si="91"/>
        <v>0</v>
      </c>
      <c r="J1008" s="4">
        <f t="shared" si="92"/>
        <v>0</v>
      </c>
      <c r="K1008" s="4" t="str">
        <f t="shared" si="93"/>
        <v>Xe119</v>
      </c>
    </row>
    <row r="1009" spans="2:11" hidden="1" x14ac:dyDescent="0.2">
      <c r="B1009" s="4">
        <v>54120</v>
      </c>
      <c r="C1009" s="4">
        <v>0</v>
      </c>
      <c r="D1009">
        <v>0</v>
      </c>
      <c r="E1009" t="str">
        <f>VLOOKUP(B1009,Nuclides!A:F,5,FALSE)</f>
        <v>Xe120</v>
      </c>
      <c r="F1009">
        <f>VLOOKUP(B1009,Nuclides!A:F,4,FALSE)</f>
        <v>2400</v>
      </c>
      <c r="G1009" s="4" t="str">
        <f t="shared" si="89"/>
        <v>40min</v>
      </c>
      <c r="H1009" s="4">
        <f t="shared" si="90"/>
        <v>2.8881132523331054E-4</v>
      </c>
      <c r="I1009" s="4">
        <f t="shared" si="91"/>
        <v>0</v>
      </c>
      <c r="J1009" s="4">
        <f t="shared" si="92"/>
        <v>0</v>
      </c>
      <c r="K1009" s="4" t="str">
        <f t="shared" si="93"/>
        <v>Xe120</v>
      </c>
    </row>
    <row r="1010" spans="2:11" hidden="1" x14ac:dyDescent="0.2">
      <c r="B1010" s="4">
        <v>54121</v>
      </c>
      <c r="C1010" s="4">
        <v>0</v>
      </c>
      <c r="D1010">
        <v>0</v>
      </c>
      <c r="E1010" t="str">
        <f>VLOOKUP(B1010,Nuclides!A:F,5,FALSE)</f>
        <v>Xe121</v>
      </c>
      <c r="F1010">
        <f>VLOOKUP(B1010,Nuclides!A:F,4,FALSE)</f>
        <v>2406</v>
      </c>
      <c r="G1010" s="4" t="str">
        <f t="shared" si="89"/>
        <v>40.1min</v>
      </c>
      <c r="H1010" s="4">
        <f t="shared" si="90"/>
        <v>2.8809109748958658E-4</v>
      </c>
      <c r="I1010" s="4">
        <f t="shared" si="91"/>
        <v>0</v>
      </c>
      <c r="J1010" s="4">
        <f t="shared" si="92"/>
        <v>0</v>
      </c>
      <c r="K1010" s="4" t="str">
        <f t="shared" si="93"/>
        <v>Xe121</v>
      </c>
    </row>
    <row r="1011" spans="2:11" hidden="1" x14ac:dyDescent="0.2">
      <c r="B1011" s="4">
        <v>54122</v>
      </c>
      <c r="C1011" s="4">
        <v>0</v>
      </c>
      <c r="D1011">
        <v>0</v>
      </c>
      <c r="E1011" t="str">
        <f>VLOOKUP(B1011,Nuclides!A:F,5,FALSE)</f>
        <v>Xe122</v>
      </c>
      <c r="F1011">
        <f>VLOOKUP(B1011,Nuclides!A:F,4,FALSE)</f>
        <v>72360</v>
      </c>
      <c r="G1011" s="4" t="str">
        <f t="shared" si="89"/>
        <v>20.1h</v>
      </c>
      <c r="H1011" s="4">
        <f t="shared" si="90"/>
        <v>9.5791484322822727E-6</v>
      </c>
      <c r="I1011" s="4">
        <f t="shared" si="91"/>
        <v>0</v>
      </c>
      <c r="J1011" s="4">
        <f t="shared" si="92"/>
        <v>0</v>
      </c>
      <c r="K1011" s="4" t="str">
        <f t="shared" si="93"/>
        <v>Xe122</v>
      </c>
    </row>
    <row r="1012" spans="2:11" hidden="1" x14ac:dyDescent="0.2">
      <c r="B1012" s="4">
        <v>54123</v>
      </c>
      <c r="C1012" s="4">
        <v>0</v>
      </c>
      <c r="D1012">
        <v>0</v>
      </c>
      <c r="E1012" t="str">
        <f>VLOOKUP(B1012,Nuclides!A:F,5,FALSE)</f>
        <v>Xe123</v>
      </c>
      <c r="F1012">
        <f>VLOOKUP(B1012,Nuclides!A:F,4,FALSE)</f>
        <v>7488</v>
      </c>
      <c r="G1012" s="4" t="str">
        <f t="shared" si="89"/>
        <v>2.08h</v>
      </c>
      <c r="H1012" s="4">
        <f t="shared" si="90"/>
        <v>9.2567732446573888E-5</v>
      </c>
      <c r="I1012" s="4">
        <f t="shared" si="91"/>
        <v>0</v>
      </c>
      <c r="J1012" s="4">
        <f t="shared" si="92"/>
        <v>0</v>
      </c>
      <c r="K1012" s="4" t="str">
        <f t="shared" si="93"/>
        <v>Xe123</v>
      </c>
    </row>
    <row r="1013" spans="2:11" hidden="1" x14ac:dyDescent="0.2">
      <c r="B1013" s="4">
        <v>54124</v>
      </c>
      <c r="C1013" s="4">
        <v>0</v>
      </c>
      <c r="D1013">
        <v>0</v>
      </c>
      <c r="E1013" t="str">
        <f>VLOOKUP(B1013,Nuclides!A:F,5,FALSE)</f>
        <v>Xe124</v>
      </c>
      <c r="F1013">
        <f>VLOOKUP(B1013,Nuclides!A:F,4,FALSE)</f>
        <v>5.049216E+21</v>
      </c>
      <c r="G1013" s="4" t="str">
        <f t="shared" si="89"/>
        <v>160109589041096y</v>
      </c>
      <c r="H1013" s="4">
        <f t="shared" si="90"/>
        <v>1.3727817953518829E-22</v>
      </c>
      <c r="I1013" s="4">
        <f t="shared" si="91"/>
        <v>0</v>
      </c>
      <c r="J1013" s="4">
        <f t="shared" si="92"/>
        <v>0</v>
      </c>
      <c r="K1013" s="4" t="str">
        <f t="shared" si="93"/>
        <v>Xe124</v>
      </c>
    </row>
    <row r="1014" spans="2:11" hidden="1" x14ac:dyDescent="0.2">
      <c r="B1014" s="4">
        <v>54125</v>
      </c>
      <c r="C1014" s="4">
        <v>0</v>
      </c>
      <c r="D1014">
        <v>0</v>
      </c>
      <c r="E1014" t="str">
        <f>VLOOKUP(B1014,Nuclides!A:F,5,FALSE)</f>
        <v>Xe125</v>
      </c>
      <c r="F1014">
        <f>VLOOKUP(B1014,Nuclides!A:F,4,FALSE)</f>
        <v>60839.999999999898</v>
      </c>
      <c r="G1014" s="4" t="str">
        <f t="shared" si="89"/>
        <v>16.9h</v>
      </c>
      <c r="H1014" s="4">
        <f t="shared" si="90"/>
        <v>1.1392951685732191E-5</v>
      </c>
      <c r="I1014" s="4">
        <f t="shared" si="91"/>
        <v>0</v>
      </c>
      <c r="J1014" s="4">
        <f t="shared" si="92"/>
        <v>0</v>
      </c>
      <c r="K1014" s="4" t="str">
        <f t="shared" si="93"/>
        <v>Xe125</v>
      </c>
    </row>
    <row r="1015" spans="2:11" hidden="1" x14ac:dyDescent="0.2">
      <c r="B1015" s="4">
        <v>54126</v>
      </c>
      <c r="C1015" s="4">
        <v>0</v>
      </c>
      <c r="D1015">
        <v>0</v>
      </c>
      <c r="E1015" t="str">
        <f>VLOOKUP(B1015,Nuclides!A:F,5,FALSE)</f>
        <v>Xe126</v>
      </c>
      <c r="F1015" t="str">
        <f>VLOOKUP(B1015,Nuclides!A:F,4,FALSE)</f>
        <v>STABLE</v>
      </c>
      <c r="G1015" s="4" t="str">
        <f t="shared" si="89"/>
        <v>STABLE</v>
      </c>
      <c r="H1015" s="4" t="e">
        <f t="shared" si="90"/>
        <v>#VALUE!</v>
      </c>
      <c r="I1015" s="4" t="e">
        <f t="shared" si="91"/>
        <v>#VALUE!</v>
      </c>
      <c r="J1015" s="4" t="e">
        <f t="shared" si="92"/>
        <v>#VALUE!</v>
      </c>
      <c r="K1015" s="4" t="str">
        <f t="shared" si="93"/>
        <v>Xe126</v>
      </c>
    </row>
    <row r="1016" spans="2:11" hidden="1" x14ac:dyDescent="0.2">
      <c r="B1016" s="4">
        <v>54127</v>
      </c>
      <c r="C1016" s="4">
        <v>0</v>
      </c>
      <c r="D1016">
        <v>0</v>
      </c>
      <c r="E1016" t="str">
        <f>VLOOKUP(B1016,Nuclides!A:F,5,FALSE)</f>
        <v>Xe127</v>
      </c>
      <c r="F1016">
        <f>VLOOKUP(B1016,Nuclides!A:F,4,FALSE)</f>
        <v>3140294.4</v>
      </c>
      <c r="G1016" s="4" t="str">
        <f t="shared" si="89"/>
        <v>36.35d</v>
      </c>
      <c r="H1016" s="4">
        <f t="shared" si="90"/>
        <v>2.2072681483619667E-7</v>
      </c>
      <c r="I1016" s="4">
        <f t="shared" si="91"/>
        <v>0</v>
      </c>
      <c r="J1016" s="4">
        <f t="shared" si="92"/>
        <v>0</v>
      </c>
      <c r="K1016" s="4" t="str">
        <f t="shared" si="93"/>
        <v>Xe127</v>
      </c>
    </row>
    <row r="1017" spans="2:11" hidden="1" x14ac:dyDescent="0.2">
      <c r="B1017" s="4">
        <v>54128</v>
      </c>
      <c r="C1017" s="4">
        <v>0</v>
      </c>
      <c r="D1017">
        <v>0</v>
      </c>
      <c r="E1017" t="str">
        <f>VLOOKUP(B1017,Nuclides!A:F,5,FALSE)</f>
        <v>Xe128</v>
      </c>
      <c r="F1017" t="str">
        <f>VLOOKUP(B1017,Nuclides!A:F,4,FALSE)</f>
        <v>STABLE</v>
      </c>
      <c r="G1017" s="4" t="str">
        <f t="shared" si="89"/>
        <v>STABLE</v>
      </c>
      <c r="H1017" s="4" t="e">
        <f t="shared" si="90"/>
        <v>#VALUE!</v>
      </c>
      <c r="I1017" s="4" t="e">
        <f t="shared" si="91"/>
        <v>#VALUE!</v>
      </c>
      <c r="J1017" s="4" t="e">
        <f t="shared" si="92"/>
        <v>#VALUE!</v>
      </c>
      <c r="K1017" s="4" t="str">
        <f t="shared" si="93"/>
        <v>Xe128</v>
      </c>
    </row>
    <row r="1018" spans="2:11" hidden="1" x14ac:dyDescent="0.2">
      <c r="B1018" s="4">
        <v>54129</v>
      </c>
      <c r="C1018" s="4">
        <v>0</v>
      </c>
      <c r="D1018">
        <v>0</v>
      </c>
      <c r="E1018" t="str">
        <f>VLOOKUP(B1018,Nuclides!A:F,5,FALSE)</f>
        <v>Xe129</v>
      </c>
      <c r="F1018" t="str">
        <f>VLOOKUP(B1018,Nuclides!A:F,4,FALSE)</f>
        <v>STABLE</v>
      </c>
      <c r="G1018" s="4" t="str">
        <f t="shared" si="89"/>
        <v>STABLE</v>
      </c>
      <c r="H1018" s="4" t="e">
        <f t="shared" si="90"/>
        <v>#VALUE!</v>
      </c>
      <c r="I1018" s="4" t="e">
        <f t="shared" si="91"/>
        <v>#VALUE!</v>
      </c>
      <c r="J1018" s="4" t="e">
        <f t="shared" si="92"/>
        <v>#VALUE!</v>
      </c>
      <c r="K1018" s="4" t="str">
        <f t="shared" si="93"/>
        <v>Xe129</v>
      </c>
    </row>
    <row r="1019" spans="2:11" hidden="1" x14ac:dyDescent="0.2">
      <c r="B1019" s="4">
        <v>54130</v>
      </c>
      <c r="C1019" s="4">
        <v>0</v>
      </c>
      <c r="D1019">
        <v>0</v>
      </c>
      <c r="E1019" t="str">
        <f>VLOOKUP(B1019,Nuclides!A:F,5,FALSE)</f>
        <v>Xe130</v>
      </c>
      <c r="F1019" t="str">
        <f>VLOOKUP(B1019,Nuclides!A:F,4,FALSE)</f>
        <v>STABLE</v>
      </c>
      <c r="G1019" s="4" t="str">
        <f t="shared" si="89"/>
        <v>STABLE</v>
      </c>
      <c r="H1019" s="4" t="e">
        <f t="shared" si="90"/>
        <v>#VALUE!</v>
      </c>
      <c r="I1019" s="4" t="e">
        <f t="shared" si="91"/>
        <v>#VALUE!</v>
      </c>
      <c r="J1019" s="4" t="e">
        <f t="shared" si="92"/>
        <v>#VALUE!</v>
      </c>
      <c r="K1019" s="4" t="str">
        <f t="shared" si="93"/>
        <v>Xe130</v>
      </c>
    </row>
    <row r="1020" spans="2:11" hidden="1" x14ac:dyDescent="0.2">
      <c r="B1020" s="4">
        <v>54131</v>
      </c>
      <c r="C1020" s="4">
        <v>0</v>
      </c>
      <c r="D1020">
        <v>0</v>
      </c>
      <c r="E1020" t="str">
        <f>VLOOKUP(B1020,Nuclides!A:F,5,FALSE)</f>
        <v>Xe131</v>
      </c>
      <c r="F1020" t="str">
        <f>VLOOKUP(B1020,Nuclides!A:F,4,FALSE)</f>
        <v>STABLE</v>
      </c>
      <c r="G1020" s="4" t="str">
        <f t="shared" si="89"/>
        <v>STABLE</v>
      </c>
      <c r="H1020" s="4" t="e">
        <f t="shared" si="90"/>
        <v>#VALUE!</v>
      </c>
      <c r="I1020" s="4" t="e">
        <f t="shared" si="91"/>
        <v>#VALUE!</v>
      </c>
      <c r="J1020" s="4" t="e">
        <f t="shared" si="92"/>
        <v>#VALUE!</v>
      </c>
      <c r="K1020" s="4" t="str">
        <f t="shared" si="93"/>
        <v>Xe131</v>
      </c>
    </row>
    <row r="1021" spans="2:11" hidden="1" x14ac:dyDescent="0.2">
      <c r="B1021" s="4">
        <v>54132</v>
      </c>
      <c r="C1021" s="4">
        <v>0</v>
      </c>
      <c r="D1021">
        <v>0</v>
      </c>
      <c r="E1021" t="str">
        <f>VLOOKUP(B1021,Nuclides!A:F,5,FALSE)</f>
        <v>Xe132</v>
      </c>
      <c r="F1021" t="str">
        <f>VLOOKUP(B1021,Nuclides!A:F,4,FALSE)</f>
        <v>STABLE</v>
      </c>
      <c r="G1021" s="4" t="str">
        <f t="shared" si="89"/>
        <v>STABLE</v>
      </c>
      <c r="H1021" s="4" t="e">
        <f t="shared" si="90"/>
        <v>#VALUE!</v>
      </c>
      <c r="I1021" s="4" t="e">
        <f t="shared" si="91"/>
        <v>#VALUE!</v>
      </c>
      <c r="J1021" s="4" t="e">
        <f t="shared" si="92"/>
        <v>#VALUE!</v>
      </c>
      <c r="K1021" s="4" t="str">
        <f t="shared" si="93"/>
        <v>Xe132</v>
      </c>
    </row>
    <row r="1022" spans="2:11" hidden="1" x14ac:dyDescent="0.2">
      <c r="B1022" s="4">
        <v>54133</v>
      </c>
      <c r="C1022" s="4">
        <v>0</v>
      </c>
      <c r="D1022">
        <v>0</v>
      </c>
      <c r="E1022" t="str">
        <f>VLOOKUP(B1022,Nuclides!A:F,5,FALSE)</f>
        <v>Xe133</v>
      </c>
      <c r="F1022">
        <f>VLOOKUP(B1022,Nuclides!A:F,4,FALSE)</f>
        <v>453383.99999999901</v>
      </c>
      <c r="G1022" s="4" t="str">
        <f t="shared" si="89"/>
        <v>5.25d</v>
      </c>
      <c r="H1022" s="4">
        <f t="shared" si="90"/>
        <v>1.5288302643232817E-6</v>
      </c>
      <c r="I1022" s="4">
        <f t="shared" si="91"/>
        <v>0</v>
      </c>
      <c r="J1022" s="4">
        <f t="shared" si="92"/>
        <v>0</v>
      </c>
      <c r="K1022" s="4" t="str">
        <f t="shared" si="93"/>
        <v>Xe133</v>
      </c>
    </row>
    <row r="1023" spans="2:11" hidden="1" x14ac:dyDescent="0.2">
      <c r="B1023" s="4">
        <v>54134</v>
      </c>
      <c r="C1023" s="4">
        <v>0</v>
      </c>
      <c r="D1023">
        <v>0</v>
      </c>
      <c r="E1023" t="str">
        <f>VLOOKUP(B1023,Nuclides!A:F,5,FALSE)</f>
        <v>Xe134</v>
      </c>
      <c r="F1023">
        <f>VLOOKUP(B1023,Nuclides!A:F,4,FALSE)</f>
        <v>1.8303407999999899E+30</v>
      </c>
      <c r="G1023" s="4" t="str">
        <f t="shared" si="89"/>
        <v>5.80397260273969E+22y</v>
      </c>
      <c r="H1023" s="4">
        <f t="shared" si="90"/>
        <v>3.7869842630396979E-31</v>
      </c>
      <c r="I1023" s="4">
        <f t="shared" si="91"/>
        <v>0</v>
      </c>
      <c r="J1023" s="4">
        <f t="shared" si="92"/>
        <v>0</v>
      </c>
      <c r="K1023" s="4" t="str">
        <f t="shared" si="93"/>
        <v>Xe134</v>
      </c>
    </row>
    <row r="1024" spans="2:11" hidden="1" x14ac:dyDescent="0.2">
      <c r="B1024" s="4">
        <v>54135</v>
      </c>
      <c r="C1024" s="4">
        <v>0</v>
      </c>
      <c r="D1024">
        <v>0</v>
      </c>
      <c r="E1024" t="str">
        <f>VLOOKUP(B1024,Nuclides!A:F,5,FALSE)</f>
        <v>Xe135</v>
      </c>
      <c r="F1024">
        <f>VLOOKUP(B1024,Nuclides!A:F,4,FALSE)</f>
        <v>32904</v>
      </c>
      <c r="G1024" s="4" t="str">
        <f t="shared" si="89"/>
        <v>9.14h</v>
      </c>
      <c r="H1024" s="4">
        <f t="shared" si="90"/>
        <v>2.1065742176025568E-5</v>
      </c>
      <c r="I1024" s="4">
        <f t="shared" si="91"/>
        <v>0</v>
      </c>
      <c r="J1024" s="4">
        <f t="shared" si="92"/>
        <v>0</v>
      </c>
      <c r="K1024" s="4" t="str">
        <f t="shared" si="93"/>
        <v>Xe135</v>
      </c>
    </row>
    <row r="1025" spans="2:11" hidden="1" x14ac:dyDescent="0.2">
      <c r="B1025" s="4">
        <v>54136</v>
      </c>
      <c r="C1025" s="4">
        <v>0</v>
      </c>
      <c r="D1025">
        <v>0</v>
      </c>
      <c r="E1025" t="str">
        <f>VLOOKUP(B1025,Nuclides!A:F,5,FALSE)</f>
        <v>Xe136</v>
      </c>
      <c r="F1025">
        <f>VLOOKUP(B1025,Nuclides!A:F,4,FALSE)</f>
        <v>7.573824E+28</v>
      </c>
      <c r="G1025" s="4" t="str">
        <f t="shared" si="89"/>
        <v>2.40164383561644E+21y</v>
      </c>
      <c r="H1025" s="4">
        <f t="shared" si="90"/>
        <v>9.1518786356792195E-30</v>
      </c>
      <c r="I1025" s="4">
        <f t="shared" si="91"/>
        <v>0</v>
      </c>
      <c r="J1025" s="4">
        <f t="shared" si="92"/>
        <v>0</v>
      </c>
      <c r="K1025" s="4" t="str">
        <f t="shared" si="93"/>
        <v>Xe136</v>
      </c>
    </row>
    <row r="1026" spans="2:11" hidden="1" x14ac:dyDescent="0.2">
      <c r="B1026" s="4">
        <v>54137</v>
      </c>
      <c r="C1026" s="4">
        <v>0</v>
      </c>
      <c r="D1026">
        <v>0</v>
      </c>
      <c r="E1026" t="str">
        <f>VLOOKUP(B1026,Nuclides!A:F,5,FALSE)</f>
        <v>Xe137</v>
      </c>
      <c r="F1026">
        <f>VLOOKUP(B1026,Nuclides!A:F,4,FALSE)</f>
        <v>229.08</v>
      </c>
      <c r="G1026" s="4" t="str">
        <f t="shared" si="89"/>
        <v>3.82min</v>
      </c>
      <c r="H1026" s="4">
        <f t="shared" si="90"/>
        <v>3.0257865398984865E-3</v>
      </c>
      <c r="I1026" s="4">
        <f t="shared" si="91"/>
        <v>0</v>
      </c>
      <c r="J1026" s="4">
        <f t="shared" si="92"/>
        <v>0</v>
      </c>
      <c r="K1026" s="4" t="str">
        <f t="shared" si="93"/>
        <v>Xe137</v>
      </c>
    </row>
    <row r="1027" spans="2:11" hidden="1" x14ac:dyDescent="0.2">
      <c r="B1027" s="4">
        <v>54138</v>
      </c>
      <c r="C1027" s="4">
        <v>0</v>
      </c>
      <c r="D1027">
        <v>0</v>
      </c>
      <c r="E1027" t="str">
        <f>VLOOKUP(B1027,Nuclides!A:F,5,FALSE)</f>
        <v>Xe138</v>
      </c>
      <c r="F1027">
        <f>VLOOKUP(B1027,Nuclides!A:F,4,FALSE)</f>
        <v>848.4</v>
      </c>
      <c r="G1027" s="4" t="str">
        <f t="shared" si="89"/>
        <v>14.14min</v>
      </c>
      <c r="H1027" s="4">
        <f t="shared" si="90"/>
        <v>8.170051633191246E-4</v>
      </c>
      <c r="I1027" s="4">
        <f t="shared" si="91"/>
        <v>0</v>
      </c>
      <c r="J1027" s="4">
        <f t="shared" si="92"/>
        <v>0</v>
      </c>
      <c r="K1027" s="4" t="str">
        <f t="shared" si="93"/>
        <v>Xe138</v>
      </c>
    </row>
    <row r="1028" spans="2:11" hidden="1" x14ac:dyDescent="0.2">
      <c r="B1028" s="4">
        <v>54139</v>
      </c>
      <c r="C1028" s="4">
        <v>0</v>
      </c>
      <c r="D1028">
        <v>0</v>
      </c>
      <c r="E1028" t="str">
        <f>VLOOKUP(B1028,Nuclides!A:F,5,FALSE)</f>
        <v>Xe139</v>
      </c>
      <c r="F1028">
        <f>VLOOKUP(B1028,Nuclides!A:F,4,FALSE)</f>
        <v>39.68</v>
      </c>
      <c r="G1028" s="4" t="str">
        <f t="shared" si="89"/>
        <v>39.68s</v>
      </c>
      <c r="H1028" s="4">
        <f t="shared" si="90"/>
        <v>1.7468426929434105E-2</v>
      </c>
      <c r="I1028" s="4">
        <f t="shared" si="91"/>
        <v>0</v>
      </c>
      <c r="J1028" s="4">
        <f t="shared" si="92"/>
        <v>0</v>
      </c>
      <c r="K1028" s="4" t="str">
        <f t="shared" si="93"/>
        <v>Xe139</v>
      </c>
    </row>
    <row r="1029" spans="2:11" hidden="1" x14ac:dyDescent="0.2">
      <c r="B1029" s="4">
        <v>54140</v>
      </c>
      <c r="C1029" s="4">
        <v>0</v>
      </c>
      <c r="D1029">
        <v>0</v>
      </c>
      <c r="E1029" t="str">
        <f>VLOOKUP(B1029,Nuclides!A:F,5,FALSE)</f>
        <v>Xe140</v>
      </c>
      <c r="F1029">
        <f>VLOOKUP(B1029,Nuclides!A:F,4,FALSE)</f>
        <v>13.6</v>
      </c>
      <c r="G1029" s="4" t="str">
        <f t="shared" ref="G1029:G1092" si="94">IF(F1029="STABLE", "STABLE", IF(F1029&lt;60, F1029&amp;"s", IF(F1029&lt;3600, ROUND(F1029/60,2)&amp;"min", IF(F1029&lt;86400, ROUND(F1029/3600,2)&amp;"h", IF(F1029&lt;31536000, ROUND(F1029/86400,2)&amp;"d", ROUND(F1029/31536000,2)&amp;"y")))))</f>
        <v>13.6s</v>
      </c>
      <c r="H1029" s="4">
        <f t="shared" ref="H1029:H1092" si="95">LN(2)/F1029</f>
        <v>5.0966704452937155E-2</v>
      </c>
      <c r="I1029" s="4">
        <f t="shared" ref="I1029:I1092" si="96">60*6240000000000*C1029*(1-EXP(-H1029*2*3600))</f>
        <v>0</v>
      </c>
      <c r="J1029" s="4">
        <f t="shared" ref="J1029:J1092" si="97">I1029*EXP(-H1029*48*3600)</f>
        <v>0</v>
      </c>
      <c r="K1029" s="4" t="str">
        <f t="shared" ref="K1029:K1092" si="98">E1029</f>
        <v>Xe140</v>
      </c>
    </row>
    <row r="1030" spans="2:11" hidden="1" x14ac:dyDescent="0.2">
      <c r="B1030" s="4">
        <v>54141</v>
      </c>
      <c r="C1030" s="4">
        <v>0</v>
      </c>
      <c r="D1030">
        <v>0</v>
      </c>
      <c r="E1030" t="str">
        <f>VLOOKUP(B1030,Nuclides!A:F,5,FALSE)</f>
        <v>Xe141</v>
      </c>
      <c r="F1030">
        <f>VLOOKUP(B1030,Nuclides!A:F,4,FALSE)</f>
        <v>1.73</v>
      </c>
      <c r="G1030" s="4" t="str">
        <f t="shared" si="94"/>
        <v>1.73s</v>
      </c>
      <c r="H1030" s="4">
        <f t="shared" si="95"/>
        <v>0.40066311015025741</v>
      </c>
      <c r="I1030" s="4">
        <f t="shared" si="96"/>
        <v>0</v>
      </c>
      <c r="J1030" s="4">
        <f t="shared" si="97"/>
        <v>0</v>
      </c>
      <c r="K1030" s="4" t="str">
        <f t="shared" si="98"/>
        <v>Xe141</v>
      </c>
    </row>
    <row r="1031" spans="2:11" hidden="1" x14ac:dyDescent="0.2">
      <c r="B1031" s="4">
        <v>54142</v>
      </c>
      <c r="C1031" s="4">
        <v>0</v>
      </c>
      <c r="D1031">
        <v>0</v>
      </c>
      <c r="E1031" t="str">
        <f>VLOOKUP(B1031,Nuclides!A:F,5,FALSE)</f>
        <v>Xe142</v>
      </c>
      <c r="F1031">
        <f>VLOOKUP(B1031,Nuclides!A:F,4,FALSE)</f>
        <v>1.23</v>
      </c>
      <c r="G1031" s="4" t="str">
        <f t="shared" si="94"/>
        <v>1.23s</v>
      </c>
      <c r="H1031" s="4">
        <f t="shared" si="95"/>
        <v>0.56353429313816694</v>
      </c>
      <c r="I1031" s="4">
        <f t="shared" si="96"/>
        <v>0</v>
      </c>
      <c r="J1031" s="4">
        <f t="shared" si="97"/>
        <v>0</v>
      </c>
      <c r="K1031" s="4" t="str">
        <f t="shared" si="98"/>
        <v>Xe142</v>
      </c>
    </row>
    <row r="1032" spans="2:11" hidden="1" x14ac:dyDescent="0.2">
      <c r="B1032" s="4">
        <v>54143</v>
      </c>
      <c r="C1032" s="4">
        <v>0</v>
      </c>
      <c r="D1032">
        <v>0</v>
      </c>
      <c r="E1032" t="str">
        <f>VLOOKUP(B1032,Nuclides!A:F,5,FALSE)</f>
        <v>Xe143</v>
      </c>
      <c r="F1032">
        <f>VLOOKUP(B1032,Nuclides!A:F,4,FALSE)</f>
        <v>0.51100000000000001</v>
      </c>
      <c r="G1032" s="4" t="str">
        <f t="shared" si="94"/>
        <v>0.511s</v>
      </c>
      <c r="H1032" s="4">
        <f t="shared" si="95"/>
        <v>1.3564524081407932</v>
      </c>
      <c r="I1032" s="4">
        <f t="shared" si="96"/>
        <v>0</v>
      </c>
      <c r="J1032" s="4">
        <f t="shared" si="97"/>
        <v>0</v>
      </c>
      <c r="K1032" s="4" t="str">
        <f t="shared" si="98"/>
        <v>Xe143</v>
      </c>
    </row>
    <row r="1033" spans="2:11" hidden="1" x14ac:dyDescent="0.2">
      <c r="B1033" s="4">
        <v>54144</v>
      </c>
      <c r="C1033" s="4">
        <v>0</v>
      </c>
      <c r="D1033">
        <v>0</v>
      </c>
      <c r="E1033" t="str">
        <f>VLOOKUP(B1033,Nuclides!A:F,5,FALSE)</f>
        <v>Xe144</v>
      </c>
      <c r="F1033">
        <f>VLOOKUP(B1033,Nuclides!A:F,4,FALSE)</f>
        <v>0.38800000000000001</v>
      </c>
      <c r="G1033" s="4" t="str">
        <f t="shared" si="94"/>
        <v>0.388s</v>
      </c>
      <c r="H1033" s="4">
        <f t="shared" si="95"/>
        <v>1.7864618055668693</v>
      </c>
      <c r="I1033" s="4">
        <f t="shared" si="96"/>
        <v>0</v>
      </c>
      <c r="J1033" s="4">
        <f t="shared" si="97"/>
        <v>0</v>
      </c>
      <c r="K1033" s="4" t="str">
        <f t="shared" si="98"/>
        <v>Xe144</v>
      </c>
    </row>
    <row r="1034" spans="2:11" hidden="1" x14ac:dyDescent="0.2">
      <c r="B1034" s="4">
        <v>54145</v>
      </c>
      <c r="C1034" s="4">
        <v>0</v>
      </c>
      <c r="D1034">
        <v>0</v>
      </c>
      <c r="E1034" t="str">
        <f>VLOOKUP(B1034,Nuclides!A:F,5,FALSE)</f>
        <v>Xe145</v>
      </c>
      <c r="F1034">
        <f>VLOOKUP(B1034,Nuclides!A:F,4,FALSE)</f>
        <v>0.188</v>
      </c>
      <c r="G1034" s="4" t="str">
        <f t="shared" si="94"/>
        <v>0.188s</v>
      </c>
      <c r="H1034" s="4">
        <f t="shared" si="95"/>
        <v>3.6869530880848154</v>
      </c>
      <c r="I1034" s="4">
        <f t="shared" si="96"/>
        <v>0</v>
      </c>
      <c r="J1034" s="4">
        <f t="shared" si="97"/>
        <v>0</v>
      </c>
      <c r="K1034" s="4" t="str">
        <f t="shared" si="98"/>
        <v>Xe145</v>
      </c>
    </row>
    <row r="1035" spans="2:11" hidden="1" x14ac:dyDescent="0.2">
      <c r="B1035" s="4">
        <v>55114</v>
      </c>
      <c r="C1035" s="4">
        <v>0</v>
      </c>
      <c r="D1035">
        <v>0</v>
      </c>
      <c r="E1035" t="str">
        <f>VLOOKUP(B1035,Nuclides!A:F,5,FALSE)</f>
        <v>Cs114</v>
      </c>
      <c r="F1035">
        <f>VLOOKUP(B1035,Nuclides!A:F,4,FALSE)</f>
        <v>0.56999999999999995</v>
      </c>
      <c r="G1035" s="4" t="str">
        <f t="shared" si="94"/>
        <v>0.57s</v>
      </c>
      <c r="H1035" s="4">
        <f t="shared" si="95"/>
        <v>1.2160476851928865</v>
      </c>
      <c r="I1035" s="4">
        <f t="shared" si="96"/>
        <v>0</v>
      </c>
      <c r="J1035" s="4">
        <f t="shared" si="97"/>
        <v>0</v>
      </c>
      <c r="K1035" s="4" t="str">
        <f t="shared" si="98"/>
        <v>Cs114</v>
      </c>
    </row>
    <row r="1036" spans="2:11" hidden="1" x14ac:dyDescent="0.2">
      <c r="B1036" s="4">
        <v>55115</v>
      </c>
      <c r="C1036" s="4">
        <v>0</v>
      </c>
      <c r="D1036">
        <v>0</v>
      </c>
      <c r="E1036" t="str">
        <f>VLOOKUP(B1036,Nuclides!A:F,5,FALSE)</f>
        <v>Cs115</v>
      </c>
      <c r="F1036">
        <f>VLOOKUP(B1036,Nuclides!A:F,4,FALSE)</f>
        <v>1.4</v>
      </c>
      <c r="G1036" s="4" t="str">
        <f t="shared" si="94"/>
        <v>1.4s</v>
      </c>
      <c r="H1036" s="4">
        <f t="shared" si="95"/>
        <v>0.49510512897138953</v>
      </c>
      <c r="I1036" s="4">
        <f t="shared" si="96"/>
        <v>0</v>
      </c>
      <c r="J1036" s="4">
        <f t="shared" si="97"/>
        <v>0</v>
      </c>
      <c r="K1036" s="4" t="str">
        <f t="shared" si="98"/>
        <v>Cs115</v>
      </c>
    </row>
    <row r="1037" spans="2:11" hidden="1" x14ac:dyDescent="0.2">
      <c r="B1037" s="4">
        <v>55116</v>
      </c>
      <c r="C1037" s="4">
        <v>0</v>
      </c>
      <c r="D1037">
        <v>0</v>
      </c>
      <c r="E1037" t="str">
        <f>VLOOKUP(B1037,Nuclides!A:F,5,FALSE)</f>
        <v>Cs116</v>
      </c>
      <c r="F1037">
        <f>VLOOKUP(B1037,Nuclides!A:F,4,FALSE)</f>
        <v>0.7</v>
      </c>
      <c r="G1037" s="4" t="str">
        <f t="shared" si="94"/>
        <v>0.7s</v>
      </c>
      <c r="H1037" s="4">
        <f t="shared" si="95"/>
        <v>0.99021025794277906</v>
      </c>
      <c r="I1037" s="4">
        <f t="shared" si="96"/>
        <v>0</v>
      </c>
      <c r="J1037" s="4">
        <f t="shared" si="97"/>
        <v>0</v>
      </c>
      <c r="K1037" s="4" t="str">
        <f t="shared" si="98"/>
        <v>Cs116</v>
      </c>
    </row>
    <row r="1038" spans="2:11" hidden="1" x14ac:dyDescent="0.2">
      <c r="B1038" s="4">
        <v>55117</v>
      </c>
      <c r="C1038" s="4">
        <v>0</v>
      </c>
      <c r="D1038">
        <v>0</v>
      </c>
      <c r="E1038" t="str">
        <f>VLOOKUP(B1038,Nuclides!A:F,5,FALSE)</f>
        <v>Cs117</v>
      </c>
      <c r="F1038">
        <f>VLOOKUP(B1038,Nuclides!A:F,4,FALSE)</f>
        <v>8.4</v>
      </c>
      <c r="G1038" s="4" t="str">
        <f t="shared" si="94"/>
        <v>8.4s</v>
      </c>
      <c r="H1038" s="4">
        <f t="shared" si="95"/>
        <v>8.2517521495231574E-2</v>
      </c>
      <c r="I1038" s="4">
        <f t="shared" si="96"/>
        <v>0</v>
      </c>
      <c r="J1038" s="4">
        <f t="shared" si="97"/>
        <v>0</v>
      </c>
      <c r="K1038" s="4" t="str">
        <f t="shared" si="98"/>
        <v>Cs117</v>
      </c>
    </row>
    <row r="1039" spans="2:11" hidden="1" x14ac:dyDescent="0.2">
      <c r="B1039" s="4">
        <v>55118</v>
      </c>
      <c r="C1039" s="4">
        <v>0</v>
      </c>
      <c r="D1039">
        <v>0</v>
      </c>
      <c r="E1039" t="str">
        <f>VLOOKUP(B1039,Nuclides!A:F,5,FALSE)</f>
        <v>Cs118</v>
      </c>
      <c r="F1039">
        <f>VLOOKUP(B1039,Nuclides!A:F,4,FALSE)</f>
        <v>14</v>
      </c>
      <c r="G1039" s="4" t="str">
        <f t="shared" si="94"/>
        <v>14s</v>
      </c>
      <c r="H1039" s="4">
        <f t="shared" si="95"/>
        <v>4.9510512897138946E-2</v>
      </c>
      <c r="I1039" s="4">
        <f t="shared" si="96"/>
        <v>0</v>
      </c>
      <c r="J1039" s="4">
        <f t="shared" si="97"/>
        <v>0</v>
      </c>
      <c r="K1039" s="4" t="str">
        <f t="shared" si="98"/>
        <v>Cs118</v>
      </c>
    </row>
    <row r="1040" spans="2:11" hidden="1" x14ac:dyDescent="0.2">
      <c r="B1040" s="4">
        <v>55119</v>
      </c>
      <c r="C1040" s="4">
        <v>0</v>
      </c>
      <c r="D1040">
        <v>0</v>
      </c>
      <c r="E1040" t="str">
        <f>VLOOKUP(B1040,Nuclides!A:F,5,FALSE)</f>
        <v>Cs119</v>
      </c>
      <c r="F1040">
        <f>VLOOKUP(B1040,Nuclides!A:F,4,FALSE)</f>
        <v>43</v>
      </c>
      <c r="G1040" s="4" t="str">
        <f t="shared" si="94"/>
        <v>43s</v>
      </c>
      <c r="H1040" s="4">
        <f t="shared" si="95"/>
        <v>1.6119701873487099E-2</v>
      </c>
      <c r="I1040" s="4">
        <f t="shared" si="96"/>
        <v>0</v>
      </c>
      <c r="J1040" s="4">
        <f t="shared" si="97"/>
        <v>0</v>
      </c>
      <c r="K1040" s="4" t="str">
        <f t="shared" si="98"/>
        <v>Cs119</v>
      </c>
    </row>
    <row r="1041" spans="2:11" hidden="1" x14ac:dyDescent="0.2">
      <c r="B1041" s="4">
        <v>55120</v>
      </c>
      <c r="C1041" s="4">
        <v>0</v>
      </c>
      <c r="D1041">
        <v>0</v>
      </c>
      <c r="E1041" t="str">
        <f>VLOOKUP(B1041,Nuclides!A:F,5,FALSE)</f>
        <v>Cs120</v>
      </c>
      <c r="F1041">
        <f>VLOOKUP(B1041,Nuclides!A:F,4,FALSE)</f>
        <v>61.3</v>
      </c>
      <c r="G1041" s="4" t="str">
        <f t="shared" si="94"/>
        <v>1.02min</v>
      </c>
      <c r="H1041" s="4">
        <f t="shared" si="95"/>
        <v>1.1307458084175291E-2</v>
      </c>
      <c r="I1041" s="4">
        <f t="shared" si="96"/>
        <v>0</v>
      </c>
      <c r="J1041" s="4">
        <f t="shared" si="97"/>
        <v>0</v>
      </c>
      <c r="K1041" s="4" t="str">
        <f t="shared" si="98"/>
        <v>Cs120</v>
      </c>
    </row>
    <row r="1042" spans="2:11" hidden="1" x14ac:dyDescent="0.2">
      <c r="B1042" s="4">
        <v>55121</v>
      </c>
      <c r="C1042" s="4">
        <v>0</v>
      </c>
      <c r="D1042">
        <v>0</v>
      </c>
      <c r="E1042" t="str">
        <f>VLOOKUP(B1042,Nuclides!A:F,5,FALSE)</f>
        <v>Cs121</v>
      </c>
      <c r="F1042">
        <f>VLOOKUP(B1042,Nuclides!A:F,4,FALSE)</f>
        <v>155</v>
      </c>
      <c r="G1042" s="4" t="str">
        <f t="shared" si="94"/>
        <v>2.58min</v>
      </c>
      <c r="H1042" s="4">
        <f t="shared" si="95"/>
        <v>4.4719172939351312E-3</v>
      </c>
      <c r="I1042" s="4">
        <f t="shared" si="96"/>
        <v>0</v>
      </c>
      <c r="J1042" s="4">
        <f t="shared" si="97"/>
        <v>0</v>
      </c>
      <c r="K1042" s="4" t="str">
        <f t="shared" si="98"/>
        <v>Cs121</v>
      </c>
    </row>
    <row r="1043" spans="2:11" hidden="1" x14ac:dyDescent="0.2">
      <c r="B1043" s="4">
        <v>55122</v>
      </c>
      <c r="C1043" s="4">
        <v>0</v>
      </c>
      <c r="D1043">
        <v>0</v>
      </c>
      <c r="E1043" t="str">
        <f>VLOOKUP(B1043,Nuclides!A:F,5,FALSE)</f>
        <v>Cs122</v>
      </c>
      <c r="F1043">
        <f>VLOOKUP(B1043,Nuclides!A:F,4,FALSE)</f>
        <v>21.18</v>
      </c>
      <c r="G1043" s="4" t="str">
        <f t="shared" si="94"/>
        <v>21.18s</v>
      </c>
      <c r="H1043" s="4">
        <f t="shared" si="95"/>
        <v>3.2726495777145669E-2</v>
      </c>
      <c r="I1043" s="4">
        <f t="shared" si="96"/>
        <v>0</v>
      </c>
      <c r="J1043" s="4">
        <f t="shared" si="97"/>
        <v>0</v>
      </c>
      <c r="K1043" s="4" t="str">
        <f t="shared" si="98"/>
        <v>Cs122</v>
      </c>
    </row>
    <row r="1044" spans="2:11" hidden="1" x14ac:dyDescent="0.2">
      <c r="B1044" s="4">
        <v>55123</v>
      </c>
      <c r="C1044" s="4">
        <v>0</v>
      </c>
      <c r="D1044">
        <v>0</v>
      </c>
      <c r="E1044" t="str">
        <f>VLOOKUP(B1044,Nuclides!A:F,5,FALSE)</f>
        <v>Cs123</v>
      </c>
      <c r="F1044">
        <f>VLOOKUP(B1044,Nuclides!A:F,4,FALSE)</f>
        <v>352.8</v>
      </c>
      <c r="G1044" s="4" t="str">
        <f t="shared" si="94"/>
        <v>5.88min</v>
      </c>
      <c r="H1044" s="4">
        <f t="shared" si="95"/>
        <v>1.9647028927436091E-3</v>
      </c>
      <c r="I1044" s="4">
        <f t="shared" si="96"/>
        <v>0</v>
      </c>
      <c r="J1044" s="4">
        <f t="shared" si="97"/>
        <v>0</v>
      </c>
      <c r="K1044" s="4" t="str">
        <f t="shared" si="98"/>
        <v>Cs123</v>
      </c>
    </row>
    <row r="1045" spans="2:11" hidden="1" x14ac:dyDescent="0.2">
      <c r="B1045" s="4">
        <v>55124</v>
      </c>
      <c r="C1045" s="4">
        <v>0</v>
      </c>
      <c r="D1045">
        <v>0</v>
      </c>
      <c r="E1045" t="str">
        <f>VLOOKUP(B1045,Nuclides!A:F,5,FALSE)</f>
        <v>Cs124</v>
      </c>
      <c r="F1045">
        <f>VLOOKUP(B1045,Nuclides!A:F,4,FALSE)</f>
        <v>30.9</v>
      </c>
      <c r="G1045" s="4" t="str">
        <f t="shared" si="94"/>
        <v>30.9s</v>
      </c>
      <c r="H1045" s="4">
        <f t="shared" si="95"/>
        <v>2.2431947590936741E-2</v>
      </c>
      <c r="I1045" s="4">
        <f t="shared" si="96"/>
        <v>0</v>
      </c>
      <c r="J1045" s="4">
        <f t="shared" si="97"/>
        <v>0</v>
      </c>
      <c r="K1045" s="4" t="str">
        <f t="shared" si="98"/>
        <v>Cs124</v>
      </c>
    </row>
    <row r="1046" spans="2:11" hidden="1" x14ac:dyDescent="0.2">
      <c r="B1046" s="4">
        <v>55125</v>
      </c>
      <c r="C1046" s="4">
        <v>0</v>
      </c>
      <c r="D1046">
        <v>0</v>
      </c>
      <c r="E1046" t="str">
        <f>VLOOKUP(B1046,Nuclides!A:F,5,FALSE)</f>
        <v>Cs125</v>
      </c>
      <c r="F1046">
        <f>VLOOKUP(B1046,Nuclides!A:F,4,FALSE)</f>
        <v>2802</v>
      </c>
      <c r="G1046" s="4" t="str">
        <f t="shared" si="94"/>
        <v>46.7min</v>
      </c>
      <c r="H1046" s="4">
        <f t="shared" si="95"/>
        <v>2.4737586743752506E-4</v>
      </c>
      <c r="I1046" s="4">
        <f t="shared" si="96"/>
        <v>0</v>
      </c>
      <c r="J1046" s="4">
        <f t="shared" si="97"/>
        <v>0</v>
      </c>
      <c r="K1046" s="4" t="str">
        <f t="shared" si="98"/>
        <v>Cs125</v>
      </c>
    </row>
    <row r="1047" spans="2:11" hidden="1" x14ac:dyDescent="0.2">
      <c r="B1047" s="4">
        <v>55126</v>
      </c>
      <c r="C1047" s="4">
        <v>0</v>
      </c>
      <c r="D1047">
        <v>0</v>
      </c>
      <c r="E1047" t="str">
        <f>VLOOKUP(B1047,Nuclides!A:F,5,FALSE)</f>
        <v>Cs126</v>
      </c>
      <c r="F1047">
        <f>VLOOKUP(B1047,Nuclides!A:F,4,FALSE)</f>
        <v>98.399999999999906</v>
      </c>
      <c r="G1047" s="4" t="str">
        <f t="shared" si="94"/>
        <v>1.64min</v>
      </c>
      <c r="H1047" s="4">
        <f t="shared" si="95"/>
        <v>7.0441786642270934E-3</v>
      </c>
      <c r="I1047" s="4">
        <f t="shared" si="96"/>
        <v>0</v>
      </c>
      <c r="J1047" s="4">
        <f t="shared" si="97"/>
        <v>0</v>
      </c>
      <c r="K1047" s="4" t="str">
        <f t="shared" si="98"/>
        <v>Cs126</v>
      </c>
    </row>
    <row r="1048" spans="2:11" hidden="1" x14ac:dyDescent="0.2">
      <c r="B1048" s="4">
        <v>55127</v>
      </c>
      <c r="C1048" s="4">
        <v>0</v>
      </c>
      <c r="D1048">
        <v>0</v>
      </c>
      <c r="E1048" t="str">
        <f>VLOOKUP(B1048,Nuclides!A:F,5,FALSE)</f>
        <v>Cs127</v>
      </c>
      <c r="F1048">
        <f>VLOOKUP(B1048,Nuclides!A:F,4,FALSE)</f>
        <v>22500</v>
      </c>
      <c r="G1048" s="4" t="str">
        <f t="shared" si="94"/>
        <v>6.25h</v>
      </c>
      <c r="H1048" s="4">
        <f t="shared" si="95"/>
        <v>3.0806541358219791E-5</v>
      </c>
      <c r="I1048" s="4">
        <f t="shared" si="96"/>
        <v>0</v>
      </c>
      <c r="J1048" s="4">
        <f t="shared" si="97"/>
        <v>0</v>
      </c>
      <c r="K1048" s="4" t="str">
        <f t="shared" si="98"/>
        <v>Cs127</v>
      </c>
    </row>
    <row r="1049" spans="2:11" hidden="1" x14ac:dyDescent="0.2">
      <c r="B1049" s="4">
        <v>55128</v>
      </c>
      <c r="C1049" s="4">
        <v>0</v>
      </c>
      <c r="D1049">
        <v>0</v>
      </c>
      <c r="E1049" t="str">
        <f>VLOOKUP(B1049,Nuclides!A:F,5,FALSE)</f>
        <v>Cs128</v>
      </c>
      <c r="F1049">
        <f>VLOOKUP(B1049,Nuclides!A:F,4,FALSE)</f>
        <v>219.6</v>
      </c>
      <c r="G1049" s="4" t="str">
        <f t="shared" si="94"/>
        <v>3.66min</v>
      </c>
      <c r="H1049" s="4">
        <f t="shared" si="95"/>
        <v>3.1564079260471096E-3</v>
      </c>
      <c r="I1049" s="4">
        <f t="shared" si="96"/>
        <v>0</v>
      </c>
      <c r="J1049" s="4">
        <f t="shared" si="97"/>
        <v>0</v>
      </c>
      <c r="K1049" s="4" t="str">
        <f t="shared" si="98"/>
        <v>Cs128</v>
      </c>
    </row>
    <row r="1050" spans="2:11" hidden="1" x14ac:dyDescent="0.2">
      <c r="B1050" s="4">
        <v>55129</v>
      </c>
      <c r="C1050" s="4">
        <v>0</v>
      </c>
      <c r="D1050">
        <v>0</v>
      </c>
      <c r="E1050" t="str">
        <f>VLOOKUP(B1050,Nuclides!A:F,5,FALSE)</f>
        <v>Cs129</v>
      </c>
      <c r="F1050">
        <f>VLOOKUP(B1050,Nuclides!A:F,4,FALSE)</f>
        <v>115416</v>
      </c>
      <c r="G1050" s="4" t="str">
        <f t="shared" si="94"/>
        <v>1.34d</v>
      </c>
      <c r="H1050" s="4">
        <f t="shared" si="95"/>
        <v>6.0056420302206393E-6</v>
      </c>
      <c r="I1050" s="4">
        <f t="shared" si="96"/>
        <v>0</v>
      </c>
      <c r="J1050" s="4">
        <f t="shared" si="97"/>
        <v>0</v>
      </c>
      <c r="K1050" s="4" t="str">
        <f t="shared" si="98"/>
        <v>Cs129</v>
      </c>
    </row>
    <row r="1051" spans="2:11" hidden="1" x14ac:dyDescent="0.2">
      <c r="B1051" s="4">
        <v>55130</v>
      </c>
      <c r="C1051" s="4">
        <v>0</v>
      </c>
      <c r="D1051">
        <v>0</v>
      </c>
      <c r="E1051" t="str">
        <f>VLOOKUP(B1051,Nuclides!A:F,5,FALSE)</f>
        <v>Cs130</v>
      </c>
      <c r="F1051">
        <f>VLOOKUP(B1051,Nuclides!A:F,4,FALSE)</f>
        <v>1752.6</v>
      </c>
      <c r="G1051" s="4" t="str">
        <f t="shared" si="94"/>
        <v>29.21min</v>
      </c>
      <c r="H1051" s="4">
        <f t="shared" si="95"/>
        <v>3.9549650836468407E-4</v>
      </c>
      <c r="I1051" s="4">
        <f t="shared" si="96"/>
        <v>0</v>
      </c>
      <c r="J1051" s="4">
        <f t="shared" si="97"/>
        <v>0</v>
      </c>
      <c r="K1051" s="4" t="str">
        <f t="shared" si="98"/>
        <v>Cs130</v>
      </c>
    </row>
    <row r="1052" spans="2:11" hidden="1" x14ac:dyDescent="0.2">
      <c r="B1052" s="4">
        <v>55131</v>
      </c>
      <c r="C1052" s="4">
        <v>0</v>
      </c>
      <c r="D1052">
        <v>0</v>
      </c>
      <c r="E1052" t="str">
        <f>VLOOKUP(B1052,Nuclides!A:F,5,FALSE)</f>
        <v>Cs131</v>
      </c>
      <c r="F1052">
        <f>VLOOKUP(B1052,Nuclides!A:F,4,FALSE)</f>
        <v>837129.6</v>
      </c>
      <c r="G1052" s="4" t="str">
        <f t="shared" si="94"/>
        <v>9.69d</v>
      </c>
      <c r="H1052" s="4">
        <f t="shared" si="95"/>
        <v>8.2800462504246091E-7</v>
      </c>
      <c r="I1052" s="4">
        <f t="shared" si="96"/>
        <v>0</v>
      </c>
      <c r="J1052" s="4">
        <f t="shared" si="97"/>
        <v>0</v>
      </c>
      <c r="K1052" s="4" t="str">
        <f t="shared" si="98"/>
        <v>Cs131</v>
      </c>
    </row>
    <row r="1053" spans="2:11" hidden="1" x14ac:dyDescent="0.2">
      <c r="B1053" s="4">
        <v>55132</v>
      </c>
      <c r="C1053" s="4">
        <v>0</v>
      </c>
      <c r="D1053">
        <v>0</v>
      </c>
      <c r="E1053" t="str">
        <f>VLOOKUP(B1053,Nuclides!A:F,5,FALSE)</f>
        <v>Cs132</v>
      </c>
      <c r="F1053">
        <f>VLOOKUP(B1053,Nuclides!A:F,4,FALSE)</f>
        <v>559872</v>
      </c>
      <c r="G1053" s="4" t="str">
        <f t="shared" si="94"/>
        <v>6.48d</v>
      </c>
      <c r="H1053" s="4">
        <f t="shared" si="95"/>
        <v>1.2380458043266055E-6</v>
      </c>
      <c r="I1053" s="4">
        <f t="shared" si="96"/>
        <v>0</v>
      </c>
      <c r="J1053" s="4">
        <f t="shared" si="97"/>
        <v>0</v>
      </c>
      <c r="K1053" s="4" t="str">
        <f t="shared" si="98"/>
        <v>Cs132</v>
      </c>
    </row>
    <row r="1054" spans="2:11" hidden="1" x14ac:dyDescent="0.2">
      <c r="B1054" s="4">
        <v>55133</v>
      </c>
      <c r="C1054" s="4">
        <v>0</v>
      </c>
      <c r="D1054">
        <v>0</v>
      </c>
      <c r="E1054" t="str">
        <f>VLOOKUP(B1054,Nuclides!A:F,5,FALSE)</f>
        <v>Cs133</v>
      </c>
      <c r="F1054" t="str">
        <f>VLOOKUP(B1054,Nuclides!A:F,4,FALSE)</f>
        <v>STABLE</v>
      </c>
      <c r="G1054" s="4" t="str">
        <f t="shared" si="94"/>
        <v>STABLE</v>
      </c>
      <c r="H1054" s="4" t="e">
        <f t="shared" si="95"/>
        <v>#VALUE!</v>
      </c>
      <c r="I1054" s="4" t="e">
        <f t="shared" si="96"/>
        <v>#VALUE!</v>
      </c>
      <c r="J1054" s="4" t="e">
        <f t="shared" si="97"/>
        <v>#VALUE!</v>
      </c>
      <c r="K1054" s="4" t="str">
        <f t="shared" si="98"/>
        <v>Cs133</v>
      </c>
    </row>
    <row r="1055" spans="2:11" hidden="1" x14ac:dyDescent="0.2">
      <c r="B1055" s="4">
        <v>55134</v>
      </c>
      <c r="C1055" s="4">
        <v>0</v>
      </c>
      <c r="D1055">
        <v>0</v>
      </c>
      <c r="E1055" t="str">
        <f>VLOOKUP(B1055,Nuclides!A:F,5,FALSE)</f>
        <v>Cs134</v>
      </c>
      <c r="F1055">
        <f>VLOOKUP(B1055,Nuclides!A:F,4,FALSE)</f>
        <v>65172755.519999899</v>
      </c>
      <c r="G1055" s="4" t="str">
        <f t="shared" si="94"/>
        <v>2.07y</v>
      </c>
      <c r="H1055" s="4">
        <f t="shared" si="95"/>
        <v>1.0635535892712647E-8</v>
      </c>
      <c r="I1055" s="4">
        <f t="shared" si="96"/>
        <v>0</v>
      </c>
      <c r="J1055" s="4">
        <f t="shared" si="97"/>
        <v>0</v>
      </c>
      <c r="K1055" s="4" t="str">
        <f t="shared" si="98"/>
        <v>Cs134</v>
      </c>
    </row>
    <row r="1056" spans="2:11" hidden="1" x14ac:dyDescent="0.2">
      <c r="B1056" s="4">
        <v>55135</v>
      </c>
      <c r="C1056" s="4">
        <v>0</v>
      </c>
      <c r="D1056">
        <v>0</v>
      </c>
      <c r="E1056" t="str">
        <f>VLOOKUP(B1056,Nuclides!A:F,5,FALSE)</f>
        <v>Cs135</v>
      </c>
      <c r="F1056">
        <f>VLOOKUP(B1056,Nuclides!A:F,4,FALSE)</f>
        <v>72582480000000</v>
      </c>
      <c r="G1056" s="4" t="str">
        <f t="shared" si="94"/>
        <v>2301575.34y</v>
      </c>
      <c r="H1056" s="4">
        <f t="shared" si="95"/>
        <v>9.5497864024478811E-15</v>
      </c>
      <c r="I1056" s="4">
        <f t="shared" si="96"/>
        <v>0</v>
      </c>
      <c r="J1056" s="4">
        <f t="shared" si="97"/>
        <v>0</v>
      </c>
      <c r="K1056" s="4" t="str">
        <f t="shared" si="98"/>
        <v>Cs135</v>
      </c>
    </row>
    <row r="1057" spans="2:11" hidden="1" x14ac:dyDescent="0.2">
      <c r="B1057" s="4">
        <v>55136</v>
      </c>
      <c r="C1057" s="4">
        <v>0</v>
      </c>
      <c r="D1057">
        <v>0</v>
      </c>
      <c r="E1057" t="str">
        <f>VLOOKUP(B1057,Nuclides!A:F,5,FALSE)</f>
        <v>Cs136</v>
      </c>
      <c r="F1057">
        <f>VLOOKUP(B1057,Nuclides!A:F,4,FALSE)</f>
        <v>1126656</v>
      </c>
      <c r="G1057" s="4" t="str">
        <f t="shared" si="94"/>
        <v>13.04d</v>
      </c>
      <c r="H1057" s="4">
        <f t="shared" si="95"/>
        <v>6.1522521564696349E-7</v>
      </c>
      <c r="I1057" s="4">
        <f t="shared" si="96"/>
        <v>0</v>
      </c>
      <c r="J1057" s="4">
        <f t="shared" si="97"/>
        <v>0</v>
      </c>
      <c r="K1057" s="4" t="str">
        <f t="shared" si="98"/>
        <v>Cs136</v>
      </c>
    </row>
    <row r="1058" spans="2:11" hidden="1" x14ac:dyDescent="0.2">
      <c r="B1058" s="4">
        <v>55137</v>
      </c>
      <c r="C1058" s="4">
        <v>0</v>
      </c>
      <c r="D1058">
        <v>0</v>
      </c>
      <c r="E1058" t="str">
        <f>VLOOKUP(B1058,Nuclides!A:F,5,FALSE)</f>
        <v>Cs137</v>
      </c>
      <c r="F1058">
        <f>VLOOKUP(B1058,Nuclides!A:F,4,FALSE)</f>
        <v>949252608</v>
      </c>
      <c r="G1058" s="4" t="str">
        <f t="shared" si="94"/>
        <v>30.1y</v>
      </c>
      <c r="H1058" s="4">
        <f t="shared" si="95"/>
        <v>7.3020308263398025E-10</v>
      </c>
      <c r="I1058" s="4">
        <f t="shared" si="96"/>
        <v>0</v>
      </c>
      <c r="J1058" s="4">
        <f t="shared" si="97"/>
        <v>0</v>
      </c>
      <c r="K1058" s="4" t="str">
        <f t="shared" si="98"/>
        <v>Cs137</v>
      </c>
    </row>
    <row r="1059" spans="2:11" hidden="1" x14ac:dyDescent="0.2">
      <c r="B1059" s="4">
        <v>55138</v>
      </c>
      <c r="C1059" s="4">
        <v>0</v>
      </c>
      <c r="D1059">
        <v>0</v>
      </c>
      <c r="E1059" t="str">
        <f>VLOOKUP(B1059,Nuclides!A:F,5,FALSE)</f>
        <v>Cs138</v>
      </c>
      <c r="F1059">
        <f>VLOOKUP(B1059,Nuclides!A:F,4,FALSE)</f>
        <v>2004.6</v>
      </c>
      <c r="G1059" s="4" t="str">
        <f t="shared" si="94"/>
        <v>33.41min</v>
      </c>
      <c r="H1059" s="4">
        <f t="shared" si="95"/>
        <v>3.4577830018953673E-4</v>
      </c>
      <c r="I1059" s="4">
        <f t="shared" si="96"/>
        <v>0</v>
      </c>
      <c r="J1059" s="4">
        <f t="shared" si="97"/>
        <v>0</v>
      </c>
      <c r="K1059" s="4" t="str">
        <f t="shared" si="98"/>
        <v>Cs138</v>
      </c>
    </row>
    <row r="1060" spans="2:11" hidden="1" x14ac:dyDescent="0.2">
      <c r="B1060" s="4">
        <v>55139</v>
      </c>
      <c r="C1060" s="4">
        <v>0</v>
      </c>
      <c r="D1060">
        <v>0</v>
      </c>
      <c r="E1060" t="str">
        <f>VLOOKUP(B1060,Nuclides!A:F,5,FALSE)</f>
        <v>Cs139</v>
      </c>
      <c r="F1060">
        <f>VLOOKUP(B1060,Nuclides!A:F,4,FALSE)</f>
        <v>556.19999999999902</v>
      </c>
      <c r="G1060" s="4" t="str">
        <f t="shared" si="94"/>
        <v>9.27min</v>
      </c>
      <c r="H1060" s="4">
        <f t="shared" si="95"/>
        <v>1.2462193106075989E-3</v>
      </c>
      <c r="I1060" s="4">
        <f t="shared" si="96"/>
        <v>0</v>
      </c>
      <c r="J1060" s="4">
        <f t="shared" si="97"/>
        <v>0</v>
      </c>
      <c r="K1060" s="4" t="str">
        <f t="shared" si="98"/>
        <v>Cs139</v>
      </c>
    </row>
    <row r="1061" spans="2:11" hidden="1" x14ac:dyDescent="0.2">
      <c r="B1061" s="4">
        <v>55140</v>
      </c>
      <c r="C1061" s="4">
        <v>0</v>
      </c>
      <c r="D1061">
        <v>0</v>
      </c>
      <c r="E1061" t="str">
        <f>VLOOKUP(B1061,Nuclides!A:F,5,FALSE)</f>
        <v>Cs140</v>
      </c>
      <c r="F1061">
        <f>VLOOKUP(B1061,Nuclides!A:F,4,FALSE)</f>
        <v>63.7</v>
      </c>
      <c r="G1061" s="4" t="str">
        <f t="shared" si="94"/>
        <v>1.06min</v>
      </c>
      <c r="H1061" s="4">
        <f t="shared" si="95"/>
        <v>1.0881431405964604E-2</v>
      </c>
      <c r="I1061" s="4">
        <f t="shared" si="96"/>
        <v>0</v>
      </c>
      <c r="J1061" s="4">
        <f t="shared" si="97"/>
        <v>0</v>
      </c>
      <c r="K1061" s="4" t="str">
        <f t="shared" si="98"/>
        <v>Cs140</v>
      </c>
    </row>
    <row r="1062" spans="2:11" hidden="1" x14ac:dyDescent="0.2">
      <c r="B1062" s="4">
        <v>55141</v>
      </c>
      <c r="C1062" s="4">
        <v>0</v>
      </c>
      <c r="D1062">
        <v>0</v>
      </c>
      <c r="E1062" t="str">
        <f>VLOOKUP(B1062,Nuclides!A:F,5,FALSE)</f>
        <v>Cs141</v>
      </c>
      <c r="F1062">
        <f>VLOOKUP(B1062,Nuclides!A:F,4,FALSE)</f>
        <v>24.84</v>
      </c>
      <c r="G1062" s="4" t="str">
        <f t="shared" si="94"/>
        <v>24.84s</v>
      </c>
      <c r="H1062" s="4">
        <f t="shared" si="95"/>
        <v>2.7904475867952708E-2</v>
      </c>
      <c r="I1062" s="4">
        <f t="shared" si="96"/>
        <v>0</v>
      </c>
      <c r="J1062" s="4">
        <f t="shared" si="97"/>
        <v>0</v>
      </c>
      <c r="K1062" s="4" t="str">
        <f t="shared" si="98"/>
        <v>Cs141</v>
      </c>
    </row>
    <row r="1063" spans="2:11" hidden="1" x14ac:dyDescent="0.2">
      <c r="B1063" s="4">
        <v>55142</v>
      </c>
      <c r="C1063" s="4">
        <v>0</v>
      </c>
      <c r="D1063">
        <v>0</v>
      </c>
      <c r="E1063" t="str">
        <f>VLOOKUP(B1063,Nuclides!A:F,5,FALSE)</f>
        <v>Cs142</v>
      </c>
      <c r="F1063">
        <f>VLOOKUP(B1063,Nuclides!A:F,4,FALSE)</f>
        <v>1.6839999999999999</v>
      </c>
      <c r="G1063" s="4" t="str">
        <f t="shared" si="94"/>
        <v>1.684s</v>
      </c>
      <c r="H1063" s="4">
        <f t="shared" si="95"/>
        <v>0.41160758940614328</v>
      </c>
      <c r="I1063" s="4">
        <f t="shared" si="96"/>
        <v>0</v>
      </c>
      <c r="J1063" s="4">
        <f t="shared" si="97"/>
        <v>0</v>
      </c>
      <c r="K1063" s="4" t="str">
        <f t="shared" si="98"/>
        <v>Cs142</v>
      </c>
    </row>
    <row r="1064" spans="2:11" hidden="1" x14ac:dyDescent="0.2">
      <c r="B1064" s="4">
        <v>55143</v>
      </c>
      <c r="C1064" s="4">
        <v>0</v>
      </c>
      <c r="D1064">
        <v>0</v>
      </c>
      <c r="E1064" t="str">
        <f>VLOOKUP(B1064,Nuclides!A:F,5,FALSE)</f>
        <v>Cs143</v>
      </c>
      <c r="F1064">
        <f>VLOOKUP(B1064,Nuclides!A:F,4,FALSE)</f>
        <v>1.7909999999999999</v>
      </c>
      <c r="G1064" s="4" t="str">
        <f t="shared" si="94"/>
        <v>1.791s</v>
      </c>
      <c r="H1064" s="4">
        <f t="shared" si="95"/>
        <v>0.38701685123391699</v>
      </c>
      <c r="I1064" s="4">
        <f t="shared" si="96"/>
        <v>0</v>
      </c>
      <c r="J1064" s="4">
        <f t="shared" si="97"/>
        <v>0</v>
      </c>
      <c r="K1064" s="4" t="str">
        <f t="shared" si="98"/>
        <v>Cs143</v>
      </c>
    </row>
    <row r="1065" spans="2:11" hidden="1" x14ac:dyDescent="0.2">
      <c r="B1065" s="4">
        <v>55144</v>
      </c>
      <c r="C1065" s="4">
        <v>0</v>
      </c>
      <c r="D1065">
        <v>0</v>
      </c>
      <c r="E1065" t="str">
        <f>VLOOKUP(B1065,Nuclides!A:F,5,FALSE)</f>
        <v>Cs144</v>
      </c>
      <c r="F1065">
        <f>VLOOKUP(B1065,Nuclides!A:F,4,FALSE)</f>
        <v>0.99399999999999999</v>
      </c>
      <c r="G1065" s="4" t="str">
        <f t="shared" si="94"/>
        <v>0.994s</v>
      </c>
      <c r="H1065" s="4">
        <f t="shared" si="95"/>
        <v>0.69733116756533731</v>
      </c>
      <c r="I1065" s="4">
        <f t="shared" si="96"/>
        <v>0</v>
      </c>
      <c r="J1065" s="4">
        <f t="shared" si="97"/>
        <v>0</v>
      </c>
      <c r="K1065" s="4" t="str">
        <f t="shared" si="98"/>
        <v>Cs144</v>
      </c>
    </row>
    <row r="1066" spans="2:11" hidden="1" x14ac:dyDescent="0.2">
      <c r="B1066" s="4">
        <v>55145</v>
      </c>
      <c r="C1066" s="4">
        <v>0</v>
      </c>
      <c r="D1066">
        <v>0</v>
      </c>
      <c r="E1066" t="str">
        <f>VLOOKUP(B1066,Nuclides!A:F,5,FALSE)</f>
        <v>Cs145</v>
      </c>
      <c r="F1066">
        <f>VLOOKUP(B1066,Nuclides!A:F,4,FALSE)</f>
        <v>0.58699999999999997</v>
      </c>
      <c r="G1066" s="4" t="str">
        <f t="shared" si="94"/>
        <v>0.587s</v>
      </c>
      <c r="H1066" s="4">
        <f t="shared" si="95"/>
        <v>1.1808299498465848</v>
      </c>
      <c r="I1066" s="4">
        <f t="shared" si="96"/>
        <v>0</v>
      </c>
      <c r="J1066" s="4">
        <f t="shared" si="97"/>
        <v>0</v>
      </c>
      <c r="K1066" s="4" t="str">
        <f t="shared" si="98"/>
        <v>Cs145</v>
      </c>
    </row>
    <row r="1067" spans="2:11" hidden="1" x14ac:dyDescent="0.2">
      <c r="B1067" s="4">
        <v>55146</v>
      </c>
      <c r="C1067" s="4">
        <v>0</v>
      </c>
      <c r="D1067">
        <v>0</v>
      </c>
      <c r="E1067" t="str">
        <f>VLOOKUP(B1067,Nuclides!A:F,5,FALSE)</f>
        <v>Cs146</v>
      </c>
      <c r="F1067">
        <f>VLOOKUP(B1067,Nuclides!A:F,4,FALSE)</f>
        <v>0.32200000000000001</v>
      </c>
      <c r="G1067" s="4" t="str">
        <f t="shared" si="94"/>
        <v>0.322s</v>
      </c>
      <c r="H1067" s="4">
        <f t="shared" si="95"/>
        <v>2.1526309955277805</v>
      </c>
      <c r="I1067" s="4">
        <f t="shared" si="96"/>
        <v>0</v>
      </c>
      <c r="J1067" s="4">
        <f t="shared" si="97"/>
        <v>0</v>
      </c>
      <c r="K1067" s="4" t="str">
        <f t="shared" si="98"/>
        <v>Cs146</v>
      </c>
    </row>
    <row r="1068" spans="2:11" hidden="1" x14ac:dyDescent="0.2">
      <c r="B1068" s="4">
        <v>55147</v>
      </c>
      <c r="C1068" s="4">
        <v>0</v>
      </c>
      <c r="D1068">
        <v>0</v>
      </c>
      <c r="E1068" t="str">
        <f>VLOOKUP(B1068,Nuclides!A:F,5,FALSE)</f>
        <v>Cs147</v>
      </c>
      <c r="F1068">
        <f>VLOOKUP(B1068,Nuclides!A:F,4,FALSE)</f>
        <v>0.23</v>
      </c>
      <c r="G1068" s="4" t="str">
        <f t="shared" si="94"/>
        <v>0.23s</v>
      </c>
      <c r="H1068" s="4">
        <f t="shared" si="95"/>
        <v>3.0136833937388925</v>
      </c>
      <c r="I1068" s="4">
        <f t="shared" si="96"/>
        <v>0</v>
      </c>
      <c r="J1068" s="4">
        <f t="shared" si="97"/>
        <v>0</v>
      </c>
      <c r="K1068" s="4" t="str">
        <f t="shared" si="98"/>
        <v>Cs147</v>
      </c>
    </row>
    <row r="1069" spans="2:11" hidden="1" x14ac:dyDescent="0.2">
      <c r="B1069" s="4">
        <v>55148</v>
      </c>
      <c r="C1069" s="4">
        <v>0</v>
      </c>
      <c r="D1069">
        <v>0</v>
      </c>
      <c r="E1069" t="str">
        <f>VLOOKUP(B1069,Nuclides!A:F,5,FALSE)</f>
        <v>Cs148</v>
      </c>
      <c r="F1069">
        <f>VLOOKUP(B1069,Nuclides!A:F,4,FALSE)</f>
        <v>0.14599999999999999</v>
      </c>
      <c r="G1069" s="4" t="str">
        <f t="shared" si="94"/>
        <v>0.146s</v>
      </c>
      <c r="H1069" s="4">
        <f t="shared" si="95"/>
        <v>4.747583428492776</v>
      </c>
      <c r="I1069" s="4">
        <f t="shared" si="96"/>
        <v>0</v>
      </c>
      <c r="J1069" s="4">
        <f t="shared" si="97"/>
        <v>0</v>
      </c>
      <c r="K1069" s="4" t="str">
        <f t="shared" si="98"/>
        <v>Cs148</v>
      </c>
    </row>
    <row r="1070" spans="2:11" hidden="1" x14ac:dyDescent="0.2">
      <c r="B1070" s="4">
        <v>56117</v>
      </c>
      <c r="C1070" s="4">
        <v>0</v>
      </c>
      <c r="D1070">
        <v>0</v>
      </c>
      <c r="E1070" t="str">
        <f>VLOOKUP(B1070,Nuclides!A:F,5,FALSE)</f>
        <v>Ba117</v>
      </c>
      <c r="F1070">
        <f>VLOOKUP(B1070,Nuclides!A:F,4,FALSE)</f>
        <v>1.75</v>
      </c>
      <c r="G1070" s="4" t="str">
        <f t="shared" si="94"/>
        <v>1.75s</v>
      </c>
      <c r="H1070" s="4">
        <f t="shared" si="95"/>
        <v>0.39608410317711157</v>
      </c>
      <c r="I1070" s="4">
        <f t="shared" si="96"/>
        <v>0</v>
      </c>
      <c r="J1070" s="4">
        <f t="shared" si="97"/>
        <v>0</v>
      </c>
      <c r="K1070" s="4" t="str">
        <f t="shared" si="98"/>
        <v>Ba117</v>
      </c>
    </row>
    <row r="1071" spans="2:11" hidden="1" x14ac:dyDescent="0.2">
      <c r="B1071" s="4">
        <v>56118</v>
      </c>
      <c r="C1071" s="4">
        <v>0</v>
      </c>
      <c r="D1071">
        <v>0</v>
      </c>
      <c r="E1071" t="str">
        <f>VLOOKUP(B1071,Nuclides!A:F,5,FALSE)</f>
        <v>Ba118</v>
      </c>
      <c r="F1071">
        <f>VLOOKUP(B1071,Nuclides!A:F,4,FALSE)</f>
        <v>5.5</v>
      </c>
      <c r="G1071" s="4" t="str">
        <f t="shared" si="94"/>
        <v>5.5s</v>
      </c>
      <c r="H1071" s="4">
        <f t="shared" si="95"/>
        <v>0.12602676010180824</v>
      </c>
      <c r="I1071" s="4">
        <f t="shared" si="96"/>
        <v>0</v>
      </c>
      <c r="J1071" s="4">
        <f t="shared" si="97"/>
        <v>0</v>
      </c>
      <c r="K1071" s="4" t="str">
        <f t="shared" si="98"/>
        <v>Ba118</v>
      </c>
    </row>
    <row r="1072" spans="2:11" hidden="1" x14ac:dyDescent="0.2">
      <c r="B1072" s="4">
        <v>56119</v>
      </c>
      <c r="C1072" s="4">
        <v>0</v>
      </c>
      <c r="D1072">
        <v>0</v>
      </c>
      <c r="E1072" t="str">
        <f>VLOOKUP(B1072,Nuclides!A:F,5,FALSE)</f>
        <v>Ba119</v>
      </c>
      <c r="F1072">
        <f>VLOOKUP(B1072,Nuclides!A:F,4,FALSE)</f>
        <v>5.4</v>
      </c>
      <c r="G1072" s="4" t="str">
        <f t="shared" si="94"/>
        <v>5.4s</v>
      </c>
      <c r="H1072" s="4">
        <f t="shared" si="95"/>
        <v>0.12836058899258246</v>
      </c>
      <c r="I1072" s="4">
        <f t="shared" si="96"/>
        <v>0</v>
      </c>
      <c r="J1072" s="4">
        <f t="shared" si="97"/>
        <v>0</v>
      </c>
      <c r="K1072" s="4" t="str">
        <f t="shared" si="98"/>
        <v>Ba119</v>
      </c>
    </row>
    <row r="1073" spans="2:11" hidden="1" x14ac:dyDescent="0.2">
      <c r="B1073" s="4">
        <v>56120</v>
      </c>
      <c r="C1073" s="4">
        <v>0</v>
      </c>
      <c r="D1073">
        <v>0</v>
      </c>
      <c r="E1073" t="str">
        <f>VLOOKUP(B1073,Nuclides!A:F,5,FALSE)</f>
        <v>Ba120</v>
      </c>
      <c r="F1073">
        <f>VLOOKUP(B1073,Nuclides!A:F,4,FALSE)</f>
        <v>24</v>
      </c>
      <c r="G1073" s="4" t="str">
        <f t="shared" si="94"/>
        <v>24s</v>
      </c>
      <c r="H1073" s="4">
        <f t="shared" si="95"/>
        <v>2.8881132523331052E-2</v>
      </c>
      <c r="I1073" s="4">
        <f t="shared" si="96"/>
        <v>0</v>
      </c>
      <c r="J1073" s="4">
        <f t="shared" si="97"/>
        <v>0</v>
      </c>
      <c r="K1073" s="4" t="str">
        <f t="shared" si="98"/>
        <v>Ba120</v>
      </c>
    </row>
    <row r="1074" spans="2:11" hidden="1" x14ac:dyDescent="0.2">
      <c r="B1074" s="4">
        <v>56121</v>
      </c>
      <c r="C1074" s="4">
        <v>0</v>
      </c>
      <c r="D1074">
        <v>0</v>
      </c>
      <c r="E1074" t="str">
        <f>VLOOKUP(B1074,Nuclides!A:F,5,FALSE)</f>
        <v>Ba121</v>
      </c>
      <c r="F1074">
        <f>VLOOKUP(B1074,Nuclides!A:F,4,FALSE)</f>
        <v>29.7</v>
      </c>
      <c r="G1074" s="4" t="str">
        <f t="shared" si="94"/>
        <v>29.7s</v>
      </c>
      <c r="H1074" s="4">
        <f t="shared" si="95"/>
        <v>2.3338288907742265E-2</v>
      </c>
      <c r="I1074" s="4">
        <f t="shared" si="96"/>
        <v>0</v>
      </c>
      <c r="J1074" s="4">
        <f t="shared" si="97"/>
        <v>0</v>
      </c>
      <c r="K1074" s="4" t="str">
        <f t="shared" si="98"/>
        <v>Ba121</v>
      </c>
    </row>
    <row r="1075" spans="2:11" hidden="1" x14ac:dyDescent="0.2">
      <c r="B1075" s="4">
        <v>56122</v>
      </c>
      <c r="C1075" s="4">
        <v>0</v>
      </c>
      <c r="D1075">
        <v>0</v>
      </c>
      <c r="E1075" t="str">
        <f>VLOOKUP(B1075,Nuclides!A:F,5,FALSE)</f>
        <v>Ba122</v>
      </c>
      <c r="F1075">
        <f>VLOOKUP(B1075,Nuclides!A:F,4,FALSE)</f>
        <v>117</v>
      </c>
      <c r="G1075" s="4" t="str">
        <f t="shared" si="94"/>
        <v>1.95min</v>
      </c>
      <c r="H1075" s="4">
        <f t="shared" si="95"/>
        <v>5.9243348765807289E-3</v>
      </c>
      <c r="I1075" s="4">
        <f t="shared" si="96"/>
        <v>0</v>
      </c>
      <c r="J1075" s="4">
        <f t="shared" si="97"/>
        <v>0</v>
      </c>
      <c r="K1075" s="4" t="str">
        <f t="shared" si="98"/>
        <v>Ba122</v>
      </c>
    </row>
    <row r="1076" spans="2:11" hidden="1" x14ac:dyDescent="0.2">
      <c r="B1076" s="4">
        <v>56123</v>
      </c>
      <c r="C1076" s="4">
        <v>0</v>
      </c>
      <c r="D1076">
        <v>0</v>
      </c>
      <c r="E1076" t="str">
        <f>VLOOKUP(B1076,Nuclides!A:F,5,FALSE)</f>
        <v>Ba123</v>
      </c>
      <c r="F1076">
        <f>VLOOKUP(B1076,Nuclides!A:F,4,FALSE)</f>
        <v>162</v>
      </c>
      <c r="G1076" s="4" t="str">
        <f t="shared" si="94"/>
        <v>2.7min</v>
      </c>
      <c r="H1076" s="4">
        <f t="shared" si="95"/>
        <v>4.278686299752749E-3</v>
      </c>
      <c r="I1076" s="4">
        <f t="shared" si="96"/>
        <v>0</v>
      </c>
      <c r="J1076" s="4">
        <f t="shared" si="97"/>
        <v>0</v>
      </c>
      <c r="K1076" s="4" t="str">
        <f t="shared" si="98"/>
        <v>Ba123</v>
      </c>
    </row>
    <row r="1077" spans="2:11" hidden="1" x14ac:dyDescent="0.2">
      <c r="B1077" s="4">
        <v>56124</v>
      </c>
      <c r="C1077" s="4">
        <v>0</v>
      </c>
      <c r="D1077">
        <v>0</v>
      </c>
      <c r="E1077" t="str">
        <f>VLOOKUP(B1077,Nuclides!A:F,5,FALSE)</f>
        <v>Ba124</v>
      </c>
      <c r="F1077">
        <f>VLOOKUP(B1077,Nuclides!A:F,4,FALSE)</f>
        <v>660</v>
      </c>
      <c r="G1077" s="4" t="str">
        <f t="shared" si="94"/>
        <v>11min</v>
      </c>
      <c r="H1077" s="4">
        <f t="shared" si="95"/>
        <v>1.0502230008484019E-3</v>
      </c>
      <c r="I1077" s="4">
        <f t="shared" si="96"/>
        <v>0</v>
      </c>
      <c r="J1077" s="4">
        <f t="shared" si="97"/>
        <v>0</v>
      </c>
      <c r="K1077" s="4" t="str">
        <f t="shared" si="98"/>
        <v>Ba124</v>
      </c>
    </row>
    <row r="1078" spans="2:11" hidden="1" x14ac:dyDescent="0.2">
      <c r="B1078" s="4">
        <v>56125</v>
      </c>
      <c r="C1078" s="4">
        <v>0</v>
      </c>
      <c r="D1078">
        <v>0</v>
      </c>
      <c r="E1078" t="str">
        <f>VLOOKUP(B1078,Nuclides!A:F,5,FALSE)</f>
        <v>Ba125</v>
      </c>
      <c r="F1078">
        <f>VLOOKUP(B1078,Nuclides!A:F,4,FALSE)</f>
        <v>198</v>
      </c>
      <c r="G1078" s="4" t="str">
        <f t="shared" si="94"/>
        <v>3.3min</v>
      </c>
      <c r="H1078" s="4">
        <f t="shared" si="95"/>
        <v>3.5007433361613398E-3</v>
      </c>
      <c r="I1078" s="4">
        <f t="shared" si="96"/>
        <v>0</v>
      </c>
      <c r="J1078" s="4">
        <f t="shared" si="97"/>
        <v>0</v>
      </c>
      <c r="K1078" s="4" t="str">
        <f t="shared" si="98"/>
        <v>Ba125</v>
      </c>
    </row>
    <row r="1079" spans="2:11" hidden="1" x14ac:dyDescent="0.2">
      <c r="B1079" s="4">
        <v>56126</v>
      </c>
      <c r="C1079" s="4">
        <v>0</v>
      </c>
      <c r="D1079">
        <v>0</v>
      </c>
      <c r="E1079" t="str">
        <f>VLOOKUP(B1079,Nuclides!A:F,5,FALSE)</f>
        <v>Ba126</v>
      </c>
      <c r="F1079">
        <f>VLOOKUP(B1079,Nuclides!A:F,4,FALSE)</f>
        <v>6000</v>
      </c>
      <c r="G1079" s="4" t="str">
        <f t="shared" si="94"/>
        <v>1.67h</v>
      </c>
      <c r="H1079" s="4">
        <f t="shared" si="95"/>
        <v>1.1552453009332422E-4</v>
      </c>
      <c r="I1079" s="4">
        <f t="shared" si="96"/>
        <v>0</v>
      </c>
      <c r="J1079" s="4">
        <f t="shared" si="97"/>
        <v>0</v>
      </c>
      <c r="K1079" s="4" t="str">
        <f t="shared" si="98"/>
        <v>Ba126</v>
      </c>
    </row>
    <row r="1080" spans="2:11" hidden="1" x14ac:dyDescent="0.2">
      <c r="B1080" s="4">
        <v>56127</v>
      </c>
      <c r="C1080" s="4">
        <v>0</v>
      </c>
      <c r="D1080">
        <v>0</v>
      </c>
      <c r="E1080" t="str">
        <f>VLOOKUP(B1080,Nuclides!A:F,5,FALSE)</f>
        <v>Ba127</v>
      </c>
      <c r="F1080">
        <f>VLOOKUP(B1080,Nuclides!A:F,4,FALSE)</f>
        <v>762</v>
      </c>
      <c r="G1080" s="4" t="str">
        <f t="shared" si="94"/>
        <v>12.7min</v>
      </c>
      <c r="H1080" s="4">
        <f t="shared" si="95"/>
        <v>9.0964196923877332E-4</v>
      </c>
      <c r="I1080" s="4">
        <f t="shared" si="96"/>
        <v>0</v>
      </c>
      <c r="J1080" s="4">
        <f t="shared" si="97"/>
        <v>0</v>
      </c>
      <c r="K1080" s="4" t="str">
        <f t="shared" si="98"/>
        <v>Ba127</v>
      </c>
    </row>
    <row r="1081" spans="2:11" hidden="1" x14ac:dyDescent="0.2">
      <c r="B1081" s="4">
        <v>56128</v>
      </c>
      <c r="C1081" s="4">
        <v>0</v>
      </c>
      <c r="D1081">
        <v>0</v>
      </c>
      <c r="E1081" t="str">
        <f>VLOOKUP(B1081,Nuclides!A:F,5,FALSE)</f>
        <v>Ba128</v>
      </c>
      <c r="F1081">
        <f>VLOOKUP(B1081,Nuclides!A:F,4,FALSE)</f>
        <v>209952</v>
      </c>
      <c r="G1081" s="4" t="str">
        <f t="shared" si="94"/>
        <v>2.43d</v>
      </c>
      <c r="H1081" s="4">
        <f t="shared" si="95"/>
        <v>3.3014554782042812E-6</v>
      </c>
      <c r="I1081" s="4">
        <f t="shared" si="96"/>
        <v>0</v>
      </c>
      <c r="J1081" s="4">
        <f t="shared" si="97"/>
        <v>0</v>
      </c>
      <c r="K1081" s="4" t="str">
        <f t="shared" si="98"/>
        <v>Ba128</v>
      </c>
    </row>
    <row r="1082" spans="2:11" hidden="1" x14ac:dyDescent="0.2">
      <c r="B1082" s="4">
        <v>56129</v>
      </c>
      <c r="C1082" s="4">
        <v>0</v>
      </c>
      <c r="D1082">
        <v>0</v>
      </c>
      <c r="E1082" t="str">
        <f>VLOOKUP(B1082,Nuclides!A:F,5,FALSE)</f>
        <v>Ba129</v>
      </c>
      <c r="F1082">
        <f>VLOOKUP(B1082,Nuclides!A:F,4,FALSE)</f>
        <v>8028</v>
      </c>
      <c r="G1082" s="4" t="str">
        <f t="shared" si="94"/>
        <v>2.23h</v>
      </c>
      <c r="H1082" s="4">
        <f t="shared" si="95"/>
        <v>8.6341203358239325E-5</v>
      </c>
      <c r="I1082" s="4">
        <f t="shared" si="96"/>
        <v>0</v>
      </c>
      <c r="J1082" s="4">
        <f t="shared" si="97"/>
        <v>0</v>
      </c>
      <c r="K1082" s="4" t="str">
        <f t="shared" si="98"/>
        <v>Ba129</v>
      </c>
    </row>
    <row r="1083" spans="2:11" hidden="1" x14ac:dyDescent="0.2">
      <c r="B1083" s="4">
        <v>56130</v>
      </c>
      <c r="C1083" s="4">
        <v>0</v>
      </c>
      <c r="D1083">
        <v>0</v>
      </c>
      <c r="E1083" t="str">
        <f>VLOOKUP(B1083,Nuclides!A:F,5,FALSE)</f>
        <v>Ba130</v>
      </c>
      <c r="F1083" t="str">
        <f>VLOOKUP(B1083,Nuclides!A:F,4,FALSE)</f>
        <v>STABLE</v>
      </c>
      <c r="G1083" s="4" t="str">
        <f t="shared" si="94"/>
        <v>STABLE</v>
      </c>
      <c r="H1083" s="4" t="e">
        <f t="shared" si="95"/>
        <v>#VALUE!</v>
      </c>
      <c r="I1083" s="4" t="e">
        <f t="shared" si="96"/>
        <v>#VALUE!</v>
      </c>
      <c r="J1083" s="4" t="e">
        <f t="shared" si="97"/>
        <v>#VALUE!</v>
      </c>
      <c r="K1083" s="4" t="str">
        <f t="shared" si="98"/>
        <v>Ba130</v>
      </c>
    </row>
    <row r="1084" spans="2:11" hidden="1" x14ac:dyDescent="0.2">
      <c r="B1084" s="4">
        <v>56131</v>
      </c>
      <c r="C1084" s="4">
        <v>0</v>
      </c>
      <c r="D1084">
        <v>0</v>
      </c>
      <c r="E1084" t="str">
        <f>VLOOKUP(B1084,Nuclides!A:F,5,FALSE)</f>
        <v>Ba131</v>
      </c>
      <c r="F1084">
        <f>VLOOKUP(B1084,Nuclides!A:F,4,FALSE)</f>
        <v>993600</v>
      </c>
      <c r="G1084" s="4" t="str">
        <f t="shared" si="94"/>
        <v>11.5d</v>
      </c>
      <c r="H1084" s="4">
        <f t="shared" si="95"/>
        <v>6.976118966988177E-7</v>
      </c>
      <c r="I1084" s="4">
        <f t="shared" si="96"/>
        <v>0</v>
      </c>
      <c r="J1084" s="4">
        <f t="shared" si="97"/>
        <v>0</v>
      </c>
      <c r="K1084" s="4" t="str">
        <f t="shared" si="98"/>
        <v>Ba131</v>
      </c>
    </row>
    <row r="1085" spans="2:11" hidden="1" x14ac:dyDescent="0.2">
      <c r="B1085" s="4">
        <v>56132</v>
      </c>
      <c r="C1085" s="4">
        <v>0</v>
      </c>
      <c r="D1085">
        <v>0</v>
      </c>
      <c r="E1085" t="str">
        <f>VLOOKUP(B1085,Nuclides!A:F,5,FALSE)</f>
        <v>Ba132</v>
      </c>
      <c r="F1085">
        <f>VLOOKUP(B1085,Nuclides!A:F,4,FALSE)</f>
        <v>9.4672799999999999E+28</v>
      </c>
      <c r="G1085" s="4" t="str">
        <f t="shared" si="94"/>
        <v>3.00205479452055E+21y</v>
      </c>
      <c r="H1085" s="4">
        <f t="shared" si="95"/>
        <v>7.3215029085433761E-30</v>
      </c>
      <c r="I1085" s="4">
        <f t="shared" si="96"/>
        <v>0</v>
      </c>
      <c r="J1085" s="4">
        <f t="shared" si="97"/>
        <v>0</v>
      </c>
      <c r="K1085" s="4" t="str">
        <f t="shared" si="98"/>
        <v>Ba132</v>
      </c>
    </row>
    <row r="1086" spans="2:11" hidden="1" x14ac:dyDescent="0.2">
      <c r="B1086" s="4">
        <v>56133</v>
      </c>
      <c r="C1086" s="4">
        <v>0</v>
      </c>
      <c r="D1086">
        <v>0</v>
      </c>
      <c r="E1086" t="str">
        <f>VLOOKUP(B1086,Nuclides!A:F,5,FALSE)</f>
        <v>Ba133</v>
      </c>
      <c r="F1086">
        <f>VLOOKUP(B1086,Nuclides!A:F,4,FALSE)</f>
        <v>332964237.60000002</v>
      </c>
      <c r="G1086" s="4" t="str">
        <f t="shared" si="94"/>
        <v>10.56y</v>
      </c>
      <c r="H1086" s="4">
        <f t="shared" si="95"/>
        <v>2.0817466330802885E-9</v>
      </c>
      <c r="I1086" s="4">
        <f t="shared" si="96"/>
        <v>0</v>
      </c>
      <c r="J1086" s="4">
        <f t="shared" si="97"/>
        <v>0</v>
      </c>
      <c r="K1086" s="4" t="str">
        <f t="shared" si="98"/>
        <v>Ba133</v>
      </c>
    </row>
    <row r="1087" spans="2:11" hidden="1" x14ac:dyDescent="0.2">
      <c r="B1087" s="4">
        <v>56134</v>
      </c>
      <c r="C1087" s="4">
        <v>0</v>
      </c>
      <c r="D1087">
        <v>0</v>
      </c>
      <c r="E1087" t="str">
        <f>VLOOKUP(B1087,Nuclides!A:F,5,FALSE)</f>
        <v>Ba134</v>
      </c>
      <c r="F1087" t="str">
        <f>VLOOKUP(B1087,Nuclides!A:F,4,FALSE)</f>
        <v>STABLE</v>
      </c>
      <c r="G1087" s="4" t="str">
        <f t="shared" si="94"/>
        <v>STABLE</v>
      </c>
      <c r="H1087" s="4" t="e">
        <f t="shared" si="95"/>
        <v>#VALUE!</v>
      </c>
      <c r="I1087" s="4" t="e">
        <f t="shared" si="96"/>
        <v>#VALUE!</v>
      </c>
      <c r="J1087" s="4" t="e">
        <f t="shared" si="97"/>
        <v>#VALUE!</v>
      </c>
      <c r="K1087" s="4" t="str">
        <f t="shared" si="98"/>
        <v>Ba134</v>
      </c>
    </row>
    <row r="1088" spans="2:11" hidden="1" x14ac:dyDescent="0.2">
      <c r="B1088" s="4">
        <v>56135</v>
      </c>
      <c r="C1088" s="4">
        <v>0</v>
      </c>
      <c r="D1088">
        <v>0</v>
      </c>
      <c r="E1088" t="str">
        <f>VLOOKUP(B1088,Nuclides!A:F,5,FALSE)</f>
        <v>Ba135</v>
      </c>
      <c r="F1088" t="str">
        <f>VLOOKUP(B1088,Nuclides!A:F,4,FALSE)</f>
        <v>STABLE</v>
      </c>
      <c r="G1088" s="4" t="str">
        <f t="shared" si="94"/>
        <v>STABLE</v>
      </c>
      <c r="H1088" s="4" t="e">
        <f t="shared" si="95"/>
        <v>#VALUE!</v>
      </c>
      <c r="I1088" s="4" t="e">
        <f t="shared" si="96"/>
        <v>#VALUE!</v>
      </c>
      <c r="J1088" s="4" t="e">
        <f t="shared" si="97"/>
        <v>#VALUE!</v>
      </c>
      <c r="K1088" s="4" t="str">
        <f t="shared" si="98"/>
        <v>Ba135</v>
      </c>
    </row>
    <row r="1089" spans="2:11" hidden="1" x14ac:dyDescent="0.2">
      <c r="B1089" s="4">
        <v>56136</v>
      </c>
      <c r="C1089" s="4">
        <v>0</v>
      </c>
      <c r="D1089">
        <v>0</v>
      </c>
      <c r="E1089" t="str">
        <f>VLOOKUP(B1089,Nuclides!A:F,5,FALSE)</f>
        <v>Ba136</v>
      </c>
      <c r="F1089" t="str">
        <f>VLOOKUP(B1089,Nuclides!A:F,4,FALSE)</f>
        <v>STABLE</v>
      </c>
      <c r="G1089" s="4" t="str">
        <f t="shared" si="94"/>
        <v>STABLE</v>
      </c>
      <c r="H1089" s="4" t="e">
        <f t="shared" si="95"/>
        <v>#VALUE!</v>
      </c>
      <c r="I1089" s="4" t="e">
        <f t="shared" si="96"/>
        <v>#VALUE!</v>
      </c>
      <c r="J1089" s="4" t="e">
        <f t="shared" si="97"/>
        <v>#VALUE!</v>
      </c>
      <c r="K1089" s="4" t="str">
        <f t="shared" si="98"/>
        <v>Ba136</v>
      </c>
    </row>
    <row r="1090" spans="2:11" hidden="1" x14ac:dyDescent="0.2">
      <c r="B1090" s="4">
        <v>56137</v>
      </c>
      <c r="C1090" s="4">
        <v>0</v>
      </c>
      <c r="D1090">
        <v>0</v>
      </c>
      <c r="E1090" t="str">
        <f>VLOOKUP(B1090,Nuclides!A:F,5,FALSE)</f>
        <v>Ba137</v>
      </c>
      <c r="F1090" t="str">
        <f>VLOOKUP(B1090,Nuclides!A:F,4,FALSE)</f>
        <v>STABLE</v>
      </c>
      <c r="G1090" s="4" t="str">
        <f t="shared" si="94"/>
        <v>STABLE</v>
      </c>
      <c r="H1090" s="4" t="e">
        <f t="shared" si="95"/>
        <v>#VALUE!</v>
      </c>
      <c r="I1090" s="4" t="e">
        <f t="shared" si="96"/>
        <v>#VALUE!</v>
      </c>
      <c r="J1090" s="4" t="e">
        <f t="shared" si="97"/>
        <v>#VALUE!</v>
      </c>
      <c r="K1090" s="4" t="str">
        <f t="shared" si="98"/>
        <v>Ba137</v>
      </c>
    </row>
    <row r="1091" spans="2:11" hidden="1" x14ac:dyDescent="0.2">
      <c r="B1091" s="4">
        <v>56138</v>
      </c>
      <c r="C1091" s="4">
        <v>0</v>
      </c>
      <c r="D1091">
        <v>0</v>
      </c>
      <c r="E1091" t="str">
        <f>VLOOKUP(B1091,Nuclides!A:F,5,FALSE)</f>
        <v>Ba138</v>
      </c>
      <c r="F1091" t="str">
        <f>VLOOKUP(B1091,Nuclides!A:F,4,FALSE)</f>
        <v>STABLE</v>
      </c>
      <c r="G1091" s="4" t="str">
        <f t="shared" si="94"/>
        <v>STABLE</v>
      </c>
      <c r="H1091" s="4" t="e">
        <f t="shared" si="95"/>
        <v>#VALUE!</v>
      </c>
      <c r="I1091" s="4" t="e">
        <f t="shared" si="96"/>
        <v>#VALUE!</v>
      </c>
      <c r="J1091" s="4" t="e">
        <f t="shared" si="97"/>
        <v>#VALUE!</v>
      </c>
      <c r="K1091" s="4" t="str">
        <f t="shared" si="98"/>
        <v>Ba138</v>
      </c>
    </row>
    <row r="1092" spans="2:11" hidden="1" x14ac:dyDescent="0.2">
      <c r="B1092" s="4">
        <v>56139</v>
      </c>
      <c r="C1092" s="4">
        <v>0</v>
      </c>
      <c r="D1092">
        <v>0</v>
      </c>
      <c r="E1092" t="str">
        <f>VLOOKUP(B1092,Nuclides!A:F,5,FALSE)</f>
        <v>Ba139</v>
      </c>
      <c r="F1092">
        <f>VLOOKUP(B1092,Nuclides!A:F,4,FALSE)</f>
        <v>4983.6000000000004</v>
      </c>
      <c r="G1092" s="4" t="str">
        <f t="shared" si="94"/>
        <v>1.38h</v>
      </c>
      <c r="H1092" s="4">
        <f t="shared" si="95"/>
        <v>1.3908563700135349E-4</v>
      </c>
      <c r="I1092" s="4">
        <f t="shared" si="96"/>
        <v>0</v>
      </c>
      <c r="J1092" s="4">
        <f t="shared" si="97"/>
        <v>0</v>
      </c>
      <c r="K1092" s="4" t="str">
        <f t="shared" si="98"/>
        <v>Ba139</v>
      </c>
    </row>
    <row r="1093" spans="2:11" hidden="1" x14ac:dyDescent="0.2">
      <c r="B1093" s="4">
        <v>56140</v>
      </c>
      <c r="C1093" s="4">
        <v>0</v>
      </c>
      <c r="D1093">
        <v>0</v>
      </c>
      <c r="E1093" t="str">
        <f>VLOOKUP(B1093,Nuclides!A:F,5,FALSE)</f>
        <v>Ba140</v>
      </c>
      <c r="F1093">
        <f>VLOOKUP(B1093,Nuclides!A:F,4,FALSE)</f>
        <v>1101833.28</v>
      </c>
      <c r="G1093" s="4" t="str">
        <f t="shared" ref="G1093:G1156" si="99">IF(F1093="STABLE", "STABLE", IF(F1093&lt;60, F1093&amp;"s", IF(F1093&lt;3600, ROUND(F1093/60,2)&amp;"min", IF(F1093&lt;86400, ROUND(F1093/3600,2)&amp;"h", IF(F1093&lt;31536000, ROUND(F1093/86400,2)&amp;"d", ROUND(F1093/31536000,2)&amp;"y")))))</f>
        <v>12.75d</v>
      </c>
      <c r="H1093" s="4">
        <f t="shared" ref="H1093:H1156" si="100">LN(2)/F1093</f>
        <v>6.2908535541778636E-7</v>
      </c>
      <c r="I1093" s="4">
        <f t="shared" ref="I1093:I1156" si="101">60*6240000000000*C1093*(1-EXP(-H1093*2*3600))</f>
        <v>0</v>
      </c>
      <c r="J1093" s="4">
        <f t="shared" ref="J1093:J1156" si="102">I1093*EXP(-H1093*48*3600)</f>
        <v>0</v>
      </c>
      <c r="K1093" s="4" t="str">
        <f t="shared" ref="K1093:K1156" si="103">E1093</f>
        <v>Ba140</v>
      </c>
    </row>
    <row r="1094" spans="2:11" hidden="1" x14ac:dyDescent="0.2">
      <c r="B1094" s="4">
        <v>56141</v>
      </c>
      <c r="C1094" s="4">
        <v>0</v>
      </c>
      <c r="D1094">
        <v>0</v>
      </c>
      <c r="E1094" t="str">
        <f>VLOOKUP(B1094,Nuclides!A:F,5,FALSE)</f>
        <v>Ba141</v>
      </c>
      <c r="F1094">
        <f>VLOOKUP(B1094,Nuclides!A:F,4,FALSE)</f>
        <v>1096.2</v>
      </c>
      <c r="G1094" s="4" t="str">
        <f t="shared" si="99"/>
        <v>18.27min</v>
      </c>
      <c r="H1094" s="4">
        <f t="shared" si="100"/>
        <v>6.3231817237725352E-4</v>
      </c>
      <c r="I1094" s="4">
        <f t="shared" si="101"/>
        <v>0</v>
      </c>
      <c r="J1094" s="4">
        <f t="shared" si="102"/>
        <v>0</v>
      </c>
      <c r="K1094" s="4" t="str">
        <f t="shared" si="103"/>
        <v>Ba141</v>
      </c>
    </row>
    <row r="1095" spans="2:11" hidden="1" x14ac:dyDescent="0.2">
      <c r="B1095" s="4">
        <v>56142</v>
      </c>
      <c r="C1095" s="4">
        <v>0</v>
      </c>
      <c r="D1095">
        <v>0</v>
      </c>
      <c r="E1095" t="str">
        <f>VLOOKUP(B1095,Nuclides!A:F,5,FALSE)</f>
        <v>Ba142</v>
      </c>
      <c r="F1095">
        <f>VLOOKUP(B1095,Nuclides!A:F,4,FALSE)</f>
        <v>636</v>
      </c>
      <c r="G1095" s="4" t="str">
        <f t="shared" si="99"/>
        <v>10.6min</v>
      </c>
      <c r="H1095" s="4">
        <f t="shared" si="100"/>
        <v>1.0898540574841907E-3</v>
      </c>
      <c r="I1095" s="4">
        <f t="shared" si="101"/>
        <v>0</v>
      </c>
      <c r="J1095" s="4">
        <f t="shared" si="102"/>
        <v>0</v>
      </c>
      <c r="K1095" s="4" t="str">
        <f t="shared" si="103"/>
        <v>Ba142</v>
      </c>
    </row>
    <row r="1096" spans="2:11" hidden="1" x14ac:dyDescent="0.2">
      <c r="B1096" s="4">
        <v>56143</v>
      </c>
      <c r="C1096" s="4">
        <v>0</v>
      </c>
      <c r="D1096">
        <v>0</v>
      </c>
      <c r="E1096" t="str">
        <f>VLOOKUP(B1096,Nuclides!A:F,5,FALSE)</f>
        <v>Ba143</v>
      </c>
      <c r="F1096">
        <f>VLOOKUP(B1096,Nuclides!A:F,4,FALSE)</f>
        <v>14.5</v>
      </c>
      <c r="G1096" s="4" t="str">
        <f t="shared" si="99"/>
        <v>14.5s</v>
      </c>
      <c r="H1096" s="4">
        <f t="shared" si="100"/>
        <v>4.7803253831720363E-2</v>
      </c>
      <c r="I1096" s="4">
        <f t="shared" si="101"/>
        <v>0</v>
      </c>
      <c r="J1096" s="4">
        <f t="shared" si="102"/>
        <v>0</v>
      </c>
      <c r="K1096" s="4" t="str">
        <f t="shared" si="103"/>
        <v>Ba143</v>
      </c>
    </row>
    <row r="1097" spans="2:11" hidden="1" x14ac:dyDescent="0.2">
      <c r="B1097" s="4">
        <v>56144</v>
      </c>
      <c r="C1097" s="4">
        <v>0</v>
      </c>
      <c r="D1097">
        <v>0</v>
      </c>
      <c r="E1097" t="str">
        <f>VLOOKUP(B1097,Nuclides!A:F,5,FALSE)</f>
        <v>Ba144</v>
      </c>
      <c r="F1097">
        <f>VLOOKUP(B1097,Nuclides!A:F,4,FALSE)</f>
        <v>11.5</v>
      </c>
      <c r="G1097" s="4" t="str">
        <f t="shared" si="99"/>
        <v>11.5s</v>
      </c>
      <c r="H1097" s="4">
        <f t="shared" si="100"/>
        <v>6.027366787477785E-2</v>
      </c>
      <c r="I1097" s="4">
        <f t="shared" si="101"/>
        <v>0</v>
      </c>
      <c r="J1097" s="4">
        <f t="shared" si="102"/>
        <v>0</v>
      </c>
      <c r="K1097" s="4" t="str">
        <f t="shared" si="103"/>
        <v>Ba144</v>
      </c>
    </row>
    <row r="1098" spans="2:11" hidden="1" x14ac:dyDescent="0.2">
      <c r="B1098" s="4">
        <v>56145</v>
      </c>
      <c r="C1098" s="4">
        <v>0</v>
      </c>
      <c r="D1098">
        <v>0</v>
      </c>
      <c r="E1098" t="str">
        <f>VLOOKUP(B1098,Nuclides!A:F,5,FALSE)</f>
        <v>Ba145</v>
      </c>
      <c r="F1098">
        <f>VLOOKUP(B1098,Nuclides!A:F,4,FALSE)</f>
        <v>4.3099999999999996</v>
      </c>
      <c r="G1098" s="4" t="str">
        <f t="shared" si="99"/>
        <v>4.31s</v>
      </c>
      <c r="H1098" s="4">
        <f t="shared" si="100"/>
        <v>0.16082301173084579</v>
      </c>
      <c r="I1098" s="4">
        <f t="shared" si="101"/>
        <v>0</v>
      </c>
      <c r="J1098" s="4">
        <f t="shared" si="102"/>
        <v>0</v>
      </c>
      <c r="K1098" s="4" t="str">
        <f t="shared" si="103"/>
        <v>Ba145</v>
      </c>
    </row>
    <row r="1099" spans="2:11" hidden="1" x14ac:dyDescent="0.2">
      <c r="B1099" s="4">
        <v>56146</v>
      </c>
      <c r="C1099" s="4">
        <v>0</v>
      </c>
      <c r="D1099">
        <v>0</v>
      </c>
      <c r="E1099" t="str">
        <f>VLOOKUP(B1099,Nuclides!A:F,5,FALSE)</f>
        <v>Ba146</v>
      </c>
      <c r="F1099">
        <f>VLOOKUP(B1099,Nuclides!A:F,4,FALSE)</f>
        <v>2.2200000000000002</v>
      </c>
      <c r="G1099" s="4" t="str">
        <f t="shared" si="99"/>
        <v>2.22s</v>
      </c>
      <c r="H1099" s="4">
        <f t="shared" si="100"/>
        <v>0.31222845971168706</v>
      </c>
      <c r="I1099" s="4">
        <f t="shared" si="101"/>
        <v>0</v>
      </c>
      <c r="J1099" s="4">
        <f t="shared" si="102"/>
        <v>0</v>
      </c>
      <c r="K1099" s="4" t="str">
        <f t="shared" si="103"/>
        <v>Ba146</v>
      </c>
    </row>
    <row r="1100" spans="2:11" hidden="1" x14ac:dyDescent="0.2">
      <c r="B1100" s="4">
        <v>56147</v>
      </c>
      <c r="C1100" s="4">
        <v>0</v>
      </c>
      <c r="D1100">
        <v>0</v>
      </c>
      <c r="E1100" t="str">
        <f>VLOOKUP(B1100,Nuclides!A:F,5,FALSE)</f>
        <v>Ba147</v>
      </c>
      <c r="F1100">
        <f>VLOOKUP(B1100,Nuclides!A:F,4,FALSE)</f>
        <v>0.89400000000000002</v>
      </c>
      <c r="G1100" s="4" t="str">
        <f t="shared" si="99"/>
        <v>0.894s</v>
      </c>
      <c r="H1100" s="4">
        <f t="shared" si="100"/>
        <v>0.77533241673371955</v>
      </c>
      <c r="I1100" s="4">
        <f t="shared" si="101"/>
        <v>0</v>
      </c>
      <c r="J1100" s="4">
        <f t="shared" si="102"/>
        <v>0</v>
      </c>
      <c r="K1100" s="4" t="str">
        <f t="shared" si="103"/>
        <v>Ba147</v>
      </c>
    </row>
    <row r="1101" spans="2:11" hidden="1" x14ac:dyDescent="0.2">
      <c r="B1101" s="4">
        <v>56148</v>
      </c>
      <c r="C1101" s="4">
        <v>0</v>
      </c>
      <c r="D1101">
        <v>0</v>
      </c>
      <c r="E1101" t="str">
        <f>VLOOKUP(B1101,Nuclides!A:F,5,FALSE)</f>
        <v>Ba148</v>
      </c>
      <c r="F1101">
        <f>VLOOKUP(B1101,Nuclides!A:F,4,FALSE)</f>
        <v>0.61199999999999999</v>
      </c>
      <c r="G1101" s="4" t="str">
        <f t="shared" si="99"/>
        <v>0.612s</v>
      </c>
      <c r="H1101" s="4">
        <f t="shared" si="100"/>
        <v>1.1325934322874924</v>
      </c>
      <c r="I1101" s="4">
        <f t="shared" si="101"/>
        <v>0</v>
      </c>
      <c r="J1101" s="4">
        <f t="shared" si="102"/>
        <v>0</v>
      </c>
      <c r="K1101" s="4" t="str">
        <f t="shared" si="103"/>
        <v>Ba148</v>
      </c>
    </row>
    <row r="1102" spans="2:11" hidden="1" x14ac:dyDescent="0.2">
      <c r="B1102" s="4">
        <v>57123</v>
      </c>
      <c r="C1102" s="4">
        <v>0</v>
      </c>
      <c r="D1102">
        <v>0</v>
      </c>
      <c r="E1102" t="str">
        <f>VLOOKUP(B1102,Nuclides!A:F,5,FALSE)</f>
        <v>La123</v>
      </c>
      <c r="F1102">
        <f>VLOOKUP(B1102,Nuclides!A:F,4,FALSE)</f>
        <v>17</v>
      </c>
      <c r="G1102" s="4" t="str">
        <f t="shared" si="99"/>
        <v>17s</v>
      </c>
      <c r="H1102" s="4">
        <f t="shared" si="100"/>
        <v>4.0773363562349722E-2</v>
      </c>
      <c r="I1102" s="4">
        <f t="shared" si="101"/>
        <v>0</v>
      </c>
      <c r="J1102" s="4">
        <f t="shared" si="102"/>
        <v>0</v>
      </c>
      <c r="K1102" s="4" t="str">
        <f t="shared" si="103"/>
        <v>La123</v>
      </c>
    </row>
    <row r="1103" spans="2:11" hidden="1" x14ac:dyDescent="0.2">
      <c r="B1103" s="4">
        <v>57124</v>
      </c>
      <c r="C1103" s="4">
        <v>0</v>
      </c>
      <c r="D1103">
        <v>0</v>
      </c>
      <c r="E1103" t="str">
        <f>VLOOKUP(B1103,Nuclides!A:F,5,FALSE)</f>
        <v>La124</v>
      </c>
      <c r="F1103">
        <f>VLOOKUP(B1103,Nuclides!A:F,4,FALSE)</f>
        <v>29.21</v>
      </c>
      <c r="G1103" s="4" t="str">
        <f t="shared" si="99"/>
        <v>29.21s</v>
      </c>
      <c r="H1103" s="4">
        <f t="shared" si="100"/>
        <v>2.3729790501881044E-2</v>
      </c>
      <c r="I1103" s="4">
        <f t="shared" si="101"/>
        <v>0</v>
      </c>
      <c r="J1103" s="4">
        <f t="shared" si="102"/>
        <v>0</v>
      </c>
      <c r="K1103" s="4" t="str">
        <f t="shared" si="103"/>
        <v>La124</v>
      </c>
    </row>
    <row r="1104" spans="2:11" hidden="1" x14ac:dyDescent="0.2">
      <c r="B1104" s="4">
        <v>57125</v>
      </c>
      <c r="C1104" s="4">
        <v>0</v>
      </c>
      <c r="D1104">
        <v>0</v>
      </c>
      <c r="E1104" t="str">
        <f>VLOOKUP(B1104,Nuclides!A:F,5,FALSE)</f>
        <v>La125</v>
      </c>
      <c r="F1104">
        <f>VLOOKUP(B1104,Nuclides!A:F,4,FALSE)</f>
        <v>64.8</v>
      </c>
      <c r="G1104" s="4" t="str">
        <f t="shared" si="99"/>
        <v>1.08min</v>
      </c>
      <c r="H1104" s="4">
        <f t="shared" si="100"/>
        <v>1.0696715749381872E-2</v>
      </c>
      <c r="I1104" s="4">
        <f t="shared" si="101"/>
        <v>0</v>
      </c>
      <c r="J1104" s="4">
        <f t="shared" si="102"/>
        <v>0</v>
      </c>
      <c r="K1104" s="4" t="str">
        <f t="shared" si="103"/>
        <v>La125</v>
      </c>
    </row>
    <row r="1105" spans="2:11" hidden="1" x14ac:dyDescent="0.2">
      <c r="B1105" s="4">
        <v>57126</v>
      </c>
      <c r="C1105" s="4">
        <v>0</v>
      </c>
      <c r="D1105">
        <v>0</v>
      </c>
      <c r="E1105" t="str">
        <f>VLOOKUP(B1105,Nuclides!A:F,5,FALSE)</f>
        <v>La126</v>
      </c>
      <c r="F1105">
        <f>VLOOKUP(B1105,Nuclides!A:F,4,FALSE)</f>
        <v>54</v>
      </c>
      <c r="G1105" s="4" t="str">
        <f t="shared" si="99"/>
        <v>54s</v>
      </c>
      <c r="H1105" s="4">
        <f t="shared" si="100"/>
        <v>1.2836058899258247E-2</v>
      </c>
      <c r="I1105" s="4">
        <f t="shared" si="101"/>
        <v>0</v>
      </c>
      <c r="J1105" s="4">
        <f t="shared" si="102"/>
        <v>0</v>
      </c>
      <c r="K1105" s="4" t="str">
        <f t="shared" si="103"/>
        <v>La126</v>
      </c>
    </row>
    <row r="1106" spans="2:11" hidden="1" x14ac:dyDescent="0.2">
      <c r="B1106" s="4">
        <v>57127</v>
      </c>
      <c r="C1106" s="4">
        <v>0</v>
      </c>
      <c r="D1106">
        <v>0</v>
      </c>
      <c r="E1106" t="str">
        <f>VLOOKUP(B1106,Nuclides!A:F,5,FALSE)</f>
        <v>La127</v>
      </c>
      <c r="F1106">
        <f>VLOOKUP(B1106,Nuclides!A:F,4,FALSE)</f>
        <v>306</v>
      </c>
      <c r="G1106" s="4" t="str">
        <f t="shared" si="99"/>
        <v>5.1min</v>
      </c>
      <c r="H1106" s="4">
        <f t="shared" si="100"/>
        <v>2.2651868645749847E-3</v>
      </c>
      <c r="I1106" s="4">
        <f t="shared" si="101"/>
        <v>0</v>
      </c>
      <c r="J1106" s="4">
        <f t="shared" si="102"/>
        <v>0</v>
      </c>
      <c r="K1106" s="4" t="str">
        <f t="shared" si="103"/>
        <v>La127</v>
      </c>
    </row>
    <row r="1107" spans="2:11" hidden="1" x14ac:dyDescent="0.2">
      <c r="B1107" s="4">
        <v>57128</v>
      </c>
      <c r="C1107" s="4">
        <v>0</v>
      </c>
      <c r="D1107">
        <v>0</v>
      </c>
      <c r="E1107" t="str">
        <f>VLOOKUP(B1107,Nuclides!A:F,5,FALSE)</f>
        <v>La128</v>
      </c>
      <c r="F1107">
        <f>VLOOKUP(B1107,Nuclides!A:F,4,FALSE)</f>
        <v>310.79999999999899</v>
      </c>
      <c r="G1107" s="4" t="str">
        <f t="shared" si="99"/>
        <v>5.18min</v>
      </c>
      <c r="H1107" s="4">
        <f t="shared" si="100"/>
        <v>2.2302032836549147E-3</v>
      </c>
      <c r="I1107" s="4">
        <f t="shared" si="101"/>
        <v>0</v>
      </c>
      <c r="J1107" s="4">
        <f t="shared" si="102"/>
        <v>0</v>
      </c>
      <c r="K1107" s="4" t="str">
        <f t="shared" si="103"/>
        <v>La128</v>
      </c>
    </row>
    <row r="1108" spans="2:11" hidden="1" x14ac:dyDescent="0.2">
      <c r="B1108" s="4">
        <v>57129</v>
      </c>
      <c r="C1108" s="4">
        <v>0</v>
      </c>
      <c r="D1108">
        <v>0</v>
      </c>
      <c r="E1108" t="str">
        <f>VLOOKUP(B1108,Nuclides!A:F,5,FALSE)</f>
        <v>La129</v>
      </c>
      <c r="F1108">
        <f>VLOOKUP(B1108,Nuclides!A:F,4,FALSE)</f>
        <v>696</v>
      </c>
      <c r="G1108" s="4" t="str">
        <f t="shared" si="99"/>
        <v>11.6min</v>
      </c>
      <c r="H1108" s="4">
        <f t="shared" si="100"/>
        <v>9.959011214941743E-4</v>
      </c>
      <c r="I1108" s="4">
        <f t="shared" si="101"/>
        <v>0</v>
      </c>
      <c r="J1108" s="4">
        <f t="shared" si="102"/>
        <v>0</v>
      </c>
      <c r="K1108" s="4" t="str">
        <f t="shared" si="103"/>
        <v>La129</v>
      </c>
    </row>
    <row r="1109" spans="2:11" hidden="1" x14ac:dyDescent="0.2">
      <c r="B1109" s="4">
        <v>57130</v>
      </c>
      <c r="C1109" s="4">
        <v>0</v>
      </c>
      <c r="D1109">
        <v>0</v>
      </c>
      <c r="E1109" t="str">
        <f>VLOOKUP(B1109,Nuclides!A:F,5,FALSE)</f>
        <v>La130</v>
      </c>
      <c r="F1109">
        <f>VLOOKUP(B1109,Nuclides!A:F,4,FALSE)</f>
        <v>522</v>
      </c>
      <c r="G1109" s="4" t="str">
        <f t="shared" si="99"/>
        <v>8.7min</v>
      </c>
      <c r="H1109" s="4">
        <f t="shared" si="100"/>
        <v>1.3278681619922324E-3</v>
      </c>
      <c r="I1109" s="4">
        <f t="shared" si="101"/>
        <v>0</v>
      </c>
      <c r="J1109" s="4">
        <f t="shared" si="102"/>
        <v>0</v>
      </c>
      <c r="K1109" s="4" t="str">
        <f t="shared" si="103"/>
        <v>La130</v>
      </c>
    </row>
    <row r="1110" spans="2:11" hidden="1" x14ac:dyDescent="0.2">
      <c r="B1110" s="4">
        <v>57131</v>
      </c>
      <c r="C1110" s="4">
        <v>0</v>
      </c>
      <c r="D1110">
        <v>0</v>
      </c>
      <c r="E1110" t="str">
        <f>VLOOKUP(B1110,Nuclides!A:F,5,FALSE)</f>
        <v>La131</v>
      </c>
      <c r="F1110">
        <f>VLOOKUP(B1110,Nuclides!A:F,4,FALSE)</f>
        <v>3540</v>
      </c>
      <c r="G1110" s="4" t="str">
        <f t="shared" si="99"/>
        <v>59min</v>
      </c>
      <c r="H1110" s="4">
        <f t="shared" si="100"/>
        <v>1.9580428829376985E-4</v>
      </c>
      <c r="I1110" s="4">
        <f t="shared" si="101"/>
        <v>0</v>
      </c>
      <c r="J1110" s="4">
        <f t="shared" si="102"/>
        <v>0</v>
      </c>
      <c r="K1110" s="4" t="str">
        <f t="shared" si="103"/>
        <v>La131</v>
      </c>
    </row>
    <row r="1111" spans="2:11" hidden="1" x14ac:dyDescent="0.2">
      <c r="B1111" s="4">
        <v>57132</v>
      </c>
      <c r="C1111" s="4">
        <v>0</v>
      </c>
      <c r="D1111">
        <v>0</v>
      </c>
      <c r="E1111" t="str">
        <f>VLOOKUP(B1111,Nuclides!A:F,5,FALSE)</f>
        <v>La132</v>
      </c>
      <c r="F1111">
        <f>VLOOKUP(B1111,Nuclides!A:F,4,FALSE)</f>
        <v>17280</v>
      </c>
      <c r="G1111" s="4" t="str">
        <f t="shared" si="99"/>
        <v>4.8h</v>
      </c>
      <c r="H1111" s="4">
        <f t="shared" si="100"/>
        <v>4.0112684060182019E-5</v>
      </c>
      <c r="I1111" s="4">
        <f t="shared" si="101"/>
        <v>0</v>
      </c>
      <c r="J1111" s="4">
        <f t="shared" si="102"/>
        <v>0</v>
      </c>
      <c r="K1111" s="4" t="str">
        <f t="shared" si="103"/>
        <v>La132</v>
      </c>
    </row>
    <row r="1112" spans="2:11" hidden="1" x14ac:dyDescent="0.2">
      <c r="B1112" s="4">
        <v>57133</v>
      </c>
      <c r="C1112" s="4">
        <v>0</v>
      </c>
      <c r="D1112">
        <v>0</v>
      </c>
      <c r="E1112" t="str">
        <f>VLOOKUP(B1112,Nuclides!A:F,5,FALSE)</f>
        <v>La133</v>
      </c>
      <c r="F1112">
        <f>VLOOKUP(B1112,Nuclides!A:F,4,FALSE)</f>
        <v>14083.199999999901</v>
      </c>
      <c r="G1112" s="4" t="str">
        <f t="shared" si="99"/>
        <v>3.91h</v>
      </c>
      <c r="H1112" s="4">
        <f t="shared" si="100"/>
        <v>4.9218017251757425E-5</v>
      </c>
      <c r="I1112" s="4">
        <f t="shared" si="101"/>
        <v>0</v>
      </c>
      <c r="J1112" s="4">
        <f t="shared" si="102"/>
        <v>0</v>
      </c>
      <c r="K1112" s="4" t="str">
        <f t="shared" si="103"/>
        <v>La133</v>
      </c>
    </row>
    <row r="1113" spans="2:11" hidden="1" x14ac:dyDescent="0.2">
      <c r="B1113" s="4">
        <v>57134</v>
      </c>
      <c r="C1113" s="4">
        <v>0</v>
      </c>
      <c r="D1113">
        <v>0</v>
      </c>
      <c r="E1113" t="str">
        <f>VLOOKUP(B1113,Nuclides!A:F,5,FALSE)</f>
        <v>La134</v>
      </c>
      <c r="F1113">
        <f>VLOOKUP(B1113,Nuclides!A:F,4,FALSE)</f>
        <v>387</v>
      </c>
      <c r="G1113" s="4" t="str">
        <f t="shared" si="99"/>
        <v>6.45min</v>
      </c>
      <c r="H1113" s="4">
        <f t="shared" si="100"/>
        <v>1.7910779859430111E-3</v>
      </c>
      <c r="I1113" s="4">
        <f t="shared" si="101"/>
        <v>0</v>
      </c>
      <c r="J1113" s="4">
        <f t="shared" si="102"/>
        <v>0</v>
      </c>
      <c r="K1113" s="4" t="str">
        <f t="shared" si="103"/>
        <v>La134</v>
      </c>
    </row>
    <row r="1114" spans="2:11" hidden="1" x14ac:dyDescent="0.2">
      <c r="B1114" s="4">
        <v>57135</v>
      </c>
      <c r="C1114" s="4">
        <v>0</v>
      </c>
      <c r="D1114">
        <v>0</v>
      </c>
      <c r="E1114" t="str">
        <f>VLOOKUP(B1114,Nuclides!A:F,5,FALSE)</f>
        <v>La135</v>
      </c>
      <c r="F1114">
        <f>VLOOKUP(B1114,Nuclides!A:F,4,FALSE)</f>
        <v>70200</v>
      </c>
      <c r="G1114" s="4" t="str">
        <f t="shared" si="99"/>
        <v>19.5h</v>
      </c>
      <c r="H1114" s="4">
        <f t="shared" si="100"/>
        <v>9.8738914609678821E-6</v>
      </c>
      <c r="I1114" s="4">
        <f t="shared" si="101"/>
        <v>0</v>
      </c>
      <c r="J1114" s="4">
        <f t="shared" si="102"/>
        <v>0</v>
      </c>
      <c r="K1114" s="4" t="str">
        <f t="shared" si="103"/>
        <v>La135</v>
      </c>
    </row>
    <row r="1115" spans="2:11" hidden="1" x14ac:dyDescent="0.2">
      <c r="B1115" s="4">
        <v>57136</v>
      </c>
      <c r="C1115" s="4">
        <v>0</v>
      </c>
      <c r="D1115">
        <v>0</v>
      </c>
      <c r="E1115" t="str">
        <f>VLOOKUP(B1115,Nuclides!A:F,5,FALSE)</f>
        <v>La136</v>
      </c>
      <c r="F1115">
        <f>VLOOKUP(B1115,Nuclides!A:F,4,FALSE)</f>
        <v>592.19999999999902</v>
      </c>
      <c r="G1115" s="4" t="str">
        <f t="shared" si="99"/>
        <v>9.87min</v>
      </c>
      <c r="H1115" s="4">
        <f t="shared" si="100"/>
        <v>1.1704612978047052E-3</v>
      </c>
      <c r="I1115" s="4">
        <f t="shared" si="101"/>
        <v>0</v>
      </c>
      <c r="J1115" s="4">
        <f t="shared" si="102"/>
        <v>0</v>
      </c>
      <c r="K1115" s="4" t="str">
        <f t="shared" si="103"/>
        <v>La136</v>
      </c>
    </row>
    <row r="1116" spans="2:11" hidden="1" x14ac:dyDescent="0.2">
      <c r="B1116" s="4">
        <v>57137</v>
      </c>
      <c r="C1116" s="4">
        <v>0</v>
      </c>
      <c r="D1116">
        <v>0</v>
      </c>
      <c r="E1116" t="str">
        <f>VLOOKUP(B1116,Nuclides!A:F,5,FALSE)</f>
        <v>La137</v>
      </c>
      <c r="F1116">
        <f>VLOOKUP(B1116,Nuclides!A:F,4,FALSE)</f>
        <v>1893456000000</v>
      </c>
      <c r="G1116" s="4" t="str">
        <f t="shared" si="99"/>
        <v>60041.1y</v>
      </c>
      <c r="H1116" s="4">
        <f t="shared" si="100"/>
        <v>3.6607514542716879E-13</v>
      </c>
      <c r="I1116" s="4">
        <f t="shared" si="101"/>
        <v>0</v>
      </c>
      <c r="J1116" s="4">
        <f t="shared" si="102"/>
        <v>0</v>
      </c>
      <c r="K1116" s="4" t="str">
        <f t="shared" si="103"/>
        <v>La137</v>
      </c>
    </row>
    <row r="1117" spans="2:11" hidden="1" x14ac:dyDescent="0.2">
      <c r="B1117" s="4">
        <v>57138</v>
      </c>
      <c r="C1117" s="4">
        <v>0</v>
      </c>
      <c r="D1117">
        <v>0</v>
      </c>
      <c r="E1117" t="str">
        <f>VLOOKUP(B1117,Nuclides!A:F,5,FALSE)</f>
        <v>La138</v>
      </c>
      <c r="F1117">
        <f>VLOOKUP(B1117,Nuclides!A:F,4,FALSE)</f>
        <v>3.2188752E+18</v>
      </c>
      <c r="G1117" s="4" t="str">
        <f t="shared" si="99"/>
        <v>102069863013.7y</v>
      </c>
      <c r="H1117" s="4">
        <f t="shared" si="100"/>
        <v>2.1533832083951104E-19</v>
      </c>
      <c r="I1117" s="4">
        <f t="shared" si="101"/>
        <v>0</v>
      </c>
      <c r="J1117" s="4">
        <f t="shared" si="102"/>
        <v>0</v>
      </c>
      <c r="K1117" s="4" t="str">
        <f t="shared" si="103"/>
        <v>La138</v>
      </c>
    </row>
    <row r="1118" spans="2:11" hidden="1" x14ac:dyDescent="0.2">
      <c r="B1118" s="4">
        <v>57139</v>
      </c>
      <c r="C1118" s="4">
        <v>0</v>
      </c>
      <c r="D1118">
        <v>0</v>
      </c>
      <c r="E1118" t="str">
        <f>VLOOKUP(B1118,Nuclides!A:F,5,FALSE)</f>
        <v>La139</v>
      </c>
      <c r="F1118" t="str">
        <f>VLOOKUP(B1118,Nuclides!A:F,4,FALSE)</f>
        <v>STABLE</v>
      </c>
      <c r="G1118" s="4" t="str">
        <f t="shared" si="99"/>
        <v>STABLE</v>
      </c>
      <c r="H1118" s="4" t="e">
        <f t="shared" si="100"/>
        <v>#VALUE!</v>
      </c>
      <c r="I1118" s="4" t="e">
        <f t="shared" si="101"/>
        <v>#VALUE!</v>
      </c>
      <c r="J1118" s="4" t="e">
        <f t="shared" si="102"/>
        <v>#VALUE!</v>
      </c>
      <c r="K1118" s="4" t="str">
        <f t="shared" si="103"/>
        <v>La139</v>
      </c>
    </row>
    <row r="1119" spans="2:11" hidden="1" x14ac:dyDescent="0.2">
      <c r="B1119" s="4">
        <v>57140</v>
      </c>
      <c r="C1119" s="4">
        <v>0</v>
      </c>
      <c r="D1119">
        <v>0</v>
      </c>
      <c r="E1119" t="str">
        <f>VLOOKUP(B1119,Nuclides!A:F,5,FALSE)</f>
        <v>La140</v>
      </c>
      <c r="F1119">
        <f>VLOOKUP(B1119,Nuclides!A:F,4,FALSE)</f>
        <v>145026.72</v>
      </c>
      <c r="G1119" s="4" t="str">
        <f t="shared" si="99"/>
        <v>1.68d</v>
      </c>
      <c r="H1119" s="4">
        <f t="shared" si="100"/>
        <v>4.77944464688952E-6</v>
      </c>
      <c r="I1119" s="4">
        <f t="shared" si="101"/>
        <v>0</v>
      </c>
      <c r="J1119" s="4">
        <f t="shared" si="102"/>
        <v>0</v>
      </c>
      <c r="K1119" s="4" t="str">
        <f t="shared" si="103"/>
        <v>La140</v>
      </c>
    </row>
    <row r="1120" spans="2:11" hidden="1" x14ac:dyDescent="0.2">
      <c r="B1120" s="4">
        <v>57141</v>
      </c>
      <c r="C1120" s="4">
        <v>0</v>
      </c>
      <c r="D1120">
        <v>0</v>
      </c>
      <c r="E1120" t="str">
        <f>VLOOKUP(B1120,Nuclides!A:F,5,FALSE)</f>
        <v>La141</v>
      </c>
      <c r="F1120">
        <f>VLOOKUP(B1120,Nuclides!A:F,4,FALSE)</f>
        <v>14112</v>
      </c>
      <c r="G1120" s="4" t="str">
        <f t="shared" si="99"/>
        <v>3.92h</v>
      </c>
      <c r="H1120" s="4">
        <f t="shared" si="100"/>
        <v>4.9117572318590229E-5</v>
      </c>
      <c r="I1120" s="4">
        <f t="shared" si="101"/>
        <v>0</v>
      </c>
      <c r="J1120" s="4">
        <f t="shared" si="102"/>
        <v>0</v>
      </c>
      <c r="K1120" s="4" t="str">
        <f t="shared" si="103"/>
        <v>La141</v>
      </c>
    </row>
    <row r="1121" spans="2:11" hidden="1" x14ac:dyDescent="0.2">
      <c r="B1121" s="4">
        <v>57142</v>
      </c>
      <c r="C1121" s="4">
        <v>0</v>
      </c>
      <c r="D1121">
        <v>0</v>
      </c>
      <c r="E1121" t="str">
        <f>VLOOKUP(B1121,Nuclides!A:F,5,FALSE)</f>
        <v>La142</v>
      </c>
      <c r="F1121">
        <f>VLOOKUP(B1121,Nuclides!A:F,4,FALSE)</f>
        <v>5466</v>
      </c>
      <c r="G1121" s="4" t="str">
        <f t="shared" si="99"/>
        <v>1.52h</v>
      </c>
      <c r="H1121" s="4">
        <f t="shared" si="100"/>
        <v>1.2681068067324283E-4</v>
      </c>
      <c r="I1121" s="4">
        <f t="shared" si="101"/>
        <v>0</v>
      </c>
      <c r="J1121" s="4">
        <f t="shared" si="102"/>
        <v>0</v>
      </c>
      <c r="K1121" s="4" t="str">
        <f t="shared" si="103"/>
        <v>La142</v>
      </c>
    </row>
    <row r="1122" spans="2:11" hidden="1" x14ac:dyDescent="0.2">
      <c r="B1122" s="4">
        <v>57143</v>
      </c>
      <c r="C1122" s="4">
        <v>0</v>
      </c>
      <c r="D1122">
        <v>0</v>
      </c>
      <c r="E1122" t="str">
        <f>VLOOKUP(B1122,Nuclides!A:F,5,FALSE)</f>
        <v>La143</v>
      </c>
      <c r="F1122">
        <f>VLOOKUP(B1122,Nuclides!A:F,4,FALSE)</f>
        <v>852</v>
      </c>
      <c r="G1122" s="4" t="str">
        <f t="shared" si="99"/>
        <v>14.2min</v>
      </c>
      <c r="H1122" s="4">
        <f t="shared" si="100"/>
        <v>8.1355302882622684E-4</v>
      </c>
      <c r="I1122" s="4">
        <f t="shared" si="101"/>
        <v>0</v>
      </c>
      <c r="J1122" s="4">
        <f t="shared" si="102"/>
        <v>0</v>
      </c>
      <c r="K1122" s="4" t="str">
        <f t="shared" si="103"/>
        <v>La143</v>
      </c>
    </row>
    <row r="1123" spans="2:11" hidden="1" x14ac:dyDescent="0.2">
      <c r="B1123" s="4">
        <v>57144</v>
      </c>
      <c r="C1123" s="4">
        <v>0</v>
      </c>
      <c r="D1123">
        <v>0</v>
      </c>
      <c r="E1123" t="str">
        <f>VLOOKUP(B1123,Nuclides!A:F,5,FALSE)</f>
        <v>La144</v>
      </c>
      <c r="F1123">
        <f>VLOOKUP(B1123,Nuclides!A:F,4,FALSE)</f>
        <v>40.799999999999997</v>
      </c>
      <c r="G1123" s="4" t="str">
        <f t="shared" si="99"/>
        <v>40.8s</v>
      </c>
      <c r="H1123" s="4">
        <f t="shared" si="100"/>
        <v>1.6988901484312386E-2</v>
      </c>
      <c r="I1123" s="4">
        <f t="shared" si="101"/>
        <v>0</v>
      </c>
      <c r="J1123" s="4">
        <f t="shared" si="102"/>
        <v>0</v>
      </c>
      <c r="K1123" s="4" t="str">
        <f t="shared" si="103"/>
        <v>La144</v>
      </c>
    </row>
    <row r="1124" spans="2:11" hidden="1" x14ac:dyDescent="0.2">
      <c r="B1124" s="4">
        <v>57145</v>
      </c>
      <c r="C1124" s="4">
        <v>0</v>
      </c>
      <c r="D1124">
        <v>0</v>
      </c>
      <c r="E1124" t="str">
        <f>VLOOKUP(B1124,Nuclides!A:F,5,FALSE)</f>
        <v>La145</v>
      </c>
      <c r="F1124">
        <f>VLOOKUP(B1124,Nuclides!A:F,4,FALSE)</f>
        <v>24.8</v>
      </c>
      <c r="G1124" s="4" t="str">
        <f t="shared" si="99"/>
        <v>24.8s</v>
      </c>
      <c r="H1124" s="4">
        <f t="shared" si="100"/>
        <v>2.7949483087094568E-2</v>
      </c>
      <c r="I1124" s="4">
        <f t="shared" si="101"/>
        <v>0</v>
      </c>
      <c r="J1124" s="4">
        <f t="shared" si="102"/>
        <v>0</v>
      </c>
      <c r="K1124" s="4" t="str">
        <f t="shared" si="103"/>
        <v>La145</v>
      </c>
    </row>
    <row r="1125" spans="2:11" hidden="1" x14ac:dyDescent="0.2">
      <c r="B1125" s="4">
        <v>57146</v>
      </c>
      <c r="C1125" s="4">
        <v>0</v>
      </c>
      <c r="D1125">
        <v>0</v>
      </c>
      <c r="E1125" t="str">
        <f>VLOOKUP(B1125,Nuclides!A:F,5,FALSE)</f>
        <v>La146</v>
      </c>
      <c r="F1125">
        <f>VLOOKUP(B1125,Nuclides!A:F,4,FALSE)</f>
        <v>6.27</v>
      </c>
      <c r="G1125" s="4" t="str">
        <f t="shared" si="99"/>
        <v>6.27s</v>
      </c>
      <c r="H1125" s="4">
        <f t="shared" si="100"/>
        <v>0.11054978956298969</v>
      </c>
      <c r="I1125" s="4">
        <f t="shared" si="101"/>
        <v>0</v>
      </c>
      <c r="J1125" s="4">
        <f t="shared" si="102"/>
        <v>0</v>
      </c>
      <c r="K1125" s="4" t="str">
        <f t="shared" si="103"/>
        <v>La146</v>
      </c>
    </row>
    <row r="1126" spans="2:11" hidden="1" x14ac:dyDescent="0.2">
      <c r="B1126" s="4">
        <v>57147</v>
      </c>
      <c r="C1126" s="4">
        <v>0</v>
      </c>
      <c r="D1126">
        <v>0</v>
      </c>
      <c r="E1126" t="str">
        <f>VLOOKUP(B1126,Nuclides!A:F,5,FALSE)</f>
        <v>La147</v>
      </c>
      <c r="F1126">
        <f>VLOOKUP(B1126,Nuclides!A:F,4,FALSE)</f>
        <v>4.0599999999999996</v>
      </c>
      <c r="G1126" s="4" t="str">
        <f t="shared" si="99"/>
        <v>4.06s</v>
      </c>
      <c r="H1126" s="4">
        <f t="shared" si="100"/>
        <v>0.17072590654185846</v>
      </c>
      <c r="I1126" s="4">
        <f t="shared" si="101"/>
        <v>0</v>
      </c>
      <c r="J1126" s="4">
        <f t="shared" si="102"/>
        <v>0</v>
      </c>
      <c r="K1126" s="4" t="str">
        <f t="shared" si="103"/>
        <v>La147</v>
      </c>
    </row>
    <row r="1127" spans="2:11" hidden="1" x14ac:dyDescent="0.2">
      <c r="B1127" s="4">
        <v>57148</v>
      </c>
      <c r="C1127" s="4">
        <v>0</v>
      </c>
      <c r="D1127">
        <v>0</v>
      </c>
      <c r="E1127" t="str">
        <f>VLOOKUP(B1127,Nuclides!A:F,5,FALSE)</f>
        <v>La148</v>
      </c>
      <c r="F1127">
        <f>VLOOKUP(B1127,Nuclides!A:F,4,FALSE)</f>
        <v>1.26</v>
      </c>
      <c r="G1127" s="4" t="str">
        <f t="shared" si="99"/>
        <v>1.26s</v>
      </c>
      <c r="H1127" s="4">
        <f t="shared" si="100"/>
        <v>0.55011680996821055</v>
      </c>
      <c r="I1127" s="4">
        <f t="shared" si="101"/>
        <v>0</v>
      </c>
      <c r="J1127" s="4">
        <f t="shared" si="102"/>
        <v>0</v>
      </c>
      <c r="K1127" s="4" t="str">
        <f t="shared" si="103"/>
        <v>La148</v>
      </c>
    </row>
    <row r="1128" spans="2:11" hidden="1" x14ac:dyDescent="0.2">
      <c r="B1128" s="4">
        <v>57149</v>
      </c>
      <c r="C1128" s="4">
        <v>0</v>
      </c>
      <c r="D1128">
        <v>0</v>
      </c>
      <c r="E1128" t="str">
        <f>VLOOKUP(B1128,Nuclides!A:F,5,FALSE)</f>
        <v>La149</v>
      </c>
      <c r="F1128">
        <f>VLOOKUP(B1128,Nuclides!A:F,4,FALSE)</f>
        <v>1.05</v>
      </c>
      <c r="G1128" s="4" t="str">
        <f t="shared" si="99"/>
        <v>1.05s</v>
      </c>
      <c r="H1128" s="4">
        <f t="shared" si="100"/>
        <v>0.6601401719618526</v>
      </c>
      <c r="I1128" s="4">
        <f t="shared" si="101"/>
        <v>0</v>
      </c>
      <c r="J1128" s="4">
        <f t="shared" si="102"/>
        <v>0</v>
      </c>
      <c r="K1128" s="4" t="str">
        <f t="shared" si="103"/>
        <v>La149</v>
      </c>
    </row>
    <row r="1129" spans="2:11" hidden="1" x14ac:dyDescent="0.2">
      <c r="B1129" s="4">
        <v>58124</v>
      </c>
      <c r="C1129" s="4">
        <v>0</v>
      </c>
      <c r="D1129">
        <v>0</v>
      </c>
      <c r="E1129" t="str">
        <f>VLOOKUP(B1129,Nuclides!A:F,5,FALSE)</f>
        <v>Ce124</v>
      </c>
      <c r="F1129">
        <f>VLOOKUP(B1129,Nuclides!A:F,4,FALSE)</f>
        <v>6</v>
      </c>
      <c r="G1129" s="4" t="str">
        <f t="shared" si="99"/>
        <v>6s</v>
      </c>
      <c r="H1129" s="4">
        <f t="shared" si="100"/>
        <v>0.11552453009332421</v>
      </c>
      <c r="I1129" s="4">
        <f t="shared" si="101"/>
        <v>0</v>
      </c>
      <c r="J1129" s="4">
        <f t="shared" si="102"/>
        <v>0</v>
      </c>
      <c r="K1129" s="4" t="str">
        <f t="shared" si="103"/>
        <v>Ce124</v>
      </c>
    </row>
    <row r="1130" spans="2:11" hidden="1" x14ac:dyDescent="0.2">
      <c r="B1130" s="4">
        <v>58125</v>
      </c>
      <c r="C1130" s="4">
        <v>0</v>
      </c>
      <c r="D1130">
        <v>0</v>
      </c>
      <c r="E1130" t="str">
        <f>VLOOKUP(B1130,Nuclides!A:F,5,FALSE)</f>
        <v>Ce125</v>
      </c>
      <c r="F1130">
        <f>VLOOKUP(B1130,Nuclides!A:F,4,FALSE)</f>
        <v>9.6999999999999993</v>
      </c>
      <c r="G1130" s="4" t="str">
        <f t="shared" si="99"/>
        <v>9.7s</v>
      </c>
      <c r="H1130" s="4">
        <f t="shared" si="100"/>
        <v>7.1458472222674776E-2</v>
      </c>
      <c r="I1130" s="4">
        <f t="shared" si="101"/>
        <v>0</v>
      </c>
      <c r="J1130" s="4">
        <f t="shared" si="102"/>
        <v>0</v>
      </c>
      <c r="K1130" s="4" t="str">
        <f t="shared" si="103"/>
        <v>Ce125</v>
      </c>
    </row>
    <row r="1131" spans="2:11" hidden="1" x14ac:dyDescent="0.2">
      <c r="B1131" s="4">
        <v>58126</v>
      </c>
      <c r="C1131" s="4">
        <v>0</v>
      </c>
      <c r="D1131">
        <v>0</v>
      </c>
      <c r="E1131" t="str">
        <f>VLOOKUP(B1131,Nuclides!A:F,5,FALSE)</f>
        <v>Ce126</v>
      </c>
      <c r="F1131">
        <f>VLOOKUP(B1131,Nuclides!A:F,4,FALSE)</f>
        <v>51</v>
      </c>
      <c r="G1131" s="4" t="str">
        <f t="shared" si="99"/>
        <v>51s</v>
      </c>
      <c r="H1131" s="4">
        <f t="shared" si="100"/>
        <v>1.3591121187449907E-2</v>
      </c>
      <c r="I1131" s="4">
        <f t="shared" si="101"/>
        <v>0</v>
      </c>
      <c r="J1131" s="4">
        <f t="shared" si="102"/>
        <v>0</v>
      </c>
      <c r="K1131" s="4" t="str">
        <f t="shared" si="103"/>
        <v>Ce126</v>
      </c>
    </row>
    <row r="1132" spans="2:11" hidden="1" x14ac:dyDescent="0.2">
      <c r="B1132" s="4">
        <v>58127</v>
      </c>
      <c r="C1132" s="4">
        <v>0</v>
      </c>
      <c r="D1132">
        <v>0</v>
      </c>
      <c r="E1132" t="str">
        <f>VLOOKUP(B1132,Nuclides!A:F,5,FALSE)</f>
        <v>Ce127</v>
      </c>
      <c r="F1132">
        <f>VLOOKUP(B1132,Nuclides!A:F,4,FALSE)</f>
        <v>34</v>
      </c>
      <c r="G1132" s="4" t="str">
        <f t="shared" si="99"/>
        <v>34s</v>
      </c>
      <c r="H1132" s="4">
        <f t="shared" si="100"/>
        <v>2.0386681781174861E-2</v>
      </c>
      <c r="I1132" s="4">
        <f t="shared" si="101"/>
        <v>0</v>
      </c>
      <c r="J1132" s="4">
        <f t="shared" si="102"/>
        <v>0</v>
      </c>
      <c r="K1132" s="4" t="str">
        <f t="shared" si="103"/>
        <v>Ce127</v>
      </c>
    </row>
    <row r="1133" spans="2:11" hidden="1" x14ac:dyDescent="0.2">
      <c r="B1133" s="4">
        <v>58128</v>
      </c>
      <c r="C1133" s="4">
        <v>0</v>
      </c>
      <c r="D1133">
        <v>0</v>
      </c>
      <c r="E1133" t="str">
        <f>VLOOKUP(B1133,Nuclides!A:F,5,FALSE)</f>
        <v>Ce128</v>
      </c>
      <c r="F1133">
        <f>VLOOKUP(B1133,Nuclides!A:F,4,FALSE)</f>
        <v>235.8</v>
      </c>
      <c r="G1133" s="4" t="str">
        <f t="shared" si="99"/>
        <v>3.93min</v>
      </c>
      <c r="H1133" s="4">
        <f t="shared" si="100"/>
        <v>2.9395554731125751E-3</v>
      </c>
      <c r="I1133" s="4">
        <f t="shared" si="101"/>
        <v>0</v>
      </c>
      <c r="J1133" s="4">
        <f t="shared" si="102"/>
        <v>0</v>
      </c>
      <c r="K1133" s="4" t="str">
        <f t="shared" si="103"/>
        <v>Ce128</v>
      </c>
    </row>
    <row r="1134" spans="2:11" hidden="1" x14ac:dyDescent="0.2">
      <c r="B1134" s="4">
        <v>58129</v>
      </c>
      <c r="C1134" s="4">
        <v>0</v>
      </c>
      <c r="D1134">
        <v>0</v>
      </c>
      <c r="E1134" t="str">
        <f>VLOOKUP(B1134,Nuclides!A:F,5,FALSE)</f>
        <v>Ce129</v>
      </c>
      <c r="F1134">
        <f>VLOOKUP(B1134,Nuclides!A:F,4,FALSE)</f>
        <v>210</v>
      </c>
      <c r="G1134" s="4" t="str">
        <f t="shared" si="99"/>
        <v>3.5min</v>
      </c>
      <c r="H1134" s="4">
        <f t="shared" si="100"/>
        <v>3.3007008598092634E-3</v>
      </c>
      <c r="I1134" s="4">
        <f t="shared" si="101"/>
        <v>0</v>
      </c>
      <c r="J1134" s="4">
        <f t="shared" si="102"/>
        <v>0</v>
      </c>
      <c r="K1134" s="4" t="str">
        <f t="shared" si="103"/>
        <v>Ce129</v>
      </c>
    </row>
    <row r="1135" spans="2:11" hidden="1" x14ac:dyDescent="0.2">
      <c r="B1135" s="4">
        <v>58130</v>
      </c>
      <c r="C1135" s="4">
        <v>0</v>
      </c>
      <c r="D1135">
        <v>0</v>
      </c>
      <c r="E1135" t="str">
        <f>VLOOKUP(B1135,Nuclides!A:F,5,FALSE)</f>
        <v>Ce130</v>
      </c>
      <c r="F1135">
        <f>VLOOKUP(B1135,Nuclides!A:F,4,FALSE)</f>
        <v>1374</v>
      </c>
      <c r="G1135" s="4" t="str">
        <f t="shared" si="99"/>
        <v>22.9min</v>
      </c>
      <c r="H1135" s="4">
        <f t="shared" si="100"/>
        <v>5.0447393053853367E-4</v>
      </c>
      <c r="I1135" s="4">
        <f t="shared" si="101"/>
        <v>0</v>
      </c>
      <c r="J1135" s="4">
        <f t="shared" si="102"/>
        <v>0</v>
      </c>
      <c r="K1135" s="4" t="str">
        <f t="shared" si="103"/>
        <v>Ce130</v>
      </c>
    </row>
    <row r="1136" spans="2:11" hidden="1" x14ac:dyDescent="0.2">
      <c r="B1136" s="4">
        <v>58131</v>
      </c>
      <c r="C1136" s="4">
        <v>0</v>
      </c>
      <c r="D1136">
        <v>0</v>
      </c>
      <c r="E1136" t="str">
        <f>VLOOKUP(B1136,Nuclides!A:F,5,FALSE)</f>
        <v>Ce131</v>
      </c>
      <c r="F1136">
        <f>VLOOKUP(B1136,Nuclides!A:F,4,FALSE)</f>
        <v>618</v>
      </c>
      <c r="G1136" s="4" t="str">
        <f t="shared" si="99"/>
        <v>10.3min</v>
      </c>
      <c r="H1136" s="4">
        <f t="shared" si="100"/>
        <v>1.1215973795468371E-3</v>
      </c>
      <c r="I1136" s="4">
        <f t="shared" si="101"/>
        <v>0</v>
      </c>
      <c r="J1136" s="4">
        <f t="shared" si="102"/>
        <v>0</v>
      </c>
      <c r="K1136" s="4" t="str">
        <f t="shared" si="103"/>
        <v>Ce131</v>
      </c>
    </row>
    <row r="1137" spans="2:11" hidden="1" x14ac:dyDescent="0.2">
      <c r="B1137" s="4">
        <v>58132</v>
      </c>
      <c r="C1137" s="4">
        <v>0</v>
      </c>
      <c r="D1137">
        <v>0</v>
      </c>
      <c r="E1137" t="str">
        <f>VLOOKUP(B1137,Nuclides!A:F,5,FALSE)</f>
        <v>Ce132</v>
      </c>
      <c r="F1137">
        <f>VLOOKUP(B1137,Nuclides!A:F,4,FALSE)</f>
        <v>12636</v>
      </c>
      <c r="G1137" s="4" t="str">
        <f t="shared" si="99"/>
        <v>3.51h</v>
      </c>
      <c r="H1137" s="4">
        <f t="shared" si="100"/>
        <v>5.4854952560932673E-5</v>
      </c>
      <c r="I1137" s="4">
        <f t="shared" si="101"/>
        <v>0</v>
      </c>
      <c r="J1137" s="4">
        <f t="shared" si="102"/>
        <v>0</v>
      </c>
      <c r="K1137" s="4" t="str">
        <f t="shared" si="103"/>
        <v>Ce132</v>
      </c>
    </row>
    <row r="1138" spans="2:11" hidden="1" x14ac:dyDescent="0.2">
      <c r="B1138" s="4">
        <v>58133</v>
      </c>
      <c r="C1138" s="4">
        <v>0</v>
      </c>
      <c r="D1138">
        <v>0</v>
      </c>
      <c r="E1138" t="str">
        <f>VLOOKUP(B1138,Nuclides!A:F,5,FALSE)</f>
        <v>Ce133</v>
      </c>
      <c r="F1138">
        <f>VLOOKUP(B1138,Nuclides!A:F,4,FALSE)</f>
        <v>5820</v>
      </c>
      <c r="G1138" s="4" t="str">
        <f t="shared" si="99"/>
        <v>1.62h</v>
      </c>
      <c r="H1138" s="4">
        <f t="shared" si="100"/>
        <v>1.1909745370445796E-4</v>
      </c>
      <c r="I1138" s="4">
        <f t="shared" si="101"/>
        <v>0</v>
      </c>
      <c r="J1138" s="4">
        <f t="shared" si="102"/>
        <v>0</v>
      </c>
      <c r="K1138" s="4" t="str">
        <f t="shared" si="103"/>
        <v>Ce133</v>
      </c>
    </row>
    <row r="1139" spans="2:11" hidden="1" x14ac:dyDescent="0.2">
      <c r="B1139" s="4">
        <v>58134</v>
      </c>
      <c r="C1139" s="4">
        <v>0</v>
      </c>
      <c r="D1139">
        <v>0</v>
      </c>
      <c r="E1139" t="str">
        <f>VLOOKUP(B1139,Nuclides!A:F,5,FALSE)</f>
        <v>Ce134</v>
      </c>
      <c r="F1139">
        <f>VLOOKUP(B1139,Nuclides!A:F,4,FALSE)</f>
        <v>273024</v>
      </c>
      <c r="G1139" s="4" t="str">
        <f t="shared" si="99"/>
        <v>3.16d</v>
      </c>
      <c r="H1139" s="4">
        <f t="shared" si="100"/>
        <v>2.5387774721634191E-6</v>
      </c>
      <c r="I1139" s="4">
        <f t="shared" si="101"/>
        <v>0</v>
      </c>
      <c r="J1139" s="4">
        <f t="shared" si="102"/>
        <v>0</v>
      </c>
      <c r="K1139" s="4" t="str">
        <f t="shared" si="103"/>
        <v>Ce134</v>
      </c>
    </row>
    <row r="1140" spans="2:11" hidden="1" x14ac:dyDescent="0.2">
      <c r="B1140" s="4">
        <v>58135</v>
      </c>
      <c r="C1140" s="4">
        <v>0</v>
      </c>
      <c r="D1140">
        <v>0</v>
      </c>
      <c r="E1140" t="str">
        <f>VLOOKUP(B1140,Nuclides!A:F,5,FALSE)</f>
        <v>Ce135</v>
      </c>
      <c r="F1140">
        <f>VLOOKUP(B1140,Nuclides!A:F,4,FALSE)</f>
        <v>63720</v>
      </c>
      <c r="G1140" s="4" t="str">
        <f t="shared" si="99"/>
        <v>17.7h</v>
      </c>
      <c r="H1140" s="4">
        <f t="shared" si="100"/>
        <v>1.0878016016320548E-5</v>
      </c>
      <c r="I1140" s="4">
        <f t="shared" si="101"/>
        <v>0</v>
      </c>
      <c r="J1140" s="4">
        <f t="shared" si="102"/>
        <v>0</v>
      </c>
      <c r="K1140" s="4" t="str">
        <f t="shared" si="103"/>
        <v>Ce135</v>
      </c>
    </row>
    <row r="1141" spans="2:11" hidden="1" x14ac:dyDescent="0.2">
      <c r="B1141" s="4">
        <v>58136</v>
      </c>
      <c r="C1141" s="4">
        <v>0</v>
      </c>
      <c r="D1141">
        <v>0</v>
      </c>
      <c r="E1141" t="str">
        <f>VLOOKUP(B1141,Nuclides!A:F,5,FALSE)</f>
        <v>Ce136</v>
      </c>
      <c r="F1141">
        <f>VLOOKUP(B1141,Nuclides!A:F,4,FALSE)</f>
        <v>2.209032E+21</v>
      </c>
      <c r="G1141" s="4" t="str">
        <f t="shared" si="99"/>
        <v>70047945205479.5y</v>
      </c>
      <c r="H1141" s="4">
        <f t="shared" si="100"/>
        <v>3.1377869608043036E-22</v>
      </c>
      <c r="I1141" s="4">
        <f t="shared" si="101"/>
        <v>0</v>
      </c>
      <c r="J1141" s="4">
        <f t="shared" si="102"/>
        <v>0</v>
      </c>
      <c r="K1141" s="4" t="str">
        <f t="shared" si="103"/>
        <v>Ce136</v>
      </c>
    </row>
    <row r="1142" spans="2:11" hidden="1" x14ac:dyDescent="0.2">
      <c r="B1142" s="4">
        <v>58137</v>
      </c>
      <c r="C1142" s="4">
        <v>0</v>
      </c>
      <c r="D1142">
        <v>0</v>
      </c>
      <c r="E1142" t="str">
        <f>VLOOKUP(B1142,Nuclides!A:F,5,FALSE)</f>
        <v>Ce137</v>
      </c>
      <c r="F1142">
        <f>VLOOKUP(B1142,Nuclides!A:F,4,FALSE)</f>
        <v>32400</v>
      </c>
      <c r="G1142" s="4" t="str">
        <f t="shared" si="99"/>
        <v>9h</v>
      </c>
      <c r="H1142" s="4">
        <f t="shared" si="100"/>
        <v>2.1393431498763742E-5</v>
      </c>
      <c r="I1142" s="4">
        <f t="shared" si="101"/>
        <v>0</v>
      </c>
      <c r="J1142" s="4">
        <f t="shared" si="102"/>
        <v>0</v>
      </c>
      <c r="K1142" s="4" t="str">
        <f t="shared" si="103"/>
        <v>Ce137</v>
      </c>
    </row>
    <row r="1143" spans="2:11" hidden="1" x14ac:dyDescent="0.2">
      <c r="B1143" s="4">
        <v>58138</v>
      </c>
      <c r="C1143" s="4">
        <v>0</v>
      </c>
      <c r="D1143">
        <v>0</v>
      </c>
      <c r="E1143" t="str">
        <f>VLOOKUP(B1143,Nuclides!A:F,5,FALSE)</f>
        <v>Ce138</v>
      </c>
      <c r="F1143">
        <f>VLOOKUP(B1143,Nuclides!A:F,4,FALSE)</f>
        <v>2.8401840000000003E+21</v>
      </c>
      <c r="G1143" s="4" t="str">
        <f t="shared" si="99"/>
        <v>90061643835616.5y</v>
      </c>
      <c r="H1143" s="4">
        <f t="shared" si="100"/>
        <v>2.4405009695144583E-22</v>
      </c>
      <c r="I1143" s="4">
        <f t="shared" si="101"/>
        <v>0</v>
      </c>
      <c r="J1143" s="4">
        <f t="shared" si="102"/>
        <v>0</v>
      </c>
      <c r="K1143" s="4" t="str">
        <f t="shared" si="103"/>
        <v>Ce138</v>
      </c>
    </row>
    <row r="1144" spans="2:11" hidden="1" x14ac:dyDescent="0.2">
      <c r="B1144" s="4">
        <v>58139</v>
      </c>
      <c r="C1144" s="4">
        <v>0</v>
      </c>
      <c r="D1144">
        <v>0</v>
      </c>
      <c r="E1144" t="str">
        <f>VLOOKUP(B1144,Nuclides!A:F,5,FALSE)</f>
        <v>Ce139</v>
      </c>
      <c r="F1144">
        <f>VLOOKUP(B1144,Nuclides!A:F,4,FALSE)</f>
        <v>11892182.3999999</v>
      </c>
      <c r="G1144" s="4" t="str">
        <f t="shared" si="99"/>
        <v>137.64d</v>
      </c>
      <c r="H1144" s="4">
        <f t="shared" si="100"/>
        <v>5.8285952674250198E-8</v>
      </c>
      <c r="I1144" s="4">
        <f t="shared" si="101"/>
        <v>0</v>
      </c>
      <c r="J1144" s="4">
        <f t="shared" si="102"/>
        <v>0</v>
      </c>
      <c r="K1144" s="4" t="str">
        <f t="shared" si="103"/>
        <v>Ce139</v>
      </c>
    </row>
    <row r="1145" spans="2:11" hidden="1" x14ac:dyDescent="0.2">
      <c r="B1145" s="4">
        <v>58140</v>
      </c>
      <c r="C1145" s="4">
        <v>0</v>
      </c>
      <c r="D1145">
        <v>0</v>
      </c>
      <c r="E1145" t="str">
        <f>VLOOKUP(B1145,Nuclides!A:F,5,FALSE)</f>
        <v>Ce140</v>
      </c>
      <c r="F1145" t="str">
        <f>VLOOKUP(B1145,Nuclides!A:F,4,FALSE)</f>
        <v>STABLE</v>
      </c>
      <c r="G1145" s="4" t="str">
        <f t="shared" si="99"/>
        <v>STABLE</v>
      </c>
      <c r="H1145" s="4" t="e">
        <f t="shared" si="100"/>
        <v>#VALUE!</v>
      </c>
      <c r="I1145" s="4" t="e">
        <f t="shared" si="101"/>
        <v>#VALUE!</v>
      </c>
      <c r="J1145" s="4" t="e">
        <f t="shared" si="102"/>
        <v>#VALUE!</v>
      </c>
      <c r="K1145" s="4" t="str">
        <f t="shared" si="103"/>
        <v>Ce140</v>
      </c>
    </row>
    <row r="1146" spans="2:11" hidden="1" x14ac:dyDescent="0.2">
      <c r="B1146" s="4">
        <v>58141</v>
      </c>
      <c r="C1146" s="4">
        <v>0</v>
      </c>
      <c r="D1146">
        <v>0</v>
      </c>
      <c r="E1146" t="str">
        <f>VLOOKUP(B1146,Nuclides!A:F,5,FALSE)</f>
        <v>Ce141</v>
      </c>
      <c r="F1146">
        <f>VLOOKUP(B1146,Nuclides!A:F,4,FALSE)</f>
        <v>2808950.4</v>
      </c>
      <c r="G1146" s="4" t="str">
        <f t="shared" si="99"/>
        <v>32.51d</v>
      </c>
      <c r="H1146" s="4">
        <f t="shared" si="100"/>
        <v>2.4676376648015759E-7</v>
      </c>
      <c r="I1146" s="4">
        <f t="shared" si="101"/>
        <v>0</v>
      </c>
      <c r="J1146" s="4">
        <f t="shared" si="102"/>
        <v>0</v>
      </c>
      <c r="K1146" s="4" t="str">
        <f t="shared" si="103"/>
        <v>Ce141</v>
      </c>
    </row>
    <row r="1147" spans="2:11" hidden="1" x14ac:dyDescent="0.2">
      <c r="B1147" s="4">
        <v>58142</v>
      </c>
      <c r="C1147" s="4">
        <v>0</v>
      </c>
      <c r="D1147">
        <v>0</v>
      </c>
      <c r="E1147" t="str">
        <f>VLOOKUP(B1147,Nuclides!A:F,5,FALSE)</f>
        <v>Ce142</v>
      </c>
      <c r="F1147">
        <f>VLOOKUP(B1147,Nuclides!A:F,4,FALSE)</f>
        <v>1.57788E+24</v>
      </c>
      <c r="G1147" s="4" t="str">
        <f t="shared" si="99"/>
        <v>50034246575342500y</v>
      </c>
      <c r="H1147" s="4">
        <f t="shared" si="100"/>
        <v>4.3929017451260252E-25</v>
      </c>
      <c r="I1147" s="4">
        <f t="shared" si="101"/>
        <v>0</v>
      </c>
      <c r="J1147" s="4">
        <f t="shared" si="102"/>
        <v>0</v>
      </c>
      <c r="K1147" s="4" t="str">
        <f t="shared" si="103"/>
        <v>Ce142</v>
      </c>
    </row>
    <row r="1148" spans="2:11" hidden="1" x14ac:dyDescent="0.2">
      <c r="B1148" s="4">
        <v>58143</v>
      </c>
      <c r="C1148" s="4">
        <v>0</v>
      </c>
      <c r="D1148">
        <v>0</v>
      </c>
      <c r="E1148" t="str">
        <f>VLOOKUP(B1148,Nuclides!A:F,5,FALSE)</f>
        <v>Ce143</v>
      </c>
      <c r="F1148">
        <f>VLOOKUP(B1148,Nuclides!A:F,4,FALSE)</f>
        <v>118940.4</v>
      </c>
      <c r="G1148" s="4" t="str">
        <f t="shared" si="99"/>
        <v>1.38d</v>
      </c>
      <c r="H1148" s="4">
        <f t="shared" si="100"/>
        <v>5.8276849628885168E-6</v>
      </c>
      <c r="I1148" s="4">
        <f t="shared" si="101"/>
        <v>0</v>
      </c>
      <c r="J1148" s="4">
        <f t="shared" si="102"/>
        <v>0</v>
      </c>
      <c r="K1148" s="4" t="str">
        <f t="shared" si="103"/>
        <v>Ce143</v>
      </c>
    </row>
    <row r="1149" spans="2:11" hidden="1" x14ac:dyDescent="0.2">
      <c r="B1149" s="4">
        <v>58144</v>
      </c>
      <c r="C1149" s="4">
        <v>0</v>
      </c>
      <c r="D1149">
        <v>0</v>
      </c>
      <c r="E1149" t="str">
        <f>VLOOKUP(B1149,Nuclides!A:F,5,FALSE)</f>
        <v>Ce144</v>
      </c>
      <c r="F1149">
        <f>VLOOKUP(B1149,Nuclides!A:F,4,FALSE)</f>
        <v>24616224</v>
      </c>
      <c r="G1149" s="4" t="str">
        <f t="shared" si="99"/>
        <v>284.91d</v>
      </c>
      <c r="H1149" s="4">
        <f t="shared" si="100"/>
        <v>2.8158144017536781E-8</v>
      </c>
      <c r="I1149" s="4">
        <f t="shared" si="101"/>
        <v>0</v>
      </c>
      <c r="J1149" s="4">
        <f t="shared" si="102"/>
        <v>0</v>
      </c>
      <c r="K1149" s="4" t="str">
        <f t="shared" si="103"/>
        <v>Ce144</v>
      </c>
    </row>
    <row r="1150" spans="2:11" hidden="1" x14ac:dyDescent="0.2">
      <c r="B1150" s="4">
        <v>58145</v>
      </c>
      <c r="C1150" s="4">
        <v>0</v>
      </c>
      <c r="D1150">
        <v>0</v>
      </c>
      <c r="E1150" t="str">
        <f>VLOOKUP(B1150,Nuclides!A:F,5,FALSE)</f>
        <v>Ce145</v>
      </c>
      <c r="F1150">
        <f>VLOOKUP(B1150,Nuclides!A:F,4,FALSE)</f>
        <v>180.6</v>
      </c>
      <c r="G1150" s="4" t="str">
        <f t="shared" si="99"/>
        <v>3.01min</v>
      </c>
      <c r="H1150" s="4">
        <f t="shared" si="100"/>
        <v>3.8380242555921666E-3</v>
      </c>
      <c r="I1150" s="4">
        <f t="shared" si="101"/>
        <v>0</v>
      </c>
      <c r="J1150" s="4">
        <f t="shared" si="102"/>
        <v>0</v>
      </c>
      <c r="K1150" s="4" t="str">
        <f t="shared" si="103"/>
        <v>Ce145</v>
      </c>
    </row>
    <row r="1151" spans="2:11" hidden="1" x14ac:dyDescent="0.2">
      <c r="B1151" s="4">
        <v>58146</v>
      </c>
      <c r="C1151" s="4">
        <v>0</v>
      </c>
      <c r="D1151">
        <v>0</v>
      </c>
      <c r="E1151" t="str">
        <f>VLOOKUP(B1151,Nuclides!A:F,5,FALSE)</f>
        <v>Ce146</v>
      </c>
      <c r="F1151">
        <f>VLOOKUP(B1151,Nuclides!A:F,4,FALSE)</f>
        <v>809.4</v>
      </c>
      <c r="G1151" s="4" t="str">
        <f t="shared" si="99"/>
        <v>13.49min</v>
      </c>
      <c r="H1151" s="4">
        <f t="shared" si="100"/>
        <v>8.5637160929076517E-4</v>
      </c>
      <c r="I1151" s="4">
        <f t="shared" si="101"/>
        <v>0</v>
      </c>
      <c r="J1151" s="4">
        <f t="shared" si="102"/>
        <v>0</v>
      </c>
      <c r="K1151" s="4" t="str">
        <f t="shared" si="103"/>
        <v>Ce146</v>
      </c>
    </row>
    <row r="1152" spans="2:11" hidden="1" x14ac:dyDescent="0.2">
      <c r="B1152" s="4">
        <v>58147</v>
      </c>
      <c r="C1152" s="4">
        <v>0</v>
      </c>
      <c r="D1152">
        <v>0</v>
      </c>
      <c r="E1152" t="str">
        <f>VLOOKUP(B1152,Nuclides!A:F,5,FALSE)</f>
        <v>Ce147</v>
      </c>
      <c r="F1152">
        <f>VLOOKUP(B1152,Nuclides!A:F,4,FALSE)</f>
        <v>56.4</v>
      </c>
      <c r="G1152" s="4" t="str">
        <f t="shared" si="99"/>
        <v>56.4s</v>
      </c>
      <c r="H1152" s="4">
        <f t="shared" si="100"/>
        <v>1.2289843626949385E-2</v>
      </c>
      <c r="I1152" s="4">
        <f t="shared" si="101"/>
        <v>0</v>
      </c>
      <c r="J1152" s="4">
        <f t="shared" si="102"/>
        <v>0</v>
      </c>
      <c r="K1152" s="4" t="str">
        <f t="shared" si="103"/>
        <v>Ce147</v>
      </c>
    </row>
    <row r="1153" spans="2:11" hidden="1" x14ac:dyDescent="0.2">
      <c r="B1153" s="4">
        <v>58148</v>
      </c>
      <c r="C1153" s="4">
        <v>0</v>
      </c>
      <c r="D1153">
        <v>0</v>
      </c>
      <c r="E1153" t="str">
        <f>VLOOKUP(B1153,Nuclides!A:F,5,FALSE)</f>
        <v>Ce148</v>
      </c>
      <c r="F1153">
        <f>VLOOKUP(B1153,Nuclides!A:F,4,FALSE)</f>
        <v>56.8</v>
      </c>
      <c r="G1153" s="4" t="str">
        <f t="shared" si="99"/>
        <v>56.8s</v>
      </c>
      <c r="H1153" s="4">
        <f t="shared" si="100"/>
        <v>1.2203295432393403E-2</v>
      </c>
      <c r="I1153" s="4">
        <f t="shared" si="101"/>
        <v>0</v>
      </c>
      <c r="J1153" s="4">
        <f t="shared" si="102"/>
        <v>0</v>
      </c>
      <c r="K1153" s="4" t="str">
        <f t="shared" si="103"/>
        <v>Ce148</v>
      </c>
    </row>
    <row r="1154" spans="2:11" hidden="1" x14ac:dyDescent="0.2">
      <c r="B1154" s="4">
        <v>58149</v>
      </c>
      <c r="C1154" s="4">
        <v>0</v>
      </c>
      <c r="D1154">
        <v>0</v>
      </c>
      <c r="E1154" t="str">
        <f>VLOOKUP(B1154,Nuclides!A:F,5,FALSE)</f>
        <v>Ce149</v>
      </c>
      <c r="F1154">
        <f>VLOOKUP(B1154,Nuclides!A:F,4,FALSE)</f>
        <v>5.3</v>
      </c>
      <c r="G1154" s="4" t="str">
        <f t="shared" si="99"/>
        <v>5.3s</v>
      </c>
      <c r="H1154" s="4">
        <f t="shared" si="100"/>
        <v>0.1307824868981029</v>
      </c>
      <c r="I1154" s="4">
        <f t="shared" si="101"/>
        <v>0</v>
      </c>
      <c r="J1154" s="4">
        <f t="shared" si="102"/>
        <v>0</v>
      </c>
      <c r="K1154" s="4" t="str">
        <f t="shared" si="103"/>
        <v>Ce149</v>
      </c>
    </row>
    <row r="1155" spans="2:11" hidden="1" x14ac:dyDescent="0.2">
      <c r="B1155" s="4">
        <v>58150</v>
      </c>
      <c r="C1155" s="4">
        <v>0</v>
      </c>
      <c r="D1155">
        <v>0</v>
      </c>
      <c r="E1155" t="str">
        <f>VLOOKUP(B1155,Nuclides!A:F,5,FALSE)</f>
        <v>Ce150</v>
      </c>
      <c r="F1155">
        <f>VLOOKUP(B1155,Nuclides!A:F,4,FALSE)</f>
        <v>4</v>
      </c>
      <c r="G1155" s="4" t="str">
        <f t="shared" si="99"/>
        <v>4s</v>
      </c>
      <c r="H1155" s="4">
        <f t="shared" si="100"/>
        <v>0.17328679513998632</v>
      </c>
      <c r="I1155" s="4">
        <f t="shared" si="101"/>
        <v>0</v>
      </c>
      <c r="J1155" s="4">
        <f t="shared" si="102"/>
        <v>0</v>
      </c>
      <c r="K1155" s="4" t="str">
        <f t="shared" si="103"/>
        <v>Ce150</v>
      </c>
    </row>
    <row r="1156" spans="2:11" hidden="1" x14ac:dyDescent="0.2">
      <c r="B1156" s="4">
        <v>58151</v>
      </c>
      <c r="C1156" s="4">
        <v>0</v>
      </c>
      <c r="D1156">
        <v>0</v>
      </c>
      <c r="E1156" t="str">
        <f>VLOOKUP(B1156,Nuclides!A:F,5,FALSE)</f>
        <v>Ce151</v>
      </c>
      <c r="F1156">
        <f>VLOOKUP(B1156,Nuclides!A:F,4,FALSE)</f>
        <v>1.76</v>
      </c>
      <c r="G1156" s="4" t="str">
        <f t="shared" si="99"/>
        <v>1.76s</v>
      </c>
      <c r="H1156" s="4">
        <f t="shared" si="100"/>
        <v>0.39383362531815075</v>
      </c>
      <c r="I1156" s="4">
        <f t="shared" si="101"/>
        <v>0</v>
      </c>
      <c r="J1156" s="4">
        <f t="shared" si="102"/>
        <v>0</v>
      </c>
      <c r="K1156" s="4" t="str">
        <f t="shared" si="103"/>
        <v>Ce151</v>
      </c>
    </row>
    <row r="1157" spans="2:11" hidden="1" x14ac:dyDescent="0.2">
      <c r="B1157" s="4">
        <v>59129</v>
      </c>
      <c r="C1157" s="4">
        <v>0</v>
      </c>
      <c r="D1157">
        <v>0</v>
      </c>
      <c r="E1157" t="str">
        <f>VLOOKUP(B1157,Nuclides!A:F,5,FALSE)</f>
        <v>Pr129</v>
      </c>
      <c r="F1157">
        <f>VLOOKUP(B1157,Nuclides!A:F,4,FALSE)</f>
        <v>30</v>
      </c>
      <c r="G1157" s="4" t="str">
        <f t="shared" ref="G1157:G1220" si="104">IF(F1157="STABLE", "STABLE", IF(F1157&lt;60, F1157&amp;"s", IF(F1157&lt;3600, ROUND(F1157/60,2)&amp;"min", IF(F1157&lt;86400, ROUND(F1157/3600,2)&amp;"h", IF(F1157&lt;31536000, ROUND(F1157/86400,2)&amp;"d", ROUND(F1157/31536000,2)&amp;"y")))))</f>
        <v>30s</v>
      </c>
      <c r="H1157" s="4">
        <f t="shared" ref="H1157:H1220" si="105">LN(2)/F1157</f>
        <v>2.3104906018664842E-2</v>
      </c>
      <c r="I1157" s="4">
        <f t="shared" ref="I1157:I1220" si="106">60*6240000000000*C1157*(1-EXP(-H1157*2*3600))</f>
        <v>0</v>
      </c>
      <c r="J1157" s="4">
        <f t="shared" ref="J1157:J1220" si="107">I1157*EXP(-H1157*48*3600)</f>
        <v>0</v>
      </c>
      <c r="K1157" s="4" t="str">
        <f t="shared" ref="K1157:K1220" si="108">E1157</f>
        <v>Pr129</v>
      </c>
    </row>
    <row r="1158" spans="2:11" hidden="1" x14ac:dyDescent="0.2">
      <c r="B1158" s="4">
        <v>59130</v>
      </c>
      <c r="C1158" s="4">
        <v>0</v>
      </c>
      <c r="D1158">
        <v>0</v>
      </c>
      <c r="E1158" t="str">
        <f>VLOOKUP(B1158,Nuclides!A:F,5,FALSE)</f>
        <v>Pr130</v>
      </c>
      <c r="F1158">
        <f>VLOOKUP(B1158,Nuclides!A:F,4,FALSE)</f>
        <v>40</v>
      </c>
      <c r="G1158" s="4" t="str">
        <f t="shared" si="104"/>
        <v>40s</v>
      </c>
      <c r="H1158" s="4">
        <f t="shared" si="105"/>
        <v>1.7328679513998631E-2</v>
      </c>
      <c r="I1158" s="4">
        <f t="shared" si="106"/>
        <v>0</v>
      </c>
      <c r="J1158" s="4">
        <f t="shared" si="107"/>
        <v>0</v>
      </c>
      <c r="K1158" s="4" t="str">
        <f t="shared" si="108"/>
        <v>Pr130</v>
      </c>
    </row>
    <row r="1159" spans="2:11" hidden="1" x14ac:dyDescent="0.2">
      <c r="B1159" s="4">
        <v>59131</v>
      </c>
      <c r="C1159" s="4">
        <v>0</v>
      </c>
      <c r="D1159">
        <v>0</v>
      </c>
      <c r="E1159" t="str">
        <f>VLOOKUP(B1159,Nuclides!A:F,5,FALSE)</f>
        <v>Pr131</v>
      </c>
      <c r="F1159">
        <f>VLOOKUP(B1159,Nuclides!A:F,4,FALSE)</f>
        <v>90.6</v>
      </c>
      <c r="G1159" s="4" t="str">
        <f t="shared" si="104"/>
        <v>1.51min</v>
      </c>
      <c r="H1159" s="4">
        <f t="shared" si="105"/>
        <v>7.650631132008227E-3</v>
      </c>
      <c r="I1159" s="4">
        <f t="shared" si="106"/>
        <v>0</v>
      </c>
      <c r="J1159" s="4">
        <f t="shared" si="107"/>
        <v>0</v>
      </c>
      <c r="K1159" s="4" t="str">
        <f t="shared" si="108"/>
        <v>Pr131</v>
      </c>
    </row>
    <row r="1160" spans="2:11" hidden="1" x14ac:dyDescent="0.2">
      <c r="B1160" s="4">
        <v>59132</v>
      </c>
      <c r="C1160" s="4">
        <v>0</v>
      </c>
      <c r="D1160">
        <v>0</v>
      </c>
      <c r="E1160" t="str">
        <f>VLOOKUP(B1160,Nuclides!A:F,5,FALSE)</f>
        <v>Pr132</v>
      </c>
      <c r="F1160">
        <f>VLOOKUP(B1160,Nuclides!A:F,4,FALSE)</f>
        <v>96</v>
      </c>
      <c r="G1160" s="4" t="str">
        <f t="shared" si="104"/>
        <v>1.6min</v>
      </c>
      <c r="H1160" s="4">
        <f t="shared" si="105"/>
        <v>7.2202831308327631E-3</v>
      </c>
      <c r="I1160" s="4">
        <f t="shared" si="106"/>
        <v>0</v>
      </c>
      <c r="J1160" s="4">
        <f t="shared" si="107"/>
        <v>0</v>
      </c>
      <c r="K1160" s="4" t="str">
        <f t="shared" si="108"/>
        <v>Pr132</v>
      </c>
    </row>
    <row r="1161" spans="2:11" hidden="1" x14ac:dyDescent="0.2">
      <c r="B1161" s="4">
        <v>59133</v>
      </c>
      <c r="C1161" s="4">
        <v>0</v>
      </c>
      <c r="D1161">
        <v>0</v>
      </c>
      <c r="E1161" t="str">
        <f>VLOOKUP(B1161,Nuclides!A:F,5,FALSE)</f>
        <v>Pr133</v>
      </c>
      <c r="F1161">
        <f>VLOOKUP(B1161,Nuclides!A:F,4,FALSE)</f>
        <v>390</v>
      </c>
      <c r="G1161" s="4" t="str">
        <f t="shared" si="104"/>
        <v>6.5min</v>
      </c>
      <c r="H1161" s="4">
        <f t="shared" si="105"/>
        <v>1.7773004629742187E-3</v>
      </c>
      <c r="I1161" s="4">
        <f t="shared" si="106"/>
        <v>0</v>
      </c>
      <c r="J1161" s="4">
        <f t="shared" si="107"/>
        <v>0</v>
      </c>
      <c r="K1161" s="4" t="str">
        <f t="shared" si="108"/>
        <v>Pr133</v>
      </c>
    </row>
    <row r="1162" spans="2:11" hidden="1" x14ac:dyDescent="0.2">
      <c r="B1162" s="4">
        <v>59134</v>
      </c>
      <c r="C1162" s="4">
        <v>0</v>
      </c>
      <c r="D1162">
        <v>0</v>
      </c>
      <c r="E1162" t="str">
        <f>VLOOKUP(B1162,Nuclides!A:F,5,FALSE)</f>
        <v>Pr134</v>
      </c>
      <c r="F1162">
        <f>VLOOKUP(B1162,Nuclides!A:F,4,FALSE)</f>
        <v>660</v>
      </c>
      <c r="G1162" s="4" t="str">
        <f t="shared" si="104"/>
        <v>11min</v>
      </c>
      <c r="H1162" s="4">
        <f t="shared" si="105"/>
        <v>1.0502230008484019E-3</v>
      </c>
      <c r="I1162" s="4">
        <f t="shared" si="106"/>
        <v>0</v>
      </c>
      <c r="J1162" s="4">
        <f t="shared" si="107"/>
        <v>0</v>
      </c>
      <c r="K1162" s="4" t="str">
        <f t="shared" si="108"/>
        <v>Pr134</v>
      </c>
    </row>
    <row r="1163" spans="2:11" hidden="1" x14ac:dyDescent="0.2">
      <c r="B1163" s="4">
        <v>59135</v>
      </c>
      <c r="C1163" s="4">
        <v>0</v>
      </c>
      <c r="D1163">
        <v>0</v>
      </c>
      <c r="E1163" t="str">
        <f>VLOOKUP(B1163,Nuclides!A:F,5,FALSE)</f>
        <v>Pr135</v>
      </c>
      <c r="F1163">
        <f>VLOOKUP(B1163,Nuclides!A:F,4,FALSE)</f>
        <v>1440</v>
      </c>
      <c r="G1163" s="4" t="str">
        <f t="shared" si="104"/>
        <v>24min</v>
      </c>
      <c r="H1163" s="4">
        <f t="shared" si="105"/>
        <v>4.8135220872218423E-4</v>
      </c>
      <c r="I1163" s="4">
        <f t="shared" si="106"/>
        <v>0</v>
      </c>
      <c r="J1163" s="4">
        <f t="shared" si="107"/>
        <v>0</v>
      </c>
      <c r="K1163" s="4" t="str">
        <f t="shared" si="108"/>
        <v>Pr135</v>
      </c>
    </row>
    <row r="1164" spans="2:11" hidden="1" x14ac:dyDescent="0.2">
      <c r="B1164" s="4">
        <v>59136</v>
      </c>
      <c r="C1164" s="4">
        <v>0</v>
      </c>
      <c r="D1164">
        <v>0</v>
      </c>
      <c r="E1164" t="str">
        <f>VLOOKUP(B1164,Nuclides!A:F,5,FALSE)</f>
        <v>Pr136</v>
      </c>
      <c r="F1164">
        <f>VLOOKUP(B1164,Nuclides!A:F,4,FALSE)</f>
        <v>786</v>
      </c>
      <c r="G1164" s="4" t="str">
        <f t="shared" si="104"/>
        <v>13.1min</v>
      </c>
      <c r="H1164" s="4">
        <f t="shared" si="105"/>
        <v>8.8186664193377266E-4</v>
      </c>
      <c r="I1164" s="4">
        <f t="shared" si="106"/>
        <v>0</v>
      </c>
      <c r="J1164" s="4">
        <f t="shared" si="107"/>
        <v>0</v>
      </c>
      <c r="K1164" s="4" t="str">
        <f t="shared" si="108"/>
        <v>Pr136</v>
      </c>
    </row>
    <row r="1165" spans="2:11" hidden="1" x14ac:dyDescent="0.2">
      <c r="B1165" s="4">
        <v>59137</v>
      </c>
      <c r="C1165" s="4">
        <v>0</v>
      </c>
      <c r="D1165">
        <v>0</v>
      </c>
      <c r="E1165" t="str">
        <f>VLOOKUP(B1165,Nuclides!A:F,5,FALSE)</f>
        <v>Pr137</v>
      </c>
      <c r="F1165">
        <f>VLOOKUP(B1165,Nuclides!A:F,4,FALSE)</f>
        <v>4608</v>
      </c>
      <c r="G1165" s="4" t="str">
        <f t="shared" si="104"/>
        <v>1.28h</v>
      </c>
      <c r="H1165" s="4">
        <f t="shared" si="105"/>
        <v>1.5042256522568257E-4</v>
      </c>
      <c r="I1165" s="4">
        <f t="shared" si="106"/>
        <v>0</v>
      </c>
      <c r="J1165" s="4">
        <f t="shared" si="107"/>
        <v>0</v>
      </c>
      <c r="K1165" s="4" t="str">
        <f t="shared" si="108"/>
        <v>Pr137</v>
      </c>
    </row>
    <row r="1166" spans="2:11" hidden="1" x14ac:dyDescent="0.2">
      <c r="B1166" s="4">
        <v>59138</v>
      </c>
      <c r="C1166" s="4">
        <v>0</v>
      </c>
      <c r="D1166">
        <v>0</v>
      </c>
      <c r="E1166" t="str">
        <f>VLOOKUP(B1166,Nuclides!A:F,5,FALSE)</f>
        <v>Pr138</v>
      </c>
      <c r="F1166">
        <f>VLOOKUP(B1166,Nuclides!A:F,4,FALSE)</f>
        <v>87</v>
      </c>
      <c r="G1166" s="4" t="str">
        <f t="shared" si="104"/>
        <v>1.45min</v>
      </c>
      <c r="H1166" s="4">
        <f t="shared" si="105"/>
        <v>7.9672089719533944E-3</v>
      </c>
      <c r="I1166" s="4">
        <f t="shared" si="106"/>
        <v>0</v>
      </c>
      <c r="J1166" s="4">
        <f t="shared" si="107"/>
        <v>0</v>
      </c>
      <c r="K1166" s="4" t="str">
        <f t="shared" si="108"/>
        <v>Pr138</v>
      </c>
    </row>
    <row r="1167" spans="2:11" hidden="1" x14ac:dyDescent="0.2">
      <c r="B1167" s="4">
        <v>59139</v>
      </c>
      <c r="C1167" s="4">
        <v>0</v>
      </c>
      <c r="D1167">
        <v>0</v>
      </c>
      <c r="E1167" t="str">
        <f>VLOOKUP(B1167,Nuclides!A:F,5,FALSE)</f>
        <v>Pr139</v>
      </c>
      <c r="F1167">
        <f>VLOOKUP(B1167,Nuclides!A:F,4,FALSE)</f>
        <v>15876</v>
      </c>
      <c r="G1167" s="4" t="str">
        <f t="shared" si="104"/>
        <v>4.41h</v>
      </c>
      <c r="H1167" s="4">
        <f t="shared" si="105"/>
        <v>4.3660064283191311E-5</v>
      </c>
      <c r="I1167" s="4">
        <f t="shared" si="106"/>
        <v>0</v>
      </c>
      <c r="J1167" s="4">
        <f t="shared" si="107"/>
        <v>0</v>
      </c>
      <c r="K1167" s="4" t="str">
        <f t="shared" si="108"/>
        <v>Pr139</v>
      </c>
    </row>
    <row r="1168" spans="2:11" hidden="1" x14ac:dyDescent="0.2">
      <c r="B1168" s="4">
        <v>59140</v>
      </c>
      <c r="C1168" s="4">
        <v>0</v>
      </c>
      <c r="D1168">
        <v>0</v>
      </c>
      <c r="E1168" t="str">
        <f>VLOOKUP(B1168,Nuclides!A:F,5,FALSE)</f>
        <v>Pr140</v>
      </c>
      <c r="F1168">
        <f>VLOOKUP(B1168,Nuclides!A:F,4,FALSE)</f>
        <v>203.4</v>
      </c>
      <c r="G1168" s="4" t="str">
        <f t="shared" si="104"/>
        <v>3.39min</v>
      </c>
      <c r="H1168" s="4">
        <f t="shared" si="105"/>
        <v>3.4078032475906845E-3</v>
      </c>
      <c r="I1168" s="4">
        <f t="shared" si="106"/>
        <v>0</v>
      </c>
      <c r="J1168" s="4">
        <f t="shared" si="107"/>
        <v>0</v>
      </c>
      <c r="K1168" s="4" t="str">
        <f t="shared" si="108"/>
        <v>Pr140</v>
      </c>
    </row>
    <row r="1169" spans="2:11" hidden="1" x14ac:dyDescent="0.2">
      <c r="B1169" s="4">
        <v>59141</v>
      </c>
      <c r="C1169" s="4">
        <v>0</v>
      </c>
      <c r="D1169">
        <v>0</v>
      </c>
      <c r="E1169" t="str">
        <f>VLOOKUP(B1169,Nuclides!A:F,5,FALSE)</f>
        <v>Pr141</v>
      </c>
      <c r="F1169" t="str">
        <f>VLOOKUP(B1169,Nuclides!A:F,4,FALSE)</f>
        <v>STABLE</v>
      </c>
      <c r="G1169" s="4" t="str">
        <f t="shared" si="104"/>
        <v>STABLE</v>
      </c>
      <c r="H1169" s="4" t="e">
        <f t="shared" si="105"/>
        <v>#VALUE!</v>
      </c>
      <c r="I1169" s="4" t="e">
        <f t="shared" si="106"/>
        <v>#VALUE!</v>
      </c>
      <c r="J1169" s="4" t="e">
        <f t="shared" si="107"/>
        <v>#VALUE!</v>
      </c>
      <c r="K1169" s="4" t="str">
        <f t="shared" si="108"/>
        <v>Pr141</v>
      </c>
    </row>
    <row r="1170" spans="2:11" hidden="1" x14ac:dyDescent="0.2">
      <c r="B1170" s="4">
        <v>59142</v>
      </c>
      <c r="C1170" s="4">
        <v>0</v>
      </c>
      <c r="D1170">
        <v>0</v>
      </c>
      <c r="E1170" t="str">
        <f>VLOOKUP(B1170,Nuclides!A:F,5,FALSE)</f>
        <v>Pr142</v>
      </c>
      <c r="F1170">
        <f>VLOOKUP(B1170,Nuclides!A:F,4,FALSE)</f>
        <v>68832</v>
      </c>
      <c r="G1170" s="4" t="str">
        <f t="shared" si="104"/>
        <v>19.12h</v>
      </c>
      <c r="H1170" s="4">
        <f t="shared" si="105"/>
        <v>1.0070129889585444E-5</v>
      </c>
      <c r="I1170" s="4">
        <f t="shared" si="106"/>
        <v>0</v>
      </c>
      <c r="J1170" s="4">
        <f t="shared" si="107"/>
        <v>0</v>
      </c>
      <c r="K1170" s="4" t="str">
        <f t="shared" si="108"/>
        <v>Pr142</v>
      </c>
    </row>
    <row r="1171" spans="2:11" hidden="1" x14ac:dyDescent="0.2">
      <c r="B1171" s="4">
        <v>59143</v>
      </c>
      <c r="C1171" s="4">
        <v>0</v>
      </c>
      <c r="D1171">
        <v>0</v>
      </c>
      <c r="E1171" t="str">
        <f>VLOOKUP(B1171,Nuclides!A:F,5,FALSE)</f>
        <v>Pr143</v>
      </c>
      <c r="F1171">
        <f>VLOOKUP(B1171,Nuclides!A:F,4,FALSE)</f>
        <v>1172448</v>
      </c>
      <c r="G1171" s="4" t="str">
        <f t="shared" si="104"/>
        <v>13.57d</v>
      </c>
      <c r="H1171" s="4">
        <f t="shared" si="105"/>
        <v>5.9119652262611673E-7</v>
      </c>
      <c r="I1171" s="4">
        <f t="shared" si="106"/>
        <v>0</v>
      </c>
      <c r="J1171" s="4">
        <f t="shared" si="107"/>
        <v>0</v>
      </c>
      <c r="K1171" s="4" t="str">
        <f t="shared" si="108"/>
        <v>Pr143</v>
      </c>
    </row>
    <row r="1172" spans="2:11" hidden="1" x14ac:dyDescent="0.2">
      <c r="B1172" s="4">
        <v>59144</v>
      </c>
      <c r="C1172" s="4">
        <v>0</v>
      </c>
      <c r="D1172">
        <v>0</v>
      </c>
      <c r="E1172" t="str">
        <f>VLOOKUP(B1172,Nuclides!A:F,5,FALSE)</f>
        <v>Pr144</v>
      </c>
      <c r="F1172">
        <f>VLOOKUP(B1172,Nuclides!A:F,4,FALSE)</f>
        <v>1036.8</v>
      </c>
      <c r="G1172" s="4" t="str">
        <f t="shared" si="104"/>
        <v>17.28min</v>
      </c>
      <c r="H1172" s="4">
        <f t="shared" si="105"/>
        <v>6.6854473433636697E-4</v>
      </c>
      <c r="I1172" s="4">
        <f t="shared" si="106"/>
        <v>0</v>
      </c>
      <c r="J1172" s="4">
        <f t="shared" si="107"/>
        <v>0</v>
      </c>
      <c r="K1172" s="4" t="str">
        <f t="shared" si="108"/>
        <v>Pr144</v>
      </c>
    </row>
    <row r="1173" spans="2:11" hidden="1" x14ac:dyDescent="0.2">
      <c r="B1173" s="4">
        <v>59145</v>
      </c>
      <c r="C1173" s="4">
        <v>0</v>
      </c>
      <c r="D1173">
        <v>0</v>
      </c>
      <c r="E1173" t="str">
        <f>VLOOKUP(B1173,Nuclides!A:F,5,FALSE)</f>
        <v>Pr145</v>
      </c>
      <c r="F1173">
        <f>VLOOKUP(B1173,Nuclides!A:F,4,FALSE)</f>
        <v>21542.400000000001</v>
      </c>
      <c r="G1173" s="4" t="str">
        <f t="shared" si="104"/>
        <v>5.98h</v>
      </c>
      <c r="H1173" s="4">
        <f t="shared" si="105"/>
        <v>3.2175949780894669E-5</v>
      </c>
      <c r="I1173" s="4">
        <f t="shared" si="106"/>
        <v>0</v>
      </c>
      <c r="J1173" s="4">
        <f t="shared" si="107"/>
        <v>0</v>
      </c>
      <c r="K1173" s="4" t="str">
        <f t="shared" si="108"/>
        <v>Pr145</v>
      </c>
    </row>
    <row r="1174" spans="2:11" hidden="1" x14ac:dyDescent="0.2">
      <c r="B1174" s="4">
        <v>59146</v>
      </c>
      <c r="C1174" s="4">
        <v>0</v>
      </c>
      <c r="D1174">
        <v>0</v>
      </c>
      <c r="E1174" t="str">
        <f>VLOOKUP(B1174,Nuclides!A:F,5,FALSE)</f>
        <v>Pr146</v>
      </c>
      <c r="F1174">
        <f>VLOOKUP(B1174,Nuclides!A:F,4,FALSE)</f>
        <v>1449</v>
      </c>
      <c r="G1174" s="4" t="str">
        <f t="shared" si="104"/>
        <v>24.15min</v>
      </c>
      <c r="H1174" s="4">
        <f t="shared" si="105"/>
        <v>4.7836244345061789E-4</v>
      </c>
      <c r="I1174" s="4">
        <f t="shared" si="106"/>
        <v>0</v>
      </c>
      <c r="J1174" s="4">
        <f t="shared" si="107"/>
        <v>0</v>
      </c>
      <c r="K1174" s="4" t="str">
        <f t="shared" si="108"/>
        <v>Pr146</v>
      </c>
    </row>
    <row r="1175" spans="2:11" hidden="1" x14ac:dyDescent="0.2">
      <c r="B1175" s="4">
        <v>59147</v>
      </c>
      <c r="C1175" s="4">
        <v>0</v>
      </c>
      <c r="D1175">
        <v>0</v>
      </c>
      <c r="E1175" t="str">
        <f>VLOOKUP(B1175,Nuclides!A:F,5,FALSE)</f>
        <v>Pr147</v>
      </c>
      <c r="F1175">
        <f>VLOOKUP(B1175,Nuclides!A:F,4,FALSE)</f>
        <v>804</v>
      </c>
      <c r="G1175" s="4" t="str">
        <f t="shared" si="104"/>
        <v>13.4min</v>
      </c>
      <c r="H1175" s="4">
        <f t="shared" si="105"/>
        <v>8.6212335890540454E-4</v>
      </c>
      <c r="I1175" s="4">
        <f t="shared" si="106"/>
        <v>0</v>
      </c>
      <c r="J1175" s="4">
        <f t="shared" si="107"/>
        <v>0</v>
      </c>
      <c r="K1175" s="4" t="str">
        <f t="shared" si="108"/>
        <v>Pr147</v>
      </c>
    </row>
    <row r="1176" spans="2:11" hidden="1" x14ac:dyDescent="0.2">
      <c r="B1176" s="4">
        <v>59148</v>
      </c>
      <c r="C1176" s="4">
        <v>0</v>
      </c>
      <c r="D1176">
        <v>0</v>
      </c>
      <c r="E1176" t="str">
        <f>VLOOKUP(B1176,Nuclides!A:F,5,FALSE)</f>
        <v>Pr148</v>
      </c>
      <c r="F1176">
        <f>VLOOKUP(B1176,Nuclides!A:F,4,FALSE)</f>
        <v>137.4</v>
      </c>
      <c r="G1176" s="4" t="str">
        <f t="shared" si="104"/>
        <v>2.29min</v>
      </c>
      <c r="H1176" s="4">
        <f t="shared" si="105"/>
        <v>5.0447393053853363E-3</v>
      </c>
      <c r="I1176" s="4">
        <f t="shared" si="106"/>
        <v>0</v>
      </c>
      <c r="J1176" s="4">
        <f t="shared" si="107"/>
        <v>0</v>
      </c>
      <c r="K1176" s="4" t="str">
        <f t="shared" si="108"/>
        <v>Pr148</v>
      </c>
    </row>
    <row r="1177" spans="2:11" hidden="1" x14ac:dyDescent="0.2">
      <c r="B1177" s="4">
        <v>59149</v>
      </c>
      <c r="C1177" s="4">
        <v>0</v>
      </c>
      <c r="D1177">
        <v>0</v>
      </c>
      <c r="E1177" t="str">
        <f>VLOOKUP(B1177,Nuclides!A:F,5,FALSE)</f>
        <v>Pr149</v>
      </c>
      <c r="F1177">
        <f>VLOOKUP(B1177,Nuclides!A:F,4,FALSE)</f>
        <v>135.6</v>
      </c>
      <c r="G1177" s="4" t="str">
        <f t="shared" si="104"/>
        <v>2.26min</v>
      </c>
      <c r="H1177" s="4">
        <f t="shared" si="105"/>
        <v>5.1117048713860275E-3</v>
      </c>
      <c r="I1177" s="4">
        <f t="shared" si="106"/>
        <v>0</v>
      </c>
      <c r="J1177" s="4">
        <f t="shared" si="107"/>
        <v>0</v>
      </c>
      <c r="K1177" s="4" t="str">
        <f t="shared" si="108"/>
        <v>Pr149</v>
      </c>
    </row>
    <row r="1178" spans="2:11" hidden="1" x14ac:dyDescent="0.2">
      <c r="B1178" s="4">
        <v>59150</v>
      </c>
      <c r="C1178" s="4">
        <v>0</v>
      </c>
      <c r="D1178">
        <v>0</v>
      </c>
      <c r="E1178" t="str">
        <f>VLOOKUP(B1178,Nuclides!A:F,5,FALSE)</f>
        <v>Pr150</v>
      </c>
      <c r="F1178">
        <f>VLOOKUP(B1178,Nuclides!A:F,4,FALSE)</f>
        <v>6.19</v>
      </c>
      <c r="G1178" s="4" t="str">
        <f t="shared" si="104"/>
        <v>6.19s</v>
      </c>
      <c r="H1178" s="4">
        <f t="shared" si="105"/>
        <v>0.11197854290144511</v>
      </c>
      <c r="I1178" s="4">
        <f t="shared" si="106"/>
        <v>0</v>
      </c>
      <c r="J1178" s="4">
        <f t="shared" si="107"/>
        <v>0</v>
      </c>
      <c r="K1178" s="4" t="str">
        <f t="shared" si="108"/>
        <v>Pr150</v>
      </c>
    </row>
    <row r="1179" spans="2:11" hidden="1" x14ac:dyDescent="0.2">
      <c r="B1179" s="4">
        <v>59151</v>
      </c>
      <c r="C1179" s="4">
        <v>0</v>
      </c>
      <c r="D1179">
        <v>0</v>
      </c>
      <c r="E1179" t="str">
        <f>VLOOKUP(B1179,Nuclides!A:F,5,FALSE)</f>
        <v>Pr151</v>
      </c>
      <c r="F1179">
        <f>VLOOKUP(B1179,Nuclides!A:F,4,FALSE)</f>
        <v>18.899999999999999</v>
      </c>
      <c r="G1179" s="4" t="str">
        <f t="shared" si="104"/>
        <v>18.9s</v>
      </c>
      <c r="H1179" s="4">
        <f t="shared" si="105"/>
        <v>3.6674453997880704E-2</v>
      </c>
      <c r="I1179" s="4">
        <f t="shared" si="106"/>
        <v>0</v>
      </c>
      <c r="J1179" s="4">
        <f t="shared" si="107"/>
        <v>0</v>
      </c>
      <c r="K1179" s="4" t="str">
        <f t="shared" si="108"/>
        <v>Pr151</v>
      </c>
    </row>
    <row r="1180" spans="2:11" hidden="1" x14ac:dyDescent="0.2">
      <c r="B1180" s="4">
        <v>59152</v>
      </c>
      <c r="C1180" s="4">
        <v>0</v>
      </c>
      <c r="D1180">
        <v>0</v>
      </c>
      <c r="E1180" t="str">
        <f>VLOOKUP(B1180,Nuclides!A:F,5,FALSE)</f>
        <v>Pr152</v>
      </c>
      <c r="F1180">
        <f>VLOOKUP(B1180,Nuclides!A:F,4,FALSE)</f>
        <v>3.57</v>
      </c>
      <c r="G1180" s="4" t="str">
        <f t="shared" si="104"/>
        <v>3.57s</v>
      </c>
      <c r="H1180" s="4">
        <f t="shared" si="105"/>
        <v>0.19415887410642726</v>
      </c>
      <c r="I1180" s="4">
        <f t="shared" si="106"/>
        <v>0</v>
      </c>
      <c r="J1180" s="4">
        <f t="shared" si="107"/>
        <v>0</v>
      </c>
      <c r="K1180" s="4" t="str">
        <f t="shared" si="108"/>
        <v>Pr152</v>
      </c>
    </row>
    <row r="1181" spans="2:11" hidden="1" x14ac:dyDescent="0.2">
      <c r="B1181" s="4">
        <v>60129</v>
      </c>
      <c r="C1181" s="4">
        <v>0</v>
      </c>
      <c r="D1181">
        <v>0</v>
      </c>
      <c r="E1181" t="str">
        <f>VLOOKUP(B1181,Nuclides!A:F,5,FALSE)</f>
        <v>Nd129</v>
      </c>
      <c r="F1181">
        <f>VLOOKUP(B1181,Nuclides!A:F,4,FALSE)</f>
        <v>6.7</v>
      </c>
      <c r="G1181" s="4" t="str">
        <f t="shared" si="104"/>
        <v>6.7s</v>
      </c>
      <c r="H1181" s="4">
        <f t="shared" si="105"/>
        <v>0.10345480306864854</v>
      </c>
      <c r="I1181" s="4">
        <f t="shared" si="106"/>
        <v>0</v>
      </c>
      <c r="J1181" s="4">
        <f t="shared" si="107"/>
        <v>0</v>
      </c>
      <c r="K1181" s="4" t="str">
        <f t="shared" si="108"/>
        <v>Nd129</v>
      </c>
    </row>
    <row r="1182" spans="2:11" hidden="1" x14ac:dyDescent="0.2">
      <c r="B1182" s="4">
        <v>60130</v>
      </c>
      <c r="C1182" s="4">
        <v>0</v>
      </c>
      <c r="D1182">
        <v>0</v>
      </c>
      <c r="E1182" t="str">
        <f>VLOOKUP(B1182,Nuclides!A:F,5,FALSE)</f>
        <v>Nd130</v>
      </c>
      <c r="F1182">
        <f>VLOOKUP(B1182,Nuclides!A:F,4,FALSE)</f>
        <v>21</v>
      </c>
      <c r="G1182" s="4" t="str">
        <f t="shared" si="104"/>
        <v>21s</v>
      </c>
      <c r="H1182" s="4">
        <f t="shared" si="105"/>
        <v>3.3007008598092635E-2</v>
      </c>
      <c r="I1182" s="4">
        <f t="shared" si="106"/>
        <v>0</v>
      </c>
      <c r="J1182" s="4">
        <f t="shared" si="107"/>
        <v>0</v>
      </c>
      <c r="K1182" s="4" t="str">
        <f t="shared" si="108"/>
        <v>Nd130</v>
      </c>
    </row>
    <row r="1183" spans="2:11" hidden="1" x14ac:dyDescent="0.2">
      <c r="B1183" s="4">
        <v>60131</v>
      </c>
      <c r="C1183" s="4">
        <v>0</v>
      </c>
      <c r="D1183">
        <v>0</v>
      </c>
      <c r="E1183" t="str">
        <f>VLOOKUP(B1183,Nuclides!A:F,5,FALSE)</f>
        <v>Nd131</v>
      </c>
      <c r="F1183">
        <f>VLOOKUP(B1183,Nuclides!A:F,4,FALSE)</f>
        <v>25.4</v>
      </c>
      <c r="G1183" s="4" t="str">
        <f t="shared" si="104"/>
        <v>25.4s</v>
      </c>
      <c r="H1183" s="4">
        <f t="shared" si="105"/>
        <v>2.7289259077163203E-2</v>
      </c>
      <c r="I1183" s="4">
        <f t="shared" si="106"/>
        <v>0</v>
      </c>
      <c r="J1183" s="4">
        <f t="shared" si="107"/>
        <v>0</v>
      </c>
      <c r="K1183" s="4" t="str">
        <f t="shared" si="108"/>
        <v>Nd131</v>
      </c>
    </row>
    <row r="1184" spans="2:11" hidden="1" x14ac:dyDescent="0.2">
      <c r="B1184" s="4">
        <v>60132</v>
      </c>
      <c r="C1184" s="4">
        <v>0</v>
      </c>
      <c r="D1184">
        <v>0</v>
      </c>
      <c r="E1184" t="str">
        <f>VLOOKUP(B1184,Nuclides!A:F,5,FALSE)</f>
        <v>Nd132</v>
      </c>
      <c r="F1184">
        <f>VLOOKUP(B1184,Nuclides!A:F,4,FALSE)</f>
        <v>94</v>
      </c>
      <c r="G1184" s="4" t="str">
        <f t="shared" si="104"/>
        <v>1.57min</v>
      </c>
      <c r="H1184" s="4">
        <f t="shared" si="105"/>
        <v>7.3739061761696305E-3</v>
      </c>
      <c r="I1184" s="4">
        <f t="shared" si="106"/>
        <v>0</v>
      </c>
      <c r="J1184" s="4">
        <f t="shared" si="107"/>
        <v>0</v>
      </c>
      <c r="K1184" s="4" t="str">
        <f t="shared" si="108"/>
        <v>Nd132</v>
      </c>
    </row>
    <row r="1185" spans="2:11" hidden="1" x14ac:dyDescent="0.2">
      <c r="B1185" s="4">
        <v>60133</v>
      </c>
      <c r="C1185" s="4">
        <v>0</v>
      </c>
      <c r="D1185">
        <v>0</v>
      </c>
      <c r="E1185" t="str">
        <f>VLOOKUP(B1185,Nuclides!A:F,5,FALSE)</f>
        <v>Nd133</v>
      </c>
      <c r="F1185">
        <f>VLOOKUP(B1185,Nuclides!A:F,4,FALSE)</f>
        <v>70</v>
      </c>
      <c r="G1185" s="4" t="str">
        <f t="shared" si="104"/>
        <v>1.17min</v>
      </c>
      <c r="H1185" s="4">
        <f t="shared" si="105"/>
        <v>9.9021025794277899E-3</v>
      </c>
      <c r="I1185" s="4">
        <f t="shared" si="106"/>
        <v>0</v>
      </c>
      <c r="J1185" s="4">
        <f t="shared" si="107"/>
        <v>0</v>
      </c>
      <c r="K1185" s="4" t="str">
        <f t="shared" si="108"/>
        <v>Nd133</v>
      </c>
    </row>
    <row r="1186" spans="2:11" hidden="1" x14ac:dyDescent="0.2">
      <c r="B1186" s="4">
        <v>60134</v>
      </c>
      <c r="C1186" s="4">
        <v>0</v>
      </c>
      <c r="D1186">
        <v>0</v>
      </c>
      <c r="E1186" t="str">
        <f>VLOOKUP(B1186,Nuclides!A:F,5,FALSE)</f>
        <v>Nd134</v>
      </c>
      <c r="F1186">
        <f>VLOOKUP(B1186,Nuclides!A:F,4,FALSE)</f>
        <v>510</v>
      </c>
      <c r="G1186" s="4" t="str">
        <f t="shared" si="104"/>
        <v>8.5min</v>
      </c>
      <c r="H1186" s="4">
        <f t="shared" si="105"/>
        <v>1.3591121187449908E-3</v>
      </c>
      <c r="I1186" s="4">
        <f t="shared" si="106"/>
        <v>0</v>
      </c>
      <c r="J1186" s="4">
        <f t="shared" si="107"/>
        <v>0</v>
      </c>
      <c r="K1186" s="4" t="str">
        <f t="shared" si="108"/>
        <v>Nd134</v>
      </c>
    </row>
    <row r="1187" spans="2:11" hidden="1" x14ac:dyDescent="0.2">
      <c r="B1187" s="4">
        <v>60135</v>
      </c>
      <c r="C1187" s="4">
        <v>0</v>
      </c>
      <c r="D1187">
        <v>0</v>
      </c>
      <c r="E1187" t="str">
        <f>VLOOKUP(B1187,Nuclides!A:F,5,FALSE)</f>
        <v>Nd135</v>
      </c>
      <c r="F1187">
        <f>VLOOKUP(B1187,Nuclides!A:F,4,FALSE)</f>
        <v>744</v>
      </c>
      <c r="G1187" s="4" t="str">
        <f t="shared" si="104"/>
        <v>12.4min</v>
      </c>
      <c r="H1187" s="4">
        <f t="shared" si="105"/>
        <v>9.3164943623648563E-4</v>
      </c>
      <c r="I1187" s="4">
        <f t="shared" si="106"/>
        <v>0</v>
      </c>
      <c r="J1187" s="4">
        <f t="shared" si="107"/>
        <v>0</v>
      </c>
      <c r="K1187" s="4" t="str">
        <f t="shared" si="108"/>
        <v>Nd135</v>
      </c>
    </row>
    <row r="1188" spans="2:11" hidden="1" x14ac:dyDescent="0.2">
      <c r="B1188" s="4">
        <v>60136</v>
      </c>
      <c r="C1188" s="4">
        <v>0</v>
      </c>
      <c r="D1188">
        <v>0</v>
      </c>
      <c r="E1188" t="str">
        <f>VLOOKUP(B1188,Nuclides!A:F,5,FALSE)</f>
        <v>Nd136</v>
      </c>
      <c r="F1188">
        <f>VLOOKUP(B1188,Nuclides!A:F,4,FALSE)</f>
        <v>3039</v>
      </c>
      <c r="G1188" s="4" t="str">
        <f t="shared" si="104"/>
        <v>50.65min</v>
      </c>
      <c r="H1188" s="4">
        <f t="shared" si="105"/>
        <v>2.2808396859491455E-4</v>
      </c>
      <c r="I1188" s="4">
        <f t="shared" si="106"/>
        <v>0</v>
      </c>
      <c r="J1188" s="4">
        <f t="shared" si="107"/>
        <v>0</v>
      </c>
      <c r="K1188" s="4" t="str">
        <f t="shared" si="108"/>
        <v>Nd136</v>
      </c>
    </row>
    <row r="1189" spans="2:11" hidden="1" x14ac:dyDescent="0.2">
      <c r="B1189" s="4">
        <v>60137</v>
      </c>
      <c r="C1189" s="4">
        <v>0</v>
      </c>
      <c r="D1189">
        <v>0</v>
      </c>
      <c r="E1189" t="str">
        <f>VLOOKUP(B1189,Nuclides!A:F,5,FALSE)</f>
        <v>Nd137</v>
      </c>
      <c r="F1189">
        <f>VLOOKUP(B1189,Nuclides!A:F,4,FALSE)</f>
        <v>2310</v>
      </c>
      <c r="G1189" s="4" t="str">
        <f t="shared" si="104"/>
        <v>38.5min</v>
      </c>
      <c r="H1189" s="4">
        <f t="shared" si="105"/>
        <v>3.0006371452811483E-4</v>
      </c>
      <c r="I1189" s="4">
        <f t="shared" si="106"/>
        <v>0</v>
      </c>
      <c r="J1189" s="4">
        <f t="shared" si="107"/>
        <v>0</v>
      </c>
      <c r="K1189" s="4" t="str">
        <f t="shared" si="108"/>
        <v>Nd137</v>
      </c>
    </row>
    <row r="1190" spans="2:11" hidden="1" x14ac:dyDescent="0.2">
      <c r="B1190" s="4">
        <v>60138</v>
      </c>
      <c r="C1190" s="4">
        <v>0</v>
      </c>
      <c r="D1190">
        <v>0</v>
      </c>
      <c r="E1190" t="str">
        <f>VLOOKUP(B1190,Nuclides!A:F,5,FALSE)</f>
        <v>Nd138</v>
      </c>
      <c r="F1190">
        <f>VLOOKUP(B1190,Nuclides!A:F,4,FALSE)</f>
        <v>18144</v>
      </c>
      <c r="G1190" s="4" t="str">
        <f t="shared" si="104"/>
        <v>5.04h</v>
      </c>
      <c r="H1190" s="4">
        <f t="shared" si="105"/>
        <v>3.8202556247792399E-5</v>
      </c>
      <c r="I1190" s="4">
        <f t="shared" si="106"/>
        <v>0</v>
      </c>
      <c r="J1190" s="4">
        <f t="shared" si="107"/>
        <v>0</v>
      </c>
      <c r="K1190" s="4" t="str">
        <f t="shared" si="108"/>
        <v>Nd138</v>
      </c>
    </row>
    <row r="1191" spans="2:11" hidden="1" x14ac:dyDescent="0.2">
      <c r="B1191" s="4">
        <v>60139</v>
      </c>
      <c r="C1191" s="4">
        <v>0</v>
      </c>
      <c r="D1191">
        <v>0</v>
      </c>
      <c r="E1191" t="str">
        <f>VLOOKUP(B1191,Nuclides!A:F,5,FALSE)</f>
        <v>Nd139</v>
      </c>
      <c r="F1191">
        <f>VLOOKUP(B1191,Nuclides!A:F,4,FALSE)</f>
        <v>1782</v>
      </c>
      <c r="G1191" s="4" t="str">
        <f t="shared" si="104"/>
        <v>29.7min</v>
      </c>
      <c r="H1191" s="4">
        <f t="shared" si="105"/>
        <v>3.8897148179570441E-4</v>
      </c>
      <c r="I1191" s="4">
        <f t="shared" si="106"/>
        <v>0</v>
      </c>
      <c r="J1191" s="4">
        <f t="shared" si="107"/>
        <v>0</v>
      </c>
      <c r="K1191" s="4" t="str">
        <f t="shared" si="108"/>
        <v>Nd139</v>
      </c>
    </row>
    <row r="1192" spans="2:11" hidden="1" x14ac:dyDescent="0.2">
      <c r="B1192" s="4">
        <v>60140</v>
      </c>
      <c r="C1192" s="4">
        <v>0</v>
      </c>
      <c r="D1192">
        <v>0</v>
      </c>
      <c r="E1192" t="str">
        <f>VLOOKUP(B1192,Nuclides!A:F,5,FALSE)</f>
        <v>Nd140</v>
      </c>
      <c r="F1192">
        <f>VLOOKUP(B1192,Nuclides!A:F,4,FALSE)</f>
        <v>291168</v>
      </c>
      <c r="G1192" s="4" t="str">
        <f t="shared" si="104"/>
        <v>3.37d</v>
      </c>
      <c r="H1192" s="4">
        <f t="shared" si="105"/>
        <v>2.3805747216725232E-6</v>
      </c>
      <c r="I1192" s="4">
        <f t="shared" si="106"/>
        <v>0</v>
      </c>
      <c r="J1192" s="4">
        <f t="shared" si="107"/>
        <v>0</v>
      </c>
      <c r="K1192" s="4" t="str">
        <f t="shared" si="108"/>
        <v>Nd140</v>
      </c>
    </row>
    <row r="1193" spans="2:11" hidden="1" x14ac:dyDescent="0.2">
      <c r="B1193" s="4">
        <v>60141</v>
      </c>
      <c r="C1193" s="4">
        <v>0</v>
      </c>
      <c r="D1193">
        <v>0</v>
      </c>
      <c r="E1193" t="str">
        <f>VLOOKUP(B1193,Nuclides!A:F,5,FALSE)</f>
        <v>Nd141</v>
      </c>
      <c r="F1193">
        <f>VLOOKUP(B1193,Nuclides!A:F,4,FALSE)</f>
        <v>8964</v>
      </c>
      <c r="G1193" s="4" t="str">
        <f t="shared" si="104"/>
        <v>2.49h</v>
      </c>
      <c r="H1193" s="4">
        <f t="shared" si="105"/>
        <v>7.7325656019627993E-5</v>
      </c>
      <c r="I1193" s="4">
        <f t="shared" si="106"/>
        <v>0</v>
      </c>
      <c r="J1193" s="4">
        <f t="shared" si="107"/>
        <v>0</v>
      </c>
      <c r="K1193" s="4" t="str">
        <f t="shared" si="108"/>
        <v>Nd141</v>
      </c>
    </row>
    <row r="1194" spans="2:11" hidden="1" x14ac:dyDescent="0.2">
      <c r="B1194" s="4">
        <v>60142</v>
      </c>
      <c r="C1194" s="4">
        <v>0</v>
      </c>
      <c r="D1194">
        <v>0</v>
      </c>
      <c r="E1194" t="str">
        <f>VLOOKUP(B1194,Nuclides!A:F,5,FALSE)</f>
        <v>Nd142</v>
      </c>
      <c r="F1194" t="str">
        <f>VLOOKUP(B1194,Nuclides!A:F,4,FALSE)</f>
        <v>STABLE</v>
      </c>
      <c r="G1194" s="4" t="str">
        <f t="shared" si="104"/>
        <v>STABLE</v>
      </c>
      <c r="H1194" s="4" t="e">
        <f t="shared" si="105"/>
        <v>#VALUE!</v>
      </c>
      <c r="I1194" s="4" t="e">
        <f t="shared" si="106"/>
        <v>#VALUE!</v>
      </c>
      <c r="J1194" s="4" t="e">
        <f t="shared" si="107"/>
        <v>#VALUE!</v>
      </c>
      <c r="K1194" s="4" t="str">
        <f t="shared" si="108"/>
        <v>Nd142</v>
      </c>
    </row>
    <row r="1195" spans="2:11" hidden="1" x14ac:dyDescent="0.2">
      <c r="B1195" s="4">
        <v>60143</v>
      </c>
      <c r="C1195" s="4">
        <v>0</v>
      </c>
      <c r="D1195">
        <v>0</v>
      </c>
      <c r="E1195" t="str">
        <f>VLOOKUP(B1195,Nuclides!A:F,5,FALSE)</f>
        <v>Nd143</v>
      </c>
      <c r="F1195" t="str">
        <f>VLOOKUP(B1195,Nuclides!A:F,4,FALSE)</f>
        <v>STABLE</v>
      </c>
      <c r="G1195" s="4" t="str">
        <f t="shared" si="104"/>
        <v>STABLE</v>
      </c>
      <c r="H1195" s="4" t="e">
        <f t="shared" si="105"/>
        <v>#VALUE!</v>
      </c>
      <c r="I1195" s="4" t="e">
        <f t="shared" si="106"/>
        <v>#VALUE!</v>
      </c>
      <c r="J1195" s="4" t="e">
        <f t="shared" si="107"/>
        <v>#VALUE!</v>
      </c>
      <c r="K1195" s="4" t="str">
        <f t="shared" si="108"/>
        <v>Nd143</v>
      </c>
    </row>
    <row r="1196" spans="2:11" hidden="1" x14ac:dyDescent="0.2">
      <c r="B1196" s="4">
        <v>60144</v>
      </c>
      <c r="C1196" s="4">
        <v>0</v>
      </c>
      <c r="D1196">
        <v>0</v>
      </c>
      <c r="E1196" t="str">
        <f>VLOOKUP(B1196,Nuclides!A:F,5,FALSE)</f>
        <v>Nd144</v>
      </c>
      <c r="F1196">
        <f>VLOOKUP(B1196,Nuclides!A:F,4,FALSE)</f>
        <v>7.2266904000000002E+22</v>
      </c>
      <c r="G1196" s="4" t="str">
        <f t="shared" si="104"/>
        <v>2291568493150680y</v>
      </c>
      <c r="H1196" s="4">
        <f t="shared" si="105"/>
        <v>9.5914885264760378E-24</v>
      </c>
      <c r="I1196" s="4">
        <f t="shared" si="106"/>
        <v>0</v>
      </c>
      <c r="J1196" s="4">
        <f t="shared" si="107"/>
        <v>0</v>
      </c>
      <c r="K1196" s="4" t="str">
        <f t="shared" si="108"/>
        <v>Nd144</v>
      </c>
    </row>
    <row r="1197" spans="2:11" hidden="1" x14ac:dyDescent="0.2">
      <c r="B1197" s="4">
        <v>60145</v>
      </c>
      <c r="C1197" s="4">
        <v>0</v>
      </c>
      <c r="D1197">
        <v>0</v>
      </c>
      <c r="E1197" t="str">
        <f>VLOOKUP(B1197,Nuclides!A:F,5,FALSE)</f>
        <v>Nd145</v>
      </c>
      <c r="F1197" t="str">
        <f>VLOOKUP(B1197,Nuclides!A:F,4,FALSE)</f>
        <v>STABLE</v>
      </c>
      <c r="G1197" s="4" t="str">
        <f t="shared" si="104"/>
        <v>STABLE</v>
      </c>
      <c r="H1197" s="4" t="e">
        <f t="shared" si="105"/>
        <v>#VALUE!</v>
      </c>
      <c r="I1197" s="4" t="e">
        <f t="shared" si="106"/>
        <v>#VALUE!</v>
      </c>
      <c r="J1197" s="4" t="e">
        <f t="shared" si="107"/>
        <v>#VALUE!</v>
      </c>
      <c r="K1197" s="4" t="str">
        <f t="shared" si="108"/>
        <v>Nd145</v>
      </c>
    </row>
    <row r="1198" spans="2:11" hidden="1" x14ac:dyDescent="0.2">
      <c r="B1198" s="4">
        <v>60146</v>
      </c>
      <c r="C1198" s="4">
        <v>0</v>
      </c>
      <c r="D1198">
        <v>0</v>
      </c>
      <c r="E1198" t="str">
        <f>VLOOKUP(B1198,Nuclides!A:F,5,FALSE)</f>
        <v>Nd146</v>
      </c>
      <c r="F1198" t="str">
        <f>VLOOKUP(B1198,Nuclides!A:F,4,FALSE)</f>
        <v>STABLE</v>
      </c>
      <c r="G1198" s="4" t="str">
        <f t="shared" si="104"/>
        <v>STABLE</v>
      </c>
      <c r="H1198" s="4" t="e">
        <f t="shared" si="105"/>
        <v>#VALUE!</v>
      </c>
      <c r="I1198" s="4" t="e">
        <f t="shared" si="106"/>
        <v>#VALUE!</v>
      </c>
      <c r="J1198" s="4" t="e">
        <f t="shared" si="107"/>
        <v>#VALUE!</v>
      </c>
      <c r="K1198" s="4" t="str">
        <f t="shared" si="108"/>
        <v>Nd146</v>
      </c>
    </row>
    <row r="1199" spans="2:11" hidden="1" x14ac:dyDescent="0.2">
      <c r="B1199" s="4">
        <v>60147</v>
      </c>
      <c r="C1199" s="4">
        <v>0</v>
      </c>
      <c r="D1199">
        <v>0</v>
      </c>
      <c r="E1199" t="str">
        <f>VLOOKUP(B1199,Nuclides!A:F,5,FALSE)</f>
        <v>Nd147</v>
      </c>
      <c r="F1199">
        <f>VLOOKUP(B1199,Nuclides!A:F,4,FALSE)</f>
        <v>948672</v>
      </c>
      <c r="G1199" s="4" t="str">
        <f t="shared" si="104"/>
        <v>10.98d</v>
      </c>
      <c r="H1199" s="4">
        <f t="shared" si="105"/>
        <v>7.306499828812754E-7</v>
      </c>
      <c r="I1199" s="4">
        <f t="shared" si="106"/>
        <v>0</v>
      </c>
      <c r="J1199" s="4">
        <f t="shared" si="107"/>
        <v>0</v>
      </c>
      <c r="K1199" s="4" t="str">
        <f t="shared" si="108"/>
        <v>Nd147</v>
      </c>
    </row>
    <row r="1200" spans="2:11" hidden="1" x14ac:dyDescent="0.2">
      <c r="B1200" s="4">
        <v>60148</v>
      </c>
      <c r="C1200" s="4">
        <v>0</v>
      </c>
      <c r="D1200">
        <v>0</v>
      </c>
      <c r="E1200" t="str">
        <f>VLOOKUP(B1200,Nuclides!A:F,5,FALSE)</f>
        <v>Nd148</v>
      </c>
      <c r="F1200" t="str">
        <f>VLOOKUP(B1200,Nuclides!A:F,4,FALSE)</f>
        <v>STABLE</v>
      </c>
      <c r="G1200" s="4" t="str">
        <f t="shared" si="104"/>
        <v>STABLE</v>
      </c>
      <c r="H1200" s="4" t="e">
        <f t="shared" si="105"/>
        <v>#VALUE!</v>
      </c>
      <c r="I1200" s="4" t="e">
        <f t="shared" si="106"/>
        <v>#VALUE!</v>
      </c>
      <c r="J1200" s="4" t="e">
        <f t="shared" si="107"/>
        <v>#VALUE!</v>
      </c>
      <c r="K1200" s="4" t="str">
        <f t="shared" si="108"/>
        <v>Nd148</v>
      </c>
    </row>
    <row r="1201" spans="2:11" hidden="1" x14ac:dyDescent="0.2">
      <c r="B1201" s="4">
        <v>60149</v>
      </c>
      <c r="C1201" s="4">
        <v>0</v>
      </c>
      <c r="D1201">
        <v>0</v>
      </c>
      <c r="E1201" t="str">
        <f>VLOOKUP(B1201,Nuclides!A:F,5,FALSE)</f>
        <v>Nd149</v>
      </c>
      <c r="F1201">
        <f>VLOOKUP(B1201,Nuclides!A:F,4,FALSE)</f>
        <v>6220.8</v>
      </c>
      <c r="G1201" s="4" t="str">
        <f t="shared" si="104"/>
        <v>1.73h</v>
      </c>
      <c r="H1201" s="4">
        <f t="shared" si="105"/>
        <v>1.114241223893945E-4</v>
      </c>
      <c r="I1201" s="4">
        <f t="shared" si="106"/>
        <v>0</v>
      </c>
      <c r="J1201" s="4">
        <f t="shared" si="107"/>
        <v>0</v>
      </c>
      <c r="K1201" s="4" t="str">
        <f t="shared" si="108"/>
        <v>Nd149</v>
      </c>
    </row>
    <row r="1202" spans="2:11" hidden="1" x14ac:dyDescent="0.2">
      <c r="B1202" s="4">
        <v>60150</v>
      </c>
      <c r="C1202" s="4">
        <v>0</v>
      </c>
      <c r="D1202">
        <v>0</v>
      </c>
      <c r="E1202" t="str">
        <f>VLOOKUP(B1202,Nuclides!A:F,5,FALSE)</f>
        <v>Nd150</v>
      </c>
      <c r="F1202">
        <f>VLOOKUP(B1202,Nuclides!A:F,4,FALSE)</f>
        <v>2.8717416000000001E+26</v>
      </c>
      <c r="G1202" s="4" t="str">
        <f t="shared" si="104"/>
        <v>9106232876712330000y</v>
      </c>
      <c r="H1202" s="4">
        <f t="shared" si="105"/>
        <v>2.4136822775417722E-27</v>
      </c>
      <c r="I1202" s="4">
        <f t="shared" si="106"/>
        <v>0</v>
      </c>
      <c r="J1202" s="4">
        <f t="shared" si="107"/>
        <v>0</v>
      </c>
      <c r="K1202" s="4" t="str">
        <f t="shared" si="108"/>
        <v>Nd150</v>
      </c>
    </row>
    <row r="1203" spans="2:11" hidden="1" x14ac:dyDescent="0.2">
      <c r="B1203" s="4">
        <v>60151</v>
      </c>
      <c r="C1203" s="4">
        <v>0</v>
      </c>
      <c r="D1203">
        <v>0</v>
      </c>
      <c r="E1203" t="str">
        <f>VLOOKUP(B1203,Nuclides!A:F,5,FALSE)</f>
        <v>Nd151</v>
      </c>
      <c r="F1203">
        <f>VLOOKUP(B1203,Nuclides!A:F,4,FALSE)</f>
        <v>746.4</v>
      </c>
      <c r="G1203" s="4" t="str">
        <f t="shared" si="104"/>
        <v>12.44min</v>
      </c>
      <c r="H1203" s="4">
        <f t="shared" si="105"/>
        <v>9.2865377888524286E-4</v>
      </c>
      <c r="I1203" s="4">
        <f t="shared" si="106"/>
        <v>0</v>
      </c>
      <c r="J1203" s="4">
        <f t="shared" si="107"/>
        <v>0</v>
      </c>
      <c r="K1203" s="4" t="str">
        <f t="shared" si="108"/>
        <v>Nd151</v>
      </c>
    </row>
    <row r="1204" spans="2:11" hidden="1" x14ac:dyDescent="0.2">
      <c r="B1204" s="4">
        <v>60152</v>
      </c>
      <c r="C1204" s="4">
        <v>0</v>
      </c>
      <c r="D1204">
        <v>0</v>
      </c>
      <c r="E1204" t="str">
        <f>VLOOKUP(B1204,Nuclides!A:F,5,FALSE)</f>
        <v>Nd152</v>
      </c>
      <c r="F1204">
        <f>VLOOKUP(B1204,Nuclides!A:F,4,FALSE)</f>
        <v>684</v>
      </c>
      <c r="G1204" s="4" t="str">
        <f t="shared" si="104"/>
        <v>11.4min</v>
      </c>
      <c r="H1204" s="4">
        <f t="shared" si="105"/>
        <v>1.0133730709940721E-3</v>
      </c>
      <c r="I1204" s="4">
        <f t="shared" si="106"/>
        <v>0</v>
      </c>
      <c r="J1204" s="4">
        <f t="shared" si="107"/>
        <v>0</v>
      </c>
      <c r="K1204" s="4" t="str">
        <f t="shared" si="108"/>
        <v>Nd152</v>
      </c>
    </row>
    <row r="1205" spans="2:11" hidden="1" x14ac:dyDescent="0.2">
      <c r="B1205" s="4">
        <v>60153</v>
      </c>
      <c r="C1205" s="4">
        <v>0</v>
      </c>
      <c r="D1205">
        <v>0</v>
      </c>
      <c r="E1205" t="str">
        <f>VLOOKUP(B1205,Nuclides!A:F,5,FALSE)</f>
        <v>Nd153</v>
      </c>
      <c r="F1205">
        <f>VLOOKUP(B1205,Nuclides!A:F,4,FALSE)</f>
        <v>31.6</v>
      </c>
      <c r="G1205" s="4" t="str">
        <f t="shared" si="104"/>
        <v>31.6s</v>
      </c>
      <c r="H1205" s="4">
        <f t="shared" si="105"/>
        <v>2.1935037359491937E-2</v>
      </c>
      <c r="I1205" s="4">
        <f t="shared" si="106"/>
        <v>0</v>
      </c>
      <c r="J1205" s="4">
        <f t="shared" si="107"/>
        <v>0</v>
      </c>
      <c r="K1205" s="4" t="str">
        <f t="shared" si="108"/>
        <v>Nd153</v>
      </c>
    </row>
    <row r="1206" spans="2:11" hidden="1" x14ac:dyDescent="0.2">
      <c r="B1206" s="4">
        <v>60154</v>
      </c>
      <c r="C1206" s="4">
        <v>0</v>
      </c>
      <c r="D1206">
        <v>0</v>
      </c>
      <c r="E1206" t="str">
        <f>VLOOKUP(B1206,Nuclides!A:F,5,FALSE)</f>
        <v>Nd154</v>
      </c>
      <c r="F1206">
        <f>VLOOKUP(B1206,Nuclides!A:F,4,FALSE)</f>
        <v>25.9</v>
      </c>
      <c r="G1206" s="4" t="str">
        <f t="shared" si="104"/>
        <v>25.9s</v>
      </c>
      <c r="H1206" s="4">
        <f t="shared" si="105"/>
        <v>2.6762439403858893E-2</v>
      </c>
      <c r="I1206" s="4">
        <f t="shared" si="106"/>
        <v>0</v>
      </c>
      <c r="J1206" s="4">
        <f t="shared" si="107"/>
        <v>0</v>
      </c>
      <c r="K1206" s="4" t="str">
        <f t="shared" si="108"/>
        <v>Nd154</v>
      </c>
    </row>
    <row r="1207" spans="2:11" hidden="1" x14ac:dyDescent="0.2">
      <c r="B1207" s="4">
        <v>61132</v>
      </c>
      <c r="C1207" s="4">
        <v>0</v>
      </c>
      <c r="D1207">
        <v>0</v>
      </c>
      <c r="E1207" t="str">
        <f>VLOOKUP(B1207,Nuclides!A:F,5,FALSE)</f>
        <v>Pm132</v>
      </c>
      <c r="F1207">
        <f>VLOOKUP(B1207,Nuclides!A:F,4,FALSE)</f>
        <v>6.2</v>
      </c>
      <c r="G1207" s="4" t="str">
        <f t="shared" si="104"/>
        <v>6.2s</v>
      </c>
      <c r="H1207" s="4">
        <f t="shared" si="105"/>
        <v>0.11179793234837827</v>
      </c>
      <c r="I1207" s="4">
        <f t="shared" si="106"/>
        <v>0</v>
      </c>
      <c r="J1207" s="4">
        <f t="shared" si="107"/>
        <v>0</v>
      </c>
      <c r="K1207" s="4" t="str">
        <f t="shared" si="108"/>
        <v>Pm132</v>
      </c>
    </row>
    <row r="1208" spans="2:11" hidden="1" x14ac:dyDescent="0.2">
      <c r="B1208" s="4">
        <v>61133</v>
      </c>
      <c r="C1208" s="4">
        <v>0</v>
      </c>
      <c r="D1208">
        <v>0</v>
      </c>
      <c r="E1208" t="str">
        <f>VLOOKUP(B1208,Nuclides!A:F,5,FALSE)</f>
        <v>Pm133</v>
      </c>
      <c r="F1208">
        <f>VLOOKUP(B1208,Nuclides!A:F,4,FALSE)</f>
        <v>13.5</v>
      </c>
      <c r="G1208" s="4" t="str">
        <f t="shared" si="104"/>
        <v>13.5s</v>
      </c>
      <c r="H1208" s="4">
        <f t="shared" si="105"/>
        <v>5.1344235597032988E-2</v>
      </c>
      <c r="I1208" s="4">
        <f t="shared" si="106"/>
        <v>0</v>
      </c>
      <c r="J1208" s="4">
        <f t="shared" si="107"/>
        <v>0</v>
      </c>
      <c r="K1208" s="4" t="str">
        <f t="shared" si="108"/>
        <v>Pm133</v>
      </c>
    </row>
    <row r="1209" spans="2:11" hidden="1" x14ac:dyDescent="0.2">
      <c r="B1209" s="4">
        <v>61134</v>
      </c>
      <c r="C1209" s="4">
        <v>0</v>
      </c>
      <c r="D1209">
        <v>0</v>
      </c>
      <c r="E1209" t="str">
        <f>VLOOKUP(B1209,Nuclides!A:F,5,FALSE)</f>
        <v>Pm134</v>
      </c>
      <c r="F1209">
        <f>VLOOKUP(B1209,Nuclides!A:F,4,FALSE)</f>
        <v>5</v>
      </c>
      <c r="G1209" s="4" t="str">
        <f t="shared" si="104"/>
        <v>5s</v>
      </c>
      <c r="H1209" s="4">
        <f t="shared" si="105"/>
        <v>0.13862943611198905</v>
      </c>
      <c r="I1209" s="4">
        <f t="shared" si="106"/>
        <v>0</v>
      </c>
      <c r="J1209" s="4">
        <f t="shared" si="107"/>
        <v>0</v>
      </c>
      <c r="K1209" s="4" t="str">
        <f t="shared" si="108"/>
        <v>Pm134</v>
      </c>
    </row>
    <row r="1210" spans="2:11" hidden="1" x14ac:dyDescent="0.2">
      <c r="B1210" s="4">
        <v>61135</v>
      </c>
      <c r="C1210" s="4">
        <v>0</v>
      </c>
      <c r="D1210">
        <v>0</v>
      </c>
      <c r="E1210" t="str">
        <f>VLOOKUP(B1210,Nuclides!A:F,5,FALSE)</f>
        <v>Pm135</v>
      </c>
      <c r="F1210">
        <f>VLOOKUP(B1210,Nuclides!A:F,4,FALSE)</f>
        <v>49</v>
      </c>
      <c r="G1210" s="4" t="str">
        <f t="shared" si="104"/>
        <v>49s</v>
      </c>
      <c r="H1210" s="4">
        <f t="shared" si="105"/>
        <v>1.4145860827753985E-2</v>
      </c>
      <c r="I1210" s="4">
        <f t="shared" si="106"/>
        <v>0</v>
      </c>
      <c r="J1210" s="4">
        <f t="shared" si="107"/>
        <v>0</v>
      </c>
      <c r="K1210" s="4" t="str">
        <f t="shared" si="108"/>
        <v>Pm135</v>
      </c>
    </row>
    <row r="1211" spans="2:11" hidden="1" x14ac:dyDescent="0.2">
      <c r="B1211" s="4">
        <v>61136</v>
      </c>
      <c r="C1211" s="4">
        <v>0</v>
      </c>
      <c r="D1211">
        <v>0</v>
      </c>
      <c r="E1211" t="str">
        <f>VLOOKUP(B1211,Nuclides!A:F,5,FALSE)</f>
        <v>Pm136</v>
      </c>
      <c r="F1211">
        <f>VLOOKUP(B1211,Nuclides!A:F,4,FALSE)</f>
        <v>107</v>
      </c>
      <c r="G1211" s="4" t="str">
        <f t="shared" si="104"/>
        <v>1.78min</v>
      </c>
      <c r="H1211" s="4">
        <f t="shared" si="105"/>
        <v>6.4780110332705171E-3</v>
      </c>
      <c r="I1211" s="4">
        <f t="shared" si="106"/>
        <v>0</v>
      </c>
      <c r="J1211" s="4">
        <f t="shared" si="107"/>
        <v>0</v>
      </c>
      <c r="K1211" s="4" t="str">
        <f t="shared" si="108"/>
        <v>Pm136</v>
      </c>
    </row>
    <row r="1212" spans="2:11" hidden="1" x14ac:dyDescent="0.2">
      <c r="B1212" s="4">
        <v>61137</v>
      </c>
      <c r="C1212" s="4">
        <v>0</v>
      </c>
      <c r="D1212">
        <v>0</v>
      </c>
      <c r="E1212" t="str">
        <f>VLOOKUP(B1212,Nuclides!A:F,5,FALSE)</f>
        <v>Pm137</v>
      </c>
      <c r="F1212">
        <f>VLOOKUP(B1212,Nuclides!A:F,4,FALSE)</f>
        <v>144</v>
      </c>
      <c r="G1212" s="4" t="str">
        <f t="shared" si="104"/>
        <v>2.4min</v>
      </c>
      <c r="H1212" s="4">
        <f t="shared" si="105"/>
        <v>4.8135220872218424E-3</v>
      </c>
      <c r="I1212" s="4">
        <f t="shared" si="106"/>
        <v>0</v>
      </c>
      <c r="J1212" s="4">
        <f t="shared" si="107"/>
        <v>0</v>
      </c>
      <c r="K1212" s="4" t="str">
        <f t="shared" si="108"/>
        <v>Pm137</v>
      </c>
    </row>
    <row r="1213" spans="2:11" hidden="1" x14ac:dyDescent="0.2">
      <c r="B1213" s="4">
        <v>61138</v>
      </c>
      <c r="C1213" s="4">
        <v>0</v>
      </c>
      <c r="D1213">
        <v>0</v>
      </c>
      <c r="E1213" t="str">
        <f>VLOOKUP(B1213,Nuclides!A:F,5,FALSE)</f>
        <v>Pm138</v>
      </c>
      <c r="F1213">
        <f>VLOOKUP(B1213,Nuclides!A:F,4,FALSE)</f>
        <v>10</v>
      </c>
      <c r="G1213" s="4" t="str">
        <f t="shared" si="104"/>
        <v>10s</v>
      </c>
      <c r="H1213" s="4">
        <f t="shared" si="105"/>
        <v>6.9314718055994526E-2</v>
      </c>
      <c r="I1213" s="4">
        <f t="shared" si="106"/>
        <v>0</v>
      </c>
      <c r="J1213" s="4">
        <f t="shared" si="107"/>
        <v>0</v>
      </c>
      <c r="K1213" s="4" t="str">
        <f t="shared" si="108"/>
        <v>Pm138</v>
      </c>
    </row>
    <row r="1214" spans="2:11" hidden="1" x14ac:dyDescent="0.2">
      <c r="B1214" s="4">
        <v>61139</v>
      </c>
      <c r="C1214" s="4">
        <v>0</v>
      </c>
      <c r="D1214">
        <v>0</v>
      </c>
      <c r="E1214" t="str">
        <f>VLOOKUP(B1214,Nuclides!A:F,5,FALSE)</f>
        <v>Pm139</v>
      </c>
      <c r="F1214">
        <f>VLOOKUP(B1214,Nuclides!A:F,4,FALSE)</f>
        <v>249</v>
      </c>
      <c r="G1214" s="4" t="str">
        <f t="shared" si="104"/>
        <v>4.15min</v>
      </c>
      <c r="H1214" s="4">
        <f t="shared" si="105"/>
        <v>2.7837236167066078E-3</v>
      </c>
      <c r="I1214" s="4">
        <f t="shared" si="106"/>
        <v>0</v>
      </c>
      <c r="J1214" s="4">
        <f t="shared" si="107"/>
        <v>0</v>
      </c>
      <c r="K1214" s="4" t="str">
        <f t="shared" si="108"/>
        <v>Pm139</v>
      </c>
    </row>
    <row r="1215" spans="2:11" hidden="1" x14ac:dyDescent="0.2">
      <c r="B1215" s="4">
        <v>61140</v>
      </c>
      <c r="C1215" s="4">
        <v>0</v>
      </c>
      <c r="D1215">
        <v>0</v>
      </c>
      <c r="E1215" t="str">
        <f>VLOOKUP(B1215,Nuclides!A:F,5,FALSE)</f>
        <v>Pm140</v>
      </c>
      <c r="F1215">
        <f>VLOOKUP(B1215,Nuclides!A:F,4,FALSE)</f>
        <v>9.1999999999999993</v>
      </c>
      <c r="G1215" s="4" t="str">
        <f t="shared" si="104"/>
        <v>9.2s</v>
      </c>
      <c r="H1215" s="4">
        <f t="shared" si="105"/>
        <v>7.5342084843472323E-2</v>
      </c>
      <c r="I1215" s="4">
        <f t="shared" si="106"/>
        <v>0</v>
      </c>
      <c r="J1215" s="4">
        <f t="shared" si="107"/>
        <v>0</v>
      </c>
      <c r="K1215" s="4" t="str">
        <f t="shared" si="108"/>
        <v>Pm140</v>
      </c>
    </row>
    <row r="1216" spans="2:11" hidden="1" x14ac:dyDescent="0.2">
      <c r="B1216" s="4">
        <v>61141</v>
      </c>
      <c r="C1216" s="4">
        <v>0</v>
      </c>
      <c r="D1216">
        <v>0</v>
      </c>
      <c r="E1216" t="str">
        <f>VLOOKUP(B1216,Nuclides!A:F,5,FALSE)</f>
        <v>Pm141</v>
      </c>
      <c r="F1216">
        <f>VLOOKUP(B1216,Nuclides!A:F,4,FALSE)</f>
        <v>1254</v>
      </c>
      <c r="G1216" s="4" t="str">
        <f t="shared" si="104"/>
        <v>20.9min</v>
      </c>
      <c r="H1216" s="4">
        <f t="shared" si="105"/>
        <v>5.5274894781494842E-4</v>
      </c>
      <c r="I1216" s="4">
        <f t="shared" si="106"/>
        <v>0</v>
      </c>
      <c r="J1216" s="4">
        <f t="shared" si="107"/>
        <v>0</v>
      </c>
      <c r="K1216" s="4" t="str">
        <f t="shared" si="108"/>
        <v>Pm141</v>
      </c>
    </row>
    <row r="1217" spans="2:11" hidden="1" x14ac:dyDescent="0.2">
      <c r="B1217" s="4">
        <v>61142</v>
      </c>
      <c r="C1217" s="4">
        <v>0</v>
      </c>
      <c r="D1217">
        <v>0</v>
      </c>
      <c r="E1217" t="str">
        <f>VLOOKUP(B1217,Nuclides!A:F,5,FALSE)</f>
        <v>Pm142</v>
      </c>
      <c r="F1217">
        <f>VLOOKUP(B1217,Nuclides!A:F,4,FALSE)</f>
        <v>40.5</v>
      </c>
      <c r="G1217" s="4" t="str">
        <f t="shared" si="104"/>
        <v>40.5s</v>
      </c>
      <c r="H1217" s="4">
        <f t="shared" si="105"/>
        <v>1.7114745199010996E-2</v>
      </c>
      <c r="I1217" s="4">
        <f t="shared" si="106"/>
        <v>0</v>
      </c>
      <c r="J1217" s="4">
        <f t="shared" si="107"/>
        <v>0</v>
      </c>
      <c r="K1217" s="4" t="str">
        <f t="shared" si="108"/>
        <v>Pm142</v>
      </c>
    </row>
    <row r="1218" spans="2:11" hidden="1" x14ac:dyDescent="0.2">
      <c r="B1218" s="4">
        <v>61143</v>
      </c>
      <c r="C1218" s="4">
        <v>0</v>
      </c>
      <c r="D1218">
        <v>0</v>
      </c>
      <c r="E1218" t="str">
        <f>VLOOKUP(B1218,Nuclides!A:F,5,FALSE)</f>
        <v>Pm143</v>
      </c>
      <c r="F1218">
        <f>VLOOKUP(B1218,Nuclides!A:F,4,FALSE)</f>
        <v>22896000</v>
      </c>
      <c r="G1218" s="4" t="str">
        <f t="shared" si="104"/>
        <v>265d</v>
      </c>
      <c r="H1218" s="4">
        <f t="shared" si="105"/>
        <v>3.02737238190053E-8</v>
      </c>
      <c r="I1218" s="4">
        <f t="shared" si="106"/>
        <v>0</v>
      </c>
      <c r="J1218" s="4">
        <f t="shared" si="107"/>
        <v>0</v>
      </c>
      <c r="K1218" s="4" t="str">
        <f t="shared" si="108"/>
        <v>Pm143</v>
      </c>
    </row>
    <row r="1219" spans="2:11" hidden="1" x14ac:dyDescent="0.2">
      <c r="B1219" s="4">
        <v>61144</v>
      </c>
      <c r="C1219" s="4">
        <v>0</v>
      </c>
      <c r="D1219">
        <v>0</v>
      </c>
      <c r="E1219" t="str">
        <f>VLOOKUP(B1219,Nuclides!A:F,5,FALSE)</f>
        <v>Pm144</v>
      </c>
      <c r="F1219">
        <f>VLOOKUP(B1219,Nuclides!A:F,4,FALSE)</f>
        <v>31363200</v>
      </c>
      <c r="G1219" s="4" t="str">
        <f t="shared" si="104"/>
        <v>363d</v>
      </c>
      <c r="H1219" s="4">
        <f t="shared" si="105"/>
        <v>2.2100652374755932E-8</v>
      </c>
      <c r="I1219" s="4">
        <f t="shared" si="106"/>
        <v>0</v>
      </c>
      <c r="J1219" s="4">
        <f t="shared" si="107"/>
        <v>0</v>
      </c>
      <c r="K1219" s="4" t="str">
        <f t="shared" si="108"/>
        <v>Pm144</v>
      </c>
    </row>
    <row r="1220" spans="2:11" hidden="1" x14ac:dyDescent="0.2">
      <c r="B1220" s="4">
        <v>61145</v>
      </c>
      <c r="C1220" s="4">
        <v>0</v>
      </c>
      <c r="D1220">
        <v>0</v>
      </c>
      <c r="E1220" t="str">
        <f>VLOOKUP(B1220,Nuclides!A:F,5,FALSE)</f>
        <v>Pm145</v>
      </c>
      <c r="F1220">
        <f>VLOOKUP(B1220,Nuclides!A:F,4,FALSE)</f>
        <v>558569520</v>
      </c>
      <c r="G1220" s="4" t="str">
        <f t="shared" si="104"/>
        <v>17.71y</v>
      </c>
      <c r="H1220" s="4">
        <f t="shared" si="105"/>
        <v>1.2409326963632839E-9</v>
      </c>
      <c r="I1220" s="4">
        <f t="shared" si="106"/>
        <v>0</v>
      </c>
      <c r="J1220" s="4">
        <f t="shared" si="107"/>
        <v>0</v>
      </c>
      <c r="K1220" s="4" t="str">
        <f t="shared" si="108"/>
        <v>Pm145</v>
      </c>
    </row>
    <row r="1221" spans="2:11" hidden="1" x14ac:dyDescent="0.2">
      <c r="B1221" s="4">
        <v>61146</v>
      </c>
      <c r="C1221" s="4">
        <v>0</v>
      </c>
      <c r="D1221">
        <v>0</v>
      </c>
      <c r="E1221" t="str">
        <f>VLOOKUP(B1221,Nuclides!A:F,5,FALSE)</f>
        <v>Pm146</v>
      </c>
      <c r="F1221">
        <f>VLOOKUP(B1221,Nuclides!A:F,4,FALSE)</f>
        <v>174513528</v>
      </c>
      <c r="G1221" s="4" t="str">
        <f t="shared" ref="G1221:G1284" si="109">IF(F1221="STABLE", "STABLE", IF(F1221&lt;60, F1221&amp;"s", IF(F1221&lt;3600, ROUND(F1221/60,2)&amp;"min", IF(F1221&lt;86400, ROUND(F1221/3600,2)&amp;"h", IF(F1221&lt;31536000, ROUND(F1221/86400,2)&amp;"d", ROUND(F1221/31536000,2)&amp;"y")))))</f>
        <v>5.53y</v>
      </c>
      <c r="H1221" s="4">
        <f t="shared" ref="H1221:H1284" si="110">LN(2)/F1221</f>
        <v>3.9718822288662075E-9</v>
      </c>
      <c r="I1221" s="4">
        <f t="shared" ref="I1221:I1284" si="111">60*6240000000000*C1221*(1-EXP(-H1221*2*3600))</f>
        <v>0</v>
      </c>
      <c r="J1221" s="4">
        <f t="shared" ref="J1221:J1284" si="112">I1221*EXP(-H1221*48*3600)</f>
        <v>0</v>
      </c>
      <c r="K1221" s="4" t="str">
        <f t="shared" ref="K1221:K1284" si="113">E1221</f>
        <v>Pm146</v>
      </c>
    </row>
    <row r="1222" spans="2:11" hidden="1" x14ac:dyDescent="0.2">
      <c r="B1222" s="4">
        <v>61147</v>
      </c>
      <c r="C1222" s="4">
        <v>0</v>
      </c>
      <c r="D1222">
        <v>0</v>
      </c>
      <c r="E1222" t="str">
        <f>VLOOKUP(B1222,Nuclides!A:F,5,FALSE)</f>
        <v>Pm147</v>
      </c>
      <c r="F1222">
        <f>VLOOKUP(B1222,Nuclides!A:F,4,FALSE)</f>
        <v>82788207.840000004</v>
      </c>
      <c r="G1222" s="4" t="str">
        <f t="shared" si="109"/>
        <v>2.63y</v>
      </c>
      <c r="H1222" s="4">
        <f t="shared" si="110"/>
        <v>8.3725351550011917E-9</v>
      </c>
      <c r="I1222" s="4">
        <f t="shared" si="111"/>
        <v>0</v>
      </c>
      <c r="J1222" s="4">
        <f t="shared" si="112"/>
        <v>0</v>
      </c>
      <c r="K1222" s="4" t="str">
        <f t="shared" si="113"/>
        <v>Pm147</v>
      </c>
    </row>
    <row r="1223" spans="2:11" hidden="1" x14ac:dyDescent="0.2">
      <c r="B1223" s="4">
        <v>61148</v>
      </c>
      <c r="C1223" s="4">
        <v>0</v>
      </c>
      <c r="D1223">
        <v>0</v>
      </c>
      <c r="E1223" t="str">
        <f>VLOOKUP(B1223,Nuclides!A:F,5,FALSE)</f>
        <v>Pm148</v>
      </c>
      <c r="F1223">
        <f>VLOOKUP(B1223,Nuclides!A:F,4,FALSE)</f>
        <v>463795.20000000001</v>
      </c>
      <c r="G1223" s="4" t="str">
        <f t="shared" si="109"/>
        <v>5.37d</v>
      </c>
      <c r="H1223" s="4">
        <f t="shared" si="110"/>
        <v>1.4945113286207905E-6</v>
      </c>
      <c r="I1223" s="4">
        <f t="shared" si="111"/>
        <v>0</v>
      </c>
      <c r="J1223" s="4">
        <f t="shared" si="112"/>
        <v>0</v>
      </c>
      <c r="K1223" s="4" t="str">
        <f t="shared" si="113"/>
        <v>Pm148</v>
      </c>
    </row>
    <row r="1224" spans="2:11" hidden="1" x14ac:dyDescent="0.2">
      <c r="B1224" s="4">
        <v>61149</v>
      </c>
      <c r="C1224" s="4">
        <v>0</v>
      </c>
      <c r="D1224">
        <v>0</v>
      </c>
      <c r="E1224" t="str">
        <f>VLOOKUP(B1224,Nuclides!A:F,5,FALSE)</f>
        <v>Pm149</v>
      </c>
      <c r="F1224">
        <f>VLOOKUP(B1224,Nuclides!A:F,4,FALSE)</f>
        <v>191088</v>
      </c>
      <c r="G1224" s="4" t="str">
        <f t="shared" si="109"/>
        <v>2.21d</v>
      </c>
      <c r="H1224" s="4">
        <f t="shared" si="110"/>
        <v>3.6273715804233928E-6</v>
      </c>
      <c r="I1224" s="4">
        <f t="shared" si="111"/>
        <v>0</v>
      </c>
      <c r="J1224" s="4">
        <f t="shared" si="112"/>
        <v>0</v>
      </c>
      <c r="K1224" s="4" t="str">
        <f t="shared" si="113"/>
        <v>Pm149</v>
      </c>
    </row>
    <row r="1225" spans="2:11" hidden="1" x14ac:dyDescent="0.2">
      <c r="B1225" s="4">
        <v>61150</v>
      </c>
      <c r="C1225" s="4">
        <v>0</v>
      </c>
      <c r="D1225">
        <v>0</v>
      </c>
      <c r="E1225" t="str">
        <f>VLOOKUP(B1225,Nuclides!A:F,5,FALSE)</f>
        <v>Pm150</v>
      </c>
      <c r="F1225">
        <f>VLOOKUP(B1225,Nuclides!A:F,4,FALSE)</f>
        <v>9712.7999999999993</v>
      </c>
      <c r="G1225" s="4" t="str">
        <f t="shared" si="109"/>
        <v>2.7h</v>
      </c>
      <c r="H1225" s="4">
        <f t="shared" si="110"/>
        <v>7.1364300774230435E-5</v>
      </c>
      <c r="I1225" s="4">
        <f t="shared" si="111"/>
        <v>0</v>
      </c>
      <c r="J1225" s="4">
        <f t="shared" si="112"/>
        <v>0</v>
      </c>
      <c r="K1225" s="4" t="str">
        <f t="shared" si="113"/>
        <v>Pm150</v>
      </c>
    </row>
    <row r="1226" spans="2:11" hidden="1" x14ac:dyDescent="0.2">
      <c r="B1226" s="4">
        <v>61151</v>
      </c>
      <c r="C1226" s="4">
        <v>0</v>
      </c>
      <c r="D1226">
        <v>0</v>
      </c>
      <c r="E1226" t="str">
        <f>VLOOKUP(B1226,Nuclides!A:F,5,FALSE)</f>
        <v>Pm151</v>
      </c>
      <c r="F1226">
        <f>VLOOKUP(B1226,Nuclides!A:F,4,FALSE)</f>
        <v>102240</v>
      </c>
      <c r="G1226" s="4" t="str">
        <f t="shared" si="109"/>
        <v>1.18d</v>
      </c>
      <c r="H1226" s="4">
        <f t="shared" si="110"/>
        <v>6.7796085735518902E-6</v>
      </c>
      <c r="I1226" s="4">
        <f t="shared" si="111"/>
        <v>0</v>
      </c>
      <c r="J1226" s="4">
        <f t="shared" si="112"/>
        <v>0</v>
      </c>
      <c r="K1226" s="4" t="str">
        <f t="shared" si="113"/>
        <v>Pm151</v>
      </c>
    </row>
    <row r="1227" spans="2:11" hidden="1" x14ac:dyDescent="0.2">
      <c r="B1227" s="4">
        <v>61152</v>
      </c>
      <c r="C1227" s="4">
        <v>0</v>
      </c>
      <c r="D1227">
        <v>0</v>
      </c>
      <c r="E1227" t="str">
        <f>VLOOKUP(B1227,Nuclides!A:F,5,FALSE)</f>
        <v>Pm152</v>
      </c>
      <c r="F1227">
        <f>VLOOKUP(B1227,Nuclides!A:F,4,FALSE)</f>
        <v>247.2</v>
      </c>
      <c r="G1227" s="4" t="str">
        <f t="shared" si="109"/>
        <v>4.12min</v>
      </c>
      <c r="H1227" s="4">
        <f t="shared" si="110"/>
        <v>2.8039934488670927E-3</v>
      </c>
      <c r="I1227" s="4">
        <f t="shared" si="111"/>
        <v>0</v>
      </c>
      <c r="J1227" s="4">
        <f t="shared" si="112"/>
        <v>0</v>
      </c>
      <c r="K1227" s="4" t="str">
        <f t="shared" si="113"/>
        <v>Pm152</v>
      </c>
    </row>
    <row r="1228" spans="2:11" hidden="1" x14ac:dyDescent="0.2">
      <c r="B1228" s="4">
        <v>61153</v>
      </c>
      <c r="C1228" s="4">
        <v>0</v>
      </c>
      <c r="D1228">
        <v>0</v>
      </c>
      <c r="E1228" t="str">
        <f>VLOOKUP(B1228,Nuclides!A:F,5,FALSE)</f>
        <v>Pm153</v>
      </c>
      <c r="F1228">
        <f>VLOOKUP(B1228,Nuclides!A:F,4,FALSE)</f>
        <v>315</v>
      </c>
      <c r="G1228" s="4" t="str">
        <f t="shared" si="109"/>
        <v>5.25min</v>
      </c>
      <c r="H1228" s="4">
        <f t="shared" si="110"/>
        <v>2.2004672398728423E-3</v>
      </c>
      <c r="I1228" s="4">
        <f t="shared" si="111"/>
        <v>0</v>
      </c>
      <c r="J1228" s="4">
        <f t="shared" si="112"/>
        <v>0</v>
      </c>
      <c r="K1228" s="4" t="str">
        <f t="shared" si="113"/>
        <v>Pm153</v>
      </c>
    </row>
    <row r="1229" spans="2:11" hidden="1" x14ac:dyDescent="0.2">
      <c r="B1229" s="4">
        <v>61154</v>
      </c>
      <c r="C1229" s="4">
        <v>0</v>
      </c>
      <c r="D1229">
        <v>0</v>
      </c>
      <c r="E1229" t="str">
        <f>VLOOKUP(B1229,Nuclides!A:F,5,FALSE)</f>
        <v>Pm154</v>
      </c>
      <c r="F1229">
        <f>VLOOKUP(B1229,Nuclides!A:F,4,FALSE)</f>
        <v>160.80000000000001</v>
      </c>
      <c r="G1229" s="4" t="str">
        <f t="shared" si="109"/>
        <v>2.68min</v>
      </c>
      <c r="H1229" s="4">
        <f t="shared" si="110"/>
        <v>4.3106167945270229E-3</v>
      </c>
      <c r="I1229" s="4">
        <f t="shared" si="111"/>
        <v>0</v>
      </c>
      <c r="J1229" s="4">
        <f t="shared" si="112"/>
        <v>0</v>
      </c>
      <c r="K1229" s="4" t="str">
        <f t="shared" si="113"/>
        <v>Pm154</v>
      </c>
    </row>
    <row r="1230" spans="2:11" hidden="1" x14ac:dyDescent="0.2">
      <c r="B1230" s="4">
        <v>61155</v>
      </c>
      <c r="C1230" s="4">
        <v>0</v>
      </c>
      <c r="D1230">
        <v>0</v>
      </c>
      <c r="E1230" t="str">
        <f>VLOOKUP(B1230,Nuclides!A:F,5,FALSE)</f>
        <v>Pm155</v>
      </c>
      <c r="F1230">
        <f>VLOOKUP(B1230,Nuclides!A:F,4,FALSE)</f>
        <v>41.5</v>
      </c>
      <c r="G1230" s="4" t="str">
        <f t="shared" si="109"/>
        <v>41.5s</v>
      </c>
      <c r="H1230" s="4">
        <f t="shared" si="110"/>
        <v>1.6702341700239647E-2</v>
      </c>
      <c r="I1230" s="4">
        <f t="shared" si="111"/>
        <v>0</v>
      </c>
      <c r="J1230" s="4">
        <f t="shared" si="112"/>
        <v>0</v>
      </c>
      <c r="K1230" s="4" t="str">
        <f t="shared" si="113"/>
        <v>Pm155</v>
      </c>
    </row>
    <row r="1231" spans="2:11" hidden="1" x14ac:dyDescent="0.2">
      <c r="B1231" s="4">
        <v>62133</v>
      </c>
      <c r="C1231" s="4">
        <v>0</v>
      </c>
      <c r="D1231">
        <v>0</v>
      </c>
      <c r="E1231" t="str">
        <f>VLOOKUP(B1231,Nuclides!A:F,5,FALSE)</f>
        <v>Sm133</v>
      </c>
      <c r="F1231">
        <f>VLOOKUP(B1231,Nuclides!A:F,4,FALSE)</f>
        <v>2.89</v>
      </c>
      <c r="G1231" s="4" t="str">
        <f t="shared" si="109"/>
        <v>2.89s</v>
      </c>
      <c r="H1231" s="4">
        <f t="shared" si="110"/>
        <v>0.23984331507264542</v>
      </c>
      <c r="I1231" s="4">
        <f t="shared" si="111"/>
        <v>0</v>
      </c>
      <c r="J1231" s="4">
        <f t="shared" si="112"/>
        <v>0</v>
      </c>
      <c r="K1231" s="4" t="str">
        <f t="shared" si="113"/>
        <v>Sm133</v>
      </c>
    </row>
    <row r="1232" spans="2:11" hidden="1" x14ac:dyDescent="0.2">
      <c r="B1232" s="4">
        <v>62134</v>
      </c>
      <c r="C1232" s="4">
        <v>0</v>
      </c>
      <c r="D1232">
        <v>0</v>
      </c>
      <c r="E1232" t="str">
        <f>VLOOKUP(B1232,Nuclides!A:F,5,FALSE)</f>
        <v>Sm134</v>
      </c>
      <c r="F1232">
        <f>VLOOKUP(B1232,Nuclides!A:F,4,FALSE)</f>
        <v>9.5</v>
      </c>
      <c r="G1232" s="4" t="str">
        <f t="shared" si="109"/>
        <v>9.5s</v>
      </c>
      <c r="H1232" s="4">
        <f t="shared" si="110"/>
        <v>7.2962861111573185E-2</v>
      </c>
      <c r="I1232" s="4">
        <f t="shared" si="111"/>
        <v>0</v>
      </c>
      <c r="J1232" s="4">
        <f t="shared" si="112"/>
        <v>0</v>
      </c>
      <c r="K1232" s="4" t="str">
        <f t="shared" si="113"/>
        <v>Sm134</v>
      </c>
    </row>
    <row r="1233" spans="2:11" hidden="1" x14ac:dyDescent="0.2">
      <c r="B1233" s="4">
        <v>62135</v>
      </c>
      <c r="C1233" s="4">
        <v>0</v>
      </c>
      <c r="D1233">
        <v>0</v>
      </c>
      <c r="E1233" t="str">
        <f>VLOOKUP(B1233,Nuclides!A:F,5,FALSE)</f>
        <v>Sm135</v>
      </c>
      <c r="F1233">
        <f>VLOOKUP(B1233,Nuclides!A:F,4,FALSE)</f>
        <v>10.3</v>
      </c>
      <c r="G1233" s="4" t="str">
        <f t="shared" si="109"/>
        <v>10.3s</v>
      </c>
      <c r="H1233" s="4">
        <f t="shared" si="110"/>
        <v>6.7295842772810213E-2</v>
      </c>
      <c r="I1233" s="4">
        <f t="shared" si="111"/>
        <v>0</v>
      </c>
      <c r="J1233" s="4">
        <f t="shared" si="112"/>
        <v>0</v>
      </c>
      <c r="K1233" s="4" t="str">
        <f t="shared" si="113"/>
        <v>Sm135</v>
      </c>
    </row>
    <row r="1234" spans="2:11" hidden="1" x14ac:dyDescent="0.2">
      <c r="B1234" s="4">
        <v>62136</v>
      </c>
      <c r="C1234" s="4">
        <v>0</v>
      </c>
      <c r="D1234">
        <v>0</v>
      </c>
      <c r="E1234" t="str">
        <f>VLOOKUP(B1234,Nuclides!A:F,5,FALSE)</f>
        <v>Sm136</v>
      </c>
      <c r="F1234">
        <f>VLOOKUP(B1234,Nuclides!A:F,4,FALSE)</f>
        <v>47</v>
      </c>
      <c r="G1234" s="4" t="str">
        <f t="shared" si="109"/>
        <v>47s</v>
      </c>
      <c r="H1234" s="4">
        <f t="shared" si="110"/>
        <v>1.4747812352339261E-2</v>
      </c>
      <c r="I1234" s="4">
        <f t="shared" si="111"/>
        <v>0</v>
      </c>
      <c r="J1234" s="4">
        <f t="shared" si="112"/>
        <v>0</v>
      </c>
      <c r="K1234" s="4" t="str">
        <f t="shared" si="113"/>
        <v>Sm136</v>
      </c>
    </row>
    <row r="1235" spans="2:11" hidden="1" x14ac:dyDescent="0.2">
      <c r="B1235" s="4">
        <v>62137</v>
      </c>
      <c r="C1235" s="4">
        <v>0</v>
      </c>
      <c r="D1235">
        <v>0</v>
      </c>
      <c r="E1235" t="str">
        <f>VLOOKUP(B1235,Nuclides!A:F,5,FALSE)</f>
        <v>Sm137</v>
      </c>
      <c r="F1235">
        <f>VLOOKUP(B1235,Nuclides!A:F,4,FALSE)</f>
        <v>45</v>
      </c>
      <c r="G1235" s="4" t="str">
        <f t="shared" si="109"/>
        <v>45s</v>
      </c>
      <c r="H1235" s="4">
        <f t="shared" si="110"/>
        <v>1.5403270679109895E-2</v>
      </c>
      <c r="I1235" s="4">
        <f t="shared" si="111"/>
        <v>0</v>
      </c>
      <c r="J1235" s="4">
        <f t="shared" si="112"/>
        <v>0</v>
      </c>
      <c r="K1235" s="4" t="str">
        <f t="shared" si="113"/>
        <v>Sm137</v>
      </c>
    </row>
    <row r="1236" spans="2:11" hidden="1" x14ac:dyDescent="0.2">
      <c r="B1236" s="4">
        <v>62138</v>
      </c>
      <c r="C1236" s="4">
        <v>0</v>
      </c>
      <c r="D1236">
        <v>0</v>
      </c>
      <c r="E1236" t="str">
        <f>VLOOKUP(B1236,Nuclides!A:F,5,FALSE)</f>
        <v>Sm138</v>
      </c>
      <c r="F1236">
        <f>VLOOKUP(B1236,Nuclides!A:F,4,FALSE)</f>
        <v>186</v>
      </c>
      <c r="G1236" s="4" t="str">
        <f t="shared" si="109"/>
        <v>3.1min</v>
      </c>
      <c r="H1236" s="4">
        <f t="shared" si="110"/>
        <v>3.7265977449459425E-3</v>
      </c>
      <c r="I1236" s="4">
        <f t="shared" si="111"/>
        <v>0</v>
      </c>
      <c r="J1236" s="4">
        <f t="shared" si="112"/>
        <v>0</v>
      </c>
      <c r="K1236" s="4" t="str">
        <f t="shared" si="113"/>
        <v>Sm138</v>
      </c>
    </row>
    <row r="1237" spans="2:11" hidden="1" x14ac:dyDescent="0.2">
      <c r="B1237" s="4">
        <v>62139</v>
      </c>
      <c r="C1237" s="4">
        <v>0</v>
      </c>
      <c r="D1237">
        <v>0</v>
      </c>
      <c r="E1237" t="str">
        <f>VLOOKUP(B1237,Nuclides!A:F,5,FALSE)</f>
        <v>Sm139</v>
      </c>
      <c r="F1237">
        <f>VLOOKUP(B1237,Nuclides!A:F,4,FALSE)</f>
        <v>154.19999999999999</v>
      </c>
      <c r="G1237" s="4" t="str">
        <f t="shared" si="109"/>
        <v>2.57min</v>
      </c>
      <c r="H1237" s="4">
        <f t="shared" si="110"/>
        <v>4.4951179024639775E-3</v>
      </c>
      <c r="I1237" s="4">
        <f t="shared" si="111"/>
        <v>0</v>
      </c>
      <c r="J1237" s="4">
        <f t="shared" si="112"/>
        <v>0</v>
      </c>
      <c r="K1237" s="4" t="str">
        <f t="shared" si="113"/>
        <v>Sm139</v>
      </c>
    </row>
    <row r="1238" spans="2:11" hidden="1" x14ac:dyDescent="0.2">
      <c r="B1238" s="4">
        <v>62140</v>
      </c>
      <c r="C1238" s="4">
        <v>0</v>
      </c>
      <c r="D1238">
        <v>0</v>
      </c>
      <c r="E1238" t="str">
        <f>VLOOKUP(B1238,Nuclides!A:F,5,FALSE)</f>
        <v>Sm140</v>
      </c>
      <c r="F1238">
        <f>VLOOKUP(B1238,Nuclides!A:F,4,FALSE)</f>
        <v>889.2</v>
      </c>
      <c r="G1238" s="4" t="str">
        <f t="shared" si="109"/>
        <v>14.82min</v>
      </c>
      <c r="H1238" s="4">
        <f t="shared" si="110"/>
        <v>7.7951774691851692E-4</v>
      </c>
      <c r="I1238" s="4">
        <f t="shared" si="111"/>
        <v>0</v>
      </c>
      <c r="J1238" s="4">
        <f t="shared" si="112"/>
        <v>0</v>
      </c>
      <c r="K1238" s="4" t="str">
        <f t="shared" si="113"/>
        <v>Sm140</v>
      </c>
    </row>
    <row r="1239" spans="2:11" hidden="1" x14ac:dyDescent="0.2">
      <c r="B1239" s="4">
        <v>62141</v>
      </c>
      <c r="C1239" s="4">
        <v>0</v>
      </c>
      <c r="D1239">
        <v>0</v>
      </c>
      <c r="E1239" t="str">
        <f>VLOOKUP(B1239,Nuclides!A:F,5,FALSE)</f>
        <v>Sm141</v>
      </c>
      <c r="F1239">
        <f>VLOOKUP(B1239,Nuclides!A:F,4,FALSE)</f>
        <v>612</v>
      </c>
      <c r="G1239" s="4" t="str">
        <f t="shared" si="109"/>
        <v>10.2min</v>
      </c>
      <c r="H1239" s="4">
        <f t="shared" si="110"/>
        <v>1.1325934322874924E-3</v>
      </c>
      <c r="I1239" s="4">
        <f t="shared" si="111"/>
        <v>0</v>
      </c>
      <c r="J1239" s="4">
        <f t="shared" si="112"/>
        <v>0</v>
      </c>
      <c r="K1239" s="4" t="str">
        <f t="shared" si="113"/>
        <v>Sm141</v>
      </c>
    </row>
    <row r="1240" spans="2:11" hidden="1" x14ac:dyDescent="0.2">
      <c r="B1240" s="4">
        <v>62142</v>
      </c>
      <c r="C1240" s="4">
        <v>0</v>
      </c>
      <c r="D1240">
        <v>0</v>
      </c>
      <c r="E1240" t="str">
        <f>VLOOKUP(B1240,Nuclides!A:F,5,FALSE)</f>
        <v>Sm142</v>
      </c>
      <c r="F1240">
        <f>VLOOKUP(B1240,Nuclides!A:F,4,FALSE)</f>
        <v>4349.3999999999996</v>
      </c>
      <c r="G1240" s="4" t="str">
        <f t="shared" si="109"/>
        <v>1.21h</v>
      </c>
      <c r="H1240" s="4">
        <f t="shared" si="110"/>
        <v>1.5936616097851321E-4</v>
      </c>
      <c r="I1240" s="4">
        <f t="shared" si="111"/>
        <v>0</v>
      </c>
      <c r="J1240" s="4">
        <f t="shared" si="112"/>
        <v>0</v>
      </c>
      <c r="K1240" s="4" t="str">
        <f t="shared" si="113"/>
        <v>Sm142</v>
      </c>
    </row>
    <row r="1241" spans="2:11" hidden="1" x14ac:dyDescent="0.2">
      <c r="B1241" s="4">
        <v>62143</v>
      </c>
      <c r="C1241" s="4">
        <v>0</v>
      </c>
      <c r="D1241">
        <v>0</v>
      </c>
      <c r="E1241" t="str">
        <f>VLOOKUP(B1241,Nuclides!A:F,5,FALSE)</f>
        <v>Sm143</v>
      </c>
      <c r="F1241">
        <f>VLOOKUP(B1241,Nuclides!A:F,4,FALSE)</f>
        <v>525</v>
      </c>
      <c r="G1241" s="4" t="str">
        <f t="shared" si="109"/>
        <v>8.75min</v>
      </c>
      <c r="H1241" s="4">
        <f t="shared" si="110"/>
        <v>1.3202803439237053E-3</v>
      </c>
      <c r="I1241" s="4">
        <f t="shared" si="111"/>
        <v>0</v>
      </c>
      <c r="J1241" s="4">
        <f t="shared" si="112"/>
        <v>0</v>
      </c>
      <c r="K1241" s="4" t="str">
        <f t="shared" si="113"/>
        <v>Sm143</v>
      </c>
    </row>
    <row r="1242" spans="2:11" hidden="1" x14ac:dyDescent="0.2">
      <c r="B1242" s="4">
        <v>62144</v>
      </c>
      <c r="C1242" s="4">
        <v>0</v>
      </c>
      <c r="D1242">
        <v>0</v>
      </c>
      <c r="E1242" t="str">
        <f>VLOOKUP(B1242,Nuclides!A:F,5,FALSE)</f>
        <v>Sm144</v>
      </c>
      <c r="F1242" t="str">
        <f>VLOOKUP(B1242,Nuclides!A:F,4,FALSE)</f>
        <v>STABLE</v>
      </c>
      <c r="G1242" s="4" t="str">
        <f t="shared" si="109"/>
        <v>STABLE</v>
      </c>
      <c r="H1242" s="4" t="e">
        <f t="shared" si="110"/>
        <v>#VALUE!</v>
      </c>
      <c r="I1242" s="4" t="e">
        <f t="shared" si="111"/>
        <v>#VALUE!</v>
      </c>
      <c r="J1242" s="4" t="e">
        <f t="shared" si="112"/>
        <v>#VALUE!</v>
      </c>
      <c r="K1242" s="4" t="str">
        <f t="shared" si="113"/>
        <v>Sm144</v>
      </c>
    </row>
    <row r="1243" spans="2:11" hidden="1" x14ac:dyDescent="0.2">
      <c r="B1243" s="4">
        <v>62145</v>
      </c>
      <c r="C1243" s="4">
        <v>0</v>
      </c>
      <c r="D1243">
        <v>0</v>
      </c>
      <c r="E1243" t="str">
        <f>VLOOKUP(B1243,Nuclides!A:F,5,FALSE)</f>
        <v>Sm145</v>
      </c>
      <c r="F1243">
        <f>VLOOKUP(B1243,Nuclides!A:F,4,FALSE)</f>
        <v>29376000</v>
      </c>
      <c r="G1243" s="4" t="str">
        <f t="shared" si="109"/>
        <v>340d</v>
      </c>
      <c r="H1243" s="4">
        <f t="shared" si="110"/>
        <v>2.3595696505989422E-8</v>
      </c>
      <c r="I1243" s="4">
        <f t="shared" si="111"/>
        <v>0</v>
      </c>
      <c r="J1243" s="4">
        <f t="shared" si="112"/>
        <v>0</v>
      </c>
      <c r="K1243" s="4" t="str">
        <f t="shared" si="113"/>
        <v>Sm145</v>
      </c>
    </row>
    <row r="1244" spans="2:11" hidden="1" x14ac:dyDescent="0.2">
      <c r="B1244" s="4">
        <v>62146</v>
      </c>
      <c r="C1244" s="4">
        <v>0</v>
      </c>
      <c r="D1244">
        <v>0</v>
      </c>
      <c r="E1244" t="str">
        <f>VLOOKUP(B1244,Nuclides!A:F,5,FALSE)</f>
        <v>Sm146</v>
      </c>
      <c r="F1244">
        <f>VLOOKUP(B1244,Nuclides!A:F,4,FALSE)</f>
        <v>3250432800000000</v>
      </c>
      <c r="G1244" s="4" t="str">
        <f t="shared" si="109"/>
        <v>103070547.95y</v>
      </c>
      <c r="H1244" s="4">
        <f t="shared" si="110"/>
        <v>2.1324765753038958E-16</v>
      </c>
      <c r="I1244" s="4">
        <f t="shared" si="111"/>
        <v>0</v>
      </c>
      <c r="J1244" s="4">
        <f t="shared" si="112"/>
        <v>0</v>
      </c>
      <c r="K1244" s="4" t="str">
        <f t="shared" si="113"/>
        <v>Sm146</v>
      </c>
    </row>
    <row r="1245" spans="2:11" hidden="1" x14ac:dyDescent="0.2">
      <c r="B1245" s="4">
        <v>62147</v>
      </c>
      <c r="C1245" s="4">
        <v>0</v>
      </c>
      <c r="D1245">
        <v>0</v>
      </c>
      <c r="E1245" t="str">
        <f>VLOOKUP(B1245,Nuclides!A:F,5,FALSE)</f>
        <v>Sm147</v>
      </c>
      <c r="F1245">
        <f>VLOOKUP(B1245,Nuclides!A:F,4,FALSE)</f>
        <v>3.3451056E+18</v>
      </c>
      <c r="G1245" s="4" t="str">
        <f t="shared" si="109"/>
        <v>106072602739.73y</v>
      </c>
      <c r="H1245" s="4">
        <f t="shared" si="110"/>
        <v>2.0721234646820874E-19</v>
      </c>
      <c r="I1245" s="4">
        <f t="shared" si="111"/>
        <v>0</v>
      </c>
      <c r="J1245" s="4">
        <f t="shared" si="112"/>
        <v>0</v>
      </c>
      <c r="K1245" s="4" t="str">
        <f t="shared" si="113"/>
        <v>Sm147</v>
      </c>
    </row>
    <row r="1246" spans="2:11" hidden="1" x14ac:dyDescent="0.2">
      <c r="B1246" s="4">
        <v>62148</v>
      </c>
      <c r="C1246" s="4">
        <v>0</v>
      </c>
      <c r="D1246">
        <v>0</v>
      </c>
      <c r="E1246" t="str">
        <f>VLOOKUP(B1246,Nuclides!A:F,5,FALSE)</f>
        <v>Sm148</v>
      </c>
      <c r="F1246">
        <f>VLOOKUP(B1246,Nuclides!A:F,4,FALSE)</f>
        <v>2.2090319999999999E+23</v>
      </c>
      <c r="G1246" s="4" t="str">
        <f t="shared" si="109"/>
        <v>7004794520547940y</v>
      </c>
      <c r="H1246" s="4">
        <f t="shared" si="110"/>
        <v>3.1377869608043039E-24</v>
      </c>
      <c r="I1246" s="4">
        <f t="shared" si="111"/>
        <v>0</v>
      </c>
      <c r="J1246" s="4">
        <f t="shared" si="112"/>
        <v>0</v>
      </c>
      <c r="K1246" s="4" t="str">
        <f t="shared" si="113"/>
        <v>Sm148</v>
      </c>
    </row>
    <row r="1247" spans="2:11" hidden="1" x14ac:dyDescent="0.2">
      <c r="B1247" s="4">
        <v>62149</v>
      </c>
      <c r="C1247" s="4">
        <v>0</v>
      </c>
      <c r="D1247">
        <v>0</v>
      </c>
      <c r="E1247" t="str">
        <f>VLOOKUP(B1247,Nuclides!A:F,5,FALSE)</f>
        <v>Sm149</v>
      </c>
      <c r="F1247" t="str">
        <f>VLOOKUP(B1247,Nuclides!A:F,4,FALSE)</f>
        <v>STABLE</v>
      </c>
      <c r="G1247" s="4" t="str">
        <f t="shared" si="109"/>
        <v>STABLE</v>
      </c>
      <c r="H1247" s="4" t="e">
        <f t="shared" si="110"/>
        <v>#VALUE!</v>
      </c>
      <c r="I1247" s="4" t="e">
        <f t="shared" si="111"/>
        <v>#VALUE!</v>
      </c>
      <c r="J1247" s="4" t="e">
        <f t="shared" si="112"/>
        <v>#VALUE!</v>
      </c>
      <c r="K1247" s="4" t="str">
        <f t="shared" si="113"/>
        <v>Sm149</v>
      </c>
    </row>
    <row r="1248" spans="2:11" hidden="1" x14ac:dyDescent="0.2">
      <c r="B1248" s="4">
        <v>62150</v>
      </c>
      <c r="C1248" s="4">
        <v>0</v>
      </c>
      <c r="D1248">
        <v>0</v>
      </c>
      <c r="E1248" t="str">
        <f>VLOOKUP(B1248,Nuclides!A:F,5,FALSE)</f>
        <v>Sm150</v>
      </c>
      <c r="F1248" t="str">
        <f>VLOOKUP(B1248,Nuclides!A:F,4,FALSE)</f>
        <v>STABLE</v>
      </c>
      <c r="G1248" s="4" t="str">
        <f t="shared" si="109"/>
        <v>STABLE</v>
      </c>
      <c r="H1248" s="4" t="e">
        <f t="shared" si="110"/>
        <v>#VALUE!</v>
      </c>
      <c r="I1248" s="4" t="e">
        <f t="shared" si="111"/>
        <v>#VALUE!</v>
      </c>
      <c r="J1248" s="4" t="e">
        <f t="shared" si="112"/>
        <v>#VALUE!</v>
      </c>
      <c r="K1248" s="4" t="str">
        <f t="shared" si="113"/>
        <v>Sm150</v>
      </c>
    </row>
    <row r="1249" spans="2:11" hidden="1" x14ac:dyDescent="0.2">
      <c r="B1249" s="4">
        <v>62151</v>
      </c>
      <c r="C1249" s="4">
        <v>0</v>
      </c>
      <c r="D1249">
        <v>0</v>
      </c>
      <c r="E1249" t="str">
        <f>VLOOKUP(B1249,Nuclides!A:F,5,FALSE)</f>
        <v>Sm151</v>
      </c>
      <c r="F1249">
        <f>VLOOKUP(B1249,Nuclides!A:F,4,FALSE)</f>
        <v>2840184000</v>
      </c>
      <c r="G1249" s="4" t="str">
        <f t="shared" si="109"/>
        <v>90.06y</v>
      </c>
      <c r="H1249" s="4">
        <f t="shared" si="110"/>
        <v>2.4405009695144584E-10</v>
      </c>
      <c r="I1249" s="4">
        <f t="shared" si="111"/>
        <v>0</v>
      </c>
      <c r="J1249" s="4">
        <f t="shared" si="112"/>
        <v>0</v>
      </c>
      <c r="K1249" s="4" t="str">
        <f t="shared" si="113"/>
        <v>Sm151</v>
      </c>
    </row>
    <row r="1250" spans="2:11" hidden="1" x14ac:dyDescent="0.2">
      <c r="B1250" s="4">
        <v>62152</v>
      </c>
      <c r="C1250" s="4">
        <v>0</v>
      </c>
      <c r="D1250">
        <v>0</v>
      </c>
      <c r="E1250" t="str">
        <f>VLOOKUP(B1250,Nuclides!A:F,5,FALSE)</f>
        <v>Sm152</v>
      </c>
      <c r="F1250" t="str">
        <f>VLOOKUP(B1250,Nuclides!A:F,4,FALSE)</f>
        <v>STABLE</v>
      </c>
      <c r="G1250" s="4" t="str">
        <f t="shared" si="109"/>
        <v>STABLE</v>
      </c>
      <c r="H1250" s="4" t="e">
        <f t="shared" si="110"/>
        <v>#VALUE!</v>
      </c>
      <c r="I1250" s="4" t="e">
        <f t="shared" si="111"/>
        <v>#VALUE!</v>
      </c>
      <c r="J1250" s="4" t="e">
        <f t="shared" si="112"/>
        <v>#VALUE!</v>
      </c>
      <c r="K1250" s="4" t="str">
        <f t="shared" si="113"/>
        <v>Sm152</v>
      </c>
    </row>
    <row r="1251" spans="2:11" hidden="1" x14ac:dyDescent="0.2">
      <c r="B1251" s="4">
        <v>62153</v>
      </c>
      <c r="C1251" s="4">
        <v>0</v>
      </c>
      <c r="D1251">
        <v>0</v>
      </c>
      <c r="E1251" t="str">
        <f>VLOOKUP(B1251,Nuclides!A:F,5,FALSE)</f>
        <v>Sm153</v>
      </c>
      <c r="F1251">
        <f>VLOOKUP(B1251,Nuclides!A:F,4,FALSE)</f>
        <v>166622.39999999999</v>
      </c>
      <c r="G1251" s="4" t="str">
        <f t="shared" si="109"/>
        <v>1.93d</v>
      </c>
      <c r="H1251" s="4">
        <f t="shared" si="110"/>
        <v>4.1599879761661417E-6</v>
      </c>
      <c r="I1251" s="4">
        <f t="shared" si="111"/>
        <v>0</v>
      </c>
      <c r="J1251" s="4">
        <f t="shared" si="112"/>
        <v>0</v>
      </c>
      <c r="K1251" s="4" t="str">
        <f t="shared" si="113"/>
        <v>Sm153</v>
      </c>
    </row>
    <row r="1252" spans="2:11" hidden="1" x14ac:dyDescent="0.2">
      <c r="B1252" s="4">
        <v>62154</v>
      </c>
      <c r="C1252" s="4">
        <v>0</v>
      </c>
      <c r="D1252">
        <v>0</v>
      </c>
      <c r="E1252" t="str">
        <f>VLOOKUP(B1252,Nuclides!A:F,5,FALSE)</f>
        <v>Sm154</v>
      </c>
      <c r="F1252" t="str">
        <f>VLOOKUP(B1252,Nuclides!A:F,4,FALSE)</f>
        <v>STABLE</v>
      </c>
      <c r="G1252" s="4" t="str">
        <f t="shared" si="109"/>
        <v>STABLE</v>
      </c>
      <c r="H1252" s="4" t="e">
        <f t="shared" si="110"/>
        <v>#VALUE!</v>
      </c>
      <c r="I1252" s="4" t="e">
        <f t="shared" si="111"/>
        <v>#VALUE!</v>
      </c>
      <c r="J1252" s="4" t="e">
        <f t="shared" si="112"/>
        <v>#VALUE!</v>
      </c>
      <c r="K1252" s="4" t="str">
        <f t="shared" si="113"/>
        <v>Sm154</v>
      </c>
    </row>
    <row r="1253" spans="2:11" hidden="1" x14ac:dyDescent="0.2">
      <c r="B1253" s="4">
        <v>62155</v>
      </c>
      <c r="C1253" s="4">
        <v>0</v>
      </c>
      <c r="D1253">
        <v>0</v>
      </c>
      <c r="E1253" t="str">
        <f>VLOOKUP(B1253,Nuclides!A:F,5,FALSE)</f>
        <v>Sm155</v>
      </c>
      <c r="F1253">
        <f>VLOOKUP(B1253,Nuclides!A:F,4,FALSE)</f>
        <v>1338</v>
      </c>
      <c r="G1253" s="4" t="str">
        <f t="shared" si="109"/>
        <v>22.3min</v>
      </c>
      <c r="H1253" s="4">
        <f t="shared" si="110"/>
        <v>5.1804722014943589E-4</v>
      </c>
      <c r="I1253" s="4">
        <f t="shared" si="111"/>
        <v>0</v>
      </c>
      <c r="J1253" s="4">
        <f t="shared" si="112"/>
        <v>0</v>
      </c>
      <c r="K1253" s="4" t="str">
        <f t="shared" si="113"/>
        <v>Sm155</v>
      </c>
    </row>
    <row r="1254" spans="2:11" hidden="1" x14ac:dyDescent="0.2">
      <c r="B1254" s="4">
        <v>62156</v>
      </c>
      <c r="C1254" s="4">
        <v>0</v>
      </c>
      <c r="D1254">
        <v>0</v>
      </c>
      <c r="E1254" t="str">
        <f>VLOOKUP(B1254,Nuclides!A:F,5,FALSE)</f>
        <v>Sm156</v>
      </c>
      <c r="F1254">
        <f>VLOOKUP(B1254,Nuclides!A:F,4,FALSE)</f>
        <v>33840</v>
      </c>
      <c r="G1254" s="4" t="str">
        <f t="shared" si="109"/>
        <v>9.4h</v>
      </c>
      <c r="H1254" s="4">
        <f t="shared" si="110"/>
        <v>2.0483072711582307E-5</v>
      </c>
      <c r="I1254" s="4">
        <f t="shared" si="111"/>
        <v>0</v>
      </c>
      <c r="J1254" s="4">
        <f t="shared" si="112"/>
        <v>0</v>
      </c>
      <c r="K1254" s="4" t="str">
        <f t="shared" si="113"/>
        <v>Sm156</v>
      </c>
    </row>
    <row r="1255" spans="2:11" hidden="1" x14ac:dyDescent="0.2">
      <c r="B1255" s="4">
        <v>62157</v>
      </c>
      <c r="C1255" s="4">
        <v>0</v>
      </c>
      <c r="D1255">
        <v>0</v>
      </c>
      <c r="E1255" t="str">
        <f>VLOOKUP(B1255,Nuclides!A:F,5,FALSE)</f>
        <v>Sm157</v>
      </c>
      <c r="F1255">
        <f>VLOOKUP(B1255,Nuclides!A:F,4,FALSE)</f>
        <v>481.79999999999899</v>
      </c>
      <c r="G1255" s="4" t="str">
        <f t="shared" si="109"/>
        <v>8.03min</v>
      </c>
      <c r="H1255" s="4">
        <f t="shared" si="110"/>
        <v>1.438661644997814E-3</v>
      </c>
      <c r="I1255" s="4">
        <f t="shared" si="111"/>
        <v>0</v>
      </c>
      <c r="J1255" s="4">
        <f t="shared" si="112"/>
        <v>0</v>
      </c>
      <c r="K1255" s="4" t="str">
        <f t="shared" si="113"/>
        <v>Sm157</v>
      </c>
    </row>
    <row r="1256" spans="2:11" hidden="1" x14ac:dyDescent="0.2">
      <c r="B1256" s="4">
        <v>62158</v>
      </c>
      <c r="C1256" s="4">
        <v>0</v>
      </c>
      <c r="D1256">
        <v>0</v>
      </c>
      <c r="E1256" t="str">
        <f>VLOOKUP(B1256,Nuclides!A:F,5,FALSE)</f>
        <v>Sm158</v>
      </c>
      <c r="F1256">
        <f>VLOOKUP(B1256,Nuclides!A:F,4,FALSE)</f>
        <v>318</v>
      </c>
      <c r="G1256" s="4" t="str">
        <f t="shared" si="109"/>
        <v>5.3min</v>
      </c>
      <c r="H1256" s="4">
        <f t="shared" si="110"/>
        <v>2.1797081149683814E-3</v>
      </c>
      <c r="I1256" s="4">
        <f t="shared" si="111"/>
        <v>0</v>
      </c>
      <c r="J1256" s="4">
        <f t="shared" si="112"/>
        <v>0</v>
      </c>
      <c r="K1256" s="4" t="str">
        <f t="shared" si="113"/>
        <v>Sm158</v>
      </c>
    </row>
    <row r="1257" spans="2:11" hidden="1" x14ac:dyDescent="0.2">
      <c r="B1257" s="4">
        <v>63138</v>
      </c>
      <c r="C1257" s="4">
        <v>0</v>
      </c>
      <c r="D1257">
        <v>0</v>
      </c>
      <c r="E1257" t="str">
        <f>VLOOKUP(B1257,Nuclides!A:F,5,FALSE)</f>
        <v>Eu138</v>
      </c>
      <c r="F1257">
        <f>VLOOKUP(B1257,Nuclides!A:F,4,FALSE)</f>
        <v>12.1</v>
      </c>
      <c r="G1257" s="4" t="str">
        <f t="shared" si="109"/>
        <v>12.1s</v>
      </c>
      <c r="H1257" s="4">
        <f t="shared" si="110"/>
        <v>5.728489095536738E-2</v>
      </c>
      <c r="I1257" s="4">
        <f t="shared" si="111"/>
        <v>0</v>
      </c>
      <c r="J1257" s="4">
        <f t="shared" si="112"/>
        <v>0</v>
      </c>
      <c r="K1257" s="4" t="str">
        <f t="shared" si="113"/>
        <v>Eu138</v>
      </c>
    </row>
    <row r="1258" spans="2:11" hidden="1" x14ac:dyDescent="0.2">
      <c r="B1258" s="4">
        <v>63139</v>
      </c>
      <c r="C1258" s="4">
        <v>0</v>
      </c>
      <c r="D1258">
        <v>0</v>
      </c>
      <c r="E1258" t="str">
        <f>VLOOKUP(B1258,Nuclides!A:F,5,FALSE)</f>
        <v>Eu139</v>
      </c>
      <c r="F1258">
        <f>VLOOKUP(B1258,Nuclides!A:F,4,FALSE)</f>
        <v>17.899999999999999</v>
      </c>
      <c r="G1258" s="4" t="str">
        <f t="shared" si="109"/>
        <v>17.9s</v>
      </c>
      <c r="H1258" s="4">
        <f t="shared" si="110"/>
        <v>3.8723306176533259E-2</v>
      </c>
      <c r="I1258" s="4">
        <f t="shared" si="111"/>
        <v>0</v>
      </c>
      <c r="J1258" s="4">
        <f t="shared" si="112"/>
        <v>0</v>
      </c>
      <c r="K1258" s="4" t="str">
        <f t="shared" si="113"/>
        <v>Eu139</v>
      </c>
    </row>
    <row r="1259" spans="2:11" hidden="1" x14ac:dyDescent="0.2">
      <c r="B1259" s="4">
        <v>63140</v>
      </c>
      <c r="C1259" s="4">
        <v>0</v>
      </c>
      <c r="D1259">
        <v>0</v>
      </c>
      <c r="E1259" t="str">
        <f>VLOOKUP(B1259,Nuclides!A:F,5,FALSE)</f>
        <v>Eu140</v>
      </c>
      <c r="F1259">
        <f>VLOOKUP(B1259,Nuclides!A:F,4,FALSE)</f>
        <v>1.51</v>
      </c>
      <c r="G1259" s="4" t="str">
        <f t="shared" si="109"/>
        <v>1.51s</v>
      </c>
      <c r="H1259" s="4">
        <f t="shared" si="110"/>
        <v>0.45903786792049356</v>
      </c>
      <c r="I1259" s="4">
        <f t="shared" si="111"/>
        <v>0</v>
      </c>
      <c r="J1259" s="4">
        <f t="shared" si="112"/>
        <v>0</v>
      </c>
      <c r="K1259" s="4" t="str">
        <f t="shared" si="113"/>
        <v>Eu140</v>
      </c>
    </row>
    <row r="1260" spans="2:11" hidden="1" x14ac:dyDescent="0.2">
      <c r="B1260" s="4">
        <v>63141</v>
      </c>
      <c r="C1260" s="4">
        <v>0</v>
      </c>
      <c r="D1260">
        <v>0</v>
      </c>
      <c r="E1260" t="str">
        <f>VLOOKUP(B1260,Nuclides!A:F,5,FALSE)</f>
        <v>Eu141</v>
      </c>
      <c r="F1260">
        <f>VLOOKUP(B1260,Nuclides!A:F,4,FALSE)</f>
        <v>40.700000000000003</v>
      </c>
      <c r="G1260" s="4" t="str">
        <f t="shared" si="109"/>
        <v>40.7s</v>
      </c>
      <c r="H1260" s="4">
        <f t="shared" si="110"/>
        <v>1.7030643257001113E-2</v>
      </c>
      <c r="I1260" s="4">
        <f t="shared" si="111"/>
        <v>0</v>
      </c>
      <c r="J1260" s="4">
        <f t="shared" si="112"/>
        <v>0</v>
      </c>
      <c r="K1260" s="4" t="str">
        <f t="shared" si="113"/>
        <v>Eu141</v>
      </c>
    </row>
    <row r="1261" spans="2:11" hidden="1" x14ac:dyDescent="0.2">
      <c r="B1261" s="4">
        <v>63142</v>
      </c>
      <c r="C1261" s="4">
        <v>0</v>
      </c>
      <c r="D1261">
        <v>0</v>
      </c>
      <c r="E1261" t="str">
        <f>VLOOKUP(B1261,Nuclides!A:F,5,FALSE)</f>
        <v>Eu142</v>
      </c>
      <c r="F1261">
        <f>VLOOKUP(B1261,Nuclides!A:F,4,FALSE)</f>
        <v>2.34</v>
      </c>
      <c r="G1261" s="4" t="str">
        <f t="shared" si="109"/>
        <v>2.34s</v>
      </c>
      <c r="H1261" s="4">
        <f t="shared" si="110"/>
        <v>0.29621674382903646</v>
      </c>
      <c r="I1261" s="4">
        <f t="shared" si="111"/>
        <v>0</v>
      </c>
      <c r="J1261" s="4">
        <f t="shared" si="112"/>
        <v>0</v>
      </c>
      <c r="K1261" s="4" t="str">
        <f t="shared" si="113"/>
        <v>Eu142</v>
      </c>
    </row>
    <row r="1262" spans="2:11" hidden="1" x14ac:dyDescent="0.2">
      <c r="B1262" s="4">
        <v>63143</v>
      </c>
      <c r="C1262" s="4">
        <v>0</v>
      </c>
      <c r="D1262">
        <v>0</v>
      </c>
      <c r="E1262" t="str">
        <f>VLOOKUP(B1262,Nuclides!A:F,5,FALSE)</f>
        <v>Eu143</v>
      </c>
      <c r="F1262">
        <f>VLOOKUP(B1262,Nuclides!A:F,4,FALSE)</f>
        <v>155.39999999999901</v>
      </c>
      <c r="G1262" s="4" t="str">
        <f t="shared" si="109"/>
        <v>2.59min</v>
      </c>
      <c r="H1262" s="4">
        <f t="shared" si="110"/>
        <v>4.4604065673098433E-3</v>
      </c>
      <c r="I1262" s="4">
        <f t="shared" si="111"/>
        <v>0</v>
      </c>
      <c r="J1262" s="4">
        <f t="shared" si="112"/>
        <v>0</v>
      </c>
      <c r="K1262" s="4" t="str">
        <f t="shared" si="113"/>
        <v>Eu143</v>
      </c>
    </row>
    <row r="1263" spans="2:11" hidden="1" x14ac:dyDescent="0.2">
      <c r="B1263" s="4">
        <v>63144</v>
      </c>
      <c r="C1263" s="4">
        <v>0</v>
      </c>
      <c r="D1263">
        <v>0</v>
      </c>
      <c r="E1263" t="str">
        <f>VLOOKUP(B1263,Nuclides!A:F,5,FALSE)</f>
        <v>Eu144</v>
      </c>
      <c r="F1263">
        <f>VLOOKUP(B1263,Nuclides!A:F,4,FALSE)</f>
        <v>10.199999999999999</v>
      </c>
      <c r="G1263" s="4" t="str">
        <f t="shared" si="109"/>
        <v>10.2s</v>
      </c>
      <c r="H1263" s="4">
        <f t="shared" si="110"/>
        <v>6.7955605937249544E-2</v>
      </c>
      <c r="I1263" s="4">
        <f t="shared" si="111"/>
        <v>0</v>
      </c>
      <c r="J1263" s="4">
        <f t="shared" si="112"/>
        <v>0</v>
      </c>
      <c r="K1263" s="4" t="str">
        <f t="shared" si="113"/>
        <v>Eu144</v>
      </c>
    </row>
    <row r="1264" spans="2:11" hidden="1" x14ac:dyDescent="0.2">
      <c r="B1264" s="4">
        <v>63145</v>
      </c>
      <c r="C1264" s="4">
        <v>0</v>
      </c>
      <c r="D1264">
        <v>0</v>
      </c>
      <c r="E1264" t="str">
        <f>VLOOKUP(B1264,Nuclides!A:F,5,FALSE)</f>
        <v>Eu145</v>
      </c>
      <c r="F1264">
        <f>VLOOKUP(B1264,Nuclides!A:F,4,FALSE)</f>
        <v>512352</v>
      </c>
      <c r="G1264" s="4" t="str">
        <f t="shared" si="109"/>
        <v>5.93d</v>
      </c>
      <c r="H1264" s="4">
        <f t="shared" si="110"/>
        <v>1.3528729868526819E-6</v>
      </c>
      <c r="I1264" s="4">
        <f t="shared" si="111"/>
        <v>0</v>
      </c>
      <c r="J1264" s="4">
        <f t="shared" si="112"/>
        <v>0</v>
      </c>
      <c r="K1264" s="4" t="str">
        <f t="shared" si="113"/>
        <v>Eu145</v>
      </c>
    </row>
    <row r="1265" spans="2:11" hidden="1" x14ac:dyDescent="0.2">
      <c r="B1265" s="4">
        <v>63146</v>
      </c>
      <c r="C1265" s="4">
        <v>0</v>
      </c>
      <c r="D1265">
        <v>0</v>
      </c>
      <c r="E1265" t="str">
        <f>VLOOKUP(B1265,Nuclides!A:F,5,FALSE)</f>
        <v>Eu146</v>
      </c>
      <c r="F1265">
        <f>VLOOKUP(B1265,Nuclides!A:F,4,FALSE)</f>
        <v>398304</v>
      </c>
      <c r="G1265" s="4" t="str">
        <f t="shared" si="109"/>
        <v>4.61d</v>
      </c>
      <c r="H1265" s="4">
        <f t="shared" si="110"/>
        <v>1.7402465969710203E-6</v>
      </c>
      <c r="I1265" s="4">
        <f t="shared" si="111"/>
        <v>0</v>
      </c>
      <c r="J1265" s="4">
        <f t="shared" si="112"/>
        <v>0</v>
      </c>
      <c r="K1265" s="4" t="str">
        <f t="shared" si="113"/>
        <v>Eu146</v>
      </c>
    </row>
    <row r="1266" spans="2:11" hidden="1" x14ac:dyDescent="0.2">
      <c r="B1266" s="4">
        <v>63147</v>
      </c>
      <c r="C1266" s="4">
        <v>0</v>
      </c>
      <c r="D1266">
        <v>0</v>
      </c>
      <c r="E1266" t="str">
        <f>VLOOKUP(B1266,Nuclides!A:F,5,FALSE)</f>
        <v>Eu147</v>
      </c>
      <c r="F1266">
        <f>VLOOKUP(B1266,Nuclides!A:F,4,FALSE)</f>
        <v>2082240</v>
      </c>
      <c r="G1266" s="4" t="str">
        <f t="shared" si="109"/>
        <v>24.1d</v>
      </c>
      <c r="H1266" s="4">
        <f t="shared" si="110"/>
        <v>3.3288534489777611E-7</v>
      </c>
      <c r="I1266" s="4">
        <f t="shared" si="111"/>
        <v>0</v>
      </c>
      <c r="J1266" s="4">
        <f t="shared" si="112"/>
        <v>0</v>
      </c>
      <c r="K1266" s="4" t="str">
        <f t="shared" si="113"/>
        <v>Eu147</v>
      </c>
    </row>
    <row r="1267" spans="2:11" hidden="1" x14ac:dyDescent="0.2">
      <c r="B1267" s="4">
        <v>63148</v>
      </c>
      <c r="C1267" s="4">
        <v>0</v>
      </c>
      <c r="D1267">
        <v>0</v>
      </c>
      <c r="E1267" t="str">
        <f>VLOOKUP(B1267,Nuclides!A:F,5,FALSE)</f>
        <v>Eu148</v>
      </c>
      <c r="F1267">
        <f>VLOOKUP(B1267,Nuclides!A:F,4,FALSE)</f>
        <v>4708800</v>
      </c>
      <c r="G1267" s="4" t="str">
        <f t="shared" si="109"/>
        <v>54.5d</v>
      </c>
      <c r="H1267" s="4">
        <f t="shared" si="110"/>
        <v>1.4720251031259457E-7</v>
      </c>
      <c r="I1267" s="4">
        <f t="shared" si="111"/>
        <v>0</v>
      </c>
      <c r="J1267" s="4">
        <f t="shared" si="112"/>
        <v>0</v>
      </c>
      <c r="K1267" s="4" t="str">
        <f t="shared" si="113"/>
        <v>Eu148</v>
      </c>
    </row>
    <row r="1268" spans="2:11" hidden="1" x14ac:dyDescent="0.2">
      <c r="B1268" s="4">
        <v>63149</v>
      </c>
      <c r="C1268" s="4">
        <v>0</v>
      </c>
      <c r="D1268">
        <v>0</v>
      </c>
      <c r="E1268" t="str">
        <f>VLOOKUP(B1268,Nuclides!A:F,5,FALSE)</f>
        <v>Eu149</v>
      </c>
      <c r="F1268">
        <f>VLOOKUP(B1268,Nuclides!A:F,4,FALSE)</f>
        <v>8043839.9999999898</v>
      </c>
      <c r="G1268" s="4" t="str">
        <f t="shared" si="109"/>
        <v>93.1d</v>
      </c>
      <c r="H1268" s="4">
        <f t="shared" si="110"/>
        <v>8.6171179506298749E-8</v>
      </c>
      <c r="I1268" s="4">
        <f t="shared" si="111"/>
        <v>0</v>
      </c>
      <c r="J1268" s="4">
        <f t="shared" si="112"/>
        <v>0</v>
      </c>
      <c r="K1268" s="4" t="str">
        <f t="shared" si="113"/>
        <v>Eu149</v>
      </c>
    </row>
    <row r="1269" spans="2:11" hidden="1" x14ac:dyDescent="0.2">
      <c r="B1269" s="4">
        <v>63150</v>
      </c>
      <c r="C1269" s="4">
        <v>0</v>
      </c>
      <c r="D1269">
        <v>0</v>
      </c>
      <c r="E1269" t="str">
        <f>VLOOKUP(B1269,Nuclides!A:F,5,FALSE)</f>
        <v>Eu150</v>
      </c>
      <c r="F1269">
        <f>VLOOKUP(B1269,Nuclides!A:F,4,FALSE)</f>
        <v>1164475440</v>
      </c>
      <c r="G1269" s="4" t="str">
        <f t="shared" si="109"/>
        <v>36.93y</v>
      </c>
      <c r="H1269" s="4">
        <f t="shared" si="110"/>
        <v>5.9524413890596548E-10</v>
      </c>
      <c r="I1269" s="4">
        <f t="shared" si="111"/>
        <v>0</v>
      </c>
      <c r="J1269" s="4">
        <f t="shared" si="112"/>
        <v>0</v>
      </c>
      <c r="K1269" s="4" t="str">
        <f t="shared" si="113"/>
        <v>Eu150</v>
      </c>
    </row>
    <row r="1270" spans="2:11" hidden="1" x14ac:dyDescent="0.2">
      <c r="B1270" s="4">
        <v>63151</v>
      </c>
      <c r="C1270" s="4">
        <v>0</v>
      </c>
      <c r="D1270">
        <v>0</v>
      </c>
      <c r="E1270" t="str">
        <f>VLOOKUP(B1270,Nuclides!A:F,5,FALSE)</f>
        <v>Eu151</v>
      </c>
      <c r="F1270">
        <f>VLOOKUP(B1270,Nuclides!A:F,4,FALSE)</f>
        <v>5.3647920000000002E+25</v>
      </c>
      <c r="G1270" s="4" t="str">
        <f t="shared" si="109"/>
        <v>1701164383561640000y</v>
      </c>
      <c r="H1270" s="4">
        <f t="shared" si="110"/>
        <v>1.2920299250370663E-26</v>
      </c>
      <c r="I1270" s="4">
        <f t="shared" si="111"/>
        <v>0</v>
      </c>
      <c r="J1270" s="4">
        <f t="shared" si="112"/>
        <v>0</v>
      </c>
      <c r="K1270" s="4" t="str">
        <f t="shared" si="113"/>
        <v>Eu151</v>
      </c>
    </row>
    <row r="1271" spans="2:11" hidden="1" x14ac:dyDescent="0.2">
      <c r="B1271" s="4">
        <v>63152</v>
      </c>
      <c r="C1271" s="4">
        <v>0</v>
      </c>
      <c r="D1271">
        <v>0</v>
      </c>
      <c r="E1271" t="str">
        <f>VLOOKUP(B1271,Nuclides!A:F,5,FALSE)</f>
        <v>Eu152</v>
      </c>
      <c r="F1271">
        <f>VLOOKUP(B1271,Nuclides!A:F,4,FALSE)</f>
        <v>426564079.19999999</v>
      </c>
      <c r="G1271" s="4" t="str">
        <f t="shared" si="109"/>
        <v>13.53y</v>
      </c>
      <c r="H1271" s="4">
        <f t="shared" si="110"/>
        <v>1.6249544074595049E-9</v>
      </c>
      <c r="I1271" s="4">
        <f t="shared" si="111"/>
        <v>0</v>
      </c>
      <c r="J1271" s="4">
        <f t="shared" si="112"/>
        <v>0</v>
      </c>
      <c r="K1271" s="4" t="str">
        <f t="shared" si="113"/>
        <v>Eu152</v>
      </c>
    </row>
    <row r="1272" spans="2:11" hidden="1" x14ac:dyDescent="0.2">
      <c r="B1272" s="4">
        <v>63153</v>
      </c>
      <c r="C1272" s="4">
        <v>0</v>
      </c>
      <c r="D1272">
        <v>0</v>
      </c>
      <c r="E1272" t="str">
        <f>VLOOKUP(B1272,Nuclides!A:F,5,FALSE)</f>
        <v>Eu153</v>
      </c>
      <c r="F1272" t="str">
        <f>VLOOKUP(B1272,Nuclides!A:F,4,FALSE)</f>
        <v>STABLE</v>
      </c>
      <c r="G1272" s="4" t="str">
        <f t="shared" si="109"/>
        <v>STABLE</v>
      </c>
      <c r="H1272" s="4" t="e">
        <f t="shared" si="110"/>
        <v>#VALUE!</v>
      </c>
      <c r="I1272" s="4" t="e">
        <f t="shared" si="111"/>
        <v>#VALUE!</v>
      </c>
      <c r="J1272" s="4" t="e">
        <f t="shared" si="112"/>
        <v>#VALUE!</v>
      </c>
      <c r="K1272" s="4" t="str">
        <f t="shared" si="113"/>
        <v>Eu153</v>
      </c>
    </row>
    <row r="1273" spans="2:11" hidden="1" x14ac:dyDescent="0.2">
      <c r="B1273" s="4">
        <v>63154</v>
      </c>
      <c r="C1273" s="4">
        <v>0</v>
      </c>
      <c r="D1273">
        <v>0</v>
      </c>
      <c r="E1273" t="str">
        <f>VLOOKUP(B1273,Nuclides!A:F,5,FALSE)</f>
        <v>Eu154</v>
      </c>
      <c r="F1273">
        <f>VLOOKUP(B1273,Nuclides!A:F,4,FALSE)</f>
        <v>271426917.60000002</v>
      </c>
      <c r="G1273" s="4" t="str">
        <f t="shared" si="109"/>
        <v>8.61y</v>
      </c>
      <c r="H1273" s="4">
        <f t="shared" si="110"/>
        <v>2.5537156988292206E-9</v>
      </c>
      <c r="I1273" s="4">
        <f t="shared" si="111"/>
        <v>0</v>
      </c>
      <c r="J1273" s="4">
        <f t="shared" si="112"/>
        <v>0</v>
      </c>
      <c r="K1273" s="4" t="str">
        <f t="shared" si="113"/>
        <v>Eu154</v>
      </c>
    </row>
    <row r="1274" spans="2:11" hidden="1" x14ac:dyDescent="0.2">
      <c r="B1274" s="4">
        <v>63155</v>
      </c>
      <c r="C1274" s="4">
        <v>0</v>
      </c>
      <c r="D1274">
        <v>0</v>
      </c>
      <c r="E1274" t="str">
        <f>VLOOKUP(B1274,Nuclides!A:F,5,FALSE)</f>
        <v>Eu155</v>
      </c>
      <c r="F1274">
        <f>VLOOKUP(B1274,Nuclides!A:F,4,FALSE)</f>
        <v>149993272.80000001</v>
      </c>
      <c r="G1274" s="4" t="str">
        <f t="shared" si="109"/>
        <v>4.76y</v>
      </c>
      <c r="H1274" s="4">
        <f t="shared" si="110"/>
        <v>4.6211884547927889E-9</v>
      </c>
      <c r="I1274" s="4">
        <f t="shared" si="111"/>
        <v>0</v>
      </c>
      <c r="J1274" s="4">
        <f t="shared" si="112"/>
        <v>0</v>
      </c>
      <c r="K1274" s="4" t="str">
        <f t="shared" si="113"/>
        <v>Eu155</v>
      </c>
    </row>
    <row r="1275" spans="2:11" hidden="1" x14ac:dyDescent="0.2">
      <c r="B1275" s="4">
        <v>63156</v>
      </c>
      <c r="C1275" s="4">
        <v>0</v>
      </c>
      <c r="D1275">
        <v>0</v>
      </c>
      <c r="E1275" t="str">
        <f>VLOOKUP(B1275,Nuclides!A:F,5,FALSE)</f>
        <v>Eu156</v>
      </c>
      <c r="F1275">
        <f>VLOOKUP(B1275,Nuclides!A:F,4,FALSE)</f>
        <v>1312416</v>
      </c>
      <c r="G1275" s="4" t="str">
        <f t="shared" si="109"/>
        <v>15.19d</v>
      </c>
      <c r="H1275" s="4">
        <f t="shared" si="110"/>
        <v>5.2814593890957231E-7</v>
      </c>
      <c r="I1275" s="4">
        <f t="shared" si="111"/>
        <v>0</v>
      </c>
      <c r="J1275" s="4">
        <f t="shared" si="112"/>
        <v>0</v>
      </c>
      <c r="K1275" s="4" t="str">
        <f t="shared" si="113"/>
        <v>Eu156</v>
      </c>
    </row>
    <row r="1276" spans="2:11" hidden="1" x14ac:dyDescent="0.2">
      <c r="B1276" s="4">
        <v>63157</v>
      </c>
      <c r="C1276" s="4">
        <v>0</v>
      </c>
      <c r="D1276">
        <v>0</v>
      </c>
      <c r="E1276" t="str">
        <f>VLOOKUP(B1276,Nuclides!A:F,5,FALSE)</f>
        <v>Eu157</v>
      </c>
      <c r="F1276">
        <f>VLOOKUP(B1276,Nuclides!A:F,4,FALSE)</f>
        <v>54648</v>
      </c>
      <c r="G1276" s="4" t="str">
        <f t="shared" si="109"/>
        <v>15.18h</v>
      </c>
      <c r="H1276" s="4">
        <f t="shared" si="110"/>
        <v>1.2683852667251232E-5</v>
      </c>
      <c r="I1276" s="4">
        <f t="shared" si="111"/>
        <v>0</v>
      </c>
      <c r="J1276" s="4">
        <f t="shared" si="112"/>
        <v>0</v>
      </c>
      <c r="K1276" s="4" t="str">
        <f t="shared" si="113"/>
        <v>Eu157</v>
      </c>
    </row>
    <row r="1277" spans="2:11" hidden="1" x14ac:dyDescent="0.2">
      <c r="B1277" s="4">
        <v>63158</v>
      </c>
      <c r="C1277" s="4">
        <v>0</v>
      </c>
      <c r="D1277">
        <v>0</v>
      </c>
      <c r="E1277" t="str">
        <f>VLOOKUP(B1277,Nuclides!A:F,5,FALSE)</f>
        <v>Eu158</v>
      </c>
      <c r="F1277">
        <f>VLOOKUP(B1277,Nuclides!A:F,4,FALSE)</f>
        <v>2754</v>
      </c>
      <c r="G1277" s="4" t="str">
        <f t="shared" si="109"/>
        <v>45.9min</v>
      </c>
      <c r="H1277" s="4">
        <f t="shared" si="110"/>
        <v>2.5168742939722053E-4</v>
      </c>
      <c r="I1277" s="4">
        <f t="shared" si="111"/>
        <v>0</v>
      </c>
      <c r="J1277" s="4">
        <f t="shared" si="112"/>
        <v>0</v>
      </c>
      <c r="K1277" s="4" t="str">
        <f t="shared" si="113"/>
        <v>Eu158</v>
      </c>
    </row>
    <row r="1278" spans="2:11" hidden="1" x14ac:dyDescent="0.2">
      <c r="B1278" s="4">
        <v>63159</v>
      </c>
      <c r="C1278" s="4">
        <v>0</v>
      </c>
      <c r="D1278">
        <v>0</v>
      </c>
      <c r="E1278" t="str">
        <f>VLOOKUP(B1278,Nuclides!A:F,5,FALSE)</f>
        <v>Eu159</v>
      </c>
      <c r="F1278">
        <f>VLOOKUP(B1278,Nuclides!A:F,4,FALSE)</f>
        <v>1086</v>
      </c>
      <c r="G1278" s="4" t="str">
        <f t="shared" si="109"/>
        <v>18.1min</v>
      </c>
      <c r="H1278" s="4">
        <f t="shared" si="110"/>
        <v>6.3825707233880783E-4</v>
      </c>
      <c r="I1278" s="4">
        <f t="shared" si="111"/>
        <v>0</v>
      </c>
      <c r="J1278" s="4">
        <f t="shared" si="112"/>
        <v>0</v>
      </c>
      <c r="K1278" s="4" t="str">
        <f t="shared" si="113"/>
        <v>Eu159</v>
      </c>
    </row>
    <row r="1279" spans="2:11" hidden="1" x14ac:dyDescent="0.2">
      <c r="B1279" s="4">
        <v>63160</v>
      </c>
      <c r="C1279" s="4">
        <v>0</v>
      </c>
      <c r="D1279">
        <v>0</v>
      </c>
      <c r="E1279" t="str">
        <f>VLOOKUP(B1279,Nuclides!A:F,5,FALSE)</f>
        <v>Eu160</v>
      </c>
      <c r="F1279">
        <f>VLOOKUP(B1279,Nuclides!A:F,4,FALSE)</f>
        <v>38</v>
      </c>
      <c r="G1279" s="4" t="str">
        <f t="shared" si="109"/>
        <v>38s</v>
      </c>
      <c r="H1279" s="4">
        <f t="shared" si="110"/>
        <v>1.8240715277893296E-2</v>
      </c>
      <c r="I1279" s="4">
        <f t="shared" si="111"/>
        <v>0</v>
      </c>
      <c r="J1279" s="4">
        <f t="shared" si="112"/>
        <v>0</v>
      </c>
      <c r="K1279" s="4" t="str">
        <f t="shared" si="113"/>
        <v>Eu160</v>
      </c>
    </row>
    <row r="1280" spans="2:11" hidden="1" x14ac:dyDescent="0.2">
      <c r="B1280" s="4">
        <v>64142</v>
      </c>
      <c r="C1280" s="4">
        <v>0</v>
      </c>
      <c r="D1280">
        <v>0</v>
      </c>
      <c r="E1280" t="str">
        <f>VLOOKUP(B1280,Nuclides!A:F,5,FALSE)</f>
        <v>Gd142</v>
      </c>
      <c r="F1280">
        <f>VLOOKUP(B1280,Nuclides!A:F,4,FALSE)</f>
        <v>70.2</v>
      </c>
      <c r="G1280" s="4" t="str">
        <f t="shared" si="109"/>
        <v>1.17min</v>
      </c>
      <c r="H1280" s="4">
        <f t="shared" si="110"/>
        <v>9.8738914609678811E-3</v>
      </c>
      <c r="I1280" s="4">
        <f t="shared" si="111"/>
        <v>0</v>
      </c>
      <c r="J1280" s="4">
        <f t="shared" si="112"/>
        <v>0</v>
      </c>
      <c r="K1280" s="4" t="str">
        <f t="shared" si="113"/>
        <v>Gd142</v>
      </c>
    </row>
    <row r="1281" spans="2:11" hidden="1" x14ac:dyDescent="0.2">
      <c r="B1281" s="4">
        <v>64143</v>
      </c>
      <c r="C1281" s="4">
        <v>0</v>
      </c>
      <c r="D1281">
        <v>0</v>
      </c>
      <c r="E1281" t="str">
        <f>VLOOKUP(B1281,Nuclides!A:F,5,FALSE)</f>
        <v>Gd143</v>
      </c>
      <c r="F1281">
        <f>VLOOKUP(B1281,Nuclides!A:F,4,FALSE)</f>
        <v>39</v>
      </c>
      <c r="G1281" s="4" t="str">
        <f t="shared" si="109"/>
        <v>39s</v>
      </c>
      <c r="H1281" s="4">
        <f t="shared" si="110"/>
        <v>1.7773004629742187E-2</v>
      </c>
      <c r="I1281" s="4">
        <f t="shared" si="111"/>
        <v>0</v>
      </c>
      <c r="J1281" s="4">
        <f t="shared" si="112"/>
        <v>0</v>
      </c>
      <c r="K1281" s="4" t="str">
        <f t="shared" si="113"/>
        <v>Gd143</v>
      </c>
    </row>
    <row r="1282" spans="2:11" hidden="1" x14ac:dyDescent="0.2">
      <c r="B1282" s="4">
        <v>64144</v>
      </c>
      <c r="C1282" s="4">
        <v>0</v>
      </c>
      <c r="D1282">
        <v>0</v>
      </c>
      <c r="E1282" t="str">
        <f>VLOOKUP(B1282,Nuclides!A:F,5,FALSE)</f>
        <v>Gd144</v>
      </c>
      <c r="F1282">
        <f>VLOOKUP(B1282,Nuclides!A:F,4,FALSE)</f>
        <v>268.2</v>
      </c>
      <c r="G1282" s="4" t="str">
        <f t="shared" si="109"/>
        <v>4.47min</v>
      </c>
      <c r="H1282" s="4">
        <f t="shared" si="110"/>
        <v>2.5844413891123988E-3</v>
      </c>
      <c r="I1282" s="4">
        <f t="shared" si="111"/>
        <v>0</v>
      </c>
      <c r="J1282" s="4">
        <f t="shared" si="112"/>
        <v>0</v>
      </c>
      <c r="K1282" s="4" t="str">
        <f t="shared" si="113"/>
        <v>Gd144</v>
      </c>
    </row>
    <row r="1283" spans="2:11" hidden="1" x14ac:dyDescent="0.2">
      <c r="B1283" s="4">
        <v>64145</v>
      </c>
      <c r="C1283" s="4">
        <v>0</v>
      </c>
      <c r="D1283">
        <v>0</v>
      </c>
      <c r="E1283" t="str">
        <f>VLOOKUP(B1283,Nuclides!A:F,5,FALSE)</f>
        <v>Gd145</v>
      </c>
      <c r="F1283">
        <f>VLOOKUP(B1283,Nuclides!A:F,4,FALSE)</f>
        <v>1380</v>
      </c>
      <c r="G1283" s="4" t="str">
        <f t="shared" si="109"/>
        <v>23min</v>
      </c>
      <c r="H1283" s="4">
        <f t="shared" si="110"/>
        <v>5.0228056562314871E-4</v>
      </c>
      <c r="I1283" s="4">
        <f t="shared" si="111"/>
        <v>0</v>
      </c>
      <c r="J1283" s="4">
        <f t="shared" si="112"/>
        <v>0</v>
      </c>
      <c r="K1283" s="4" t="str">
        <f t="shared" si="113"/>
        <v>Gd145</v>
      </c>
    </row>
    <row r="1284" spans="2:11" hidden="1" x14ac:dyDescent="0.2">
      <c r="B1284" s="4">
        <v>64146</v>
      </c>
      <c r="C1284" s="4">
        <v>0</v>
      </c>
      <c r="D1284">
        <v>0</v>
      </c>
      <c r="E1284" t="str">
        <f>VLOOKUP(B1284,Nuclides!A:F,5,FALSE)</f>
        <v>Gd146</v>
      </c>
      <c r="F1284">
        <f>VLOOKUP(B1284,Nuclides!A:F,4,FALSE)</f>
        <v>4170528</v>
      </c>
      <c r="G1284" s="4" t="str">
        <f t="shared" si="109"/>
        <v>48.27d</v>
      </c>
      <c r="H1284" s="4">
        <f t="shared" si="110"/>
        <v>1.6620130126447905E-7</v>
      </c>
      <c r="I1284" s="4">
        <f t="shared" si="111"/>
        <v>0</v>
      </c>
      <c r="J1284" s="4">
        <f t="shared" si="112"/>
        <v>0</v>
      </c>
      <c r="K1284" s="4" t="str">
        <f t="shared" si="113"/>
        <v>Gd146</v>
      </c>
    </row>
    <row r="1285" spans="2:11" hidden="1" x14ac:dyDescent="0.2">
      <c r="B1285" s="4">
        <v>64147</v>
      </c>
      <c r="C1285" s="4">
        <v>0</v>
      </c>
      <c r="D1285">
        <v>0</v>
      </c>
      <c r="E1285" t="str">
        <f>VLOOKUP(B1285,Nuclides!A:F,5,FALSE)</f>
        <v>Gd147</v>
      </c>
      <c r="F1285">
        <f>VLOOKUP(B1285,Nuclides!A:F,4,FALSE)</f>
        <v>137016</v>
      </c>
      <c r="G1285" s="4" t="str">
        <f t="shared" ref="G1285:G1348" si="114">IF(F1285="STABLE", "STABLE", IF(F1285&lt;60, F1285&amp;"s", IF(F1285&lt;3600, ROUND(F1285/60,2)&amp;"min", IF(F1285&lt;86400, ROUND(F1285/3600,2)&amp;"h", IF(F1285&lt;31536000, ROUND(F1285/86400,2)&amp;"d", ROUND(F1285/31536000,2)&amp;"y")))))</f>
        <v>1.59d</v>
      </c>
      <c r="H1285" s="4">
        <f t="shared" ref="H1285:H1348" si="115">LN(2)/F1285</f>
        <v>5.0588776534123408E-6</v>
      </c>
      <c r="I1285" s="4">
        <f t="shared" ref="I1285:I1348" si="116">60*6240000000000*C1285*(1-EXP(-H1285*2*3600))</f>
        <v>0</v>
      </c>
      <c r="J1285" s="4">
        <f t="shared" ref="J1285:J1348" si="117">I1285*EXP(-H1285*48*3600)</f>
        <v>0</v>
      </c>
      <c r="K1285" s="4" t="str">
        <f t="shared" ref="K1285:K1348" si="118">E1285</f>
        <v>Gd147</v>
      </c>
    </row>
    <row r="1286" spans="2:11" hidden="1" x14ac:dyDescent="0.2">
      <c r="B1286" s="4">
        <v>64148</v>
      </c>
      <c r="C1286" s="4">
        <v>0</v>
      </c>
      <c r="D1286">
        <v>0</v>
      </c>
      <c r="E1286" t="str">
        <f>VLOOKUP(B1286,Nuclides!A:F,5,FALSE)</f>
        <v>Gd148</v>
      </c>
      <c r="F1286">
        <f>VLOOKUP(B1286,Nuclides!A:F,4,FALSE)</f>
        <v>2243745360</v>
      </c>
      <c r="G1286" s="4" t="str">
        <f t="shared" si="114"/>
        <v>71.15y</v>
      </c>
      <c r="H1286" s="4">
        <f t="shared" si="115"/>
        <v>3.0892417335626059E-10</v>
      </c>
      <c r="I1286" s="4">
        <f t="shared" si="116"/>
        <v>0</v>
      </c>
      <c r="J1286" s="4">
        <f t="shared" si="117"/>
        <v>0</v>
      </c>
      <c r="K1286" s="4" t="str">
        <f t="shared" si="118"/>
        <v>Gd148</v>
      </c>
    </row>
    <row r="1287" spans="2:11" hidden="1" x14ac:dyDescent="0.2">
      <c r="B1287" s="4">
        <v>64149</v>
      </c>
      <c r="C1287" s="4">
        <v>0</v>
      </c>
      <c r="D1287">
        <v>0</v>
      </c>
      <c r="E1287" t="str">
        <f>VLOOKUP(B1287,Nuclides!A:F,5,FALSE)</f>
        <v>Gd149</v>
      </c>
      <c r="F1287">
        <f>VLOOKUP(B1287,Nuclides!A:F,4,FALSE)</f>
        <v>801792</v>
      </c>
      <c r="G1287" s="4" t="str">
        <f t="shared" si="114"/>
        <v>9.28d</v>
      </c>
      <c r="H1287" s="4">
        <f t="shared" si="115"/>
        <v>8.6449750129702627E-7</v>
      </c>
      <c r="I1287" s="4">
        <f t="shared" si="116"/>
        <v>0</v>
      </c>
      <c r="J1287" s="4">
        <f t="shared" si="117"/>
        <v>0</v>
      </c>
      <c r="K1287" s="4" t="str">
        <f t="shared" si="118"/>
        <v>Gd149</v>
      </c>
    </row>
    <row r="1288" spans="2:11" hidden="1" x14ac:dyDescent="0.2">
      <c r="B1288" s="4">
        <v>64150</v>
      </c>
      <c r="C1288" s="4">
        <v>0</v>
      </c>
      <c r="D1288">
        <v>0</v>
      </c>
      <c r="E1288" t="str">
        <f>VLOOKUP(B1288,Nuclides!A:F,5,FALSE)</f>
        <v>Gd150</v>
      </c>
      <c r="F1288">
        <f>VLOOKUP(B1288,Nuclides!A:F,4,FALSE)</f>
        <v>56488104000000</v>
      </c>
      <c r="G1288" s="4" t="str">
        <f t="shared" si="114"/>
        <v>1791226.03y</v>
      </c>
      <c r="H1288" s="4">
        <f t="shared" si="115"/>
        <v>1.2270675265715155E-14</v>
      </c>
      <c r="I1288" s="4">
        <f t="shared" si="116"/>
        <v>0</v>
      </c>
      <c r="J1288" s="4">
        <f t="shared" si="117"/>
        <v>0</v>
      </c>
      <c r="K1288" s="4" t="str">
        <f t="shared" si="118"/>
        <v>Gd150</v>
      </c>
    </row>
    <row r="1289" spans="2:11" hidden="1" x14ac:dyDescent="0.2">
      <c r="B1289" s="4">
        <v>64151</v>
      </c>
      <c r="C1289" s="4">
        <v>0</v>
      </c>
      <c r="D1289">
        <v>0</v>
      </c>
      <c r="E1289" t="str">
        <f>VLOOKUP(B1289,Nuclides!A:F,5,FALSE)</f>
        <v>Gd151</v>
      </c>
      <c r="F1289">
        <f>VLOOKUP(B1289,Nuclides!A:F,4,FALSE)</f>
        <v>10704960</v>
      </c>
      <c r="G1289" s="4" t="str">
        <f t="shared" si="114"/>
        <v>123.9d</v>
      </c>
      <c r="H1289" s="4">
        <f t="shared" si="115"/>
        <v>6.4750095335241355E-8</v>
      </c>
      <c r="I1289" s="4">
        <f t="shared" si="116"/>
        <v>0</v>
      </c>
      <c r="J1289" s="4">
        <f t="shared" si="117"/>
        <v>0</v>
      </c>
      <c r="K1289" s="4" t="str">
        <f t="shared" si="118"/>
        <v>Gd151</v>
      </c>
    </row>
    <row r="1290" spans="2:11" hidden="1" x14ac:dyDescent="0.2">
      <c r="B1290" s="4">
        <v>64152</v>
      </c>
      <c r="C1290" s="4">
        <v>0</v>
      </c>
      <c r="D1290">
        <v>0</v>
      </c>
      <c r="E1290" t="str">
        <f>VLOOKUP(B1290,Nuclides!A:F,5,FALSE)</f>
        <v>Gd152</v>
      </c>
      <c r="F1290">
        <f>VLOOKUP(B1290,Nuclides!A:F,4,FALSE)</f>
        <v>3.4082208E+21</v>
      </c>
      <c r="G1290" s="4" t="str">
        <f t="shared" si="114"/>
        <v>108073972602740y</v>
      </c>
      <c r="H1290" s="4">
        <f t="shared" si="115"/>
        <v>2.0337508079287153E-22</v>
      </c>
      <c r="I1290" s="4">
        <f t="shared" si="116"/>
        <v>0</v>
      </c>
      <c r="J1290" s="4">
        <f t="shared" si="117"/>
        <v>0</v>
      </c>
      <c r="K1290" s="4" t="str">
        <f t="shared" si="118"/>
        <v>Gd152</v>
      </c>
    </row>
    <row r="1291" spans="2:11" hidden="1" x14ac:dyDescent="0.2">
      <c r="B1291" s="4">
        <v>64153</v>
      </c>
      <c r="C1291" s="4">
        <v>0</v>
      </c>
      <c r="D1291">
        <v>0</v>
      </c>
      <c r="E1291" t="str">
        <f>VLOOKUP(B1291,Nuclides!A:F,5,FALSE)</f>
        <v>Gd153</v>
      </c>
      <c r="F1291">
        <f>VLOOKUP(B1291,Nuclides!A:F,4,FALSE)</f>
        <v>20770560</v>
      </c>
      <c r="G1291" s="4" t="str">
        <f t="shared" si="114"/>
        <v>240.4d</v>
      </c>
      <c r="H1291" s="4">
        <f t="shared" si="115"/>
        <v>3.3371617354560749E-8</v>
      </c>
      <c r="I1291" s="4">
        <f t="shared" si="116"/>
        <v>0</v>
      </c>
      <c r="J1291" s="4">
        <f t="shared" si="117"/>
        <v>0</v>
      </c>
      <c r="K1291" s="4" t="str">
        <f t="shared" si="118"/>
        <v>Gd153</v>
      </c>
    </row>
    <row r="1292" spans="2:11" hidden="1" x14ac:dyDescent="0.2">
      <c r="B1292" s="4">
        <v>64154</v>
      </c>
      <c r="C1292" s="4">
        <v>0</v>
      </c>
      <c r="D1292">
        <v>0</v>
      </c>
      <c r="E1292" t="str">
        <f>VLOOKUP(B1292,Nuclides!A:F,5,FALSE)</f>
        <v>Gd154</v>
      </c>
      <c r="F1292" t="str">
        <f>VLOOKUP(B1292,Nuclides!A:F,4,FALSE)</f>
        <v>STABLE</v>
      </c>
      <c r="G1292" s="4" t="str">
        <f t="shared" si="114"/>
        <v>STABLE</v>
      </c>
      <c r="H1292" s="4" t="e">
        <f t="shared" si="115"/>
        <v>#VALUE!</v>
      </c>
      <c r="I1292" s="4" t="e">
        <f t="shared" si="116"/>
        <v>#VALUE!</v>
      </c>
      <c r="J1292" s="4" t="e">
        <f t="shared" si="117"/>
        <v>#VALUE!</v>
      </c>
      <c r="K1292" s="4" t="str">
        <f t="shared" si="118"/>
        <v>Gd154</v>
      </c>
    </row>
    <row r="1293" spans="2:11" hidden="1" x14ac:dyDescent="0.2">
      <c r="B1293" s="4">
        <v>64155</v>
      </c>
      <c r="C1293" s="4">
        <v>0</v>
      </c>
      <c r="D1293">
        <v>0</v>
      </c>
      <c r="E1293" t="str">
        <f>VLOOKUP(B1293,Nuclides!A:F,5,FALSE)</f>
        <v>Gd155</v>
      </c>
      <c r="F1293" t="str">
        <f>VLOOKUP(B1293,Nuclides!A:F,4,FALSE)</f>
        <v>STABLE</v>
      </c>
      <c r="G1293" s="4" t="str">
        <f t="shared" si="114"/>
        <v>STABLE</v>
      </c>
      <c r="H1293" s="4" t="e">
        <f t="shared" si="115"/>
        <v>#VALUE!</v>
      </c>
      <c r="I1293" s="4" t="e">
        <f t="shared" si="116"/>
        <v>#VALUE!</v>
      </c>
      <c r="J1293" s="4" t="e">
        <f t="shared" si="117"/>
        <v>#VALUE!</v>
      </c>
      <c r="K1293" s="4" t="str">
        <f t="shared" si="118"/>
        <v>Gd155</v>
      </c>
    </row>
    <row r="1294" spans="2:11" hidden="1" x14ac:dyDescent="0.2">
      <c r="B1294" s="4">
        <v>64156</v>
      </c>
      <c r="C1294" s="4">
        <v>0</v>
      </c>
      <c r="D1294">
        <v>0</v>
      </c>
      <c r="E1294" t="str">
        <f>VLOOKUP(B1294,Nuclides!A:F,5,FALSE)</f>
        <v>Gd156</v>
      </c>
      <c r="F1294" t="str">
        <f>VLOOKUP(B1294,Nuclides!A:F,4,FALSE)</f>
        <v>STABLE</v>
      </c>
      <c r="G1294" s="4" t="str">
        <f t="shared" si="114"/>
        <v>STABLE</v>
      </c>
      <c r="H1294" s="4" t="e">
        <f t="shared" si="115"/>
        <v>#VALUE!</v>
      </c>
      <c r="I1294" s="4" t="e">
        <f t="shared" si="116"/>
        <v>#VALUE!</v>
      </c>
      <c r="J1294" s="4" t="e">
        <f t="shared" si="117"/>
        <v>#VALUE!</v>
      </c>
      <c r="K1294" s="4" t="str">
        <f t="shared" si="118"/>
        <v>Gd156</v>
      </c>
    </row>
    <row r="1295" spans="2:11" hidden="1" x14ac:dyDescent="0.2">
      <c r="B1295" s="4">
        <v>64157</v>
      </c>
      <c r="C1295" s="4">
        <v>0</v>
      </c>
      <c r="D1295">
        <v>0</v>
      </c>
      <c r="E1295" t="str">
        <f>VLOOKUP(B1295,Nuclides!A:F,5,FALSE)</f>
        <v>Gd157</v>
      </c>
      <c r="F1295" t="str">
        <f>VLOOKUP(B1295,Nuclides!A:F,4,FALSE)</f>
        <v>STABLE</v>
      </c>
      <c r="G1295" s="4" t="str">
        <f t="shared" si="114"/>
        <v>STABLE</v>
      </c>
      <c r="H1295" s="4" t="e">
        <f t="shared" si="115"/>
        <v>#VALUE!</v>
      </c>
      <c r="I1295" s="4" t="e">
        <f t="shared" si="116"/>
        <v>#VALUE!</v>
      </c>
      <c r="J1295" s="4" t="e">
        <f t="shared" si="117"/>
        <v>#VALUE!</v>
      </c>
      <c r="K1295" s="4" t="str">
        <f t="shared" si="118"/>
        <v>Gd157</v>
      </c>
    </row>
    <row r="1296" spans="2:11" hidden="1" x14ac:dyDescent="0.2">
      <c r="B1296" s="4">
        <v>64158</v>
      </c>
      <c r="C1296" s="4">
        <v>0</v>
      </c>
      <c r="D1296">
        <v>0</v>
      </c>
      <c r="E1296" t="str">
        <f>VLOOKUP(B1296,Nuclides!A:F,5,FALSE)</f>
        <v>Gd158</v>
      </c>
      <c r="F1296" t="str">
        <f>VLOOKUP(B1296,Nuclides!A:F,4,FALSE)</f>
        <v>STABLE</v>
      </c>
      <c r="G1296" s="4" t="str">
        <f t="shared" si="114"/>
        <v>STABLE</v>
      </c>
      <c r="H1296" s="4" t="e">
        <f t="shared" si="115"/>
        <v>#VALUE!</v>
      </c>
      <c r="I1296" s="4" t="e">
        <f t="shared" si="116"/>
        <v>#VALUE!</v>
      </c>
      <c r="J1296" s="4" t="e">
        <f t="shared" si="117"/>
        <v>#VALUE!</v>
      </c>
      <c r="K1296" s="4" t="str">
        <f t="shared" si="118"/>
        <v>Gd158</v>
      </c>
    </row>
    <row r="1297" spans="2:11" hidden="1" x14ac:dyDescent="0.2">
      <c r="B1297" s="4">
        <v>64159</v>
      </c>
      <c r="C1297" s="4">
        <v>0</v>
      </c>
      <c r="D1297">
        <v>0</v>
      </c>
      <c r="E1297" t="str">
        <f>VLOOKUP(B1297,Nuclides!A:F,5,FALSE)</f>
        <v>Gd159</v>
      </c>
      <c r="F1297">
        <f>VLOOKUP(B1297,Nuclides!A:F,4,FALSE)</f>
        <v>66524.399999999994</v>
      </c>
      <c r="G1297" s="4" t="str">
        <f t="shared" si="114"/>
        <v>18.48h</v>
      </c>
      <c r="H1297" s="4">
        <f t="shared" si="115"/>
        <v>1.0419442799332956E-5</v>
      </c>
      <c r="I1297" s="4">
        <f t="shared" si="116"/>
        <v>0</v>
      </c>
      <c r="J1297" s="4">
        <f t="shared" si="117"/>
        <v>0</v>
      </c>
      <c r="K1297" s="4" t="str">
        <f t="shared" si="118"/>
        <v>Gd159</v>
      </c>
    </row>
    <row r="1298" spans="2:11" hidden="1" x14ac:dyDescent="0.2">
      <c r="B1298" s="4">
        <v>64160</v>
      </c>
      <c r="C1298" s="4">
        <v>0</v>
      </c>
      <c r="D1298">
        <v>0</v>
      </c>
      <c r="E1298" t="str">
        <f>VLOOKUP(B1298,Nuclides!A:F,5,FALSE)</f>
        <v>Gd160</v>
      </c>
      <c r="F1298">
        <f>VLOOKUP(B1298,Nuclides!A:F,4,FALSE)</f>
        <v>9.7828559999999996E+26</v>
      </c>
      <c r="G1298" s="4" t="str">
        <f t="shared" si="114"/>
        <v>31021232876712300000y</v>
      </c>
      <c r="H1298" s="4">
        <f t="shared" si="115"/>
        <v>7.0853253953645573E-28</v>
      </c>
      <c r="I1298" s="4">
        <f t="shared" si="116"/>
        <v>0</v>
      </c>
      <c r="J1298" s="4">
        <f t="shared" si="117"/>
        <v>0</v>
      </c>
      <c r="K1298" s="4" t="str">
        <f t="shared" si="118"/>
        <v>Gd160</v>
      </c>
    </row>
    <row r="1299" spans="2:11" hidden="1" x14ac:dyDescent="0.2">
      <c r="B1299" s="4">
        <v>64161</v>
      </c>
      <c r="C1299" s="4">
        <v>0</v>
      </c>
      <c r="D1299">
        <v>0</v>
      </c>
      <c r="E1299" t="str">
        <f>VLOOKUP(B1299,Nuclides!A:F,5,FALSE)</f>
        <v>Gd161</v>
      </c>
      <c r="F1299">
        <f>VLOOKUP(B1299,Nuclides!A:F,4,FALSE)</f>
        <v>219.6</v>
      </c>
      <c r="G1299" s="4" t="str">
        <f t="shared" si="114"/>
        <v>3.66min</v>
      </c>
      <c r="H1299" s="4">
        <f t="shared" si="115"/>
        <v>3.1564079260471096E-3</v>
      </c>
      <c r="I1299" s="4">
        <f t="shared" si="116"/>
        <v>0</v>
      </c>
      <c r="J1299" s="4">
        <f t="shared" si="117"/>
        <v>0</v>
      </c>
      <c r="K1299" s="4" t="str">
        <f t="shared" si="118"/>
        <v>Gd161</v>
      </c>
    </row>
    <row r="1300" spans="2:11" hidden="1" x14ac:dyDescent="0.2">
      <c r="B1300" s="4">
        <v>64162</v>
      </c>
      <c r="C1300" s="4">
        <v>0</v>
      </c>
      <c r="D1300">
        <v>0</v>
      </c>
      <c r="E1300" t="str">
        <f>VLOOKUP(B1300,Nuclides!A:F,5,FALSE)</f>
        <v>Gd162</v>
      </c>
      <c r="F1300">
        <f>VLOOKUP(B1300,Nuclides!A:F,4,FALSE)</f>
        <v>504</v>
      </c>
      <c r="G1300" s="4" t="str">
        <f t="shared" si="114"/>
        <v>8.4min</v>
      </c>
      <c r="H1300" s="4">
        <f t="shared" si="115"/>
        <v>1.3752920249205263E-3</v>
      </c>
      <c r="I1300" s="4">
        <f t="shared" si="116"/>
        <v>0</v>
      </c>
      <c r="J1300" s="4">
        <f t="shared" si="117"/>
        <v>0</v>
      </c>
      <c r="K1300" s="4" t="str">
        <f t="shared" si="118"/>
        <v>Gd162</v>
      </c>
    </row>
    <row r="1301" spans="2:11" hidden="1" x14ac:dyDescent="0.2">
      <c r="B1301" s="4">
        <v>64163</v>
      </c>
      <c r="C1301" s="4">
        <v>0</v>
      </c>
      <c r="D1301">
        <v>0</v>
      </c>
      <c r="E1301" t="str">
        <f>VLOOKUP(B1301,Nuclides!A:F,5,FALSE)</f>
        <v>Gd163</v>
      </c>
      <c r="F1301">
        <f>VLOOKUP(B1301,Nuclides!A:F,4,FALSE)</f>
        <v>68</v>
      </c>
      <c r="G1301" s="4" t="str">
        <f t="shared" si="114"/>
        <v>1.13min</v>
      </c>
      <c r="H1301" s="4">
        <f t="shared" si="115"/>
        <v>1.0193340890587431E-2</v>
      </c>
      <c r="I1301" s="4">
        <f t="shared" si="116"/>
        <v>0</v>
      </c>
      <c r="J1301" s="4">
        <f t="shared" si="117"/>
        <v>0</v>
      </c>
      <c r="K1301" s="4" t="str">
        <f t="shared" si="118"/>
        <v>Gd163</v>
      </c>
    </row>
    <row r="1302" spans="2:11" hidden="1" x14ac:dyDescent="0.2">
      <c r="B1302" s="4">
        <v>65144</v>
      </c>
      <c r="C1302" s="4">
        <v>0</v>
      </c>
      <c r="D1302">
        <v>0</v>
      </c>
      <c r="E1302" t="str">
        <f>VLOOKUP(B1302,Nuclides!A:F,5,FALSE)</f>
        <v>Tb144</v>
      </c>
      <c r="F1302">
        <f>VLOOKUP(B1302,Nuclides!A:F,4,FALSE)</f>
        <v>1</v>
      </c>
      <c r="G1302" s="4" t="str">
        <f t="shared" si="114"/>
        <v>1s</v>
      </c>
      <c r="H1302" s="4">
        <f t="shared" si="115"/>
        <v>0.69314718055994529</v>
      </c>
      <c r="I1302" s="4">
        <f t="shared" si="116"/>
        <v>0</v>
      </c>
      <c r="J1302" s="4">
        <f t="shared" si="117"/>
        <v>0</v>
      </c>
      <c r="K1302" s="4" t="str">
        <f t="shared" si="118"/>
        <v>Tb144</v>
      </c>
    </row>
    <row r="1303" spans="2:11" hidden="1" x14ac:dyDescent="0.2">
      <c r="B1303" s="4">
        <v>65145</v>
      </c>
      <c r="C1303" s="4">
        <v>0</v>
      </c>
      <c r="D1303">
        <v>0</v>
      </c>
      <c r="E1303" t="str">
        <f>VLOOKUP(B1303,Nuclides!A:F,5,FALSE)</f>
        <v>Tb145</v>
      </c>
      <c r="F1303">
        <f>VLOOKUP(B1303,Nuclides!A:F,4,FALSE)</f>
        <v>30.9</v>
      </c>
      <c r="G1303" s="4" t="str">
        <f t="shared" si="114"/>
        <v>30.9s</v>
      </c>
      <c r="H1303" s="4">
        <f t="shared" si="115"/>
        <v>2.2431947590936741E-2</v>
      </c>
      <c r="I1303" s="4">
        <f t="shared" si="116"/>
        <v>0</v>
      </c>
      <c r="J1303" s="4">
        <f t="shared" si="117"/>
        <v>0</v>
      </c>
      <c r="K1303" s="4" t="str">
        <f t="shared" si="118"/>
        <v>Tb145</v>
      </c>
    </row>
    <row r="1304" spans="2:11" hidden="1" x14ac:dyDescent="0.2">
      <c r="B1304" s="4">
        <v>65146</v>
      </c>
      <c r="C1304" s="4">
        <v>0</v>
      </c>
      <c r="D1304">
        <v>0</v>
      </c>
      <c r="E1304" t="str">
        <f>VLOOKUP(B1304,Nuclides!A:F,5,FALSE)</f>
        <v>Tb146</v>
      </c>
      <c r="F1304">
        <f>VLOOKUP(B1304,Nuclides!A:F,4,FALSE)</f>
        <v>8</v>
      </c>
      <c r="G1304" s="4" t="str">
        <f t="shared" si="114"/>
        <v>8s</v>
      </c>
      <c r="H1304" s="4">
        <f t="shared" si="115"/>
        <v>8.6643397569993161E-2</v>
      </c>
      <c r="I1304" s="4">
        <f t="shared" si="116"/>
        <v>0</v>
      </c>
      <c r="J1304" s="4">
        <f t="shared" si="117"/>
        <v>0</v>
      </c>
      <c r="K1304" s="4" t="str">
        <f t="shared" si="118"/>
        <v>Tb146</v>
      </c>
    </row>
    <row r="1305" spans="2:11" hidden="1" x14ac:dyDescent="0.2">
      <c r="B1305" s="4">
        <v>65147</v>
      </c>
      <c r="C1305" s="4">
        <v>0</v>
      </c>
      <c r="D1305">
        <v>0</v>
      </c>
      <c r="E1305" t="str">
        <f>VLOOKUP(B1305,Nuclides!A:F,5,FALSE)</f>
        <v>Tb147</v>
      </c>
      <c r="F1305">
        <f>VLOOKUP(B1305,Nuclides!A:F,4,FALSE)</f>
        <v>5904</v>
      </c>
      <c r="G1305" s="4" t="str">
        <f t="shared" si="114"/>
        <v>1.64h</v>
      </c>
      <c r="H1305" s="4">
        <f t="shared" si="115"/>
        <v>1.174029777371181E-4</v>
      </c>
      <c r="I1305" s="4">
        <f t="shared" si="116"/>
        <v>0</v>
      </c>
      <c r="J1305" s="4">
        <f t="shared" si="117"/>
        <v>0</v>
      </c>
      <c r="K1305" s="4" t="str">
        <f t="shared" si="118"/>
        <v>Tb147</v>
      </c>
    </row>
    <row r="1306" spans="2:11" hidden="1" x14ac:dyDescent="0.2">
      <c r="B1306" s="4">
        <v>65148</v>
      </c>
      <c r="C1306" s="4">
        <v>0</v>
      </c>
      <c r="D1306">
        <v>0</v>
      </c>
      <c r="E1306" t="str">
        <f>VLOOKUP(B1306,Nuclides!A:F,5,FALSE)</f>
        <v>Tb148</v>
      </c>
      <c r="F1306">
        <f>VLOOKUP(B1306,Nuclides!A:F,4,FALSE)</f>
        <v>3600</v>
      </c>
      <c r="G1306" s="4" t="str">
        <f t="shared" si="114"/>
        <v>1h</v>
      </c>
      <c r="H1306" s="4">
        <f t="shared" si="115"/>
        <v>1.9254088348887369E-4</v>
      </c>
      <c r="I1306" s="4">
        <f t="shared" si="116"/>
        <v>0</v>
      </c>
      <c r="J1306" s="4">
        <f t="shared" si="117"/>
        <v>0</v>
      </c>
      <c r="K1306" s="4" t="str">
        <f t="shared" si="118"/>
        <v>Tb148</v>
      </c>
    </row>
    <row r="1307" spans="2:11" hidden="1" x14ac:dyDescent="0.2">
      <c r="B1307" s="4">
        <v>65149</v>
      </c>
      <c r="C1307" s="4">
        <v>0</v>
      </c>
      <c r="D1307">
        <v>0</v>
      </c>
      <c r="E1307" t="str">
        <f>VLOOKUP(B1307,Nuclides!A:F,5,FALSE)</f>
        <v>Tb149</v>
      </c>
      <c r="F1307">
        <f>VLOOKUP(B1307,Nuclides!A:F,4,FALSE)</f>
        <v>14824.8</v>
      </c>
      <c r="G1307" s="4" t="str">
        <f t="shared" si="114"/>
        <v>4.12h</v>
      </c>
      <c r="H1307" s="4">
        <f t="shared" si="115"/>
        <v>4.6755921196909595E-5</v>
      </c>
      <c r="I1307" s="4">
        <f t="shared" si="116"/>
        <v>0</v>
      </c>
      <c r="J1307" s="4">
        <f t="shared" si="117"/>
        <v>0</v>
      </c>
      <c r="K1307" s="4" t="str">
        <f t="shared" si="118"/>
        <v>Tb149</v>
      </c>
    </row>
    <row r="1308" spans="2:11" hidden="1" x14ac:dyDescent="0.2">
      <c r="B1308" s="4">
        <v>65150</v>
      </c>
      <c r="C1308" s="4">
        <v>0</v>
      </c>
      <c r="D1308">
        <v>0</v>
      </c>
      <c r="E1308" t="str">
        <f>VLOOKUP(B1308,Nuclides!A:F,5,FALSE)</f>
        <v>Tb150</v>
      </c>
      <c r="F1308">
        <f>VLOOKUP(B1308,Nuclides!A:F,4,FALSE)</f>
        <v>12528</v>
      </c>
      <c r="G1308" s="4" t="str">
        <f t="shared" si="114"/>
        <v>3.48h</v>
      </c>
      <c r="H1308" s="4">
        <f t="shared" si="115"/>
        <v>5.5327840083009681E-5</v>
      </c>
      <c r="I1308" s="4">
        <f t="shared" si="116"/>
        <v>0</v>
      </c>
      <c r="J1308" s="4">
        <f t="shared" si="117"/>
        <v>0</v>
      </c>
      <c r="K1308" s="4" t="str">
        <f t="shared" si="118"/>
        <v>Tb150</v>
      </c>
    </row>
    <row r="1309" spans="2:11" hidden="1" x14ac:dyDescent="0.2">
      <c r="B1309" s="4">
        <v>65151</v>
      </c>
      <c r="C1309" s="4">
        <v>0</v>
      </c>
      <c r="D1309">
        <v>0</v>
      </c>
      <c r="E1309" t="str">
        <f>VLOOKUP(B1309,Nuclides!A:F,5,FALSE)</f>
        <v>Tb151</v>
      </c>
      <c r="F1309">
        <f>VLOOKUP(B1309,Nuclides!A:F,4,FALSE)</f>
        <v>63392.4</v>
      </c>
      <c r="G1309" s="4" t="str">
        <f t="shared" si="114"/>
        <v>17.61h</v>
      </c>
      <c r="H1309" s="4">
        <f t="shared" si="115"/>
        <v>1.0934231557094309E-5</v>
      </c>
      <c r="I1309" s="4">
        <f t="shared" si="116"/>
        <v>0</v>
      </c>
      <c r="J1309" s="4">
        <f t="shared" si="117"/>
        <v>0</v>
      </c>
      <c r="K1309" s="4" t="str">
        <f t="shared" si="118"/>
        <v>Tb151</v>
      </c>
    </row>
    <row r="1310" spans="2:11" hidden="1" x14ac:dyDescent="0.2">
      <c r="B1310" s="4">
        <v>65152</v>
      </c>
      <c r="C1310" s="4">
        <v>0</v>
      </c>
      <c r="D1310">
        <v>0</v>
      </c>
      <c r="E1310" t="str">
        <f>VLOOKUP(B1310,Nuclides!A:F,5,FALSE)</f>
        <v>Tb152</v>
      </c>
      <c r="F1310">
        <f>VLOOKUP(B1310,Nuclides!A:F,4,FALSE)</f>
        <v>63000</v>
      </c>
      <c r="G1310" s="4" t="str">
        <f t="shared" si="114"/>
        <v>17.5h</v>
      </c>
      <c r="H1310" s="4">
        <f t="shared" si="115"/>
        <v>1.1002336199364212E-5</v>
      </c>
      <c r="I1310" s="4">
        <f t="shared" si="116"/>
        <v>0</v>
      </c>
      <c r="J1310" s="4">
        <f t="shared" si="117"/>
        <v>0</v>
      </c>
      <c r="K1310" s="4" t="str">
        <f t="shared" si="118"/>
        <v>Tb152</v>
      </c>
    </row>
    <row r="1311" spans="2:11" hidden="1" x14ac:dyDescent="0.2">
      <c r="B1311" s="4">
        <v>65153</v>
      </c>
      <c r="C1311" s="4">
        <v>0</v>
      </c>
      <c r="D1311">
        <v>0</v>
      </c>
      <c r="E1311" t="str">
        <f>VLOOKUP(B1311,Nuclides!A:F,5,FALSE)</f>
        <v>Tb153</v>
      </c>
      <c r="F1311">
        <f>VLOOKUP(B1311,Nuclides!A:F,4,FALSE)</f>
        <v>202176</v>
      </c>
      <c r="G1311" s="4" t="str">
        <f t="shared" si="114"/>
        <v>2.34d</v>
      </c>
      <c r="H1311" s="4">
        <f t="shared" si="115"/>
        <v>3.4284345350582921E-6</v>
      </c>
      <c r="I1311" s="4">
        <f t="shared" si="116"/>
        <v>0</v>
      </c>
      <c r="J1311" s="4">
        <f t="shared" si="117"/>
        <v>0</v>
      </c>
      <c r="K1311" s="4" t="str">
        <f t="shared" si="118"/>
        <v>Tb153</v>
      </c>
    </row>
    <row r="1312" spans="2:11" hidden="1" x14ac:dyDescent="0.2">
      <c r="B1312" s="4">
        <v>65154</v>
      </c>
      <c r="C1312" s="4">
        <v>0</v>
      </c>
      <c r="D1312">
        <v>0</v>
      </c>
      <c r="E1312" t="str">
        <f>VLOOKUP(B1312,Nuclides!A:F,5,FALSE)</f>
        <v>Tb154</v>
      </c>
      <c r="F1312">
        <f>VLOOKUP(B1312,Nuclides!A:F,4,FALSE)</f>
        <v>77400</v>
      </c>
      <c r="G1312" s="4" t="str">
        <f t="shared" si="114"/>
        <v>21.5h</v>
      </c>
      <c r="H1312" s="4">
        <f t="shared" si="115"/>
        <v>8.9553899297150559E-6</v>
      </c>
      <c r="I1312" s="4">
        <f t="shared" si="116"/>
        <v>0</v>
      </c>
      <c r="J1312" s="4">
        <f t="shared" si="117"/>
        <v>0</v>
      </c>
      <c r="K1312" s="4" t="str">
        <f t="shared" si="118"/>
        <v>Tb154</v>
      </c>
    </row>
    <row r="1313" spans="2:11" hidden="1" x14ac:dyDescent="0.2">
      <c r="B1313" s="4">
        <v>65155</v>
      </c>
      <c r="C1313" s="4">
        <v>0</v>
      </c>
      <c r="D1313">
        <v>0</v>
      </c>
      <c r="E1313" t="str">
        <f>VLOOKUP(B1313,Nuclides!A:F,5,FALSE)</f>
        <v>Tb155</v>
      </c>
      <c r="F1313">
        <f>VLOOKUP(B1313,Nuclides!A:F,4,FALSE)</f>
        <v>459648</v>
      </c>
      <c r="G1313" s="4" t="str">
        <f t="shared" si="114"/>
        <v>5.32d</v>
      </c>
      <c r="H1313" s="4">
        <f t="shared" si="115"/>
        <v>1.5079956413602264E-6</v>
      </c>
      <c r="I1313" s="4">
        <f t="shared" si="116"/>
        <v>0</v>
      </c>
      <c r="J1313" s="4">
        <f t="shared" si="117"/>
        <v>0</v>
      </c>
      <c r="K1313" s="4" t="str">
        <f t="shared" si="118"/>
        <v>Tb155</v>
      </c>
    </row>
    <row r="1314" spans="2:11" hidden="1" x14ac:dyDescent="0.2">
      <c r="B1314" s="4">
        <v>65156</v>
      </c>
      <c r="C1314" s="4">
        <v>0</v>
      </c>
      <c r="D1314">
        <v>0</v>
      </c>
      <c r="E1314" t="str">
        <f>VLOOKUP(B1314,Nuclides!A:F,5,FALSE)</f>
        <v>Tb156</v>
      </c>
      <c r="F1314">
        <f>VLOOKUP(B1314,Nuclides!A:F,4,FALSE)</f>
        <v>462239.99999999901</v>
      </c>
      <c r="G1314" s="4" t="str">
        <f t="shared" si="114"/>
        <v>5.35d</v>
      </c>
      <c r="H1314" s="4">
        <f t="shared" si="115"/>
        <v>1.499539591034845E-6</v>
      </c>
      <c r="I1314" s="4">
        <f t="shared" si="116"/>
        <v>0</v>
      </c>
      <c r="J1314" s="4">
        <f t="shared" si="117"/>
        <v>0</v>
      </c>
      <c r="K1314" s="4" t="str">
        <f t="shared" si="118"/>
        <v>Tb156</v>
      </c>
    </row>
    <row r="1315" spans="2:11" hidden="1" x14ac:dyDescent="0.2">
      <c r="B1315" s="4">
        <v>65157</v>
      </c>
      <c r="C1315" s="4">
        <v>0</v>
      </c>
      <c r="D1315">
        <v>0</v>
      </c>
      <c r="E1315" t="str">
        <f>VLOOKUP(B1315,Nuclides!A:F,5,FALSE)</f>
        <v>Tb157</v>
      </c>
      <c r="F1315">
        <f>VLOOKUP(B1315,Nuclides!A:F,4,FALSE)</f>
        <v>2240589600</v>
      </c>
      <c r="G1315" s="4" t="str">
        <f t="shared" si="114"/>
        <v>71.05y</v>
      </c>
      <c r="H1315" s="4">
        <f t="shared" si="115"/>
        <v>3.0935927782577644E-10</v>
      </c>
      <c r="I1315" s="4">
        <f t="shared" si="116"/>
        <v>0</v>
      </c>
      <c r="J1315" s="4">
        <f t="shared" si="117"/>
        <v>0</v>
      </c>
      <c r="K1315" s="4" t="str">
        <f t="shared" si="118"/>
        <v>Tb157</v>
      </c>
    </row>
    <row r="1316" spans="2:11" hidden="1" x14ac:dyDescent="0.2">
      <c r="B1316" s="4">
        <v>65158</v>
      </c>
      <c r="C1316" s="4">
        <v>0</v>
      </c>
      <c r="D1316">
        <v>0</v>
      </c>
      <c r="E1316" t="str">
        <f>VLOOKUP(B1316,Nuclides!A:F,5,FALSE)</f>
        <v>Tb158</v>
      </c>
      <c r="F1316">
        <f>VLOOKUP(B1316,Nuclides!A:F,4,FALSE)</f>
        <v>5680368000</v>
      </c>
      <c r="G1316" s="4" t="str">
        <f t="shared" si="114"/>
        <v>180.12y</v>
      </c>
      <c r="H1316" s="4">
        <f t="shared" si="115"/>
        <v>1.2202504847572292E-10</v>
      </c>
      <c r="I1316" s="4">
        <f t="shared" si="116"/>
        <v>0</v>
      </c>
      <c r="J1316" s="4">
        <f t="shared" si="117"/>
        <v>0</v>
      </c>
      <c r="K1316" s="4" t="str">
        <f t="shared" si="118"/>
        <v>Tb158</v>
      </c>
    </row>
    <row r="1317" spans="2:11" hidden="1" x14ac:dyDescent="0.2">
      <c r="B1317" s="4">
        <v>65159</v>
      </c>
      <c r="C1317" s="4">
        <v>0</v>
      </c>
      <c r="D1317">
        <v>0</v>
      </c>
      <c r="E1317" t="str">
        <f>VLOOKUP(B1317,Nuclides!A:F,5,FALSE)</f>
        <v>Tb159</v>
      </c>
      <c r="F1317" t="str">
        <f>VLOOKUP(B1317,Nuclides!A:F,4,FALSE)</f>
        <v>STABLE</v>
      </c>
      <c r="G1317" s="4" t="str">
        <f t="shared" si="114"/>
        <v>STABLE</v>
      </c>
      <c r="H1317" s="4" t="e">
        <f t="shared" si="115"/>
        <v>#VALUE!</v>
      </c>
      <c r="I1317" s="4" t="e">
        <f t="shared" si="116"/>
        <v>#VALUE!</v>
      </c>
      <c r="J1317" s="4" t="e">
        <f t="shared" si="117"/>
        <v>#VALUE!</v>
      </c>
      <c r="K1317" s="4" t="str">
        <f t="shared" si="118"/>
        <v>Tb159</v>
      </c>
    </row>
    <row r="1318" spans="2:11" hidden="1" x14ac:dyDescent="0.2">
      <c r="B1318" s="4">
        <v>65160</v>
      </c>
      <c r="C1318" s="4">
        <v>0</v>
      </c>
      <c r="D1318">
        <v>0</v>
      </c>
      <c r="E1318" t="str">
        <f>VLOOKUP(B1318,Nuclides!A:F,5,FALSE)</f>
        <v>Tb160</v>
      </c>
      <c r="F1318">
        <f>VLOOKUP(B1318,Nuclides!A:F,4,FALSE)</f>
        <v>6246720</v>
      </c>
      <c r="G1318" s="4" t="str">
        <f t="shared" si="114"/>
        <v>72.3d</v>
      </c>
      <c r="H1318" s="4">
        <f t="shared" si="115"/>
        <v>1.1096178163259204E-7</v>
      </c>
      <c r="I1318" s="4">
        <f t="shared" si="116"/>
        <v>0</v>
      </c>
      <c r="J1318" s="4">
        <f t="shared" si="117"/>
        <v>0</v>
      </c>
      <c r="K1318" s="4" t="str">
        <f t="shared" si="118"/>
        <v>Tb160</v>
      </c>
    </row>
    <row r="1319" spans="2:11" hidden="1" x14ac:dyDescent="0.2">
      <c r="B1319" s="4">
        <v>65161</v>
      </c>
      <c r="C1319" s="4">
        <v>0</v>
      </c>
      <c r="D1319">
        <v>0</v>
      </c>
      <c r="E1319" t="str">
        <f>VLOOKUP(B1319,Nuclides!A:F,5,FALSE)</f>
        <v>Tb161</v>
      </c>
      <c r="F1319">
        <f>VLOOKUP(B1319,Nuclides!A:F,4,FALSE)</f>
        <v>595296</v>
      </c>
      <c r="G1319" s="4" t="str">
        <f t="shared" si="114"/>
        <v>6.89d</v>
      </c>
      <c r="H1319" s="4">
        <f t="shared" si="115"/>
        <v>1.1643739930386654E-6</v>
      </c>
      <c r="I1319" s="4">
        <f t="shared" si="116"/>
        <v>0</v>
      </c>
      <c r="J1319" s="4">
        <f t="shared" si="117"/>
        <v>0</v>
      </c>
      <c r="K1319" s="4" t="str">
        <f t="shared" si="118"/>
        <v>Tb161</v>
      </c>
    </row>
    <row r="1320" spans="2:11" hidden="1" x14ac:dyDescent="0.2">
      <c r="B1320" s="4">
        <v>65162</v>
      </c>
      <c r="C1320" s="4">
        <v>0</v>
      </c>
      <c r="D1320">
        <v>0</v>
      </c>
      <c r="E1320" t="str">
        <f>VLOOKUP(B1320,Nuclides!A:F,5,FALSE)</f>
        <v>Tb162</v>
      </c>
      <c r="F1320">
        <f>VLOOKUP(B1320,Nuclides!A:F,4,FALSE)</f>
        <v>456</v>
      </c>
      <c r="G1320" s="4" t="str">
        <f t="shared" si="114"/>
        <v>7.6min</v>
      </c>
      <c r="H1320" s="4">
        <f t="shared" si="115"/>
        <v>1.520059606491108E-3</v>
      </c>
      <c r="I1320" s="4">
        <f t="shared" si="116"/>
        <v>0</v>
      </c>
      <c r="J1320" s="4">
        <f t="shared" si="117"/>
        <v>0</v>
      </c>
      <c r="K1320" s="4" t="str">
        <f t="shared" si="118"/>
        <v>Tb162</v>
      </c>
    </row>
    <row r="1321" spans="2:11" hidden="1" x14ac:dyDescent="0.2">
      <c r="B1321" s="4">
        <v>65163</v>
      </c>
      <c r="C1321" s="4">
        <v>0</v>
      </c>
      <c r="D1321">
        <v>0</v>
      </c>
      <c r="E1321" t="str">
        <f>VLOOKUP(B1321,Nuclides!A:F,5,FALSE)</f>
        <v>Tb163</v>
      </c>
      <c r="F1321">
        <f>VLOOKUP(B1321,Nuclides!A:F,4,FALSE)</f>
        <v>1170</v>
      </c>
      <c r="G1321" s="4" t="str">
        <f t="shared" si="114"/>
        <v>19.5min</v>
      </c>
      <c r="H1321" s="4">
        <f t="shared" si="115"/>
        <v>5.9243348765807284E-4</v>
      </c>
      <c r="I1321" s="4">
        <f t="shared" si="116"/>
        <v>0</v>
      </c>
      <c r="J1321" s="4">
        <f t="shared" si="117"/>
        <v>0</v>
      </c>
      <c r="K1321" s="4" t="str">
        <f t="shared" si="118"/>
        <v>Tb163</v>
      </c>
    </row>
    <row r="1322" spans="2:11" hidden="1" x14ac:dyDescent="0.2">
      <c r="B1322" s="4">
        <v>65164</v>
      </c>
      <c r="C1322" s="4">
        <v>0</v>
      </c>
      <c r="D1322">
        <v>0</v>
      </c>
      <c r="E1322" t="str">
        <f>VLOOKUP(B1322,Nuclides!A:F,5,FALSE)</f>
        <v>Tb164</v>
      </c>
      <c r="F1322">
        <f>VLOOKUP(B1322,Nuclides!A:F,4,FALSE)</f>
        <v>180</v>
      </c>
      <c r="G1322" s="4" t="str">
        <f t="shared" si="114"/>
        <v>3min</v>
      </c>
      <c r="H1322" s="4">
        <f t="shared" si="115"/>
        <v>3.8508176697774738E-3</v>
      </c>
      <c r="I1322" s="4">
        <f t="shared" si="116"/>
        <v>0</v>
      </c>
      <c r="J1322" s="4">
        <f t="shared" si="117"/>
        <v>0</v>
      </c>
      <c r="K1322" s="4" t="str">
        <f t="shared" si="118"/>
        <v>Tb164</v>
      </c>
    </row>
    <row r="1323" spans="2:11" hidden="1" x14ac:dyDescent="0.2">
      <c r="B1323" s="4">
        <v>65165</v>
      </c>
      <c r="C1323" s="4">
        <v>0</v>
      </c>
      <c r="D1323">
        <v>0</v>
      </c>
      <c r="E1323" t="str">
        <f>VLOOKUP(B1323,Nuclides!A:F,5,FALSE)</f>
        <v>Tb165</v>
      </c>
      <c r="F1323">
        <f>VLOOKUP(B1323,Nuclides!A:F,4,FALSE)</f>
        <v>126.6</v>
      </c>
      <c r="G1323" s="4" t="str">
        <f t="shared" si="114"/>
        <v>2.11min</v>
      </c>
      <c r="H1323" s="4">
        <f t="shared" si="115"/>
        <v>5.4750962129537541E-3</v>
      </c>
      <c r="I1323" s="4">
        <f t="shared" si="116"/>
        <v>0</v>
      </c>
      <c r="J1323" s="4">
        <f t="shared" si="117"/>
        <v>0</v>
      </c>
      <c r="K1323" s="4" t="str">
        <f t="shared" si="118"/>
        <v>Tb165</v>
      </c>
    </row>
    <row r="1324" spans="2:11" hidden="1" x14ac:dyDescent="0.2">
      <c r="B1324" s="4">
        <v>66145</v>
      </c>
      <c r="C1324" s="4">
        <v>0</v>
      </c>
      <c r="D1324">
        <v>0</v>
      </c>
      <c r="E1324" t="str">
        <f>VLOOKUP(B1324,Nuclides!A:F,5,FALSE)</f>
        <v>Dy145</v>
      </c>
      <c r="F1324">
        <f>VLOOKUP(B1324,Nuclides!A:F,4,FALSE)</f>
        <v>6</v>
      </c>
      <c r="G1324" s="4" t="str">
        <f t="shared" si="114"/>
        <v>6s</v>
      </c>
      <c r="H1324" s="4">
        <f t="shared" si="115"/>
        <v>0.11552453009332421</v>
      </c>
      <c r="I1324" s="4">
        <f t="shared" si="116"/>
        <v>0</v>
      </c>
      <c r="J1324" s="4">
        <f t="shared" si="117"/>
        <v>0</v>
      </c>
      <c r="K1324" s="4" t="str">
        <f t="shared" si="118"/>
        <v>Dy145</v>
      </c>
    </row>
    <row r="1325" spans="2:11" hidden="1" x14ac:dyDescent="0.2">
      <c r="B1325" s="4">
        <v>66146</v>
      </c>
      <c r="C1325" s="4">
        <v>0</v>
      </c>
      <c r="D1325">
        <v>0</v>
      </c>
      <c r="E1325" t="str">
        <f>VLOOKUP(B1325,Nuclides!A:F,5,FALSE)</f>
        <v>Dy146</v>
      </c>
      <c r="F1325">
        <f>VLOOKUP(B1325,Nuclides!A:F,4,FALSE)</f>
        <v>33.200000000000003</v>
      </c>
      <c r="G1325" s="4" t="str">
        <f t="shared" si="114"/>
        <v>33.2s</v>
      </c>
      <c r="H1325" s="4">
        <f t="shared" si="115"/>
        <v>2.0877927125299556E-2</v>
      </c>
      <c r="I1325" s="4">
        <f t="shared" si="116"/>
        <v>0</v>
      </c>
      <c r="J1325" s="4">
        <f t="shared" si="117"/>
        <v>0</v>
      </c>
      <c r="K1325" s="4" t="str">
        <f t="shared" si="118"/>
        <v>Dy146</v>
      </c>
    </row>
    <row r="1326" spans="2:11" hidden="1" x14ac:dyDescent="0.2">
      <c r="B1326" s="4">
        <v>66147</v>
      </c>
      <c r="C1326" s="4">
        <v>0</v>
      </c>
      <c r="D1326">
        <v>0</v>
      </c>
      <c r="E1326" t="str">
        <f>VLOOKUP(B1326,Nuclides!A:F,5,FALSE)</f>
        <v>Dy147</v>
      </c>
      <c r="F1326">
        <f>VLOOKUP(B1326,Nuclides!A:F,4,FALSE)</f>
        <v>67</v>
      </c>
      <c r="G1326" s="4" t="str">
        <f t="shared" si="114"/>
        <v>1.12min</v>
      </c>
      <c r="H1326" s="4">
        <f t="shared" si="115"/>
        <v>1.0345480306864855E-2</v>
      </c>
      <c r="I1326" s="4">
        <f t="shared" si="116"/>
        <v>0</v>
      </c>
      <c r="J1326" s="4">
        <f t="shared" si="117"/>
        <v>0</v>
      </c>
      <c r="K1326" s="4" t="str">
        <f t="shared" si="118"/>
        <v>Dy147</v>
      </c>
    </row>
    <row r="1327" spans="2:11" hidden="1" x14ac:dyDescent="0.2">
      <c r="B1327" s="4">
        <v>66148</v>
      </c>
      <c r="C1327" s="4">
        <v>0</v>
      </c>
      <c r="D1327">
        <v>0</v>
      </c>
      <c r="E1327" t="str">
        <f>VLOOKUP(B1327,Nuclides!A:F,5,FALSE)</f>
        <v>Dy148</v>
      </c>
      <c r="F1327">
        <f>VLOOKUP(B1327,Nuclides!A:F,4,FALSE)</f>
        <v>198</v>
      </c>
      <c r="G1327" s="4" t="str">
        <f t="shared" si="114"/>
        <v>3.3min</v>
      </c>
      <c r="H1327" s="4">
        <f t="shared" si="115"/>
        <v>3.5007433361613398E-3</v>
      </c>
      <c r="I1327" s="4">
        <f t="shared" si="116"/>
        <v>0</v>
      </c>
      <c r="J1327" s="4">
        <f t="shared" si="117"/>
        <v>0</v>
      </c>
      <c r="K1327" s="4" t="str">
        <f t="shared" si="118"/>
        <v>Dy148</v>
      </c>
    </row>
    <row r="1328" spans="2:11" hidden="1" x14ac:dyDescent="0.2">
      <c r="B1328" s="4">
        <v>66149</v>
      </c>
      <c r="C1328" s="4">
        <v>0</v>
      </c>
      <c r="D1328">
        <v>0</v>
      </c>
      <c r="E1328" t="str">
        <f>VLOOKUP(B1328,Nuclides!A:F,5,FALSE)</f>
        <v>Dy149</v>
      </c>
      <c r="F1328">
        <f>VLOOKUP(B1328,Nuclides!A:F,4,FALSE)</f>
        <v>252</v>
      </c>
      <c r="G1328" s="4" t="str">
        <f t="shared" si="114"/>
        <v>4.2min</v>
      </c>
      <c r="H1328" s="4">
        <f t="shared" si="115"/>
        <v>2.7505840498410527E-3</v>
      </c>
      <c r="I1328" s="4">
        <f t="shared" si="116"/>
        <v>0</v>
      </c>
      <c r="J1328" s="4">
        <f t="shared" si="117"/>
        <v>0</v>
      </c>
      <c r="K1328" s="4" t="str">
        <f t="shared" si="118"/>
        <v>Dy149</v>
      </c>
    </row>
    <row r="1329" spans="2:11" hidden="1" x14ac:dyDescent="0.2">
      <c r="B1329" s="4">
        <v>66150</v>
      </c>
      <c r="C1329" s="4">
        <v>0</v>
      </c>
      <c r="D1329">
        <v>0</v>
      </c>
      <c r="E1329" t="str">
        <f>VLOOKUP(B1329,Nuclides!A:F,5,FALSE)</f>
        <v>Dy150</v>
      </c>
      <c r="F1329">
        <f>VLOOKUP(B1329,Nuclides!A:F,4,FALSE)</f>
        <v>430.2</v>
      </c>
      <c r="G1329" s="4" t="str">
        <f t="shared" si="114"/>
        <v>7.17min</v>
      </c>
      <c r="H1329" s="4">
        <f t="shared" si="115"/>
        <v>1.6112207823336712E-3</v>
      </c>
      <c r="I1329" s="4">
        <f t="shared" si="116"/>
        <v>0</v>
      </c>
      <c r="J1329" s="4">
        <f t="shared" si="117"/>
        <v>0</v>
      </c>
      <c r="K1329" s="4" t="str">
        <f t="shared" si="118"/>
        <v>Dy150</v>
      </c>
    </row>
    <row r="1330" spans="2:11" hidden="1" x14ac:dyDescent="0.2">
      <c r="B1330" s="4">
        <v>66151</v>
      </c>
      <c r="C1330" s="4">
        <v>0</v>
      </c>
      <c r="D1330">
        <v>0</v>
      </c>
      <c r="E1330" t="str">
        <f>VLOOKUP(B1330,Nuclides!A:F,5,FALSE)</f>
        <v>Dy151</v>
      </c>
      <c r="F1330">
        <f>VLOOKUP(B1330,Nuclides!A:F,4,FALSE)</f>
        <v>1074</v>
      </c>
      <c r="G1330" s="4" t="str">
        <f t="shared" si="114"/>
        <v>17.9min</v>
      </c>
      <c r="H1330" s="4">
        <f t="shared" si="115"/>
        <v>6.4538843627555431E-4</v>
      </c>
      <c r="I1330" s="4">
        <f t="shared" si="116"/>
        <v>0</v>
      </c>
      <c r="J1330" s="4">
        <f t="shared" si="117"/>
        <v>0</v>
      </c>
      <c r="K1330" s="4" t="str">
        <f t="shared" si="118"/>
        <v>Dy151</v>
      </c>
    </row>
    <row r="1331" spans="2:11" hidden="1" x14ac:dyDescent="0.2">
      <c r="B1331" s="4">
        <v>66152</v>
      </c>
      <c r="C1331" s="4">
        <v>0</v>
      </c>
      <c r="D1331">
        <v>0</v>
      </c>
      <c r="E1331" t="str">
        <f>VLOOKUP(B1331,Nuclides!A:F,5,FALSE)</f>
        <v>Dy152</v>
      </c>
      <c r="F1331">
        <f>VLOOKUP(B1331,Nuclides!A:F,4,FALSE)</f>
        <v>8568</v>
      </c>
      <c r="G1331" s="4" t="str">
        <f t="shared" si="114"/>
        <v>2.38h</v>
      </c>
      <c r="H1331" s="4">
        <f t="shared" si="115"/>
        <v>8.0899530877678026E-5</v>
      </c>
      <c r="I1331" s="4">
        <f t="shared" si="116"/>
        <v>0</v>
      </c>
      <c r="J1331" s="4">
        <f t="shared" si="117"/>
        <v>0</v>
      </c>
      <c r="K1331" s="4" t="str">
        <f t="shared" si="118"/>
        <v>Dy152</v>
      </c>
    </row>
    <row r="1332" spans="2:11" hidden="1" x14ac:dyDescent="0.2">
      <c r="B1332" s="4">
        <v>66153</v>
      </c>
      <c r="C1332" s="4">
        <v>0</v>
      </c>
      <c r="D1332">
        <v>0</v>
      </c>
      <c r="E1332" t="str">
        <f>VLOOKUP(B1332,Nuclides!A:F,5,FALSE)</f>
        <v>Dy153</v>
      </c>
      <c r="F1332">
        <f>VLOOKUP(B1332,Nuclides!A:F,4,FALSE)</f>
        <v>23040</v>
      </c>
      <c r="G1332" s="4" t="str">
        <f t="shared" si="114"/>
        <v>6.4h</v>
      </c>
      <c r="H1332" s="4">
        <f t="shared" si="115"/>
        <v>3.0084513045136514E-5</v>
      </c>
      <c r="I1332" s="4">
        <f t="shared" si="116"/>
        <v>0</v>
      </c>
      <c r="J1332" s="4">
        <f t="shared" si="117"/>
        <v>0</v>
      </c>
      <c r="K1332" s="4" t="str">
        <f t="shared" si="118"/>
        <v>Dy153</v>
      </c>
    </row>
    <row r="1333" spans="2:11" hidden="1" x14ac:dyDescent="0.2">
      <c r="B1333" s="4">
        <v>66154</v>
      </c>
      <c r="C1333" s="4">
        <v>0</v>
      </c>
      <c r="D1333">
        <v>0</v>
      </c>
      <c r="E1333" t="str">
        <f>VLOOKUP(B1333,Nuclides!A:F,5,FALSE)</f>
        <v>Dy154</v>
      </c>
      <c r="F1333">
        <f>VLOOKUP(B1333,Nuclides!A:F,4,FALSE)</f>
        <v>94672800000000</v>
      </c>
      <c r="G1333" s="4" t="str">
        <f t="shared" si="114"/>
        <v>3002054.79y</v>
      </c>
      <c r="H1333" s="4">
        <f t="shared" si="115"/>
        <v>7.321502908543376E-15</v>
      </c>
      <c r="I1333" s="4">
        <f t="shared" si="116"/>
        <v>0</v>
      </c>
      <c r="J1333" s="4">
        <f t="shared" si="117"/>
        <v>0</v>
      </c>
      <c r="K1333" s="4" t="str">
        <f t="shared" si="118"/>
        <v>Dy154</v>
      </c>
    </row>
    <row r="1334" spans="2:11" hidden="1" x14ac:dyDescent="0.2">
      <c r="B1334" s="4">
        <v>66155</v>
      </c>
      <c r="C1334" s="4">
        <v>0</v>
      </c>
      <c r="D1334">
        <v>0</v>
      </c>
      <c r="E1334" t="str">
        <f>VLOOKUP(B1334,Nuclides!A:F,5,FALSE)</f>
        <v>Dy155</v>
      </c>
      <c r="F1334">
        <f>VLOOKUP(B1334,Nuclides!A:F,4,FALSE)</f>
        <v>35640</v>
      </c>
      <c r="G1334" s="4" t="str">
        <f t="shared" si="114"/>
        <v>9.9h</v>
      </c>
      <c r="H1334" s="4">
        <f t="shared" si="115"/>
        <v>1.9448574089785222E-5</v>
      </c>
      <c r="I1334" s="4">
        <f t="shared" si="116"/>
        <v>0</v>
      </c>
      <c r="J1334" s="4">
        <f t="shared" si="117"/>
        <v>0</v>
      </c>
      <c r="K1334" s="4" t="str">
        <f t="shared" si="118"/>
        <v>Dy155</v>
      </c>
    </row>
    <row r="1335" spans="2:11" hidden="1" x14ac:dyDescent="0.2">
      <c r="B1335" s="4">
        <v>66156</v>
      </c>
      <c r="C1335" s="4">
        <v>0</v>
      </c>
      <c r="D1335">
        <v>0</v>
      </c>
      <c r="E1335" t="str">
        <f>VLOOKUP(B1335,Nuclides!A:F,5,FALSE)</f>
        <v>Dy156</v>
      </c>
      <c r="F1335" t="str">
        <f>VLOOKUP(B1335,Nuclides!A:F,4,FALSE)</f>
        <v>STABLE</v>
      </c>
      <c r="G1335" s="4" t="str">
        <f t="shared" si="114"/>
        <v>STABLE</v>
      </c>
      <c r="H1335" s="4" t="e">
        <f t="shared" si="115"/>
        <v>#VALUE!</v>
      </c>
      <c r="I1335" s="4" t="e">
        <f t="shared" si="116"/>
        <v>#VALUE!</v>
      </c>
      <c r="J1335" s="4" t="e">
        <f t="shared" si="117"/>
        <v>#VALUE!</v>
      </c>
      <c r="K1335" s="4" t="str">
        <f t="shared" si="118"/>
        <v>Dy156</v>
      </c>
    </row>
    <row r="1336" spans="2:11" hidden="1" x14ac:dyDescent="0.2">
      <c r="B1336" s="4">
        <v>66157</v>
      </c>
      <c r="C1336" s="4">
        <v>0</v>
      </c>
      <c r="D1336">
        <v>0</v>
      </c>
      <c r="E1336" t="str">
        <f>VLOOKUP(B1336,Nuclides!A:F,5,FALSE)</f>
        <v>Dy157</v>
      </c>
      <c r="F1336">
        <f>VLOOKUP(B1336,Nuclides!A:F,4,FALSE)</f>
        <v>29304</v>
      </c>
      <c r="G1336" s="4" t="str">
        <f t="shared" si="114"/>
        <v>8.14h</v>
      </c>
      <c r="H1336" s="4">
        <f t="shared" si="115"/>
        <v>2.3653671190279322E-5</v>
      </c>
      <c r="I1336" s="4">
        <f t="shared" si="116"/>
        <v>0</v>
      </c>
      <c r="J1336" s="4">
        <f t="shared" si="117"/>
        <v>0</v>
      </c>
      <c r="K1336" s="4" t="str">
        <f t="shared" si="118"/>
        <v>Dy157</v>
      </c>
    </row>
    <row r="1337" spans="2:11" hidden="1" x14ac:dyDescent="0.2">
      <c r="B1337" s="4">
        <v>66158</v>
      </c>
      <c r="C1337" s="4">
        <v>0</v>
      </c>
      <c r="D1337">
        <v>0</v>
      </c>
      <c r="E1337" t="str">
        <f>VLOOKUP(B1337,Nuclides!A:F,5,FALSE)</f>
        <v>Dy158</v>
      </c>
      <c r="F1337" t="str">
        <f>VLOOKUP(B1337,Nuclides!A:F,4,FALSE)</f>
        <v>STABLE</v>
      </c>
      <c r="G1337" s="4" t="str">
        <f t="shared" si="114"/>
        <v>STABLE</v>
      </c>
      <c r="H1337" s="4" t="e">
        <f t="shared" si="115"/>
        <v>#VALUE!</v>
      </c>
      <c r="I1337" s="4" t="e">
        <f t="shared" si="116"/>
        <v>#VALUE!</v>
      </c>
      <c r="J1337" s="4" t="e">
        <f t="shared" si="117"/>
        <v>#VALUE!</v>
      </c>
      <c r="K1337" s="4" t="str">
        <f t="shared" si="118"/>
        <v>Dy158</v>
      </c>
    </row>
    <row r="1338" spans="2:11" hidden="1" x14ac:dyDescent="0.2">
      <c r="B1338" s="4">
        <v>66159</v>
      </c>
      <c r="C1338" s="4">
        <v>0</v>
      </c>
      <c r="D1338">
        <v>0</v>
      </c>
      <c r="E1338" t="str">
        <f>VLOOKUP(B1338,Nuclides!A:F,5,FALSE)</f>
        <v>Dy159</v>
      </c>
      <c r="F1338">
        <f>VLOOKUP(B1338,Nuclides!A:F,4,FALSE)</f>
        <v>12476160</v>
      </c>
      <c r="G1338" s="4" t="str">
        <f t="shared" si="114"/>
        <v>144.4d</v>
      </c>
      <c r="H1338" s="4">
        <f t="shared" si="115"/>
        <v>5.5557734155376761E-8</v>
      </c>
      <c r="I1338" s="4">
        <f t="shared" si="116"/>
        <v>0</v>
      </c>
      <c r="J1338" s="4">
        <f t="shared" si="117"/>
        <v>0</v>
      </c>
      <c r="K1338" s="4" t="str">
        <f t="shared" si="118"/>
        <v>Dy159</v>
      </c>
    </row>
    <row r="1339" spans="2:11" hidden="1" x14ac:dyDescent="0.2">
      <c r="B1339" s="4">
        <v>66160</v>
      </c>
      <c r="C1339" s="4">
        <v>0</v>
      </c>
      <c r="D1339">
        <v>0</v>
      </c>
      <c r="E1339" t="str">
        <f>VLOOKUP(B1339,Nuclides!A:F,5,FALSE)</f>
        <v>Dy160</v>
      </c>
      <c r="F1339" t="str">
        <f>VLOOKUP(B1339,Nuclides!A:F,4,FALSE)</f>
        <v>STABLE</v>
      </c>
      <c r="G1339" s="4" t="str">
        <f t="shared" si="114"/>
        <v>STABLE</v>
      </c>
      <c r="H1339" s="4" t="e">
        <f t="shared" si="115"/>
        <v>#VALUE!</v>
      </c>
      <c r="I1339" s="4" t="e">
        <f t="shared" si="116"/>
        <v>#VALUE!</v>
      </c>
      <c r="J1339" s="4" t="e">
        <f t="shared" si="117"/>
        <v>#VALUE!</v>
      </c>
      <c r="K1339" s="4" t="str">
        <f t="shared" si="118"/>
        <v>Dy160</v>
      </c>
    </row>
    <row r="1340" spans="2:11" hidden="1" x14ac:dyDescent="0.2">
      <c r="B1340" s="4">
        <v>66161</v>
      </c>
      <c r="C1340" s="4">
        <v>0</v>
      </c>
      <c r="D1340">
        <v>0</v>
      </c>
      <c r="E1340" t="str">
        <f>VLOOKUP(B1340,Nuclides!A:F,5,FALSE)</f>
        <v>Dy161</v>
      </c>
      <c r="F1340" t="str">
        <f>VLOOKUP(B1340,Nuclides!A:F,4,FALSE)</f>
        <v>STABLE</v>
      </c>
      <c r="G1340" s="4" t="str">
        <f t="shared" si="114"/>
        <v>STABLE</v>
      </c>
      <c r="H1340" s="4" t="e">
        <f t="shared" si="115"/>
        <v>#VALUE!</v>
      </c>
      <c r="I1340" s="4" t="e">
        <f t="shared" si="116"/>
        <v>#VALUE!</v>
      </c>
      <c r="J1340" s="4" t="e">
        <f t="shared" si="117"/>
        <v>#VALUE!</v>
      </c>
      <c r="K1340" s="4" t="str">
        <f t="shared" si="118"/>
        <v>Dy161</v>
      </c>
    </row>
    <row r="1341" spans="2:11" hidden="1" x14ac:dyDescent="0.2">
      <c r="B1341" s="4">
        <v>66162</v>
      </c>
      <c r="C1341" s="4">
        <v>0</v>
      </c>
      <c r="D1341">
        <v>0</v>
      </c>
      <c r="E1341" t="str">
        <f>VLOOKUP(B1341,Nuclides!A:F,5,FALSE)</f>
        <v>Dy162</v>
      </c>
      <c r="F1341" t="str">
        <f>VLOOKUP(B1341,Nuclides!A:F,4,FALSE)</f>
        <v>STABLE</v>
      </c>
      <c r="G1341" s="4" t="str">
        <f t="shared" si="114"/>
        <v>STABLE</v>
      </c>
      <c r="H1341" s="4" t="e">
        <f t="shared" si="115"/>
        <v>#VALUE!</v>
      </c>
      <c r="I1341" s="4" t="e">
        <f t="shared" si="116"/>
        <v>#VALUE!</v>
      </c>
      <c r="J1341" s="4" t="e">
        <f t="shared" si="117"/>
        <v>#VALUE!</v>
      </c>
      <c r="K1341" s="4" t="str">
        <f t="shared" si="118"/>
        <v>Dy162</v>
      </c>
    </row>
    <row r="1342" spans="2:11" hidden="1" x14ac:dyDescent="0.2">
      <c r="B1342" s="4">
        <v>66163</v>
      </c>
      <c r="C1342" s="4">
        <v>0</v>
      </c>
      <c r="D1342">
        <v>0</v>
      </c>
      <c r="E1342" t="str">
        <f>VLOOKUP(B1342,Nuclides!A:F,5,FALSE)</f>
        <v>Dy163</v>
      </c>
      <c r="F1342" t="str">
        <f>VLOOKUP(B1342,Nuclides!A:F,4,FALSE)</f>
        <v>STABLE</v>
      </c>
      <c r="G1342" s="4" t="str">
        <f t="shared" si="114"/>
        <v>STABLE</v>
      </c>
      <c r="H1342" s="4" t="e">
        <f t="shared" si="115"/>
        <v>#VALUE!</v>
      </c>
      <c r="I1342" s="4" t="e">
        <f t="shared" si="116"/>
        <v>#VALUE!</v>
      </c>
      <c r="J1342" s="4" t="e">
        <f t="shared" si="117"/>
        <v>#VALUE!</v>
      </c>
      <c r="K1342" s="4" t="str">
        <f t="shared" si="118"/>
        <v>Dy163</v>
      </c>
    </row>
    <row r="1343" spans="2:11" hidden="1" x14ac:dyDescent="0.2">
      <c r="B1343" s="4">
        <v>66164</v>
      </c>
      <c r="C1343" s="4">
        <v>0</v>
      </c>
      <c r="D1343">
        <v>0</v>
      </c>
      <c r="E1343" t="str">
        <f>VLOOKUP(B1343,Nuclides!A:F,5,FALSE)</f>
        <v>Dy164</v>
      </c>
      <c r="F1343" t="str">
        <f>VLOOKUP(B1343,Nuclides!A:F,4,FALSE)</f>
        <v>STABLE</v>
      </c>
      <c r="G1343" s="4" t="str">
        <f t="shared" si="114"/>
        <v>STABLE</v>
      </c>
      <c r="H1343" s="4" t="e">
        <f t="shared" si="115"/>
        <v>#VALUE!</v>
      </c>
      <c r="I1343" s="4" t="e">
        <f t="shared" si="116"/>
        <v>#VALUE!</v>
      </c>
      <c r="J1343" s="4" t="e">
        <f t="shared" si="117"/>
        <v>#VALUE!</v>
      </c>
      <c r="K1343" s="4" t="str">
        <f t="shared" si="118"/>
        <v>Dy164</v>
      </c>
    </row>
    <row r="1344" spans="2:11" hidden="1" x14ac:dyDescent="0.2">
      <c r="B1344" s="4">
        <v>66165</v>
      </c>
      <c r="C1344" s="4">
        <v>0</v>
      </c>
      <c r="D1344">
        <v>0</v>
      </c>
      <c r="E1344" t="str">
        <f>VLOOKUP(B1344,Nuclides!A:F,5,FALSE)</f>
        <v>Dy165</v>
      </c>
      <c r="F1344">
        <f>VLOOKUP(B1344,Nuclides!A:F,4,FALSE)</f>
        <v>8402.4</v>
      </c>
      <c r="G1344" s="4" t="str">
        <f t="shared" si="114"/>
        <v>2.33h</v>
      </c>
      <c r="H1344" s="4">
        <f t="shared" si="115"/>
        <v>8.2493951794718803E-5</v>
      </c>
      <c r="I1344" s="4">
        <f t="shared" si="116"/>
        <v>0</v>
      </c>
      <c r="J1344" s="4">
        <f t="shared" si="117"/>
        <v>0</v>
      </c>
      <c r="K1344" s="4" t="str">
        <f t="shared" si="118"/>
        <v>Dy165</v>
      </c>
    </row>
    <row r="1345" spans="2:11" hidden="1" x14ac:dyDescent="0.2">
      <c r="B1345" s="4">
        <v>66166</v>
      </c>
      <c r="C1345" s="4">
        <v>0</v>
      </c>
      <c r="D1345">
        <v>0</v>
      </c>
      <c r="E1345" t="str">
        <f>VLOOKUP(B1345,Nuclides!A:F,5,FALSE)</f>
        <v>Dy166</v>
      </c>
      <c r="F1345">
        <f>VLOOKUP(B1345,Nuclides!A:F,4,FALSE)</f>
        <v>293760</v>
      </c>
      <c r="G1345" s="4" t="str">
        <f t="shared" si="114"/>
        <v>3.4d</v>
      </c>
      <c r="H1345" s="4">
        <f t="shared" si="115"/>
        <v>2.3595696505989421E-6</v>
      </c>
      <c r="I1345" s="4">
        <f t="shared" si="116"/>
        <v>0</v>
      </c>
      <c r="J1345" s="4">
        <f t="shared" si="117"/>
        <v>0</v>
      </c>
      <c r="K1345" s="4" t="str">
        <f t="shared" si="118"/>
        <v>Dy166</v>
      </c>
    </row>
    <row r="1346" spans="2:11" hidden="1" x14ac:dyDescent="0.2">
      <c r="B1346" s="4">
        <v>66167</v>
      </c>
      <c r="C1346" s="4">
        <v>0</v>
      </c>
      <c r="D1346">
        <v>0</v>
      </c>
      <c r="E1346" t="str">
        <f>VLOOKUP(B1346,Nuclides!A:F,5,FALSE)</f>
        <v>Dy167</v>
      </c>
      <c r="F1346">
        <f>VLOOKUP(B1346,Nuclides!A:F,4,FALSE)</f>
        <v>372</v>
      </c>
      <c r="G1346" s="4" t="str">
        <f t="shared" si="114"/>
        <v>6.2min</v>
      </c>
      <c r="H1346" s="4">
        <f t="shared" si="115"/>
        <v>1.8632988724729713E-3</v>
      </c>
      <c r="I1346" s="4">
        <f t="shared" si="116"/>
        <v>0</v>
      </c>
      <c r="J1346" s="4">
        <f t="shared" si="117"/>
        <v>0</v>
      </c>
      <c r="K1346" s="4" t="str">
        <f t="shared" si="118"/>
        <v>Dy167</v>
      </c>
    </row>
    <row r="1347" spans="2:11" hidden="1" x14ac:dyDescent="0.2">
      <c r="B1347" s="4">
        <v>66168</v>
      </c>
      <c r="C1347" s="4">
        <v>0</v>
      </c>
      <c r="D1347">
        <v>0</v>
      </c>
      <c r="E1347" t="str">
        <f>VLOOKUP(B1347,Nuclides!A:F,5,FALSE)</f>
        <v>Dy168</v>
      </c>
      <c r="F1347">
        <f>VLOOKUP(B1347,Nuclides!A:F,4,FALSE)</f>
        <v>522</v>
      </c>
      <c r="G1347" s="4" t="str">
        <f t="shared" si="114"/>
        <v>8.7min</v>
      </c>
      <c r="H1347" s="4">
        <f t="shared" si="115"/>
        <v>1.3278681619922324E-3</v>
      </c>
      <c r="I1347" s="4">
        <f t="shared" si="116"/>
        <v>0</v>
      </c>
      <c r="J1347" s="4">
        <f t="shared" si="117"/>
        <v>0</v>
      </c>
      <c r="K1347" s="4" t="str">
        <f t="shared" si="118"/>
        <v>Dy168</v>
      </c>
    </row>
    <row r="1348" spans="2:11" hidden="1" x14ac:dyDescent="0.2">
      <c r="B1348" s="4">
        <v>67147</v>
      </c>
      <c r="C1348" s="4">
        <v>0</v>
      </c>
      <c r="D1348">
        <v>0</v>
      </c>
      <c r="E1348" t="str">
        <f>VLOOKUP(B1348,Nuclides!A:F,5,FALSE)</f>
        <v>Ho147</v>
      </c>
      <c r="F1348">
        <f>VLOOKUP(B1348,Nuclides!A:F,4,FALSE)</f>
        <v>5.8</v>
      </c>
      <c r="G1348" s="4" t="str">
        <f t="shared" si="114"/>
        <v>5.8s</v>
      </c>
      <c r="H1348" s="4">
        <f t="shared" si="115"/>
        <v>0.11950813457930091</v>
      </c>
      <c r="I1348" s="4">
        <f t="shared" si="116"/>
        <v>0</v>
      </c>
      <c r="J1348" s="4">
        <f t="shared" si="117"/>
        <v>0</v>
      </c>
      <c r="K1348" s="4" t="str">
        <f t="shared" si="118"/>
        <v>Ho147</v>
      </c>
    </row>
    <row r="1349" spans="2:11" hidden="1" x14ac:dyDescent="0.2">
      <c r="B1349" s="4">
        <v>67148</v>
      </c>
      <c r="C1349" s="4">
        <v>0</v>
      </c>
      <c r="D1349">
        <v>0</v>
      </c>
      <c r="E1349" t="str">
        <f>VLOOKUP(B1349,Nuclides!A:F,5,FALSE)</f>
        <v>Ho148</v>
      </c>
      <c r="F1349">
        <f>VLOOKUP(B1349,Nuclides!A:F,4,FALSE)</f>
        <v>2.2000000000000002</v>
      </c>
      <c r="G1349" s="4" t="str">
        <f t="shared" ref="G1349:G1412" si="119">IF(F1349="STABLE", "STABLE", IF(F1349&lt;60, F1349&amp;"s", IF(F1349&lt;3600, ROUND(F1349/60,2)&amp;"min", IF(F1349&lt;86400, ROUND(F1349/3600,2)&amp;"h", IF(F1349&lt;31536000, ROUND(F1349/86400,2)&amp;"d", ROUND(F1349/31536000,2)&amp;"y")))))</f>
        <v>2.2s</v>
      </c>
      <c r="H1349" s="4">
        <f t="shared" ref="H1349:H1412" si="120">LN(2)/F1349</f>
        <v>0.31506690025452055</v>
      </c>
      <c r="I1349" s="4">
        <f t="shared" ref="I1349:I1412" si="121">60*6240000000000*C1349*(1-EXP(-H1349*2*3600))</f>
        <v>0</v>
      </c>
      <c r="J1349" s="4">
        <f t="shared" ref="J1349:J1412" si="122">I1349*EXP(-H1349*48*3600)</f>
        <v>0</v>
      </c>
      <c r="K1349" s="4" t="str">
        <f t="shared" ref="K1349:K1412" si="123">E1349</f>
        <v>Ho148</v>
      </c>
    </row>
    <row r="1350" spans="2:11" hidden="1" x14ac:dyDescent="0.2">
      <c r="B1350" s="4">
        <v>67149</v>
      </c>
      <c r="C1350" s="4">
        <v>0</v>
      </c>
      <c r="D1350">
        <v>0</v>
      </c>
      <c r="E1350" t="str">
        <f>VLOOKUP(B1350,Nuclides!A:F,5,FALSE)</f>
        <v>Ho149</v>
      </c>
      <c r="F1350">
        <f>VLOOKUP(B1350,Nuclides!A:F,4,FALSE)</f>
        <v>21.1</v>
      </c>
      <c r="G1350" s="4" t="str">
        <f t="shared" si="119"/>
        <v>21.1s</v>
      </c>
      <c r="H1350" s="4">
        <f t="shared" si="120"/>
        <v>3.2850577277722524E-2</v>
      </c>
      <c r="I1350" s="4">
        <f t="shared" si="121"/>
        <v>0</v>
      </c>
      <c r="J1350" s="4">
        <f t="shared" si="122"/>
        <v>0</v>
      </c>
      <c r="K1350" s="4" t="str">
        <f t="shared" si="123"/>
        <v>Ho149</v>
      </c>
    </row>
    <row r="1351" spans="2:11" hidden="1" x14ac:dyDescent="0.2">
      <c r="B1351" s="4">
        <v>67150</v>
      </c>
      <c r="C1351" s="4">
        <v>0</v>
      </c>
      <c r="D1351">
        <v>0</v>
      </c>
      <c r="E1351" t="str">
        <f>VLOOKUP(B1351,Nuclides!A:F,5,FALSE)</f>
        <v>Ho150</v>
      </c>
      <c r="F1351">
        <f>VLOOKUP(B1351,Nuclides!A:F,4,FALSE)</f>
        <v>72</v>
      </c>
      <c r="G1351" s="4" t="str">
        <f t="shared" si="119"/>
        <v>1.2min</v>
      </c>
      <c r="H1351" s="4">
        <f t="shared" si="120"/>
        <v>9.6270441744436847E-3</v>
      </c>
      <c r="I1351" s="4">
        <f t="shared" si="121"/>
        <v>0</v>
      </c>
      <c r="J1351" s="4">
        <f t="shared" si="122"/>
        <v>0</v>
      </c>
      <c r="K1351" s="4" t="str">
        <f t="shared" si="123"/>
        <v>Ho150</v>
      </c>
    </row>
    <row r="1352" spans="2:11" hidden="1" x14ac:dyDescent="0.2">
      <c r="B1352" s="4">
        <v>67151</v>
      </c>
      <c r="C1352" s="4">
        <v>0</v>
      </c>
      <c r="D1352">
        <v>0</v>
      </c>
      <c r="E1352" t="str">
        <f>VLOOKUP(B1352,Nuclides!A:F,5,FALSE)</f>
        <v>Ho151</v>
      </c>
      <c r="F1352">
        <f>VLOOKUP(B1352,Nuclides!A:F,4,FALSE)</f>
        <v>35.200000000000003</v>
      </c>
      <c r="G1352" s="4" t="str">
        <f t="shared" si="119"/>
        <v>35.2s</v>
      </c>
      <c r="H1352" s="4">
        <f t="shared" si="120"/>
        <v>1.9691681265907535E-2</v>
      </c>
      <c r="I1352" s="4">
        <f t="shared" si="121"/>
        <v>0</v>
      </c>
      <c r="J1352" s="4">
        <f t="shared" si="122"/>
        <v>0</v>
      </c>
      <c r="K1352" s="4" t="str">
        <f t="shared" si="123"/>
        <v>Ho151</v>
      </c>
    </row>
    <row r="1353" spans="2:11" hidden="1" x14ac:dyDescent="0.2">
      <c r="B1353" s="4">
        <v>67152</v>
      </c>
      <c r="C1353" s="4">
        <v>0</v>
      </c>
      <c r="D1353">
        <v>0</v>
      </c>
      <c r="E1353" t="str">
        <f>VLOOKUP(B1353,Nuclides!A:F,5,FALSE)</f>
        <v>Ho152</v>
      </c>
      <c r="F1353">
        <f>VLOOKUP(B1353,Nuclides!A:F,4,FALSE)</f>
        <v>161.80000000000001</v>
      </c>
      <c r="G1353" s="4" t="str">
        <f t="shared" si="119"/>
        <v>2.7min</v>
      </c>
      <c r="H1353" s="4">
        <f t="shared" si="120"/>
        <v>4.2839751579724673E-3</v>
      </c>
      <c r="I1353" s="4">
        <f t="shared" si="121"/>
        <v>0</v>
      </c>
      <c r="J1353" s="4">
        <f t="shared" si="122"/>
        <v>0</v>
      </c>
      <c r="K1353" s="4" t="str">
        <f t="shared" si="123"/>
        <v>Ho152</v>
      </c>
    </row>
    <row r="1354" spans="2:11" hidden="1" x14ac:dyDescent="0.2">
      <c r="B1354" s="4">
        <v>67153</v>
      </c>
      <c r="C1354" s="4">
        <v>0</v>
      </c>
      <c r="D1354">
        <v>0</v>
      </c>
      <c r="E1354" t="str">
        <f>VLOOKUP(B1354,Nuclides!A:F,5,FALSE)</f>
        <v>Ho153</v>
      </c>
      <c r="F1354">
        <f>VLOOKUP(B1354,Nuclides!A:F,4,FALSE)</f>
        <v>120.6</v>
      </c>
      <c r="G1354" s="4" t="str">
        <f t="shared" si="119"/>
        <v>2.01min</v>
      </c>
      <c r="H1354" s="4">
        <f t="shared" si="120"/>
        <v>5.7474890593693642E-3</v>
      </c>
      <c r="I1354" s="4">
        <f t="shared" si="121"/>
        <v>0</v>
      </c>
      <c r="J1354" s="4">
        <f t="shared" si="122"/>
        <v>0</v>
      </c>
      <c r="K1354" s="4" t="str">
        <f t="shared" si="123"/>
        <v>Ho153</v>
      </c>
    </row>
    <row r="1355" spans="2:11" hidden="1" x14ac:dyDescent="0.2">
      <c r="B1355" s="4">
        <v>67154</v>
      </c>
      <c r="C1355" s="4">
        <v>0</v>
      </c>
      <c r="D1355">
        <v>0</v>
      </c>
      <c r="E1355" t="str">
        <f>VLOOKUP(B1355,Nuclides!A:F,5,FALSE)</f>
        <v>Ho154</v>
      </c>
      <c r="F1355">
        <f>VLOOKUP(B1355,Nuclides!A:F,4,FALSE)</f>
        <v>705.6</v>
      </c>
      <c r="G1355" s="4" t="str">
        <f t="shared" si="119"/>
        <v>11.76min</v>
      </c>
      <c r="H1355" s="4">
        <f t="shared" si="120"/>
        <v>9.8235144637180455E-4</v>
      </c>
      <c r="I1355" s="4">
        <f t="shared" si="121"/>
        <v>0</v>
      </c>
      <c r="J1355" s="4">
        <f t="shared" si="122"/>
        <v>0</v>
      </c>
      <c r="K1355" s="4" t="str">
        <f t="shared" si="123"/>
        <v>Ho154</v>
      </c>
    </row>
    <row r="1356" spans="2:11" hidden="1" x14ac:dyDescent="0.2">
      <c r="B1356" s="4">
        <v>67155</v>
      </c>
      <c r="C1356" s="4">
        <v>0</v>
      </c>
      <c r="D1356">
        <v>0</v>
      </c>
      <c r="E1356" t="str">
        <f>VLOOKUP(B1356,Nuclides!A:F,5,FALSE)</f>
        <v>Ho155</v>
      </c>
      <c r="F1356">
        <f>VLOOKUP(B1356,Nuclides!A:F,4,FALSE)</f>
        <v>2880</v>
      </c>
      <c r="G1356" s="4" t="str">
        <f t="shared" si="119"/>
        <v>48min</v>
      </c>
      <c r="H1356" s="4">
        <f t="shared" si="120"/>
        <v>2.4067610436109211E-4</v>
      </c>
      <c r="I1356" s="4">
        <f t="shared" si="121"/>
        <v>0</v>
      </c>
      <c r="J1356" s="4">
        <f t="shared" si="122"/>
        <v>0</v>
      </c>
      <c r="K1356" s="4" t="str">
        <f t="shared" si="123"/>
        <v>Ho155</v>
      </c>
    </row>
    <row r="1357" spans="2:11" hidden="1" x14ac:dyDescent="0.2">
      <c r="B1357" s="4">
        <v>67156</v>
      </c>
      <c r="C1357" s="4">
        <v>0</v>
      </c>
      <c r="D1357">
        <v>0</v>
      </c>
      <c r="E1357" t="str">
        <f>VLOOKUP(B1357,Nuclides!A:F,5,FALSE)</f>
        <v>Ho156</v>
      </c>
      <c r="F1357">
        <f>VLOOKUP(B1357,Nuclides!A:F,4,FALSE)</f>
        <v>3360</v>
      </c>
      <c r="G1357" s="4" t="str">
        <f t="shared" si="119"/>
        <v>56min</v>
      </c>
      <c r="H1357" s="4">
        <f t="shared" si="120"/>
        <v>2.0629380373807897E-4</v>
      </c>
      <c r="I1357" s="4">
        <f t="shared" si="121"/>
        <v>0</v>
      </c>
      <c r="J1357" s="4">
        <f t="shared" si="122"/>
        <v>0</v>
      </c>
      <c r="K1357" s="4" t="str">
        <f t="shared" si="123"/>
        <v>Ho156</v>
      </c>
    </row>
    <row r="1358" spans="2:11" hidden="1" x14ac:dyDescent="0.2">
      <c r="B1358" s="4">
        <v>67157</v>
      </c>
      <c r="C1358" s="4">
        <v>0</v>
      </c>
      <c r="D1358">
        <v>0</v>
      </c>
      <c r="E1358" t="str">
        <f>VLOOKUP(B1358,Nuclides!A:F,5,FALSE)</f>
        <v>Ho157</v>
      </c>
      <c r="F1358">
        <f>VLOOKUP(B1358,Nuclides!A:F,4,FALSE)</f>
        <v>756</v>
      </c>
      <c r="G1358" s="4" t="str">
        <f t="shared" si="119"/>
        <v>12.6min</v>
      </c>
      <c r="H1358" s="4">
        <f t="shared" si="120"/>
        <v>9.1686134994701759E-4</v>
      </c>
      <c r="I1358" s="4">
        <f t="shared" si="121"/>
        <v>0</v>
      </c>
      <c r="J1358" s="4">
        <f t="shared" si="122"/>
        <v>0</v>
      </c>
      <c r="K1358" s="4" t="str">
        <f t="shared" si="123"/>
        <v>Ho157</v>
      </c>
    </row>
    <row r="1359" spans="2:11" hidden="1" x14ac:dyDescent="0.2">
      <c r="B1359" s="4">
        <v>67158</v>
      </c>
      <c r="C1359" s="4">
        <v>0</v>
      </c>
      <c r="D1359">
        <v>0</v>
      </c>
      <c r="E1359" t="str">
        <f>VLOOKUP(B1359,Nuclides!A:F,5,FALSE)</f>
        <v>Ho158</v>
      </c>
      <c r="F1359">
        <f>VLOOKUP(B1359,Nuclides!A:F,4,FALSE)</f>
        <v>678</v>
      </c>
      <c r="G1359" s="4" t="str">
        <f t="shared" si="119"/>
        <v>11.3min</v>
      </c>
      <c r="H1359" s="4">
        <f t="shared" si="120"/>
        <v>1.0223409742772054E-3</v>
      </c>
      <c r="I1359" s="4">
        <f t="shared" si="121"/>
        <v>0</v>
      </c>
      <c r="J1359" s="4">
        <f t="shared" si="122"/>
        <v>0</v>
      </c>
      <c r="K1359" s="4" t="str">
        <f t="shared" si="123"/>
        <v>Ho158</v>
      </c>
    </row>
    <row r="1360" spans="2:11" hidden="1" x14ac:dyDescent="0.2">
      <c r="B1360" s="4">
        <v>67159</v>
      </c>
      <c r="C1360" s="4">
        <v>0</v>
      </c>
      <c r="D1360">
        <v>0</v>
      </c>
      <c r="E1360" t="str">
        <f>VLOOKUP(B1360,Nuclides!A:F,5,FALSE)</f>
        <v>Ho159</v>
      </c>
      <c r="F1360">
        <f>VLOOKUP(B1360,Nuclides!A:F,4,FALSE)</f>
        <v>1982.99999999999</v>
      </c>
      <c r="G1360" s="4" t="str">
        <f t="shared" si="119"/>
        <v>33.05min</v>
      </c>
      <c r="H1360" s="4">
        <f t="shared" si="120"/>
        <v>3.495447204034033E-4</v>
      </c>
      <c r="I1360" s="4">
        <f t="shared" si="121"/>
        <v>0</v>
      </c>
      <c r="J1360" s="4">
        <f t="shared" si="122"/>
        <v>0</v>
      </c>
      <c r="K1360" s="4" t="str">
        <f t="shared" si="123"/>
        <v>Ho159</v>
      </c>
    </row>
    <row r="1361" spans="2:11" hidden="1" x14ac:dyDescent="0.2">
      <c r="B1361" s="4">
        <v>67160</v>
      </c>
      <c r="C1361" s="4">
        <v>0</v>
      </c>
      <c r="D1361">
        <v>0</v>
      </c>
      <c r="E1361" t="str">
        <f>VLOOKUP(B1361,Nuclides!A:F,5,FALSE)</f>
        <v>Ho160</v>
      </c>
      <c r="F1361">
        <f>VLOOKUP(B1361,Nuclides!A:F,4,FALSE)</f>
        <v>1536</v>
      </c>
      <c r="G1361" s="4" t="str">
        <f t="shared" si="119"/>
        <v>25.6min</v>
      </c>
      <c r="H1361" s="4">
        <f t="shared" si="120"/>
        <v>4.5126769567704769E-4</v>
      </c>
      <c r="I1361" s="4">
        <f t="shared" si="121"/>
        <v>0</v>
      </c>
      <c r="J1361" s="4">
        <f t="shared" si="122"/>
        <v>0</v>
      </c>
      <c r="K1361" s="4" t="str">
        <f t="shared" si="123"/>
        <v>Ho160</v>
      </c>
    </row>
    <row r="1362" spans="2:11" hidden="1" x14ac:dyDescent="0.2">
      <c r="B1362" s="4">
        <v>67161</v>
      </c>
      <c r="C1362" s="4">
        <v>0</v>
      </c>
      <c r="D1362">
        <v>0</v>
      </c>
      <c r="E1362" t="str">
        <f>VLOOKUP(B1362,Nuclides!A:F,5,FALSE)</f>
        <v>Ho161</v>
      </c>
      <c r="F1362">
        <f>VLOOKUP(B1362,Nuclides!A:F,4,FALSE)</f>
        <v>8928</v>
      </c>
      <c r="G1362" s="4" t="str">
        <f t="shared" si="119"/>
        <v>2.48h</v>
      </c>
      <c r="H1362" s="4">
        <f t="shared" si="120"/>
        <v>7.7637453019707131E-5</v>
      </c>
      <c r="I1362" s="4">
        <f t="shared" si="121"/>
        <v>0</v>
      </c>
      <c r="J1362" s="4">
        <f t="shared" si="122"/>
        <v>0</v>
      </c>
      <c r="K1362" s="4" t="str">
        <f t="shared" si="123"/>
        <v>Ho161</v>
      </c>
    </row>
    <row r="1363" spans="2:11" hidden="1" x14ac:dyDescent="0.2">
      <c r="B1363" s="4">
        <v>67162</v>
      </c>
      <c r="C1363" s="4">
        <v>0</v>
      </c>
      <c r="D1363">
        <v>0</v>
      </c>
      <c r="E1363" t="str">
        <f>VLOOKUP(B1363,Nuclides!A:F,5,FALSE)</f>
        <v>Ho162</v>
      </c>
      <c r="F1363">
        <f>VLOOKUP(B1363,Nuclides!A:F,4,FALSE)</f>
        <v>900</v>
      </c>
      <c r="G1363" s="4" t="str">
        <f t="shared" si="119"/>
        <v>15min</v>
      </c>
      <c r="H1363" s="4">
        <f t="shared" si="120"/>
        <v>7.7016353395549476E-4</v>
      </c>
      <c r="I1363" s="4">
        <f t="shared" si="121"/>
        <v>0</v>
      </c>
      <c r="J1363" s="4">
        <f t="shared" si="122"/>
        <v>0</v>
      </c>
      <c r="K1363" s="4" t="str">
        <f t="shared" si="123"/>
        <v>Ho162</v>
      </c>
    </row>
    <row r="1364" spans="2:11" hidden="1" x14ac:dyDescent="0.2">
      <c r="B1364" s="4">
        <v>67163</v>
      </c>
      <c r="C1364" s="4">
        <v>0</v>
      </c>
      <c r="D1364">
        <v>0</v>
      </c>
      <c r="E1364" t="str">
        <f>VLOOKUP(B1364,Nuclides!A:F,5,FALSE)</f>
        <v>Ho163</v>
      </c>
      <c r="F1364">
        <f>VLOOKUP(B1364,Nuclides!A:F,4,FALSE)</f>
        <v>144218232000</v>
      </c>
      <c r="G1364" s="4" t="str">
        <f t="shared" si="119"/>
        <v>4573.13y</v>
      </c>
      <c r="H1364" s="4">
        <f t="shared" si="120"/>
        <v>4.8062382331794589E-12</v>
      </c>
      <c r="I1364" s="4">
        <f t="shared" si="121"/>
        <v>0</v>
      </c>
      <c r="J1364" s="4">
        <f t="shared" si="122"/>
        <v>0</v>
      </c>
      <c r="K1364" s="4" t="str">
        <f t="shared" si="123"/>
        <v>Ho163</v>
      </c>
    </row>
    <row r="1365" spans="2:11" hidden="1" x14ac:dyDescent="0.2">
      <c r="B1365" s="4">
        <v>67164</v>
      </c>
      <c r="C1365" s="4">
        <v>0</v>
      </c>
      <c r="D1365">
        <v>0</v>
      </c>
      <c r="E1365" t="str">
        <f>VLOOKUP(B1365,Nuclides!A:F,5,FALSE)</f>
        <v>Ho164</v>
      </c>
      <c r="F1365">
        <f>VLOOKUP(B1365,Nuclides!A:F,4,FALSE)</f>
        <v>1740</v>
      </c>
      <c r="G1365" s="4" t="str">
        <f t="shared" si="119"/>
        <v>29min</v>
      </c>
      <c r="H1365" s="4">
        <f t="shared" si="120"/>
        <v>3.983604485976697E-4</v>
      </c>
      <c r="I1365" s="4">
        <f t="shared" si="121"/>
        <v>0</v>
      </c>
      <c r="J1365" s="4">
        <f t="shared" si="122"/>
        <v>0</v>
      </c>
      <c r="K1365" s="4" t="str">
        <f t="shared" si="123"/>
        <v>Ho164</v>
      </c>
    </row>
    <row r="1366" spans="2:11" hidden="1" x14ac:dyDescent="0.2">
      <c r="B1366" s="4">
        <v>67165</v>
      </c>
      <c r="C1366" s="4">
        <v>0</v>
      </c>
      <c r="D1366">
        <v>0</v>
      </c>
      <c r="E1366" t="str">
        <f>VLOOKUP(B1366,Nuclides!A:F,5,FALSE)</f>
        <v>Ho165</v>
      </c>
      <c r="F1366" t="str">
        <f>VLOOKUP(B1366,Nuclides!A:F,4,FALSE)</f>
        <v>STABLE</v>
      </c>
      <c r="G1366" s="4" t="str">
        <f t="shared" si="119"/>
        <v>STABLE</v>
      </c>
      <c r="H1366" s="4" t="e">
        <f t="shared" si="120"/>
        <v>#VALUE!</v>
      </c>
      <c r="I1366" s="4" t="e">
        <f t="shared" si="121"/>
        <v>#VALUE!</v>
      </c>
      <c r="J1366" s="4" t="e">
        <f t="shared" si="122"/>
        <v>#VALUE!</v>
      </c>
      <c r="K1366" s="4" t="str">
        <f t="shared" si="123"/>
        <v>Ho165</v>
      </c>
    </row>
    <row r="1367" spans="2:11" hidden="1" x14ac:dyDescent="0.2">
      <c r="B1367" s="4">
        <v>67166</v>
      </c>
      <c r="C1367" s="4">
        <v>0</v>
      </c>
      <c r="D1367">
        <v>0</v>
      </c>
      <c r="E1367" t="str">
        <f>VLOOKUP(B1367,Nuclides!A:F,5,FALSE)</f>
        <v>Ho166</v>
      </c>
      <c r="F1367">
        <f>VLOOKUP(B1367,Nuclides!A:F,4,FALSE)</f>
        <v>96566.399999999994</v>
      </c>
      <c r="G1367" s="4" t="str">
        <f t="shared" si="119"/>
        <v>1.12d</v>
      </c>
      <c r="H1367" s="4">
        <f t="shared" si="120"/>
        <v>7.1779333242198666E-6</v>
      </c>
      <c r="I1367" s="4">
        <f t="shared" si="121"/>
        <v>0</v>
      </c>
      <c r="J1367" s="4">
        <f t="shared" si="122"/>
        <v>0</v>
      </c>
      <c r="K1367" s="4" t="str">
        <f t="shared" si="123"/>
        <v>Ho166</v>
      </c>
    </row>
    <row r="1368" spans="2:11" hidden="1" x14ac:dyDescent="0.2">
      <c r="B1368" s="4">
        <v>67167</v>
      </c>
      <c r="C1368" s="4">
        <v>0</v>
      </c>
      <c r="D1368">
        <v>0</v>
      </c>
      <c r="E1368" t="str">
        <f>VLOOKUP(B1368,Nuclides!A:F,5,FALSE)</f>
        <v>Ho167</v>
      </c>
      <c r="F1368">
        <f>VLOOKUP(B1368,Nuclides!A:F,4,FALSE)</f>
        <v>10810.8</v>
      </c>
      <c r="G1368" s="4" t="str">
        <f t="shared" si="119"/>
        <v>3h</v>
      </c>
      <c r="H1368" s="4">
        <f t="shared" si="120"/>
        <v>6.4116178317973256E-5</v>
      </c>
      <c r="I1368" s="4">
        <f t="shared" si="121"/>
        <v>0</v>
      </c>
      <c r="J1368" s="4">
        <f t="shared" si="122"/>
        <v>0</v>
      </c>
      <c r="K1368" s="4" t="str">
        <f t="shared" si="123"/>
        <v>Ho167</v>
      </c>
    </row>
    <row r="1369" spans="2:11" hidden="1" x14ac:dyDescent="0.2">
      <c r="B1369" s="4">
        <v>67168</v>
      </c>
      <c r="C1369" s="4">
        <v>0</v>
      </c>
      <c r="D1369">
        <v>0</v>
      </c>
      <c r="E1369" t="str">
        <f>VLOOKUP(B1369,Nuclides!A:F,5,FALSE)</f>
        <v>Ho168</v>
      </c>
      <c r="F1369">
        <f>VLOOKUP(B1369,Nuclides!A:F,4,FALSE)</f>
        <v>179.4</v>
      </c>
      <c r="G1369" s="4" t="str">
        <f t="shared" si="119"/>
        <v>2.99min</v>
      </c>
      <c r="H1369" s="4">
        <f t="shared" si="120"/>
        <v>3.8636966586396058E-3</v>
      </c>
      <c r="I1369" s="4">
        <f t="shared" si="121"/>
        <v>0</v>
      </c>
      <c r="J1369" s="4">
        <f t="shared" si="122"/>
        <v>0</v>
      </c>
      <c r="K1369" s="4" t="str">
        <f t="shared" si="123"/>
        <v>Ho168</v>
      </c>
    </row>
    <row r="1370" spans="2:11" hidden="1" x14ac:dyDescent="0.2">
      <c r="B1370" s="4">
        <v>67169</v>
      </c>
      <c r="C1370" s="4">
        <v>0</v>
      </c>
      <c r="D1370">
        <v>0</v>
      </c>
      <c r="E1370" t="str">
        <f>VLOOKUP(B1370,Nuclides!A:F,5,FALSE)</f>
        <v>Ho169</v>
      </c>
      <c r="F1370">
        <f>VLOOKUP(B1370,Nuclides!A:F,4,FALSE)</f>
        <v>283.2</v>
      </c>
      <c r="G1370" s="4" t="str">
        <f t="shared" si="119"/>
        <v>4.72min</v>
      </c>
      <c r="H1370" s="4">
        <f t="shared" si="120"/>
        <v>2.4475536036721235E-3</v>
      </c>
      <c r="I1370" s="4">
        <f t="shared" si="121"/>
        <v>0</v>
      </c>
      <c r="J1370" s="4">
        <f t="shared" si="122"/>
        <v>0</v>
      </c>
      <c r="K1370" s="4" t="str">
        <f t="shared" si="123"/>
        <v>Ho169</v>
      </c>
    </row>
    <row r="1371" spans="2:11" hidden="1" x14ac:dyDescent="0.2">
      <c r="B1371" s="4">
        <v>67170</v>
      </c>
      <c r="C1371" s="4">
        <v>0</v>
      </c>
      <c r="D1371">
        <v>0</v>
      </c>
      <c r="E1371" t="str">
        <f>VLOOKUP(B1371,Nuclides!A:F,5,FALSE)</f>
        <v>Ho170</v>
      </c>
      <c r="F1371">
        <f>VLOOKUP(B1371,Nuclides!A:F,4,FALSE)</f>
        <v>165.6</v>
      </c>
      <c r="G1371" s="4" t="str">
        <f t="shared" si="119"/>
        <v>2.76min</v>
      </c>
      <c r="H1371" s="4">
        <f t="shared" si="120"/>
        <v>4.1856713801929069E-3</v>
      </c>
      <c r="I1371" s="4">
        <f t="shared" si="121"/>
        <v>0</v>
      </c>
      <c r="J1371" s="4">
        <f t="shared" si="122"/>
        <v>0</v>
      </c>
      <c r="K1371" s="4" t="str">
        <f t="shared" si="123"/>
        <v>Ho170</v>
      </c>
    </row>
    <row r="1372" spans="2:11" hidden="1" x14ac:dyDescent="0.2">
      <c r="B1372" s="4">
        <v>68147</v>
      </c>
      <c r="C1372" s="4">
        <v>0</v>
      </c>
      <c r="D1372">
        <v>0</v>
      </c>
      <c r="E1372" t="str">
        <f>VLOOKUP(B1372,Nuclides!A:F,5,FALSE)</f>
        <v>Er147</v>
      </c>
      <c r="F1372">
        <f>VLOOKUP(B1372,Nuclides!A:F,4,FALSE)</f>
        <v>2.5</v>
      </c>
      <c r="G1372" s="4" t="str">
        <f t="shared" si="119"/>
        <v>2.5s</v>
      </c>
      <c r="H1372" s="4">
        <f t="shared" si="120"/>
        <v>0.2772588722239781</v>
      </c>
      <c r="I1372" s="4">
        <f t="shared" si="121"/>
        <v>0</v>
      </c>
      <c r="J1372" s="4">
        <f t="shared" si="122"/>
        <v>0</v>
      </c>
      <c r="K1372" s="4" t="str">
        <f t="shared" si="123"/>
        <v>Er147</v>
      </c>
    </row>
    <row r="1373" spans="2:11" hidden="1" x14ac:dyDescent="0.2">
      <c r="B1373" s="4">
        <v>68148</v>
      </c>
      <c r="C1373" s="4">
        <v>0</v>
      </c>
      <c r="D1373">
        <v>0</v>
      </c>
      <c r="E1373" t="str">
        <f>VLOOKUP(B1373,Nuclides!A:F,5,FALSE)</f>
        <v>Er148</v>
      </c>
      <c r="F1373">
        <f>VLOOKUP(B1373,Nuclides!A:F,4,FALSE)</f>
        <v>4.5999999999999996</v>
      </c>
      <c r="G1373" s="4" t="str">
        <f t="shared" si="119"/>
        <v>4.6s</v>
      </c>
      <c r="H1373" s="4">
        <f t="shared" si="120"/>
        <v>0.15068416968694465</v>
      </c>
      <c r="I1373" s="4">
        <f t="shared" si="121"/>
        <v>0</v>
      </c>
      <c r="J1373" s="4">
        <f t="shared" si="122"/>
        <v>0</v>
      </c>
      <c r="K1373" s="4" t="str">
        <f t="shared" si="123"/>
        <v>Er148</v>
      </c>
    </row>
    <row r="1374" spans="2:11" hidden="1" x14ac:dyDescent="0.2">
      <c r="B1374" s="4">
        <v>68149</v>
      </c>
      <c r="C1374" s="4">
        <v>0</v>
      </c>
      <c r="D1374">
        <v>0</v>
      </c>
      <c r="E1374" t="str">
        <f>VLOOKUP(B1374,Nuclides!A:F,5,FALSE)</f>
        <v>Er149</v>
      </c>
      <c r="F1374">
        <f>VLOOKUP(B1374,Nuclides!A:F,4,FALSE)</f>
        <v>4</v>
      </c>
      <c r="G1374" s="4" t="str">
        <f t="shared" si="119"/>
        <v>4s</v>
      </c>
      <c r="H1374" s="4">
        <f t="shared" si="120"/>
        <v>0.17328679513998632</v>
      </c>
      <c r="I1374" s="4">
        <f t="shared" si="121"/>
        <v>0</v>
      </c>
      <c r="J1374" s="4">
        <f t="shared" si="122"/>
        <v>0</v>
      </c>
      <c r="K1374" s="4" t="str">
        <f t="shared" si="123"/>
        <v>Er149</v>
      </c>
    </row>
    <row r="1375" spans="2:11" hidden="1" x14ac:dyDescent="0.2">
      <c r="B1375" s="4">
        <v>68150</v>
      </c>
      <c r="C1375" s="4">
        <v>0</v>
      </c>
      <c r="D1375">
        <v>0</v>
      </c>
      <c r="E1375" t="str">
        <f>VLOOKUP(B1375,Nuclides!A:F,5,FALSE)</f>
        <v>Er150</v>
      </c>
      <c r="F1375">
        <f>VLOOKUP(B1375,Nuclides!A:F,4,FALSE)</f>
        <v>18.5</v>
      </c>
      <c r="G1375" s="4" t="str">
        <f t="shared" si="119"/>
        <v>18.5s</v>
      </c>
      <c r="H1375" s="4">
        <f t="shared" si="120"/>
        <v>3.7467415165402446E-2</v>
      </c>
      <c r="I1375" s="4">
        <f t="shared" si="121"/>
        <v>0</v>
      </c>
      <c r="J1375" s="4">
        <f t="shared" si="122"/>
        <v>0</v>
      </c>
      <c r="K1375" s="4" t="str">
        <f t="shared" si="123"/>
        <v>Er150</v>
      </c>
    </row>
    <row r="1376" spans="2:11" hidden="1" x14ac:dyDescent="0.2">
      <c r="B1376" s="4">
        <v>68151</v>
      </c>
      <c r="C1376" s="4">
        <v>0</v>
      </c>
      <c r="D1376">
        <v>0</v>
      </c>
      <c r="E1376" t="str">
        <f>VLOOKUP(B1376,Nuclides!A:F,5,FALSE)</f>
        <v>Er151</v>
      </c>
      <c r="F1376">
        <f>VLOOKUP(B1376,Nuclides!A:F,4,FALSE)</f>
        <v>23.5</v>
      </c>
      <c r="G1376" s="4" t="str">
        <f t="shared" si="119"/>
        <v>23.5s</v>
      </c>
      <c r="H1376" s="4">
        <f t="shared" si="120"/>
        <v>2.9495624704678522E-2</v>
      </c>
      <c r="I1376" s="4">
        <f t="shared" si="121"/>
        <v>0</v>
      </c>
      <c r="J1376" s="4">
        <f t="shared" si="122"/>
        <v>0</v>
      </c>
      <c r="K1376" s="4" t="str">
        <f t="shared" si="123"/>
        <v>Er151</v>
      </c>
    </row>
    <row r="1377" spans="2:11" hidden="1" x14ac:dyDescent="0.2">
      <c r="B1377" s="4">
        <v>68152</v>
      </c>
      <c r="C1377" s="4">
        <v>0</v>
      </c>
      <c r="D1377">
        <v>0</v>
      </c>
      <c r="E1377" t="str">
        <f>VLOOKUP(B1377,Nuclides!A:F,5,FALSE)</f>
        <v>Er152</v>
      </c>
      <c r="F1377">
        <f>VLOOKUP(B1377,Nuclides!A:F,4,FALSE)</f>
        <v>10.3</v>
      </c>
      <c r="G1377" s="4" t="str">
        <f t="shared" si="119"/>
        <v>10.3s</v>
      </c>
      <c r="H1377" s="4">
        <f t="shared" si="120"/>
        <v>6.7295842772810213E-2</v>
      </c>
      <c r="I1377" s="4">
        <f t="shared" si="121"/>
        <v>0</v>
      </c>
      <c r="J1377" s="4">
        <f t="shared" si="122"/>
        <v>0</v>
      </c>
      <c r="K1377" s="4" t="str">
        <f t="shared" si="123"/>
        <v>Er152</v>
      </c>
    </row>
    <row r="1378" spans="2:11" hidden="1" x14ac:dyDescent="0.2">
      <c r="B1378" s="4">
        <v>68153</v>
      </c>
      <c r="C1378" s="4">
        <v>0</v>
      </c>
      <c r="D1378">
        <v>0</v>
      </c>
      <c r="E1378" t="str">
        <f>VLOOKUP(B1378,Nuclides!A:F,5,FALSE)</f>
        <v>Er153</v>
      </c>
      <c r="F1378">
        <f>VLOOKUP(B1378,Nuclides!A:F,4,FALSE)</f>
        <v>37.1</v>
      </c>
      <c r="G1378" s="4" t="str">
        <f t="shared" si="119"/>
        <v>37.1s</v>
      </c>
      <c r="H1378" s="4">
        <f t="shared" si="120"/>
        <v>1.8683212414014699E-2</v>
      </c>
      <c r="I1378" s="4">
        <f t="shared" si="121"/>
        <v>0</v>
      </c>
      <c r="J1378" s="4">
        <f t="shared" si="122"/>
        <v>0</v>
      </c>
      <c r="K1378" s="4" t="str">
        <f t="shared" si="123"/>
        <v>Er153</v>
      </c>
    </row>
    <row r="1379" spans="2:11" hidden="1" x14ac:dyDescent="0.2">
      <c r="B1379" s="4">
        <v>68154</v>
      </c>
      <c r="C1379" s="4">
        <v>0</v>
      </c>
      <c r="D1379">
        <v>0</v>
      </c>
      <c r="E1379" t="str">
        <f>VLOOKUP(B1379,Nuclides!A:F,5,FALSE)</f>
        <v>Er154</v>
      </c>
      <c r="F1379">
        <f>VLOOKUP(B1379,Nuclides!A:F,4,FALSE)</f>
        <v>223.8</v>
      </c>
      <c r="G1379" s="4" t="str">
        <f t="shared" si="119"/>
        <v>3.73min</v>
      </c>
      <c r="H1379" s="4">
        <f t="shared" si="120"/>
        <v>3.0971723885609708E-3</v>
      </c>
      <c r="I1379" s="4">
        <f t="shared" si="121"/>
        <v>0</v>
      </c>
      <c r="J1379" s="4">
        <f t="shared" si="122"/>
        <v>0</v>
      </c>
      <c r="K1379" s="4" t="str">
        <f t="shared" si="123"/>
        <v>Er154</v>
      </c>
    </row>
    <row r="1380" spans="2:11" hidden="1" x14ac:dyDescent="0.2">
      <c r="B1380" s="4">
        <v>68155</v>
      </c>
      <c r="C1380" s="4">
        <v>0</v>
      </c>
      <c r="D1380">
        <v>0</v>
      </c>
      <c r="E1380" t="str">
        <f>VLOOKUP(B1380,Nuclides!A:F,5,FALSE)</f>
        <v>Er155</v>
      </c>
      <c r="F1380">
        <f>VLOOKUP(B1380,Nuclides!A:F,4,FALSE)</f>
        <v>318</v>
      </c>
      <c r="G1380" s="4" t="str">
        <f t="shared" si="119"/>
        <v>5.3min</v>
      </c>
      <c r="H1380" s="4">
        <f t="shared" si="120"/>
        <v>2.1797081149683814E-3</v>
      </c>
      <c r="I1380" s="4">
        <f t="shared" si="121"/>
        <v>0</v>
      </c>
      <c r="J1380" s="4">
        <f t="shared" si="122"/>
        <v>0</v>
      </c>
      <c r="K1380" s="4" t="str">
        <f t="shared" si="123"/>
        <v>Er155</v>
      </c>
    </row>
    <row r="1381" spans="2:11" hidden="1" x14ac:dyDescent="0.2">
      <c r="B1381" s="4">
        <v>68156</v>
      </c>
      <c r="C1381" s="4">
        <v>0</v>
      </c>
      <c r="D1381">
        <v>0</v>
      </c>
      <c r="E1381" t="str">
        <f>VLOOKUP(B1381,Nuclides!A:F,5,FALSE)</f>
        <v>Er156</v>
      </c>
      <c r="F1381">
        <f>VLOOKUP(B1381,Nuclides!A:F,4,FALSE)</f>
        <v>1170</v>
      </c>
      <c r="G1381" s="4" t="str">
        <f t="shared" si="119"/>
        <v>19.5min</v>
      </c>
      <c r="H1381" s="4">
        <f t="shared" si="120"/>
        <v>5.9243348765807284E-4</v>
      </c>
      <c r="I1381" s="4">
        <f t="shared" si="121"/>
        <v>0</v>
      </c>
      <c r="J1381" s="4">
        <f t="shared" si="122"/>
        <v>0</v>
      </c>
      <c r="K1381" s="4" t="str">
        <f t="shared" si="123"/>
        <v>Er156</v>
      </c>
    </row>
    <row r="1382" spans="2:11" hidden="1" x14ac:dyDescent="0.2">
      <c r="B1382" s="4">
        <v>68157</v>
      </c>
      <c r="C1382" s="4">
        <v>0</v>
      </c>
      <c r="D1382">
        <v>0</v>
      </c>
      <c r="E1382" t="str">
        <f>VLOOKUP(B1382,Nuclides!A:F,5,FALSE)</f>
        <v>Er157</v>
      </c>
      <c r="F1382">
        <f>VLOOKUP(B1382,Nuclides!A:F,4,FALSE)</f>
        <v>1119</v>
      </c>
      <c r="G1382" s="4" t="str">
        <f t="shared" si="119"/>
        <v>18.65min</v>
      </c>
      <c r="H1382" s="4">
        <f t="shared" si="120"/>
        <v>6.1943447771219422E-4</v>
      </c>
      <c r="I1382" s="4">
        <f t="shared" si="121"/>
        <v>0</v>
      </c>
      <c r="J1382" s="4">
        <f t="shared" si="122"/>
        <v>0</v>
      </c>
      <c r="K1382" s="4" t="str">
        <f t="shared" si="123"/>
        <v>Er157</v>
      </c>
    </row>
    <row r="1383" spans="2:11" hidden="1" x14ac:dyDescent="0.2">
      <c r="B1383" s="4">
        <v>68158</v>
      </c>
      <c r="C1383" s="4">
        <v>0</v>
      </c>
      <c r="D1383">
        <v>0</v>
      </c>
      <c r="E1383" t="str">
        <f>VLOOKUP(B1383,Nuclides!A:F,5,FALSE)</f>
        <v>Er158</v>
      </c>
      <c r="F1383">
        <f>VLOOKUP(B1383,Nuclides!A:F,4,FALSE)</f>
        <v>8244</v>
      </c>
      <c r="G1383" s="4" t="str">
        <f t="shared" si="119"/>
        <v>2.29h</v>
      </c>
      <c r="H1383" s="4">
        <f t="shared" si="120"/>
        <v>8.4078988423088945E-5</v>
      </c>
      <c r="I1383" s="4">
        <f t="shared" si="121"/>
        <v>0</v>
      </c>
      <c r="J1383" s="4">
        <f t="shared" si="122"/>
        <v>0</v>
      </c>
      <c r="K1383" s="4" t="str">
        <f t="shared" si="123"/>
        <v>Er158</v>
      </c>
    </row>
    <row r="1384" spans="2:11" hidden="1" x14ac:dyDescent="0.2">
      <c r="B1384" s="4">
        <v>68159</v>
      </c>
      <c r="C1384" s="4">
        <v>0</v>
      </c>
      <c r="D1384">
        <v>0</v>
      </c>
      <c r="E1384" t="str">
        <f>VLOOKUP(B1384,Nuclides!A:F,5,FALSE)</f>
        <v>Er159</v>
      </c>
      <c r="F1384">
        <f>VLOOKUP(B1384,Nuclides!A:F,4,FALSE)</f>
        <v>2160</v>
      </c>
      <c r="G1384" s="4" t="str">
        <f t="shared" si="119"/>
        <v>36min</v>
      </c>
      <c r="H1384" s="4">
        <f t="shared" si="120"/>
        <v>3.2090147248145615E-4</v>
      </c>
      <c r="I1384" s="4">
        <f t="shared" si="121"/>
        <v>0</v>
      </c>
      <c r="J1384" s="4">
        <f t="shared" si="122"/>
        <v>0</v>
      </c>
      <c r="K1384" s="4" t="str">
        <f t="shared" si="123"/>
        <v>Er159</v>
      </c>
    </row>
    <row r="1385" spans="2:11" hidden="1" x14ac:dyDescent="0.2">
      <c r="B1385" s="4">
        <v>68160</v>
      </c>
      <c r="C1385" s="4">
        <v>0</v>
      </c>
      <c r="D1385">
        <v>0</v>
      </c>
      <c r="E1385" t="str">
        <f>VLOOKUP(B1385,Nuclides!A:F,5,FALSE)</f>
        <v>Er160</v>
      </c>
      <c r="F1385">
        <f>VLOOKUP(B1385,Nuclides!A:F,4,FALSE)</f>
        <v>102888</v>
      </c>
      <c r="G1385" s="4" t="str">
        <f t="shared" si="119"/>
        <v>1.19d</v>
      </c>
      <c r="H1385" s="4">
        <f t="shared" si="120"/>
        <v>6.7369098491558323E-6</v>
      </c>
      <c r="I1385" s="4">
        <f t="shared" si="121"/>
        <v>0</v>
      </c>
      <c r="J1385" s="4">
        <f t="shared" si="122"/>
        <v>0</v>
      </c>
      <c r="K1385" s="4" t="str">
        <f t="shared" si="123"/>
        <v>Er160</v>
      </c>
    </row>
    <row r="1386" spans="2:11" hidden="1" x14ac:dyDescent="0.2">
      <c r="B1386" s="4">
        <v>68161</v>
      </c>
      <c r="C1386" s="4">
        <v>0</v>
      </c>
      <c r="D1386">
        <v>0</v>
      </c>
      <c r="E1386" t="str">
        <f>VLOOKUP(B1386,Nuclides!A:F,5,FALSE)</f>
        <v>Er161</v>
      </c>
      <c r="F1386">
        <f>VLOOKUP(B1386,Nuclides!A:F,4,FALSE)</f>
        <v>11556</v>
      </c>
      <c r="G1386" s="4" t="str">
        <f t="shared" si="119"/>
        <v>3.21h</v>
      </c>
      <c r="H1386" s="4">
        <f t="shared" si="120"/>
        <v>5.9981583641393672E-5</v>
      </c>
      <c r="I1386" s="4">
        <f t="shared" si="121"/>
        <v>0</v>
      </c>
      <c r="J1386" s="4">
        <f t="shared" si="122"/>
        <v>0</v>
      </c>
      <c r="K1386" s="4" t="str">
        <f t="shared" si="123"/>
        <v>Er161</v>
      </c>
    </row>
    <row r="1387" spans="2:11" hidden="1" x14ac:dyDescent="0.2">
      <c r="B1387" s="4">
        <v>68162</v>
      </c>
      <c r="C1387" s="4">
        <v>0</v>
      </c>
      <c r="D1387">
        <v>0</v>
      </c>
      <c r="E1387" t="str">
        <f>VLOOKUP(B1387,Nuclides!A:F,5,FALSE)</f>
        <v>Er162</v>
      </c>
      <c r="F1387" t="str">
        <f>VLOOKUP(B1387,Nuclides!A:F,4,FALSE)</f>
        <v>STABLE</v>
      </c>
      <c r="G1387" s="4" t="str">
        <f t="shared" si="119"/>
        <v>STABLE</v>
      </c>
      <c r="H1387" s="4" t="e">
        <f t="shared" si="120"/>
        <v>#VALUE!</v>
      </c>
      <c r="I1387" s="4" t="e">
        <f t="shared" si="121"/>
        <v>#VALUE!</v>
      </c>
      <c r="J1387" s="4" t="e">
        <f t="shared" si="122"/>
        <v>#VALUE!</v>
      </c>
      <c r="K1387" s="4" t="str">
        <f t="shared" si="123"/>
        <v>Er162</v>
      </c>
    </row>
    <row r="1388" spans="2:11" hidden="1" x14ac:dyDescent="0.2">
      <c r="B1388" s="4">
        <v>68163</v>
      </c>
      <c r="C1388" s="4">
        <v>0</v>
      </c>
      <c r="D1388">
        <v>0</v>
      </c>
      <c r="E1388" t="str">
        <f>VLOOKUP(B1388,Nuclides!A:F,5,FALSE)</f>
        <v>Er163</v>
      </c>
      <c r="F1388">
        <f>VLOOKUP(B1388,Nuclides!A:F,4,FALSE)</f>
        <v>4500</v>
      </c>
      <c r="G1388" s="4" t="str">
        <f t="shared" si="119"/>
        <v>1.25h</v>
      </c>
      <c r="H1388" s="4">
        <f t="shared" si="120"/>
        <v>1.5403270679109895E-4</v>
      </c>
      <c r="I1388" s="4">
        <f t="shared" si="121"/>
        <v>0</v>
      </c>
      <c r="J1388" s="4">
        <f t="shared" si="122"/>
        <v>0</v>
      </c>
      <c r="K1388" s="4" t="str">
        <f t="shared" si="123"/>
        <v>Er163</v>
      </c>
    </row>
    <row r="1389" spans="2:11" hidden="1" x14ac:dyDescent="0.2">
      <c r="B1389" s="4">
        <v>68164</v>
      </c>
      <c r="C1389" s="4">
        <v>0</v>
      </c>
      <c r="D1389">
        <v>0</v>
      </c>
      <c r="E1389" t="str">
        <f>VLOOKUP(B1389,Nuclides!A:F,5,FALSE)</f>
        <v>Er164</v>
      </c>
      <c r="F1389" t="str">
        <f>VLOOKUP(B1389,Nuclides!A:F,4,FALSE)</f>
        <v>STABLE</v>
      </c>
      <c r="G1389" s="4" t="str">
        <f t="shared" si="119"/>
        <v>STABLE</v>
      </c>
      <c r="H1389" s="4" t="e">
        <f t="shared" si="120"/>
        <v>#VALUE!</v>
      </c>
      <c r="I1389" s="4" t="e">
        <f t="shared" si="121"/>
        <v>#VALUE!</v>
      </c>
      <c r="J1389" s="4" t="e">
        <f t="shared" si="122"/>
        <v>#VALUE!</v>
      </c>
      <c r="K1389" s="4" t="str">
        <f t="shared" si="123"/>
        <v>Er164</v>
      </c>
    </row>
    <row r="1390" spans="2:11" hidden="1" x14ac:dyDescent="0.2">
      <c r="B1390" s="4">
        <v>68165</v>
      </c>
      <c r="C1390" s="4">
        <v>0</v>
      </c>
      <c r="D1390">
        <v>0</v>
      </c>
      <c r="E1390" t="str">
        <f>VLOOKUP(B1390,Nuclides!A:F,5,FALSE)</f>
        <v>Er165</v>
      </c>
      <c r="F1390">
        <f>VLOOKUP(B1390,Nuclides!A:F,4,FALSE)</f>
        <v>37296</v>
      </c>
      <c r="G1390" s="4" t="str">
        <f t="shared" si="119"/>
        <v>10.36h</v>
      </c>
      <c r="H1390" s="4">
        <f t="shared" si="120"/>
        <v>1.8585027363790896E-5</v>
      </c>
      <c r="I1390" s="4">
        <f t="shared" si="121"/>
        <v>0</v>
      </c>
      <c r="J1390" s="4">
        <f t="shared" si="122"/>
        <v>0</v>
      </c>
      <c r="K1390" s="4" t="str">
        <f t="shared" si="123"/>
        <v>Er165</v>
      </c>
    </row>
    <row r="1391" spans="2:11" hidden="1" x14ac:dyDescent="0.2">
      <c r="B1391" s="4">
        <v>68166</v>
      </c>
      <c r="C1391" s="4">
        <v>0</v>
      </c>
      <c r="D1391">
        <v>0</v>
      </c>
      <c r="E1391" t="str">
        <f>VLOOKUP(B1391,Nuclides!A:F,5,FALSE)</f>
        <v>Er166</v>
      </c>
      <c r="F1391" t="str">
        <f>VLOOKUP(B1391,Nuclides!A:F,4,FALSE)</f>
        <v>STABLE</v>
      </c>
      <c r="G1391" s="4" t="str">
        <f t="shared" si="119"/>
        <v>STABLE</v>
      </c>
      <c r="H1391" s="4" t="e">
        <f t="shared" si="120"/>
        <v>#VALUE!</v>
      </c>
      <c r="I1391" s="4" t="e">
        <f t="shared" si="121"/>
        <v>#VALUE!</v>
      </c>
      <c r="J1391" s="4" t="e">
        <f t="shared" si="122"/>
        <v>#VALUE!</v>
      </c>
      <c r="K1391" s="4" t="str">
        <f t="shared" si="123"/>
        <v>Er166</v>
      </c>
    </row>
    <row r="1392" spans="2:11" hidden="1" x14ac:dyDescent="0.2">
      <c r="B1392" s="4">
        <v>68167</v>
      </c>
      <c r="C1392" s="4">
        <v>0</v>
      </c>
      <c r="D1392">
        <v>0</v>
      </c>
      <c r="E1392" t="str">
        <f>VLOOKUP(B1392,Nuclides!A:F,5,FALSE)</f>
        <v>Er167</v>
      </c>
      <c r="F1392" t="str">
        <f>VLOOKUP(B1392,Nuclides!A:F,4,FALSE)</f>
        <v>STABLE</v>
      </c>
      <c r="G1392" s="4" t="str">
        <f t="shared" si="119"/>
        <v>STABLE</v>
      </c>
      <c r="H1392" s="4" t="e">
        <f t="shared" si="120"/>
        <v>#VALUE!</v>
      </c>
      <c r="I1392" s="4" t="e">
        <f t="shared" si="121"/>
        <v>#VALUE!</v>
      </c>
      <c r="J1392" s="4" t="e">
        <f t="shared" si="122"/>
        <v>#VALUE!</v>
      </c>
      <c r="K1392" s="4" t="str">
        <f t="shared" si="123"/>
        <v>Er167</v>
      </c>
    </row>
    <row r="1393" spans="2:11" hidden="1" x14ac:dyDescent="0.2">
      <c r="B1393" s="4">
        <v>68168</v>
      </c>
      <c r="C1393" s="4">
        <v>0</v>
      </c>
      <c r="D1393">
        <v>0</v>
      </c>
      <c r="E1393" t="str">
        <f>VLOOKUP(B1393,Nuclides!A:F,5,FALSE)</f>
        <v>Er168</v>
      </c>
      <c r="F1393" t="str">
        <f>VLOOKUP(B1393,Nuclides!A:F,4,FALSE)</f>
        <v>STABLE</v>
      </c>
      <c r="G1393" s="4" t="str">
        <f t="shared" si="119"/>
        <v>STABLE</v>
      </c>
      <c r="H1393" s="4" t="e">
        <f t="shared" si="120"/>
        <v>#VALUE!</v>
      </c>
      <c r="I1393" s="4" t="e">
        <f t="shared" si="121"/>
        <v>#VALUE!</v>
      </c>
      <c r="J1393" s="4" t="e">
        <f t="shared" si="122"/>
        <v>#VALUE!</v>
      </c>
      <c r="K1393" s="4" t="str">
        <f t="shared" si="123"/>
        <v>Er168</v>
      </c>
    </row>
    <row r="1394" spans="2:11" hidden="1" x14ac:dyDescent="0.2">
      <c r="B1394" s="4">
        <v>68169</v>
      </c>
      <c r="C1394" s="4">
        <v>0</v>
      </c>
      <c r="D1394">
        <v>0</v>
      </c>
      <c r="E1394" t="str">
        <f>VLOOKUP(B1394,Nuclides!A:F,5,FALSE)</f>
        <v>Er169</v>
      </c>
      <c r="F1394">
        <f>VLOOKUP(B1394,Nuclides!A:F,4,FALSE)</f>
        <v>811468.799999999</v>
      </c>
      <c r="G1394" s="4" t="str">
        <f t="shared" si="119"/>
        <v>9.39d</v>
      </c>
      <c r="H1394" s="4">
        <f t="shared" si="120"/>
        <v>8.5418833177559772E-7</v>
      </c>
      <c r="I1394" s="4">
        <f t="shared" si="121"/>
        <v>0</v>
      </c>
      <c r="J1394" s="4">
        <f t="shared" si="122"/>
        <v>0</v>
      </c>
      <c r="K1394" s="4" t="str">
        <f t="shared" si="123"/>
        <v>Er169</v>
      </c>
    </row>
    <row r="1395" spans="2:11" hidden="1" x14ac:dyDescent="0.2">
      <c r="B1395" s="4">
        <v>68170</v>
      </c>
      <c r="C1395" s="4">
        <v>0</v>
      </c>
      <c r="D1395">
        <v>0</v>
      </c>
      <c r="E1395" t="str">
        <f>VLOOKUP(B1395,Nuclides!A:F,5,FALSE)</f>
        <v>Er170</v>
      </c>
      <c r="F1395" t="str">
        <f>VLOOKUP(B1395,Nuclides!A:F,4,FALSE)</f>
        <v>STABLE</v>
      </c>
      <c r="G1395" s="4" t="str">
        <f t="shared" si="119"/>
        <v>STABLE</v>
      </c>
      <c r="H1395" s="4" t="e">
        <f t="shared" si="120"/>
        <v>#VALUE!</v>
      </c>
      <c r="I1395" s="4" t="e">
        <f t="shared" si="121"/>
        <v>#VALUE!</v>
      </c>
      <c r="J1395" s="4" t="e">
        <f t="shared" si="122"/>
        <v>#VALUE!</v>
      </c>
      <c r="K1395" s="4" t="str">
        <f t="shared" si="123"/>
        <v>Er170</v>
      </c>
    </row>
    <row r="1396" spans="2:11" hidden="1" x14ac:dyDescent="0.2">
      <c r="B1396" s="4">
        <v>68171</v>
      </c>
      <c r="C1396" s="4">
        <v>0</v>
      </c>
      <c r="D1396">
        <v>0</v>
      </c>
      <c r="E1396" t="str">
        <f>VLOOKUP(B1396,Nuclides!A:F,5,FALSE)</f>
        <v>Er171</v>
      </c>
      <c r="F1396">
        <f>VLOOKUP(B1396,Nuclides!A:F,4,FALSE)</f>
        <v>27057.599999999999</v>
      </c>
      <c r="G1396" s="4" t="str">
        <f t="shared" si="119"/>
        <v>7.52h</v>
      </c>
      <c r="H1396" s="4">
        <f t="shared" si="120"/>
        <v>2.5617467201819281E-5</v>
      </c>
      <c r="I1396" s="4">
        <f t="shared" si="121"/>
        <v>0</v>
      </c>
      <c r="J1396" s="4">
        <f t="shared" si="122"/>
        <v>0</v>
      </c>
      <c r="K1396" s="4" t="str">
        <f t="shared" si="123"/>
        <v>Er171</v>
      </c>
    </row>
    <row r="1397" spans="2:11" hidden="1" x14ac:dyDescent="0.2">
      <c r="B1397" s="4">
        <v>68172</v>
      </c>
      <c r="C1397" s="4">
        <v>0</v>
      </c>
      <c r="D1397">
        <v>0</v>
      </c>
      <c r="E1397" t="str">
        <f>VLOOKUP(B1397,Nuclides!A:F,5,FALSE)</f>
        <v>Er172</v>
      </c>
      <c r="F1397">
        <f>VLOOKUP(B1397,Nuclides!A:F,4,FALSE)</f>
        <v>177480</v>
      </c>
      <c r="G1397" s="4" t="str">
        <f t="shared" si="119"/>
        <v>2.05d</v>
      </c>
      <c r="H1397" s="4">
        <f t="shared" si="120"/>
        <v>3.9054945940948014E-6</v>
      </c>
      <c r="I1397" s="4">
        <f t="shared" si="121"/>
        <v>0</v>
      </c>
      <c r="J1397" s="4">
        <f t="shared" si="122"/>
        <v>0</v>
      </c>
      <c r="K1397" s="4" t="str">
        <f t="shared" si="123"/>
        <v>Er172</v>
      </c>
    </row>
    <row r="1398" spans="2:11" hidden="1" x14ac:dyDescent="0.2">
      <c r="B1398" s="4">
        <v>68173</v>
      </c>
      <c r="C1398" s="4">
        <v>0</v>
      </c>
      <c r="D1398">
        <v>0</v>
      </c>
      <c r="E1398" t="str">
        <f>VLOOKUP(B1398,Nuclides!A:F,5,FALSE)</f>
        <v>Er173</v>
      </c>
      <c r="F1398">
        <f>VLOOKUP(B1398,Nuclides!A:F,4,FALSE)</f>
        <v>84</v>
      </c>
      <c r="G1398" s="4" t="str">
        <f t="shared" si="119"/>
        <v>1.4min</v>
      </c>
      <c r="H1398" s="4">
        <f t="shared" si="120"/>
        <v>8.2517521495231588E-3</v>
      </c>
      <c r="I1398" s="4">
        <f t="shared" si="121"/>
        <v>0</v>
      </c>
      <c r="J1398" s="4">
        <f t="shared" si="122"/>
        <v>0</v>
      </c>
      <c r="K1398" s="4" t="str">
        <f t="shared" si="123"/>
        <v>Er173</v>
      </c>
    </row>
    <row r="1399" spans="2:11" hidden="1" x14ac:dyDescent="0.2">
      <c r="B1399" s="4">
        <v>69151</v>
      </c>
      <c r="C1399" s="4">
        <v>0</v>
      </c>
      <c r="D1399">
        <v>0</v>
      </c>
      <c r="E1399" t="str">
        <f>VLOOKUP(B1399,Nuclides!A:F,5,FALSE)</f>
        <v>Tm151</v>
      </c>
      <c r="F1399">
        <f>VLOOKUP(B1399,Nuclides!A:F,4,FALSE)</f>
        <v>4.17</v>
      </c>
      <c r="G1399" s="4" t="str">
        <f t="shared" si="119"/>
        <v>4.17s</v>
      </c>
      <c r="H1399" s="4">
        <f t="shared" si="120"/>
        <v>0.16622234545802045</v>
      </c>
      <c r="I1399" s="4">
        <f t="shared" si="121"/>
        <v>0</v>
      </c>
      <c r="J1399" s="4">
        <f t="shared" si="122"/>
        <v>0</v>
      </c>
      <c r="K1399" s="4" t="str">
        <f t="shared" si="123"/>
        <v>Tm151</v>
      </c>
    </row>
    <row r="1400" spans="2:11" hidden="1" x14ac:dyDescent="0.2">
      <c r="B1400" s="4">
        <v>69152</v>
      </c>
      <c r="C1400" s="4">
        <v>0</v>
      </c>
      <c r="D1400">
        <v>0</v>
      </c>
      <c r="E1400" t="str">
        <f>VLOOKUP(B1400,Nuclides!A:F,5,FALSE)</f>
        <v>Tm152</v>
      </c>
      <c r="F1400">
        <f>VLOOKUP(B1400,Nuclides!A:F,4,FALSE)</f>
        <v>8</v>
      </c>
      <c r="G1400" s="4" t="str">
        <f t="shared" si="119"/>
        <v>8s</v>
      </c>
      <c r="H1400" s="4">
        <f t="shared" si="120"/>
        <v>8.6643397569993161E-2</v>
      </c>
      <c r="I1400" s="4">
        <f t="shared" si="121"/>
        <v>0</v>
      </c>
      <c r="J1400" s="4">
        <f t="shared" si="122"/>
        <v>0</v>
      </c>
      <c r="K1400" s="4" t="str">
        <f t="shared" si="123"/>
        <v>Tm152</v>
      </c>
    </row>
    <row r="1401" spans="2:11" hidden="1" x14ac:dyDescent="0.2">
      <c r="B1401" s="4">
        <v>69153</v>
      </c>
      <c r="C1401" s="4">
        <v>0</v>
      </c>
      <c r="D1401">
        <v>0</v>
      </c>
      <c r="E1401" t="str">
        <f>VLOOKUP(B1401,Nuclides!A:F,5,FALSE)</f>
        <v>Tm153</v>
      </c>
      <c r="F1401">
        <f>VLOOKUP(B1401,Nuclides!A:F,4,FALSE)</f>
        <v>1.48</v>
      </c>
      <c r="G1401" s="4" t="str">
        <f t="shared" si="119"/>
        <v>1.48s</v>
      </c>
      <c r="H1401" s="4">
        <f t="shared" si="120"/>
        <v>0.46834268956753061</v>
      </c>
      <c r="I1401" s="4">
        <f t="shared" si="121"/>
        <v>0</v>
      </c>
      <c r="J1401" s="4">
        <f t="shared" si="122"/>
        <v>0</v>
      </c>
      <c r="K1401" s="4" t="str">
        <f t="shared" si="123"/>
        <v>Tm153</v>
      </c>
    </row>
    <row r="1402" spans="2:11" hidden="1" x14ac:dyDescent="0.2">
      <c r="B1402" s="4">
        <v>69154</v>
      </c>
      <c r="C1402" s="4">
        <v>0</v>
      </c>
      <c r="D1402">
        <v>0</v>
      </c>
      <c r="E1402" t="str">
        <f>VLOOKUP(B1402,Nuclides!A:F,5,FALSE)</f>
        <v>Tm154</v>
      </c>
      <c r="F1402">
        <f>VLOOKUP(B1402,Nuclides!A:F,4,FALSE)</f>
        <v>8.1</v>
      </c>
      <c r="G1402" s="4" t="str">
        <f t="shared" si="119"/>
        <v>8.1s</v>
      </c>
      <c r="H1402" s="4">
        <f t="shared" si="120"/>
        <v>8.5573725995054972E-2</v>
      </c>
      <c r="I1402" s="4">
        <f t="shared" si="121"/>
        <v>0</v>
      </c>
      <c r="J1402" s="4">
        <f t="shared" si="122"/>
        <v>0</v>
      </c>
      <c r="K1402" s="4" t="str">
        <f t="shared" si="123"/>
        <v>Tm154</v>
      </c>
    </row>
    <row r="1403" spans="2:11" hidden="1" x14ac:dyDescent="0.2">
      <c r="B1403" s="4">
        <v>69155</v>
      </c>
      <c r="C1403" s="4">
        <v>0</v>
      </c>
      <c r="D1403">
        <v>0</v>
      </c>
      <c r="E1403" t="str">
        <f>VLOOKUP(B1403,Nuclides!A:F,5,FALSE)</f>
        <v>Tm155</v>
      </c>
      <c r="F1403">
        <f>VLOOKUP(B1403,Nuclides!A:F,4,FALSE)</f>
        <v>21.6</v>
      </c>
      <c r="G1403" s="4" t="str">
        <f t="shared" si="119"/>
        <v>21.6s</v>
      </c>
      <c r="H1403" s="4">
        <f t="shared" si="120"/>
        <v>3.2090147248145615E-2</v>
      </c>
      <c r="I1403" s="4">
        <f t="shared" si="121"/>
        <v>0</v>
      </c>
      <c r="J1403" s="4">
        <f t="shared" si="122"/>
        <v>0</v>
      </c>
      <c r="K1403" s="4" t="str">
        <f t="shared" si="123"/>
        <v>Tm155</v>
      </c>
    </row>
    <row r="1404" spans="2:11" hidden="1" x14ac:dyDescent="0.2">
      <c r="B1404" s="4">
        <v>69156</v>
      </c>
      <c r="C1404" s="4">
        <v>0</v>
      </c>
      <c r="D1404">
        <v>0</v>
      </c>
      <c r="E1404" t="str">
        <f>VLOOKUP(B1404,Nuclides!A:F,5,FALSE)</f>
        <v>Tm156</v>
      </c>
      <c r="F1404">
        <f>VLOOKUP(B1404,Nuclides!A:F,4,FALSE)</f>
        <v>83.8</v>
      </c>
      <c r="G1404" s="4" t="str">
        <f t="shared" si="119"/>
        <v>1.4min</v>
      </c>
      <c r="H1404" s="4">
        <f t="shared" si="120"/>
        <v>8.2714460687344313E-3</v>
      </c>
      <c r="I1404" s="4">
        <f t="shared" si="121"/>
        <v>0</v>
      </c>
      <c r="J1404" s="4">
        <f t="shared" si="122"/>
        <v>0</v>
      </c>
      <c r="K1404" s="4" t="str">
        <f t="shared" si="123"/>
        <v>Tm156</v>
      </c>
    </row>
    <row r="1405" spans="2:11" hidden="1" x14ac:dyDescent="0.2">
      <c r="B1405" s="4">
        <v>69157</v>
      </c>
      <c r="C1405" s="4">
        <v>0</v>
      </c>
      <c r="D1405">
        <v>0</v>
      </c>
      <c r="E1405" t="str">
        <f>VLOOKUP(B1405,Nuclides!A:F,5,FALSE)</f>
        <v>Tm157</v>
      </c>
      <c r="F1405">
        <f>VLOOKUP(B1405,Nuclides!A:F,4,FALSE)</f>
        <v>217.79999999999899</v>
      </c>
      <c r="G1405" s="4" t="str">
        <f t="shared" si="119"/>
        <v>3.63min</v>
      </c>
      <c r="H1405" s="4">
        <f t="shared" si="120"/>
        <v>3.1824939419648692E-3</v>
      </c>
      <c r="I1405" s="4">
        <f t="shared" si="121"/>
        <v>0</v>
      </c>
      <c r="J1405" s="4">
        <f t="shared" si="122"/>
        <v>0</v>
      </c>
      <c r="K1405" s="4" t="str">
        <f t="shared" si="123"/>
        <v>Tm157</v>
      </c>
    </row>
    <row r="1406" spans="2:11" hidden="1" x14ac:dyDescent="0.2">
      <c r="B1406" s="4">
        <v>69158</v>
      </c>
      <c r="C1406" s="4">
        <v>0</v>
      </c>
      <c r="D1406">
        <v>0</v>
      </c>
      <c r="E1406" t="str">
        <f>VLOOKUP(B1406,Nuclides!A:F,5,FALSE)</f>
        <v>Tm158</v>
      </c>
      <c r="F1406">
        <f>VLOOKUP(B1406,Nuclides!A:F,4,FALSE)</f>
        <v>238.8</v>
      </c>
      <c r="G1406" s="4" t="str">
        <f t="shared" si="119"/>
        <v>3.98min</v>
      </c>
      <c r="H1406" s="4">
        <f t="shared" si="120"/>
        <v>2.9026263842543772E-3</v>
      </c>
      <c r="I1406" s="4">
        <f t="shared" si="121"/>
        <v>0</v>
      </c>
      <c r="J1406" s="4">
        <f t="shared" si="122"/>
        <v>0</v>
      </c>
      <c r="K1406" s="4" t="str">
        <f t="shared" si="123"/>
        <v>Tm158</v>
      </c>
    </row>
    <row r="1407" spans="2:11" hidden="1" x14ac:dyDescent="0.2">
      <c r="B1407" s="4">
        <v>69159</v>
      </c>
      <c r="C1407" s="4">
        <v>0</v>
      </c>
      <c r="D1407">
        <v>0</v>
      </c>
      <c r="E1407" t="str">
        <f>VLOOKUP(B1407,Nuclides!A:F,5,FALSE)</f>
        <v>Tm159</v>
      </c>
      <c r="F1407">
        <f>VLOOKUP(B1407,Nuclides!A:F,4,FALSE)</f>
        <v>547.79999999999995</v>
      </c>
      <c r="G1407" s="4" t="str">
        <f t="shared" si="119"/>
        <v>9.13min</v>
      </c>
      <c r="H1407" s="4">
        <f t="shared" si="120"/>
        <v>1.2653289166848218E-3</v>
      </c>
      <c r="I1407" s="4">
        <f t="shared" si="121"/>
        <v>0</v>
      </c>
      <c r="J1407" s="4">
        <f t="shared" si="122"/>
        <v>0</v>
      </c>
      <c r="K1407" s="4" t="str">
        <f t="shared" si="123"/>
        <v>Tm159</v>
      </c>
    </row>
    <row r="1408" spans="2:11" hidden="1" x14ac:dyDescent="0.2">
      <c r="B1408" s="4">
        <v>69160</v>
      </c>
      <c r="C1408" s="4">
        <v>0</v>
      </c>
      <c r="D1408">
        <v>0</v>
      </c>
      <c r="E1408" t="str">
        <f>VLOOKUP(B1408,Nuclides!A:F,5,FALSE)</f>
        <v>Tm160</v>
      </c>
      <c r="F1408">
        <f>VLOOKUP(B1408,Nuclides!A:F,4,FALSE)</f>
        <v>564</v>
      </c>
      <c r="G1408" s="4" t="str">
        <f t="shared" si="119"/>
        <v>9.4min</v>
      </c>
      <c r="H1408" s="4">
        <f t="shared" si="120"/>
        <v>1.2289843626949386E-3</v>
      </c>
      <c r="I1408" s="4">
        <f t="shared" si="121"/>
        <v>0</v>
      </c>
      <c r="J1408" s="4">
        <f t="shared" si="122"/>
        <v>0</v>
      </c>
      <c r="K1408" s="4" t="str">
        <f t="shared" si="123"/>
        <v>Tm160</v>
      </c>
    </row>
    <row r="1409" spans="2:11" hidden="1" x14ac:dyDescent="0.2">
      <c r="B1409" s="4">
        <v>69161</v>
      </c>
      <c r="C1409" s="4">
        <v>0</v>
      </c>
      <c r="D1409">
        <v>0</v>
      </c>
      <c r="E1409" t="str">
        <f>VLOOKUP(B1409,Nuclides!A:F,5,FALSE)</f>
        <v>Tm161</v>
      </c>
      <c r="F1409">
        <f>VLOOKUP(B1409,Nuclides!A:F,4,FALSE)</f>
        <v>1812</v>
      </c>
      <c r="G1409" s="4" t="str">
        <f t="shared" si="119"/>
        <v>30.2min</v>
      </c>
      <c r="H1409" s="4">
        <f t="shared" si="120"/>
        <v>3.825315566004113E-4</v>
      </c>
      <c r="I1409" s="4">
        <f t="shared" si="121"/>
        <v>0</v>
      </c>
      <c r="J1409" s="4">
        <f t="shared" si="122"/>
        <v>0</v>
      </c>
      <c r="K1409" s="4" t="str">
        <f t="shared" si="123"/>
        <v>Tm161</v>
      </c>
    </row>
    <row r="1410" spans="2:11" hidden="1" x14ac:dyDescent="0.2">
      <c r="B1410" s="4">
        <v>69162</v>
      </c>
      <c r="C1410" s="4">
        <v>0</v>
      </c>
      <c r="D1410">
        <v>0</v>
      </c>
      <c r="E1410" t="str">
        <f>VLOOKUP(B1410,Nuclides!A:F,5,FALSE)</f>
        <v>Tm162</v>
      </c>
      <c r="F1410">
        <f>VLOOKUP(B1410,Nuclides!A:F,4,FALSE)</f>
        <v>1302</v>
      </c>
      <c r="G1410" s="4" t="str">
        <f t="shared" si="119"/>
        <v>21.7min</v>
      </c>
      <c r="H1410" s="4">
        <f t="shared" si="120"/>
        <v>5.3237110642084893E-4</v>
      </c>
      <c r="I1410" s="4">
        <f t="shared" si="121"/>
        <v>0</v>
      </c>
      <c r="J1410" s="4">
        <f t="shared" si="122"/>
        <v>0</v>
      </c>
      <c r="K1410" s="4" t="str">
        <f t="shared" si="123"/>
        <v>Tm162</v>
      </c>
    </row>
    <row r="1411" spans="2:11" hidden="1" x14ac:dyDescent="0.2">
      <c r="B1411" s="4">
        <v>69163</v>
      </c>
      <c r="C1411" s="4">
        <v>0</v>
      </c>
      <c r="D1411">
        <v>0</v>
      </c>
      <c r="E1411" t="str">
        <f>VLOOKUP(B1411,Nuclides!A:F,5,FALSE)</f>
        <v>Tm163</v>
      </c>
      <c r="F1411">
        <f>VLOOKUP(B1411,Nuclides!A:F,4,FALSE)</f>
        <v>6516</v>
      </c>
      <c r="G1411" s="4" t="str">
        <f t="shared" si="119"/>
        <v>1.81h</v>
      </c>
      <c r="H1411" s="4">
        <f t="shared" si="120"/>
        <v>1.0637617872313464E-4</v>
      </c>
      <c r="I1411" s="4">
        <f t="shared" si="121"/>
        <v>0</v>
      </c>
      <c r="J1411" s="4">
        <f t="shared" si="122"/>
        <v>0</v>
      </c>
      <c r="K1411" s="4" t="str">
        <f t="shared" si="123"/>
        <v>Tm163</v>
      </c>
    </row>
    <row r="1412" spans="2:11" hidden="1" x14ac:dyDescent="0.2">
      <c r="B1412" s="4">
        <v>69164</v>
      </c>
      <c r="C1412" s="4">
        <v>0</v>
      </c>
      <c r="D1412">
        <v>0</v>
      </c>
      <c r="E1412" t="str">
        <f>VLOOKUP(B1412,Nuclides!A:F,5,FALSE)</f>
        <v>Tm164</v>
      </c>
      <c r="F1412">
        <f>VLOOKUP(B1412,Nuclides!A:F,4,FALSE)</f>
        <v>120</v>
      </c>
      <c r="G1412" s="4" t="str">
        <f t="shared" si="119"/>
        <v>2min</v>
      </c>
      <c r="H1412" s="4">
        <f t="shared" si="120"/>
        <v>5.7762265046662105E-3</v>
      </c>
      <c r="I1412" s="4">
        <f t="shared" si="121"/>
        <v>0</v>
      </c>
      <c r="J1412" s="4">
        <f t="shared" si="122"/>
        <v>0</v>
      </c>
      <c r="K1412" s="4" t="str">
        <f t="shared" si="123"/>
        <v>Tm164</v>
      </c>
    </row>
    <row r="1413" spans="2:11" hidden="1" x14ac:dyDescent="0.2">
      <c r="B1413" s="4">
        <v>69165</v>
      </c>
      <c r="C1413" s="4">
        <v>0</v>
      </c>
      <c r="D1413">
        <v>0</v>
      </c>
      <c r="E1413" t="str">
        <f>VLOOKUP(B1413,Nuclides!A:F,5,FALSE)</f>
        <v>Tm165</v>
      </c>
      <c r="F1413">
        <f>VLOOKUP(B1413,Nuclides!A:F,4,FALSE)</f>
        <v>108216</v>
      </c>
      <c r="G1413" s="4" t="str">
        <f t="shared" ref="G1413:G1476" si="124">IF(F1413="STABLE", "STABLE", IF(F1413&lt;60, F1413&amp;"s", IF(F1413&lt;3600, ROUND(F1413/60,2)&amp;"min", IF(F1413&lt;86400, ROUND(F1413/3600,2)&amp;"h", IF(F1413&lt;31536000, ROUND(F1413/86400,2)&amp;"d", ROUND(F1413/31536000,2)&amp;"y")))))</f>
        <v>1.25d</v>
      </c>
      <c r="H1413" s="4">
        <f t="shared" ref="H1413:H1476" si="125">LN(2)/F1413</f>
        <v>6.4052190116059112E-6</v>
      </c>
      <c r="I1413" s="4">
        <f t="shared" ref="I1413:I1476" si="126">60*6240000000000*C1413*(1-EXP(-H1413*2*3600))</f>
        <v>0</v>
      </c>
      <c r="J1413" s="4">
        <f t="shared" ref="J1413:J1476" si="127">I1413*EXP(-H1413*48*3600)</f>
        <v>0</v>
      </c>
      <c r="K1413" s="4" t="str">
        <f t="shared" ref="K1413:K1476" si="128">E1413</f>
        <v>Tm165</v>
      </c>
    </row>
    <row r="1414" spans="2:11" hidden="1" x14ac:dyDescent="0.2">
      <c r="B1414" s="4">
        <v>69166</v>
      </c>
      <c r="C1414" s="4">
        <v>0</v>
      </c>
      <c r="D1414">
        <v>0</v>
      </c>
      <c r="E1414" t="str">
        <f>VLOOKUP(B1414,Nuclides!A:F,5,FALSE)</f>
        <v>Tm166</v>
      </c>
      <c r="F1414">
        <f>VLOOKUP(B1414,Nuclides!A:F,4,FALSE)</f>
        <v>27720</v>
      </c>
      <c r="G1414" s="4" t="str">
        <f t="shared" si="124"/>
        <v>7.7h</v>
      </c>
      <c r="H1414" s="4">
        <f t="shared" si="125"/>
        <v>2.5005309544009571E-5</v>
      </c>
      <c r="I1414" s="4">
        <f t="shared" si="126"/>
        <v>0</v>
      </c>
      <c r="J1414" s="4">
        <f t="shared" si="127"/>
        <v>0</v>
      </c>
      <c r="K1414" s="4" t="str">
        <f t="shared" si="128"/>
        <v>Tm166</v>
      </c>
    </row>
    <row r="1415" spans="2:11" hidden="1" x14ac:dyDescent="0.2">
      <c r="B1415" s="4">
        <v>69167</v>
      </c>
      <c r="C1415" s="4">
        <v>0</v>
      </c>
      <c r="D1415">
        <v>0</v>
      </c>
      <c r="E1415" t="str">
        <f>VLOOKUP(B1415,Nuclides!A:F,5,FALSE)</f>
        <v>Tm167</v>
      </c>
      <c r="F1415">
        <f>VLOOKUP(B1415,Nuclides!A:F,4,FALSE)</f>
        <v>799200</v>
      </c>
      <c r="G1415" s="4" t="str">
        <f t="shared" si="124"/>
        <v>9.25d</v>
      </c>
      <c r="H1415" s="4">
        <f t="shared" si="125"/>
        <v>8.6730127697690852E-7</v>
      </c>
      <c r="I1415" s="4">
        <f t="shared" si="126"/>
        <v>0</v>
      </c>
      <c r="J1415" s="4">
        <f t="shared" si="127"/>
        <v>0</v>
      </c>
      <c r="K1415" s="4" t="str">
        <f t="shared" si="128"/>
        <v>Tm167</v>
      </c>
    </row>
    <row r="1416" spans="2:11" hidden="1" x14ac:dyDescent="0.2">
      <c r="B1416" s="4">
        <v>69168</v>
      </c>
      <c r="C1416" s="4">
        <v>0</v>
      </c>
      <c r="D1416">
        <v>0</v>
      </c>
      <c r="E1416" t="str">
        <f>VLOOKUP(B1416,Nuclides!A:F,5,FALSE)</f>
        <v>Tm168</v>
      </c>
      <c r="F1416">
        <f>VLOOKUP(B1416,Nuclides!A:F,4,FALSE)</f>
        <v>8043839.9999999898</v>
      </c>
      <c r="G1416" s="4" t="str">
        <f t="shared" si="124"/>
        <v>93.1d</v>
      </c>
      <c r="H1416" s="4">
        <f t="shared" si="125"/>
        <v>8.6171179506298749E-8</v>
      </c>
      <c r="I1416" s="4">
        <f t="shared" si="126"/>
        <v>0</v>
      </c>
      <c r="J1416" s="4">
        <f t="shared" si="127"/>
        <v>0</v>
      </c>
      <c r="K1416" s="4" t="str">
        <f t="shared" si="128"/>
        <v>Tm168</v>
      </c>
    </row>
    <row r="1417" spans="2:11" hidden="1" x14ac:dyDescent="0.2">
      <c r="B1417" s="4">
        <v>69169</v>
      </c>
      <c r="C1417" s="4">
        <v>0</v>
      </c>
      <c r="D1417">
        <v>0</v>
      </c>
      <c r="E1417" t="str">
        <f>VLOOKUP(B1417,Nuclides!A:F,5,FALSE)</f>
        <v>Tm169</v>
      </c>
      <c r="F1417" t="str">
        <f>VLOOKUP(B1417,Nuclides!A:F,4,FALSE)</f>
        <v>STABLE</v>
      </c>
      <c r="G1417" s="4" t="str">
        <f t="shared" si="124"/>
        <v>STABLE</v>
      </c>
      <c r="H1417" s="4" t="e">
        <f t="shared" si="125"/>
        <v>#VALUE!</v>
      </c>
      <c r="I1417" s="4" t="e">
        <f t="shared" si="126"/>
        <v>#VALUE!</v>
      </c>
      <c r="J1417" s="4" t="e">
        <f t="shared" si="127"/>
        <v>#VALUE!</v>
      </c>
      <c r="K1417" s="4" t="str">
        <f t="shared" si="128"/>
        <v>Tm169</v>
      </c>
    </row>
    <row r="1418" spans="2:11" hidden="1" x14ac:dyDescent="0.2">
      <c r="B1418" s="4">
        <v>69170</v>
      </c>
      <c r="C1418" s="4">
        <v>0</v>
      </c>
      <c r="D1418">
        <v>0</v>
      </c>
      <c r="E1418" t="str">
        <f>VLOOKUP(B1418,Nuclides!A:F,5,FALSE)</f>
        <v>Tm170</v>
      </c>
      <c r="F1418">
        <f>VLOOKUP(B1418,Nuclides!A:F,4,FALSE)</f>
        <v>11111040</v>
      </c>
      <c r="G1418" s="4" t="str">
        <f t="shared" si="124"/>
        <v>128.6d</v>
      </c>
      <c r="H1418" s="4">
        <f t="shared" si="125"/>
        <v>6.2383645505726309E-8</v>
      </c>
      <c r="I1418" s="4">
        <f t="shared" si="126"/>
        <v>0</v>
      </c>
      <c r="J1418" s="4">
        <f t="shared" si="127"/>
        <v>0</v>
      </c>
      <c r="K1418" s="4" t="str">
        <f t="shared" si="128"/>
        <v>Tm170</v>
      </c>
    </row>
    <row r="1419" spans="2:11" hidden="1" x14ac:dyDescent="0.2">
      <c r="B1419" s="4">
        <v>69171</v>
      </c>
      <c r="C1419" s="4">
        <v>0</v>
      </c>
      <c r="D1419">
        <v>0</v>
      </c>
      <c r="E1419" t="str">
        <f>VLOOKUP(B1419,Nuclides!A:F,5,FALSE)</f>
        <v>Tm171</v>
      </c>
      <c r="F1419">
        <f>VLOOKUP(B1419,Nuclides!A:F,4,FALSE)</f>
        <v>60590592</v>
      </c>
      <c r="G1419" s="4" t="str">
        <f t="shared" si="124"/>
        <v>1.92y</v>
      </c>
      <c r="H1419" s="4">
        <f t="shared" si="125"/>
        <v>1.1439848294599025E-8</v>
      </c>
      <c r="I1419" s="4">
        <f t="shared" si="126"/>
        <v>0</v>
      </c>
      <c r="J1419" s="4">
        <f t="shared" si="127"/>
        <v>0</v>
      </c>
      <c r="K1419" s="4" t="str">
        <f t="shared" si="128"/>
        <v>Tm171</v>
      </c>
    </row>
    <row r="1420" spans="2:11" hidden="1" x14ac:dyDescent="0.2">
      <c r="B1420" s="4">
        <v>69172</v>
      </c>
      <c r="C1420" s="4">
        <v>0</v>
      </c>
      <c r="D1420">
        <v>0</v>
      </c>
      <c r="E1420" t="str">
        <f>VLOOKUP(B1420,Nuclides!A:F,5,FALSE)</f>
        <v>Tm172</v>
      </c>
      <c r="F1420">
        <f>VLOOKUP(B1420,Nuclides!A:F,4,FALSE)</f>
        <v>228960</v>
      </c>
      <c r="G1420" s="4" t="str">
        <f t="shared" si="124"/>
        <v>2.65d</v>
      </c>
      <c r="H1420" s="4">
        <f t="shared" si="125"/>
        <v>3.0273723819005295E-6</v>
      </c>
      <c r="I1420" s="4">
        <f t="shared" si="126"/>
        <v>0</v>
      </c>
      <c r="J1420" s="4">
        <f t="shared" si="127"/>
        <v>0</v>
      </c>
      <c r="K1420" s="4" t="str">
        <f t="shared" si="128"/>
        <v>Tm172</v>
      </c>
    </row>
    <row r="1421" spans="2:11" hidden="1" x14ac:dyDescent="0.2">
      <c r="B1421" s="4">
        <v>69173</v>
      </c>
      <c r="C1421" s="4">
        <v>0</v>
      </c>
      <c r="D1421">
        <v>0</v>
      </c>
      <c r="E1421" t="str">
        <f>VLOOKUP(B1421,Nuclides!A:F,5,FALSE)</f>
        <v>Tm173</v>
      </c>
      <c r="F1421">
        <f>VLOOKUP(B1421,Nuclides!A:F,4,FALSE)</f>
        <v>29664</v>
      </c>
      <c r="G1421" s="4" t="str">
        <f t="shared" si="124"/>
        <v>8.24h</v>
      </c>
      <c r="H1421" s="4">
        <f t="shared" si="125"/>
        <v>2.3366612073892437E-5</v>
      </c>
      <c r="I1421" s="4">
        <f t="shared" si="126"/>
        <v>0</v>
      </c>
      <c r="J1421" s="4">
        <f t="shared" si="127"/>
        <v>0</v>
      </c>
      <c r="K1421" s="4" t="str">
        <f t="shared" si="128"/>
        <v>Tm173</v>
      </c>
    </row>
    <row r="1422" spans="2:11" hidden="1" x14ac:dyDescent="0.2">
      <c r="B1422" s="4">
        <v>69174</v>
      </c>
      <c r="C1422" s="4">
        <v>0</v>
      </c>
      <c r="D1422">
        <v>0</v>
      </c>
      <c r="E1422" t="str">
        <f>VLOOKUP(B1422,Nuclides!A:F,5,FALSE)</f>
        <v>Tm174</v>
      </c>
      <c r="F1422">
        <f>VLOOKUP(B1422,Nuclides!A:F,4,FALSE)</f>
        <v>324</v>
      </c>
      <c r="G1422" s="4" t="str">
        <f t="shared" si="124"/>
        <v>5.4min</v>
      </c>
      <c r="H1422" s="4">
        <f t="shared" si="125"/>
        <v>2.1393431498763745E-3</v>
      </c>
      <c r="I1422" s="4">
        <f t="shared" si="126"/>
        <v>0</v>
      </c>
      <c r="J1422" s="4">
        <f t="shared" si="127"/>
        <v>0</v>
      </c>
      <c r="K1422" s="4" t="str">
        <f t="shared" si="128"/>
        <v>Tm174</v>
      </c>
    </row>
    <row r="1423" spans="2:11" hidden="1" x14ac:dyDescent="0.2">
      <c r="B1423" s="4">
        <v>69175</v>
      </c>
      <c r="C1423" s="4">
        <v>0</v>
      </c>
      <c r="D1423">
        <v>0</v>
      </c>
      <c r="E1423" t="str">
        <f>VLOOKUP(B1423,Nuclides!A:F,5,FALSE)</f>
        <v>Tm175</v>
      </c>
      <c r="F1423">
        <f>VLOOKUP(B1423,Nuclides!A:F,4,FALSE)</f>
        <v>912</v>
      </c>
      <c r="G1423" s="4" t="str">
        <f t="shared" si="124"/>
        <v>15.2min</v>
      </c>
      <c r="H1423" s="4">
        <f t="shared" si="125"/>
        <v>7.6002980324555401E-4</v>
      </c>
      <c r="I1423" s="4">
        <f t="shared" si="126"/>
        <v>0</v>
      </c>
      <c r="J1423" s="4">
        <f t="shared" si="127"/>
        <v>0</v>
      </c>
      <c r="K1423" s="4" t="str">
        <f t="shared" si="128"/>
        <v>Tm175</v>
      </c>
    </row>
    <row r="1424" spans="2:11" hidden="1" x14ac:dyDescent="0.2">
      <c r="B1424" s="4">
        <v>69176</v>
      </c>
      <c r="C1424" s="4">
        <v>0</v>
      </c>
      <c r="D1424">
        <v>0</v>
      </c>
      <c r="E1424" t="str">
        <f>VLOOKUP(B1424,Nuclides!A:F,5,FALSE)</f>
        <v>Tm176</v>
      </c>
      <c r="F1424">
        <f>VLOOKUP(B1424,Nuclides!A:F,4,FALSE)</f>
        <v>114</v>
      </c>
      <c r="G1424" s="4" t="str">
        <f t="shared" si="124"/>
        <v>1.9min</v>
      </c>
      <c r="H1424" s="4">
        <f t="shared" si="125"/>
        <v>6.0802384259644321E-3</v>
      </c>
      <c r="I1424" s="4">
        <f t="shared" si="126"/>
        <v>0</v>
      </c>
      <c r="J1424" s="4">
        <f t="shared" si="127"/>
        <v>0</v>
      </c>
      <c r="K1424" s="4" t="str">
        <f t="shared" si="128"/>
        <v>Tm176</v>
      </c>
    </row>
    <row r="1425" spans="2:11" hidden="1" x14ac:dyDescent="0.2">
      <c r="B1425" s="4">
        <v>70153</v>
      </c>
      <c r="C1425" s="4">
        <v>0</v>
      </c>
      <c r="D1425">
        <v>0</v>
      </c>
      <c r="E1425" t="str">
        <f>VLOOKUP(B1425,Nuclides!A:F,5,FALSE)</f>
        <v>Yb153</v>
      </c>
      <c r="F1425">
        <f>VLOOKUP(B1425,Nuclides!A:F,4,FALSE)</f>
        <v>4.2</v>
      </c>
      <c r="G1425" s="4" t="str">
        <f t="shared" si="124"/>
        <v>4.2s</v>
      </c>
      <c r="H1425" s="4">
        <f t="shared" si="125"/>
        <v>0.16503504299046315</v>
      </c>
      <c r="I1425" s="4">
        <f t="shared" si="126"/>
        <v>0</v>
      </c>
      <c r="J1425" s="4">
        <f t="shared" si="127"/>
        <v>0</v>
      </c>
      <c r="K1425" s="4" t="str">
        <f t="shared" si="128"/>
        <v>Yb153</v>
      </c>
    </row>
    <row r="1426" spans="2:11" hidden="1" x14ac:dyDescent="0.2">
      <c r="B1426" s="4">
        <v>70154</v>
      </c>
      <c r="C1426" s="4">
        <v>0</v>
      </c>
      <c r="D1426">
        <v>0</v>
      </c>
      <c r="E1426" t="str">
        <f>VLOOKUP(B1426,Nuclides!A:F,5,FALSE)</f>
        <v>Yb154</v>
      </c>
      <c r="F1426">
        <f>VLOOKUP(B1426,Nuclides!A:F,4,FALSE)</f>
        <v>0.40899999999999997</v>
      </c>
      <c r="G1426" s="4" t="str">
        <f t="shared" si="124"/>
        <v>0.409s</v>
      </c>
      <c r="H1426" s="4">
        <f t="shared" si="125"/>
        <v>1.6947363827871524</v>
      </c>
      <c r="I1426" s="4">
        <f t="shared" si="126"/>
        <v>0</v>
      </c>
      <c r="J1426" s="4">
        <f t="shared" si="127"/>
        <v>0</v>
      </c>
      <c r="K1426" s="4" t="str">
        <f t="shared" si="128"/>
        <v>Yb154</v>
      </c>
    </row>
    <row r="1427" spans="2:11" hidden="1" x14ac:dyDescent="0.2">
      <c r="B1427" s="4">
        <v>70155</v>
      </c>
      <c r="C1427" s="4">
        <v>0</v>
      </c>
      <c r="D1427">
        <v>0</v>
      </c>
      <c r="E1427" t="str">
        <f>VLOOKUP(B1427,Nuclides!A:F,5,FALSE)</f>
        <v>Yb155</v>
      </c>
      <c r="F1427">
        <f>VLOOKUP(B1427,Nuclides!A:F,4,FALSE)</f>
        <v>1.7929999999999999</v>
      </c>
      <c r="G1427" s="4" t="str">
        <f t="shared" si="124"/>
        <v>1.793s</v>
      </c>
      <c r="H1427" s="4">
        <f t="shared" si="125"/>
        <v>0.38658515368652835</v>
      </c>
      <c r="I1427" s="4">
        <f t="shared" si="126"/>
        <v>0</v>
      </c>
      <c r="J1427" s="4">
        <f t="shared" si="127"/>
        <v>0</v>
      </c>
      <c r="K1427" s="4" t="str">
        <f t="shared" si="128"/>
        <v>Yb155</v>
      </c>
    </row>
    <row r="1428" spans="2:11" hidden="1" x14ac:dyDescent="0.2">
      <c r="B1428" s="4">
        <v>70156</v>
      </c>
      <c r="C1428" s="4">
        <v>0</v>
      </c>
      <c r="D1428">
        <v>0</v>
      </c>
      <c r="E1428" t="str">
        <f>VLOOKUP(B1428,Nuclides!A:F,5,FALSE)</f>
        <v>Yb156</v>
      </c>
      <c r="F1428">
        <f>VLOOKUP(B1428,Nuclides!A:F,4,FALSE)</f>
        <v>26.1</v>
      </c>
      <c r="G1428" s="4" t="str">
        <f t="shared" si="124"/>
        <v>26.1s</v>
      </c>
      <c r="H1428" s="4">
        <f t="shared" si="125"/>
        <v>2.6557363239844645E-2</v>
      </c>
      <c r="I1428" s="4">
        <f t="shared" si="126"/>
        <v>0</v>
      </c>
      <c r="J1428" s="4">
        <f t="shared" si="127"/>
        <v>0</v>
      </c>
      <c r="K1428" s="4" t="str">
        <f t="shared" si="128"/>
        <v>Yb156</v>
      </c>
    </row>
    <row r="1429" spans="2:11" hidden="1" x14ac:dyDescent="0.2">
      <c r="B1429" s="4">
        <v>70157</v>
      </c>
      <c r="C1429" s="4">
        <v>0</v>
      </c>
      <c r="D1429">
        <v>0</v>
      </c>
      <c r="E1429" t="str">
        <f>VLOOKUP(B1429,Nuclides!A:F,5,FALSE)</f>
        <v>Yb157</v>
      </c>
      <c r="F1429">
        <f>VLOOKUP(B1429,Nuclides!A:F,4,FALSE)</f>
        <v>38.6</v>
      </c>
      <c r="G1429" s="4" t="str">
        <f t="shared" si="124"/>
        <v>38.6s</v>
      </c>
      <c r="H1429" s="4">
        <f t="shared" si="125"/>
        <v>1.7957180843521898E-2</v>
      </c>
      <c r="I1429" s="4">
        <f t="shared" si="126"/>
        <v>0</v>
      </c>
      <c r="J1429" s="4">
        <f t="shared" si="127"/>
        <v>0</v>
      </c>
      <c r="K1429" s="4" t="str">
        <f t="shared" si="128"/>
        <v>Yb157</v>
      </c>
    </row>
    <row r="1430" spans="2:11" hidden="1" x14ac:dyDescent="0.2">
      <c r="B1430" s="4">
        <v>70158</v>
      </c>
      <c r="C1430" s="4">
        <v>0</v>
      </c>
      <c r="D1430">
        <v>0</v>
      </c>
      <c r="E1430" t="str">
        <f>VLOOKUP(B1430,Nuclides!A:F,5,FALSE)</f>
        <v>Yb158</v>
      </c>
      <c r="F1430">
        <f>VLOOKUP(B1430,Nuclides!A:F,4,FALSE)</f>
        <v>89.4</v>
      </c>
      <c r="G1430" s="4" t="str">
        <f t="shared" si="124"/>
        <v>1.49min</v>
      </c>
      <c r="H1430" s="4">
        <f t="shared" si="125"/>
        <v>7.7533241673371951E-3</v>
      </c>
      <c r="I1430" s="4">
        <f t="shared" si="126"/>
        <v>0</v>
      </c>
      <c r="J1430" s="4">
        <f t="shared" si="127"/>
        <v>0</v>
      </c>
      <c r="K1430" s="4" t="str">
        <f t="shared" si="128"/>
        <v>Yb158</v>
      </c>
    </row>
    <row r="1431" spans="2:11" hidden="1" x14ac:dyDescent="0.2">
      <c r="B1431" s="4">
        <v>70159</v>
      </c>
      <c r="C1431" s="4">
        <v>0</v>
      </c>
      <c r="D1431">
        <v>0</v>
      </c>
      <c r="E1431" t="str">
        <f>VLOOKUP(B1431,Nuclides!A:F,5,FALSE)</f>
        <v>Yb159</v>
      </c>
      <c r="F1431">
        <f>VLOOKUP(B1431,Nuclides!A:F,4,FALSE)</f>
        <v>100.19999999999899</v>
      </c>
      <c r="G1431" s="4" t="str">
        <f t="shared" si="124"/>
        <v>1.67min</v>
      </c>
      <c r="H1431" s="4">
        <f t="shared" si="125"/>
        <v>6.9176365325344536E-3</v>
      </c>
      <c r="I1431" s="4">
        <f t="shared" si="126"/>
        <v>0</v>
      </c>
      <c r="J1431" s="4">
        <f t="shared" si="127"/>
        <v>0</v>
      </c>
      <c r="K1431" s="4" t="str">
        <f t="shared" si="128"/>
        <v>Yb159</v>
      </c>
    </row>
    <row r="1432" spans="2:11" hidden="1" x14ac:dyDescent="0.2">
      <c r="B1432" s="4">
        <v>70160</v>
      </c>
      <c r="C1432" s="4">
        <v>0</v>
      </c>
      <c r="D1432">
        <v>0</v>
      </c>
      <c r="E1432" t="str">
        <f>VLOOKUP(B1432,Nuclides!A:F,5,FALSE)</f>
        <v>Yb160</v>
      </c>
      <c r="F1432">
        <f>VLOOKUP(B1432,Nuclides!A:F,4,FALSE)</f>
        <v>288</v>
      </c>
      <c r="G1432" s="4" t="str">
        <f t="shared" si="124"/>
        <v>4.8min</v>
      </c>
      <c r="H1432" s="4">
        <f t="shared" si="125"/>
        <v>2.4067610436109212E-3</v>
      </c>
      <c r="I1432" s="4">
        <f t="shared" si="126"/>
        <v>0</v>
      </c>
      <c r="J1432" s="4">
        <f t="shared" si="127"/>
        <v>0</v>
      </c>
      <c r="K1432" s="4" t="str">
        <f t="shared" si="128"/>
        <v>Yb160</v>
      </c>
    </row>
    <row r="1433" spans="2:11" hidden="1" x14ac:dyDescent="0.2">
      <c r="B1433" s="4">
        <v>70161</v>
      </c>
      <c r="C1433" s="4">
        <v>0</v>
      </c>
      <c r="D1433">
        <v>0</v>
      </c>
      <c r="E1433" t="str">
        <f>VLOOKUP(B1433,Nuclides!A:F,5,FALSE)</f>
        <v>Yb161</v>
      </c>
      <c r="F1433">
        <f>VLOOKUP(B1433,Nuclides!A:F,4,FALSE)</f>
        <v>252</v>
      </c>
      <c r="G1433" s="4" t="str">
        <f t="shared" si="124"/>
        <v>4.2min</v>
      </c>
      <c r="H1433" s="4">
        <f t="shared" si="125"/>
        <v>2.7505840498410527E-3</v>
      </c>
      <c r="I1433" s="4">
        <f t="shared" si="126"/>
        <v>0</v>
      </c>
      <c r="J1433" s="4">
        <f t="shared" si="127"/>
        <v>0</v>
      </c>
      <c r="K1433" s="4" t="str">
        <f t="shared" si="128"/>
        <v>Yb161</v>
      </c>
    </row>
    <row r="1434" spans="2:11" hidden="1" x14ac:dyDescent="0.2">
      <c r="B1434" s="4">
        <v>70162</v>
      </c>
      <c r="C1434" s="4">
        <v>0</v>
      </c>
      <c r="D1434">
        <v>0</v>
      </c>
      <c r="E1434" t="str">
        <f>VLOOKUP(B1434,Nuclides!A:F,5,FALSE)</f>
        <v>Yb162</v>
      </c>
      <c r="F1434">
        <f>VLOOKUP(B1434,Nuclides!A:F,4,FALSE)</f>
        <v>1132.2</v>
      </c>
      <c r="G1434" s="4" t="str">
        <f t="shared" si="124"/>
        <v>18.87min</v>
      </c>
      <c r="H1434" s="4">
        <f t="shared" si="125"/>
        <v>6.1221266610134715E-4</v>
      </c>
      <c r="I1434" s="4">
        <f t="shared" si="126"/>
        <v>0</v>
      </c>
      <c r="J1434" s="4">
        <f t="shared" si="127"/>
        <v>0</v>
      </c>
      <c r="K1434" s="4" t="str">
        <f t="shared" si="128"/>
        <v>Yb162</v>
      </c>
    </row>
    <row r="1435" spans="2:11" hidden="1" x14ac:dyDescent="0.2">
      <c r="B1435" s="4">
        <v>70163</v>
      </c>
      <c r="C1435" s="4">
        <v>0</v>
      </c>
      <c r="D1435">
        <v>0</v>
      </c>
      <c r="E1435" t="str">
        <f>VLOOKUP(B1435,Nuclides!A:F,5,FALSE)</f>
        <v>Yb163</v>
      </c>
      <c r="F1435">
        <f>VLOOKUP(B1435,Nuclides!A:F,4,FALSE)</f>
        <v>663</v>
      </c>
      <c r="G1435" s="4" t="str">
        <f t="shared" si="124"/>
        <v>11.05min</v>
      </c>
      <c r="H1435" s="4">
        <f t="shared" si="125"/>
        <v>1.0454708605730698E-3</v>
      </c>
      <c r="I1435" s="4">
        <f t="shared" si="126"/>
        <v>0</v>
      </c>
      <c r="J1435" s="4">
        <f t="shared" si="127"/>
        <v>0</v>
      </c>
      <c r="K1435" s="4" t="str">
        <f t="shared" si="128"/>
        <v>Yb163</v>
      </c>
    </row>
    <row r="1436" spans="2:11" hidden="1" x14ac:dyDescent="0.2">
      <c r="B1436" s="4">
        <v>70164</v>
      </c>
      <c r="C1436" s="4">
        <v>0</v>
      </c>
      <c r="D1436">
        <v>0</v>
      </c>
      <c r="E1436" t="str">
        <f>VLOOKUP(B1436,Nuclides!A:F,5,FALSE)</f>
        <v>Yb164</v>
      </c>
      <c r="F1436">
        <f>VLOOKUP(B1436,Nuclides!A:F,4,FALSE)</f>
        <v>4548</v>
      </c>
      <c r="G1436" s="4" t="str">
        <f t="shared" si="124"/>
        <v>1.26h</v>
      </c>
      <c r="H1436" s="4">
        <f t="shared" si="125"/>
        <v>1.5240703178538814E-4</v>
      </c>
      <c r="I1436" s="4">
        <f t="shared" si="126"/>
        <v>0</v>
      </c>
      <c r="J1436" s="4">
        <f t="shared" si="127"/>
        <v>0</v>
      </c>
      <c r="K1436" s="4" t="str">
        <f t="shared" si="128"/>
        <v>Yb164</v>
      </c>
    </row>
    <row r="1437" spans="2:11" hidden="1" x14ac:dyDescent="0.2">
      <c r="B1437" s="4">
        <v>70165</v>
      </c>
      <c r="C1437" s="4">
        <v>0</v>
      </c>
      <c r="D1437">
        <v>0</v>
      </c>
      <c r="E1437" t="str">
        <f>VLOOKUP(B1437,Nuclides!A:F,5,FALSE)</f>
        <v>Yb165</v>
      </c>
      <c r="F1437">
        <f>VLOOKUP(B1437,Nuclides!A:F,4,FALSE)</f>
        <v>594</v>
      </c>
      <c r="G1437" s="4" t="str">
        <f t="shared" si="124"/>
        <v>9.9min</v>
      </c>
      <c r="H1437" s="4">
        <f t="shared" si="125"/>
        <v>1.1669144453871133E-3</v>
      </c>
      <c r="I1437" s="4">
        <f t="shared" si="126"/>
        <v>0</v>
      </c>
      <c r="J1437" s="4">
        <f t="shared" si="127"/>
        <v>0</v>
      </c>
      <c r="K1437" s="4" t="str">
        <f t="shared" si="128"/>
        <v>Yb165</v>
      </c>
    </row>
    <row r="1438" spans="2:11" hidden="1" x14ac:dyDescent="0.2">
      <c r="B1438" s="4">
        <v>70166</v>
      </c>
      <c r="C1438" s="4">
        <v>0</v>
      </c>
      <c r="D1438">
        <v>0</v>
      </c>
      <c r="E1438" t="str">
        <f>VLOOKUP(B1438,Nuclides!A:F,5,FALSE)</f>
        <v>Yb166</v>
      </c>
      <c r="F1438">
        <f>VLOOKUP(B1438,Nuclides!A:F,4,FALSE)</f>
        <v>204120</v>
      </c>
      <c r="G1438" s="4" t="str">
        <f t="shared" si="124"/>
        <v>2.36d</v>
      </c>
      <c r="H1438" s="4">
        <f t="shared" si="125"/>
        <v>3.3957827775815464E-6</v>
      </c>
      <c r="I1438" s="4">
        <f t="shared" si="126"/>
        <v>0</v>
      </c>
      <c r="J1438" s="4">
        <f t="shared" si="127"/>
        <v>0</v>
      </c>
      <c r="K1438" s="4" t="str">
        <f t="shared" si="128"/>
        <v>Yb166</v>
      </c>
    </row>
    <row r="1439" spans="2:11" hidden="1" x14ac:dyDescent="0.2">
      <c r="B1439" s="4">
        <v>70167</v>
      </c>
      <c r="C1439" s="4">
        <v>0</v>
      </c>
      <c r="D1439">
        <v>0</v>
      </c>
      <c r="E1439" t="str">
        <f>VLOOKUP(B1439,Nuclides!A:F,5,FALSE)</f>
        <v>Yb167</v>
      </c>
      <c r="F1439">
        <f>VLOOKUP(B1439,Nuclides!A:F,4,FALSE)</f>
        <v>1050</v>
      </c>
      <c r="G1439" s="4" t="str">
        <f t="shared" si="124"/>
        <v>17.5min</v>
      </c>
      <c r="H1439" s="4">
        <f t="shared" si="125"/>
        <v>6.6014017196185267E-4</v>
      </c>
      <c r="I1439" s="4">
        <f t="shared" si="126"/>
        <v>0</v>
      </c>
      <c r="J1439" s="4">
        <f t="shared" si="127"/>
        <v>0</v>
      </c>
      <c r="K1439" s="4" t="str">
        <f t="shared" si="128"/>
        <v>Yb167</v>
      </c>
    </row>
    <row r="1440" spans="2:11" hidden="1" x14ac:dyDescent="0.2">
      <c r="B1440" s="4">
        <v>70168</v>
      </c>
      <c r="C1440" s="4">
        <v>0</v>
      </c>
      <c r="D1440">
        <v>0</v>
      </c>
      <c r="E1440" t="str">
        <f>VLOOKUP(B1440,Nuclides!A:F,5,FALSE)</f>
        <v>Yb168</v>
      </c>
      <c r="F1440" t="str">
        <f>VLOOKUP(B1440,Nuclides!A:F,4,FALSE)</f>
        <v>STABLE</v>
      </c>
      <c r="G1440" s="4" t="str">
        <f t="shared" si="124"/>
        <v>STABLE</v>
      </c>
      <c r="H1440" s="4" t="e">
        <f t="shared" si="125"/>
        <v>#VALUE!</v>
      </c>
      <c r="I1440" s="4" t="e">
        <f t="shared" si="126"/>
        <v>#VALUE!</v>
      </c>
      <c r="J1440" s="4" t="e">
        <f t="shared" si="127"/>
        <v>#VALUE!</v>
      </c>
      <c r="K1440" s="4" t="str">
        <f t="shared" si="128"/>
        <v>Yb168</v>
      </c>
    </row>
    <row r="1441" spans="2:11" hidden="1" x14ac:dyDescent="0.2">
      <c r="B1441" s="4">
        <v>70169</v>
      </c>
      <c r="C1441" s="4">
        <v>0</v>
      </c>
      <c r="D1441">
        <v>0</v>
      </c>
      <c r="E1441" t="str">
        <f>VLOOKUP(B1441,Nuclides!A:F,5,FALSE)</f>
        <v>Yb169</v>
      </c>
      <c r="F1441">
        <f>VLOOKUP(B1441,Nuclides!A:F,4,FALSE)</f>
        <v>2766355.2</v>
      </c>
      <c r="G1441" s="4" t="str">
        <f t="shared" si="124"/>
        <v>32.02d</v>
      </c>
      <c r="H1441" s="4">
        <f t="shared" si="125"/>
        <v>2.5056333350104329E-7</v>
      </c>
      <c r="I1441" s="4">
        <f t="shared" si="126"/>
        <v>0</v>
      </c>
      <c r="J1441" s="4">
        <f t="shared" si="127"/>
        <v>0</v>
      </c>
      <c r="K1441" s="4" t="str">
        <f t="shared" si="128"/>
        <v>Yb169</v>
      </c>
    </row>
    <row r="1442" spans="2:11" hidden="1" x14ac:dyDescent="0.2">
      <c r="B1442" s="4">
        <v>70170</v>
      </c>
      <c r="C1442" s="4">
        <v>0</v>
      </c>
      <c r="D1442">
        <v>0</v>
      </c>
      <c r="E1442" t="str">
        <f>VLOOKUP(B1442,Nuclides!A:F,5,FALSE)</f>
        <v>Yb170</v>
      </c>
      <c r="F1442" t="str">
        <f>VLOOKUP(B1442,Nuclides!A:F,4,FALSE)</f>
        <v>STABLE</v>
      </c>
      <c r="G1442" s="4" t="str">
        <f t="shared" si="124"/>
        <v>STABLE</v>
      </c>
      <c r="H1442" s="4" t="e">
        <f t="shared" si="125"/>
        <v>#VALUE!</v>
      </c>
      <c r="I1442" s="4" t="e">
        <f t="shared" si="126"/>
        <v>#VALUE!</v>
      </c>
      <c r="J1442" s="4" t="e">
        <f t="shared" si="127"/>
        <v>#VALUE!</v>
      </c>
      <c r="K1442" s="4" t="str">
        <f t="shared" si="128"/>
        <v>Yb170</v>
      </c>
    </row>
    <row r="1443" spans="2:11" hidden="1" x14ac:dyDescent="0.2">
      <c r="B1443" s="4">
        <v>70171</v>
      </c>
      <c r="C1443" s="4">
        <v>0</v>
      </c>
      <c r="D1443">
        <v>0</v>
      </c>
      <c r="E1443" t="str">
        <f>VLOOKUP(B1443,Nuclides!A:F,5,FALSE)</f>
        <v>Yb171</v>
      </c>
      <c r="F1443" t="str">
        <f>VLOOKUP(B1443,Nuclides!A:F,4,FALSE)</f>
        <v>STABLE</v>
      </c>
      <c r="G1443" s="4" t="str">
        <f t="shared" si="124"/>
        <v>STABLE</v>
      </c>
      <c r="H1443" s="4" t="e">
        <f t="shared" si="125"/>
        <v>#VALUE!</v>
      </c>
      <c r="I1443" s="4" t="e">
        <f t="shared" si="126"/>
        <v>#VALUE!</v>
      </c>
      <c r="J1443" s="4" t="e">
        <f t="shared" si="127"/>
        <v>#VALUE!</v>
      </c>
      <c r="K1443" s="4" t="str">
        <f t="shared" si="128"/>
        <v>Yb171</v>
      </c>
    </row>
    <row r="1444" spans="2:11" hidden="1" x14ac:dyDescent="0.2">
      <c r="B1444" s="4">
        <v>70172</v>
      </c>
      <c r="C1444" s="4">
        <v>0</v>
      </c>
      <c r="D1444">
        <v>0</v>
      </c>
      <c r="E1444" t="str">
        <f>VLOOKUP(B1444,Nuclides!A:F,5,FALSE)</f>
        <v>Yb172</v>
      </c>
      <c r="F1444" t="str">
        <f>VLOOKUP(B1444,Nuclides!A:F,4,FALSE)</f>
        <v>STABLE</v>
      </c>
      <c r="G1444" s="4" t="str">
        <f t="shared" si="124"/>
        <v>STABLE</v>
      </c>
      <c r="H1444" s="4" t="e">
        <f t="shared" si="125"/>
        <v>#VALUE!</v>
      </c>
      <c r="I1444" s="4" t="e">
        <f t="shared" si="126"/>
        <v>#VALUE!</v>
      </c>
      <c r="J1444" s="4" t="e">
        <f t="shared" si="127"/>
        <v>#VALUE!</v>
      </c>
      <c r="K1444" s="4" t="str">
        <f t="shared" si="128"/>
        <v>Yb172</v>
      </c>
    </row>
    <row r="1445" spans="2:11" hidden="1" x14ac:dyDescent="0.2">
      <c r="B1445" s="4">
        <v>70173</v>
      </c>
      <c r="C1445" s="4">
        <v>0</v>
      </c>
      <c r="D1445">
        <v>0</v>
      </c>
      <c r="E1445" t="str">
        <f>VLOOKUP(B1445,Nuclides!A:F,5,FALSE)</f>
        <v>Yb173</v>
      </c>
      <c r="F1445" t="str">
        <f>VLOOKUP(B1445,Nuclides!A:F,4,FALSE)</f>
        <v>STABLE</v>
      </c>
      <c r="G1445" s="4" t="str">
        <f t="shared" si="124"/>
        <v>STABLE</v>
      </c>
      <c r="H1445" s="4" t="e">
        <f t="shared" si="125"/>
        <v>#VALUE!</v>
      </c>
      <c r="I1445" s="4" t="e">
        <f t="shared" si="126"/>
        <v>#VALUE!</v>
      </c>
      <c r="J1445" s="4" t="e">
        <f t="shared" si="127"/>
        <v>#VALUE!</v>
      </c>
      <c r="K1445" s="4" t="str">
        <f t="shared" si="128"/>
        <v>Yb173</v>
      </c>
    </row>
    <row r="1446" spans="2:11" hidden="1" x14ac:dyDescent="0.2">
      <c r="B1446" s="4">
        <v>70174</v>
      </c>
      <c r="C1446" s="4">
        <v>0</v>
      </c>
      <c r="D1446">
        <v>0</v>
      </c>
      <c r="E1446" t="str">
        <f>VLOOKUP(B1446,Nuclides!A:F,5,FALSE)</f>
        <v>Yb174</v>
      </c>
      <c r="F1446" t="str">
        <f>VLOOKUP(B1446,Nuclides!A:F,4,FALSE)</f>
        <v>STABLE</v>
      </c>
      <c r="G1446" s="4" t="str">
        <f t="shared" si="124"/>
        <v>STABLE</v>
      </c>
      <c r="H1446" s="4" t="e">
        <f t="shared" si="125"/>
        <v>#VALUE!</v>
      </c>
      <c r="I1446" s="4" t="e">
        <f t="shared" si="126"/>
        <v>#VALUE!</v>
      </c>
      <c r="J1446" s="4" t="e">
        <f t="shared" si="127"/>
        <v>#VALUE!</v>
      </c>
      <c r="K1446" s="4" t="str">
        <f t="shared" si="128"/>
        <v>Yb174</v>
      </c>
    </row>
    <row r="1447" spans="2:11" hidden="1" x14ac:dyDescent="0.2">
      <c r="B1447" s="4">
        <v>70175</v>
      </c>
      <c r="C1447" s="4">
        <v>0</v>
      </c>
      <c r="D1447">
        <v>0</v>
      </c>
      <c r="E1447" t="str">
        <f>VLOOKUP(B1447,Nuclides!A:F,5,FALSE)</f>
        <v>Yb175</v>
      </c>
      <c r="F1447">
        <f>VLOOKUP(B1447,Nuclides!A:F,4,FALSE)</f>
        <v>361583.99999999901</v>
      </c>
      <c r="G1447" s="4" t="str">
        <f t="shared" si="124"/>
        <v>4.18d</v>
      </c>
      <c r="H1447" s="4">
        <f t="shared" si="125"/>
        <v>1.9169741486347494E-6</v>
      </c>
      <c r="I1447" s="4">
        <f t="shared" si="126"/>
        <v>0</v>
      </c>
      <c r="J1447" s="4">
        <f t="shared" si="127"/>
        <v>0</v>
      </c>
      <c r="K1447" s="4" t="str">
        <f t="shared" si="128"/>
        <v>Yb175</v>
      </c>
    </row>
    <row r="1448" spans="2:11" hidden="1" x14ac:dyDescent="0.2">
      <c r="B1448" s="4">
        <v>70176</v>
      </c>
      <c r="C1448" s="4">
        <v>0</v>
      </c>
      <c r="D1448">
        <v>0</v>
      </c>
      <c r="E1448" t="str">
        <f>VLOOKUP(B1448,Nuclides!A:F,5,FALSE)</f>
        <v>Yb176</v>
      </c>
      <c r="F1448" t="str">
        <f>VLOOKUP(B1448,Nuclides!A:F,4,FALSE)</f>
        <v>STABLE</v>
      </c>
      <c r="G1448" s="4" t="str">
        <f t="shared" si="124"/>
        <v>STABLE</v>
      </c>
      <c r="H1448" s="4" t="e">
        <f t="shared" si="125"/>
        <v>#VALUE!</v>
      </c>
      <c r="I1448" s="4" t="e">
        <f t="shared" si="126"/>
        <v>#VALUE!</v>
      </c>
      <c r="J1448" s="4" t="e">
        <f t="shared" si="127"/>
        <v>#VALUE!</v>
      </c>
      <c r="K1448" s="4" t="str">
        <f t="shared" si="128"/>
        <v>Yb176</v>
      </c>
    </row>
    <row r="1449" spans="2:11" hidden="1" x14ac:dyDescent="0.2">
      <c r="B1449" s="4">
        <v>70177</v>
      </c>
      <c r="C1449" s="4">
        <v>0</v>
      </c>
      <c r="D1449">
        <v>0</v>
      </c>
      <c r="E1449" t="str">
        <f>VLOOKUP(B1449,Nuclides!A:F,5,FALSE)</f>
        <v>Yb177</v>
      </c>
      <c r="F1449">
        <f>VLOOKUP(B1449,Nuclides!A:F,4,FALSE)</f>
        <v>6879.6</v>
      </c>
      <c r="G1449" s="4" t="str">
        <f t="shared" si="124"/>
        <v>1.91h</v>
      </c>
      <c r="H1449" s="4">
        <f t="shared" si="125"/>
        <v>1.0075399449967226E-4</v>
      </c>
      <c r="I1449" s="4">
        <f t="shared" si="126"/>
        <v>0</v>
      </c>
      <c r="J1449" s="4">
        <f t="shared" si="127"/>
        <v>0</v>
      </c>
      <c r="K1449" s="4" t="str">
        <f t="shared" si="128"/>
        <v>Yb177</v>
      </c>
    </row>
    <row r="1450" spans="2:11" hidden="1" x14ac:dyDescent="0.2">
      <c r="B1450" s="4">
        <v>70178</v>
      </c>
      <c r="C1450" s="4">
        <v>0</v>
      </c>
      <c r="D1450">
        <v>0</v>
      </c>
      <c r="E1450" t="str">
        <f>VLOOKUP(B1450,Nuclides!A:F,5,FALSE)</f>
        <v>Yb178</v>
      </c>
      <c r="F1450">
        <f>VLOOKUP(B1450,Nuclides!A:F,4,FALSE)</f>
        <v>4440</v>
      </c>
      <c r="G1450" s="4" t="str">
        <f t="shared" si="124"/>
        <v>1.23h</v>
      </c>
      <c r="H1450" s="4">
        <f t="shared" si="125"/>
        <v>1.5611422985584354E-4</v>
      </c>
      <c r="I1450" s="4">
        <f t="shared" si="126"/>
        <v>0</v>
      </c>
      <c r="J1450" s="4">
        <f t="shared" si="127"/>
        <v>0</v>
      </c>
      <c r="K1450" s="4" t="str">
        <f t="shared" si="128"/>
        <v>Yb178</v>
      </c>
    </row>
    <row r="1451" spans="2:11" hidden="1" x14ac:dyDescent="0.2">
      <c r="B1451" s="4">
        <v>70179</v>
      </c>
      <c r="C1451" s="4">
        <v>0</v>
      </c>
      <c r="D1451">
        <v>0</v>
      </c>
      <c r="E1451" t="str">
        <f>VLOOKUP(B1451,Nuclides!A:F,5,FALSE)</f>
        <v>Yb179</v>
      </c>
      <c r="F1451">
        <f>VLOOKUP(B1451,Nuclides!A:F,4,FALSE)</f>
        <v>480</v>
      </c>
      <c r="G1451" s="4" t="str">
        <f t="shared" si="124"/>
        <v>8min</v>
      </c>
      <c r="H1451" s="4">
        <f t="shared" si="125"/>
        <v>1.4440566261665526E-3</v>
      </c>
      <c r="I1451" s="4">
        <f t="shared" si="126"/>
        <v>0</v>
      </c>
      <c r="J1451" s="4">
        <f t="shared" si="127"/>
        <v>0</v>
      </c>
      <c r="K1451" s="4" t="str">
        <f t="shared" si="128"/>
        <v>Yb179</v>
      </c>
    </row>
    <row r="1452" spans="2:11" hidden="1" x14ac:dyDescent="0.2">
      <c r="B1452" s="4">
        <v>71151</v>
      </c>
      <c r="C1452" s="4">
        <v>0</v>
      </c>
      <c r="D1452">
        <v>0</v>
      </c>
      <c r="E1452" t="str">
        <f>VLOOKUP(B1452,Nuclides!A:F,5,FALSE)</f>
        <v>Lu151</v>
      </c>
      <c r="F1452">
        <f>VLOOKUP(B1452,Nuclides!A:F,4,FALSE)</f>
        <v>8.0599999999999894E-2</v>
      </c>
      <c r="G1452" s="4" t="str">
        <f t="shared" si="124"/>
        <v>0.0805999999999999s</v>
      </c>
      <c r="H1452" s="4">
        <f t="shared" si="125"/>
        <v>8.5998409498752633</v>
      </c>
      <c r="I1452" s="4">
        <f t="shared" si="126"/>
        <v>0</v>
      </c>
      <c r="J1452" s="4">
        <f t="shared" si="127"/>
        <v>0</v>
      </c>
      <c r="K1452" s="4" t="str">
        <f t="shared" si="128"/>
        <v>Lu151</v>
      </c>
    </row>
    <row r="1453" spans="2:11" hidden="1" x14ac:dyDescent="0.2">
      <c r="B1453" s="4">
        <v>71152</v>
      </c>
      <c r="C1453" s="4">
        <v>0</v>
      </c>
      <c r="D1453">
        <v>0</v>
      </c>
      <c r="E1453" t="str">
        <f>VLOOKUP(B1453,Nuclides!A:F,5,FALSE)</f>
        <v>Lu152</v>
      </c>
      <c r="F1453">
        <f>VLOOKUP(B1453,Nuclides!A:F,4,FALSE)</f>
        <v>0.7</v>
      </c>
      <c r="G1453" s="4" t="str">
        <f t="shared" si="124"/>
        <v>0.7s</v>
      </c>
      <c r="H1453" s="4">
        <f t="shared" si="125"/>
        <v>0.99021025794277906</v>
      </c>
      <c r="I1453" s="4">
        <f t="shared" si="126"/>
        <v>0</v>
      </c>
      <c r="J1453" s="4">
        <f t="shared" si="127"/>
        <v>0</v>
      </c>
      <c r="K1453" s="4" t="str">
        <f t="shared" si="128"/>
        <v>Lu152</v>
      </c>
    </row>
    <row r="1454" spans="2:11" hidden="1" x14ac:dyDescent="0.2">
      <c r="B1454" s="4">
        <v>71153</v>
      </c>
      <c r="C1454" s="4">
        <v>0</v>
      </c>
      <c r="D1454">
        <v>0</v>
      </c>
      <c r="E1454" t="str">
        <f>VLOOKUP(B1454,Nuclides!A:F,5,FALSE)</f>
        <v>Lu153</v>
      </c>
      <c r="F1454">
        <f>VLOOKUP(B1454,Nuclides!A:F,4,FALSE)</f>
        <v>0.9</v>
      </c>
      <c r="G1454" s="4" t="str">
        <f t="shared" si="124"/>
        <v>0.9s</v>
      </c>
      <c r="H1454" s="4">
        <f t="shared" si="125"/>
        <v>0.77016353395549475</v>
      </c>
      <c r="I1454" s="4">
        <f t="shared" si="126"/>
        <v>0</v>
      </c>
      <c r="J1454" s="4">
        <f t="shared" si="127"/>
        <v>0</v>
      </c>
      <c r="K1454" s="4" t="str">
        <f t="shared" si="128"/>
        <v>Lu153</v>
      </c>
    </row>
    <row r="1455" spans="2:11" hidden="1" x14ac:dyDescent="0.2">
      <c r="B1455" s="4">
        <v>71154</v>
      </c>
      <c r="C1455" s="4">
        <v>0</v>
      </c>
      <c r="D1455">
        <v>0</v>
      </c>
      <c r="E1455" t="str">
        <f>VLOOKUP(B1455,Nuclides!A:F,5,FALSE)</f>
        <v>Lu154</v>
      </c>
      <c r="F1455">
        <f>VLOOKUP(B1455,Nuclides!A:F,4,FALSE)</f>
        <v>1.1200000000000001</v>
      </c>
      <c r="G1455" s="4" t="str">
        <f t="shared" si="124"/>
        <v>1.12s</v>
      </c>
      <c r="H1455" s="4">
        <f t="shared" si="125"/>
        <v>0.61888141121423679</v>
      </c>
      <c r="I1455" s="4">
        <f t="shared" si="126"/>
        <v>0</v>
      </c>
      <c r="J1455" s="4">
        <f t="shared" si="127"/>
        <v>0</v>
      </c>
      <c r="K1455" s="4" t="str">
        <f t="shared" si="128"/>
        <v>Lu154</v>
      </c>
    </row>
    <row r="1456" spans="2:11" hidden="1" x14ac:dyDescent="0.2">
      <c r="B1456" s="4">
        <v>71155</v>
      </c>
      <c r="C1456" s="4">
        <v>0</v>
      </c>
      <c r="D1456">
        <v>0</v>
      </c>
      <c r="E1456" t="str">
        <f>VLOOKUP(B1456,Nuclides!A:F,5,FALSE)</f>
        <v>Lu155</v>
      </c>
      <c r="F1456">
        <f>VLOOKUP(B1456,Nuclides!A:F,4,FALSE)</f>
        <v>6.8000000000000005E-2</v>
      </c>
      <c r="G1456" s="4" t="str">
        <f t="shared" si="124"/>
        <v>0.068s</v>
      </c>
      <c r="H1456" s="4">
        <f t="shared" si="125"/>
        <v>10.193340890587431</v>
      </c>
      <c r="I1456" s="4">
        <f t="shared" si="126"/>
        <v>0</v>
      </c>
      <c r="J1456" s="4">
        <f t="shared" si="127"/>
        <v>0</v>
      </c>
      <c r="K1456" s="4" t="str">
        <f t="shared" si="128"/>
        <v>Lu155</v>
      </c>
    </row>
    <row r="1457" spans="2:11" hidden="1" x14ac:dyDescent="0.2">
      <c r="B1457" s="4">
        <v>71156</v>
      </c>
      <c r="C1457" s="4">
        <v>0</v>
      </c>
      <c r="D1457">
        <v>0</v>
      </c>
      <c r="E1457" t="str">
        <f>VLOOKUP(B1457,Nuclides!A:F,5,FALSE)</f>
        <v>Lu156</v>
      </c>
      <c r="F1457">
        <f>VLOOKUP(B1457,Nuclides!A:F,4,FALSE)</f>
        <v>0.49399999999999999</v>
      </c>
      <c r="G1457" s="4" t="str">
        <f t="shared" si="124"/>
        <v>0.494s</v>
      </c>
      <c r="H1457" s="4">
        <f t="shared" si="125"/>
        <v>1.4031319444533306</v>
      </c>
      <c r="I1457" s="4">
        <f t="shared" si="126"/>
        <v>0</v>
      </c>
      <c r="J1457" s="4">
        <f t="shared" si="127"/>
        <v>0</v>
      </c>
      <c r="K1457" s="4" t="str">
        <f t="shared" si="128"/>
        <v>Lu156</v>
      </c>
    </row>
    <row r="1458" spans="2:11" hidden="1" x14ac:dyDescent="0.2">
      <c r="B1458" s="4">
        <v>71157</v>
      </c>
      <c r="C1458" s="4">
        <v>0</v>
      </c>
      <c r="D1458">
        <v>0</v>
      </c>
      <c r="E1458" t="str">
        <f>VLOOKUP(B1458,Nuclides!A:F,5,FALSE)</f>
        <v>Lu157</v>
      </c>
      <c r="F1458">
        <f>VLOOKUP(B1458,Nuclides!A:F,4,FALSE)</f>
        <v>6.8</v>
      </c>
      <c r="G1458" s="4" t="str">
        <f t="shared" si="124"/>
        <v>6.8s</v>
      </c>
      <c r="H1458" s="4">
        <f t="shared" si="125"/>
        <v>0.10193340890587431</v>
      </c>
      <c r="I1458" s="4">
        <f t="shared" si="126"/>
        <v>0</v>
      </c>
      <c r="J1458" s="4">
        <f t="shared" si="127"/>
        <v>0</v>
      </c>
      <c r="K1458" s="4" t="str">
        <f t="shared" si="128"/>
        <v>Lu157</v>
      </c>
    </row>
    <row r="1459" spans="2:11" hidden="1" x14ac:dyDescent="0.2">
      <c r="B1459" s="4">
        <v>71158</v>
      </c>
      <c r="C1459" s="4">
        <v>0</v>
      </c>
      <c r="D1459">
        <v>0</v>
      </c>
      <c r="E1459" t="str">
        <f>VLOOKUP(B1459,Nuclides!A:F,5,FALSE)</f>
        <v>Lu158</v>
      </c>
      <c r="F1459">
        <f>VLOOKUP(B1459,Nuclides!A:F,4,FALSE)</f>
        <v>10.6</v>
      </c>
      <c r="G1459" s="4" t="str">
        <f t="shared" si="124"/>
        <v>10.6s</v>
      </c>
      <c r="H1459" s="4">
        <f t="shared" si="125"/>
        <v>6.539124344905145E-2</v>
      </c>
      <c r="I1459" s="4">
        <f t="shared" si="126"/>
        <v>0</v>
      </c>
      <c r="J1459" s="4">
        <f t="shared" si="127"/>
        <v>0</v>
      </c>
      <c r="K1459" s="4" t="str">
        <f t="shared" si="128"/>
        <v>Lu158</v>
      </c>
    </row>
    <row r="1460" spans="2:11" hidden="1" x14ac:dyDescent="0.2">
      <c r="B1460" s="4">
        <v>71159</v>
      </c>
      <c r="C1460" s="4">
        <v>0</v>
      </c>
      <c r="D1460">
        <v>0</v>
      </c>
      <c r="E1460" t="str">
        <f>VLOOKUP(B1460,Nuclides!A:F,5,FALSE)</f>
        <v>Lu159</v>
      </c>
      <c r="F1460">
        <f>VLOOKUP(B1460,Nuclides!A:F,4,FALSE)</f>
        <v>12.1</v>
      </c>
      <c r="G1460" s="4" t="str">
        <f t="shared" si="124"/>
        <v>12.1s</v>
      </c>
      <c r="H1460" s="4">
        <f t="shared" si="125"/>
        <v>5.728489095536738E-2</v>
      </c>
      <c r="I1460" s="4">
        <f t="shared" si="126"/>
        <v>0</v>
      </c>
      <c r="J1460" s="4">
        <f t="shared" si="127"/>
        <v>0</v>
      </c>
      <c r="K1460" s="4" t="str">
        <f t="shared" si="128"/>
        <v>Lu159</v>
      </c>
    </row>
    <row r="1461" spans="2:11" hidden="1" x14ac:dyDescent="0.2">
      <c r="B1461" s="4">
        <v>71160</v>
      </c>
      <c r="C1461" s="4">
        <v>0</v>
      </c>
      <c r="D1461">
        <v>0</v>
      </c>
      <c r="E1461" t="str">
        <f>VLOOKUP(B1461,Nuclides!A:F,5,FALSE)</f>
        <v>Lu160</v>
      </c>
      <c r="F1461">
        <f>VLOOKUP(B1461,Nuclides!A:F,4,FALSE)</f>
        <v>36.1</v>
      </c>
      <c r="G1461" s="4" t="str">
        <f t="shared" si="124"/>
        <v>36.1s</v>
      </c>
      <c r="H1461" s="4">
        <f t="shared" si="125"/>
        <v>1.9200752924098206E-2</v>
      </c>
      <c r="I1461" s="4">
        <f t="shared" si="126"/>
        <v>0</v>
      </c>
      <c r="J1461" s="4">
        <f t="shared" si="127"/>
        <v>0</v>
      </c>
      <c r="K1461" s="4" t="str">
        <f t="shared" si="128"/>
        <v>Lu160</v>
      </c>
    </row>
    <row r="1462" spans="2:11" hidden="1" x14ac:dyDescent="0.2">
      <c r="B1462" s="4">
        <v>71161</v>
      </c>
      <c r="C1462" s="4">
        <v>0</v>
      </c>
      <c r="D1462">
        <v>0</v>
      </c>
      <c r="E1462" t="str">
        <f>VLOOKUP(B1462,Nuclides!A:F,5,FALSE)</f>
        <v>Lu161</v>
      </c>
      <c r="F1462">
        <f>VLOOKUP(B1462,Nuclides!A:F,4,FALSE)</f>
        <v>77</v>
      </c>
      <c r="G1462" s="4" t="str">
        <f t="shared" si="124"/>
        <v>1.28min</v>
      </c>
      <c r="H1462" s="4">
        <f t="shared" si="125"/>
        <v>9.001911435843446E-3</v>
      </c>
      <c r="I1462" s="4">
        <f t="shared" si="126"/>
        <v>0</v>
      </c>
      <c r="J1462" s="4">
        <f t="shared" si="127"/>
        <v>0</v>
      </c>
      <c r="K1462" s="4" t="str">
        <f t="shared" si="128"/>
        <v>Lu161</v>
      </c>
    </row>
    <row r="1463" spans="2:11" hidden="1" x14ac:dyDescent="0.2">
      <c r="B1463" s="4">
        <v>71162</v>
      </c>
      <c r="C1463" s="4">
        <v>0</v>
      </c>
      <c r="D1463">
        <v>0</v>
      </c>
      <c r="E1463" t="str">
        <f>VLOOKUP(B1463,Nuclides!A:F,5,FALSE)</f>
        <v>Lu162</v>
      </c>
      <c r="F1463">
        <f>VLOOKUP(B1463,Nuclides!A:F,4,FALSE)</f>
        <v>82.2</v>
      </c>
      <c r="G1463" s="4" t="str">
        <f t="shared" si="124"/>
        <v>1.37min</v>
      </c>
      <c r="H1463" s="4">
        <f t="shared" si="125"/>
        <v>8.4324474520674608E-3</v>
      </c>
      <c r="I1463" s="4">
        <f t="shared" si="126"/>
        <v>0</v>
      </c>
      <c r="J1463" s="4">
        <f t="shared" si="127"/>
        <v>0</v>
      </c>
      <c r="K1463" s="4" t="str">
        <f t="shared" si="128"/>
        <v>Lu162</v>
      </c>
    </row>
    <row r="1464" spans="2:11" hidden="1" x14ac:dyDescent="0.2">
      <c r="B1464" s="4">
        <v>71163</v>
      </c>
      <c r="C1464" s="4">
        <v>0</v>
      </c>
      <c r="D1464">
        <v>0</v>
      </c>
      <c r="E1464" t="str">
        <f>VLOOKUP(B1464,Nuclides!A:F,5,FALSE)</f>
        <v>Lu163</v>
      </c>
      <c r="F1464">
        <f>VLOOKUP(B1464,Nuclides!A:F,4,FALSE)</f>
        <v>238.2</v>
      </c>
      <c r="G1464" s="4" t="str">
        <f t="shared" si="124"/>
        <v>3.97min</v>
      </c>
      <c r="H1464" s="4">
        <f t="shared" si="125"/>
        <v>2.9099377857260511E-3</v>
      </c>
      <c r="I1464" s="4">
        <f t="shared" si="126"/>
        <v>0</v>
      </c>
      <c r="J1464" s="4">
        <f t="shared" si="127"/>
        <v>0</v>
      </c>
      <c r="K1464" s="4" t="str">
        <f t="shared" si="128"/>
        <v>Lu163</v>
      </c>
    </row>
    <row r="1465" spans="2:11" hidden="1" x14ac:dyDescent="0.2">
      <c r="B1465" s="4">
        <v>71164</v>
      </c>
      <c r="C1465" s="4">
        <v>0</v>
      </c>
      <c r="D1465">
        <v>0</v>
      </c>
      <c r="E1465" t="str">
        <f>VLOOKUP(B1465,Nuclides!A:F,5,FALSE)</f>
        <v>Lu164</v>
      </c>
      <c r="F1465">
        <f>VLOOKUP(B1465,Nuclides!A:F,4,FALSE)</f>
        <v>188.4</v>
      </c>
      <c r="G1465" s="4" t="str">
        <f t="shared" si="124"/>
        <v>3.14min</v>
      </c>
      <c r="H1465" s="4">
        <f t="shared" si="125"/>
        <v>3.6791251622077773E-3</v>
      </c>
      <c r="I1465" s="4">
        <f t="shared" si="126"/>
        <v>0</v>
      </c>
      <c r="J1465" s="4">
        <f t="shared" si="127"/>
        <v>0</v>
      </c>
      <c r="K1465" s="4" t="str">
        <f t="shared" si="128"/>
        <v>Lu164</v>
      </c>
    </row>
    <row r="1466" spans="2:11" hidden="1" x14ac:dyDescent="0.2">
      <c r="B1466" s="4">
        <v>71165</v>
      </c>
      <c r="C1466" s="4">
        <v>0</v>
      </c>
      <c r="D1466">
        <v>0</v>
      </c>
      <c r="E1466" t="str">
        <f>VLOOKUP(B1466,Nuclides!A:F,5,FALSE)</f>
        <v>Lu165</v>
      </c>
      <c r="F1466">
        <f>VLOOKUP(B1466,Nuclides!A:F,4,FALSE)</f>
        <v>644.4</v>
      </c>
      <c r="G1466" s="4" t="str">
        <f t="shared" si="124"/>
        <v>10.74min</v>
      </c>
      <c r="H1466" s="4">
        <f t="shared" si="125"/>
        <v>1.0756473937925904E-3</v>
      </c>
      <c r="I1466" s="4">
        <f t="shared" si="126"/>
        <v>0</v>
      </c>
      <c r="J1466" s="4">
        <f t="shared" si="127"/>
        <v>0</v>
      </c>
      <c r="K1466" s="4" t="str">
        <f t="shared" si="128"/>
        <v>Lu165</v>
      </c>
    </row>
    <row r="1467" spans="2:11" hidden="1" x14ac:dyDescent="0.2">
      <c r="B1467" s="4">
        <v>71166</v>
      </c>
      <c r="C1467" s="4">
        <v>0</v>
      </c>
      <c r="D1467">
        <v>0</v>
      </c>
      <c r="E1467" t="str">
        <f>VLOOKUP(B1467,Nuclides!A:F,5,FALSE)</f>
        <v>Lu166</v>
      </c>
      <c r="F1467">
        <f>VLOOKUP(B1467,Nuclides!A:F,4,FALSE)</f>
        <v>159</v>
      </c>
      <c r="G1467" s="4" t="str">
        <f t="shared" si="124"/>
        <v>2.65min</v>
      </c>
      <c r="H1467" s="4">
        <f t="shared" si="125"/>
        <v>4.3594162299367628E-3</v>
      </c>
      <c r="I1467" s="4">
        <f t="shared" si="126"/>
        <v>0</v>
      </c>
      <c r="J1467" s="4">
        <f t="shared" si="127"/>
        <v>0</v>
      </c>
      <c r="K1467" s="4" t="str">
        <f t="shared" si="128"/>
        <v>Lu166</v>
      </c>
    </row>
    <row r="1468" spans="2:11" hidden="1" x14ac:dyDescent="0.2">
      <c r="B1468" s="4">
        <v>71167</v>
      </c>
      <c r="C1468" s="4">
        <v>0</v>
      </c>
      <c r="D1468">
        <v>0</v>
      </c>
      <c r="E1468" t="str">
        <f>VLOOKUP(B1468,Nuclides!A:F,5,FALSE)</f>
        <v>Lu167</v>
      </c>
      <c r="F1468">
        <f>VLOOKUP(B1468,Nuclides!A:F,4,FALSE)</f>
        <v>3090</v>
      </c>
      <c r="G1468" s="4" t="str">
        <f t="shared" si="124"/>
        <v>51.5min</v>
      </c>
      <c r="H1468" s="4">
        <f t="shared" si="125"/>
        <v>2.2431947590936739E-4</v>
      </c>
      <c r="I1468" s="4">
        <f t="shared" si="126"/>
        <v>0</v>
      </c>
      <c r="J1468" s="4">
        <f t="shared" si="127"/>
        <v>0</v>
      </c>
      <c r="K1468" s="4" t="str">
        <f t="shared" si="128"/>
        <v>Lu167</v>
      </c>
    </row>
    <row r="1469" spans="2:11" hidden="1" x14ac:dyDescent="0.2">
      <c r="B1469" s="4">
        <v>71168</v>
      </c>
      <c r="C1469" s="4">
        <v>0</v>
      </c>
      <c r="D1469">
        <v>0</v>
      </c>
      <c r="E1469" t="str">
        <f>VLOOKUP(B1469,Nuclides!A:F,5,FALSE)</f>
        <v>Lu168</v>
      </c>
      <c r="F1469">
        <f>VLOOKUP(B1469,Nuclides!A:F,4,FALSE)</f>
        <v>330</v>
      </c>
      <c r="G1469" s="4" t="str">
        <f t="shared" si="124"/>
        <v>5.5min</v>
      </c>
      <c r="H1469" s="4">
        <f t="shared" si="125"/>
        <v>2.1004460016968039E-3</v>
      </c>
      <c r="I1469" s="4">
        <f t="shared" si="126"/>
        <v>0</v>
      </c>
      <c r="J1469" s="4">
        <f t="shared" si="127"/>
        <v>0</v>
      </c>
      <c r="K1469" s="4" t="str">
        <f t="shared" si="128"/>
        <v>Lu168</v>
      </c>
    </row>
    <row r="1470" spans="2:11" hidden="1" x14ac:dyDescent="0.2">
      <c r="B1470" s="4">
        <v>71169</v>
      </c>
      <c r="C1470" s="4">
        <v>0</v>
      </c>
      <c r="D1470">
        <v>0</v>
      </c>
      <c r="E1470" t="str">
        <f>VLOOKUP(B1470,Nuclides!A:F,5,FALSE)</f>
        <v>Lu169</v>
      </c>
      <c r="F1470">
        <f>VLOOKUP(B1470,Nuclides!A:F,4,FALSE)</f>
        <v>122616</v>
      </c>
      <c r="G1470" s="4" t="str">
        <f t="shared" si="124"/>
        <v>1.42d</v>
      </c>
      <c r="H1470" s="4">
        <f t="shared" si="125"/>
        <v>5.6529912944472604E-6</v>
      </c>
      <c r="I1470" s="4">
        <f t="shared" si="126"/>
        <v>0</v>
      </c>
      <c r="J1470" s="4">
        <f t="shared" si="127"/>
        <v>0</v>
      </c>
      <c r="K1470" s="4" t="str">
        <f t="shared" si="128"/>
        <v>Lu169</v>
      </c>
    </row>
    <row r="1471" spans="2:11" hidden="1" x14ac:dyDescent="0.2">
      <c r="B1471" s="4">
        <v>71170</v>
      </c>
      <c r="C1471" s="4">
        <v>0</v>
      </c>
      <c r="D1471">
        <v>0</v>
      </c>
      <c r="E1471" t="str">
        <f>VLOOKUP(B1471,Nuclides!A:F,5,FALSE)</f>
        <v>Lu170</v>
      </c>
      <c r="F1471">
        <f>VLOOKUP(B1471,Nuclides!A:F,4,FALSE)</f>
        <v>173836.79999999999</v>
      </c>
      <c r="G1471" s="4" t="str">
        <f t="shared" si="124"/>
        <v>2.01d</v>
      </c>
      <c r="H1471" s="4">
        <f t="shared" si="125"/>
        <v>3.9873443399783323E-6</v>
      </c>
      <c r="I1471" s="4">
        <f t="shared" si="126"/>
        <v>0</v>
      </c>
      <c r="J1471" s="4">
        <f t="shared" si="127"/>
        <v>0</v>
      </c>
      <c r="K1471" s="4" t="str">
        <f t="shared" si="128"/>
        <v>Lu170</v>
      </c>
    </row>
    <row r="1472" spans="2:11" hidden="1" x14ac:dyDescent="0.2">
      <c r="B1472" s="4">
        <v>71171</v>
      </c>
      <c r="C1472" s="4">
        <v>0</v>
      </c>
      <c r="D1472">
        <v>0</v>
      </c>
      <c r="E1472" t="str">
        <f>VLOOKUP(B1472,Nuclides!A:F,5,FALSE)</f>
        <v>Lu171</v>
      </c>
      <c r="F1472">
        <f>VLOOKUP(B1472,Nuclides!A:F,4,FALSE)</f>
        <v>711936</v>
      </c>
      <c r="G1472" s="4" t="str">
        <f t="shared" si="124"/>
        <v>8.24d</v>
      </c>
      <c r="H1472" s="4">
        <f t="shared" si="125"/>
        <v>9.7360883641218482E-7</v>
      </c>
      <c r="I1472" s="4">
        <f t="shared" si="126"/>
        <v>0</v>
      </c>
      <c r="J1472" s="4">
        <f t="shared" si="127"/>
        <v>0</v>
      </c>
      <c r="K1472" s="4" t="str">
        <f t="shared" si="128"/>
        <v>Lu171</v>
      </c>
    </row>
    <row r="1473" spans="2:11" hidden="1" x14ac:dyDescent="0.2">
      <c r="B1473" s="4">
        <v>71172</v>
      </c>
      <c r="C1473" s="4">
        <v>0</v>
      </c>
      <c r="D1473">
        <v>0</v>
      </c>
      <c r="E1473" t="str">
        <f>VLOOKUP(B1473,Nuclides!A:F,5,FALSE)</f>
        <v>Lu172</v>
      </c>
      <c r="F1473">
        <f>VLOOKUP(B1473,Nuclides!A:F,4,FALSE)</f>
        <v>578880</v>
      </c>
      <c r="G1473" s="4" t="str">
        <f t="shared" si="124"/>
        <v>6.7d</v>
      </c>
      <c r="H1473" s="4">
        <f t="shared" si="125"/>
        <v>1.1973935540352841E-6</v>
      </c>
      <c r="I1473" s="4">
        <f t="shared" si="126"/>
        <v>0</v>
      </c>
      <c r="J1473" s="4">
        <f t="shared" si="127"/>
        <v>0</v>
      </c>
      <c r="K1473" s="4" t="str">
        <f t="shared" si="128"/>
        <v>Lu172</v>
      </c>
    </row>
    <row r="1474" spans="2:11" hidden="1" x14ac:dyDescent="0.2">
      <c r="B1474" s="4">
        <v>71173</v>
      </c>
      <c r="C1474" s="4">
        <v>0</v>
      </c>
      <c r="D1474">
        <v>0</v>
      </c>
      <c r="E1474" t="str">
        <f>VLOOKUP(B1474,Nuclides!A:F,5,FALSE)</f>
        <v>Lu173</v>
      </c>
      <c r="F1474">
        <f>VLOOKUP(B1474,Nuclides!A:F,4,FALSE)</f>
        <v>43233912</v>
      </c>
      <c r="G1474" s="4" t="str">
        <f t="shared" si="124"/>
        <v>1.37y</v>
      </c>
      <c r="H1474" s="4">
        <f t="shared" si="125"/>
        <v>1.6032488120897904E-8</v>
      </c>
      <c r="I1474" s="4">
        <f t="shared" si="126"/>
        <v>0</v>
      </c>
      <c r="J1474" s="4">
        <f t="shared" si="127"/>
        <v>0</v>
      </c>
      <c r="K1474" s="4" t="str">
        <f t="shared" si="128"/>
        <v>Lu173</v>
      </c>
    </row>
    <row r="1475" spans="2:11" hidden="1" x14ac:dyDescent="0.2">
      <c r="B1475" s="4">
        <v>71174</v>
      </c>
      <c r="C1475" s="4">
        <v>0</v>
      </c>
      <c r="D1475">
        <v>0</v>
      </c>
      <c r="E1475" t="str">
        <f>VLOOKUP(B1475,Nuclides!A:F,5,FALSE)</f>
        <v>Lu174</v>
      </c>
      <c r="F1475">
        <f>VLOOKUP(B1475,Nuclides!A:F,4,FALSE)</f>
        <v>104455656</v>
      </c>
      <c r="G1475" s="4" t="str">
        <f t="shared" si="124"/>
        <v>3.31y</v>
      </c>
      <c r="H1475" s="4">
        <f t="shared" si="125"/>
        <v>6.6358032403716392E-9</v>
      </c>
      <c r="I1475" s="4">
        <f t="shared" si="126"/>
        <v>0</v>
      </c>
      <c r="J1475" s="4">
        <f t="shared" si="127"/>
        <v>0</v>
      </c>
      <c r="K1475" s="4" t="str">
        <f t="shared" si="128"/>
        <v>Lu174</v>
      </c>
    </row>
    <row r="1476" spans="2:11" hidden="1" x14ac:dyDescent="0.2">
      <c r="B1476" s="4">
        <v>71175</v>
      </c>
      <c r="C1476" s="4">
        <v>0</v>
      </c>
      <c r="D1476">
        <v>0</v>
      </c>
      <c r="E1476" t="str">
        <f>VLOOKUP(B1476,Nuclides!A:F,5,FALSE)</f>
        <v>Lu175</v>
      </c>
      <c r="F1476" t="str">
        <f>VLOOKUP(B1476,Nuclides!A:F,4,FALSE)</f>
        <v>STABLE</v>
      </c>
      <c r="G1476" s="4" t="str">
        <f t="shared" si="124"/>
        <v>STABLE</v>
      </c>
      <c r="H1476" s="4" t="e">
        <f t="shared" si="125"/>
        <v>#VALUE!</v>
      </c>
      <c r="I1476" s="4" t="e">
        <f t="shared" si="126"/>
        <v>#VALUE!</v>
      </c>
      <c r="J1476" s="4" t="e">
        <f t="shared" si="127"/>
        <v>#VALUE!</v>
      </c>
      <c r="K1476" s="4" t="str">
        <f t="shared" si="128"/>
        <v>Lu175</v>
      </c>
    </row>
    <row r="1477" spans="2:11" hidden="1" x14ac:dyDescent="0.2">
      <c r="B1477" s="4">
        <v>71176</v>
      </c>
      <c r="C1477" s="4">
        <v>0</v>
      </c>
      <c r="D1477">
        <v>0</v>
      </c>
      <c r="E1477" t="str">
        <f>VLOOKUP(B1477,Nuclides!A:F,5,FALSE)</f>
        <v>Lu176</v>
      </c>
      <c r="F1477">
        <f>VLOOKUP(B1477,Nuclides!A:F,4,FALSE)</f>
        <v>1.18656576E+18</v>
      </c>
      <c r="G1477" s="4" t="str">
        <f t="shared" ref="G1477:G1540" si="129">IF(F1477="STABLE", "STABLE", IF(F1477&lt;60, F1477&amp;"s", IF(F1477&lt;3600, ROUND(F1477/60,2)&amp;"min", IF(F1477&lt;86400, ROUND(F1477/3600,2)&amp;"h", IF(F1477&lt;31536000, ROUND(F1477/86400,2)&amp;"d", ROUND(F1477/31536000,2)&amp;"y")))))</f>
        <v>37625753424.66y</v>
      </c>
      <c r="H1477" s="4">
        <f t="shared" ref="H1477:H1540" si="130">LN(2)/F1477</f>
        <v>5.8416246610718425E-19</v>
      </c>
      <c r="I1477" s="4">
        <f t="shared" ref="I1477:I1540" si="131">60*6240000000000*C1477*(1-EXP(-H1477*2*3600))</f>
        <v>0</v>
      </c>
      <c r="J1477" s="4">
        <f t="shared" ref="J1477:J1540" si="132">I1477*EXP(-H1477*48*3600)</f>
        <v>0</v>
      </c>
      <c r="K1477" s="4" t="str">
        <f t="shared" ref="K1477:K1540" si="133">E1477</f>
        <v>Lu176</v>
      </c>
    </row>
    <row r="1478" spans="2:11" hidden="1" x14ac:dyDescent="0.2">
      <c r="B1478" s="4">
        <v>71177</v>
      </c>
      <c r="C1478" s="4">
        <v>0</v>
      </c>
      <c r="D1478">
        <v>0</v>
      </c>
      <c r="E1478" t="str">
        <f>VLOOKUP(B1478,Nuclides!A:F,5,FALSE)</f>
        <v>Lu177</v>
      </c>
      <c r="F1478">
        <f>VLOOKUP(B1478,Nuclides!A:F,4,FALSE)</f>
        <v>574300.80000000005</v>
      </c>
      <c r="G1478" s="4" t="str">
        <f t="shared" si="129"/>
        <v>6.65d</v>
      </c>
      <c r="H1478" s="4">
        <f t="shared" si="130"/>
        <v>1.2069409977488195E-6</v>
      </c>
      <c r="I1478" s="4">
        <f t="shared" si="131"/>
        <v>0</v>
      </c>
      <c r="J1478" s="4">
        <f t="shared" si="132"/>
        <v>0</v>
      </c>
      <c r="K1478" s="4" t="str">
        <f t="shared" si="133"/>
        <v>Lu177</v>
      </c>
    </row>
    <row r="1479" spans="2:11" hidden="1" x14ac:dyDescent="0.2">
      <c r="B1479" s="4">
        <v>71178</v>
      </c>
      <c r="C1479" s="4">
        <v>0</v>
      </c>
      <c r="D1479">
        <v>0</v>
      </c>
      <c r="E1479" t="str">
        <f>VLOOKUP(B1479,Nuclides!A:F,5,FALSE)</f>
        <v>Lu178</v>
      </c>
      <c r="F1479">
        <f>VLOOKUP(B1479,Nuclides!A:F,4,FALSE)</f>
        <v>1704</v>
      </c>
      <c r="G1479" s="4" t="str">
        <f t="shared" si="129"/>
        <v>28.4min</v>
      </c>
      <c r="H1479" s="4">
        <f t="shared" si="130"/>
        <v>4.0677651441311342E-4</v>
      </c>
      <c r="I1479" s="4">
        <f t="shared" si="131"/>
        <v>0</v>
      </c>
      <c r="J1479" s="4">
        <f t="shared" si="132"/>
        <v>0</v>
      </c>
      <c r="K1479" s="4" t="str">
        <f t="shared" si="133"/>
        <v>Lu178</v>
      </c>
    </row>
    <row r="1480" spans="2:11" hidden="1" x14ac:dyDescent="0.2">
      <c r="B1480" s="4">
        <v>71179</v>
      </c>
      <c r="C1480" s="4">
        <v>0</v>
      </c>
      <c r="D1480">
        <v>0</v>
      </c>
      <c r="E1480" t="str">
        <f>VLOOKUP(B1480,Nuclides!A:F,5,FALSE)</f>
        <v>Lu179</v>
      </c>
      <c r="F1480">
        <f>VLOOKUP(B1480,Nuclides!A:F,4,FALSE)</f>
        <v>16524</v>
      </c>
      <c r="G1480" s="4" t="str">
        <f t="shared" si="129"/>
        <v>4.59h</v>
      </c>
      <c r="H1480" s="4">
        <f t="shared" si="130"/>
        <v>4.1947904899536755E-5</v>
      </c>
      <c r="I1480" s="4">
        <f t="shared" si="131"/>
        <v>0</v>
      </c>
      <c r="J1480" s="4">
        <f t="shared" si="132"/>
        <v>0</v>
      </c>
      <c r="K1480" s="4" t="str">
        <f t="shared" si="133"/>
        <v>Lu179</v>
      </c>
    </row>
    <row r="1481" spans="2:11" hidden="1" x14ac:dyDescent="0.2">
      <c r="B1481" s="4">
        <v>71180</v>
      </c>
      <c r="C1481" s="4">
        <v>0</v>
      </c>
      <c r="D1481">
        <v>0</v>
      </c>
      <c r="E1481" t="str">
        <f>VLOOKUP(B1481,Nuclides!A:F,5,FALSE)</f>
        <v>Lu180</v>
      </c>
      <c r="F1481">
        <f>VLOOKUP(B1481,Nuclides!A:F,4,FALSE)</f>
        <v>342</v>
      </c>
      <c r="G1481" s="4" t="str">
        <f t="shared" si="129"/>
        <v>5.7min</v>
      </c>
      <c r="H1481" s="4">
        <f t="shared" si="130"/>
        <v>2.0267461419881442E-3</v>
      </c>
      <c r="I1481" s="4">
        <f t="shared" si="131"/>
        <v>0</v>
      </c>
      <c r="J1481" s="4">
        <f t="shared" si="132"/>
        <v>0</v>
      </c>
      <c r="K1481" s="4" t="str">
        <f t="shared" si="133"/>
        <v>Lu180</v>
      </c>
    </row>
    <row r="1482" spans="2:11" hidden="1" x14ac:dyDescent="0.2">
      <c r="B1482" s="4">
        <v>71181</v>
      </c>
      <c r="C1482" s="4">
        <v>0</v>
      </c>
      <c r="D1482">
        <v>0</v>
      </c>
      <c r="E1482" t="str">
        <f>VLOOKUP(B1482,Nuclides!A:F,5,FALSE)</f>
        <v>Lu181</v>
      </c>
      <c r="F1482">
        <f>VLOOKUP(B1482,Nuclides!A:F,4,FALSE)</f>
        <v>210</v>
      </c>
      <c r="G1482" s="4" t="str">
        <f t="shared" si="129"/>
        <v>3.5min</v>
      </c>
      <c r="H1482" s="4">
        <f t="shared" si="130"/>
        <v>3.3007008598092634E-3</v>
      </c>
      <c r="I1482" s="4">
        <f t="shared" si="131"/>
        <v>0</v>
      </c>
      <c r="J1482" s="4">
        <f t="shared" si="132"/>
        <v>0</v>
      </c>
      <c r="K1482" s="4" t="str">
        <f t="shared" si="133"/>
        <v>Lu181</v>
      </c>
    </row>
    <row r="1483" spans="2:11" hidden="1" x14ac:dyDescent="0.2">
      <c r="B1483" s="4">
        <v>71182</v>
      </c>
      <c r="C1483" s="4">
        <v>0</v>
      </c>
      <c r="D1483">
        <v>0</v>
      </c>
      <c r="E1483" t="str">
        <f>VLOOKUP(B1483,Nuclides!A:F,5,FALSE)</f>
        <v>Lu182</v>
      </c>
      <c r="F1483">
        <f>VLOOKUP(B1483,Nuclides!A:F,4,FALSE)</f>
        <v>120</v>
      </c>
      <c r="G1483" s="4" t="str">
        <f t="shared" si="129"/>
        <v>2min</v>
      </c>
      <c r="H1483" s="4">
        <f t="shared" si="130"/>
        <v>5.7762265046662105E-3</v>
      </c>
      <c r="I1483" s="4">
        <f t="shared" si="131"/>
        <v>0</v>
      </c>
      <c r="J1483" s="4">
        <f t="shared" si="132"/>
        <v>0</v>
      </c>
      <c r="K1483" s="4" t="str">
        <f t="shared" si="133"/>
        <v>Lu182</v>
      </c>
    </row>
    <row r="1484" spans="2:11" hidden="1" x14ac:dyDescent="0.2">
      <c r="B1484" s="4">
        <v>71183</v>
      </c>
      <c r="C1484" s="4">
        <v>0</v>
      </c>
      <c r="D1484">
        <v>0</v>
      </c>
      <c r="E1484" t="str">
        <f>VLOOKUP(B1484,Nuclides!A:F,5,FALSE)</f>
        <v>Lu183</v>
      </c>
      <c r="F1484">
        <f>VLOOKUP(B1484,Nuclides!A:F,4,FALSE)</f>
        <v>58</v>
      </c>
      <c r="G1484" s="4" t="str">
        <f t="shared" si="129"/>
        <v>58s</v>
      </c>
      <c r="H1484" s="4">
        <f t="shared" si="130"/>
        <v>1.1950813457930091E-2</v>
      </c>
      <c r="I1484" s="4">
        <f t="shared" si="131"/>
        <v>0</v>
      </c>
      <c r="J1484" s="4">
        <f t="shared" si="132"/>
        <v>0</v>
      </c>
      <c r="K1484" s="4" t="str">
        <f t="shared" si="133"/>
        <v>Lu183</v>
      </c>
    </row>
    <row r="1485" spans="2:11" hidden="1" x14ac:dyDescent="0.2">
      <c r="B1485" s="4">
        <v>72154</v>
      </c>
      <c r="C1485" s="4">
        <v>0</v>
      </c>
      <c r="D1485">
        <v>0</v>
      </c>
      <c r="E1485" t="str">
        <f>VLOOKUP(B1485,Nuclides!A:F,5,FALSE)</f>
        <v>Hf154</v>
      </c>
      <c r="F1485">
        <f>VLOOKUP(B1485,Nuclides!A:F,4,FALSE)</f>
        <v>2</v>
      </c>
      <c r="G1485" s="4" t="str">
        <f t="shared" si="129"/>
        <v>2s</v>
      </c>
      <c r="H1485" s="4">
        <f t="shared" si="130"/>
        <v>0.34657359027997264</v>
      </c>
      <c r="I1485" s="4">
        <f t="shared" si="131"/>
        <v>0</v>
      </c>
      <c r="J1485" s="4">
        <f t="shared" si="132"/>
        <v>0</v>
      </c>
      <c r="K1485" s="4" t="str">
        <f t="shared" si="133"/>
        <v>Hf154</v>
      </c>
    </row>
    <row r="1486" spans="2:11" hidden="1" x14ac:dyDescent="0.2">
      <c r="B1486" s="4">
        <v>72155</v>
      </c>
      <c r="C1486" s="4">
        <v>0</v>
      </c>
      <c r="D1486">
        <v>0</v>
      </c>
      <c r="E1486" t="str">
        <f>VLOOKUP(B1486,Nuclides!A:F,5,FALSE)</f>
        <v>Hf155</v>
      </c>
      <c r="F1486">
        <f>VLOOKUP(B1486,Nuclides!A:F,4,FALSE)</f>
        <v>0.84</v>
      </c>
      <c r="G1486" s="4" t="str">
        <f t="shared" si="129"/>
        <v>0.84s</v>
      </c>
      <c r="H1486" s="4">
        <f t="shared" si="130"/>
        <v>0.82517521495231583</v>
      </c>
      <c r="I1486" s="4">
        <f t="shared" si="131"/>
        <v>0</v>
      </c>
      <c r="J1486" s="4">
        <f t="shared" si="132"/>
        <v>0</v>
      </c>
      <c r="K1486" s="4" t="str">
        <f t="shared" si="133"/>
        <v>Hf155</v>
      </c>
    </row>
    <row r="1487" spans="2:11" hidden="1" x14ac:dyDescent="0.2">
      <c r="B1487" s="4">
        <v>72156</v>
      </c>
      <c r="C1487" s="4">
        <v>0</v>
      </c>
      <c r="D1487">
        <v>0</v>
      </c>
      <c r="E1487" t="str">
        <f>VLOOKUP(B1487,Nuclides!A:F,5,FALSE)</f>
        <v>Hf156</v>
      </c>
      <c r="F1487">
        <f>VLOOKUP(B1487,Nuclides!A:F,4,FALSE)</f>
        <v>2.3E-2</v>
      </c>
      <c r="G1487" s="4" t="str">
        <f t="shared" si="129"/>
        <v>0.023s</v>
      </c>
      <c r="H1487" s="4">
        <f t="shared" si="130"/>
        <v>30.136833937388925</v>
      </c>
      <c r="I1487" s="4">
        <f t="shared" si="131"/>
        <v>0</v>
      </c>
      <c r="J1487" s="4">
        <f t="shared" si="132"/>
        <v>0</v>
      </c>
      <c r="K1487" s="4" t="str">
        <f t="shared" si="133"/>
        <v>Hf156</v>
      </c>
    </row>
    <row r="1488" spans="2:11" hidden="1" x14ac:dyDescent="0.2">
      <c r="B1488" s="4">
        <v>72157</v>
      </c>
      <c r="C1488" s="4">
        <v>0</v>
      </c>
      <c r="D1488">
        <v>0</v>
      </c>
      <c r="E1488" t="str">
        <f>VLOOKUP(B1488,Nuclides!A:F,5,FALSE)</f>
        <v>Hf157</v>
      </c>
      <c r="F1488">
        <f>VLOOKUP(B1488,Nuclides!A:F,4,FALSE)</f>
        <v>0.115</v>
      </c>
      <c r="G1488" s="4" t="str">
        <f t="shared" si="129"/>
        <v>0.115s</v>
      </c>
      <c r="H1488" s="4">
        <f t="shared" si="130"/>
        <v>6.027366787477785</v>
      </c>
      <c r="I1488" s="4">
        <f t="shared" si="131"/>
        <v>0</v>
      </c>
      <c r="J1488" s="4">
        <f t="shared" si="132"/>
        <v>0</v>
      </c>
      <c r="K1488" s="4" t="str">
        <f t="shared" si="133"/>
        <v>Hf157</v>
      </c>
    </row>
    <row r="1489" spans="2:11" hidden="1" x14ac:dyDescent="0.2">
      <c r="B1489" s="4">
        <v>72158</v>
      </c>
      <c r="C1489" s="4">
        <v>0</v>
      </c>
      <c r="D1489">
        <v>0</v>
      </c>
      <c r="E1489" t="str">
        <f>VLOOKUP(B1489,Nuclides!A:F,5,FALSE)</f>
        <v>Hf158</v>
      </c>
      <c r="F1489">
        <f>VLOOKUP(B1489,Nuclides!A:F,4,FALSE)</f>
        <v>2.85</v>
      </c>
      <c r="G1489" s="4" t="str">
        <f t="shared" si="129"/>
        <v>2.85s</v>
      </c>
      <c r="H1489" s="4">
        <f t="shared" si="130"/>
        <v>0.24320953703857728</v>
      </c>
      <c r="I1489" s="4">
        <f t="shared" si="131"/>
        <v>0</v>
      </c>
      <c r="J1489" s="4">
        <f t="shared" si="132"/>
        <v>0</v>
      </c>
      <c r="K1489" s="4" t="str">
        <f t="shared" si="133"/>
        <v>Hf158</v>
      </c>
    </row>
    <row r="1490" spans="2:11" hidden="1" x14ac:dyDescent="0.2">
      <c r="B1490" s="4">
        <v>72159</v>
      </c>
      <c r="C1490" s="4">
        <v>0</v>
      </c>
      <c r="D1490">
        <v>0</v>
      </c>
      <c r="E1490" t="str">
        <f>VLOOKUP(B1490,Nuclides!A:F,5,FALSE)</f>
        <v>Hf159</v>
      </c>
      <c r="F1490">
        <f>VLOOKUP(B1490,Nuclides!A:F,4,FALSE)</f>
        <v>5.6</v>
      </c>
      <c r="G1490" s="4" t="str">
        <f t="shared" si="129"/>
        <v>5.6s</v>
      </c>
      <c r="H1490" s="4">
        <f t="shared" si="130"/>
        <v>0.12377628224284738</v>
      </c>
      <c r="I1490" s="4">
        <f t="shared" si="131"/>
        <v>0</v>
      </c>
      <c r="J1490" s="4">
        <f t="shared" si="132"/>
        <v>0</v>
      </c>
      <c r="K1490" s="4" t="str">
        <f t="shared" si="133"/>
        <v>Hf159</v>
      </c>
    </row>
    <row r="1491" spans="2:11" hidden="1" x14ac:dyDescent="0.2">
      <c r="B1491" s="4">
        <v>72160</v>
      </c>
      <c r="C1491" s="4">
        <v>0</v>
      </c>
      <c r="D1491">
        <v>0</v>
      </c>
      <c r="E1491" t="str">
        <f>VLOOKUP(B1491,Nuclides!A:F,5,FALSE)</f>
        <v>Hf160</v>
      </c>
      <c r="F1491">
        <f>VLOOKUP(B1491,Nuclides!A:F,4,FALSE)</f>
        <v>13.6</v>
      </c>
      <c r="G1491" s="4" t="str">
        <f t="shared" si="129"/>
        <v>13.6s</v>
      </c>
      <c r="H1491" s="4">
        <f t="shared" si="130"/>
        <v>5.0966704452937155E-2</v>
      </c>
      <c r="I1491" s="4">
        <f t="shared" si="131"/>
        <v>0</v>
      </c>
      <c r="J1491" s="4">
        <f t="shared" si="132"/>
        <v>0</v>
      </c>
      <c r="K1491" s="4" t="str">
        <f t="shared" si="133"/>
        <v>Hf160</v>
      </c>
    </row>
    <row r="1492" spans="2:11" hidden="1" x14ac:dyDescent="0.2">
      <c r="B1492" s="4">
        <v>72161</v>
      </c>
      <c r="C1492" s="4">
        <v>0</v>
      </c>
      <c r="D1492">
        <v>0</v>
      </c>
      <c r="E1492" t="str">
        <f>VLOOKUP(B1492,Nuclides!A:F,5,FALSE)</f>
        <v>Hf161</v>
      </c>
      <c r="F1492">
        <f>VLOOKUP(B1492,Nuclides!A:F,4,FALSE)</f>
        <v>18.399999999999999</v>
      </c>
      <c r="G1492" s="4" t="str">
        <f t="shared" si="129"/>
        <v>18.4s</v>
      </c>
      <c r="H1492" s="4">
        <f t="shared" si="130"/>
        <v>3.7671042421736162E-2</v>
      </c>
      <c r="I1492" s="4">
        <f t="shared" si="131"/>
        <v>0</v>
      </c>
      <c r="J1492" s="4">
        <f t="shared" si="132"/>
        <v>0</v>
      </c>
      <c r="K1492" s="4" t="str">
        <f t="shared" si="133"/>
        <v>Hf161</v>
      </c>
    </row>
    <row r="1493" spans="2:11" hidden="1" x14ac:dyDescent="0.2">
      <c r="B1493" s="4">
        <v>72162</v>
      </c>
      <c r="C1493" s="4">
        <v>0</v>
      </c>
      <c r="D1493">
        <v>0</v>
      </c>
      <c r="E1493" t="str">
        <f>VLOOKUP(B1493,Nuclides!A:F,5,FALSE)</f>
        <v>Hf162</v>
      </c>
      <c r="F1493">
        <f>VLOOKUP(B1493,Nuclides!A:F,4,FALSE)</f>
        <v>39.4</v>
      </c>
      <c r="G1493" s="4" t="str">
        <f t="shared" si="129"/>
        <v>39.4s</v>
      </c>
      <c r="H1493" s="4">
        <f t="shared" si="130"/>
        <v>1.7592568034516379E-2</v>
      </c>
      <c r="I1493" s="4">
        <f t="shared" si="131"/>
        <v>0</v>
      </c>
      <c r="J1493" s="4">
        <f t="shared" si="132"/>
        <v>0</v>
      </c>
      <c r="K1493" s="4" t="str">
        <f t="shared" si="133"/>
        <v>Hf162</v>
      </c>
    </row>
    <row r="1494" spans="2:11" hidden="1" x14ac:dyDescent="0.2">
      <c r="B1494" s="4">
        <v>72163</v>
      </c>
      <c r="C1494" s="4">
        <v>0</v>
      </c>
      <c r="D1494">
        <v>0</v>
      </c>
      <c r="E1494" t="str">
        <f>VLOOKUP(B1494,Nuclides!A:F,5,FALSE)</f>
        <v>Hf163</v>
      </c>
      <c r="F1494">
        <f>VLOOKUP(B1494,Nuclides!A:F,4,FALSE)</f>
        <v>40</v>
      </c>
      <c r="G1494" s="4" t="str">
        <f t="shared" si="129"/>
        <v>40s</v>
      </c>
      <c r="H1494" s="4">
        <f t="shared" si="130"/>
        <v>1.7328679513998631E-2</v>
      </c>
      <c r="I1494" s="4">
        <f t="shared" si="131"/>
        <v>0</v>
      </c>
      <c r="J1494" s="4">
        <f t="shared" si="132"/>
        <v>0</v>
      </c>
      <c r="K1494" s="4" t="str">
        <f t="shared" si="133"/>
        <v>Hf163</v>
      </c>
    </row>
    <row r="1495" spans="2:11" hidden="1" x14ac:dyDescent="0.2">
      <c r="B1495" s="4">
        <v>72164</v>
      </c>
      <c r="C1495" s="4">
        <v>0</v>
      </c>
      <c r="D1495">
        <v>0</v>
      </c>
      <c r="E1495" t="str">
        <f>VLOOKUP(B1495,Nuclides!A:F,5,FALSE)</f>
        <v>Hf164</v>
      </c>
      <c r="F1495">
        <f>VLOOKUP(B1495,Nuclides!A:F,4,FALSE)</f>
        <v>111</v>
      </c>
      <c r="G1495" s="4" t="str">
        <f t="shared" si="129"/>
        <v>1.85min</v>
      </c>
      <c r="H1495" s="4">
        <f t="shared" si="130"/>
        <v>6.2445691942337412E-3</v>
      </c>
      <c r="I1495" s="4">
        <f t="shared" si="131"/>
        <v>0</v>
      </c>
      <c r="J1495" s="4">
        <f t="shared" si="132"/>
        <v>0</v>
      </c>
      <c r="K1495" s="4" t="str">
        <f t="shared" si="133"/>
        <v>Hf164</v>
      </c>
    </row>
    <row r="1496" spans="2:11" hidden="1" x14ac:dyDescent="0.2">
      <c r="B1496" s="4">
        <v>72165</v>
      </c>
      <c r="C1496" s="4">
        <v>0</v>
      </c>
      <c r="D1496">
        <v>0</v>
      </c>
      <c r="E1496" t="str">
        <f>VLOOKUP(B1496,Nuclides!A:F,5,FALSE)</f>
        <v>Hf165</v>
      </c>
      <c r="F1496">
        <f>VLOOKUP(B1496,Nuclides!A:F,4,FALSE)</f>
        <v>76</v>
      </c>
      <c r="G1496" s="4" t="str">
        <f t="shared" si="129"/>
        <v>1.27min</v>
      </c>
      <c r="H1496" s="4">
        <f t="shared" si="130"/>
        <v>9.1203576389466481E-3</v>
      </c>
      <c r="I1496" s="4">
        <f t="shared" si="131"/>
        <v>0</v>
      </c>
      <c r="J1496" s="4">
        <f t="shared" si="132"/>
        <v>0</v>
      </c>
      <c r="K1496" s="4" t="str">
        <f t="shared" si="133"/>
        <v>Hf165</v>
      </c>
    </row>
    <row r="1497" spans="2:11" hidden="1" x14ac:dyDescent="0.2">
      <c r="B1497" s="4">
        <v>72166</v>
      </c>
      <c r="C1497" s="4">
        <v>0</v>
      </c>
      <c r="D1497">
        <v>0</v>
      </c>
      <c r="E1497" t="str">
        <f>VLOOKUP(B1497,Nuclides!A:F,5,FALSE)</f>
        <v>Hf166</v>
      </c>
      <c r="F1497">
        <f>VLOOKUP(B1497,Nuclides!A:F,4,FALSE)</f>
        <v>406.2</v>
      </c>
      <c r="G1497" s="4" t="str">
        <f t="shared" si="129"/>
        <v>6.77min</v>
      </c>
      <c r="H1497" s="4">
        <f t="shared" si="130"/>
        <v>1.706418465189427E-3</v>
      </c>
      <c r="I1497" s="4">
        <f t="shared" si="131"/>
        <v>0</v>
      </c>
      <c r="J1497" s="4">
        <f t="shared" si="132"/>
        <v>0</v>
      </c>
      <c r="K1497" s="4" t="str">
        <f t="shared" si="133"/>
        <v>Hf166</v>
      </c>
    </row>
    <row r="1498" spans="2:11" hidden="1" x14ac:dyDescent="0.2">
      <c r="B1498" s="4">
        <v>72167</v>
      </c>
      <c r="C1498" s="4">
        <v>0</v>
      </c>
      <c r="D1498">
        <v>0</v>
      </c>
      <c r="E1498" t="str">
        <f>VLOOKUP(B1498,Nuclides!A:F,5,FALSE)</f>
        <v>Hf167</v>
      </c>
      <c r="F1498">
        <f>VLOOKUP(B1498,Nuclides!A:F,4,FALSE)</f>
        <v>122.99999999999901</v>
      </c>
      <c r="G1498" s="4" t="str">
        <f t="shared" si="129"/>
        <v>2.05min</v>
      </c>
      <c r="H1498" s="4">
        <f t="shared" si="130"/>
        <v>5.6353429313817146E-3</v>
      </c>
      <c r="I1498" s="4">
        <f t="shared" si="131"/>
        <v>0</v>
      </c>
      <c r="J1498" s="4">
        <f t="shared" si="132"/>
        <v>0</v>
      </c>
      <c r="K1498" s="4" t="str">
        <f t="shared" si="133"/>
        <v>Hf167</v>
      </c>
    </row>
    <row r="1499" spans="2:11" hidden="1" x14ac:dyDescent="0.2">
      <c r="B1499" s="4">
        <v>72168</v>
      </c>
      <c r="C1499" s="4">
        <v>0</v>
      </c>
      <c r="D1499">
        <v>0</v>
      </c>
      <c r="E1499" t="str">
        <f>VLOOKUP(B1499,Nuclides!A:F,5,FALSE)</f>
        <v>Hf168</v>
      </c>
      <c r="F1499">
        <f>VLOOKUP(B1499,Nuclides!A:F,4,FALSE)</f>
        <v>1557</v>
      </c>
      <c r="G1499" s="4" t="str">
        <f t="shared" si="129"/>
        <v>25.95min</v>
      </c>
      <c r="H1499" s="4">
        <f t="shared" si="130"/>
        <v>4.4518123350028601E-4</v>
      </c>
      <c r="I1499" s="4">
        <f t="shared" si="131"/>
        <v>0</v>
      </c>
      <c r="J1499" s="4">
        <f t="shared" si="132"/>
        <v>0</v>
      </c>
      <c r="K1499" s="4" t="str">
        <f t="shared" si="133"/>
        <v>Hf168</v>
      </c>
    </row>
    <row r="1500" spans="2:11" hidden="1" x14ac:dyDescent="0.2">
      <c r="B1500" s="4">
        <v>72169</v>
      </c>
      <c r="C1500" s="4">
        <v>0</v>
      </c>
      <c r="D1500">
        <v>0</v>
      </c>
      <c r="E1500" t="str">
        <f>VLOOKUP(B1500,Nuclides!A:F,5,FALSE)</f>
        <v>Hf169</v>
      </c>
      <c r="F1500">
        <f>VLOOKUP(B1500,Nuclides!A:F,4,FALSE)</f>
        <v>194.4</v>
      </c>
      <c r="G1500" s="4" t="str">
        <f t="shared" si="129"/>
        <v>3.24min</v>
      </c>
      <c r="H1500" s="4">
        <f t="shared" si="130"/>
        <v>3.565571916460624E-3</v>
      </c>
      <c r="I1500" s="4">
        <f t="shared" si="131"/>
        <v>0</v>
      </c>
      <c r="J1500" s="4">
        <f t="shared" si="132"/>
        <v>0</v>
      </c>
      <c r="K1500" s="4" t="str">
        <f t="shared" si="133"/>
        <v>Hf169</v>
      </c>
    </row>
    <row r="1501" spans="2:11" hidden="1" x14ac:dyDescent="0.2">
      <c r="B1501" s="4">
        <v>72170</v>
      </c>
      <c r="C1501" s="4">
        <v>0</v>
      </c>
      <c r="D1501">
        <v>0</v>
      </c>
      <c r="E1501" t="str">
        <f>VLOOKUP(B1501,Nuclides!A:F,5,FALSE)</f>
        <v>Hf170</v>
      </c>
      <c r="F1501">
        <f>VLOOKUP(B1501,Nuclides!A:F,4,FALSE)</f>
        <v>57636</v>
      </c>
      <c r="G1501" s="4" t="str">
        <f t="shared" si="129"/>
        <v>16.01h</v>
      </c>
      <c r="H1501" s="4">
        <f t="shared" si="130"/>
        <v>1.2026288787562379E-5</v>
      </c>
      <c r="I1501" s="4">
        <f t="shared" si="131"/>
        <v>0</v>
      </c>
      <c r="J1501" s="4">
        <f t="shared" si="132"/>
        <v>0</v>
      </c>
      <c r="K1501" s="4" t="str">
        <f t="shared" si="133"/>
        <v>Hf170</v>
      </c>
    </row>
    <row r="1502" spans="2:11" hidden="1" x14ac:dyDescent="0.2">
      <c r="B1502" s="4">
        <v>72171</v>
      </c>
      <c r="C1502" s="4">
        <v>0</v>
      </c>
      <c r="D1502">
        <v>0</v>
      </c>
      <c r="E1502" t="str">
        <f>VLOOKUP(B1502,Nuclides!A:F,5,FALSE)</f>
        <v>Hf171</v>
      </c>
      <c r="F1502">
        <f>VLOOKUP(B1502,Nuclides!A:F,4,FALSE)</f>
        <v>43560</v>
      </c>
      <c r="G1502" s="4" t="str">
        <f t="shared" si="129"/>
        <v>12.1h</v>
      </c>
      <c r="H1502" s="4">
        <f t="shared" si="130"/>
        <v>1.5912469709824271E-5</v>
      </c>
      <c r="I1502" s="4">
        <f t="shared" si="131"/>
        <v>0</v>
      </c>
      <c r="J1502" s="4">
        <f t="shared" si="132"/>
        <v>0</v>
      </c>
      <c r="K1502" s="4" t="str">
        <f t="shared" si="133"/>
        <v>Hf171</v>
      </c>
    </row>
    <row r="1503" spans="2:11" hidden="1" x14ac:dyDescent="0.2">
      <c r="B1503" s="4">
        <v>72172</v>
      </c>
      <c r="C1503" s="4">
        <v>0</v>
      </c>
      <c r="D1503">
        <v>0</v>
      </c>
      <c r="E1503" t="str">
        <f>VLOOKUP(B1503,Nuclides!A:F,5,FALSE)</f>
        <v>Hf172</v>
      </c>
      <c r="F1503">
        <f>VLOOKUP(B1503,Nuclides!A:F,4,FALSE)</f>
        <v>59012712</v>
      </c>
      <c r="G1503" s="4" t="str">
        <f t="shared" si="129"/>
        <v>1.87y</v>
      </c>
      <c r="H1503" s="4">
        <f t="shared" si="130"/>
        <v>1.1745726591246057E-8</v>
      </c>
      <c r="I1503" s="4">
        <f t="shared" si="131"/>
        <v>0</v>
      </c>
      <c r="J1503" s="4">
        <f t="shared" si="132"/>
        <v>0</v>
      </c>
      <c r="K1503" s="4" t="str">
        <f t="shared" si="133"/>
        <v>Hf172</v>
      </c>
    </row>
    <row r="1504" spans="2:11" hidden="1" x14ac:dyDescent="0.2">
      <c r="B1504" s="4">
        <v>72173</v>
      </c>
      <c r="C1504" s="4">
        <v>0</v>
      </c>
      <c r="D1504">
        <v>0</v>
      </c>
      <c r="E1504" t="str">
        <f>VLOOKUP(B1504,Nuclides!A:F,5,FALSE)</f>
        <v>Hf173</v>
      </c>
      <c r="F1504">
        <f>VLOOKUP(B1504,Nuclides!A:F,4,FALSE)</f>
        <v>84960</v>
      </c>
      <c r="G1504" s="4" t="str">
        <f t="shared" si="129"/>
        <v>23.6h</v>
      </c>
      <c r="H1504" s="4">
        <f t="shared" si="130"/>
        <v>8.1585120122404098E-6</v>
      </c>
      <c r="I1504" s="4">
        <f t="shared" si="131"/>
        <v>0</v>
      </c>
      <c r="J1504" s="4">
        <f t="shared" si="132"/>
        <v>0</v>
      </c>
      <c r="K1504" s="4" t="str">
        <f t="shared" si="133"/>
        <v>Hf173</v>
      </c>
    </row>
    <row r="1505" spans="2:11" hidden="1" x14ac:dyDescent="0.2">
      <c r="B1505" s="4">
        <v>72174</v>
      </c>
      <c r="C1505" s="4">
        <v>0</v>
      </c>
      <c r="D1505">
        <v>0</v>
      </c>
      <c r="E1505" t="str">
        <f>VLOOKUP(B1505,Nuclides!A:F,5,FALSE)</f>
        <v>Hf174</v>
      </c>
      <c r="F1505">
        <f>VLOOKUP(B1505,Nuclides!A:F,4,FALSE)</f>
        <v>6.3115200000000002E+22</v>
      </c>
      <c r="G1505" s="4" t="str">
        <f t="shared" si="129"/>
        <v>2001369863013700y</v>
      </c>
      <c r="H1505" s="4">
        <f t="shared" si="130"/>
        <v>1.0982254362815063E-23</v>
      </c>
      <c r="I1505" s="4">
        <f t="shared" si="131"/>
        <v>0</v>
      </c>
      <c r="J1505" s="4">
        <f t="shared" si="132"/>
        <v>0</v>
      </c>
      <c r="K1505" s="4" t="str">
        <f t="shared" si="133"/>
        <v>Hf174</v>
      </c>
    </row>
    <row r="1506" spans="2:11" hidden="1" x14ac:dyDescent="0.2">
      <c r="B1506" s="4">
        <v>72175</v>
      </c>
      <c r="C1506" s="4">
        <v>0</v>
      </c>
      <c r="D1506">
        <v>0</v>
      </c>
      <c r="E1506" t="str">
        <f>VLOOKUP(B1506,Nuclides!A:F,5,FALSE)</f>
        <v>Hf175</v>
      </c>
      <c r="F1506">
        <f>VLOOKUP(B1506,Nuclides!A:F,4,FALSE)</f>
        <v>6048000</v>
      </c>
      <c r="G1506" s="4" t="str">
        <f t="shared" si="129"/>
        <v>70d</v>
      </c>
      <c r="H1506" s="4">
        <f t="shared" si="130"/>
        <v>1.146076687433772E-7</v>
      </c>
      <c r="I1506" s="4">
        <f t="shared" si="131"/>
        <v>0</v>
      </c>
      <c r="J1506" s="4">
        <f t="shared" si="132"/>
        <v>0</v>
      </c>
      <c r="K1506" s="4" t="str">
        <f t="shared" si="133"/>
        <v>Hf175</v>
      </c>
    </row>
    <row r="1507" spans="2:11" hidden="1" x14ac:dyDescent="0.2">
      <c r="B1507" s="4">
        <v>72176</v>
      </c>
      <c r="C1507" s="4">
        <v>0</v>
      </c>
      <c r="D1507">
        <v>0</v>
      </c>
      <c r="E1507" t="str">
        <f>VLOOKUP(B1507,Nuclides!A:F,5,FALSE)</f>
        <v>Hf176</v>
      </c>
      <c r="F1507" t="str">
        <f>VLOOKUP(B1507,Nuclides!A:F,4,FALSE)</f>
        <v>STABLE</v>
      </c>
      <c r="G1507" s="4" t="str">
        <f t="shared" si="129"/>
        <v>STABLE</v>
      </c>
      <c r="H1507" s="4" t="e">
        <f t="shared" si="130"/>
        <v>#VALUE!</v>
      </c>
      <c r="I1507" s="4" t="e">
        <f t="shared" si="131"/>
        <v>#VALUE!</v>
      </c>
      <c r="J1507" s="4" t="e">
        <f t="shared" si="132"/>
        <v>#VALUE!</v>
      </c>
      <c r="K1507" s="4" t="str">
        <f t="shared" si="133"/>
        <v>Hf176</v>
      </c>
    </row>
    <row r="1508" spans="2:11" hidden="1" x14ac:dyDescent="0.2">
      <c r="B1508" s="4">
        <v>72177</v>
      </c>
      <c r="C1508" s="4">
        <v>0</v>
      </c>
      <c r="D1508">
        <v>0</v>
      </c>
      <c r="E1508" t="str">
        <f>VLOOKUP(B1508,Nuclides!A:F,5,FALSE)</f>
        <v>Hf177</v>
      </c>
      <c r="F1508" t="str">
        <f>VLOOKUP(B1508,Nuclides!A:F,4,FALSE)</f>
        <v>STABLE</v>
      </c>
      <c r="G1508" s="4" t="str">
        <f t="shared" si="129"/>
        <v>STABLE</v>
      </c>
      <c r="H1508" s="4" t="e">
        <f t="shared" si="130"/>
        <v>#VALUE!</v>
      </c>
      <c r="I1508" s="4" t="e">
        <f t="shared" si="131"/>
        <v>#VALUE!</v>
      </c>
      <c r="J1508" s="4" t="e">
        <f t="shared" si="132"/>
        <v>#VALUE!</v>
      </c>
      <c r="K1508" s="4" t="str">
        <f t="shared" si="133"/>
        <v>Hf177</v>
      </c>
    </row>
    <row r="1509" spans="2:11" hidden="1" x14ac:dyDescent="0.2">
      <c r="B1509" s="4">
        <v>72178</v>
      </c>
      <c r="C1509" s="4">
        <v>0</v>
      </c>
      <c r="D1509">
        <v>0</v>
      </c>
      <c r="E1509" t="str">
        <f>VLOOKUP(B1509,Nuclides!A:F,5,FALSE)</f>
        <v>Hf178</v>
      </c>
      <c r="F1509" t="str">
        <f>VLOOKUP(B1509,Nuclides!A:F,4,FALSE)</f>
        <v>STABLE</v>
      </c>
      <c r="G1509" s="4" t="str">
        <f t="shared" si="129"/>
        <v>STABLE</v>
      </c>
      <c r="H1509" s="4" t="e">
        <f t="shared" si="130"/>
        <v>#VALUE!</v>
      </c>
      <c r="I1509" s="4" t="e">
        <f t="shared" si="131"/>
        <v>#VALUE!</v>
      </c>
      <c r="J1509" s="4" t="e">
        <f t="shared" si="132"/>
        <v>#VALUE!</v>
      </c>
      <c r="K1509" s="4" t="str">
        <f t="shared" si="133"/>
        <v>Hf178</v>
      </c>
    </row>
    <row r="1510" spans="2:11" hidden="1" x14ac:dyDescent="0.2">
      <c r="B1510" s="4">
        <v>72179</v>
      </c>
      <c r="C1510" s="4">
        <v>0</v>
      </c>
      <c r="D1510">
        <v>0</v>
      </c>
      <c r="E1510" t="str">
        <f>VLOOKUP(B1510,Nuclides!A:F,5,FALSE)</f>
        <v>Hf179</v>
      </c>
      <c r="F1510" t="str">
        <f>VLOOKUP(B1510,Nuclides!A:F,4,FALSE)</f>
        <v>STABLE</v>
      </c>
      <c r="G1510" s="4" t="str">
        <f t="shared" si="129"/>
        <v>STABLE</v>
      </c>
      <c r="H1510" s="4" t="e">
        <f t="shared" si="130"/>
        <v>#VALUE!</v>
      </c>
      <c r="I1510" s="4" t="e">
        <f t="shared" si="131"/>
        <v>#VALUE!</v>
      </c>
      <c r="J1510" s="4" t="e">
        <f t="shared" si="132"/>
        <v>#VALUE!</v>
      </c>
      <c r="K1510" s="4" t="str">
        <f t="shared" si="133"/>
        <v>Hf179</v>
      </c>
    </row>
    <row r="1511" spans="2:11" hidden="1" x14ac:dyDescent="0.2">
      <c r="B1511" s="4">
        <v>72180</v>
      </c>
      <c r="C1511" s="4">
        <v>0</v>
      </c>
      <c r="D1511">
        <v>0</v>
      </c>
      <c r="E1511" t="str">
        <f>VLOOKUP(B1511,Nuclides!A:F,5,FALSE)</f>
        <v>Hf180</v>
      </c>
      <c r="F1511" t="str">
        <f>VLOOKUP(B1511,Nuclides!A:F,4,FALSE)</f>
        <v>STABLE</v>
      </c>
      <c r="G1511" s="4" t="str">
        <f t="shared" si="129"/>
        <v>STABLE</v>
      </c>
      <c r="H1511" s="4" t="e">
        <f t="shared" si="130"/>
        <v>#VALUE!</v>
      </c>
      <c r="I1511" s="4" t="e">
        <f t="shared" si="131"/>
        <v>#VALUE!</v>
      </c>
      <c r="J1511" s="4" t="e">
        <f t="shared" si="132"/>
        <v>#VALUE!</v>
      </c>
      <c r="K1511" s="4" t="str">
        <f t="shared" si="133"/>
        <v>Hf180</v>
      </c>
    </row>
    <row r="1512" spans="2:11" hidden="1" x14ac:dyDescent="0.2">
      <c r="B1512" s="4">
        <v>72181</v>
      </c>
      <c r="C1512" s="4">
        <v>0</v>
      </c>
      <c r="D1512">
        <v>0</v>
      </c>
      <c r="E1512" t="str">
        <f>VLOOKUP(B1512,Nuclides!A:F,5,FALSE)</f>
        <v>Hf181</v>
      </c>
      <c r="F1512">
        <f>VLOOKUP(B1512,Nuclides!A:F,4,FALSE)</f>
        <v>3662496</v>
      </c>
      <c r="G1512" s="4" t="str">
        <f t="shared" si="129"/>
        <v>42.39d</v>
      </c>
      <c r="H1512" s="4">
        <f t="shared" si="130"/>
        <v>1.8925540957858937E-7</v>
      </c>
      <c r="I1512" s="4">
        <f t="shared" si="131"/>
        <v>0</v>
      </c>
      <c r="J1512" s="4">
        <f t="shared" si="132"/>
        <v>0</v>
      </c>
      <c r="K1512" s="4" t="str">
        <f t="shared" si="133"/>
        <v>Hf181</v>
      </c>
    </row>
    <row r="1513" spans="2:11" hidden="1" x14ac:dyDescent="0.2">
      <c r="B1513" s="4">
        <v>72182</v>
      </c>
      <c r="C1513" s="4">
        <v>0</v>
      </c>
      <c r="D1513">
        <v>0</v>
      </c>
      <c r="E1513" t="str">
        <f>VLOOKUP(B1513,Nuclides!A:F,5,FALSE)</f>
        <v>Hf182</v>
      </c>
      <c r="F1513">
        <f>VLOOKUP(B1513,Nuclides!A:F,4,FALSE)</f>
        <v>280862640000000</v>
      </c>
      <c r="G1513" s="4" t="str">
        <f t="shared" si="129"/>
        <v>8906095.89y</v>
      </c>
      <c r="H1513" s="4">
        <f t="shared" si="130"/>
        <v>2.467922328722486E-15</v>
      </c>
      <c r="I1513" s="4">
        <f t="shared" si="131"/>
        <v>0</v>
      </c>
      <c r="J1513" s="4">
        <f t="shared" si="132"/>
        <v>0</v>
      </c>
      <c r="K1513" s="4" t="str">
        <f t="shared" si="133"/>
        <v>Hf182</v>
      </c>
    </row>
    <row r="1514" spans="2:11" hidden="1" x14ac:dyDescent="0.2">
      <c r="B1514" s="4">
        <v>72183</v>
      </c>
      <c r="C1514" s="4">
        <v>0</v>
      </c>
      <c r="D1514">
        <v>0</v>
      </c>
      <c r="E1514" t="str">
        <f>VLOOKUP(B1514,Nuclides!A:F,5,FALSE)</f>
        <v>Hf183</v>
      </c>
      <c r="F1514">
        <f>VLOOKUP(B1514,Nuclides!A:F,4,FALSE)</f>
        <v>3664.8</v>
      </c>
      <c r="G1514" s="4" t="str">
        <f t="shared" si="129"/>
        <v>1.02h</v>
      </c>
      <c r="H1514" s="4">
        <f t="shared" si="130"/>
        <v>1.8913642778867749E-4</v>
      </c>
      <c r="I1514" s="4">
        <f t="shared" si="131"/>
        <v>0</v>
      </c>
      <c r="J1514" s="4">
        <f t="shared" si="132"/>
        <v>0</v>
      </c>
      <c r="K1514" s="4" t="str">
        <f t="shared" si="133"/>
        <v>Hf183</v>
      </c>
    </row>
    <row r="1515" spans="2:11" hidden="1" x14ac:dyDescent="0.2">
      <c r="B1515" s="4">
        <v>72184</v>
      </c>
      <c r="C1515" s="4">
        <v>0</v>
      </c>
      <c r="D1515">
        <v>0</v>
      </c>
      <c r="E1515" t="str">
        <f>VLOOKUP(B1515,Nuclides!A:F,5,FALSE)</f>
        <v>Hf184</v>
      </c>
      <c r="F1515">
        <f>VLOOKUP(B1515,Nuclides!A:F,4,FALSE)</f>
        <v>14832</v>
      </c>
      <c r="G1515" s="4" t="str">
        <f t="shared" si="129"/>
        <v>4.12h</v>
      </c>
      <c r="H1515" s="4">
        <f t="shared" si="130"/>
        <v>4.6733224147784875E-5</v>
      </c>
      <c r="I1515" s="4">
        <f t="shared" si="131"/>
        <v>0</v>
      </c>
      <c r="J1515" s="4">
        <f t="shared" si="132"/>
        <v>0</v>
      </c>
      <c r="K1515" s="4" t="str">
        <f t="shared" si="133"/>
        <v>Hf184</v>
      </c>
    </row>
    <row r="1516" spans="2:11" hidden="1" x14ac:dyDescent="0.2">
      <c r="B1516" s="4">
        <v>73157</v>
      </c>
      <c r="C1516" s="4">
        <v>0</v>
      </c>
      <c r="D1516">
        <v>0</v>
      </c>
      <c r="E1516" t="str">
        <f>VLOOKUP(B1516,Nuclides!A:F,5,FALSE)</f>
        <v>Ta157</v>
      </c>
      <c r="F1516">
        <f>VLOOKUP(B1516,Nuclides!A:F,4,FALSE)</f>
        <v>1.01E-2</v>
      </c>
      <c r="G1516" s="4" t="str">
        <f t="shared" si="129"/>
        <v>0.0101s</v>
      </c>
      <c r="H1516" s="4">
        <f t="shared" si="130"/>
        <v>68.628433718806463</v>
      </c>
      <c r="I1516" s="4">
        <f t="shared" si="131"/>
        <v>0</v>
      </c>
      <c r="J1516" s="4">
        <f t="shared" si="132"/>
        <v>0</v>
      </c>
      <c r="K1516" s="4" t="str">
        <f t="shared" si="133"/>
        <v>Ta157</v>
      </c>
    </row>
    <row r="1517" spans="2:11" hidden="1" x14ac:dyDescent="0.2">
      <c r="B1517" s="4">
        <v>73158</v>
      </c>
      <c r="C1517" s="4">
        <v>0</v>
      </c>
      <c r="D1517">
        <v>0</v>
      </c>
      <c r="E1517" t="str">
        <f>VLOOKUP(B1517,Nuclides!A:F,5,FALSE)</f>
        <v>Ta158</v>
      </c>
      <c r="F1517">
        <f>VLOOKUP(B1517,Nuclides!A:F,4,FALSE)</f>
        <v>5.5E-2</v>
      </c>
      <c r="G1517" s="4" t="str">
        <f t="shared" si="129"/>
        <v>0.055s</v>
      </c>
      <c r="H1517" s="4">
        <f t="shared" si="130"/>
        <v>12.602676010180824</v>
      </c>
      <c r="I1517" s="4">
        <f t="shared" si="131"/>
        <v>0</v>
      </c>
      <c r="J1517" s="4">
        <f t="shared" si="132"/>
        <v>0</v>
      </c>
      <c r="K1517" s="4" t="str">
        <f t="shared" si="133"/>
        <v>Ta158</v>
      </c>
    </row>
    <row r="1518" spans="2:11" hidden="1" x14ac:dyDescent="0.2">
      <c r="B1518" s="4">
        <v>73159</v>
      </c>
      <c r="C1518" s="4">
        <v>0</v>
      </c>
      <c r="D1518">
        <v>0</v>
      </c>
      <c r="E1518" t="str">
        <f>VLOOKUP(B1518,Nuclides!A:F,5,FALSE)</f>
        <v>Ta159</v>
      </c>
      <c r="F1518">
        <f>VLOOKUP(B1518,Nuclides!A:F,4,FALSE)</f>
        <v>0.83</v>
      </c>
      <c r="G1518" s="4" t="str">
        <f t="shared" si="129"/>
        <v>0.83s</v>
      </c>
      <c r="H1518" s="4">
        <f t="shared" si="130"/>
        <v>0.83511708501198234</v>
      </c>
      <c r="I1518" s="4">
        <f t="shared" si="131"/>
        <v>0</v>
      </c>
      <c r="J1518" s="4">
        <f t="shared" si="132"/>
        <v>0</v>
      </c>
      <c r="K1518" s="4" t="str">
        <f t="shared" si="133"/>
        <v>Ta159</v>
      </c>
    </row>
    <row r="1519" spans="2:11" hidden="1" x14ac:dyDescent="0.2">
      <c r="B1519" s="4">
        <v>73160</v>
      </c>
      <c r="C1519" s="4">
        <v>0</v>
      </c>
      <c r="D1519">
        <v>0</v>
      </c>
      <c r="E1519" t="str">
        <f>VLOOKUP(B1519,Nuclides!A:F,5,FALSE)</f>
        <v>Ta160</v>
      </c>
      <c r="F1519">
        <f>VLOOKUP(B1519,Nuclides!A:F,4,FALSE)</f>
        <v>1.55</v>
      </c>
      <c r="G1519" s="4" t="str">
        <f t="shared" si="129"/>
        <v>1.55s</v>
      </c>
      <c r="H1519" s="4">
        <f t="shared" si="130"/>
        <v>0.44719172939351309</v>
      </c>
      <c r="I1519" s="4">
        <f t="shared" si="131"/>
        <v>0</v>
      </c>
      <c r="J1519" s="4">
        <f t="shared" si="132"/>
        <v>0</v>
      </c>
      <c r="K1519" s="4" t="str">
        <f t="shared" si="133"/>
        <v>Ta160</v>
      </c>
    </row>
    <row r="1520" spans="2:11" hidden="1" x14ac:dyDescent="0.2">
      <c r="B1520" s="4">
        <v>73161</v>
      </c>
      <c r="C1520" s="4">
        <v>0</v>
      </c>
      <c r="D1520">
        <v>0</v>
      </c>
      <c r="E1520" t="e">
        <f>VLOOKUP(B1520,Nuclides!A:F,5,FALSE)</f>
        <v>#N/A</v>
      </c>
      <c r="F1520" t="e">
        <f>VLOOKUP(B1520,Nuclides!A:F,4,FALSE)</f>
        <v>#N/A</v>
      </c>
      <c r="G1520" s="4" t="e">
        <f t="shared" si="129"/>
        <v>#N/A</v>
      </c>
      <c r="H1520" s="4" t="e">
        <f t="shared" si="130"/>
        <v>#N/A</v>
      </c>
      <c r="I1520" s="4" t="e">
        <f t="shared" si="131"/>
        <v>#N/A</v>
      </c>
      <c r="J1520" s="4" t="e">
        <f t="shared" si="132"/>
        <v>#N/A</v>
      </c>
      <c r="K1520" s="4" t="e">
        <f t="shared" si="133"/>
        <v>#N/A</v>
      </c>
    </row>
    <row r="1521" spans="2:11" hidden="1" x14ac:dyDescent="0.2">
      <c r="B1521" s="4">
        <v>73162</v>
      </c>
      <c r="C1521" s="4">
        <v>0</v>
      </c>
      <c r="D1521">
        <v>0</v>
      </c>
      <c r="E1521" t="str">
        <f>VLOOKUP(B1521,Nuclides!A:F,5,FALSE)</f>
        <v>Ta162</v>
      </c>
      <c r="F1521">
        <f>VLOOKUP(B1521,Nuclides!A:F,4,FALSE)</f>
        <v>3.57</v>
      </c>
      <c r="G1521" s="4" t="str">
        <f t="shared" si="129"/>
        <v>3.57s</v>
      </c>
      <c r="H1521" s="4">
        <f t="shared" si="130"/>
        <v>0.19415887410642726</v>
      </c>
      <c r="I1521" s="4">
        <f t="shared" si="131"/>
        <v>0</v>
      </c>
      <c r="J1521" s="4">
        <f t="shared" si="132"/>
        <v>0</v>
      </c>
      <c r="K1521" s="4" t="str">
        <f t="shared" si="133"/>
        <v>Ta162</v>
      </c>
    </row>
    <row r="1522" spans="2:11" hidden="1" x14ac:dyDescent="0.2">
      <c r="B1522" s="4">
        <v>73163</v>
      </c>
      <c r="C1522" s="4">
        <v>0</v>
      </c>
      <c r="D1522">
        <v>0</v>
      </c>
      <c r="E1522" t="str">
        <f>VLOOKUP(B1522,Nuclides!A:F,5,FALSE)</f>
        <v>Ta163</v>
      </c>
      <c r="F1522">
        <f>VLOOKUP(B1522,Nuclides!A:F,4,FALSE)</f>
        <v>10.6</v>
      </c>
      <c r="G1522" s="4" t="str">
        <f t="shared" si="129"/>
        <v>10.6s</v>
      </c>
      <c r="H1522" s="4">
        <f t="shared" si="130"/>
        <v>6.539124344905145E-2</v>
      </c>
      <c r="I1522" s="4">
        <f t="shared" si="131"/>
        <v>0</v>
      </c>
      <c r="J1522" s="4">
        <f t="shared" si="132"/>
        <v>0</v>
      </c>
      <c r="K1522" s="4" t="str">
        <f t="shared" si="133"/>
        <v>Ta163</v>
      </c>
    </row>
    <row r="1523" spans="2:11" hidden="1" x14ac:dyDescent="0.2">
      <c r="B1523" s="4">
        <v>73164</v>
      </c>
      <c r="C1523" s="4">
        <v>0</v>
      </c>
      <c r="D1523">
        <v>0</v>
      </c>
      <c r="E1523" t="str">
        <f>VLOOKUP(B1523,Nuclides!A:F,5,FALSE)</f>
        <v>Ta164</v>
      </c>
      <c r="F1523">
        <f>VLOOKUP(B1523,Nuclides!A:F,4,FALSE)</f>
        <v>14.2</v>
      </c>
      <c r="G1523" s="4" t="str">
        <f t="shared" si="129"/>
        <v>14.2s</v>
      </c>
      <c r="H1523" s="4">
        <f t="shared" si="130"/>
        <v>4.8813181729573614E-2</v>
      </c>
      <c r="I1523" s="4">
        <f t="shared" si="131"/>
        <v>0</v>
      </c>
      <c r="J1523" s="4">
        <f t="shared" si="132"/>
        <v>0</v>
      </c>
      <c r="K1523" s="4" t="str">
        <f t="shared" si="133"/>
        <v>Ta164</v>
      </c>
    </row>
    <row r="1524" spans="2:11" hidden="1" x14ac:dyDescent="0.2">
      <c r="B1524" s="4">
        <v>73165</v>
      </c>
      <c r="C1524" s="4">
        <v>0</v>
      </c>
      <c r="D1524">
        <v>0</v>
      </c>
      <c r="E1524" t="str">
        <f>VLOOKUP(B1524,Nuclides!A:F,5,FALSE)</f>
        <v>Ta165</v>
      </c>
      <c r="F1524">
        <f>VLOOKUP(B1524,Nuclides!A:F,4,FALSE)</f>
        <v>31</v>
      </c>
      <c r="G1524" s="4" t="str">
        <f t="shared" si="129"/>
        <v>31s</v>
      </c>
      <c r="H1524" s="4">
        <f t="shared" si="130"/>
        <v>2.2359586469675653E-2</v>
      </c>
      <c r="I1524" s="4">
        <f t="shared" si="131"/>
        <v>0</v>
      </c>
      <c r="J1524" s="4">
        <f t="shared" si="132"/>
        <v>0</v>
      </c>
      <c r="K1524" s="4" t="str">
        <f t="shared" si="133"/>
        <v>Ta165</v>
      </c>
    </row>
    <row r="1525" spans="2:11" hidden="1" x14ac:dyDescent="0.2">
      <c r="B1525" s="4">
        <v>73166</v>
      </c>
      <c r="C1525" s="4">
        <v>0</v>
      </c>
      <c r="D1525">
        <v>0</v>
      </c>
      <c r="E1525" t="str">
        <f>VLOOKUP(B1525,Nuclides!A:F,5,FALSE)</f>
        <v>Ta166</v>
      </c>
      <c r="F1525">
        <f>VLOOKUP(B1525,Nuclides!A:F,4,FALSE)</f>
        <v>34.4</v>
      </c>
      <c r="G1525" s="4" t="str">
        <f t="shared" si="129"/>
        <v>34.4s</v>
      </c>
      <c r="H1525" s="4">
        <f t="shared" si="130"/>
        <v>2.0149627341858874E-2</v>
      </c>
      <c r="I1525" s="4">
        <f t="shared" si="131"/>
        <v>0</v>
      </c>
      <c r="J1525" s="4">
        <f t="shared" si="132"/>
        <v>0</v>
      </c>
      <c r="K1525" s="4" t="str">
        <f t="shared" si="133"/>
        <v>Ta166</v>
      </c>
    </row>
    <row r="1526" spans="2:11" hidden="1" x14ac:dyDescent="0.2">
      <c r="B1526" s="4">
        <v>73167</v>
      </c>
      <c r="C1526" s="4">
        <v>0</v>
      </c>
      <c r="D1526">
        <v>0</v>
      </c>
      <c r="E1526" t="str">
        <f>VLOOKUP(B1526,Nuclides!A:F,5,FALSE)</f>
        <v>Ta167</v>
      </c>
      <c r="F1526">
        <f>VLOOKUP(B1526,Nuclides!A:F,4,FALSE)</f>
        <v>80</v>
      </c>
      <c r="G1526" s="4" t="str">
        <f t="shared" si="129"/>
        <v>1.33min</v>
      </c>
      <c r="H1526" s="4">
        <f t="shared" si="130"/>
        <v>8.6643397569993157E-3</v>
      </c>
      <c r="I1526" s="4">
        <f t="shared" si="131"/>
        <v>0</v>
      </c>
      <c r="J1526" s="4">
        <f t="shared" si="132"/>
        <v>0</v>
      </c>
      <c r="K1526" s="4" t="str">
        <f t="shared" si="133"/>
        <v>Ta167</v>
      </c>
    </row>
    <row r="1527" spans="2:11" hidden="1" x14ac:dyDescent="0.2">
      <c r="B1527" s="4">
        <v>73168</v>
      </c>
      <c r="C1527" s="4">
        <v>0</v>
      </c>
      <c r="D1527">
        <v>0</v>
      </c>
      <c r="E1527" t="str">
        <f>VLOOKUP(B1527,Nuclides!A:F,5,FALSE)</f>
        <v>Ta168</v>
      </c>
      <c r="F1527">
        <f>VLOOKUP(B1527,Nuclides!A:F,4,FALSE)</f>
        <v>120</v>
      </c>
      <c r="G1527" s="4" t="str">
        <f t="shared" si="129"/>
        <v>2min</v>
      </c>
      <c r="H1527" s="4">
        <f t="shared" si="130"/>
        <v>5.7762265046662105E-3</v>
      </c>
      <c r="I1527" s="4">
        <f t="shared" si="131"/>
        <v>0</v>
      </c>
      <c r="J1527" s="4">
        <f t="shared" si="132"/>
        <v>0</v>
      </c>
      <c r="K1527" s="4" t="str">
        <f t="shared" si="133"/>
        <v>Ta168</v>
      </c>
    </row>
    <row r="1528" spans="2:11" hidden="1" x14ac:dyDescent="0.2">
      <c r="B1528" s="4">
        <v>73169</v>
      </c>
      <c r="C1528" s="4">
        <v>0</v>
      </c>
      <c r="D1528">
        <v>0</v>
      </c>
      <c r="E1528" t="str">
        <f>VLOOKUP(B1528,Nuclides!A:F,5,FALSE)</f>
        <v>Ta169</v>
      </c>
      <c r="F1528">
        <f>VLOOKUP(B1528,Nuclides!A:F,4,FALSE)</f>
        <v>294</v>
      </c>
      <c r="G1528" s="4" t="str">
        <f t="shared" si="129"/>
        <v>4.9min</v>
      </c>
      <c r="H1528" s="4">
        <f t="shared" si="130"/>
        <v>2.3576434712923311E-3</v>
      </c>
      <c r="I1528" s="4">
        <f t="shared" si="131"/>
        <v>0</v>
      </c>
      <c r="J1528" s="4">
        <f t="shared" si="132"/>
        <v>0</v>
      </c>
      <c r="K1528" s="4" t="str">
        <f t="shared" si="133"/>
        <v>Ta169</v>
      </c>
    </row>
    <row r="1529" spans="2:11" hidden="1" x14ac:dyDescent="0.2">
      <c r="B1529" s="4">
        <v>73170</v>
      </c>
      <c r="C1529" s="4">
        <v>0</v>
      </c>
      <c r="D1529">
        <v>0</v>
      </c>
      <c r="E1529" t="str">
        <f>VLOOKUP(B1529,Nuclides!A:F,5,FALSE)</f>
        <v>Ta170</v>
      </c>
      <c r="F1529">
        <f>VLOOKUP(B1529,Nuclides!A:F,4,FALSE)</f>
        <v>405.599999999999</v>
      </c>
      <c r="G1529" s="4" t="str">
        <f t="shared" si="129"/>
        <v>6.76min</v>
      </c>
      <c r="H1529" s="4">
        <f t="shared" si="130"/>
        <v>1.7089427528598298E-3</v>
      </c>
      <c r="I1529" s="4">
        <f t="shared" si="131"/>
        <v>0</v>
      </c>
      <c r="J1529" s="4">
        <f t="shared" si="132"/>
        <v>0</v>
      </c>
      <c r="K1529" s="4" t="str">
        <f t="shared" si="133"/>
        <v>Ta170</v>
      </c>
    </row>
    <row r="1530" spans="2:11" hidden="1" x14ac:dyDescent="0.2">
      <c r="B1530" s="4">
        <v>73171</v>
      </c>
      <c r="C1530" s="4">
        <v>0</v>
      </c>
      <c r="D1530">
        <v>0</v>
      </c>
      <c r="E1530" t="str">
        <f>VLOOKUP(B1530,Nuclides!A:F,5,FALSE)</f>
        <v>Ta171</v>
      </c>
      <c r="F1530">
        <f>VLOOKUP(B1530,Nuclides!A:F,4,FALSE)</f>
        <v>1398</v>
      </c>
      <c r="G1530" s="4" t="str">
        <f t="shared" si="129"/>
        <v>23.3min</v>
      </c>
      <c r="H1530" s="4">
        <f t="shared" si="130"/>
        <v>4.9581343387692799E-4</v>
      </c>
      <c r="I1530" s="4">
        <f t="shared" si="131"/>
        <v>0</v>
      </c>
      <c r="J1530" s="4">
        <f t="shared" si="132"/>
        <v>0</v>
      </c>
      <c r="K1530" s="4" t="str">
        <f t="shared" si="133"/>
        <v>Ta171</v>
      </c>
    </row>
    <row r="1531" spans="2:11" hidden="1" x14ac:dyDescent="0.2">
      <c r="B1531" s="4">
        <v>73172</v>
      </c>
      <c r="C1531" s="4">
        <v>0</v>
      </c>
      <c r="D1531">
        <v>0</v>
      </c>
      <c r="E1531" t="str">
        <f>VLOOKUP(B1531,Nuclides!A:F,5,FALSE)</f>
        <v>Ta172</v>
      </c>
      <c r="F1531">
        <f>VLOOKUP(B1531,Nuclides!A:F,4,FALSE)</f>
        <v>2208</v>
      </c>
      <c r="G1531" s="4" t="str">
        <f t="shared" si="129"/>
        <v>36.8min</v>
      </c>
      <c r="H1531" s="4">
        <f t="shared" si="130"/>
        <v>3.1392535351446797E-4</v>
      </c>
      <c r="I1531" s="4">
        <f t="shared" si="131"/>
        <v>0</v>
      </c>
      <c r="J1531" s="4">
        <f t="shared" si="132"/>
        <v>0</v>
      </c>
      <c r="K1531" s="4" t="str">
        <f t="shared" si="133"/>
        <v>Ta172</v>
      </c>
    </row>
    <row r="1532" spans="2:11" hidden="1" x14ac:dyDescent="0.2">
      <c r="B1532" s="4">
        <v>73173</v>
      </c>
      <c r="C1532" s="4">
        <v>0</v>
      </c>
      <c r="D1532">
        <v>0</v>
      </c>
      <c r="E1532" t="str">
        <f>VLOOKUP(B1532,Nuclides!A:F,5,FALSE)</f>
        <v>Ta173</v>
      </c>
      <c r="F1532">
        <f>VLOOKUP(B1532,Nuclides!A:F,4,FALSE)</f>
        <v>11304</v>
      </c>
      <c r="G1532" s="4" t="str">
        <f t="shared" si="129"/>
        <v>3.14h</v>
      </c>
      <c r="H1532" s="4">
        <f t="shared" si="130"/>
        <v>6.1318752703462965E-5</v>
      </c>
      <c r="I1532" s="4">
        <f t="shared" si="131"/>
        <v>0</v>
      </c>
      <c r="J1532" s="4">
        <f t="shared" si="132"/>
        <v>0</v>
      </c>
      <c r="K1532" s="4" t="str">
        <f t="shared" si="133"/>
        <v>Ta173</v>
      </c>
    </row>
    <row r="1533" spans="2:11" hidden="1" x14ac:dyDescent="0.2">
      <c r="B1533" s="4">
        <v>73174</v>
      </c>
      <c r="C1533" s="4">
        <v>0</v>
      </c>
      <c r="D1533">
        <v>0</v>
      </c>
      <c r="E1533" t="str">
        <f>VLOOKUP(B1533,Nuclides!A:F,5,FALSE)</f>
        <v>Ta174</v>
      </c>
      <c r="F1533">
        <f>VLOOKUP(B1533,Nuclides!A:F,4,FALSE)</f>
        <v>4104</v>
      </c>
      <c r="G1533" s="4" t="str">
        <f t="shared" si="129"/>
        <v>1.14h</v>
      </c>
      <c r="H1533" s="4">
        <f t="shared" si="130"/>
        <v>1.6889551183234535E-4</v>
      </c>
      <c r="I1533" s="4">
        <f t="shared" si="131"/>
        <v>0</v>
      </c>
      <c r="J1533" s="4">
        <f t="shared" si="132"/>
        <v>0</v>
      </c>
      <c r="K1533" s="4" t="str">
        <f t="shared" si="133"/>
        <v>Ta174</v>
      </c>
    </row>
    <row r="1534" spans="2:11" hidden="1" x14ac:dyDescent="0.2">
      <c r="B1534" s="4">
        <v>73175</v>
      </c>
      <c r="C1534" s="4">
        <v>0</v>
      </c>
      <c r="D1534">
        <v>0</v>
      </c>
      <c r="E1534" t="str">
        <f>VLOOKUP(B1534,Nuclides!A:F,5,FALSE)</f>
        <v>Ta175</v>
      </c>
      <c r="F1534">
        <f>VLOOKUP(B1534,Nuclides!A:F,4,FALSE)</f>
        <v>37800</v>
      </c>
      <c r="G1534" s="4" t="str">
        <f t="shared" si="129"/>
        <v>10.5h</v>
      </c>
      <c r="H1534" s="4">
        <f t="shared" si="130"/>
        <v>1.833722699894035E-5</v>
      </c>
      <c r="I1534" s="4">
        <f t="shared" si="131"/>
        <v>0</v>
      </c>
      <c r="J1534" s="4">
        <f t="shared" si="132"/>
        <v>0</v>
      </c>
      <c r="K1534" s="4" t="str">
        <f t="shared" si="133"/>
        <v>Ta175</v>
      </c>
    </row>
    <row r="1535" spans="2:11" hidden="1" x14ac:dyDescent="0.2">
      <c r="B1535" s="4">
        <v>73176</v>
      </c>
      <c r="C1535" s="4">
        <v>0</v>
      </c>
      <c r="D1535">
        <v>0</v>
      </c>
      <c r="E1535" t="str">
        <f>VLOOKUP(B1535,Nuclides!A:F,5,FALSE)</f>
        <v>Ta176</v>
      </c>
      <c r="F1535">
        <f>VLOOKUP(B1535,Nuclides!A:F,4,FALSE)</f>
        <v>29124</v>
      </c>
      <c r="G1535" s="4" t="str">
        <f t="shared" si="129"/>
        <v>8.09h</v>
      </c>
      <c r="H1535" s="4">
        <f t="shared" si="130"/>
        <v>2.3799861988735931E-5</v>
      </c>
      <c r="I1535" s="4">
        <f t="shared" si="131"/>
        <v>0</v>
      </c>
      <c r="J1535" s="4">
        <f t="shared" si="132"/>
        <v>0</v>
      </c>
      <c r="K1535" s="4" t="str">
        <f t="shared" si="133"/>
        <v>Ta176</v>
      </c>
    </row>
    <row r="1536" spans="2:11" hidden="1" x14ac:dyDescent="0.2">
      <c r="B1536" s="4">
        <v>73177</v>
      </c>
      <c r="C1536" s="4">
        <v>0</v>
      </c>
      <c r="D1536">
        <v>0</v>
      </c>
      <c r="E1536" t="str">
        <f>VLOOKUP(B1536,Nuclides!A:F,5,FALSE)</f>
        <v>Ta177</v>
      </c>
      <c r="F1536">
        <f>VLOOKUP(B1536,Nuclides!A:F,4,FALSE)</f>
        <v>203616</v>
      </c>
      <c r="G1536" s="4" t="str">
        <f t="shared" si="129"/>
        <v>2.36d</v>
      </c>
      <c r="H1536" s="4">
        <f t="shared" si="130"/>
        <v>3.4041881804963523E-6</v>
      </c>
      <c r="I1536" s="4">
        <f t="shared" si="131"/>
        <v>0</v>
      </c>
      <c r="J1536" s="4">
        <f t="shared" si="132"/>
        <v>0</v>
      </c>
      <c r="K1536" s="4" t="str">
        <f t="shared" si="133"/>
        <v>Ta177</v>
      </c>
    </row>
    <row r="1537" spans="2:11" hidden="1" x14ac:dyDescent="0.2">
      <c r="B1537" s="4">
        <v>73178</v>
      </c>
      <c r="C1537" s="4">
        <v>0</v>
      </c>
      <c r="D1537">
        <v>0</v>
      </c>
      <c r="E1537" t="str">
        <f>VLOOKUP(B1537,Nuclides!A:F,5,FALSE)</f>
        <v>Ta178</v>
      </c>
      <c r="F1537">
        <f>VLOOKUP(B1537,Nuclides!A:F,4,FALSE)</f>
        <v>558.6</v>
      </c>
      <c r="G1537" s="4" t="str">
        <f t="shared" si="129"/>
        <v>9.31min</v>
      </c>
      <c r="H1537" s="4">
        <f t="shared" si="130"/>
        <v>1.2408649848907004E-3</v>
      </c>
      <c r="I1537" s="4">
        <f t="shared" si="131"/>
        <v>0</v>
      </c>
      <c r="J1537" s="4">
        <f t="shared" si="132"/>
        <v>0</v>
      </c>
      <c r="K1537" s="4" t="str">
        <f t="shared" si="133"/>
        <v>Ta178</v>
      </c>
    </row>
    <row r="1538" spans="2:11" hidden="1" x14ac:dyDescent="0.2">
      <c r="B1538" s="4">
        <v>73179</v>
      </c>
      <c r="C1538" s="4">
        <v>0</v>
      </c>
      <c r="D1538">
        <v>0</v>
      </c>
      <c r="E1538" t="str">
        <f>VLOOKUP(B1538,Nuclides!A:F,5,FALSE)</f>
        <v>Ta179</v>
      </c>
      <c r="F1538">
        <f>VLOOKUP(B1538,Nuclides!A:F,4,FALSE)</f>
        <v>57434832</v>
      </c>
      <c r="G1538" s="4" t="str">
        <f t="shared" si="129"/>
        <v>1.82y</v>
      </c>
      <c r="H1538" s="4">
        <f t="shared" si="130"/>
        <v>1.206841138770886E-8</v>
      </c>
      <c r="I1538" s="4">
        <f t="shared" si="131"/>
        <v>0</v>
      </c>
      <c r="J1538" s="4">
        <f t="shared" si="132"/>
        <v>0</v>
      </c>
      <c r="K1538" s="4" t="str">
        <f t="shared" si="133"/>
        <v>Ta179</v>
      </c>
    </row>
    <row r="1539" spans="2:11" hidden="1" x14ac:dyDescent="0.2">
      <c r="B1539" s="4">
        <v>73180</v>
      </c>
      <c r="C1539" s="4">
        <v>0</v>
      </c>
      <c r="D1539">
        <v>0</v>
      </c>
      <c r="E1539" t="str">
        <f>VLOOKUP(B1539,Nuclides!A:F,5,FALSE)</f>
        <v>Ta180</v>
      </c>
      <c r="F1539">
        <f>VLOOKUP(B1539,Nuclides!A:F,4,FALSE)</f>
        <v>29354.400000000001</v>
      </c>
      <c r="G1539" s="4" t="str">
        <f t="shared" si="129"/>
        <v>8.15h</v>
      </c>
      <c r="H1539" s="4">
        <f t="shared" si="130"/>
        <v>2.3613059049408103E-5</v>
      </c>
      <c r="I1539" s="4">
        <f t="shared" si="131"/>
        <v>0</v>
      </c>
      <c r="J1539" s="4">
        <f t="shared" si="132"/>
        <v>0</v>
      </c>
      <c r="K1539" s="4" t="str">
        <f t="shared" si="133"/>
        <v>Ta180</v>
      </c>
    </row>
    <row r="1540" spans="2:11" hidden="1" x14ac:dyDescent="0.2">
      <c r="B1540" s="4">
        <v>73181</v>
      </c>
      <c r="C1540" s="4">
        <v>0</v>
      </c>
      <c r="D1540">
        <v>0</v>
      </c>
      <c r="E1540" t="str">
        <f>VLOOKUP(B1540,Nuclides!A:F,5,FALSE)</f>
        <v>Ta181</v>
      </c>
      <c r="F1540" t="str">
        <f>VLOOKUP(B1540,Nuclides!A:F,4,FALSE)</f>
        <v>STABLE</v>
      </c>
      <c r="G1540" s="4" t="str">
        <f t="shared" si="129"/>
        <v>STABLE</v>
      </c>
      <c r="H1540" s="4" t="e">
        <f t="shared" si="130"/>
        <v>#VALUE!</v>
      </c>
      <c r="I1540" s="4" t="e">
        <f t="shared" si="131"/>
        <v>#VALUE!</v>
      </c>
      <c r="J1540" s="4" t="e">
        <f t="shared" si="132"/>
        <v>#VALUE!</v>
      </c>
      <c r="K1540" s="4" t="str">
        <f t="shared" si="133"/>
        <v>Ta181</v>
      </c>
    </row>
    <row r="1541" spans="2:11" hidden="1" x14ac:dyDescent="0.2">
      <c r="B1541" s="4">
        <v>73182</v>
      </c>
      <c r="C1541" s="4">
        <v>0</v>
      </c>
      <c r="D1541">
        <v>0</v>
      </c>
      <c r="E1541" t="str">
        <f>VLOOKUP(B1541,Nuclides!A:F,5,FALSE)</f>
        <v>Ta182</v>
      </c>
      <c r="F1541">
        <f>VLOOKUP(B1541,Nuclides!A:F,4,FALSE)</f>
        <v>9913536</v>
      </c>
      <c r="G1541" s="4" t="str">
        <f t="shared" ref="G1541:G1604" si="134">IF(F1541="STABLE", "STABLE", IF(F1541&lt;60, F1541&amp;"s", IF(F1541&lt;3600, ROUND(F1541/60,2)&amp;"min", IF(F1541&lt;86400, ROUND(F1541/3600,2)&amp;"h", IF(F1541&lt;31536000, ROUND(F1541/86400,2)&amp;"d", ROUND(F1541/31536000,2)&amp;"y")))))</f>
        <v>114.74d</v>
      </c>
      <c r="H1541" s="4">
        <f t="shared" ref="H1541:H1604" si="135">LN(2)/F1541</f>
        <v>6.9919268014959077E-8</v>
      </c>
      <c r="I1541" s="4">
        <f t="shared" ref="I1541:I1604" si="136">60*6240000000000*C1541*(1-EXP(-H1541*2*3600))</f>
        <v>0</v>
      </c>
      <c r="J1541" s="4">
        <f t="shared" ref="J1541:J1603" si="137">I1541*EXP(-H1541*48*3600)</f>
        <v>0</v>
      </c>
      <c r="K1541" s="4" t="str">
        <f t="shared" ref="K1541:K1604" si="138">E1541</f>
        <v>Ta182</v>
      </c>
    </row>
    <row r="1542" spans="2:11" hidden="1" x14ac:dyDescent="0.2">
      <c r="B1542" s="4">
        <v>73183</v>
      </c>
      <c r="C1542" s="4">
        <v>0</v>
      </c>
      <c r="D1542">
        <v>0</v>
      </c>
      <c r="E1542" t="str">
        <f>VLOOKUP(B1542,Nuclides!A:F,5,FALSE)</f>
        <v>Ta183</v>
      </c>
      <c r="F1542">
        <f>VLOOKUP(B1542,Nuclides!A:F,4,FALSE)</f>
        <v>440639.99999999901</v>
      </c>
      <c r="G1542" s="4" t="str">
        <f t="shared" si="134"/>
        <v>5.1d</v>
      </c>
      <c r="H1542" s="4">
        <f t="shared" si="135"/>
        <v>1.5730464337326318E-6</v>
      </c>
      <c r="I1542" s="4">
        <f t="shared" si="136"/>
        <v>0</v>
      </c>
      <c r="J1542" s="4">
        <f t="shared" si="137"/>
        <v>0</v>
      </c>
      <c r="K1542" s="4" t="str">
        <f t="shared" si="138"/>
        <v>Ta183</v>
      </c>
    </row>
    <row r="1543" spans="2:11" hidden="1" x14ac:dyDescent="0.2">
      <c r="B1543" s="4">
        <v>73184</v>
      </c>
      <c r="C1543" s="4">
        <v>0</v>
      </c>
      <c r="D1543">
        <v>0</v>
      </c>
      <c r="E1543" t="str">
        <f>VLOOKUP(B1543,Nuclides!A:F,5,FALSE)</f>
        <v>Ta184</v>
      </c>
      <c r="F1543">
        <f>VLOOKUP(B1543,Nuclides!A:F,4,FALSE)</f>
        <v>31319.999999999902</v>
      </c>
      <c r="G1543" s="4" t="str">
        <f t="shared" si="134"/>
        <v>8.7h</v>
      </c>
      <c r="H1543" s="4">
        <f t="shared" si="135"/>
        <v>2.2131136033203943E-5</v>
      </c>
      <c r="I1543" s="4">
        <f t="shared" si="136"/>
        <v>0</v>
      </c>
      <c r="J1543" s="4">
        <f t="shared" si="137"/>
        <v>0</v>
      </c>
      <c r="K1543" s="4" t="str">
        <f t="shared" si="138"/>
        <v>Ta184</v>
      </c>
    </row>
    <row r="1544" spans="2:11" hidden="1" x14ac:dyDescent="0.2">
      <c r="B1544" s="4">
        <v>73185</v>
      </c>
      <c r="C1544" s="4">
        <v>0</v>
      </c>
      <c r="D1544">
        <v>0</v>
      </c>
      <c r="E1544" t="str">
        <f>VLOOKUP(B1544,Nuclides!A:F,5,FALSE)</f>
        <v>Ta185</v>
      </c>
      <c r="F1544">
        <f>VLOOKUP(B1544,Nuclides!A:F,4,FALSE)</f>
        <v>2964</v>
      </c>
      <c r="G1544" s="4" t="str">
        <f t="shared" si="134"/>
        <v>49.4min</v>
      </c>
      <c r="H1544" s="4">
        <f t="shared" si="135"/>
        <v>2.3385532407555509E-4</v>
      </c>
      <c r="I1544" s="4">
        <f t="shared" si="136"/>
        <v>0</v>
      </c>
      <c r="J1544" s="4">
        <f t="shared" si="137"/>
        <v>0</v>
      </c>
      <c r="K1544" s="4" t="str">
        <f t="shared" si="138"/>
        <v>Ta185</v>
      </c>
    </row>
    <row r="1545" spans="2:11" hidden="1" x14ac:dyDescent="0.2">
      <c r="B1545" s="4">
        <v>73186</v>
      </c>
      <c r="C1545" s="4">
        <v>0</v>
      </c>
      <c r="D1545">
        <v>0</v>
      </c>
      <c r="E1545" t="str">
        <f>VLOOKUP(B1545,Nuclides!A:F,5,FALSE)</f>
        <v>Ta186</v>
      </c>
      <c r="F1545">
        <f>VLOOKUP(B1545,Nuclides!A:F,4,FALSE)</f>
        <v>630</v>
      </c>
      <c r="G1545" s="4" t="str">
        <f t="shared" si="134"/>
        <v>10.5min</v>
      </c>
      <c r="H1545" s="4">
        <f t="shared" si="135"/>
        <v>1.1002336199364211E-3</v>
      </c>
      <c r="I1545" s="4">
        <f t="shared" si="136"/>
        <v>0</v>
      </c>
      <c r="J1545" s="4">
        <f t="shared" si="137"/>
        <v>0</v>
      </c>
      <c r="K1545" s="4" t="str">
        <f t="shared" si="138"/>
        <v>Ta186</v>
      </c>
    </row>
    <row r="1546" spans="2:11" hidden="1" x14ac:dyDescent="0.2">
      <c r="B1546" s="4">
        <v>74158</v>
      </c>
      <c r="C1546" s="4">
        <v>0</v>
      </c>
      <c r="D1546">
        <v>0</v>
      </c>
      <c r="E1546" t="str">
        <f>VLOOKUP(B1546,Nuclides!A:F,5,FALSE)</f>
        <v>W158</v>
      </c>
      <c r="F1546">
        <f>VLOOKUP(B1546,Nuclides!A:F,4,FALSE)</f>
        <v>1.25E-3</v>
      </c>
      <c r="G1546" s="4" t="str">
        <f t="shared" si="134"/>
        <v>0.00125s</v>
      </c>
      <c r="H1546" s="4">
        <f t="shared" si="135"/>
        <v>554.51774444795626</v>
      </c>
      <c r="I1546" s="4">
        <f t="shared" si="136"/>
        <v>0</v>
      </c>
      <c r="J1546" s="4">
        <f t="shared" si="137"/>
        <v>0</v>
      </c>
      <c r="K1546" s="4" t="str">
        <f t="shared" si="138"/>
        <v>W158</v>
      </c>
    </row>
    <row r="1547" spans="2:11" hidden="1" x14ac:dyDescent="0.2">
      <c r="B1547" s="4">
        <v>74159</v>
      </c>
      <c r="C1547" s="4">
        <v>0</v>
      </c>
      <c r="D1547">
        <v>0</v>
      </c>
      <c r="E1547" t="str">
        <f>VLOOKUP(B1547,Nuclides!A:F,5,FALSE)</f>
        <v>W159</v>
      </c>
      <c r="F1547">
        <f>VLOOKUP(B1547,Nuclides!A:F,4,FALSE)</f>
        <v>7.3000000000000001E-3</v>
      </c>
      <c r="G1547" s="4" t="str">
        <f t="shared" si="134"/>
        <v>0.0073s</v>
      </c>
      <c r="H1547" s="4">
        <f t="shared" si="135"/>
        <v>94.951668569855514</v>
      </c>
      <c r="I1547" s="4">
        <f t="shared" si="136"/>
        <v>0</v>
      </c>
      <c r="J1547" s="4">
        <f t="shared" si="137"/>
        <v>0</v>
      </c>
      <c r="K1547" s="4" t="str">
        <f t="shared" si="138"/>
        <v>W159</v>
      </c>
    </row>
    <row r="1548" spans="2:11" hidden="1" x14ac:dyDescent="0.2">
      <c r="B1548" s="4">
        <v>74160</v>
      </c>
      <c r="C1548" s="4">
        <v>0</v>
      </c>
      <c r="D1548">
        <v>0</v>
      </c>
      <c r="E1548" t="str">
        <f>VLOOKUP(B1548,Nuclides!A:F,5,FALSE)</f>
        <v>W160</v>
      </c>
      <c r="F1548">
        <f>VLOOKUP(B1548,Nuclides!A:F,4,FALSE)</f>
        <v>9.0999999999999998E-2</v>
      </c>
      <c r="G1548" s="4" t="str">
        <f t="shared" si="134"/>
        <v>0.091s</v>
      </c>
      <c r="H1548" s="4">
        <f t="shared" si="135"/>
        <v>7.6170019841752232</v>
      </c>
      <c r="I1548" s="4">
        <f t="shared" si="136"/>
        <v>0</v>
      </c>
      <c r="J1548" s="4">
        <f t="shared" si="137"/>
        <v>0</v>
      </c>
      <c r="K1548" s="4" t="str">
        <f t="shared" si="138"/>
        <v>W160</v>
      </c>
    </row>
    <row r="1549" spans="2:11" hidden="1" x14ac:dyDescent="0.2">
      <c r="B1549" s="4">
        <v>74161</v>
      </c>
      <c r="C1549" s="4">
        <v>0</v>
      </c>
      <c r="D1549">
        <v>0</v>
      </c>
      <c r="E1549" t="str">
        <f>VLOOKUP(B1549,Nuclides!A:F,5,FALSE)</f>
        <v>W161</v>
      </c>
      <c r="F1549">
        <f>VLOOKUP(B1549,Nuclides!A:F,4,FALSE)</f>
        <v>0.40899999999999997</v>
      </c>
      <c r="G1549" s="4" t="str">
        <f t="shared" si="134"/>
        <v>0.409s</v>
      </c>
      <c r="H1549" s="4">
        <f t="shared" si="135"/>
        <v>1.6947363827871524</v>
      </c>
      <c r="I1549" s="4">
        <f t="shared" si="136"/>
        <v>0</v>
      </c>
      <c r="J1549" s="4">
        <f t="shared" si="137"/>
        <v>0</v>
      </c>
      <c r="K1549" s="4" t="str">
        <f t="shared" si="138"/>
        <v>W161</v>
      </c>
    </row>
    <row r="1550" spans="2:11" hidden="1" x14ac:dyDescent="0.2">
      <c r="B1550" s="4">
        <v>74162</v>
      </c>
      <c r="C1550" s="4">
        <v>0</v>
      </c>
      <c r="D1550">
        <v>0</v>
      </c>
      <c r="E1550" t="str">
        <f>VLOOKUP(B1550,Nuclides!A:F,5,FALSE)</f>
        <v>W162</v>
      </c>
      <c r="F1550">
        <f>VLOOKUP(B1550,Nuclides!A:F,4,FALSE)</f>
        <v>1.36</v>
      </c>
      <c r="G1550" s="4" t="str">
        <f t="shared" si="134"/>
        <v>1.36s</v>
      </c>
      <c r="H1550" s="4">
        <f t="shared" si="135"/>
        <v>0.5096670445293715</v>
      </c>
      <c r="I1550" s="4">
        <f t="shared" si="136"/>
        <v>0</v>
      </c>
      <c r="J1550" s="4">
        <f t="shared" si="137"/>
        <v>0</v>
      </c>
      <c r="K1550" s="4" t="str">
        <f t="shared" si="138"/>
        <v>W162</v>
      </c>
    </row>
    <row r="1551" spans="2:11" hidden="1" x14ac:dyDescent="0.2">
      <c r="B1551" s="4">
        <v>74163</v>
      </c>
      <c r="C1551" s="4">
        <v>0</v>
      </c>
      <c r="D1551">
        <v>0</v>
      </c>
      <c r="E1551" t="str">
        <f>VLOOKUP(B1551,Nuclides!A:F,5,FALSE)</f>
        <v>W163</v>
      </c>
      <c r="F1551">
        <f>VLOOKUP(B1551,Nuclides!A:F,4,FALSE)</f>
        <v>2.67</v>
      </c>
      <c r="G1551" s="4" t="str">
        <f t="shared" si="134"/>
        <v>2.67s</v>
      </c>
      <c r="H1551" s="4">
        <f t="shared" si="135"/>
        <v>0.25960568560297576</v>
      </c>
      <c r="I1551" s="4">
        <f t="shared" si="136"/>
        <v>0</v>
      </c>
      <c r="J1551" s="4">
        <f t="shared" si="137"/>
        <v>0</v>
      </c>
      <c r="K1551" s="4" t="str">
        <f t="shared" si="138"/>
        <v>W163</v>
      </c>
    </row>
    <row r="1552" spans="2:11" hidden="1" x14ac:dyDescent="0.2">
      <c r="B1552" s="4">
        <v>74164</v>
      </c>
      <c r="C1552" s="4">
        <v>0</v>
      </c>
      <c r="D1552">
        <v>0</v>
      </c>
      <c r="E1552" t="str">
        <f>VLOOKUP(B1552,Nuclides!A:F,5,FALSE)</f>
        <v>W164</v>
      </c>
      <c r="F1552">
        <f>VLOOKUP(B1552,Nuclides!A:F,4,FALSE)</f>
        <v>6.3</v>
      </c>
      <c r="G1552" s="4" t="str">
        <f t="shared" si="134"/>
        <v>6.3s</v>
      </c>
      <c r="H1552" s="4">
        <f t="shared" si="135"/>
        <v>0.11002336199364211</v>
      </c>
      <c r="I1552" s="4">
        <f t="shared" si="136"/>
        <v>0</v>
      </c>
      <c r="J1552" s="4">
        <f t="shared" si="137"/>
        <v>0</v>
      </c>
      <c r="K1552" s="4" t="str">
        <f t="shared" si="138"/>
        <v>W164</v>
      </c>
    </row>
    <row r="1553" spans="2:11" hidden="1" x14ac:dyDescent="0.2">
      <c r="B1553" s="4">
        <v>74165</v>
      </c>
      <c r="C1553" s="4">
        <v>0</v>
      </c>
      <c r="D1553">
        <v>0</v>
      </c>
      <c r="E1553" t="str">
        <f>VLOOKUP(B1553,Nuclides!A:F,5,FALSE)</f>
        <v>W165</v>
      </c>
      <c r="F1553">
        <f>VLOOKUP(B1553,Nuclides!A:F,4,FALSE)</f>
        <v>5.0999999999999996</v>
      </c>
      <c r="G1553" s="4" t="str">
        <f t="shared" si="134"/>
        <v>5.1s</v>
      </c>
      <c r="H1553" s="4">
        <f t="shared" si="135"/>
        <v>0.13591121187449909</v>
      </c>
      <c r="I1553" s="4">
        <f t="shared" si="136"/>
        <v>0</v>
      </c>
      <c r="J1553" s="4">
        <f t="shared" si="137"/>
        <v>0</v>
      </c>
      <c r="K1553" s="4" t="str">
        <f t="shared" si="138"/>
        <v>W165</v>
      </c>
    </row>
    <row r="1554" spans="2:11" hidden="1" x14ac:dyDescent="0.2">
      <c r="B1554" s="4">
        <v>74166</v>
      </c>
      <c r="C1554" s="4">
        <v>0</v>
      </c>
      <c r="D1554">
        <v>0</v>
      </c>
      <c r="E1554" t="str">
        <f>VLOOKUP(B1554,Nuclides!A:F,5,FALSE)</f>
        <v>W166</v>
      </c>
      <c r="F1554">
        <f>VLOOKUP(B1554,Nuclides!A:F,4,FALSE)</f>
        <v>19.2</v>
      </c>
      <c r="G1554" s="4" t="str">
        <f t="shared" si="134"/>
        <v>19.2s</v>
      </c>
      <c r="H1554" s="4">
        <f t="shared" si="135"/>
        <v>3.6101415654163818E-2</v>
      </c>
      <c r="I1554" s="4">
        <f t="shared" si="136"/>
        <v>0</v>
      </c>
      <c r="J1554" s="4">
        <f t="shared" si="137"/>
        <v>0</v>
      </c>
      <c r="K1554" s="4" t="str">
        <f t="shared" si="138"/>
        <v>W166</v>
      </c>
    </row>
    <row r="1555" spans="2:11" hidden="1" x14ac:dyDescent="0.2">
      <c r="B1555" s="4">
        <v>74167</v>
      </c>
      <c r="C1555" s="4">
        <v>0</v>
      </c>
      <c r="D1555">
        <v>0</v>
      </c>
      <c r="E1555" t="str">
        <f>VLOOKUP(B1555,Nuclides!A:F,5,FALSE)</f>
        <v>W167</v>
      </c>
      <c r="F1555">
        <f>VLOOKUP(B1555,Nuclides!A:F,4,FALSE)</f>
        <v>19.899999999999999</v>
      </c>
      <c r="G1555" s="4" t="str">
        <f t="shared" si="134"/>
        <v>19.9s</v>
      </c>
      <c r="H1555" s="4">
        <f t="shared" si="135"/>
        <v>3.4831516611052528E-2</v>
      </c>
      <c r="I1555" s="4">
        <f t="shared" si="136"/>
        <v>0</v>
      </c>
      <c r="J1555" s="4">
        <f t="shared" si="137"/>
        <v>0</v>
      </c>
      <c r="K1555" s="4" t="str">
        <f t="shared" si="138"/>
        <v>W167</v>
      </c>
    </row>
    <row r="1556" spans="2:11" hidden="1" x14ac:dyDescent="0.2">
      <c r="B1556" s="4">
        <v>74168</v>
      </c>
      <c r="C1556" s="4">
        <v>0</v>
      </c>
      <c r="D1556">
        <v>0</v>
      </c>
      <c r="E1556" t="str">
        <f>VLOOKUP(B1556,Nuclides!A:F,5,FALSE)</f>
        <v>W168</v>
      </c>
      <c r="F1556">
        <f>VLOOKUP(B1556,Nuclides!A:F,4,FALSE)</f>
        <v>50.9</v>
      </c>
      <c r="G1556" s="4" t="str">
        <f t="shared" si="134"/>
        <v>50.9s</v>
      </c>
      <c r="H1556" s="4">
        <f t="shared" si="135"/>
        <v>1.361782280078478E-2</v>
      </c>
      <c r="I1556" s="4">
        <f t="shared" si="136"/>
        <v>0</v>
      </c>
      <c r="J1556" s="4">
        <f t="shared" si="137"/>
        <v>0</v>
      </c>
      <c r="K1556" s="4" t="str">
        <f t="shared" si="138"/>
        <v>W168</v>
      </c>
    </row>
    <row r="1557" spans="2:11" hidden="1" x14ac:dyDescent="0.2">
      <c r="B1557" s="4">
        <v>74169</v>
      </c>
      <c r="C1557" s="4">
        <v>0</v>
      </c>
      <c r="D1557">
        <v>0</v>
      </c>
      <c r="E1557" t="str">
        <f>VLOOKUP(B1557,Nuclides!A:F,5,FALSE)</f>
        <v>W169</v>
      </c>
      <c r="F1557">
        <f>VLOOKUP(B1557,Nuclides!A:F,4,FALSE)</f>
        <v>74</v>
      </c>
      <c r="G1557" s="4" t="str">
        <f t="shared" si="134"/>
        <v>1.23min</v>
      </c>
      <c r="H1557" s="4">
        <f t="shared" si="135"/>
        <v>9.3668537913506114E-3</v>
      </c>
      <c r="I1557" s="4">
        <f t="shared" si="136"/>
        <v>0</v>
      </c>
      <c r="J1557" s="4">
        <f t="shared" si="137"/>
        <v>0</v>
      </c>
      <c r="K1557" s="4" t="str">
        <f t="shared" si="138"/>
        <v>W169</v>
      </c>
    </row>
    <row r="1558" spans="2:11" hidden="1" x14ac:dyDescent="0.2">
      <c r="B1558" s="4">
        <v>74170</v>
      </c>
      <c r="C1558" s="4">
        <v>0</v>
      </c>
      <c r="D1558">
        <v>0</v>
      </c>
      <c r="E1558" t="str">
        <f>VLOOKUP(B1558,Nuclides!A:F,5,FALSE)</f>
        <v>W170</v>
      </c>
      <c r="F1558">
        <f>VLOOKUP(B1558,Nuclides!A:F,4,FALSE)</f>
        <v>145.19999999999999</v>
      </c>
      <c r="G1558" s="4" t="str">
        <f t="shared" si="134"/>
        <v>2.42min</v>
      </c>
      <c r="H1558" s="4">
        <f t="shared" si="135"/>
        <v>4.7737409129472823E-3</v>
      </c>
      <c r="I1558" s="4">
        <f t="shared" si="136"/>
        <v>0</v>
      </c>
      <c r="J1558" s="4">
        <f t="shared" si="137"/>
        <v>0</v>
      </c>
      <c r="K1558" s="4" t="str">
        <f t="shared" si="138"/>
        <v>W170</v>
      </c>
    </row>
    <row r="1559" spans="2:11" hidden="1" x14ac:dyDescent="0.2">
      <c r="B1559" s="4">
        <v>74171</v>
      </c>
      <c r="C1559" s="4">
        <v>0</v>
      </c>
      <c r="D1559">
        <v>0</v>
      </c>
      <c r="E1559" t="str">
        <f>VLOOKUP(B1559,Nuclides!A:F,5,FALSE)</f>
        <v>W171</v>
      </c>
      <c r="F1559">
        <f>VLOOKUP(B1559,Nuclides!A:F,4,FALSE)</f>
        <v>142.79999999999899</v>
      </c>
      <c r="G1559" s="4" t="str">
        <f t="shared" si="134"/>
        <v>2.38min</v>
      </c>
      <c r="H1559" s="4">
        <f t="shared" si="135"/>
        <v>4.8539718526607158E-3</v>
      </c>
      <c r="I1559" s="4">
        <f t="shared" si="136"/>
        <v>0</v>
      </c>
      <c r="J1559" s="4">
        <f t="shared" si="137"/>
        <v>0</v>
      </c>
      <c r="K1559" s="4" t="str">
        <f t="shared" si="138"/>
        <v>W171</v>
      </c>
    </row>
    <row r="1560" spans="2:11" hidden="1" x14ac:dyDescent="0.2">
      <c r="B1560" s="4">
        <v>74172</v>
      </c>
      <c r="C1560" s="4">
        <v>0</v>
      </c>
      <c r="D1560">
        <v>0</v>
      </c>
      <c r="E1560" t="str">
        <f>VLOOKUP(B1560,Nuclides!A:F,5,FALSE)</f>
        <v>W172</v>
      </c>
      <c r="F1560">
        <f>VLOOKUP(B1560,Nuclides!A:F,4,FALSE)</f>
        <v>396</v>
      </c>
      <c r="G1560" s="4" t="str">
        <f t="shared" si="134"/>
        <v>6.6min</v>
      </c>
      <c r="H1560" s="4">
        <f t="shared" si="135"/>
        <v>1.7503716680806699E-3</v>
      </c>
      <c r="I1560" s="4">
        <f t="shared" si="136"/>
        <v>0</v>
      </c>
      <c r="J1560" s="4">
        <f t="shared" si="137"/>
        <v>0</v>
      </c>
      <c r="K1560" s="4" t="str">
        <f t="shared" si="138"/>
        <v>W172</v>
      </c>
    </row>
    <row r="1561" spans="2:11" hidden="1" x14ac:dyDescent="0.2">
      <c r="B1561" s="4">
        <v>74173</v>
      </c>
      <c r="C1561" s="4">
        <v>0</v>
      </c>
      <c r="D1561">
        <v>0</v>
      </c>
      <c r="E1561" t="str">
        <f>VLOOKUP(B1561,Nuclides!A:F,5,FALSE)</f>
        <v>W173</v>
      </c>
      <c r="F1561">
        <f>VLOOKUP(B1561,Nuclides!A:F,4,FALSE)</f>
        <v>456</v>
      </c>
      <c r="G1561" s="4" t="str">
        <f t="shared" si="134"/>
        <v>7.6min</v>
      </c>
      <c r="H1561" s="4">
        <f t="shared" si="135"/>
        <v>1.520059606491108E-3</v>
      </c>
      <c r="I1561" s="4">
        <f t="shared" si="136"/>
        <v>0</v>
      </c>
      <c r="J1561" s="4">
        <f t="shared" si="137"/>
        <v>0</v>
      </c>
      <c r="K1561" s="4" t="str">
        <f t="shared" si="138"/>
        <v>W173</v>
      </c>
    </row>
    <row r="1562" spans="2:11" hidden="1" x14ac:dyDescent="0.2">
      <c r="B1562" s="4">
        <v>74174</v>
      </c>
      <c r="C1562" s="4">
        <v>0</v>
      </c>
      <c r="D1562">
        <v>0</v>
      </c>
      <c r="E1562" t="str">
        <f>VLOOKUP(B1562,Nuclides!A:F,5,FALSE)</f>
        <v>W174</v>
      </c>
      <c r="F1562">
        <f>VLOOKUP(B1562,Nuclides!A:F,4,FALSE)</f>
        <v>1992</v>
      </c>
      <c r="G1562" s="4" t="str">
        <f t="shared" si="134"/>
        <v>33.2min</v>
      </c>
      <c r="H1562" s="4">
        <f t="shared" si="135"/>
        <v>3.4796545208832597E-4</v>
      </c>
      <c r="I1562" s="4">
        <f t="shared" si="136"/>
        <v>0</v>
      </c>
      <c r="J1562" s="4">
        <f t="shared" si="137"/>
        <v>0</v>
      </c>
      <c r="K1562" s="4" t="str">
        <f t="shared" si="138"/>
        <v>W174</v>
      </c>
    </row>
    <row r="1563" spans="2:11" hidden="1" x14ac:dyDescent="0.2">
      <c r="B1563" s="4">
        <v>74175</v>
      </c>
      <c r="C1563" s="4">
        <v>0</v>
      </c>
      <c r="D1563">
        <v>0</v>
      </c>
      <c r="E1563" t="str">
        <f>VLOOKUP(B1563,Nuclides!A:F,5,FALSE)</f>
        <v>W175</v>
      </c>
      <c r="F1563">
        <f>VLOOKUP(B1563,Nuclides!A:F,4,FALSE)</f>
        <v>2112</v>
      </c>
      <c r="G1563" s="4" t="str">
        <f t="shared" si="134"/>
        <v>35.2min</v>
      </c>
      <c r="H1563" s="4">
        <f t="shared" si="135"/>
        <v>3.2819468776512564E-4</v>
      </c>
      <c r="I1563" s="4">
        <f t="shared" si="136"/>
        <v>0</v>
      </c>
      <c r="J1563" s="4">
        <f t="shared" si="137"/>
        <v>0</v>
      </c>
      <c r="K1563" s="4" t="str">
        <f t="shared" si="138"/>
        <v>W175</v>
      </c>
    </row>
    <row r="1564" spans="2:11" hidden="1" x14ac:dyDescent="0.2">
      <c r="B1564" s="4">
        <v>74176</v>
      </c>
      <c r="C1564" s="4">
        <v>0</v>
      </c>
      <c r="D1564">
        <v>0</v>
      </c>
      <c r="E1564" t="str">
        <f>VLOOKUP(B1564,Nuclides!A:F,5,FALSE)</f>
        <v>W176</v>
      </c>
      <c r="F1564">
        <f>VLOOKUP(B1564,Nuclides!A:F,4,FALSE)</f>
        <v>9000</v>
      </c>
      <c r="G1564" s="4" t="str">
        <f t="shared" si="134"/>
        <v>2.5h</v>
      </c>
      <c r="H1564" s="4">
        <f t="shared" si="135"/>
        <v>7.7016353395549473E-5</v>
      </c>
      <c r="I1564" s="4">
        <f t="shared" si="136"/>
        <v>0</v>
      </c>
      <c r="J1564" s="4">
        <f t="shared" si="137"/>
        <v>0</v>
      </c>
      <c r="K1564" s="4" t="str">
        <f t="shared" si="138"/>
        <v>W176</v>
      </c>
    </row>
    <row r="1565" spans="2:11" hidden="1" x14ac:dyDescent="0.2">
      <c r="B1565" s="4">
        <v>74177</v>
      </c>
      <c r="C1565" s="4">
        <v>0</v>
      </c>
      <c r="D1565">
        <v>0</v>
      </c>
      <c r="E1565" t="str">
        <f>VLOOKUP(B1565,Nuclides!A:F,5,FALSE)</f>
        <v>W177</v>
      </c>
      <c r="F1565">
        <f>VLOOKUP(B1565,Nuclides!A:F,4,FALSE)</f>
        <v>7920</v>
      </c>
      <c r="G1565" s="4" t="str">
        <f t="shared" si="134"/>
        <v>2.2h</v>
      </c>
      <c r="H1565" s="4">
        <f t="shared" si="135"/>
        <v>8.7518583404033496E-5</v>
      </c>
      <c r="I1565" s="4">
        <f t="shared" si="136"/>
        <v>0</v>
      </c>
      <c r="J1565" s="4">
        <f t="shared" si="137"/>
        <v>0</v>
      </c>
      <c r="K1565" s="4" t="str">
        <f t="shared" si="138"/>
        <v>W177</v>
      </c>
    </row>
    <row r="1566" spans="2:11" hidden="1" x14ac:dyDescent="0.2">
      <c r="B1566" s="4">
        <v>74178</v>
      </c>
      <c r="C1566" s="4">
        <v>0</v>
      </c>
      <c r="D1566">
        <v>0</v>
      </c>
      <c r="E1566" t="str">
        <f>VLOOKUP(B1566,Nuclides!A:F,5,FALSE)</f>
        <v>W178</v>
      </c>
      <c r="F1566">
        <f>VLOOKUP(B1566,Nuclides!A:F,4,FALSE)</f>
        <v>1866240</v>
      </c>
      <c r="G1566" s="4" t="str">
        <f t="shared" si="134"/>
        <v>21.6d</v>
      </c>
      <c r="H1566" s="4">
        <f t="shared" si="135"/>
        <v>3.7141374129798167E-7</v>
      </c>
      <c r="I1566" s="4">
        <f t="shared" si="136"/>
        <v>0</v>
      </c>
      <c r="J1566" s="4">
        <f t="shared" si="137"/>
        <v>0</v>
      </c>
      <c r="K1566" s="4" t="str">
        <f t="shared" si="138"/>
        <v>W178</v>
      </c>
    </row>
    <row r="1567" spans="2:11" hidden="1" x14ac:dyDescent="0.2">
      <c r="B1567" s="4">
        <v>74179</v>
      </c>
      <c r="C1567" s="4">
        <v>0</v>
      </c>
      <c r="D1567">
        <v>0</v>
      </c>
      <c r="E1567" t="str">
        <f>VLOOKUP(B1567,Nuclides!A:F,5,FALSE)</f>
        <v>W179</v>
      </c>
      <c r="F1567">
        <f>VLOOKUP(B1567,Nuclides!A:F,4,FALSE)</f>
        <v>2223</v>
      </c>
      <c r="G1567" s="4" t="str">
        <f t="shared" si="134"/>
        <v>37.05min</v>
      </c>
      <c r="H1567" s="4">
        <f t="shared" si="135"/>
        <v>3.1180709876740679E-4</v>
      </c>
      <c r="I1567" s="4">
        <f t="shared" si="136"/>
        <v>0</v>
      </c>
      <c r="J1567" s="4">
        <f t="shared" si="137"/>
        <v>0</v>
      </c>
      <c r="K1567" s="4" t="str">
        <f t="shared" si="138"/>
        <v>W179</v>
      </c>
    </row>
    <row r="1568" spans="2:11" hidden="1" x14ac:dyDescent="0.2">
      <c r="B1568" s="4">
        <v>74180</v>
      </c>
      <c r="C1568" s="4">
        <v>2.0000000000000001E-9</v>
      </c>
      <c r="D1568">
        <v>0.70709999999999995</v>
      </c>
      <c r="E1568" t="str">
        <f>VLOOKUP(B1568,Nuclides!A:F,5,FALSE)</f>
        <v>W180</v>
      </c>
      <c r="F1568">
        <f>VLOOKUP(B1568,Nuclides!A:F,4,FALSE)</f>
        <v>2.0828016E+25</v>
      </c>
      <c r="G1568" s="4" t="str">
        <f t="shared" si="134"/>
        <v>660452054794521000y</v>
      </c>
      <c r="H1568" s="4">
        <f t="shared" si="135"/>
        <v>3.3279558675197163E-26</v>
      </c>
      <c r="I1568" s="4">
        <f t="shared" si="136"/>
        <v>0</v>
      </c>
      <c r="J1568" s="4">
        <f t="shared" si="137"/>
        <v>0</v>
      </c>
      <c r="K1568" s="4" t="str">
        <f t="shared" si="138"/>
        <v>W180</v>
      </c>
    </row>
    <row r="1569" spans="2:17" hidden="1" x14ac:dyDescent="0.2">
      <c r="B1569" s="4">
        <v>74181</v>
      </c>
      <c r="C1569" s="4">
        <v>0</v>
      </c>
      <c r="D1569">
        <v>0</v>
      </c>
      <c r="E1569" t="str">
        <f>VLOOKUP(B1569,Nuclides!A:F,5,FALSE)</f>
        <v>W181</v>
      </c>
      <c r="F1569">
        <f>VLOOKUP(B1569,Nuclides!A:F,4,FALSE)</f>
        <v>10471680</v>
      </c>
      <c r="G1569" s="4" t="str">
        <f t="shared" si="134"/>
        <v>121.2d</v>
      </c>
      <c r="H1569" s="4">
        <f t="shared" si="135"/>
        <v>6.6192547954095742E-8</v>
      </c>
      <c r="I1569" s="4">
        <f t="shared" si="136"/>
        <v>0</v>
      </c>
      <c r="J1569" s="4">
        <f t="shared" si="137"/>
        <v>0</v>
      </c>
      <c r="K1569" s="4" t="str">
        <f t="shared" si="138"/>
        <v>W181</v>
      </c>
    </row>
    <row r="1570" spans="2:17" hidden="1" x14ac:dyDescent="0.2">
      <c r="B1570" s="4">
        <v>74182</v>
      </c>
      <c r="C1570" s="4">
        <v>3.65E-7</v>
      </c>
      <c r="D1570">
        <v>5.2299999999999999E-2</v>
      </c>
      <c r="E1570" t="str">
        <f>VLOOKUP(B1570,Nuclides!A:F,5,FALSE)</f>
        <v>W182</v>
      </c>
      <c r="F1570" t="str">
        <f>VLOOKUP(B1570,Nuclides!A:F,4,FALSE)</f>
        <v>STABLE</v>
      </c>
      <c r="G1570" s="4" t="str">
        <f t="shared" si="134"/>
        <v>STABLE</v>
      </c>
      <c r="H1570" s="4" t="e">
        <f t="shared" si="135"/>
        <v>#VALUE!</v>
      </c>
      <c r="I1570" s="4" t="e">
        <f t="shared" si="136"/>
        <v>#VALUE!</v>
      </c>
      <c r="J1570" s="4" t="e">
        <f t="shared" si="137"/>
        <v>#VALUE!</v>
      </c>
      <c r="K1570" s="4" t="str">
        <f t="shared" si="138"/>
        <v>W182</v>
      </c>
    </row>
    <row r="1571" spans="2:17" hidden="1" x14ac:dyDescent="0.2">
      <c r="B1571" s="4">
        <v>74183</v>
      </c>
      <c r="C1571" s="4">
        <v>2.03E-7</v>
      </c>
      <c r="D1571">
        <v>7.0199999999999999E-2</v>
      </c>
      <c r="E1571" t="str">
        <f>VLOOKUP(B1571,Nuclides!A:F,5,FALSE)</f>
        <v>W183</v>
      </c>
      <c r="F1571">
        <f>VLOOKUP(B1571,Nuclides!A:F,4,FALSE)</f>
        <v>2.1143592000000001E+28</v>
      </c>
      <c r="G1571" s="4" t="str">
        <f t="shared" si="134"/>
        <v>6.70458904109589E+20y</v>
      </c>
      <c r="H1571" s="4">
        <f t="shared" si="135"/>
        <v>3.278284884422407E-29</v>
      </c>
      <c r="I1571" s="4">
        <f t="shared" si="136"/>
        <v>0</v>
      </c>
      <c r="J1571" s="4">
        <f t="shared" si="137"/>
        <v>0</v>
      </c>
      <c r="K1571" s="4" t="str">
        <f t="shared" si="138"/>
        <v>W183</v>
      </c>
    </row>
    <row r="1572" spans="2:17" hidden="1" x14ac:dyDescent="0.2">
      <c r="B1572" s="4">
        <v>74184</v>
      </c>
      <c r="C1572" s="4">
        <v>4.0900000000000002E-7</v>
      </c>
      <c r="D1572">
        <v>4.9399999999999999E-2</v>
      </c>
      <c r="E1572" t="str">
        <f>VLOOKUP(B1572,Nuclides!A:F,5,FALSE)</f>
        <v>W184</v>
      </c>
      <c r="F1572" t="str">
        <f>VLOOKUP(B1572,Nuclides!A:F,4,FALSE)</f>
        <v>STABLE</v>
      </c>
      <c r="G1572" s="4" t="str">
        <f t="shared" si="134"/>
        <v>STABLE</v>
      </c>
      <c r="H1572" s="4" t="e">
        <f t="shared" si="135"/>
        <v>#VALUE!</v>
      </c>
      <c r="I1572" s="4" t="e">
        <f t="shared" si="136"/>
        <v>#VALUE!</v>
      </c>
      <c r="J1572" s="4" t="e">
        <f t="shared" si="137"/>
        <v>#VALUE!</v>
      </c>
      <c r="K1572" s="4" t="str">
        <f t="shared" si="138"/>
        <v>W184</v>
      </c>
    </row>
    <row r="1573" spans="2:17" x14ac:dyDescent="0.2">
      <c r="B1573" s="4">
        <v>74185</v>
      </c>
      <c r="C1573" s="4">
        <v>1.0000000000000001E-9</v>
      </c>
      <c r="D1573">
        <v>1</v>
      </c>
      <c r="E1573" t="str">
        <f>VLOOKUP(B1573,Nuclides!A:F,5,FALSE)</f>
        <v>W185</v>
      </c>
      <c r="F1573">
        <f>VLOOKUP(B1573,Nuclides!A:F,4,FALSE)</f>
        <v>6488639.9999999898</v>
      </c>
      <c r="G1573" s="4" t="str">
        <f t="shared" si="134"/>
        <v>75.1d</v>
      </c>
      <c r="H1573" s="4">
        <f t="shared" si="135"/>
        <v>1.0682472452778185E-7</v>
      </c>
      <c r="I1573" s="4">
        <f t="shared" si="136"/>
        <v>287.85455928207995</v>
      </c>
      <c r="J1573" s="4">
        <f>I1573*EXP(-H1573*0.5*3600)</f>
        <v>287.79921463201089</v>
      </c>
      <c r="K1573" s="4" t="str">
        <f t="shared" si="138"/>
        <v>W185</v>
      </c>
      <c r="L1573" s="4">
        <f>J1573</f>
        <v>287.79921463201089</v>
      </c>
      <c r="M1573">
        <v>0</v>
      </c>
      <c r="O1573" s="4" t="str">
        <f>K1573</f>
        <v>W185</v>
      </c>
      <c r="P1573" s="4" t="str">
        <f>G1573</f>
        <v>75.1d</v>
      </c>
      <c r="Q1573" s="4">
        <f>J1573</f>
        <v>287.79921463201089</v>
      </c>
    </row>
    <row r="1574" spans="2:17" hidden="1" x14ac:dyDescent="0.2">
      <c r="B1574" s="4">
        <v>74186</v>
      </c>
      <c r="C1574" s="4">
        <v>3.5199999999999998E-7</v>
      </c>
      <c r="D1574">
        <v>5.33E-2</v>
      </c>
      <c r="E1574" t="str">
        <f>VLOOKUP(B1574,Nuclides!A:F,5,FALSE)</f>
        <v>W186</v>
      </c>
      <c r="F1574">
        <f>VLOOKUP(B1574,Nuclides!A:F,4,FALSE)</f>
        <v>7.2582479999999996E+26</v>
      </c>
      <c r="G1574" s="4" t="str">
        <f t="shared" si="134"/>
        <v>23015753424657500000y</v>
      </c>
      <c r="H1574" s="4">
        <f t="shared" si="135"/>
        <v>9.5497864024478821E-28</v>
      </c>
      <c r="I1574" s="4">
        <f t="shared" si="136"/>
        <v>0</v>
      </c>
      <c r="J1574" s="4">
        <f t="shared" si="137"/>
        <v>0</v>
      </c>
      <c r="K1574" s="4" t="str">
        <f t="shared" si="138"/>
        <v>W186</v>
      </c>
    </row>
    <row r="1575" spans="2:17" x14ac:dyDescent="0.2">
      <c r="B1575" s="4">
        <v>74187</v>
      </c>
      <c r="C1575" s="4">
        <v>1.0000000000000001E-9</v>
      </c>
      <c r="D1575">
        <v>1</v>
      </c>
      <c r="E1575" t="str">
        <f>VLOOKUP(B1575,Nuclides!A:F,5,FALSE)</f>
        <v>W187</v>
      </c>
      <c r="F1575">
        <f>VLOOKUP(B1575,Nuclides!A:F,4,FALSE)</f>
        <v>86400</v>
      </c>
      <c r="G1575" s="4" t="str">
        <f t="shared" si="134"/>
        <v>1d</v>
      </c>
      <c r="H1575" s="4">
        <f t="shared" si="135"/>
        <v>8.0225368120364038E-6</v>
      </c>
      <c r="I1575" s="4">
        <f t="shared" si="136"/>
        <v>21013.457331973943</v>
      </c>
      <c r="J1575" s="4">
        <f>I1575*EXP(-H1575*0.5*3600)</f>
        <v>20712.191568322538</v>
      </c>
      <c r="K1575" s="4" t="str">
        <f t="shared" si="138"/>
        <v>W187</v>
      </c>
      <c r="L1575" s="4">
        <f>J1575</f>
        <v>20712.191568322538</v>
      </c>
      <c r="M1575">
        <v>0</v>
      </c>
      <c r="O1575" s="4" t="str">
        <f>K1575</f>
        <v>W187</v>
      </c>
      <c r="P1575" s="4" t="str">
        <f>G1575</f>
        <v>1d</v>
      </c>
      <c r="Q1575" s="4">
        <f>J1575</f>
        <v>20712.191568322538</v>
      </c>
    </row>
    <row r="1576" spans="2:17" hidden="1" x14ac:dyDescent="0.2">
      <c r="B1576" s="4">
        <v>74188</v>
      </c>
      <c r="C1576" s="4">
        <v>0</v>
      </c>
      <c r="D1576">
        <v>0</v>
      </c>
      <c r="E1576" t="str">
        <f>VLOOKUP(B1576,Nuclides!A:F,5,FALSE)</f>
        <v>W188</v>
      </c>
      <c r="F1576">
        <f>VLOOKUP(B1576,Nuclides!A:F,4,FALSE)</f>
        <v>6028992</v>
      </c>
      <c r="G1576" s="4" t="str">
        <f t="shared" si="134"/>
        <v>69.78d</v>
      </c>
      <c r="H1576" s="4">
        <f t="shared" si="135"/>
        <v>1.1496899988587567E-7</v>
      </c>
      <c r="I1576" s="4">
        <f t="shared" si="136"/>
        <v>0</v>
      </c>
      <c r="J1576" s="4">
        <f t="shared" si="137"/>
        <v>0</v>
      </c>
      <c r="K1576" s="4" t="str">
        <f t="shared" si="138"/>
        <v>W188</v>
      </c>
    </row>
    <row r="1577" spans="2:17" hidden="1" x14ac:dyDescent="0.2">
      <c r="B1577" s="4">
        <v>74189</v>
      </c>
      <c r="C1577" s="4">
        <v>0</v>
      </c>
      <c r="D1577">
        <v>0</v>
      </c>
      <c r="E1577" t="str">
        <f>VLOOKUP(B1577,Nuclides!A:F,5,FALSE)</f>
        <v>W189</v>
      </c>
      <c r="F1577">
        <f>VLOOKUP(B1577,Nuclides!A:F,4,FALSE)</f>
        <v>642</v>
      </c>
      <c r="G1577" s="4" t="str">
        <f t="shared" si="134"/>
        <v>10.7min</v>
      </c>
      <c r="H1577" s="4">
        <f t="shared" si="135"/>
        <v>1.079668505545086E-3</v>
      </c>
      <c r="I1577" s="4">
        <f t="shared" si="136"/>
        <v>0</v>
      </c>
      <c r="J1577" s="4">
        <f t="shared" si="137"/>
        <v>0</v>
      </c>
      <c r="K1577" s="4" t="str">
        <f t="shared" si="138"/>
        <v>W189</v>
      </c>
    </row>
    <row r="1578" spans="2:17" hidden="1" x14ac:dyDescent="0.2">
      <c r="B1578" s="4">
        <v>74190</v>
      </c>
      <c r="C1578" s="4">
        <v>0</v>
      </c>
      <c r="D1578">
        <v>0</v>
      </c>
      <c r="E1578" t="str">
        <f>VLOOKUP(B1578,Nuclides!A:F,5,FALSE)</f>
        <v>W190</v>
      </c>
      <c r="F1578">
        <f>VLOOKUP(B1578,Nuclides!A:F,4,FALSE)</f>
        <v>1800</v>
      </c>
      <c r="G1578" s="4" t="str">
        <f t="shared" si="134"/>
        <v>30min</v>
      </c>
      <c r="H1578" s="4">
        <f t="shared" si="135"/>
        <v>3.8508176697774738E-4</v>
      </c>
      <c r="I1578" s="4">
        <f t="shared" si="136"/>
        <v>0</v>
      </c>
      <c r="J1578" s="4">
        <f t="shared" si="137"/>
        <v>0</v>
      </c>
      <c r="K1578" s="4" t="str">
        <f t="shared" si="138"/>
        <v>W190</v>
      </c>
    </row>
    <row r="1579" spans="2:17" hidden="1" x14ac:dyDescent="0.2">
      <c r="B1579" s="4">
        <v>75161</v>
      </c>
      <c r="C1579" s="4">
        <v>0</v>
      </c>
      <c r="D1579">
        <v>0</v>
      </c>
      <c r="E1579" t="str">
        <f>VLOOKUP(B1579,Nuclides!A:F,5,FALSE)</f>
        <v>Re161</v>
      </c>
      <c r="F1579">
        <f>VLOOKUP(B1579,Nuclides!A:F,4,FALSE)</f>
        <v>4.4000000000000002E-4</v>
      </c>
      <c r="G1579" s="4" t="str">
        <f t="shared" si="134"/>
        <v>0.00044s</v>
      </c>
      <c r="H1579" s="4">
        <f t="shared" si="135"/>
        <v>1575.3345012726029</v>
      </c>
      <c r="I1579" s="4">
        <f t="shared" si="136"/>
        <v>0</v>
      </c>
      <c r="J1579" s="4">
        <f t="shared" si="137"/>
        <v>0</v>
      </c>
      <c r="K1579" s="4" t="str">
        <f t="shared" si="138"/>
        <v>Re161</v>
      </c>
    </row>
    <row r="1580" spans="2:17" hidden="1" x14ac:dyDescent="0.2">
      <c r="B1580" s="4">
        <v>75162</v>
      </c>
      <c r="C1580" s="4">
        <v>0</v>
      </c>
      <c r="D1580">
        <v>0</v>
      </c>
      <c r="E1580" t="str">
        <f>VLOOKUP(B1580,Nuclides!A:F,5,FALSE)</f>
        <v>Re162</v>
      </c>
      <c r="F1580">
        <f>VLOOKUP(B1580,Nuclides!A:F,4,FALSE)</f>
        <v>0.107</v>
      </c>
      <c r="G1580" s="4" t="str">
        <f t="shared" si="134"/>
        <v>0.107s</v>
      </c>
      <c r="H1580" s="4">
        <f t="shared" si="135"/>
        <v>6.4780110332705165</v>
      </c>
      <c r="I1580" s="4">
        <f t="shared" si="136"/>
        <v>0</v>
      </c>
      <c r="J1580" s="4">
        <f t="shared" si="137"/>
        <v>0</v>
      </c>
      <c r="K1580" s="4" t="str">
        <f t="shared" si="138"/>
        <v>Re162</v>
      </c>
    </row>
    <row r="1581" spans="2:17" hidden="1" x14ac:dyDescent="0.2">
      <c r="B1581" s="4">
        <v>75163</v>
      </c>
      <c r="C1581" s="4">
        <v>0</v>
      </c>
      <c r="D1581">
        <v>0</v>
      </c>
      <c r="E1581" t="str">
        <f>VLOOKUP(B1581,Nuclides!A:F,5,FALSE)</f>
        <v>Re163</v>
      </c>
      <c r="F1581">
        <f>VLOOKUP(B1581,Nuclides!A:F,4,FALSE)</f>
        <v>0.39</v>
      </c>
      <c r="G1581" s="4" t="str">
        <f t="shared" si="134"/>
        <v>0.39s</v>
      </c>
      <c r="H1581" s="4">
        <f t="shared" si="135"/>
        <v>1.7773004629742186</v>
      </c>
      <c r="I1581" s="4">
        <f t="shared" si="136"/>
        <v>0</v>
      </c>
      <c r="J1581" s="4">
        <f t="shared" si="137"/>
        <v>0</v>
      </c>
      <c r="K1581" s="4" t="str">
        <f t="shared" si="138"/>
        <v>Re163</v>
      </c>
    </row>
    <row r="1582" spans="2:17" hidden="1" x14ac:dyDescent="0.2">
      <c r="B1582" s="4">
        <v>75164</v>
      </c>
      <c r="C1582" s="4">
        <v>0</v>
      </c>
      <c r="D1582">
        <v>0</v>
      </c>
      <c r="E1582" t="str">
        <f>VLOOKUP(B1582,Nuclides!A:F,5,FALSE)</f>
        <v>Re164</v>
      </c>
      <c r="F1582">
        <f>VLOOKUP(B1582,Nuclides!A:F,4,FALSE)</f>
        <v>0.85</v>
      </c>
      <c r="G1582" s="4" t="str">
        <f t="shared" si="134"/>
        <v>0.85s</v>
      </c>
      <c r="H1582" s="4">
        <f t="shared" si="135"/>
        <v>0.81546727124699447</v>
      </c>
      <c r="I1582" s="4">
        <f t="shared" si="136"/>
        <v>0</v>
      </c>
      <c r="J1582" s="4">
        <f t="shared" si="137"/>
        <v>0</v>
      </c>
      <c r="K1582" s="4" t="str">
        <f t="shared" si="138"/>
        <v>Re164</v>
      </c>
    </row>
    <row r="1583" spans="2:17" hidden="1" x14ac:dyDescent="0.2">
      <c r="B1583" s="4">
        <v>75165</v>
      </c>
      <c r="C1583" s="4">
        <v>0</v>
      </c>
      <c r="D1583">
        <v>0</v>
      </c>
      <c r="E1583" t="str">
        <f>VLOOKUP(B1583,Nuclides!A:F,5,FALSE)</f>
        <v>Re165</v>
      </c>
      <c r="F1583">
        <f>VLOOKUP(B1583,Nuclides!A:F,4,FALSE)</f>
        <v>1.6</v>
      </c>
      <c r="G1583" s="4" t="str">
        <f t="shared" si="134"/>
        <v>1.6s</v>
      </c>
      <c r="H1583" s="4">
        <f t="shared" si="135"/>
        <v>0.43321698784996576</v>
      </c>
      <c r="I1583" s="4">
        <f t="shared" si="136"/>
        <v>0</v>
      </c>
      <c r="J1583" s="4">
        <f t="shared" si="137"/>
        <v>0</v>
      </c>
      <c r="K1583" s="4" t="str">
        <f t="shared" si="138"/>
        <v>Re165</v>
      </c>
    </row>
    <row r="1584" spans="2:17" hidden="1" x14ac:dyDescent="0.2">
      <c r="B1584" s="4">
        <v>75166</v>
      </c>
      <c r="C1584" s="4">
        <v>0</v>
      </c>
      <c r="D1584">
        <v>0</v>
      </c>
      <c r="E1584" t="str">
        <f>VLOOKUP(B1584,Nuclides!A:F,5,FALSE)</f>
        <v>Re166</v>
      </c>
      <c r="F1584">
        <f>VLOOKUP(B1584,Nuclides!A:F,4,FALSE)</f>
        <v>2.25</v>
      </c>
      <c r="G1584" s="4" t="str">
        <f t="shared" si="134"/>
        <v>2.25s</v>
      </c>
      <c r="H1584" s="4">
        <f t="shared" si="135"/>
        <v>0.30806541358219791</v>
      </c>
      <c r="I1584" s="4">
        <f t="shared" si="136"/>
        <v>0</v>
      </c>
      <c r="J1584" s="4">
        <f t="shared" si="137"/>
        <v>0</v>
      </c>
      <c r="K1584" s="4" t="str">
        <f t="shared" si="138"/>
        <v>Re166</v>
      </c>
    </row>
    <row r="1585" spans="2:17" hidden="1" x14ac:dyDescent="0.2">
      <c r="B1585" s="4">
        <v>75167</v>
      </c>
      <c r="C1585" s="4">
        <v>0</v>
      </c>
      <c r="D1585">
        <v>0</v>
      </c>
      <c r="E1585" t="str">
        <f>VLOOKUP(B1585,Nuclides!A:F,5,FALSE)</f>
        <v>Re167</v>
      </c>
      <c r="F1585">
        <f>VLOOKUP(B1585,Nuclides!A:F,4,FALSE)</f>
        <v>5.9</v>
      </c>
      <c r="G1585" s="4" t="str">
        <f t="shared" si="134"/>
        <v>5.9s</v>
      </c>
      <c r="H1585" s="4">
        <f t="shared" si="135"/>
        <v>0.11748257297626191</v>
      </c>
      <c r="I1585" s="4">
        <f t="shared" si="136"/>
        <v>0</v>
      </c>
      <c r="J1585" s="4">
        <f t="shared" si="137"/>
        <v>0</v>
      </c>
      <c r="K1585" s="4" t="str">
        <f t="shared" si="138"/>
        <v>Re167</v>
      </c>
    </row>
    <row r="1586" spans="2:17" hidden="1" x14ac:dyDescent="0.2">
      <c r="B1586" s="4">
        <v>75168</v>
      </c>
      <c r="C1586" s="4">
        <v>0</v>
      </c>
      <c r="D1586">
        <v>0</v>
      </c>
      <c r="E1586" t="str">
        <f>VLOOKUP(B1586,Nuclides!A:F,5,FALSE)</f>
        <v>Re168</v>
      </c>
      <c r="F1586">
        <f>VLOOKUP(B1586,Nuclides!A:F,4,FALSE)</f>
        <v>4.4000000000000004</v>
      </c>
      <c r="G1586" s="4" t="str">
        <f t="shared" si="134"/>
        <v>4.4s</v>
      </c>
      <c r="H1586" s="4">
        <f t="shared" si="135"/>
        <v>0.15753345012726028</v>
      </c>
      <c r="I1586" s="4">
        <f t="shared" si="136"/>
        <v>0</v>
      </c>
      <c r="J1586" s="4">
        <f t="shared" si="137"/>
        <v>0</v>
      </c>
      <c r="K1586" s="4" t="str">
        <f t="shared" si="138"/>
        <v>Re168</v>
      </c>
    </row>
    <row r="1587" spans="2:17" hidden="1" x14ac:dyDescent="0.2">
      <c r="B1587" s="4">
        <v>75169</v>
      </c>
      <c r="C1587" s="4">
        <v>0</v>
      </c>
      <c r="D1587">
        <v>0</v>
      </c>
      <c r="E1587" t="str">
        <f>VLOOKUP(B1587,Nuclides!A:F,5,FALSE)</f>
        <v>Re169</v>
      </c>
      <c r="F1587">
        <f>VLOOKUP(B1587,Nuclides!A:F,4,FALSE)</f>
        <v>8.1</v>
      </c>
      <c r="G1587" s="4" t="str">
        <f t="shared" si="134"/>
        <v>8.1s</v>
      </c>
      <c r="H1587" s="4">
        <f t="shared" si="135"/>
        <v>8.5573725995054972E-2</v>
      </c>
      <c r="I1587" s="4">
        <f t="shared" si="136"/>
        <v>0</v>
      </c>
      <c r="J1587" s="4">
        <f t="shared" si="137"/>
        <v>0</v>
      </c>
      <c r="K1587" s="4" t="str">
        <f t="shared" si="138"/>
        <v>Re169</v>
      </c>
    </row>
    <row r="1588" spans="2:17" hidden="1" x14ac:dyDescent="0.2">
      <c r="B1588" s="4">
        <v>75170</v>
      </c>
      <c r="C1588" s="4">
        <v>0</v>
      </c>
      <c r="D1588">
        <v>0</v>
      </c>
      <c r="E1588" t="str">
        <f>VLOOKUP(B1588,Nuclides!A:F,5,FALSE)</f>
        <v>Re170</v>
      </c>
      <c r="F1588">
        <f>VLOOKUP(B1588,Nuclides!A:F,4,FALSE)</f>
        <v>9.1999999999999993</v>
      </c>
      <c r="G1588" s="4" t="str">
        <f t="shared" si="134"/>
        <v>9.2s</v>
      </c>
      <c r="H1588" s="4">
        <f t="shared" si="135"/>
        <v>7.5342084843472323E-2</v>
      </c>
      <c r="I1588" s="4">
        <f t="shared" si="136"/>
        <v>0</v>
      </c>
      <c r="J1588" s="4">
        <f t="shared" si="137"/>
        <v>0</v>
      </c>
      <c r="K1588" s="4" t="str">
        <f t="shared" si="138"/>
        <v>Re170</v>
      </c>
    </row>
    <row r="1589" spans="2:17" hidden="1" x14ac:dyDescent="0.2">
      <c r="B1589" s="4">
        <v>75171</v>
      </c>
      <c r="C1589" s="4">
        <v>0</v>
      </c>
      <c r="D1589">
        <v>0</v>
      </c>
      <c r="E1589" t="str">
        <f>VLOOKUP(B1589,Nuclides!A:F,5,FALSE)</f>
        <v>Re171</v>
      </c>
      <c r="F1589">
        <f>VLOOKUP(B1589,Nuclides!A:F,4,FALSE)</f>
        <v>15.2</v>
      </c>
      <c r="G1589" s="4" t="str">
        <f t="shared" si="134"/>
        <v>15.2s</v>
      </c>
      <c r="H1589" s="4">
        <f t="shared" si="135"/>
        <v>4.5601788194733248E-2</v>
      </c>
      <c r="I1589" s="4">
        <f t="shared" si="136"/>
        <v>0</v>
      </c>
      <c r="J1589" s="4">
        <f t="shared" si="137"/>
        <v>0</v>
      </c>
      <c r="K1589" s="4" t="str">
        <f t="shared" si="138"/>
        <v>Re171</v>
      </c>
    </row>
    <row r="1590" spans="2:17" hidden="1" x14ac:dyDescent="0.2">
      <c r="B1590" s="4">
        <v>75172</v>
      </c>
      <c r="C1590" s="4">
        <v>0</v>
      </c>
      <c r="D1590">
        <v>0</v>
      </c>
      <c r="E1590" t="str">
        <f>VLOOKUP(B1590,Nuclides!A:F,5,FALSE)</f>
        <v>Re172</v>
      </c>
      <c r="F1590">
        <f>VLOOKUP(B1590,Nuclides!A:F,4,FALSE)</f>
        <v>55</v>
      </c>
      <c r="G1590" s="4" t="str">
        <f t="shared" si="134"/>
        <v>55s</v>
      </c>
      <c r="H1590" s="4">
        <f t="shared" si="135"/>
        <v>1.2602676010180823E-2</v>
      </c>
      <c r="I1590" s="4">
        <f t="shared" si="136"/>
        <v>0</v>
      </c>
      <c r="J1590" s="4">
        <f t="shared" si="137"/>
        <v>0</v>
      </c>
      <c r="K1590" s="4" t="str">
        <f t="shared" si="138"/>
        <v>Re172</v>
      </c>
    </row>
    <row r="1591" spans="2:17" hidden="1" x14ac:dyDescent="0.2">
      <c r="B1591" s="4">
        <v>75173</v>
      </c>
      <c r="C1591" s="4">
        <v>0</v>
      </c>
      <c r="D1591">
        <v>0</v>
      </c>
      <c r="E1591" t="str">
        <f>VLOOKUP(B1591,Nuclides!A:F,5,FALSE)</f>
        <v>Re173</v>
      </c>
      <c r="F1591">
        <f>VLOOKUP(B1591,Nuclides!A:F,4,FALSE)</f>
        <v>118.8</v>
      </c>
      <c r="G1591" s="4" t="str">
        <f t="shared" si="134"/>
        <v>1.98min</v>
      </c>
      <c r="H1591" s="4">
        <f t="shared" si="135"/>
        <v>5.8345722269355664E-3</v>
      </c>
      <c r="I1591" s="4">
        <f t="shared" si="136"/>
        <v>0</v>
      </c>
      <c r="J1591" s="4">
        <f t="shared" si="137"/>
        <v>0</v>
      </c>
      <c r="K1591" s="4" t="str">
        <f t="shared" si="138"/>
        <v>Re173</v>
      </c>
    </row>
    <row r="1592" spans="2:17" hidden="1" x14ac:dyDescent="0.2">
      <c r="B1592" s="4">
        <v>75174</v>
      </c>
      <c r="C1592" s="4">
        <v>0</v>
      </c>
      <c r="D1592">
        <v>0</v>
      </c>
      <c r="E1592" t="str">
        <f>VLOOKUP(B1592,Nuclides!A:F,5,FALSE)</f>
        <v>Re174</v>
      </c>
      <c r="F1592">
        <f>VLOOKUP(B1592,Nuclides!A:F,4,FALSE)</f>
        <v>144</v>
      </c>
      <c r="G1592" s="4" t="str">
        <f t="shared" si="134"/>
        <v>2.4min</v>
      </c>
      <c r="H1592" s="4">
        <f t="shared" si="135"/>
        <v>4.8135220872218424E-3</v>
      </c>
      <c r="I1592" s="4">
        <f t="shared" si="136"/>
        <v>0</v>
      </c>
      <c r="J1592" s="4">
        <f t="shared" si="137"/>
        <v>0</v>
      </c>
      <c r="K1592" s="4" t="str">
        <f t="shared" si="138"/>
        <v>Re174</v>
      </c>
    </row>
    <row r="1593" spans="2:17" hidden="1" x14ac:dyDescent="0.2">
      <c r="B1593" s="4">
        <v>75175</v>
      </c>
      <c r="C1593" s="4">
        <v>0</v>
      </c>
      <c r="D1593">
        <v>0</v>
      </c>
      <c r="E1593" t="str">
        <f>VLOOKUP(B1593,Nuclides!A:F,5,FALSE)</f>
        <v>Re175</v>
      </c>
      <c r="F1593">
        <f>VLOOKUP(B1593,Nuclides!A:F,4,FALSE)</f>
        <v>353.4</v>
      </c>
      <c r="G1593" s="4" t="str">
        <f t="shared" si="134"/>
        <v>5.89min</v>
      </c>
      <c r="H1593" s="4">
        <f t="shared" si="135"/>
        <v>1.9613672341820751E-3</v>
      </c>
      <c r="I1593" s="4">
        <f t="shared" si="136"/>
        <v>0</v>
      </c>
      <c r="J1593" s="4">
        <f t="shared" si="137"/>
        <v>0</v>
      </c>
      <c r="K1593" s="4" t="str">
        <f t="shared" si="138"/>
        <v>Re175</v>
      </c>
    </row>
    <row r="1594" spans="2:17" hidden="1" x14ac:dyDescent="0.2">
      <c r="B1594" s="4">
        <v>75176</v>
      </c>
      <c r="C1594" s="4">
        <v>0</v>
      </c>
      <c r="D1594">
        <v>0</v>
      </c>
      <c r="E1594" t="str">
        <f>VLOOKUP(B1594,Nuclides!A:F,5,FALSE)</f>
        <v>Re176</v>
      </c>
      <c r="F1594">
        <f>VLOOKUP(B1594,Nuclides!A:F,4,FALSE)</f>
        <v>318</v>
      </c>
      <c r="G1594" s="4" t="str">
        <f t="shared" si="134"/>
        <v>5.3min</v>
      </c>
      <c r="H1594" s="4">
        <f t="shared" si="135"/>
        <v>2.1797081149683814E-3</v>
      </c>
      <c r="I1594" s="4">
        <f t="shared" si="136"/>
        <v>0</v>
      </c>
      <c r="J1594" s="4">
        <f t="shared" si="137"/>
        <v>0</v>
      </c>
      <c r="K1594" s="4" t="str">
        <f t="shared" si="138"/>
        <v>Re176</v>
      </c>
    </row>
    <row r="1595" spans="2:17" hidden="1" x14ac:dyDescent="0.2">
      <c r="B1595" s="4">
        <v>75177</v>
      </c>
      <c r="C1595" s="4">
        <v>0</v>
      </c>
      <c r="D1595">
        <v>0</v>
      </c>
      <c r="E1595" t="str">
        <f>VLOOKUP(B1595,Nuclides!A:F,5,FALSE)</f>
        <v>Re177</v>
      </c>
      <c r="F1595">
        <f>VLOOKUP(B1595,Nuclides!A:F,4,FALSE)</f>
        <v>840</v>
      </c>
      <c r="G1595" s="4" t="str">
        <f t="shared" si="134"/>
        <v>14min</v>
      </c>
      <c r="H1595" s="4">
        <f t="shared" si="135"/>
        <v>8.2517521495231586E-4</v>
      </c>
      <c r="I1595" s="4">
        <f t="shared" si="136"/>
        <v>0</v>
      </c>
      <c r="J1595" s="4">
        <f t="shared" si="137"/>
        <v>0</v>
      </c>
      <c r="K1595" s="4" t="str">
        <f t="shared" si="138"/>
        <v>Re177</v>
      </c>
    </row>
    <row r="1596" spans="2:17" hidden="1" x14ac:dyDescent="0.2">
      <c r="B1596" s="4">
        <v>75178</v>
      </c>
      <c r="C1596" s="4">
        <v>0</v>
      </c>
      <c r="D1596">
        <v>0</v>
      </c>
      <c r="E1596" t="str">
        <f>VLOOKUP(B1596,Nuclides!A:F,5,FALSE)</f>
        <v>Re178</v>
      </c>
      <c r="F1596">
        <f>VLOOKUP(B1596,Nuclides!A:F,4,FALSE)</f>
        <v>792</v>
      </c>
      <c r="G1596" s="4" t="str">
        <f t="shared" si="134"/>
        <v>13.2min</v>
      </c>
      <c r="H1596" s="4">
        <f t="shared" si="135"/>
        <v>8.7518583404033496E-4</v>
      </c>
      <c r="I1596" s="4">
        <f t="shared" si="136"/>
        <v>0</v>
      </c>
      <c r="J1596" s="4">
        <f t="shared" si="137"/>
        <v>0</v>
      </c>
      <c r="K1596" s="4" t="str">
        <f t="shared" si="138"/>
        <v>Re178</v>
      </c>
    </row>
    <row r="1597" spans="2:17" hidden="1" x14ac:dyDescent="0.2">
      <c r="B1597" s="4">
        <v>75179</v>
      </c>
      <c r="C1597" s="4">
        <v>1.0000000000000001E-9</v>
      </c>
      <c r="D1597">
        <v>1</v>
      </c>
      <c r="E1597" t="str">
        <f>VLOOKUP(B1597,Nuclides!A:F,5,FALSE)</f>
        <v>Re179</v>
      </c>
      <c r="F1597">
        <f>VLOOKUP(B1597,Nuclides!A:F,4,FALSE)</f>
        <v>1170</v>
      </c>
      <c r="G1597" s="4" t="str">
        <f t="shared" si="134"/>
        <v>19.5min</v>
      </c>
      <c r="H1597" s="4">
        <f t="shared" si="135"/>
        <v>5.9243348765807284E-4</v>
      </c>
      <c r="I1597" s="4">
        <f t="shared" si="136"/>
        <v>369141.72180680605</v>
      </c>
      <c r="J1597" s="4">
        <f t="shared" si="137"/>
        <v>1.2804964812153868E-39</v>
      </c>
      <c r="K1597" s="4" t="str">
        <f t="shared" si="138"/>
        <v>Re179</v>
      </c>
    </row>
    <row r="1598" spans="2:17" hidden="1" x14ac:dyDescent="0.2">
      <c r="B1598" s="4">
        <v>75180</v>
      </c>
      <c r="C1598" s="4">
        <v>0</v>
      </c>
      <c r="D1598">
        <v>0</v>
      </c>
      <c r="E1598" t="str">
        <f>VLOOKUP(B1598,Nuclides!A:F,5,FALSE)</f>
        <v>Re180</v>
      </c>
      <c r="F1598">
        <f>VLOOKUP(B1598,Nuclides!A:F,4,FALSE)</f>
        <v>147.6</v>
      </c>
      <c r="G1598" s="4" t="str">
        <f t="shared" si="134"/>
        <v>2.46min</v>
      </c>
      <c r="H1598" s="4">
        <f t="shared" si="135"/>
        <v>4.6961191094847246E-3</v>
      </c>
      <c r="I1598" s="4">
        <f t="shared" si="136"/>
        <v>0</v>
      </c>
      <c r="J1598" s="4">
        <f t="shared" si="137"/>
        <v>0</v>
      </c>
      <c r="K1598" s="4" t="str">
        <f t="shared" si="138"/>
        <v>Re180</v>
      </c>
    </row>
    <row r="1599" spans="2:17" x14ac:dyDescent="0.2">
      <c r="B1599" s="4">
        <v>75181</v>
      </c>
      <c r="C1599" s="4">
        <v>7.0999999999999998E-7</v>
      </c>
      <c r="D1599">
        <v>3.7499999999999999E-2</v>
      </c>
      <c r="E1599" t="str">
        <f>VLOOKUP(B1599,Nuclides!A:F,5,FALSE)</f>
        <v>Re181</v>
      </c>
      <c r="F1599">
        <f>VLOOKUP(B1599,Nuclides!A:F,4,FALSE)</f>
        <v>71640</v>
      </c>
      <c r="G1599" s="4" t="str">
        <f t="shared" si="134"/>
        <v>19.9h</v>
      </c>
      <c r="H1599" s="4">
        <f t="shared" si="135"/>
        <v>9.6754212808479239E-6</v>
      </c>
      <c r="I1599" s="4">
        <f t="shared" si="136"/>
        <v>17887813.03385143</v>
      </c>
      <c r="J1599" s="4">
        <f t="shared" ref="J1599:J1602" si="139">I1599*EXP(-H1599*0.5*3600)</f>
        <v>17578980.289585359</v>
      </c>
      <c r="K1599" s="4" t="str">
        <f t="shared" si="138"/>
        <v>Re181</v>
      </c>
      <c r="L1599" s="4">
        <f t="shared" ref="L1599:L1602" si="140">J1599</f>
        <v>17578980.289585359</v>
      </c>
      <c r="M1599">
        <v>0</v>
      </c>
      <c r="O1599" s="4" t="str">
        <f t="shared" ref="O1599:O1602" si="141">K1599</f>
        <v>Re181</v>
      </c>
      <c r="P1599" s="4" t="str">
        <f t="shared" ref="P1599:P1602" si="142">G1599</f>
        <v>19.9h</v>
      </c>
      <c r="Q1599" s="4">
        <f t="shared" ref="Q1599:Q1602" si="143">J1599</f>
        <v>17578980.289585359</v>
      </c>
    </row>
    <row r="1600" spans="2:17" x14ac:dyDescent="0.2">
      <c r="B1600" s="4">
        <v>75182</v>
      </c>
      <c r="C1600" s="4">
        <v>4.5600000000000001E-7</v>
      </c>
      <c r="D1600">
        <v>4.6800000000000001E-2</v>
      </c>
      <c r="E1600" t="str">
        <f>VLOOKUP(B1600,Nuclides!A:F,5,FALSE)</f>
        <v>Re182</v>
      </c>
      <c r="F1600">
        <f>VLOOKUP(B1600,Nuclides!A:F,4,FALSE)</f>
        <v>231120</v>
      </c>
      <c r="G1600" s="4" t="str">
        <f t="shared" si="134"/>
        <v>2.68d</v>
      </c>
      <c r="H1600" s="4">
        <f t="shared" si="135"/>
        <v>2.9990791820696836E-6</v>
      </c>
      <c r="I1600" s="4">
        <f t="shared" si="136"/>
        <v>3647040.684439735</v>
      </c>
      <c r="J1600" s="4">
        <f t="shared" si="139"/>
        <v>3627405.7553325626</v>
      </c>
      <c r="K1600" s="4" t="str">
        <f t="shared" si="138"/>
        <v>Re182</v>
      </c>
      <c r="L1600" s="4">
        <f t="shared" si="140"/>
        <v>3627405.7553325626</v>
      </c>
      <c r="M1600">
        <v>0</v>
      </c>
      <c r="O1600" s="4" t="str">
        <f t="shared" si="141"/>
        <v>Re182</v>
      </c>
      <c r="P1600" s="4" t="str">
        <f t="shared" si="142"/>
        <v>2.68d</v>
      </c>
      <c r="Q1600" s="4">
        <f t="shared" si="143"/>
        <v>3627405.7553325626</v>
      </c>
    </row>
    <row r="1601" spans="2:17" x14ac:dyDescent="0.2">
      <c r="B1601" s="4">
        <v>75183</v>
      </c>
      <c r="C1601" s="4">
        <v>9.0599999999999999E-7</v>
      </c>
      <c r="D1601">
        <v>3.32E-2</v>
      </c>
      <c r="E1601" t="str">
        <f>VLOOKUP(B1601,Nuclides!A:F,5,FALSE)</f>
        <v>Re183</v>
      </c>
      <c r="F1601">
        <f>VLOOKUP(B1601,Nuclides!A:F,4,FALSE)</f>
        <v>6048000</v>
      </c>
      <c r="G1601" s="4" t="str">
        <f t="shared" si="134"/>
        <v>70d</v>
      </c>
      <c r="H1601" s="4">
        <f t="shared" si="135"/>
        <v>1.146076687433772E-7</v>
      </c>
      <c r="I1601" s="4">
        <f t="shared" si="136"/>
        <v>279789.2605755328</v>
      </c>
      <c r="J1601" s="4">
        <f t="shared" si="139"/>
        <v>279731.54773782869</v>
      </c>
      <c r="K1601" s="4" t="str">
        <f t="shared" si="138"/>
        <v>Re183</v>
      </c>
      <c r="L1601" s="4">
        <f t="shared" si="140"/>
        <v>279731.54773782869</v>
      </c>
      <c r="M1601">
        <v>0</v>
      </c>
      <c r="O1601" s="4" t="str">
        <f t="shared" si="141"/>
        <v>Re183</v>
      </c>
      <c r="P1601" s="4" t="str">
        <f t="shared" si="142"/>
        <v>70d</v>
      </c>
      <c r="Q1601" s="4">
        <f t="shared" si="143"/>
        <v>279731.54773782869</v>
      </c>
    </row>
    <row r="1602" spans="2:17" x14ac:dyDescent="0.2">
      <c r="B1602" s="4">
        <v>75184</v>
      </c>
      <c r="C1602" s="4">
        <v>3.2000000000000002E-8</v>
      </c>
      <c r="D1602">
        <v>0.17680000000000001</v>
      </c>
      <c r="E1602" t="str">
        <f>VLOOKUP(B1602,Nuclides!A:F,5,FALSE)</f>
        <v>Re184</v>
      </c>
      <c r="F1602">
        <f>VLOOKUP(B1602,Nuclides!A:F,4,FALSE)</f>
        <v>3058560</v>
      </c>
      <c r="G1602" s="4" t="str">
        <f t="shared" si="134"/>
        <v>35.4d</v>
      </c>
      <c r="H1602" s="4">
        <f t="shared" si="135"/>
        <v>2.2662533367334473E-7</v>
      </c>
      <c r="I1602" s="4">
        <f t="shared" si="136"/>
        <v>19533.159657636985</v>
      </c>
      <c r="J1602" s="4">
        <f t="shared" si="139"/>
        <v>19525.193206721902</v>
      </c>
      <c r="K1602" s="4" t="str">
        <f t="shared" si="138"/>
        <v>Re184</v>
      </c>
      <c r="L1602" s="4">
        <f t="shared" si="140"/>
        <v>19525.193206721902</v>
      </c>
      <c r="M1602">
        <v>0</v>
      </c>
      <c r="O1602" s="4" t="str">
        <f t="shared" si="141"/>
        <v>Re184</v>
      </c>
      <c r="P1602" s="4" t="str">
        <f t="shared" si="142"/>
        <v>35.4d</v>
      </c>
      <c r="Q1602" s="4">
        <f t="shared" si="143"/>
        <v>19525.193206721902</v>
      </c>
    </row>
    <row r="1603" spans="2:17" hidden="1" x14ac:dyDescent="0.2">
      <c r="B1603" s="4">
        <v>75185</v>
      </c>
      <c r="C1603" s="4">
        <v>8.5499999999999997E-7</v>
      </c>
      <c r="D1603">
        <v>3.4200000000000001E-2</v>
      </c>
      <c r="E1603" t="str">
        <f>VLOOKUP(B1603,Nuclides!A:F,5,FALSE)</f>
        <v>Re185</v>
      </c>
      <c r="F1603" t="str">
        <f>VLOOKUP(B1603,Nuclides!A:F,4,FALSE)</f>
        <v>STABLE</v>
      </c>
      <c r="G1603" s="4" t="str">
        <f t="shared" si="134"/>
        <v>STABLE</v>
      </c>
      <c r="H1603" s="4" t="e">
        <f t="shared" si="135"/>
        <v>#VALUE!</v>
      </c>
      <c r="I1603" s="4" t="e">
        <f t="shared" si="136"/>
        <v>#VALUE!</v>
      </c>
      <c r="J1603" s="4" t="e">
        <f t="shared" si="137"/>
        <v>#VALUE!</v>
      </c>
      <c r="K1603" s="4" t="str">
        <f t="shared" si="138"/>
        <v>Re185</v>
      </c>
    </row>
    <row r="1604" spans="2:17" x14ac:dyDescent="0.2">
      <c r="B1604" s="4">
        <v>75186</v>
      </c>
      <c r="C1604" s="4">
        <v>3.2999999999999998E-8</v>
      </c>
      <c r="D1604">
        <v>0.1741</v>
      </c>
      <c r="E1604" t="str">
        <f>VLOOKUP(B1604,Nuclides!A:F,5,FALSE)</f>
        <v>Re186</v>
      </c>
      <c r="F1604">
        <f>VLOOKUP(B1604,Nuclides!A:F,4,FALSE)</f>
        <v>321287.03999999998</v>
      </c>
      <c r="G1604" s="4" t="str">
        <f t="shared" si="134"/>
        <v>3.72d</v>
      </c>
      <c r="H1604" s="4">
        <f t="shared" si="135"/>
        <v>2.1574078448976507E-6</v>
      </c>
      <c r="I1604" s="4">
        <f t="shared" si="136"/>
        <v>190434.60743845315</v>
      </c>
      <c r="J1604" s="4">
        <f>I1604*EXP(-H1604*0.5*3600)</f>
        <v>189696.52027667974</v>
      </c>
      <c r="K1604" s="4" t="str">
        <f t="shared" si="138"/>
        <v>Re186</v>
      </c>
      <c r="L1604" s="4">
        <f>J1604</f>
        <v>189696.52027667974</v>
      </c>
      <c r="M1604">
        <v>0</v>
      </c>
      <c r="O1604" s="4" t="str">
        <f>K1604</f>
        <v>Re186</v>
      </c>
      <c r="P1604" s="4" t="str">
        <f>G1604</f>
        <v>3.72d</v>
      </c>
      <c r="Q1604" s="4">
        <f>J1604</f>
        <v>189696.52027667974</v>
      </c>
    </row>
    <row r="1605" spans="2:17" hidden="1" x14ac:dyDescent="0.2">
      <c r="B1605" s="4">
        <v>75187</v>
      </c>
      <c r="C1605" s="4">
        <v>0</v>
      </c>
      <c r="D1605">
        <v>0</v>
      </c>
      <c r="E1605" t="str">
        <f>VLOOKUP(B1605,Nuclides!A:F,5,FALSE)</f>
        <v>Re187</v>
      </c>
      <c r="F1605">
        <f>VLOOKUP(B1605,Nuclides!A:F,4,FALSE)</f>
        <v>1.36644408E+18</v>
      </c>
      <c r="G1605" s="4" t="str">
        <f t="shared" ref="G1605:G1644" si="144">IF(F1605="STABLE", "STABLE", IF(F1605&lt;60, F1605&amp;"s", IF(F1605&lt;3600, ROUND(F1605/60,2)&amp;"min", IF(F1605&lt;86400, ROUND(F1605/3600,2)&amp;"h", IF(F1605&lt;31536000, ROUND(F1605/86400,2)&amp;"d", ROUND(F1605/31536000,2)&amp;"y")))))</f>
        <v>43329657534.25y</v>
      </c>
      <c r="H1605" s="4">
        <f t="shared" ref="H1605:H1644" si="145">LN(2)/F1605</f>
        <v>5.0726348096143475E-19</v>
      </c>
      <c r="I1605" s="4">
        <f t="shared" ref="I1605:I1644" si="146">60*6240000000000*C1605*(1-EXP(-H1605*2*3600))</f>
        <v>0</v>
      </c>
      <c r="J1605" s="4">
        <f t="shared" ref="J1605:J1644" si="147">I1605*EXP(-H1605*48*3600)</f>
        <v>0</v>
      </c>
      <c r="K1605" s="4" t="str">
        <f t="shared" ref="K1605:K1644" si="148">E1605</f>
        <v>Re187</v>
      </c>
    </row>
    <row r="1606" spans="2:17" hidden="1" x14ac:dyDescent="0.2">
      <c r="B1606" s="4">
        <v>75188</v>
      </c>
      <c r="C1606" s="4">
        <v>0</v>
      </c>
      <c r="D1606">
        <v>0</v>
      </c>
      <c r="E1606" t="str">
        <f>VLOOKUP(B1606,Nuclides!A:F,5,FALSE)</f>
        <v>Re188</v>
      </c>
      <c r="F1606">
        <f>VLOOKUP(B1606,Nuclides!A:F,4,FALSE)</f>
        <v>61210.8</v>
      </c>
      <c r="G1606" s="4" t="str">
        <f t="shared" si="144"/>
        <v>17h</v>
      </c>
      <c r="H1606" s="4">
        <f t="shared" si="145"/>
        <v>1.1323935981231177E-5</v>
      </c>
      <c r="I1606" s="4">
        <f t="shared" si="146"/>
        <v>0</v>
      </c>
      <c r="J1606" s="4">
        <f t="shared" si="147"/>
        <v>0</v>
      </c>
      <c r="K1606" s="4" t="str">
        <f t="shared" si="148"/>
        <v>Re188</v>
      </c>
    </row>
    <row r="1607" spans="2:17" hidden="1" x14ac:dyDescent="0.2">
      <c r="B1607" s="4">
        <v>75189</v>
      </c>
      <c r="C1607" s="4">
        <v>0</v>
      </c>
      <c r="D1607">
        <v>0</v>
      </c>
      <c r="E1607" t="str">
        <f>VLOOKUP(B1607,Nuclides!A:F,5,FALSE)</f>
        <v>Re189</v>
      </c>
      <c r="F1607">
        <f>VLOOKUP(B1607,Nuclides!A:F,4,FALSE)</f>
        <v>87480</v>
      </c>
      <c r="G1607" s="4" t="str">
        <f t="shared" si="144"/>
        <v>1.01d</v>
      </c>
      <c r="H1607" s="4">
        <f t="shared" si="145"/>
        <v>7.9234931476902745E-6</v>
      </c>
      <c r="I1607" s="4">
        <f t="shared" si="146"/>
        <v>0</v>
      </c>
      <c r="J1607" s="4">
        <f t="shared" si="147"/>
        <v>0</v>
      </c>
      <c r="K1607" s="4" t="str">
        <f t="shared" si="148"/>
        <v>Re189</v>
      </c>
    </row>
    <row r="1608" spans="2:17" hidden="1" x14ac:dyDescent="0.2">
      <c r="B1608" s="4">
        <v>75190</v>
      </c>
      <c r="C1608" s="4">
        <v>0</v>
      </c>
      <c r="D1608">
        <v>0</v>
      </c>
      <c r="E1608" t="str">
        <f>VLOOKUP(B1608,Nuclides!A:F,5,FALSE)</f>
        <v>Re190</v>
      </c>
      <c r="F1608">
        <f>VLOOKUP(B1608,Nuclides!A:F,4,FALSE)</f>
        <v>186</v>
      </c>
      <c r="G1608" s="4" t="str">
        <f t="shared" si="144"/>
        <v>3.1min</v>
      </c>
      <c r="H1608" s="4">
        <f t="shared" si="145"/>
        <v>3.7265977449459425E-3</v>
      </c>
      <c r="I1608" s="4">
        <f t="shared" si="146"/>
        <v>0</v>
      </c>
      <c r="J1608" s="4">
        <f t="shared" si="147"/>
        <v>0</v>
      </c>
      <c r="K1608" s="4" t="str">
        <f t="shared" si="148"/>
        <v>Re190</v>
      </c>
    </row>
    <row r="1609" spans="2:17" hidden="1" x14ac:dyDescent="0.2">
      <c r="B1609" s="4">
        <v>75191</v>
      </c>
      <c r="C1609" s="4">
        <v>0</v>
      </c>
      <c r="D1609">
        <v>0</v>
      </c>
      <c r="E1609" t="str">
        <f>VLOOKUP(B1609,Nuclides!A:F,5,FALSE)</f>
        <v>Re191</v>
      </c>
      <c r="F1609">
        <f>VLOOKUP(B1609,Nuclides!A:F,4,FALSE)</f>
        <v>588</v>
      </c>
      <c r="G1609" s="4" t="str">
        <f t="shared" si="144"/>
        <v>9.8min</v>
      </c>
      <c r="H1609" s="4">
        <f t="shared" si="145"/>
        <v>1.1788217356461655E-3</v>
      </c>
      <c r="I1609" s="4">
        <f t="shared" si="146"/>
        <v>0</v>
      </c>
      <c r="J1609" s="4">
        <f t="shared" si="147"/>
        <v>0</v>
      </c>
      <c r="K1609" s="4" t="str">
        <f t="shared" si="148"/>
        <v>Re191</v>
      </c>
    </row>
    <row r="1610" spans="2:17" hidden="1" x14ac:dyDescent="0.2">
      <c r="B1610" s="4">
        <v>75192</v>
      </c>
      <c r="C1610" s="4">
        <v>0</v>
      </c>
      <c r="D1610">
        <v>0</v>
      </c>
      <c r="E1610" t="str">
        <f>VLOOKUP(B1610,Nuclides!A:F,5,FALSE)</f>
        <v>Re192</v>
      </c>
      <c r="F1610">
        <f>VLOOKUP(B1610,Nuclides!A:F,4,FALSE)</f>
        <v>16</v>
      </c>
      <c r="G1610" s="4" t="str">
        <f t="shared" si="144"/>
        <v>16s</v>
      </c>
      <c r="H1610" s="4">
        <f t="shared" si="145"/>
        <v>4.332169878499658E-2</v>
      </c>
      <c r="I1610" s="4">
        <f t="shared" si="146"/>
        <v>0</v>
      </c>
      <c r="J1610" s="4">
        <f t="shared" si="147"/>
        <v>0</v>
      </c>
      <c r="K1610" s="4" t="str">
        <f t="shared" si="148"/>
        <v>Re192</v>
      </c>
    </row>
    <row r="1611" spans="2:17" hidden="1" x14ac:dyDescent="0.2">
      <c r="B1611" s="4">
        <v>76163</v>
      </c>
      <c r="C1611" s="4">
        <v>0</v>
      </c>
      <c r="D1611">
        <v>0</v>
      </c>
      <c r="E1611" t="str">
        <f>VLOOKUP(B1611,Nuclides!A:F,5,FALSE)</f>
        <v>Os163</v>
      </c>
      <c r="F1611">
        <f>VLOOKUP(B1611,Nuclides!A:F,4,FALSE)</f>
        <v>5.4999999999999997E-3</v>
      </c>
      <c r="G1611" s="4" t="str">
        <f t="shared" si="144"/>
        <v>0.0055s</v>
      </c>
      <c r="H1611" s="4">
        <f t="shared" si="145"/>
        <v>126.02676010180824</v>
      </c>
      <c r="I1611" s="4">
        <f t="shared" si="146"/>
        <v>0</v>
      </c>
      <c r="J1611" s="4">
        <f t="shared" si="147"/>
        <v>0</v>
      </c>
      <c r="K1611" s="4" t="str">
        <f t="shared" si="148"/>
        <v>Os163</v>
      </c>
    </row>
    <row r="1612" spans="2:17" hidden="1" x14ac:dyDescent="0.2">
      <c r="B1612" s="4">
        <v>76164</v>
      </c>
      <c r="C1612" s="4">
        <v>0</v>
      </c>
      <c r="D1612">
        <v>0</v>
      </c>
      <c r="E1612" t="str">
        <f>VLOOKUP(B1612,Nuclides!A:F,5,FALSE)</f>
        <v>Os164</v>
      </c>
      <c r="F1612">
        <f>VLOOKUP(B1612,Nuclides!A:F,4,FALSE)</f>
        <v>2.1000000000000001E-2</v>
      </c>
      <c r="G1612" s="4" t="str">
        <f t="shared" si="144"/>
        <v>0.021s</v>
      </c>
      <c r="H1612" s="4">
        <f t="shared" si="145"/>
        <v>33.007008598092632</v>
      </c>
      <c r="I1612" s="4">
        <f t="shared" si="146"/>
        <v>0</v>
      </c>
      <c r="J1612" s="4">
        <f t="shared" si="147"/>
        <v>0</v>
      </c>
      <c r="K1612" s="4" t="str">
        <f t="shared" si="148"/>
        <v>Os164</v>
      </c>
    </row>
    <row r="1613" spans="2:17" hidden="1" x14ac:dyDescent="0.2">
      <c r="B1613" s="4">
        <v>76165</v>
      </c>
      <c r="C1613" s="4">
        <v>0</v>
      </c>
      <c r="D1613">
        <v>0</v>
      </c>
      <c r="E1613" t="str">
        <f>VLOOKUP(B1613,Nuclides!A:F,5,FALSE)</f>
        <v>Os165</v>
      </c>
      <c r="F1613">
        <f>VLOOKUP(B1613,Nuclides!A:F,4,FALSE)</f>
        <v>7.0999999999999994E-2</v>
      </c>
      <c r="G1613" s="4" t="str">
        <f t="shared" si="144"/>
        <v>0.071s</v>
      </c>
      <c r="H1613" s="4">
        <f t="shared" si="145"/>
        <v>9.7626363459147232</v>
      </c>
      <c r="I1613" s="4">
        <f t="shared" si="146"/>
        <v>0</v>
      </c>
      <c r="J1613" s="4">
        <f t="shared" si="147"/>
        <v>0</v>
      </c>
      <c r="K1613" s="4" t="str">
        <f t="shared" si="148"/>
        <v>Os165</v>
      </c>
    </row>
    <row r="1614" spans="2:17" hidden="1" x14ac:dyDescent="0.2">
      <c r="B1614" s="4">
        <v>76166</v>
      </c>
      <c r="C1614" s="4">
        <v>0</v>
      </c>
      <c r="D1614">
        <v>0</v>
      </c>
      <c r="E1614" t="str">
        <f>VLOOKUP(B1614,Nuclides!A:F,5,FALSE)</f>
        <v>Os166</v>
      </c>
      <c r="F1614">
        <f>VLOOKUP(B1614,Nuclides!A:F,4,FALSE)</f>
        <v>0.20799999999999999</v>
      </c>
      <c r="G1614" s="4" t="str">
        <f t="shared" si="144"/>
        <v>0.208s</v>
      </c>
      <c r="H1614" s="4">
        <f t="shared" si="145"/>
        <v>3.3324383680766601</v>
      </c>
      <c r="I1614" s="4">
        <f t="shared" si="146"/>
        <v>0</v>
      </c>
      <c r="J1614" s="4">
        <f t="shared" si="147"/>
        <v>0</v>
      </c>
      <c r="K1614" s="4" t="str">
        <f t="shared" si="148"/>
        <v>Os166</v>
      </c>
    </row>
    <row r="1615" spans="2:17" hidden="1" x14ac:dyDescent="0.2">
      <c r="B1615" s="4">
        <v>76167</v>
      </c>
      <c r="C1615" s="4">
        <v>0</v>
      </c>
      <c r="D1615">
        <v>0</v>
      </c>
      <c r="E1615" t="str">
        <f>VLOOKUP(B1615,Nuclides!A:F,5,FALSE)</f>
        <v>Os167</v>
      </c>
      <c r="F1615">
        <f>VLOOKUP(B1615,Nuclides!A:F,4,FALSE)</f>
        <v>0.81</v>
      </c>
      <c r="G1615" s="4" t="str">
        <f t="shared" si="144"/>
        <v>0.81s</v>
      </c>
      <c r="H1615" s="4">
        <f t="shared" si="145"/>
        <v>0.85573725995054972</v>
      </c>
      <c r="I1615" s="4">
        <f t="shared" si="146"/>
        <v>0</v>
      </c>
      <c r="J1615" s="4">
        <f t="shared" si="147"/>
        <v>0</v>
      </c>
      <c r="K1615" s="4" t="str">
        <f t="shared" si="148"/>
        <v>Os167</v>
      </c>
    </row>
    <row r="1616" spans="2:17" hidden="1" x14ac:dyDescent="0.2">
      <c r="B1616" s="4">
        <v>76168</v>
      </c>
      <c r="C1616" s="4">
        <v>0</v>
      </c>
      <c r="D1616">
        <v>0</v>
      </c>
      <c r="E1616" t="str">
        <f>VLOOKUP(B1616,Nuclides!A:F,5,FALSE)</f>
        <v>Os168</v>
      </c>
      <c r="F1616">
        <f>VLOOKUP(B1616,Nuclides!A:F,4,FALSE)</f>
        <v>2.1</v>
      </c>
      <c r="G1616" s="4" t="str">
        <f t="shared" si="144"/>
        <v>2.1s</v>
      </c>
      <c r="H1616" s="4">
        <f t="shared" si="145"/>
        <v>0.3300700859809263</v>
      </c>
      <c r="I1616" s="4">
        <f t="shared" si="146"/>
        <v>0</v>
      </c>
      <c r="J1616" s="4">
        <f t="shared" si="147"/>
        <v>0</v>
      </c>
      <c r="K1616" s="4" t="str">
        <f t="shared" si="148"/>
        <v>Os168</v>
      </c>
    </row>
    <row r="1617" spans="2:11" hidden="1" x14ac:dyDescent="0.2">
      <c r="B1617" s="4">
        <v>76169</v>
      </c>
      <c r="C1617" s="4">
        <v>0</v>
      </c>
      <c r="D1617">
        <v>0</v>
      </c>
      <c r="E1617" t="str">
        <f>VLOOKUP(B1617,Nuclides!A:F,5,FALSE)</f>
        <v>Os169</v>
      </c>
      <c r="F1617">
        <f>VLOOKUP(B1617,Nuclides!A:F,4,FALSE)</f>
        <v>3.43</v>
      </c>
      <c r="G1617" s="4" t="str">
        <f t="shared" si="144"/>
        <v>3.43s</v>
      </c>
      <c r="H1617" s="4">
        <f t="shared" si="145"/>
        <v>0.20208372611077122</v>
      </c>
      <c r="I1617" s="4">
        <f t="shared" si="146"/>
        <v>0</v>
      </c>
      <c r="J1617" s="4">
        <f t="shared" si="147"/>
        <v>0</v>
      </c>
      <c r="K1617" s="4" t="str">
        <f t="shared" si="148"/>
        <v>Os169</v>
      </c>
    </row>
    <row r="1618" spans="2:11" hidden="1" x14ac:dyDescent="0.2">
      <c r="B1618" s="4">
        <v>76170</v>
      </c>
      <c r="C1618" s="4">
        <v>0</v>
      </c>
      <c r="D1618">
        <v>0</v>
      </c>
      <c r="E1618" t="str">
        <f>VLOOKUP(B1618,Nuclides!A:F,5,FALSE)</f>
        <v>Os170</v>
      </c>
      <c r="F1618">
        <f>VLOOKUP(B1618,Nuclides!A:F,4,FALSE)</f>
        <v>7.37</v>
      </c>
      <c r="G1618" s="4" t="str">
        <f t="shared" si="144"/>
        <v>7.37s</v>
      </c>
      <c r="H1618" s="4">
        <f t="shared" si="145"/>
        <v>9.4049820971498679E-2</v>
      </c>
      <c r="I1618" s="4">
        <f t="shared" si="146"/>
        <v>0</v>
      </c>
      <c r="J1618" s="4">
        <f t="shared" si="147"/>
        <v>0</v>
      </c>
      <c r="K1618" s="4" t="str">
        <f t="shared" si="148"/>
        <v>Os170</v>
      </c>
    </row>
    <row r="1619" spans="2:11" hidden="1" x14ac:dyDescent="0.2">
      <c r="B1619" s="4">
        <v>76171</v>
      </c>
      <c r="C1619" s="4">
        <v>0</v>
      </c>
      <c r="D1619">
        <v>0</v>
      </c>
      <c r="E1619" t="str">
        <f>VLOOKUP(B1619,Nuclides!A:F,5,FALSE)</f>
        <v>Os171</v>
      </c>
      <c r="F1619">
        <f>VLOOKUP(B1619,Nuclides!A:F,4,FALSE)</f>
        <v>8.3000000000000007</v>
      </c>
      <c r="G1619" s="4" t="str">
        <f t="shared" si="144"/>
        <v>8.3s</v>
      </c>
      <c r="H1619" s="4">
        <f t="shared" si="145"/>
        <v>8.3511708501198226E-2</v>
      </c>
      <c r="I1619" s="4">
        <f t="shared" si="146"/>
        <v>0</v>
      </c>
      <c r="J1619" s="4">
        <f t="shared" si="147"/>
        <v>0</v>
      </c>
      <c r="K1619" s="4" t="str">
        <f t="shared" si="148"/>
        <v>Os171</v>
      </c>
    </row>
    <row r="1620" spans="2:11" hidden="1" x14ac:dyDescent="0.2">
      <c r="B1620" s="4">
        <v>76172</v>
      </c>
      <c r="C1620" s="4">
        <v>0</v>
      </c>
      <c r="D1620">
        <v>0</v>
      </c>
      <c r="E1620" t="str">
        <f>VLOOKUP(B1620,Nuclides!A:F,5,FALSE)</f>
        <v>Os172</v>
      </c>
      <c r="F1620">
        <f>VLOOKUP(B1620,Nuclides!A:F,4,FALSE)</f>
        <v>19.2</v>
      </c>
      <c r="G1620" s="4" t="str">
        <f t="shared" si="144"/>
        <v>19.2s</v>
      </c>
      <c r="H1620" s="4">
        <f t="shared" si="145"/>
        <v>3.6101415654163818E-2</v>
      </c>
      <c r="I1620" s="4">
        <f t="shared" si="146"/>
        <v>0</v>
      </c>
      <c r="J1620" s="4">
        <f t="shared" si="147"/>
        <v>0</v>
      </c>
      <c r="K1620" s="4" t="str">
        <f t="shared" si="148"/>
        <v>Os172</v>
      </c>
    </row>
    <row r="1621" spans="2:11" hidden="1" x14ac:dyDescent="0.2">
      <c r="B1621" s="4">
        <v>76173</v>
      </c>
      <c r="C1621" s="4">
        <v>0</v>
      </c>
      <c r="D1621">
        <v>0</v>
      </c>
      <c r="E1621" t="str">
        <f>VLOOKUP(B1621,Nuclides!A:F,5,FALSE)</f>
        <v>Os173</v>
      </c>
      <c r="F1621">
        <f>VLOOKUP(B1621,Nuclides!A:F,4,FALSE)</f>
        <v>22.4</v>
      </c>
      <c r="G1621" s="4" t="str">
        <f t="shared" si="144"/>
        <v>22.4s</v>
      </c>
      <c r="H1621" s="4">
        <f t="shared" si="145"/>
        <v>3.0944070560711846E-2</v>
      </c>
      <c r="I1621" s="4">
        <f t="shared" si="146"/>
        <v>0</v>
      </c>
      <c r="J1621" s="4">
        <f t="shared" si="147"/>
        <v>0</v>
      </c>
      <c r="K1621" s="4" t="str">
        <f t="shared" si="148"/>
        <v>Os173</v>
      </c>
    </row>
    <row r="1622" spans="2:11" hidden="1" x14ac:dyDescent="0.2">
      <c r="B1622" s="4">
        <v>76174</v>
      </c>
      <c r="C1622" s="4">
        <v>0</v>
      </c>
      <c r="D1622">
        <v>0</v>
      </c>
      <c r="E1622" t="str">
        <f>VLOOKUP(B1622,Nuclides!A:F,5,FALSE)</f>
        <v>Os174</v>
      </c>
      <c r="F1622">
        <f>VLOOKUP(B1622,Nuclides!A:F,4,FALSE)</f>
        <v>44</v>
      </c>
      <c r="G1622" s="4" t="str">
        <f t="shared" si="144"/>
        <v>44s</v>
      </c>
      <c r="H1622" s="4">
        <f t="shared" si="145"/>
        <v>1.575334501272603E-2</v>
      </c>
      <c r="I1622" s="4">
        <f t="shared" si="146"/>
        <v>0</v>
      </c>
      <c r="J1622" s="4">
        <f t="shared" si="147"/>
        <v>0</v>
      </c>
      <c r="K1622" s="4" t="str">
        <f t="shared" si="148"/>
        <v>Os174</v>
      </c>
    </row>
    <row r="1623" spans="2:11" hidden="1" x14ac:dyDescent="0.2">
      <c r="B1623" s="4">
        <v>76175</v>
      </c>
      <c r="C1623" s="4">
        <v>0</v>
      </c>
      <c r="D1623">
        <v>0</v>
      </c>
      <c r="E1623" t="str">
        <f>VLOOKUP(B1623,Nuclides!A:F,5,FALSE)</f>
        <v>Os175</v>
      </c>
      <c r="F1623">
        <f>VLOOKUP(B1623,Nuclides!A:F,4,FALSE)</f>
        <v>84</v>
      </c>
      <c r="G1623" s="4" t="str">
        <f t="shared" si="144"/>
        <v>1.4min</v>
      </c>
      <c r="H1623" s="4">
        <f t="shared" si="145"/>
        <v>8.2517521495231588E-3</v>
      </c>
      <c r="I1623" s="4">
        <f t="shared" si="146"/>
        <v>0</v>
      </c>
      <c r="J1623" s="4">
        <f t="shared" si="147"/>
        <v>0</v>
      </c>
      <c r="K1623" s="4" t="str">
        <f t="shared" si="148"/>
        <v>Os175</v>
      </c>
    </row>
    <row r="1624" spans="2:11" hidden="1" x14ac:dyDescent="0.2">
      <c r="B1624" s="4">
        <v>76176</v>
      </c>
      <c r="C1624" s="4">
        <v>0</v>
      </c>
      <c r="D1624">
        <v>0</v>
      </c>
      <c r="E1624" t="str">
        <f>VLOOKUP(B1624,Nuclides!A:F,5,FALSE)</f>
        <v>Os176</v>
      </c>
      <c r="F1624">
        <f>VLOOKUP(B1624,Nuclides!A:F,4,FALSE)</f>
        <v>216</v>
      </c>
      <c r="G1624" s="4" t="str">
        <f t="shared" si="144"/>
        <v>3.6min</v>
      </c>
      <c r="H1624" s="4">
        <f t="shared" si="145"/>
        <v>3.2090147248145617E-3</v>
      </c>
      <c r="I1624" s="4">
        <f t="shared" si="146"/>
        <v>0</v>
      </c>
      <c r="J1624" s="4">
        <f t="shared" si="147"/>
        <v>0</v>
      </c>
      <c r="K1624" s="4" t="str">
        <f t="shared" si="148"/>
        <v>Os176</v>
      </c>
    </row>
    <row r="1625" spans="2:11" hidden="1" x14ac:dyDescent="0.2">
      <c r="B1625" s="4">
        <v>76177</v>
      </c>
      <c r="C1625" s="4">
        <v>0</v>
      </c>
      <c r="D1625">
        <v>0</v>
      </c>
      <c r="E1625" t="str">
        <f>VLOOKUP(B1625,Nuclides!A:F,5,FALSE)</f>
        <v>Os177</v>
      </c>
      <c r="F1625">
        <f>VLOOKUP(B1625,Nuclides!A:F,4,FALSE)</f>
        <v>180</v>
      </c>
      <c r="G1625" s="4" t="str">
        <f t="shared" si="144"/>
        <v>3min</v>
      </c>
      <c r="H1625" s="4">
        <f t="shared" si="145"/>
        <v>3.8508176697774738E-3</v>
      </c>
      <c r="I1625" s="4">
        <f t="shared" si="146"/>
        <v>0</v>
      </c>
      <c r="J1625" s="4">
        <f t="shared" si="147"/>
        <v>0</v>
      </c>
      <c r="K1625" s="4" t="str">
        <f t="shared" si="148"/>
        <v>Os177</v>
      </c>
    </row>
    <row r="1626" spans="2:11" hidden="1" x14ac:dyDescent="0.2">
      <c r="B1626" s="4">
        <v>76178</v>
      </c>
      <c r="C1626" s="4">
        <v>0</v>
      </c>
      <c r="D1626">
        <v>0</v>
      </c>
      <c r="E1626" t="str">
        <f>VLOOKUP(B1626,Nuclides!A:F,5,FALSE)</f>
        <v>Os178</v>
      </c>
      <c r="F1626">
        <f>VLOOKUP(B1626,Nuclides!A:F,4,FALSE)</f>
        <v>300</v>
      </c>
      <c r="G1626" s="4" t="str">
        <f t="shared" si="144"/>
        <v>5min</v>
      </c>
      <c r="H1626" s="4">
        <f t="shared" si="145"/>
        <v>2.3104906018664843E-3</v>
      </c>
      <c r="I1626" s="4">
        <f t="shared" si="146"/>
        <v>0</v>
      </c>
      <c r="J1626" s="4">
        <f t="shared" si="147"/>
        <v>0</v>
      </c>
      <c r="K1626" s="4" t="str">
        <f t="shared" si="148"/>
        <v>Os178</v>
      </c>
    </row>
    <row r="1627" spans="2:11" hidden="1" x14ac:dyDescent="0.2">
      <c r="B1627" s="4">
        <v>76179</v>
      </c>
      <c r="C1627" s="4">
        <v>0</v>
      </c>
      <c r="D1627">
        <v>0</v>
      </c>
      <c r="E1627" t="str">
        <f>VLOOKUP(B1627,Nuclides!A:F,5,FALSE)</f>
        <v>Os179</v>
      </c>
      <c r="F1627">
        <f>VLOOKUP(B1627,Nuclides!A:F,4,FALSE)</f>
        <v>390</v>
      </c>
      <c r="G1627" s="4" t="str">
        <f t="shared" si="144"/>
        <v>6.5min</v>
      </c>
      <c r="H1627" s="4">
        <f t="shared" si="145"/>
        <v>1.7773004629742187E-3</v>
      </c>
      <c r="I1627" s="4">
        <f t="shared" si="146"/>
        <v>0</v>
      </c>
      <c r="J1627" s="4">
        <f t="shared" si="147"/>
        <v>0</v>
      </c>
      <c r="K1627" s="4" t="str">
        <f t="shared" si="148"/>
        <v>Os179</v>
      </c>
    </row>
    <row r="1628" spans="2:11" hidden="1" x14ac:dyDescent="0.2">
      <c r="B1628" s="4">
        <v>76180</v>
      </c>
      <c r="C1628" s="4">
        <v>0</v>
      </c>
      <c r="D1628">
        <v>0</v>
      </c>
      <c r="E1628" t="str">
        <f>VLOOKUP(B1628,Nuclides!A:F,5,FALSE)</f>
        <v>Os180</v>
      </c>
      <c r="F1628">
        <f>VLOOKUP(B1628,Nuclides!A:F,4,FALSE)</f>
        <v>1290</v>
      </c>
      <c r="G1628" s="4" t="str">
        <f t="shared" si="144"/>
        <v>21.5min</v>
      </c>
      <c r="H1628" s="4">
        <f t="shared" si="145"/>
        <v>5.3732339578290334E-4</v>
      </c>
      <c r="I1628" s="4">
        <f t="shared" si="146"/>
        <v>0</v>
      </c>
      <c r="J1628" s="4">
        <f t="shared" si="147"/>
        <v>0</v>
      </c>
      <c r="K1628" s="4" t="str">
        <f t="shared" si="148"/>
        <v>Os180</v>
      </c>
    </row>
    <row r="1629" spans="2:11" hidden="1" x14ac:dyDescent="0.2">
      <c r="B1629" s="4">
        <v>76181</v>
      </c>
      <c r="C1629" s="4">
        <v>0</v>
      </c>
      <c r="D1629">
        <v>0</v>
      </c>
      <c r="E1629" t="str">
        <f>VLOOKUP(B1629,Nuclides!A:F,5,FALSE)</f>
        <v>Os181</v>
      </c>
      <c r="F1629">
        <f>VLOOKUP(B1629,Nuclides!A:F,4,FALSE)</f>
        <v>6300</v>
      </c>
      <c r="G1629" s="4" t="str">
        <f t="shared" si="144"/>
        <v>1.75h</v>
      </c>
      <c r="H1629" s="4">
        <f t="shared" si="145"/>
        <v>1.1002336199364211E-4</v>
      </c>
      <c r="I1629" s="4">
        <f t="shared" si="146"/>
        <v>0</v>
      </c>
      <c r="J1629" s="4">
        <f t="shared" si="147"/>
        <v>0</v>
      </c>
      <c r="K1629" s="4" t="str">
        <f t="shared" si="148"/>
        <v>Os181</v>
      </c>
    </row>
    <row r="1630" spans="2:11" hidden="1" x14ac:dyDescent="0.2">
      <c r="B1630" s="4">
        <v>76182</v>
      </c>
      <c r="C1630" s="4">
        <v>0</v>
      </c>
      <c r="D1630">
        <v>0</v>
      </c>
      <c r="E1630" t="str">
        <f>VLOOKUP(B1630,Nuclides!A:F,5,FALSE)</f>
        <v>Os182</v>
      </c>
      <c r="F1630">
        <f>VLOOKUP(B1630,Nuclides!A:F,4,FALSE)</f>
        <v>78624</v>
      </c>
      <c r="G1630" s="4" t="str">
        <f t="shared" si="144"/>
        <v>21.84h</v>
      </c>
      <c r="H1630" s="4">
        <f t="shared" si="145"/>
        <v>8.8159745187213223E-6</v>
      </c>
      <c r="I1630" s="4">
        <f t="shared" si="146"/>
        <v>0</v>
      </c>
      <c r="J1630" s="4">
        <f t="shared" si="147"/>
        <v>0</v>
      </c>
      <c r="K1630" s="4" t="str">
        <f t="shared" si="148"/>
        <v>Os182</v>
      </c>
    </row>
    <row r="1631" spans="2:11" hidden="1" x14ac:dyDescent="0.2">
      <c r="B1631" s="4">
        <v>76183</v>
      </c>
      <c r="C1631" s="4">
        <v>0</v>
      </c>
      <c r="D1631">
        <v>0</v>
      </c>
      <c r="E1631" t="str">
        <f>VLOOKUP(B1631,Nuclides!A:F,5,FALSE)</f>
        <v>Os183</v>
      </c>
      <c r="F1631">
        <f>VLOOKUP(B1631,Nuclides!A:F,4,FALSE)</f>
        <v>46800</v>
      </c>
      <c r="G1631" s="4" t="str">
        <f t="shared" si="144"/>
        <v>13h</v>
      </c>
      <c r="H1631" s="4">
        <f t="shared" si="145"/>
        <v>1.4810837191451823E-5</v>
      </c>
      <c r="I1631" s="4">
        <f t="shared" si="146"/>
        <v>0</v>
      </c>
      <c r="J1631" s="4">
        <f t="shared" si="147"/>
        <v>0</v>
      </c>
      <c r="K1631" s="4" t="str">
        <f t="shared" si="148"/>
        <v>Os183</v>
      </c>
    </row>
    <row r="1632" spans="2:11" hidden="1" x14ac:dyDescent="0.2">
      <c r="B1632" s="4">
        <v>76184</v>
      </c>
      <c r="C1632" s="4">
        <v>0</v>
      </c>
      <c r="D1632">
        <v>0</v>
      </c>
      <c r="E1632" t="str">
        <f>VLOOKUP(B1632,Nuclides!A:F,5,FALSE)</f>
        <v>Os184</v>
      </c>
      <c r="F1632">
        <f>VLOOKUP(B1632,Nuclides!A:F,4,FALSE)</f>
        <v>1.7672256E+21</v>
      </c>
      <c r="G1632" s="4" t="str">
        <f t="shared" si="144"/>
        <v>56038356164383.6y</v>
      </c>
      <c r="H1632" s="4">
        <f t="shared" si="145"/>
        <v>3.9222337010053796E-22</v>
      </c>
      <c r="I1632" s="4">
        <f t="shared" si="146"/>
        <v>0</v>
      </c>
      <c r="J1632" s="4">
        <f t="shared" si="147"/>
        <v>0</v>
      </c>
      <c r="K1632" s="4" t="str">
        <f t="shared" si="148"/>
        <v>Os184</v>
      </c>
    </row>
    <row r="1633" spans="2:11" hidden="1" x14ac:dyDescent="0.2">
      <c r="B1633" s="4">
        <v>76185</v>
      </c>
      <c r="C1633" s="4">
        <v>0</v>
      </c>
      <c r="D1633">
        <v>0</v>
      </c>
      <c r="E1633" t="str">
        <f>VLOOKUP(B1633,Nuclides!A:F,5,FALSE)</f>
        <v>Os185</v>
      </c>
      <c r="F1633">
        <f>VLOOKUP(B1633,Nuclides!A:F,4,FALSE)</f>
        <v>8087039.9999999898</v>
      </c>
      <c r="G1633" s="4" t="str">
        <f t="shared" si="144"/>
        <v>93.6d</v>
      </c>
      <c r="H1633" s="4">
        <f t="shared" si="145"/>
        <v>8.5710863376457413E-8</v>
      </c>
      <c r="I1633" s="4">
        <f t="shared" si="146"/>
        <v>0</v>
      </c>
      <c r="J1633" s="4">
        <f t="shared" si="147"/>
        <v>0</v>
      </c>
      <c r="K1633" s="4" t="str">
        <f t="shared" si="148"/>
        <v>Os185</v>
      </c>
    </row>
    <row r="1634" spans="2:11" hidden="1" x14ac:dyDescent="0.2">
      <c r="B1634" s="4">
        <v>76186</v>
      </c>
      <c r="C1634" s="4">
        <v>0</v>
      </c>
      <c r="D1634">
        <v>0</v>
      </c>
      <c r="E1634" t="str">
        <f>VLOOKUP(B1634,Nuclides!A:F,5,FALSE)</f>
        <v>Os186</v>
      </c>
      <c r="F1634">
        <f>VLOOKUP(B1634,Nuclides!A:F,4,FALSE)</f>
        <v>6.3115200000000002E+22</v>
      </c>
      <c r="G1634" s="4" t="str">
        <f t="shared" si="144"/>
        <v>2001369863013700y</v>
      </c>
      <c r="H1634" s="4">
        <f t="shared" si="145"/>
        <v>1.0982254362815063E-23</v>
      </c>
      <c r="I1634" s="4">
        <f t="shared" si="146"/>
        <v>0</v>
      </c>
      <c r="J1634" s="4">
        <f t="shared" si="147"/>
        <v>0</v>
      </c>
      <c r="K1634" s="4" t="str">
        <f t="shared" si="148"/>
        <v>Os186</v>
      </c>
    </row>
    <row r="1635" spans="2:11" hidden="1" x14ac:dyDescent="0.2">
      <c r="B1635" s="4">
        <v>76187</v>
      </c>
      <c r="C1635" s="4">
        <v>0</v>
      </c>
      <c r="D1635">
        <v>0</v>
      </c>
      <c r="E1635" t="str">
        <f>VLOOKUP(B1635,Nuclides!A:F,5,FALSE)</f>
        <v>Os187</v>
      </c>
      <c r="F1635" t="str">
        <f>VLOOKUP(B1635,Nuclides!A:F,4,FALSE)</f>
        <v>STABLE</v>
      </c>
      <c r="G1635" s="4" t="str">
        <f t="shared" si="144"/>
        <v>STABLE</v>
      </c>
      <c r="H1635" s="4" t="e">
        <f t="shared" si="145"/>
        <v>#VALUE!</v>
      </c>
      <c r="I1635" s="4" t="e">
        <f t="shared" si="146"/>
        <v>#VALUE!</v>
      </c>
      <c r="J1635" s="4" t="e">
        <f t="shared" si="147"/>
        <v>#VALUE!</v>
      </c>
      <c r="K1635" s="4" t="str">
        <f t="shared" si="148"/>
        <v>Os187</v>
      </c>
    </row>
    <row r="1636" spans="2:11" hidden="1" x14ac:dyDescent="0.2">
      <c r="B1636" s="4">
        <v>76188</v>
      </c>
      <c r="C1636" s="4">
        <v>0</v>
      </c>
      <c r="D1636">
        <v>0</v>
      </c>
      <c r="E1636" t="str">
        <f>VLOOKUP(B1636,Nuclides!A:F,5,FALSE)</f>
        <v>Os188</v>
      </c>
      <c r="F1636" t="str">
        <f>VLOOKUP(B1636,Nuclides!A:F,4,FALSE)</f>
        <v>STABLE</v>
      </c>
      <c r="G1636" s="4" t="str">
        <f t="shared" si="144"/>
        <v>STABLE</v>
      </c>
      <c r="H1636" s="4" t="e">
        <f t="shared" si="145"/>
        <v>#VALUE!</v>
      </c>
      <c r="I1636" s="4" t="e">
        <f t="shared" si="146"/>
        <v>#VALUE!</v>
      </c>
      <c r="J1636" s="4" t="e">
        <f t="shared" si="147"/>
        <v>#VALUE!</v>
      </c>
      <c r="K1636" s="4" t="str">
        <f t="shared" si="148"/>
        <v>Os188</v>
      </c>
    </row>
    <row r="1637" spans="2:11" hidden="1" x14ac:dyDescent="0.2">
      <c r="B1637" s="4">
        <v>76189</v>
      </c>
      <c r="C1637" s="4">
        <v>0</v>
      </c>
      <c r="D1637">
        <v>0</v>
      </c>
      <c r="E1637" t="str">
        <f>VLOOKUP(B1637,Nuclides!A:F,5,FALSE)</f>
        <v>Os189</v>
      </c>
      <c r="F1637" t="str">
        <f>VLOOKUP(B1637,Nuclides!A:F,4,FALSE)</f>
        <v>STABLE</v>
      </c>
      <c r="G1637" s="4" t="str">
        <f t="shared" si="144"/>
        <v>STABLE</v>
      </c>
      <c r="H1637" s="4" t="e">
        <f t="shared" si="145"/>
        <v>#VALUE!</v>
      </c>
      <c r="I1637" s="4" t="e">
        <f t="shared" si="146"/>
        <v>#VALUE!</v>
      </c>
      <c r="J1637" s="4" t="e">
        <f t="shared" si="147"/>
        <v>#VALUE!</v>
      </c>
      <c r="K1637" s="4" t="str">
        <f t="shared" si="148"/>
        <v>Os189</v>
      </c>
    </row>
    <row r="1638" spans="2:11" hidden="1" x14ac:dyDescent="0.2">
      <c r="B1638" s="4">
        <v>76190</v>
      </c>
      <c r="C1638" s="4">
        <v>0</v>
      </c>
      <c r="D1638">
        <v>0</v>
      </c>
      <c r="E1638" t="str">
        <f>VLOOKUP(B1638,Nuclides!A:F,5,FALSE)</f>
        <v>Os190</v>
      </c>
      <c r="F1638" t="str">
        <f>VLOOKUP(B1638,Nuclides!A:F,4,FALSE)</f>
        <v>STABLE</v>
      </c>
      <c r="G1638" s="4" t="str">
        <f t="shared" si="144"/>
        <v>STABLE</v>
      </c>
      <c r="H1638" s="4" t="e">
        <f t="shared" si="145"/>
        <v>#VALUE!</v>
      </c>
      <c r="I1638" s="4" t="e">
        <f t="shared" si="146"/>
        <v>#VALUE!</v>
      </c>
      <c r="J1638" s="4" t="e">
        <f t="shared" si="147"/>
        <v>#VALUE!</v>
      </c>
      <c r="K1638" s="4" t="str">
        <f t="shared" si="148"/>
        <v>Os190</v>
      </c>
    </row>
    <row r="1639" spans="2:11" hidden="1" x14ac:dyDescent="0.2">
      <c r="B1639" s="4">
        <v>76191</v>
      </c>
      <c r="C1639" s="4">
        <v>0</v>
      </c>
      <c r="D1639">
        <v>0</v>
      </c>
      <c r="E1639" t="str">
        <f>VLOOKUP(B1639,Nuclides!A:F,5,FALSE)</f>
        <v>Os191</v>
      </c>
      <c r="F1639">
        <f>VLOOKUP(B1639,Nuclides!A:F,4,FALSE)</f>
        <v>1330560</v>
      </c>
      <c r="G1639" s="4" t="str">
        <f t="shared" si="144"/>
        <v>15.4d</v>
      </c>
      <c r="H1639" s="4">
        <f t="shared" si="145"/>
        <v>5.2094394883353276E-7</v>
      </c>
      <c r="I1639" s="4">
        <f t="shared" si="146"/>
        <v>0</v>
      </c>
      <c r="J1639" s="4">
        <f t="shared" si="147"/>
        <v>0</v>
      </c>
      <c r="K1639" s="4" t="str">
        <f t="shared" si="148"/>
        <v>Os191</v>
      </c>
    </row>
    <row r="1640" spans="2:11" hidden="1" x14ac:dyDescent="0.2">
      <c r="B1640" s="4">
        <v>76192</v>
      </c>
      <c r="C1640" s="4">
        <v>0</v>
      </c>
      <c r="D1640">
        <v>0</v>
      </c>
      <c r="E1640" t="str">
        <f>VLOOKUP(B1640,Nuclides!A:F,5,FALSE)</f>
        <v>Os192</v>
      </c>
      <c r="F1640" t="str">
        <f>VLOOKUP(B1640,Nuclides!A:F,4,FALSE)</f>
        <v>STABLE</v>
      </c>
      <c r="G1640" s="4" t="str">
        <f t="shared" si="144"/>
        <v>STABLE</v>
      </c>
      <c r="H1640" s="4" t="e">
        <f t="shared" si="145"/>
        <v>#VALUE!</v>
      </c>
      <c r="I1640" s="4" t="e">
        <f t="shared" si="146"/>
        <v>#VALUE!</v>
      </c>
      <c r="J1640" s="4" t="e">
        <f t="shared" si="147"/>
        <v>#VALUE!</v>
      </c>
      <c r="K1640" s="4" t="str">
        <f t="shared" si="148"/>
        <v>Os192</v>
      </c>
    </row>
    <row r="1641" spans="2:11" hidden="1" x14ac:dyDescent="0.2">
      <c r="B1641" s="4">
        <v>76193</v>
      </c>
      <c r="C1641" s="4">
        <v>0</v>
      </c>
      <c r="D1641">
        <v>0</v>
      </c>
      <c r="E1641" t="str">
        <f>VLOOKUP(B1641,Nuclides!A:F,5,FALSE)</f>
        <v>Os193</v>
      </c>
      <c r="F1641">
        <f>VLOOKUP(B1641,Nuclides!A:F,4,FALSE)</f>
        <v>108396</v>
      </c>
      <c r="G1641" s="4" t="str">
        <f t="shared" si="144"/>
        <v>1.25d</v>
      </c>
      <c r="H1641" s="4">
        <f t="shared" si="145"/>
        <v>6.39458264659162E-6</v>
      </c>
      <c r="I1641" s="4">
        <f t="shared" si="146"/>
        <v>0</v>
      </c>
      <c r="J1641" s="4">
        <f t="shared" si="147"/>
        <v>0</v>
      </c>
      <c r="K1641" s="4" t="str">
        <f t="shared" si="148"/>
        <v>Os193</v>
      </c>
    </row>
    <row r="1642" spans="2:11" hidden="1" x14ac:dyDescent="0.2">
      <c r="B1642" s="4">
        <v>76194</v>
      </c>
      <c r="C1642" s="4">
        <v>0</v>
      </c>
      <c r="D1642">
        <v>0</v>
      </c>
      <c r="E1642" t="str">
        <f>VLOOKUP(B1642,Nuclides!A:F,5,FALSE)</f>
        <v>Os194</v>
      </c>
      <c r="F1642">
        <f>VLOOKUP(B1642,Nuclides!A:F,4,FALSE)</f>
        <v>189345600</v>
      </c>
      <c r="G1642" s="4" t="str">
        <f t="shared" si="144"/>
        <v>6y</v>
      </c>
      <c r="H1642" s="4">
        <f t="shared" si="145"/>
        <v>3.6607514542716879E-9</v>
      </c>
      <c r="I1642" s="4">
        <f t="shared" si="146"/>
        <v>0</v>
      </c>
      <c r="J1642" s="4">
        <f t="shared" si="147"/>
        <v>0</v>
      </c>
      <c r="K1642" s="4" t="str">
        <f t="shared" si="148"/>
        <v>Os194</v>
      </c>
    </row>
    <row r="1643" spans="2:11" hidden="1" x14ac:dyDescent="0.2">
      <c r="B1643" s="4">
        <v>76195</v>
      </c>
      <c r="C1643" s="4">
        <v>0</v>
      </c>
      <c r="D1643">
        <v>0</v>
      </c>
      <c r="E1643" t="str">
        <f>VLOOKUP(B1643,Nuclides!A:F,5,FALSE)</f>
        <v>Os195</v>
      </c>
      <c r="F1643">
        <f>VLOOKUP(B1643,Nuclides!A:F,4,FALSE)</f>
        <v>540</v>
      </c>
      <c r="G1643" s="4" t="str">
        <f t="shared" si="144"/>
        <v>9min</v>
      </c>
      <c r="H1643" s="4">
        <f t="shared" si="145"/>
        <v>1.2836058899258246E-3</v>
      </c>
      <c r="I1643" s="4">
        <f t="shared" si="146"/>
        <v>0</v>
      </c>
      <c r="J1643" s="4">
        <f t="shared" si="147"/>
        <v>0</v>
      </c>
      <c r="K1643" s="4" t="str">
        <f t="shared" si="148"/>
        <v>Os195</v>
      </c>
    </row>
    <row r="1644" spans="2:11" hidden="1" x14ac:dyDescent="0.2">
      <c r="B1644" s="4">
        <v>76196</v>
      </c>
      <c r="C1644" s="4">
        <v>0</v>
      </c>
      <c r="D1644">
        <v>0</v>
      </c>
      <c r="E1644" t="str">
        <f>VLOOKUP(B1644,Nuclides!A:F,5,FALSE)</f>
        <v>Os196</v>
      </c>
      <c r="F1644">
        <f>VLOOKUP(B1644,Nuclides!A:F,4,FALSE)</f>
        <v>2094</v>
      </c>
      <c r="G1644" s="4" t="str">
        <f t="shared" si="144"/>
        <v>34.9min</v>
      </c>
      <c r="H1644" s="4">
        <f t="shared" si="145"/>
        <v>3.3101584553961092E-4</v>
      </c>
      <c r="I1644" s="4">
        <f t="shared" si="146"/>
        <v>0</v>
      </c>
      <c r="J1644" s="4">
        <f t="shared" si="147"/>
        <v>0</v>
      </c>
      <c r="K1644" s="4" t="str">
        <f t="shared" si="148"/>
        <v>Os196</v>
      </c>
    </row>
    <row r="1649" spans="2:14" x14ac:dyDescent="0.2">
      <c r="B1649" t="s">
        <v>3210</v>
      </c>
      <c r="C1649" t="s">
        <v>3211</v>
      </c>
      <c r="D1649" t="s">
        <v>3212</v>
      </c>
      <c r="E1649" t="s">
        <v>3210</v>
      </c>
      <c r="F1649" t="s">
        <v>3211</v>
      </c>
      <c r="G1649" t="s">
        <v>3212</v>
      </c>
    </row>
    <row r="1650" spans="2:14" x14ac:dyDescent="0.2">
      <c r="B1650" s="4" t="s">
        <v>23</v>
      </c>
      <c r="C1650" s="4" t="s">
        <v>3196</v>
      </c>
      <c r="D1650" s="4">
        <v>31669.432771136442</v>
      </c>
      <c r="E1650" s="4" t="s">
        <v>547</v>
      </c>
      <c r="F1650" s="4" t="s">
        <v>3182</v>
      </c>
      <c r="G1650" s="4">
        <v>81148.27006595947</v>
      </c>
      <c r="M1650">
        <f>11.93-7.45</f>
        <v>4.4799999999999995</v>
      </c>
    </row>
    <row r="1651" spans="2:14" x14ac:dyDescent="0.2">
      <c r="B1651" s="4" t="s">
        <v>380</v>
      </c>
      <c r="C1651" s="4" t="s">
        <v>3197</v>
      </c>
      <c r="D1651" s="4">
        <v>32891.515157604539</v>
      </c>
      <c r="E1651" s="4" t="s">
        <v>550</v>
      </c>
      <c r="F1651" s="4" t="s">
        <v>3183</v>
      </c>
      <c r="G1651" s="4">
        <v>1222426.4136804857</v>
      </c>
    </row>
    <row r="1652" spans="2:14" x14ac:dyDescent="0.2">
      <c r="B1652" s="4" t="s">
        <v>407</v>
      </c>
      <c r="C1652" s="4" t="s">
        <v>3198</v>
      </c>
      <c r="D1652" s="4">
        <v>2281.7240749991538</v>
      </c>
      <c r="E1652" s="4" t="s">
        <v>967</v>
      </c>
      <c r="F1652" s="4" t="s">
        <v>3184</v>
      </c>
      <c r="G1652" s="4">
        <v>12099.719638523355</v>
      </c>
      <c r="L1652" s="4">
        <v>19000</v>
      </c>
      <c r="M1652" s="4">
        <f>L1652*0.03*2</f>
        <v>1140</v>
      </c>
      <c r="N1652" s="4">
        <f>L1652*0.2</f>
        <v>3800</v>
      </c>
    </row>
    <row r="1653" spans="2:14" x14ac:dyDescent="0.2">
      <c r="B1653" s="4" t="s">
        <v>430</v>
      </c>
      <c r="C1653" s="4" t="s">
        <v>3199</v>
      </c>
      <c r="D1653" s="4">
        <v>98267569.989527389</v>
      </c>
      <c r="E1653" s="4" t="s">
        <v>995</v>
      </c>
      <c r="F1653" s="4" t="s">
        <v>3185</v>
      </c>
      <c r="G1653" s="4">
        <v>8045.2388293623935</v>
      </c>
      <c r="L1653" s="4">
        <v>290</v>
      </c>
    </row>
    <row r="1654" spans="2:14" x14ac:dyDescent="0.2">
      <c r="B1654" s="4" t="s">
        <v>432</v>
      </c>
      <c r="C1654" s="4" t="s">
        <v>3200</v>
      </c>
      <c r="D1654" s="4">
        <v>62613.929092398292</v>
      </c>
      <c r="E1654" s="4" t="s">
        <v>996</v>
      </c>
      <c r="F1654" s="4" t="s">
        <v>3186</v>
      </c>
      <c r="G1654" s="4">
        <v>1969509.5844040867</v>
      </c>
      <c r="L1654">
        <v>29.7</v>
      </c>
    </row>
    <row r="1655" spans="2:14" x14ac:dyDescent="0.2">
      <c r="B1655" s="4" t="s">
        <v>460</v>
      </c>
      <c r="C1655" s="4" t="s">
        <v>3201</v>
      </c>
      <c r="D1655" s="4">
        <v>57786.66716079905</v>
      </c>
      <c r="E1655" s="4" t="s">
        <v>997</v>
      </c>
      <c r="F1655" s="4" t="s">
        <v>3187</v>
      </c>
      <c r="G1655" s="4">
        <v>7617564.9621007117</v>
      </c>
    </row>
    <row r="1656" spans="2:14" x14ac:dyDescent="0.2">
      <c r="B1656" s="4" t="s">
        <v>464</v>
      </c>
      <c r="C1656" s="4" t="s">
        <v>3202</v>
      </c>
      <c r="D1656" s="4">
        <v>478.2131346478493</v>
      </c>
      <c r="E1656" s="4" t="s">
        <v>998</v>
      </c>
      <c r="F1656" s="4" t="s">
        <v>3188</v>
      </c>
      <c r="G1656" s="4">
        <v>2642199.0487197707</v>
      </c>
      <c r="M1656">
        <f>1140*2+3800+80+200</f>
        <v>6360</v>
      </c>
      <c r="N1656">
        <f>1800+3000+280</f>
        <v>5080</v>
      </c>
    </row>
    <row r="1657" spans="2:14" x14ac:dyDescent="0.2">
      <c r="B1657" s="4" t="s">
        <v>485</v>
      </c>
      <c r="C1657" s="4" t="s">
        <v>3203</v>
      </c>
      <c r="D1657" s="4">
        <v>10976780.606583152</v>
      </c>
      <c r="E1657" s="4" t="s">
        <v>2175</v>
      </c>
      <c r="F1657" s="4" t="s">
        <v>3189</v>
      </c>
      <c r="G1657" s="4">
        <v>285.20998369973955</v>
      </c>
    </row>
    <row r="1658" spans="2:14" x14ac:dyDescent="0.2">
      <c r="B1658" s="4" t="s">
        <v>486</v>
      </c>
      <c r="C1658" s="4" t="s">
        <v>3204</v>
      </c>
      <c r="D1658" s="4">
        <v>7511609.1365100844</v>
      </c>
      <c r="E1658" s="4" t="s">
        <v>2177</v>
      </c>
      <c r="F1658" s="4" t="s">
        <v>3190</v>
      </c>
      <c r="G1658" s="4">
        <v>10506.728665986971</v>
      </c>
    </row>
    <row r="1659" spans="2:14" x14ac:dyDescent="0.2">
      <c r="B1659" s="4" t="s">
        <v>487</v>
      </c>
      <c r="C1659" s="4" t="s">
        <v>3205</v>
      </c>
      <c r="D1659" s="4">
        <v>67943.248087948014</v>
      </c>
      <c r="E1659" s="4" t="s">
        <v>2208</v>
      </c>
      <c r="F1659" s="4" t="s">
        <v>3191</v>
      </c>
      <c r="G1659" s="4">
        <v>7753646.4796337457</v>
      </c>
      <c r="J1659">
        <v>0</v>
      </c>
      <c r="K1659" s="4">
        <v>125664</v>
      </c>
      <c r="L1659" s="6">
        <v>6.8677899999999999E-7</v>
      </c>
      <c r="M1659" s="4">
        <f>K1659*L1659</f>
        <v>8.6303396256000003E-2</v>
      </c>
      <c r="N1659" s="4">
        <f>(M1659-$M$1659)/$M$1659%</f>
        <v>0</v>
      </c>
    </row>
    <row r="1660" spans="2:14" x14ac:dyDescent="0.2">
      <c r="B1660" s="4" t="s">
        <v>488</v>
      </c>
      <c r="C1660" s="4" t="s">
        <v>3206</v>
      </c>
      <c r="D1660" s="4">
        <v>135643.82077849476</v>
      </c>
      <c r="E1660" s="4" t="s">
        <v>2209</v>
      </c>
      <c r="F1660" s="4" t="s">
        <v>3192</v>
      </c>
      <c r="G1660" s="4">
        <v>2814530.9599584267</v>
      </c>
      <c r="J1660">
        <v>8</v>
      </c>
      <c r="K1660" s="4">
        <v>125664</v>
      </c>
      <c r="L1660" s="6">
        <v>6.8745299999999996E-7</v>
      </c>
      <c r="M1660" s="4">
        <f t="shared" ref="M1660:M1663" si="149">K1660*L1660</f>
        <v>8.6388093791999992E-2</v>
      </c>
      <c r="N1660" s="4">
        <f t="shared" ref="N1660:N1663" si="150">(M1660-$M$1659)/$M$1659%</f>
        <v>9.8139284981036565E-2</v>
      </c>
    </row>
    <row r="1661" spans="2:14" x14ac:dyDescent="0.2">
      <c r="B1661" s="4" t="s">
        <v>490</v>
      </c>
      <c r="C1661" s="4" t="s">
        <v>3207</v>
      </c>
      <c r="D1661" s="4">
        <v>145.97101796730277</v>
      </c>
      <c r="E1661" s="4" t="s">
        <v>2210</v>
      </c>
      <c r="F1661" s="4" t="s">
        <v>3193</v>
      </c>
      <c r="G1661" s="4">
        <v>277032.43035047216</v>
      </c>
      <c r="J1661">
        <v>50</v>
      </c>
      <c r="K1661" s="4">
        <v>125664</v>
      </c>
      <c r="L1661" s="6">
        <v>6.9278599999999999E-7</v>
      </c>
      <c r="M1661" s="4">
        <f t="shared" si="149"/>
        <v>8.7058259903999999E-2</v>
      </c>
      <c r="N1661" s="4">
        <f t="shared" si="150"/>
        <v>0.87466273721240206</v>
      </c>
    </row>
    <row r="1662" spans="2:14" x14ac:dyDescent="0.2">
      <c r="B1662" s="4" t="s">
        <v>517</v>
      </c>
      <c r="C1662" s="4" t="s">
        <v>3208</v>
      </c>
      <c r="D1662" s="4">
        <v>8961.3052207575165</v>
      </c>
      <c r="E1662" s="4" t="s">
        <v>2211</v>
      </c>
      <c r="F1662" s="4" t="s">
        <v>3194</v>
      </c>
      <c r="G1662" s="4">
        <v>19154.412135291735</v>
      </c>
      <c r="J1662">
        <v>100</v>
      </c>
      <c r="K1662" s="4">
        <v>125664</v>
      </c>
      <c r="L1662" s="6">
        <v>6.9890699999999997E-7</v>
      </c>
      <c r="M1662" s="4">
        <f t="shared" si="149"/>
        <v>8.7827449247999997E-2</v>
      </c>
      <c r="N1662" s="4">
        <f t="shared" si="150"/>
        <v>1.7659247006678933</v>
      </c>
    </row>
    <row r="1663" spans="2:14" x14ac:dyDescent="0.2">
      <c r="B1663" s="4" t="s">
        <v>519</v>
      </c>
      <c r="C1663" s="4" t="s">
        <v>3209</v>
      </c>
      <c r="D1663" s="4">
        <v>55.334192566872908</v>
      </c>
      <c r="E1663" s="4" t="s">
        <v>2213</v>
      </c>
      <c r="F1663" s="4" t="s">
        <v>3195</v>
      </c>
      <c r="G1663" s="4">
        <v>158049.58766964526</v>
      </c>
      <c r="J1663">
        <v>1000</v>
      </c>
      <c r="K1663" s="4">
        <v>125664</v>
      </c>
      <c r="L1663" s="6">
        <v>7.5285599999999998E-7</v>
      </c>
      <c r="M1663" s="4">
        <f t="shared" si="149"/>
        <v>9.4606896383999994E-2</v>
      </c>
      <c r="N1663" s="4">
        <f t="shared" si="150"/>
        <v>9.6212901093364707</v>
      </c>
    </row>
    <row r="1664" spans="2:14" x14ac:dyDescent="0.2">
      <c r="K1664" s="7" t="s">
        <v>3223</v>
      </c>
    </row>
  </sheetData>
  <autoFilter ref="J1:J1644" xr:uid="{FE07B426-4FD4-415F-84BA-A464D8B21A22}">
    <filterColumn colId="0">
      <customFilters>
        <customFilter operator="greaterThan" val="1"/>
      </customFilters>
    </filterColumn>
  </autoFilter>
  <phoneticPr fontId="2" type="noConversion"/>
  <conditionalFormatting sqref="L21:L160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E7988-FB49-4747-B622-540A1448AE0F}">
  <dimension ref="B5:K10"/>
  <sheetViews>
    <sheetView zoomScale="115" zoomScaleNormal="115" workbookViewId="0">
      <selection activeCell="L16" sqref="L16"/>
    </sheetView>
  </sheetViews>
  <sheetFormatPr defaultRowHeight="14.25" x14ac:dyDescent="0.2"/>
  <sheetData>
    <row r="5" spans="2:11" x14ac:dyDescent="0.2">
      <c r="B5" t="s">
        <v>3213</v>
      </c>
      <c r="C5" t="s">
        <v>3219</v>
      </c>
      <c r="D5" t="s">
        <v>3220</v>
      </c>
      <c r="E5" t="s">
        <v>3221</v>
      </c>
      <c r="H5" t="s">
        <v>3222</v>
      </c>
      <c r="I5" t="s">
        <v>3219</v>
      </c>
      <c r="J5" t="s">
        <v>3220</v>
      </c>
      <c r="K5" t="s">
        <v>3221</v>
      </c>
    </row>
    <row r="6" spans="2:11" x14ac:dyDescent="0.2">
      <c r="B6" t="s">
        <v>3214</v>
      </c>
      <c r="C6" s="4">
        <v>36453.800000000003</v>
      </c>
      <c r="D6" s="4">
        <v>557.18700000000001</v>
      </c>
      <c r="E6" s="4">
        <v>55.545200000000001</v>
      </c>
      <c r="H6" t="s">
        <v>3214</v>
      </c>
      <c r="I6" s="4">
        <v>20219.3</v>
      </c>
      <c r="J6" s="4">
        <v>299.28199999999998</v>
      </c>
      <c r="K6" s="4">
        <v>31.865600000000001</v>
      </c>
    </row>
    <row r="7" spans="2:11" x14ac:dyDescent="0.2">
      <c r="B7" t="s">
        <v>3215</v>
      </c>
      <c r="C7" s="4">
        <v>30104.1</v>
      </c>
      <c r="D7" s="4">
        <v>456.50900000000001</v>
      </c>
      <c r="E7" s="4">
        <v>45.261600000000001</v>
      </c>
      <c r="H7" t="s">
        <v>3215</v>
      </c>
      <c r="I7" s="4">
        <v>12285.6</v>
      </c>
      <c r="J7" s="4">
        <v>186.16200000000001</v>
      </c>
      <c r="K7" s="4">
        <v>19.821100000000001</v>
      </c>
    </row>
    <row r="8" spans="2:11" x14ac:dyDescent="0.2">
      <c r="B8" t="s">
        <v>3216</v>
      </c>
      <c r="C8" s="4">
        <v>22688</v>
      </c>
      <c r="D8" s="4">
        <v>347.74799999999999</v>
      </c>
      <c r="E8" s="4">
        <v>35.2393</v>
      </c>
      <c r="H8" t="s">
        <v>3216</v>
      </c>
      <c r="I8" s="4">
        <v>10654</v>
      </c>
      <c r="J8" s="4">
        <v>161.387</v>
      </c>
      <c r="K8" s="4">
        <v>17.3125</v>
      </c>
    </row>
    <row r="9" spans="2:11" x14ac:dyDescent="0.2">
      <c r="B9" t="s">
        <v>3217</v>
      </c>
      <c r="C9" s="4">
        <v>19018.900000000001</v>
      </c>
      <c r="D9" s="4">
        <v>293.74</v>
      </c>
      <c r="E9" s="4">
        <v>29.733699999999999</v>
      </c>
      <c r="H9" t="s">
        <v>3217</v>
      </c>
      <c r="I9" s="4">
        <v>10161.299999999999</v>
      </c>
      <c r="J9" s="4">
        <v>153.80799999999999</v>
      </c>
      <c r="K9" s="4">
        <v>16.496300000000002</v>
      </c>
    </row>
    <row r="10" spans="2:11" x14ac:dyDescent="0.2">
      <c r="B10" t="s">
        <v>3218</v>
      </c>
      <c r="C10" s="4">
        <v>14570.7</v>
      </c>
      <c r="D10" s="4">
        <v>222.685</v>
      </c>
      <c r="E10" s="4">
        <v>23.1145</v>
      </c>
      <c r="H10" t="s">
        <v>3218</v>
      </c>
      <c r="I10" s="4">
        <v>9343.67</v>
      </c>
      <c r="J10" s="4">
        <v>141.59</v>
      </c>
      <c r="K10" s="4">
        <v>15.1633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334C3-074C-4C9C-B0D5-75D3F2A55A09}">
  <dimension ref="A1"/>
  <sheetViews>
    <sheetView workbookViewId="0">
      <selection activeCell="L12" sqref="L12"/>
    </sheetView>
  </sheetViews>
  <sheetFormatPr defaultRowHeight="14.25" x14ac:dyDescent="0.2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Nuclides</vt:lpstr>
      <vt:lpstr>Havar2</vt:lpstr>
      <vt:lpstr>data</vt:lpstr>
      <vt:lpstr>New-Havar</vt:lpstr>
      <vt:lpstr>环评</vt:lpstr>
      <vt:lpstr>New-Nb-Cu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2015-06-05T18:19:34Z</dcterms:created>
  <dcterms:modified xsi:type="dcterms:W3CDTF">2025-12-25T04:46:52Z</dcterms:modified>
</cp:coreProperties>
</file>