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yWork\MCNP\Target\Station\Rubber\"/>
    </mc:Choice>
  </mc:AlternateContent>
  <xr:revisionPtr revIDLastSave="0" documentId="13_ncr:1_{BE6B447C-716D-4B84-8D77-3A5E14A5B4C9}" xr6:coauthVersionLast="47" xr6:coauthVersionMax="47" xr10:uidLastSave="{00000000-0000-0000-0000-000000000000}"/>
  <bookViews>
    <workbookView xWindow="-120" yWindow="-120" windowWidth="29040" windowHeight="15840" activeTab="1" xr2:uid="{5E493A83-4E75-40CE-9E48-F182FA9F38C1}"/>
  </bookViews>
  <sheets>
    <sheet name="Nuclides" sheetId="1" r:id="rId1"/>
    <sheet name="Sheet1" sheetId="2" r:id="rId2"/>
    <sheet name="Sheet2" sheetId="3" r:id="rId3"/>
    <sheet name="Sheet3" sheetId="4" r:id="rId4"/>
    <sheet name="Sheet4" sheetId="5" r:id="rId5"/>
  </sheets>
  <definedNames>
    <definedName name="_xlnm._FilterDatabase" localSheetId="1" hidden="1">Sheet1!$I$1:$J$67</definedName>
    <definedName name="_xlnm._FilterDatabase" localSheetId="2" hidden="1">Sheet2!$F$3:$G$68</definedName>
    <definedName name="_xlnm._FilterDatabase" localSheetId="3" hidden="1">Sheet3!$F$2:$G$183</definedName>
    <definedName name="_xlnm._FilterDatabase" localSheetId="4" hidden="1">Sheet4!$F$3:$G$184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0" i="2" l="1"/>
  <c r="U33" i="2"/>
  <c r="U32" i="2"/>
  <c r="U30" i="2"/>
  <c r="U29" i="2"/>
  <c r="U26" i="2"/>
  <c r="U24" i="2"/>
  <c r="U23" i="2"/>
  <c r="U20" i="2"/>
  <c r="U19" i="2"/>
  <c r="U13" i="2"/>
  <c r="U12" i="2"/>
  <c r="U10" i="2"/>
  <c r="U9" i="2"/>
  <c r="U6" i="2"/>
  <c r="V40" i="2"/>
  <c r="T40" i="2"/>
  <c r="V33" i="2"/>
  <c r="T33" i="2"/>
  <c r="V32" i="2"/>
  <c r="T32" i="2"/>
  <c r="V30" i="2"/>
  <c r="T30" i="2"/>
  <c r="V29" i="2"/>
  <c r="T29" i="2"/>
  <c r="V26" i="2"/>
  <c r="T26" i="2"/>
  <c r="V24" i="2"/>
  <c r="T24" i="2"/>
  <c r="V23" i="2"/>
  <c r="T23" i="2"/>
  <c r="V20" i="2"/>
  <c r="T20" i="2"/>
  <c r="V19" i="2"/>
  <c r="T19" i="2"/>
  <c r="V13" i="2"/>
  <c r="T13" i="2"/>
  <c r="V12" i="2"/>
  <c r="T12" i="2"/>
  <c r="V10" i="2"/>
  <c r="T10" i="2"/>
  <c r="V9" i="2"/>
  <c r="T9" i="2"/>
  <c r="V6" i="2"/>
  <c r="T6" i="2"/>
  <c r="R40" i="2"/>
  <c r="Q40" i="2"/>
  <c r="P40" i="2"/>
  <c r="R33" i="2"/>
  <c r="Q33" i="2"/>
  <c r="P33" i="2"/>
  <c r="R32" i="2"/>
  <c r="Q32" i="2"/>
  <c r="P32" i="2"/>
  <c r="R30" i="2"/>
  <c r="Q30" i="2"/>
  <c r="P30" i="2"/>
  <c r="R29" i="2"/>
  <c r="Q29" i="2"/>
  <c r="P29" i="2"/>
  <c r="R26" i="2"/>
  <c r="Q26" i="2"/>
  <c r="P26" i="2"/>
  <c r="R24" i="2"/>
  <c r="Q24" i="2"/>
  <c r="P24" i="2"/>
  <c r="R23" i="2"/>
  <c r="Q23" i="2"/>
  <c r="P23" i="2"/>
  <c r="R20" i="2"/>
  <c r="Q20" i="2"/>
  <c r="P20" i="2"/>
  <c r="R19" i="2"/>
  <c r="Q19" i="2"/>
  <c r="P19" i="2"/>
  <c r="R13" i="2"/>
  <c r="Q13" i="2"/>
  <c r="P13" i="2"/>
  <c r="R12" i="2"/>
  <c r="Q12" i="2"/>
  <c r="P12" i="2"/>
  <c r="R10" i="2"/>
  <c r="Q10" i="2"/>
  <c r="P10" i="2"/>
  <c r="R9" i="2"/>
  <c r="Q9" i="2"/>
  <c r="P9" i="2"/>
  <c r="R6" i="2"/>
  <c r="Q6" i="2"/>
  <c r="P6" i="2"/>
  <c r="E4" i="2"/>
  <c r="K4" i="2" s="1"/>
  <c r="F4" i="2"/>
  <c r="G4" i="2" s="1"/>
  <c r="E5" i="2"/>
  <c r="K5" i="2" s="1"/>
  <c r="F5" i="2"/>
  <c r="G5" i="2" s="1"/>
  <c r="E6" i="2"/>
  <c r="K6" i="2" s="1"/>
  <c r="F6" i="2"/>
  <c r="H6" i="2" s="1"/>
  <c r="I6" i="2" s="1"/>
  <c r="E7" i="2"/>
  <c r="K7" i="2" s="1"/>
  <c r="F7" i="2"/>
  <c r="G7" i="2" s="1"/>
  <c r="E8" i="2"/>
  <c r="K8" i="2" s="1"/>
  <c r="F8" i="2"/>
  <c r="G8" i="2" s="1"/>
  <c r="E9" i="2"/>
  <c r="F9" i="2"/>
  <c r="H9" i="2" s="1"/>
  <c r="I9" i="2" s="1"/>
  <c r="K9" i="2"/>
  <c r="E10" i="2"/>
  <c r="F10" i="2"/>
  <c r="G10" i="2" s="1"/>
  <c r="H10" i="2"/>
  <c r="I10" i="2" s="1"/>
  <c r="J10" i="2" s="1"/>
  <c r="K10" i="2"/>
  <c r="E11" i="2"/>
  <c r="K11" i="2" s="1"/>
  <c r="F11" i="2"/>
  <c r="H11" i="2" s="1"/>
  <c r="I11" i="2" s="1"/>
  <c r="J11" i="2" s="1"/>
  <c r="E12" i="2"/>
  <c r="K12" i="2" s="1"/>
  <c r="F12" i="2"/>
  <c r="G12" i="2" s="1"/>
  <c r="E13" i="2"/>
  <c r="F13" i="2"/>
  <c r="G13" i="2" s="1"/>
  <c r="K13" i="2"/>
  <c r="E14" i="2"/>
  <c r="K14" i="2" s="1"/>
  <c r="F14" i="2"/>
  <c r="G14" i="2" s="1"/>
  <c r="E15" i="2"/>
  <c r="K15" i="2" s="1"/>
  <c r="F15" i="2"/>
  <c r="H15" i="2" s="1"/>
  <c r="I15" i="2" s="1"/>
  <c r="J15" i="2" s="1"/>
  <c r="E16" i="2"/>
  <c r="K16" i="2" s="1"/>
  <c r="F16" i="2"/>
  <c r="H16" i="2" s="1"/>
  <c r="I16" i="2" s="1"/>
  <c r="J16" i="2" s="1"/>
  <c r="E17" i="2"/>
  <c r="K17" i="2" s="1"/>
  <c r="F17" i="2"/>
  <c r="G17" i="2" s="1"/>
  <c r="E18" i="2"/>
  <c r="K18" i="2" s="1"/>
  <c r="F18" i="2"/>
  <c r="G18" i="2" s="1"/>
  <c r="E19" i="2"/>
  <c r="K19" i="2" s="1"/>
  <c r="F19" i="2"/>
  <c r="H19" i="2" s="1"/>
  <c r="I19" i="2" s="1"/>
  <c r="E20" i="2"/>
  <c r="K20" i="2" s="1"/>
  <c r="F20" i="2"/>
  <c r="G20" i="2" s="1"/>
  <c r="E21" i="2"/>
  <c r="F21" i="2"/>
  <c r="G21" i="2" s="1"/>
  <c r="K21" i="2"/>
  <c r="E22" i="2"/>
  <c r="K22" i="2" s="1"/>
  <c r="F22" i="2"/>
  <c r="G22" i="2" s="1"/>
  <c r="E23" i="2"/>
  <c r="K23" i="2" s="1"/>
  <c r="F23" i="2"/>
  <c r="H23" i="2" s="1"/>
  <c r="I23" i="2" s="1"/>
  <c r="E24" i="2"/>
  <c r="K24" i="2" s="1"/>
  <c r="F24" i="2"/>
  <c r="H24" i="2" s="1"/>
  <c r="I24" i="2" s="1"/>
  <c r="E25" i="2"/>
  <c r="K25" i="2" s="1"/>
  <c r="F25" i="2"/>
  <c r="H25" i="2" s="1"/>
  <c r="I25" i="2" s="1"/>
  <c r="J25" i="2" s="1"/>
  <c r="E26" i="2"/>
  <c r="K26" i="2" s="1"/>
  <c r="F26" i="2"/>
  <c r="H26" i="2" s="1"/>
  <c r="E27" i="2"/>
  <c r="K27" i="2" s="1"/>
  <c r="F27" i="2"/>
  <c r="G27" i="2" s="1"/>
  <c r="E28" i="2"/>
  <c r="K28" i="2" s="1"/>
  <c r="F28" i="2"/>
  <c r="G28" i="2" s="1"/>
  <c r="E29" i="2"/>
  <c r="K29" i="2" s="1"/>
  <c r="F29" i="2"/>
  <c r="G29" i="2" s="1"/>
  <c r="E30" i="2"/>
  <c r="K30" i="2" s="1"/>
  <c r="F30" i="2"/>
  <c r="G30" i="2" s="1"/>
  <c r="E31" i="2"/>
  <c r="K31" i="2" s="1"/>
  <c r="F31" i="2"/>
  <c r="G31" i="2" s="1"/>
  <c r="E32" i="2"/>
  <c r="K32" i="2" s="1"/>
  <c r="F32" i="2"/>
  <c r="G32" i="2" s="1"/>
  <c r="E33" i="2"/>
  <c r="K33" i="2" s="1"/>
  <c r="F33" i="2"/>
  <c r="G33" i="2" s="1"/>
  <c r="E34" i="2"/>
  <c r="K34" i="2" s="1"/>
  <c r="F34" i="2"/>
  <c r="G34" i="2" s="1"/>
  <c r="E35" i="2"/>
  <c r="K35" i="2" s="1"/>
  <c r="F35" i="2"/>
  <c r="G35" i="2" s="1"/>
  <c r="E36" i="2"/>
  <c r="K36" i="2" s="1"/>
  <c r="F36" i="2"/>
  <c r="H36" i="2" s="1"/>
  <c r="I36" i="2" s="1"/>
  <c r="J36" i="2" s="1"/>
  <c r="E37" i="2"/>
  <c r="F37" i="2"/>
  <c r="G37" i="2" s="1"/>
  <c r="H37" i="2"/>
  <c r="I37" i="2" s="1"/>
  <c r="J37" i="2" s="1"/>
  <c r="K37" i="2"/>
  <c r="E38" i="2"/>
  <c r="K38" i="2" s="1"/>
  <c r="F38" i="2"/>
  <c r="G38" i="2" s="1"/>
  <c r="E39" i="2"/>
  <c r="K39" i="2" s="1"/>
  <c r="F39" i="2"/>
  <c r="G39" i="2" s="1"/>
  <c r="E40" i="2"/>
  <c r="K40" i="2" s="1"/>
  <c r="F40" i="2"/>
  <c r="G40" i="2" s="1"/>
  <c r="F3" i="2"/>
  <c r="H3" i="2" s="1"/>
  <c r="I3" i="2" s="1"/>
  <c r="E3" i="2"/>
  <c r="K3" i="2" s="1"/>
  <c r="I26" i="2" l="1"/>
  <c r="J26" i="2" s="1"/>
  <c r="J19" i="2"/>
  <c r="J3" i="2"/>
  <c r="H35" i="2"/>
  <c r="I35" i="2" s="1"/>
  <c r="J35" i="2" s="1"/>
  <c r="H13" i="2"/>
  <c r="I13" i="2" s="1"/>
  <c r="J13" i="2" s="1"/>
  <c r="J9" i="2"/>
  <c r="J6" i="2"/>
  <c r="J23" i="2"/>
  <c r="N23" i="2" s="1" a="1"/>
  <c r="N23" i="2" s="1"/>
  <c r="J24" i="2"/>
  <c r="H7" i="2"/>
  <c r="I7" i="2" s="1"/>
  <c r="J7" i="2" s="1"/>
  <c r="G9" i="2"/>
  <c r="H30" i="2"/>
  <c r="H21" i="2"/>
  <c r="I21" i="2" s="1"/>
  <c r="J21" i="2" s="1"/>
  <c r="H29" i="2"/>
  <c r="H40" i="2"/>
  <c r="H8" i="2"/>
  <c r="I8" i="2" s="1"/>
  <c r="J8" i="2" s="1"/>
  <c r="H17" i="2"/>
  <c r="I17" i="2" s="1"/>
  <c r="J17" i="2" s="1"/>
  <c r="H28" i="2"/>
  <c r="I28" i="2" s="1"/>
  <c r="J28" i="2" s="1"/>
  <c r="G6" i="2"/>
  <c r="H27" i="2"/>
  <c r="I27" i="2" s="1"/>
  <c r="J27" i="2" s="1"/>
  <c r="M27" i="2" s="1" a="1"/>
  <c r="M27" i="2" s="1"/>
  <c r="H34" i="2"/>
  <c r="I34" i="2" s="1"/>
  <c r="J34" i="2" s="1"/>
  <c r="L37" i="2" a="1"/>
  <c r="L37" i="2" s="1"/>
  <c r="M37" i="2" a="1"/>
  <c r="M37" i="2" s="1"/>
  <c r="N37" i="2" a="1"/>
  <c r="N37" i="2" s="1"/>
  <c r="L17" i="2" a="1"/>
  <c r="L17" i="2" s="1"/>
  <c r="M17" i="2" a="1"/>
  <c r="M17" i="2" s="1"/>
  <c r="N17" i="2" a="1"/>
  <c r="N17" i="2" s="1"/>
  <c r="N13" i="2" a="1"/>
  <c r="N13" i="2" s="1"/>
  <c r="L13" i="2" a="1"/>
  <c r="L13" i="2" s="1"/>
  <c r="M13" i="2" a="1"/>
  <c r="M13" i="2" s="1"/>
  <c r="M10" i="2" a="1"/>
  <c r="M10" i="2" s="1"/>
  <c r="L10" i="2" a="1"/>
  <c r="L10" i="2" s="1"/>
  <c r="N10" i="2" a="1"/>
  <c r="N10" i="2" s="1"/>
  <c r="H22" i="2"/>
  <c r="I22" i="2" s="1"/>
  <c r="J22" i="2" s="1"/>
  <c r="L22" i="2" s="1" a="1"/>
  <c r="L22" i="2" s="1"/>
  <c r="H38" i="2"/>
  <c r="I38" i="2" s="1"/>
  <c r="G26" i="2"/>
  <c r="H39" i="2"/>
  <c r="I39" i="2" s="1"/>
  <c r="H20" i="2"/>
  <c r="H5" i="2"/>
  <c r="I5" i="2" s="1"/>
  <c r="J5" i="2" s="1"/>
  <c r="L5" i="2" s="1" a="1"/>
  <c r="L5" i="2" s="1"/>
  <c r="H31" i="2"/>
  <c r="I31" i="2" s="1"/>
  <c r="G15" i="2"/>
  <c r="G25" i="2"/>
  <c r="N19" i="2" a="1"/>
  <c r="N19" i="2" s="1"/>
  <c r="L19" i="2" a="1"/>
  <c r="L19" i="2" s="1"/>
  <c r="M19" i="2" a="1"/>
  <c r="M19" i="2" s="1"/>
  <c r="M25" i="2" a="1"/>
  <c r="M25" i="2" s="1"/>
  <c r="L25" i="2" a="1"/>
  <c r="L25" i="2" s="1"/>
  <c r="N25" i="2" a="1"/>
  <c r="N25" i="2" s="1"/>
  <c r="N24" i="2" a="1"/>
  <c r="N24" i="2" s="1"/>
  <c r="M24" i="2" a="1"/>
  <c r="M24" i="2" s="1"/>
  <c r="L24" i="2" a="1"/>
  <c r="L24" i="2" s="1"/>
  <c r="G24" i="2"/>
  <c r="H12" i="2"/>
  <c r="G19" i="2"/>
  <c r="H33" i="2"/>
  <c r="I33" i="2" s="1"/>
  <c r="H32" i="2"/>
  <c r="H4" i="2"/>
  <c r="I4" i="2" s="1"/>
  <c r="J4" i="2" s="1"/>
  <c r="N4" i="2" s="1" a="1"/>
  <c r="N4" i="2" s="1"/>
  <c r="L23" i="2" a="1"/>
  <c r="L23" i="2" s="1"/>
  <c r="L36" i="2" a="1"/>
  <c r="L36" i="2" s="1"/>
  <c r="M36" i="2" a="1"/>
  <c r="M36" i="2" s="1"/>
  <c r="N36" i="2" a="1"/>
  <c r="N36" i="2" s="1"/>
  <c r="N11" i="2" a="1"/>
  <c r="N11" i="2" s="1"/>
  <c r="M11" i="2" a="1"/>
  <c r="M11" i="2" s="1"/>
  <c r="L11" i="2" a="1"/>
  <c r="L11" i="2" s="1"/>
  <c r="N21" i="2" a="1"/>
  <c r="N21" i="2" s="1"/>
  <c r="L21" i="2" a="1"/>
  <c r="L21" i="2" s="1"/>
  <c r="M21" i="2" a="1"/>
  <c r="M21" i="2" s="1"/>
  <c r="N7" i="2" a="1"/>
  <c r="N7" i="2" s="1"/>
  <c r="L7" i="2" a="1"/>
  <c r="L7" i="2" s="1"/>
  <c r="M7" i="2" a="1"/>
  <c r="M7" i="2" s="1"/>
  <c r="L34" i="2" a="1"/>
  <c r="L34" i="2" s="1"/>
  <c r="N34" i="2" a="1"/>
  <c r="N34" i="2" s="1"/>
  <c r="M34" i="2" a="1"/>
  <c r="M34" i="2" s="1"/>
  <c r="M6" i="2" a="1"/>
  <c r="M6" i="2" s="1"/>
  <c r="N6" i="2" a="1"/>
  <c r="N6" i="2" s="1"/>
  <c r="L6" i="2" a="1"/>
  <c r="L6" i="2" s="1"/>
  <c r="N16" i="2" a="1"/>
  <c r="N16" i="2" s="1"/>
  <c r="M16" i="2" a="1"/>
  <c r="M16" i="2" s="1"/>
  <c r="L16" i="2" a="1"/>
  <c r="L16" i="2" s="1"/>
  <c r="N15" i="2" a="1"/>
  <c r="N15" i="2" s="1"/>
  <c r="L15" i="2" a="1"/>
  <c r="L15" i="2" s="1"/>
  <c r="M15" i="2" a="1"/>
  <c r="M15" i="2" s="1"/>
  <c r="N28" i="2" a="1"/>
  <c r="N28" i="2" s="1"/>
  <c r="M28" i="2" a="1"/>
  <c r="M28" i="2" s="1"/>
  <c r="L28" i="2" a="1"/>
  <c r="L28" i="2" s="1"/>
  <c r="L9" i="2" a="1"/>
  <c r="L9" i="2" s="1"/>
  <c r="M9" i="2" a="1"/>
  <c r="M9" i="2" s="1"/>
  <c r="N9" i="2" a="1"/>
  <c r="N9" i="2" s="1"/>
  <c r="M8" i="2" a="1"/>
  <c r="M8" i="2" s="1"/>
  <c r="N8" i="2" a="1"/>
  <c r="N8" i="2" s="1"/>
  <c r="L8" i="2" a="1"/>
  <c r="L8" i="2" s="1"/>
  <c r="N35" i="2" a="1"/>
  <c r="N35" i="2" s="1"/>
  <c r="L35" i="2" a="1"/>
  <c r="L35" i="2" s="1"/>
  <c r="M35" i="2" a="1"/>
  <c r="M35" i="2" s="1"/>
  <c r="H18" i="2"/>
  <c r="I18" i="2" s="1"/>
  <c r="J18" i="2" s="1"/>
  <c r="G36" i="2"/>
  <c r="G16" i="2"/>
  <c r="G11" i="2"/>
  <c r="H14" i="2"/>
  <c r="I14" i="2" s="1"/>
  <c r="J14" i="2" s="1"/>
  <c r="G23" i="2"/>
  <c r="N3" i="2" a="1"/>
  <c r="N3" i="2" s="1"/>
  <c r="L3" i="2" a="1"/>
  <c r="L3" i="2" s="1"/>
  <c r="M3" i="2" a="1"/>
  <c r="M3" i="2" s="1"/>
  <c r="G3" i="2"/>
  <c r="N26" i="2" l="1" a="1"/>
  <c r="N26" i="2" s="1"/>
  <c r="M26" i="2" a="1"/>
  <c r="M26" i="2" s="1"/>
  <c r="L26" i="2" a="1"/>
  <c r="L26" i="2" s="1"/>
  <c r="I20" i="2"/>
  <c r="J20" i="2" s="1"/>
  <c r="I40" i="2"/>
  <c r="J40" i="2" s="1"/>
  <c r="N5" i="2" a="1"/>
  <c r="N5" i="2" s="1"/>
  <c r="M23" i="2" a="1"/>
  <c r="M23" i="2" s="1"/>
  <c r="I32" i="2"/>
  <c r="J32" i="2" s="1"/>
  <c r="I29" i="2"/>
  <c r="J29" i="2" s="1"/>
  <c r="J30" i="2"/>
  <c r="I30" i="2"/>
  <c r="I12" i="2"/>
  <c r="J12" i="2" s="1"/>
  <c r="M5" i="2" a="1"/>
  <c r="M5" i="2" s="1"/>
  <c r="N27" i="2" a="1"/>
  <c r="N27" i="2" s="1"/>
  <c r="L27" i="2" a="1"/>
  <c r="L27" i="2" s="1"/>
  <c r="J31" i="2"/>
  <c r="J33" i="2"/>
  <c r="L33" i="2" s="1" a="1"/>
  <c r="L33" i="2" s="1"/>
  <c r="J39" i="2"/>
  <c r="J38" i="2"/>
  <c r="M38" i="2" s="1" a="1"/>
  <c r="M38" i="2" s="1"/>
  <c r="L4" i="2" a="1"/>
  <c r="L4" i="2" s="1"/>
  <c r="M22" i="2" a="1"/>
  <c r="M22" i="2" s="1"/>
  <c r="N22" i="2" a="1"/>
  <c r="N22" i="2" s="1"/>
  <c r="M4" i="2" a="1"/>
  <c r="M4" i="2" s="1"/>
  <c r="M33" i="2" a="1"/>
  <c r="M33" i="2" s="1"/>
  <c r="N33" i="2" a="1"/>
  <c r="N33" i="2" s="1"/>
  <c r="N18" i="2" a="1"/>
  <c r="N18" i="2" s="1"/>
  <c r="L18" i="2" a="1"/>
  <c r="L18" i="2" s="1"/>
  <c r="M18" i="2" a="1"/>
  <c r="M18" i="2" s="1"/>
  <c r="L14" i="2" a="1"/>
  <c r="L14" i="2" s="1"/>
  <c r="N14" i="2" a="1"/>
  <c r="N14" i="2" s="1"/>
  <c r="M14" i="2" a="1"/>
  <c r="M14" i="2" s="1"/>
  <c r="N12" i="2" l="1" a="1"/>
  <c r="N12" i="2" s="1"/>
  <c r="L12" i="2" a="1"/>
  <c r="L12" i="2" s="1"/>
  <c r="M12" i="2" a="1"/>
  <c r="M12" i="2" s="1"/>
  <c r="L29" i="2" a="1"/>
  <c r="L29" i="2" s="1"/>
  <c r="N29" i="2" a="1"/>
  <c r="N29" i="2" s="1"/>
  <c r="M29" i="2" a="1"/>
  <c r="M29" i="2" s="1"/>
  <c r="M32" i="2" a="1"/>
  <c r="M32" i="2" s="1"/>
  <c r="L32" i="2" a="1"/>
  <c r="L32" i="2" s="1"/>
  <c r="N32" i="2" a="1"/>
  <c r="N32" i="2" s="1"/>
  <c r="M40" i="2" a="1"/>
  <c r="M40" i="2" s="1"/>
  <c r="N40" i="2" a="1"/>
  <c r="N40" i="2" s="1"/>
  <c r="L40" i="2" a="1"/>
  <c r="L40" i="2" s="1"/>
  <c r="M20" i="2" a="1"/>
  <c r="M20" i="2" s="1"/>
  <c r="L20" i="2" a="1"/>
  <c r="L20" i="2" s="1"/>
  <c r="N20" i="2" a="1"/>
  <c r="N20" i="2" s="1"/>
  <c r="L30" i="2" a="1"/>
  <c r="L30" i="2" s="1"/>
  <c r="N30" i="2" a="1"/>
  <c r="N30" i="2" s="1"/>
  <c r="M30" i="2" a="1"/>
  <c r="M30" i="2" s="1"/>
  <c r="L31" i="2" a="1"/>
  <c r="L31" i="2" s="1"/>
  <c r="N31" i="2" a="1"/>
  <c r="N31" i="2" s="1"/>
  <c r="N38" i="2" a="1"/>
  <c r="N38" i="2" s="1"/>
  <c r="L38" i="2" a="1"/>
  <c r="L38" i="2" s="1"/>
  <c r="L39" i="2" a="1"/>
  <c r="L39" i="2" s="1"/>
  <c r="M39" i="2" a="1"/>
  <c r="M39" i="2" s="1"/>
  <c r="N39" i="2" a="1"/>
  <c r="N39" i="2" s="1"/>
  <c r="M31" i="2" a="1"/>
  <c r="M3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<sst xmlns="http://schemas.openxmlformats.org/spreadsheetml/2006/main" count="3434" uniqueCount="3178">
  <si>
    <t>n</t>
  </si>
  <si>
    <t>z</t>
  </si>
  <si>
    <t>halflife/s</t>
    <phoneticPr fontId="3" type="noConversion"/>
  </si>
  <si>
    <t>STABLE</t>
  </si>
  <si>
    <t>H2</t>
  </si>
  <si>
    <t>H3</t>
  </si>
  <si>
    <t>H5</t>
  </si>
  <si>
    <t>H6</t>
  </si>
  <si>
    <t>He3</t>
  </si>
  <si>
    <t>He4</t>
  </si>
  <si>
    <t>He5</t>
  </si>
  <si>
    <t>He6</t>
  </si>
  <si>
    <t>He7</t>
  </si>
  <si>
    <t>He8</t>
  </si>
  <si>
    <t>He10</t>
  </si>
  <si>
    <t>Li4</t>
  </si>
  <si>
    <t>Li5</t>
  </si>
  <si>
    <t>Li6</t>
  </si>
  <si>
    <t>Li7</t>
  </si>
  <si>
    <t>Li8</t>
  </si>
  <si>
    <t>Li9</t>
  </si>
  <si>
    <t>Li11</t>
  </si>
  <si>
    <t>Be6</t>
  </si>
  <si>
    <t>Be7</t>
  </si>
  <si>
    <t>Be8</t>
  </si>
  <si>
    <t>Be9</t>
  </si>
  <si>
    <t>Be10</t>
  </si>
  <si>
    <t>Be11</t>
  </si>
  <si>
    <t>Be12</t>
  </si>
  <si>
    <t>Be13</t>
  </si>
  <si>
    <t>Be14</t>
  </si>
  <si>
    <t>Be15</t>
  </si>
  <si>
    <t>Be16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</si>
  <si>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</si>
  <si>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</si>
  <si>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</si>
  <si>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</si>
  <si>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</si>
  <si>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</si>
  <si>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</si>
  <si>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</si>
  <si>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</si>
  <si>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B17</t>
  </si>
  <si>
    <t>B19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</si>
  <si>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</si>
  <si>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</si>
  <si>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</si>
  <si>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</si>
  <si>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</si>
  <si>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</si>
  <si>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</si>
  <si>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</si>
  <si>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</si>
  <si>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</si>
  <si>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</si>
  <si>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</si>
  <si>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</si>
  <si>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C22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</si>
  <si>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</si>
  <si>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</si>
  <si>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</si>
  <si>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</si>
  <si>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</si>
  <si>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</si>
  <si>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</si>
  <si>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</si>
  <si>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</si>
  <si>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</si>
  <si>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</si>
  <si>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</si>
  <si>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</si>
  <si>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O12</t>
  </si>
  <si>
    <t>O13</t>
  </si>
  <si>
    <t>O14</t>
  </si>
  <si>
    <t>O15</t>
  </si>
  <si>
    <t>O16</t>
  </si>
  <si>
    <t>O17</t>
  </si>
  <si>
    <t>O18</t>
  </si>
  <si>
    <t>O19</t>
  </si>
  <si>
    <t>O20</t>
  </si>
  <si>
    <t>O21</t>
  </si>
  <si>
    <t>O22</t>
  </si>
  <si>
    <t>O23</t>
  </si>
  <si>
    <t>O24</t>
  </si>
  <si>
    <t>O25</t>
  </si>
  <si>
    <t>O26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</si>
  <si>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</si>
  <si>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</si>
  <si>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</si>
  <si>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</si>
  <si>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</si>
  <si>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</si>
  <si>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</si>
  <si>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</si>
  <si>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</si>
  <si>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</si>
  <si>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</si>
  <si>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</si>
  <si>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</si>
  <si>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</si>
  <si>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</si>
  <si>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</si>
  <si>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Ne16</t>
  </si>
  <si>
    <t>Ne17</t>
  </si>
  <si>
    <t>Ne18</t>
  </si>
  <si>
    <t>Ne19</t>
  </si>
  <si>
    <t>Ne20</t>
  </si>
  <si>
    <t>Ne21</t>
  </si>
  <si>
    <t>Ne22</t>
  </si>
  <si>
    <t>Ne23</t>
  </si>
  <si>
    <t>Ne24</t>
  </si>
  <si>
    <t>Ne25</t>
  </si>
  <si>
    <t>Ne26</t>
  </si>
  <si>
    <t>Ne27</t>
  </si>
  <si>
    <t>Ne28</t>
  </si>
  <si>
    <t>Ne29</t>
  </si>
  <si>
    <t>Ne30</t>
  </si>
  <si>
    <t>Ne31</t>
  </si>
  <si>
    <t>Ne32</t>
  </si>
  <si>
    <t>Ne34</t>
  </si>
  <si>
    <t>Na18</t>
  </si>
  <si>
    <t>Na20</t>
  </si>
  <si>
    <t>Na21</t>
  </si>
  <si>
    <t>Na22</t>
  </si>
  <si>
    <t>Na23</t>
  </si>
  <si>
    <t>Na24</t>
  </si>
  <si>
    <t>Na25</t>
  </si>
  <si>
    <t>Na26</t>
  </si>
  <si>
    <t>Na27</t>
  </si>
  <si>
    <t>Na28</t>
  </si>
  <si>
    <t>Na29</t>
  </si>
  <si>
    <t>Na30</t>
  </si>
  <si>
    <t>Na31</t>
  </si>
  <si>
    <t>Na32</t>
  </si>
  <si>
    <t>Na33</t>
  </si>
  <si>
    <t>Na34</t>
  </si>
  <si>
    <t>Na35</t>
  </si>
  <si>
    <t>Mg19</t>
  </si>
  <si>
    <t>Mg20</t>
  </si>
  <si>
    <t>Mg21</t>
  </si>
  <si>
    <t>Mg22</t>
  </si>
  <si>
    <t>Mg23</t>
  </si>
  <si>
    <t>Mg24</t>
  </si>
  <si>
    <t>Mg25</t>
  </si>
  <si>
    <t>Mg26</t>
  </si>
  <si>
    <t>Mg27</t>
  </si>
  <si>
    <t>Mg28</t>
  </si>
  <si>
    <t>Mg29</t>
  </si>
  <si>
    <t>Mg30</t>
  </si>
  <si>
    <t>Mg31</t>
  </si>
  <si>
    <t>Mg32</t>
  </si>
  <si>
    <t>Mg33</t>
  </si>
  <si>
    <t>Mg34</t>
  </si>
  <si>
    <t>Mg35</t>
  </si>
  <si>
    <t>Mg36</t>
  </si>
  <si>
    <t>Mg37</t>
  </si>
  <si>
    <t>Al22</t>
  </si>
  <si>
    <t>Al23</t>
  </si>
  <si>
    <t>Al24</t>
  </si>
  <si>
    <t>Al25</t>
  </si>
  <si>
    <t>Al26</t>
  </si>
  <si>
    <t>Al27</t>
  </si>
  <si>
    <t>Al28</t>
  </si>
  <si>
    <t>Al29</t>
  </si>
  <si>
    <t>Al30</t>
  </si>
  <si>
    <t>Al31</t>
  </si>
  <si>
    <t>Al32</t>
  </si>
  <si>
    <t>Al33</t>
  </si>
  <si>
    <t>Al34</t>
  </si>
  <si>
    <t>Al35</t>
  </si>
  <si>
    <t>Al36</t>
  </si>
  <si>
    <t>Al37</t>
  </si>
  <si>
    <t>Al38</t>
  </si>
  <si>
    <t>Al39</t>
  </si>
  <si>
    <t>Si22</t>
  </si>
  <si>
    <t>Si23</t>
  </si>
  <si>
    <t>Si24</t>
  </si>
  <si>
    <t>Si25</t>
  </si>
  <si>
    <t>Si26</t>
  </si>
  <si>
    <t>Si27</t>
  </si>
  <si>
    <t>Si28</t>
  </si>
  <si>
    <t>Si29</t>
  </si>
  <si>
    <t>Si30</t>
  </si>
  <si>
    <t>Si31</t>
  </si>
  <si>
    <t>Si32</t>
  </si>
  <si>
    <t>Si33</t>
  </si>
  <si>
    <t>Si34</t>
  </si>
  <si>
    <t>Si35</t>
  </si>
  <si>
    <t>Si36</t>
  </si>
  <si>
    <t>Si37</t>
  </si>
  <si>
    <t>Si38</t>
  </si>
  <si>
    <t>Si39</t>
  </si>
  <si>
    <t>Si40</t>
  </si>
  <si>
    <t>Si41</t>
  </si>
  <si>
    <t>Si42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</si>
  <si>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</si>
  <si>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</si>
  <si>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</si>
  <si>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</si>
  <si>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</si>
  <si>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</si>
  <si>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</si>
  <si>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</si>
  <si>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</si>
  <si>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</si>
  <si>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</si>
  <si>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</si>
  <si>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</si>
  <si>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</si>
  <si>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</si>
  <si>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</si>
  <si>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</si>
  <si>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</si>
  <si>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</si>
  <si>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</si>
  <si>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</si>
  <si>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</si>
  <si>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</si>
  <si>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</si>
  <si>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</si>
  <si>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</si>
  <si>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</si>
  <si>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</si>
  <si>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</si>
  <si>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</si>
  <si>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</si>
  <si>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</si>
  <si>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</si>
  <si>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</si>
  <si>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</si>
  <si>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</si>
  <si>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</si>
  <si>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</si>
  <si>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</si>
  <si>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</si>
  <si>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</si>
  <si>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S48</t>
  </si>
  <si>
    <t>Cl31</t>
  </si>
  <si>
    <t>Cl32</t>
  </si>
  <si>
    <t>Cl33</t>
  </si>
  <si>
    <t>Cl34</t>
  </si>
  <si>
    <t>Cl35</t>
  </si>
  <si>
    <t>Cl36</t>
  </si>
  <si>
    <t>Cl37</t>
  </si>
  <si>
    <t>Cl38</t>
  </si>
  <si>
    <t>Cl39</t>
  </si>
  <si>
    <t>Cl40</t>
  </si>
  <si>
    <t>Cl41</t>
  </si>
  <si>
    <t>Cl42</t>
  </si>
  <si>
    <t>Cl43</t>
  </si>
  <si>
    <t>Cl44</t>
  </si>
  <si>
    <t>Cl45</t>
  </si>
  <si>
    <t>Cl46</t>
  </si>
  <si>
    <t>Cl47</t>
  </si>
  <si>
    <t>Cl48</t>
  </si>
  <si>
    <t>Cl49</t>
  </si>
  <si>
    <t>Cl50</t>
  </si>
  <si>
    <t>Cl51</t>
  </si>
  <si>
    <t>Ar31</t>
  </si>
  <si>
    <t>Ar32</t>
  </si>
  <si>
    <t>Ar33</t>
  </si>
  <si>
    <t>Ar34</t>
  </si>
  <si>
    <t>Ar35</t>
  </si>
  <si>
    <t>Ar36</t>
  </si>
  <si>
    <t>Ar37</t>
  </si>
  <si>
    <t>Ar38</t>
  </si>
  <si>
    <t>Ar39</t>
  </si>
  <si>
    <t>Ar40</t>
  </si>
  <si>
    <t>Ar41</t>
  </si>
  <si>
    <t>Ar42</t>
  </si>
  <si>
    <t>Ar43</t>
  </si>
  <si>
    <t>Ar44</t>
  </si>
  <si>
    <t>Ar45</t>
  </si>
  <si>
    <t>Ar46</t>
  </si>
  <si>
    <t>Ar47</t>
  </si>
  <si>
    <t>Ar48</t>
  </si>
  <si>
    <t>Ar49</t>
  </si>
  <si>
    <t>Ar50</t>
  </si>
  <si>
    <t>Ar51</t>
  </si>
  <si>
    <t>Ar52</t>
  </si>
  <si>
    <t>Ar53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</si>
  <si>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</si>
  <si>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</si>
  <si>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</si>
  <si>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</si>
  <si>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</si>
  <si>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</si>
  <si>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</si>
  <si>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</si>
  <si>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</si>
  <si>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</si>
  <si>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</si>
  <si>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</si>
  <si>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</si>
  <si>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</si>
  <si>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</si>
  <si>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</si>
  <si>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</si>
  <si>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</si>
  <si>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</si>
  <si>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</si>
  <si>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</si>
  <si>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</si>
  <si>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Ca35</t>
  </si>
  <si>
    <t>Ca36</t>
  </si>
  <si>
    <t>Ca37</t>
  </si>
  <si>
    <t>Ca38</t>
  </si>
  <si>
    <t>Ca39</t>
  </si>
  <si>
    <t>Ca40</t>
  </si>
  <si>
    <t>Ca41</t>
  </si>
  <si>
    <t>Ca42</t>
  </si>
  <si>
    <t>Ca43</t>
  </si>
  <si>
    <t>Ca44</t>
  </si>
  <si>
    <t>Ca45</t>
  </si>
  <si>
    <t>Ca46</t>
  </si>
  <si>
    <t>Ca47</t>
  </si>
  <si>
    <t>Ca48</t>
  </si>
  <si>
    <t>Ca49</t>
  </si>
  <si>
    <t>Ca50</t>
  </si>
  <si>
    <t>Ca51</t>
  </si>
  <si>
    <t>Ca52</t>
  </si>
  <si>
    <t>Ca53</t>
  </si>
  <si>
    <t>Ca54</t>
  </si>
  <si>
    <t>Ca55</t>
  </si>
  <si>
    <t>Ca56</t>
  </si>
  <si>
    <t>Ca57</t>
  </si>
  <si>
    <t>Ca58</t>
  </si>
  <si>
    <t>Sc40</t>
  </si>
  <si>
    <t>Sc41</t>
  </si>
  <si>
    <t>Sc42</t>
  </si>
  <si>
    <t>Sc43</t>
  </si>
  <si>
    <t>Sc44</t>
  </si>
  <si>
    <t>Sc45</t>
  </si>
  <si>
    <t>Sc46</t>
  </si>
  <si>
    <t>Sc47</t>
  </si>
  <si>
    <t>Sc48</t>
  </si>
  <si>
    <t>Sc49</t>
  </si>
  <si>
    <t>Sc50</t>
  </si>
  <si>
    <t>Sc51</t>
  </si>
  <si>
    <t>Sc52</t>
  </si>
  <si>
    <t>Sc53</t>
  </si>
  <si>
    <t>Sc54</t>
  </si>
  <si>
    <t>Sc55</t>
  </si>
  <si>
    <t>Sc56</t>
  </si>
  <si>
    <t>Sc57</t>
  </si>
  <si>
    <t>Sc58</t>
  </si>
  <si>
    <t>Sc59</t>
  </si>
  <si>
    <t>Sc60</t>
  </si>
  <si>
    <t>Sc61</t>
  </si>
  <si>
    <t>Ti39</t>
  </si>
  <si>
    <t>Ti40</t>
  </si>
  <si>
    <t>Ti41</t>
  </si>
  <si>
    <t>Ti42</t>
  </si>
  <si>
    <t>Ti43</t>
  </si>
  <si>
    <t>Ti44</t>
  </si>
  <si>
    <t>Ti45</t>
  </si>
  <si>
    <t>Ti46</t>
  </si>
  <si>
    <t>Ti47</t>
  </si>
  <si>
    <t>Ti48</t>
  </si>
  <si>
    <t>Ti49</t>
  </si>
  <si>
    <t>Ti50</t>
  </si>
  <si>
    <t>Ti51</t>
  </si>
  <si>
    <t>Ti52</t>
  </si>
  <si>
    <t>Ti53</t>
  </si>
  <si>
    <t>Ti54</t>
  </si>
  <si>
    <t>Ti55</t>
  </si>
  <si>
    <t>Ti56</t>
  </si>
  <si>
    <t>Ti57</t>
  </si>
  <si>
    <t>Ti58</t>
  </si>
  <si>
    <t>Ti59</t>
  </si>
  <si>
    <t>Ti60</t>
  </si>
  <si>
    <t>Ti61</t>
  </si>
  <si>
    <t>Ti62</t>
  </si>
  <si>
    <t>Ti63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</si>
  <si>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</si>
  <si>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</si>
  <si>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</si>
  <si>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</si>
  <si>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</si>
  <si>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</si>
  <si>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</si>
  <si>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</si>
  <si>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</si>
  <si>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</si>
  <si>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</si>
  <si>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</si>
  <si>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</si>
  <si>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</si>
  <si>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</si>
  <si>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</si>
  <si>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</si>
  <si>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</si>
  <si>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</si>
  <si>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</si>
  <si>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</si>
  <si>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</si>
  <si>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</si>
  <si>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</si>
  <si>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Cr42</t>
  </si>
  <si>
    <t>Cr43</t>
  </si>
  <si>
    <t>Cr44</t>
  </si>
  <si>
    <t>Cr45</t>
  </si>
  <si>
    <t>Cr46</t>
  </si>
  <si>
    <t>Cr47</t>
  </si>
  <si>
    <t>Cr48</t>
  </si>
  <si>
    <t>Cr49</t>
  </si>
  <si>
    <t>Cr50</t>
  </si>
  <si>
    <t>Cr51</t>
  </si>
  <si>
    <t>Cr52</t>
  </si>
  <si>
    <t>Cr53</t>
  </si>
  <si>
    <t>Cr54</t>
  </si>
  <si>
    <t>Cr55</t>
  </si>
  <si>
    <t>Cr56</t>
  </si>
  <si>
    <t>Cr57</t>
  </si>
  <si>
    <t>Cr58</t>
  </si>
  <si>
    <t>Cr59</t>
  </si>
  <si>
    <t>Cr60</t>
  </si>
  <si>
    <t>Cr61</t>
  </si>
  <si>
    <t>Cr62</t>
  </si>
  <si>
    <t>Cr63</t>
  </si>
  <si>
    <t>Cr64</t>
  </si>
  <si>
    <t>Cr65</t>
  </si>
  <si>
    <t>Cr66</t>
  </si>
  <si>
    <t>Cr68</t>
  </si>
  <si>
    <t>Mn46</t>
  </si>
  <si>
    <t>Mn47</t>
  </si>
  <si>
    <t>Mn48</t>
  </si>
  <si>
    <t>Mn49</t>
  </si>
  <si>
    <t>Mn50</t>
  </si>
  <si>
    <t>Mn51</t>
  </si>
  <si>
    <t>Mn52</t>
  </si>
  <si>
    <t>Mn53</t>
  </si>
  <si>
    <t>Mn54</t>
  </si>
  <si>
    <t>Mn55</t>
  </si>
  <si>
    <t>Mn56</t>
  </si>
  <si>
    <t>Mn57</t>
  </si>
  <si>
    <t>Mn58</t>
  </si>
  <si>
    <t>Mn59</t>
  </si>
  <si>
    <t>Mn60</t>
  </si>
  <si>
    <t>Mn61</t>
  </si>
  <si>
    <t>Mn62</t>
  </si>
  <si>
    <t>Mn63</t>
  </si>
  <si>
    <t>Mn64</t>
  </si>
  <si>
    <t>Mn65</t>
  </si>
  <si>
    <t>Mn66</t>
  </si>
  <si>
    <t>Mn67</t>
  </si>
  <si>
    <t>Mn68</t>
  </si>
  <si>
    <t>Mn69</t>
  </si>
  <si>
    <t>Mn70</t>
  </si>
  <si>
    <t>Mn71</t>
  </si>
  <si>
    <t>Fe45</t>
  </si>
  <si>
    <t>Fe46</t>
  </si>
  <si>
    <t>Fe47</t>
  </si>
  <si>
    <t>Fe48</t>
  </si>
  <si>
    <t>Fe49</t>
  </si>
  <si>
    <t>Fe50</t>
  </si>
  <si>
    <t>Fe51</t>
  </si>
  <si>
    <t>Fe52</t>
  </si>
  <si>
    <t>Fe53</t>
  </si>
  <si>
    <t>Fe54</t>
  </si>
  <si>
    <t>Fe55</t>
  </si>
  <si>
    <t>Fe56</t>
  </si>
  <si>
    <t>Fe57</t>
  </si>
  <si>
    <t>Fe58</t>
  </si>
  <si>
    <t>Fe59</t>
  </si>
  <si>
    <t>Fe60</t>
  </si>
  <si>
    <t>Fe61</t>
  </si>
  <si>
    <t>Fe62</t>
  </si>
  <si>
    <t>Fe63</t>
  </si>
  <si>
    <t>Fe64</t>
  </si>
  <si>
    <t>Fe65</t>
  </si>
  <si>
    <t>Fe66</t>
  </si>
  <si>
    <t>Fe67</t>
  </si>
  <si>
    <t>Fe68</t>
  </si>
  <si>
    <t>Fe69</t>
  </si>
  <si>
    <t>Fe70</t>
  </si>
  <si>
    <t>Fe71</t>
  </si>
  <si>
    <t>Fe72</t>
  </si>
  <si>
    <t>Fe73</t>
  </si>
  <si>
    <t>Fe74</t>
  </si>
  <si>
    <t>Co50</t>
  </si>
  <si>
    <t>Co51</t>
  </si>
  <si>
    <t>Co52</t>
  </si>
  <si>
    <t>Co53</t>
  </si>
  <si>
    <t>Co54</t>
  </si>
  <si>
    <t>Co55</t>
  </si>
  <si>
    <t>Co56</t>
  </si>
  <si>
    <t>Co57</t>
  </si>
  <si>
    <t>Co58</t>
  </si>
  <si>
    <t>Co59</t>
  </si>
  <si>
    <t>Co60</t>
  </si>
  <si>
    <t>Co61</t>
  </si>
  <si>
    <t>Co62</t>
  </si>
  <si>
    <t>Co63</t>
  </si>
  <si>
    <t>Co64</t>
  </si>
  <si>
    <t>Co65</t>
  </si>
  <si>
    <t>Co66</t>
  </si>
  <si>
    <t>Co67</t>
  </si>
  <si>
    <t>Co68</t>
  </si>
  <si>
    <t>Co69</t>
  </si>
  <si>
    <t>Co70</t>
  </si>
  <si>
    <t>Co71</t>
  </si>
  <si>
    <t>Co72</t>
  </si>
  <si>
    <t>Co73</t>
  </si>
  <si>
    <t>Co74</t>
  </si>
  <si>
    <t>Co75</t>
  </si>
  <si>
    <t>Co76</t>
  </si>
  <si>
    <t>Co77</t>
  </si>
  <si>
    <t>Ni48</t>
  </si>
  <si>
    <t>Ni49</t>
  </si>
  <si>
    <t>Ni50</t>
  </si>
  <si>
    <t>Ni51</t>
  </si>
  <si>
    <t>Ni52</t>
  </si>
  <si>
    <t>Ni53</t>
  </si>
  <si>
    <t>Ni54</t>
  </si>
  <si>
    <t>Ni55</t>
  </si>
  <si>
    <t>Ni56</t>
  </si>
  <si>
    <t>Ni57</t>
  </si>
  <si>
    <t>Ni58</t>
  </si>
  <si>
    <t>Ni59</t>
  </si>
  <si>
    <t>Ni60</t>
  </si>
  <si>
    <t>Ni61</t>
  </si>
  <si>
    <t>Ni62</t>
  </si>
  <si>
    <t>Ni63</t>
  </si>
  <si>
    <t>Ni64</t>
  </si>
  <si>
    <t>Ni65</t>
  </si>
  <si>
    <t>Ni66</t>
  </si>
  <si>
    <t>Ni67</t>
  </si>
  <si>
    <t>Ni68</t>
  </si>
  <si>
    <t>Ni69</t>
  </si>
  <si>
    <t>Ni70</t>
  </si>
  <si>
    <t>Ni71</t>
  </si>
  <si>
    <t>Ni72</t>
  </si>
  <si>
    <t>Ni73</t>
  </si>
  <si>
    <t>Ni74</t>
  </si>
  <si>
    <t>Ni75</t>
  </si>
  <si>
    <t>Ni76</t>
  </si>
  <si>
    <t>Ni77</t>
  </si>
  <si>
    <t>Ni78</t>
  </si>
  <si>
    <t>Ni79</t>
  </si>
  <si>
    <t>Ni80</t>
  </si>
  <si>
    <t>Cu55</t>
  </si>
  <si>
    <t>Cu56</t>
  </si>
  <si>
    <t>Cu57</t>
  </si>
  <si>
    <t>Cu58</t>
  </si>
  <si>
    <t>Cu59</t>
  </si>
  <si>
    <t>Cu60</t>
  </si>
  <si>
    <t>Cu61</t>
  </si>
  <si>
    <t>Cu62</t>
  </si>
  <si>
    <t>Cu63</t>
  </si>
  <si>
    <t>Cu64</t>
  </si>
  <si>
    <t>Cu65</t>
  </si>
  <si>
    <t>Cu66</t>
  </si>
  <si>
    <t>Cu67</t>
  </si>
  <si>
    <t>Cu68</t>
  </si>
  <si>
    <t>Cu69</t>
  </si>
  <si>
    <t>Cu70</t>
  </si>
  <si>
    <t>Cu71</t>
  </si>
  <si>
    <t>Cu72</t>
  </si>
  <si>
    <t>Cu73</t>
  </si>
  <si>
    <t>Cu74</t>
  </si>
  <si>
    <t>Cu75</t>
  </si>
  <si>
    <t>Cu76</t>
  </si>
  <si>
    <t>Cu77</t>
  </si>
  <si>
    <t>Cu78</t>
  </si>
  <si>
    <t>Cu79</t>
  </si>
  <si>
    <t>Cu80</t>
  </si>
  <si>
    <t>Cu81</t>
  </si>
  <si>
    <t>Cu82</t>
  </si>
  <si>
    <t>Zn54</t>
  </si>
  <si>
    <t>Zn55</t>
  </si>
  <si>
    <t>Zn56</t>
  </si>
  <si>
    <t>Zn57</t>
  </si>
  <si>
    <t>Zn58</t>
  </si>
  <si>
    <t>Zn59</t>
  </si>
  <si>
    <t>Zn60</t>
  </si>
  <si>
    <t>Zn61</t>
  </si>
  <si>
    <t>Zn62</t>
  </si>
  <si>
    <t>Zn63</t>
  </si>
  <si>
    <t>Zn64</t>
  </si>
  <si>
    <t>Zn65</t>
  </si>
  <si>
    <t>Zn66</t>
  </si>
  <si>
    <t>Zn67</t>
  </si>
  <si>
    <t>Zn68</t>
  </si>
  <si>
    <t>Zn69</t>
  </si>
  <si>
    <t>Zn70</t>
  </si>
  <si>
    <t>Zn71</t>
  </si>
  <si>
    <t>Zn72</t>
  </si>
  <si>
    <t>Zn73</t>
  </si>
  <si>
    <t>Zn74</t>
  </si>
  <si>
    <t>Zn75</t>
  </si>
  <si>
    <t>Zn76</t>
  </si>
  <si>
    <t>Zn77</t>
  </si>
  <si>
    <t>Zn78</t>
  </si>
  <si>
    <t>Zn79</t>
  </si>
  <si>
    <t>Zn80</t>
  </si>
  <si>
    <t>Zn81</t>
  </si>
  <si>
    <t>Zn82</t>
  </si>
  <si>
    <t>Zn83</t>
  </si>
  <si>
    <t>Zn84</t>
  </si>
  <si>
    <t>Zn85</t>
  </si>
  <si>
    <t>Ga60</t>
  </si>
  <si>
    <t>Ga61</t>
  </si>
  <si>
    <t>Ga62</t>
  </si>
  <si>
    <t>Ga63</t>
  </si>
  <si>
    <t>Ga64</t>
  </si>
  <si>
    <t>Ga65</t>
  </si>
  <si>
    <t>Ga66</t>
  </si>
  <si>
    <t>Ga67</t>
  </si>
  <si>
    <t>Ga68</t>
  </si>
  <si>
    <t>Ga69</t>
  </si>
  <si>
    <t>Ga70</t>
  </si>
  <si>
    <t>Ga71</t>
  </si>
  <si>
    <t>Ga72</t>
  </si>
  <si>
    <t>Ga73</t>
  </si>
  <si>
    <t>Ga74</t>
  </si>
  <si>
    <t>Ga75</t>
  </si>
  <si>
    <t>Ga76</t>
  </si>
  <si>
    <t>Ga77</t>
  </si>
  <si>
    <t>Ga78</t>
  </si>
  <si>
    <t>Ga79</t>
  </si>
  <si>
    <t>Ga80</t>
  </si>
  <si>
    <t>Ga81</t>
  </si>
  <si>
    <t>Ga82</t>
  </si>
  <si>
    <t>Ga83</t>
  </si>
  <si>
    <t>Ga84</t>
  </si>
  <si>
    <t>Ga85</t>
  </si>
  <si>
    <t>Ga86</t>
  </si>
  <si>
    <t>Ga87</t>
  </si>
  <si>
    <t>Ge59</t>
  </si>
  <si>
    <t>Ge60</t>
  </si>
  <si>
    <t>Ge61</t>
  </si>
  <si>
    <t>Ge62</t>
  </si>
  <si>
    <t>Ge63</t>
  </si>
  <si>
    <t>Ge64</t>
  </si>
  <si>
    <t>Ge65</t>
  </si>
  <si>
    <t>Ge66</t>
  </si>
  <si>
    <t>Ge67</t>
  </si>
  <si>
    <t>Ge68</t>
  </si>
  <si>
    <t>Ge69</t>
  </si>
  <si>
    <t>Ge70</t>
  </si>
  <si>
    <t>Ge71</t>
  </si>
  <si>
    <t>Ge72</t>
  </si>
  <si>
    <t>Ge73</t>
  </si>
  <si>
    <t>Ge74</t>
  </si>
  <si>
    <t>Ge75</t>
  </si>
  <si>
    <t>Ge76</t>
  </si>
  <si>
    <t>Ge77</t>
  </si>
  <si>
    <t>Ge78</t>
  </si>
  <si>
    <t>Ge79</t>
  </si>
  <si>
    <t>Ge80</t>
  </si>
  <si>
    <t>Ge81</t>
  </si>
  <si>
    <t>Ge82</t>
  </si>
  <si>
    <t>Ge83</t>
  </si>
  <si>
    <t>Ge84</t>
  </si>
  <si>
    <t>Ge85</t>
  </si>
  <si>
    <t>Ge86</t>
  </si>
  <si>
    <t>Ge87</t>
  </si>
  <si>
    <t>Ge88</t>
  </si>
  <si>
    <t>Ge89</t>
  </si>
  <si>
    <t>Ge90</t>
  </si>
  <si>
    <t>As64</t>
  </si>
  <si>
    <t>As65</t>
  </si>
  <si>
    <t>As66</t>
  </si>
  <si>
    <t>As67</t>
  </si>
  <si>
    <t>As68</t>
  </si>
  <si>
    <t>As69</t>
  </si>
  <si>
    <t>As70</t>
  </si>
  <si>
    <t>As71</t>
  </si>
  <si>
    <t>As72</t>
  </si>
  <si>
    <t>As73</t>
  </si>
  <si>
    <t>As74</t>
  </si>
  <si>
    <t>As75</t>
  </si>
  <si>
    <t>As76</t>
  </si>
  <si>
    <t>As77</t>
  </si>
  <si>
    <t>As78</t>
  </si>
  <si>
    <t>As79</t>
  </si>
  <si>
    <t>As80</t>
  </si>
  <si>
    <t>As81</t>
  </si>
  <si>
    <t>As82</t>
  </si>
  <si>
    <t>As83</t>
  </si>
  <si>
    <t>As84</t>
  </si>
  <si>
    <t>As85</t>
  </si>
  <si>
    <t>As86</t>
  </si>
  <si>
    <t>As87</t>
  </si>
  <si>
    <t>As88</t>
  </si>
  <si>
    <t>As89</t>
  </si>
  <si>
    <t>As90</t>
  </si>
  <si>
    <t>As91</t>
  </si>
  <si>
    <t>Se64</t>
  </si>
  <si>
    <t>Se65</t>
  </si>
  <si>
    <t>Se66</t>
  </si>
  <si>
    <t>Se67</t>
  </si>
  <si>
    <t>Se68</t>
  </si>
  <si>
    <t>Se69</t>
  </si>
  <si>
    <t>Se70</t>
  </si>
  <si>
    <t>Se71</t>
  </si>
  <si>
    <t>Se72</t>
  </si>
  <si>
    <t>Se73</t>
  </si>
  <si>
    <t>Se74</t>
  </si>
  <si>
    <t>Se75</t>
  </si>
  <si>
    <t>Se76</t>
  </si>
  <si>
    <t>Se77</t>
  </si>
  <si>
    <t>Se78</t>
  </si>
  <si>
    <t>Se79</t>
  </si>
  <si>
    <t>Se80</t>
  </si>
  <si>
    <t>Se81</t>
  </si>
  <si>
    <t>Se82</t>
  </si>
  <si>
    <t>Se83</t>
  </si>
  <si>
    <t>Se84</t>
  </si>
  <si>
    <t>Se85</t>
  </si>
  <si>
    <t>Se86</t>
  </si>
  <si>
    <t>Se87</t>
  </si>
  <si>
    <t>Se88</t>
  </si>
  <si>
    <t>Se89</t>
  </si>
  <si>
    <t>Se90</t>
  </si>
  <si>
    <t>Se91</t>
  </si>
  <si>
    <t>Se94</t>
  </si>
  <si>
    <t>Se95</t>
  </si>
  <si>
    <t>Br70</t>
  </si>
  <si>
    <t>Br71</t>
  </si>
  <si>
    <t>Br72</t>
  </si>
  <si>
    <t>Br73</t>
  </si>
  <si>
    <t>Br74</t>
  </si>
  <si>
    <t>Br75</t>
  </si>
  <si>
    <t>Br76</t>
  </si>
  <si>
    <t>Br77</t>
  </si>
  <si>
    <t>Br78</t>
  </si>
  <si>
    <t>Br79</t>
  </si>
  <si>
    <t>Br80</t>
  </si>
  <si>
    <t>Br81</t>
  </si>
  <si>
    <t>Br82</t>
  </si>
  <si>
    <t>Br83</t>
  </si>
  <si>
    <t>Br84</t>
  </si>
  <si>
    <t>Br85</t>
  </si>
  <si>
    <t>Br86</t>
  </si>
  <si>
    <t>Br87</t>
  </si>
  <si>
    <t>Br88</t>
  </si>
  <si>
    <t>Br89</t>
  </si>
  <si>
    <t>Br90</t>
  </si>
  <si>
    <t>Br91</t>
  </si>
  <si>
    <t>Br92</t>
  </si>
  <si>
    <t>Br93</t>
  </si>
  <si>
    <t>Br94</t>
  </si>
  <si>
    <t>Br95</t>
  </si>
  <si>
    <t>Br96</t>
  </si>
  <si>
    <t>Br97</t>
  </si>
  <si>
    <t>Br98</t>
  </si>
  <si>
    <t>Kr69</t>
  </si>
  <si>
    <t>Kr70</t>
  </si>
  <si>
    <t>Kr71</t>
  </si>
  <si>
    <t>Kr72</t>
  </si>
  <si>
    <t>Kr73</t>
  </si>
  <si>
    <t>Kr74</t>
  </si>
  <si>
    <t>Kr75</t>
  </si>
  <si>
    <t>Kr76</t>
  </si>
  <si>
    <t>Kr77</t>
  </si>
  <si>
    <t>Kr78</t>
  </si>
  <si>
    <t>Kr79</t>
  </si>
  <si>
    <t>Kr80</t>
  </si>
  <si>
    <t>Kr81</t>
  </si>
  <si>
    <t>Kr82</t>
  </si>
  <si>
    <t>Kr83</t>
  </si>
  <si>
    <t>Kr84</t>
  </si>
  <si>
    <t>Kr85</t>
  </si>
  <si>
    <t>Kr86</t>
  </si>
  <si>
    <t>Kr87</t>
  </si>
  <si>
    <t>Kr88</t>
  </si>
  <si>
    <t>Kr89</t>
  </si>
  <si>
    <t>Kr90</t>
  </si>
  <si>
    <t>Kr91</t>
  </si>
  <si>
    <t>Kr92</t>
  </si>
  <si>
    <t>Kr93</t>
  </si>
  <si>
    <t>Kr94</t>
  </si>
  <si>
    <t>Kr95</t>
  </si>
  <si>
    <t>Kr96</t>
  </si>
  <si>
    <t>Kr97</t>
  </si>
  <si>
    <t>Kr98</t>
  </si>
  <si>
    <t>Kr99</t>
  </si>
  <si>
    <t>Kr100</t>
  </si>
  <si>
    <t>Kr101</t>
  </si>
  <si>
    <t>Rb74</t>
  </si>
  <si>
    <t>Rb75</t>
  </si>
  <si>
    <t>Rb76</t>
  </si>
  <si>
    <t>Rb77</t>
  </si>
  <si>
    <t>Rb78</t>
  </si>
  <si>
    <t>Rb79</t>
  </si>
  <si>
    <t>Rb80</t>
  </si>
  <si>
    <t>Rb81</t>
  </si>
  <si>
    <t>Rb82</t>
  </si>
  <si>
    <t>Rb83</t>
  </si>
  <si>
    <t>Rb84</t>
  </si>
  <si>
    <t>Rb85</t>
  </si>
  <si>
    <t>Rb86</t>
  </si>
  <si>
    <t>Rb87</t>
  </si>
  <si>
    <t>Rb88</t>
  </si>
  <si>
    <t>Rb89</t>
  </si>
  <si>
    <t>Rb90</t>
  </si>
  <si>
    <t>Rb91</t>
  </si>
  <si>
    <t>Rb92</t>
  </si>
  <si>
    <t>Rb93</t>
  </si>
  <si>
    <t>Rb94</t>
  </si>
  <si>
    <t>Rb95</t>
  </si>
  <si>
    <t>Rb96</t>
  </si>
  <si>
    <t>Rb97</t>
  </si>
  <si>
    <t>Rb98</t>
  </si>
  <si>
    <t>Rb99</t>
  </si>
  <si>
    <t>Rb100</t>
  </si>
  <si>
    <t>Rb101</t>
  </si>
  <si>
    <t>Rb102</t>
  </si>
  <si>
    <t>Rb103</t>
  </si>
  <si>
    <t>Sr73</t>
  </si>
  <si>
    <t>Sr74</t>
  </si>
  <si>
    <t>Sr75</t>
  </si>
  <si>
    <t>Sr76</t>
  </si>
  <si>
    <t>Sr77</t>
  </si>
  <si>
    <t>Sr78</t>
  </si>
  <si>
    <t>Sr79</t>
  </si>
  <si>
    <t>Sr80</t>
  </si>
  <si>
    <t>Sr81</t>
  </si>
  <si>
    <t>Sr82</t>
  </si>
  <si>
    <t>Sr83</t>
  </si>
  <si>
    <t>Sr84</t>
  </si>
  <si>
    <t>Sr85</t>
  </si>
  <si>
    <t>Sr86</t>
  </si>
  <si>
    <t>Sr87</t>
  </si>
  <si>
    <t>Sr88</t>
  </si>
  <si>
    <t>Sr89</t>
  </si>
  <si>
    <t>Sr90</t>
  </si>
  <si>
    <t>Sr91</t>
  </si>
  <si>
    <t>Sr92</t>
  </si>
  <si>
    <t>Sr93</t>
  </si>
  <si>
    <t>Sr94</t>
  </si>
  <si>
    <t>Sr95</t>
  </si>
  <si>
    <t>Sr96</t>
  </si>
  <si>
    <t>Sr97</t>
  </si>
  <si>
    <t>Sr98</t>
  </si>
  <si>
    <t>Sr99</t>
  </si>
  <si>
    <t>Sr100</t>
  </si>
  <si>
    <t>Sr101</t>
  </si>
  <si>
    <t>Sr102</t>
  </si>
  <si>
    <t>Sr103</t>
  </si>
  <si>
    <t>Sr104</t>
  </si>
  <si>
    <t>Sr105</t>
  </si>
  <si>
    <t>Sr106</t>
  </si>
  <si>
    <t>Sr107</t>
  </si>
  <si>
    <t>Y76</t>
  </si>
  <si>
    <t>Y77</t>
  </si>
  <si>
    <t>Y78</t>
  </si>
  <si>
    <t>Y79</t>
  </si>
  <si>
    <t>Y80</t>
  </si>
  <si>
    <t>Y81</t>
  </si>
  <si>
    <t>Y82</t>
  </si>
  <si>
    <t>Y83</t>
  </si>
  <si>
    <t>Y84</t>
  </si>
  <si>
    <t>Y85</t>
  </si>
  <si>
    <t>Y86</t>
  </si>
  <si>
    <t>Y87</t>
  </si>
  <si>
    <t>Y88</t>
  </si>
  <si>
    <t>Y89</t>
  </si>
  <si>
    <t>Y90</t>
  </si>
  <si>
    <t>Y91</t>
  </si>
  <si>
    <t>Y92</t>
  </si>
  <si>
    <t>Y93</t>
  </si>
  <si>
    <t>Y94</t>
  </si>
  <si>
    <t>Y95</t>
  </si>
  <si>
    <t>Y96</t>
  </si>
  <si>
    <t>Y97</t>
  </si>
  <si>
    <t>Y98</t>
  </si>
  <si>
    <t>Y99</t>
  </si>
  <si>
    <t>Y100</t>
  </si>
  <si>
    <t>Y101</t>
  </si>
  <si>
    <t>Y102</t>
  </si>
  <si>
    <t>Y103</t>
  </si>
  <si>
    <t>Y104</t>
  </si>
  <si>
    <t>Y105</t>
  </si>
  <si>
    <t>Y106</t>
  </si>
  <si>
    <t>Y107</t>
  </si>
  <si>
    <t>Y108</t>
  </si>
  <si>
    <t>Y109</t>
  </si>
  <si>
    <t>Zr78</t>
  </si>
  <si>
    <t>Zr79</t>
  </si>
  <si>
    <t>Zr80</t>
  </si>
  <si>
    <t>Zr81</t>
  </si>
  <si>
    <t>Zr82</t>
  </si>
  <si>
    <t>Zr83</t>
  </si>
  <si>
    <t>Zr84</t>
  </si>
  <si>
    <t>Zr85</t>
  </si>
  <si>
    <t>Zr86</t>
  </si>
  <si>
    <t>Zr87</t>
  </si>
  <si>
    <t>Zr88</t>
  </si>
  <si>
    <t>Zr89</t>
  </si>
  <si>
    <t>Zr90</t>
  </si>
  <si>
    <t>Zr91</t>
  </si>
  <si>
    <t>Zr92</t>
  </si>
  <si>
    <t>Zr93</t>
  </si>
  <si>
    <t>Zr94</t>
  </si>
  <si>
    <t>Zr95</t>
  </si>
  <si>
    <t>Zr96</t>
  </si>
  <si>
    <t>Zr97</t>
  </si>
  <si>
    <t>Zr98</t>
  </si>
  <si>
    <t>Zr99</t>
  </si>
  <si>
    <t>Zr100</t>
  </si>
  <si>
    <t>Zr101</t>
  </si>
  <si>
    <t>Zr102</t>
  </si>
  <si>
    <t>Zr103</t>
  </si>
  <si>
    <t>Zr104</t>
  </si>
  <si>
    <t>Zr105</t>
  </si>
  <si>
    <t>Zr106</t>
  </si>
  <si>
    <t>Zr107</t>
  </si>
  <si>
    <t>Zr108</t>
  </si>
  <si>
    <t>Zr109</t>
  </si>
  <si>
    <t>Zr110</t>
  </si>
  <si>
    <t>Zr111</t>
  </si>
  <si>
    <t>Zr112</t>
  </si>
  <si>
    <t>Nb82</t>
  </si>
  <si>
    <t>Nb83</t>
  </si>
  <si>
    <t>Nb84</t>
  </si>
  <si>
    <t>Nb85</t>
  </si>
  <si>
    <t>Nb86</t>
  </si>
  <si>
    <t>Nb87</t>
  </si>
  <si>
    <t>Nb88</t>
  </si>
  <si>
    <t>Nb89</t>
  </si>
  <si>
    <t>Nb90</t>
  </si>
  <si>
    <t>Nb91</t>
  </si>
  <si>
    <t>Nb92</t>
  </si>
  <si>
    <t>Nb93</t>
  </si>
  <si>
    <t>Nb94</t>
  </si>
  <si>
    <t>Nb95</t>
  </si>
  <si>
    <t>Nb96</t>
  </si>
  <si>
    <t>Nb97</t>
  </si>
  <si>
    <t>Nb98</t>
  </si>
  <si>
    <t>Nb99</t>
  </si>
  <si>
    <t>Nb100</t>
  </si>
  <si>
    <t>Nb101</t>
  </si>
  <si>
    <t>Nb102</t>
  </si>
  <si>
    <t>Nb103</t>
  </si>
  <si>
    <t>Nb104</t>
  </si>
  <si>
    <t>Nb105</t>
  </si>
  <si>
    <t>Nb106</t>
  </si>
  <si>
    <t>Nb107</t>
  </si>
  <si>
    <t>Nb108</t>
  </si>
  <si>
    <t>Nb109</t>
  </si>
  <si>
    <t>Nb110</t>
  </si>
  <si>
    <t>Nb111</t>
  </si>
  <si>
    <t>Nb112</t>
  </si>
  <si>
    <t>Nb113</t>
  </si>
  <si>
    <t>Nb114</t>
  </si>
  <si>
    <t>Nb115</t>
  </si>
  <si>
    <t>Mo81</t>
  </si>
  <si>
    <t>Mo82</t>
  </si>
  <si>
    <t>Mo83</t>
  </si>
  <si>
    <t>Mo84</t>
  </si>
  <si>
    <t>Mo85</t>
  </si>
  <si>
    <t>Mo86</t>
  </si>
  <si>
    <t>Mo87</t>
  </si>
  <si>
    <t>Mo88</t>
  </si>
  <si>
    <t>Mo89</t>
  </si>
  <si>
    <t>Mo90</t>
  </si>
  <si>
    <t>Mo91</t>
  </si>
  <si>
    <t>Mo92</t>
  </si>
  <si>
    <t>Mo93</t>
  </si>
  <si>
    <t>Mo94</t>
  </si>
  <si>
    <t>Mo95</t>
  </si>
  <si>
    <t>Mo96</t>
  </si>
  <si>
    <t>Mo97</t>
  </si>
  <si>
    <t>Mo98</t>
  </si>
  <si>
    <t>Mo99</t>
  </si>
  <si>
    <t>Mo100</t>
  </si>
  <si>
    <t>Mo101</t>
  </si>
  <si>
    <t>Mo102</t>
  </si>
  <si>
    <t>Mo103</t>
  </si>
  <si>
    <t>Mo104</t>
  </si>
  <si>
    <t>Mo105</t>
  </si>
  <si>
    <t>Mo106</t>
  </si>
  <si>
    <t>Mo107</t>
  </si>
  <si>
    <t>Mo108</t>
  </si>
  <si>
    <t>Mo109</t>
  </si>
  <si>
    <t>Mo110</t>
  </si>
  <si>
    <t>Mo111</t>
  </si>
  <si>
    <t>Mo112</t>
  </si>
  <si>
    <t>Mo113</t>
  </si>
  <si>
    <t>Mo114</t>
  </si>
  <si>
    <t>Mo115</t>
  </si>
  <si>
    <t>Mo116</t>
  </si>
  <si>
    <t>Mo117</t>
  </si>
  <si>
    <t>Mo118</t>
  </si>
  <si>
    <t>Tc85</t>
  </si>
  <si>
    <t>Tc86</t>
  </si>
  <si>
    <t>Tc87</t>
  </si>
  <si>
    <t>Tc88</t>
  </si>
  <si>
    <t>Tc89</t>
  </si>
  <si>
    <t>Tc90</t>
  </si>
  <si>
    <t>Tc91</t>
  </si>
  <si>
    <t>Tc92</t>
  </si>
  <si>
    <t>Tc93</t>
  </si>
  <si>
    <t>Tc94</t>
  </si>
  <si>
    <t>Tc95</t>
  </si>
  <si>
    <t>Tc96</t>
  </si>
  <si>
    <t>Tc97</t>
  </si>
  <si>
    <t>Tc98</t>
  </si>
  <si>
    <t>Tc99</t>
  </si>
  <si>
    <t>Tc100</t>
  </si>
  <si>
    <t>Tc101</t>
  </si>
  <si>
    <t>Tc102</t>
  </si>
  <si>
    <t>Tc103</t>
  </si>
  <si>
    <t>Tc104</t>
  </si>
  <si>
    <t>Tc105</t>
  </si>
  <si>
    <t>Tc106</t>
  </si>
  <si>
    <t>Tc107</t>
  </si>
  <si>
    <t>Tc108</t>
  </si>
  <si>
    <t>Tc109</t>
  </si>
  <si>
    <t>Tc110</t>
  </si>
  <si>
    <t>Tc111</t>
  </si>
  <si>
    <t>Tc112</t>
  </si>
  <si>
    <t>Tc113</t>
  </si>
  <si>
    <t>Tc114</t>
  </si>
  <si>
    <t>Tc115</t>
  </si>
  <si>
    <t>Tc116</t>
  </si>
  <si>
    <t>Tc117</t>
  </si>
  <si>
    <t>Tc118</t>
  </si>
  <si>
    <t>Tc119</t>
  </si>
  <si>
    <t>Tc120</t>
  </si>
  <si>
    <t>Tc121</t>
  </si>
  <si>
    <t>Ru85</t>
  </si>
  <si>
    <t>Ru86</t>
  </si>
  <si>
    <t>Ru87</t>
  </si>
  <si>
    <t>Ru88</t>
  </si>
  <si>
    <t>Ru89</t>
  </si>
  <si>
    <t>Ru90</t>
  </si>
  <si>
    <t>Ru91</t>
  </si>
  <si>
    <t>Ru92</t>
  </si>
  <si>
    <t>Ru93</t>
  </si>
  <si>
    <t>Ru94</t>
  </si>
  <si>
    <t>Ru95</t>
  </si>
  <si>
    <t>Ru96</t>
  </si>
  <si>
    <t>Ru97</t>
  </si>
  <si>
    <t>Ru98</t>
  </si>
  <si>
    <t>Ru99</t>
  </si>
  <si>
    <t>Ru100</t>
  </si>
  <si>
    <t>Ru101</t>
  </si>
  <si>
    <t>Ru102</t>
  </si>
  <si>
    <t>Ru103</t>
  </si>
  <si>
    <t>Ru104</t>
  </si>
  <si>
    <t>Ru105</t>
  </si>
  <si>
    <t>Ru106</t>
  </si>
  <si>
    <t>Ru107</t>
  </si>
  <si>
    <t>Ru108</t>
  </si>
  <si>
    <t>Ru109</t>
  </si>
  <si>
    <t>Ru110</t>
  </si>
  <si>
    <t>Ru111</t>
  </si>
  <si>
    <t>Ru112</t>
  </si>
  <si>
    <t>Ru113</t>
  </si>
  <si>
    <t>Ru114</t>
  </si>
  <si>
    <t>Ru115</t>
  </si>
  <si>
    <t>Ru116</t>
  </si>
  <si>
    <t>Ru117</t>
  </si>
  <si>
    <t>Ru118</t>
  </si>
  <si>
    <t>Ru119</t>
  </si>
  <si>
    <t>Ru120</t>
  </si>
  <si>
    <t>Ru121</t>
  </si>
  <si>
    <t>Ru122</t>
  </si>
  <si>
    <t>Ru123</t>
  </si>
  <si>
    <t>Ru124</t>
  </si>
  <si>
    <t>Rh89</t>
  </si>
  <si>
    <t>Rh90</t>
  </si>
  <si>
    <t>Rh91</t>
  </si>
  <si>
    <t>Rh92</t>
  </si>
  <si>
    <t>Rh93</t>
  </si>
  <si>
    <t>Rh94</t>
  </si>
  <si>
    <t>Rh95</t>
  </si>
  <si>
    <t>Rh96</t>
  </si>
  <si>
    <t>Rh97</t>
  </si>
  <si>
    <t>Rh98</t>
  </si>
  <si>
    <t>Rh99</t>
  </si>
  <si>
    <t>Rh100</t>
  </si>
  <si>
    <t>Rh101</t>
  </si>
  <si>
    <t>Rh102</t>
  </si>
  <si>
    <t>Rh103</t>
  </si>
  <si>
    <t>Rh104</t>
  </si>
  <si>
    <t>Rh105</t>
  </si>
  <si>
    <t>Rh106</t>
  </si>
  <si>
    <t>Rh107</t>
  </si>
  <si>
    <t>Rh108</t>
  </si>
  <si>
    <t>Rh109</t>
  </si>
  <si>
    <t>Rh110</t>
  </si>
  <si>
    <t>Rh111</t>
  </si>
  <si>
    <t>Rh112</t>
  </si>
  <si>
    <t>Rh113</t>
  </si>
  <si>
    <t>Rh114</t>
  </si>
  <si>
    <t>Rh115</t>
  </si>
  <si>
    <t>Rh116</t>
  </si>
  <si>
    <t>Rh117</t>
  </si>
  <si>
    <t>Rh118</t>
  </si>
  <si>
    <t>Rh119</t>
  </si>
  <si>
    <t>Rh120</t>
  </si>
  <si>
    <t>Rh121</t>
  </si>
  <si>
    <t>Rh122</t>
  </si>
  <si>
    <t>Rh123</t>
  </si>
  <si>
    <t>Rh124</t>
  </si>
  <si>
    <t>Rh125</t>
  </si>
  <si>
    <t>Rh126</t>
  </si>
  <si>
    <t>Rh127</t>
  </si>
  <si>
    <t>Pd91</t>
  </si>
  <si>
    <t>Pd92</t>
  </si>
  <si>
    <t>Pd93</t>
  </si>
  <si>
    <t>Pd94</t>
  </si>
  <si>
    <t>Pd95</t>
  </si>
  <si>
    <t>Pd96</t>
  </si>
  <si>
    <t>Pd97</t>
  </si>
  <si>
    <t>Pd98</t>
  </si>
  <si>
    <t>Pd99</t>
  </si>
  <si>
    <t>Pd100</t>
  </si>
  <si>
    <t>Pd101</t>
  </si>
  <si>
    <t>Pd102</t>
  </si>
  <si>
    <t>Pd103</t>
  </si>
  <si>
    <t>Pd104</t>
  </si>
  <si>
    <t>Pd105</t>
  </si>
  <si>
    <t>Pd106</t>
  </si>
  <si>
    <t>Pd107</t>
  </si>
  <si>
    <t>Pd108</t>
  </si>
  <si>
    <t>Pd109</t>
  </si>
  <si>
    <t>Pd110</t>
  </si>
  <si>
    <t>Pd111</t>
  </si>
  <si>
    <t>Pd112</t>
  </si>
  <si>
    <t>Pd113</t>
  </si>
  <si>
    <t>Pd114</t>
  </si>
  <si>
    <t>Pd115</t>
  </si>
  <si>
    <t>Pd116</t>
  </si>
  <si>
    <t>Pd117</t>
  </si>
  <si>
    <t>Pd118</t>
  </si>
  <si>
    <t>Pd119</t>
  </si>
  <si>
    <t>Pd120</t>
  </si>
  <si>
    <t>Pd121</t>
  </si>
  <si>
    <t>Pd122</t>
  </si>
  <si>
    <t>Pd123</t>
  </si>
  <si>
    <t>Pd124</t>
  </si>
  <si>
    <t>Pd125</t>
  </si>
  <si>
    <t>Pd126</t>
  </si>
  <si>
    <t>Pd127</t>
  </si>
  <si>
    <t>Pd128</t>
  </si>
  <si>
    <t>Ag94</t>
  </si>
  <si>
    <t>Ag95</t>
  </si>
  <si>
    <t>Ag96</t>
  </si>
  <si>
    <t>Ag97</t>
  </si>
  <si>
    <t>Ag98</t>
  </si>
  <si>
    <t>Ag99</t>
  </si>
  <si>
    <t>Ag100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</si>
  <si>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</si>
  <si>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</si>
  <si>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</si>
  <si>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</si>
  <si>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</si>
  <si>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</si>
  <si>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</si>
  <si>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</si>
  <si>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</si>
  <si>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</si>
  <si>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</si>
  <si>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</si>
  <si>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</si>
  <si>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</si>
  <si>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</si>
  <si>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</si>
  <si>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</si>
  <si>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</si>
  <si>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</si>
  <si>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Ag120</t>
  </si>
  <si>
    <t>Ag121</t>
  </si>
  <si>
    <t>Ag122</t>
  </si>
  <si>
    <t>Ag123</t>
  </si>
  <si>
    <t>Ag124</t>
  </si>
  <si>
    <t>Ag125</t>
  </si>
  <si>
    <t>Ag126</t>
  </si>
  <si>
    <t>Ag127</t>
  </si>
  <si>
    <t>Ag128</t>
  </si>
  <si>
    <t>Ag129</t>
  </si>
  <si>
    <t>Ag130</t>
  </si>
  <si>
    <t>Ag131</t>
  </si>
  <si>
    <t>Ag132</t>
  </si>
  <si>
    <t>Cd96</t>
  </si>
  <si>
    <t>Cd97</t>
  </si>
  <si>
    <t>Cd98</t>
  </si>
  <si>
    <t>Cd99</t>
  </si>
  <si>
    <t>Cd100</t>
  </si>
  <si>
    <t>Cd101</t>
  </si>
  <si>
    <t>Cd102</t>
  </si>
  <si>
    <t>Cd103</t>
  </si>
  <si>
    <t>Cd104</t>
  </si>
  <si>
    <t>Cd105</t>
  </si>
  <si>
    <t>Cd106</t>
  </si>
  <si>
    <t>Cd107</t>
  </si>
  <si>
    <t>Cd108</t>
  </si>
  <si>
    <t>Cd109</t>
  </si>
  <si>
    <t>Cd110</t>
  </si>
  <si>
    <t>Cd111</t>
  </si>
  <si>
    <t>Cd112</t>
  </si>
  <si>
    <t>Cd113</t>
  </si>
  <si>
    <t>Cd114</t>
  </si>
  <si>
    <t>Cd115</t>
  </si>
  <si>
    <t>Cd116</t>
  </si>
  <si>
    <t>Cd117</t>
  </si>
  <si>
    <t>Cd118</t>
  </si>
  <si>
    <t>Cd119</t>
  </si>
  <si>
    <t>Cd120</t>
  </si>
  <si>
    <t>Cd121</t>
  </si>
  <si>
    <t>Cd122</t>
  </si>
  <si>
    <t>Cd123</t>
  </si>
  <si>
    <t>Cd124</t>
  </si>
  <si>
    <t>Cd125</t>
  </si>
  <si>
    <t>Cd126</t>
  </si>
  <si>
    <t>Cd127</t>
  </si>
  <si>
    <t>Cd128</t>
  </si>
  <si>
    <t>Cd129</t>
  </si>
  <si>
    <t>Cd130</t>
  </si>
  <si>
    <t>Cd131</t>
  </si>
  <si>
    <t>Cd132</t>
  </si>
  <si>
    <t>Cd133</t>
  </si>
  <si>
    <t>Cd134</t>
  </si>
  <si>
    <t>In98</t>
  </si>
  <si>
    <t>In99</t>
  </si>
  <si>
    <t>In100</t>
  </si>
  <si>
    <t>In101</t>
  </si>
  <si>
    <t>In102</t>
  </si>
  <si>
    <t>In103</t>
  </si>
  <si>
    <t>In104</t>
  </si>
  <si>
    <t>In105</t>
  </si>
  <si>
    <t>In106</t>
  </si>
  <si>
    <t>In107</t>
  </si>
  <si>
    <t>In108</t>
  </si>
  <si>
    <t>In109</t>
  </si>
  <si>
    <t>In110</t>
  </si>
  <si>
    <t>In111</t>
  </si>
  <si>
    <t>In112</t>
  </si>
  <si>
    <t>In113</t>
  </si>
  <si>
    <t>In114</t>
  </si>
  <si>
    <t>In115</t>
  </si>
  <si>
    <t>In116</t>
  </si>
  <si>
    <t>In117</t>
  </si>
  <si>
    <t>In118</t>
  </si>
  <si>
    <t>In119</t>
  </si>
  <si>
    <t>In120</t>
  </si>
  <si>
    <t>In121</t>
  </si>
  <si>
    <t>In122</t>
  </si>
  <si>
    <t>In123</t>
  </si>
  <si>
    <t>In124</t>
  </si>
  <si>
    <t>In125</t>
  </si>
  <si>
    <t>In126</t>
  </si>
  <si>
    <t>In127</t>
  </si>
  <si>
    <t>In128</t>
  </si>
  <si>
    <t>In129</t>
  </si>
  <si>
    <t>In130</t>
  </si>
  <si>
    <t>In131</t>
  </si>
  <si>
    <t>In132</t>
  </si>
  <si>
    <t>In133</t>
  </si>
  <si>
    <t>In134</t>
  </si>
  <si>
    <t>In135</t>
  </si>
  <si>
    <t>In136</t>
  </si>
  <si>
    <t>In137</t>
  </si>
  <si>
    <t>Sn100</t>
  </si>
  <si>
    <t>Sn101</t>
  </si>
  <si>
    <t>Sn102</t>
  </si>
  <si>
    <t>Sn103</t>
  </si>
  <si>
    <t>Sn104</t>
  </si>
  <si>
    <t>Sn105</t>
  </si>
  <si>
    <t>Sn106</t>
  </si>
  <si>
    <t>Sn107</t>
  </si>
  <si>
    <t>Sn108</t>
  </si>
  <si>
    <t>Sn109</t>
  </si>
  <si>
    <t>Sn110</t>
  </si>
  <si>
    <t>Sn111</t>
  </si>
  <si>
    <t>Sn113</t>
  </si>
  <si>
    <t>Sn114</t>
  </si>
  <si>
    <t>Sn115</t>
  </si>
  <si>
    <t>Sn116</t>
  </si>
  <si>
    <t>Sn117</t>
  </si>
  <si>
    <t>Sn118</t>
  </si>
  <si>
    <t>Sn119</t>
  </si>
  <si>
    <t>Sn120</t>
  </si>
  <si>
    <t>Sn121</t>
  </si>
  <si>
    <t>Sn122</t>
  </si>
  <si>
    <t>Sn123</t>
  </si>
  <si>
    <t>Sn124</t>
  </si>
  <si>
    <t>Sn125</t>
  </si>
  <si>
    <t>Sn126</t>
  </si>
  <si>
    <t>Sn127</t>
  </si>
  <si>
    <t>Sn128</t>
  </si>
  <si>
    <t>Sn129</t>
  </si>
  <si>
    <t>Sn130</t>
  </si>
  <si>
    <t>Sn131</t>
  </si>
  <si>
    <t>Sn132</t>
  </si>
  <si>
    <t>Sn133</t>
  </si>
  <si>
    <t>Sn134</t>
  </si>
  <si>
    <t>Sn135</t>
  </si>
  <si>
    <t>Sn136</t>
  </si>
  <si>
    <t>Sn137</t>
  </si>
  <si>
    <t>Sn138</t>
  </si>
  <si>
    <t>Sn139</t>
  </si>
  <si>
    <t>Sb103</t>
  </si>
  <si>
    <t>Sb104</t>
  </si>
  <si>
    <t>Sb105</t>
  </si>
  <si>
    <t>Sb106</t>
  </si>
  <si>
    <t>Sb107</t>
  </si>
  <si>
    <t>Sb108</t>
  </si>
  <si>
    <t>Sb109</t>
  </si>
  <si>
    <t>Sb110</t>
  </si>
  <si>
    <t>Sb111</t>
  </si>
  <si>
    <t>Sb112</t>
  </si>
  <si>
    <t>Sb113</t>
  </si>
  <si>
    <t>Sb114</t>
  </si>
  <si>
    <t>Sb115</t>
  </si>
  <si>
    <t>Sb116</t>
  </si>
  <si>
    <t>Sb117</t>
  </si>
  <si>
    <t>Sb118</t>
  </si>
  <si>
    <t>Sb119</t>
  </si>
  <si>
    <t>Sb120</t>
  </si>
  <si>
    <t>Sb121</t>
  </si>
  <si>
    <t>Sb122</t>
  </si>
  <si>
    <t>Sb123</t>
  </si>
  <si>
    <t>Sb124</t>
  </si>
  <si>
    <t>Sb125</t>
  </si>
  <si>
    <t>Sb126</t>
  </si>
  <si>
    <t>Sb127</t>
  </si>
  <si>
    <t>Sb128</t>
  </si>
  <si>
    <t>Sb129</t>
  </si>
  <si>
    <t>Sb130</t>
  </si>
  <si>
    <t>Sb131</t>
  </si>
  <si>
    <t>Sb132</t>
  </si>
  <si>
    <t>Sb133</t>
  </si>
  <si>
    <t>Sb134</t>
  </si>
  <si>
    <t>Sb135</t>
  </si>
  <si>
    <t>Sb136</t>
  </si>
  <si>
    <t>Sb137</t>
  </si>
  <si>
    <t>Sb138</t>
  </si>
  <si>
    <t>Sb139</t>
  </si>
  <si>
    <t>Sb140</t>
  </si>
  <si>
    <t>Te105</t>
  </si>
  <si>
    <t>Te106</t>
  </si>
  <si>
    <t>Te107</t>
  </si>
  <si>
    <t>Te108</t>
  </si>
  <si>
    <t>Te109</t>
  </si>
  <si>
    <t>Te110</t>
  </si>
  <si>
    <t>Te111</t>
  </si>
  <si>
    <t>Te112</t>
  </si>
  <si>
    <t>Te113</t>
  </si>
  <si>
    <t>Te114</t>
  </si>
  <si>
    <t>Te115</t>
  </si>
  <si>
    <t>Te116</t>
  </si>
  <si>
    <t>Te117</t>
  </si>
  <si>
    <t>Te118</t>
  </si>
  <si>
    <t>Te119</t>
  </si>
  <si>
    <t>Te120</t>
  </si>
  <si>
    <t>Te121</t>
  </si>
  <si>
    <t>Te122</t>
  </si>
  <si>
    <t>Te123</t>
  </si>
  <si>
    <t>Te124</t>
  </si>
  <si>
    <t>Te125</t>
  </si>
  <si>
    <t>Te126</t>
  </si>
  <si>
    <t>Te127</t>
  </si>
  <si>
    <t>Te128</t>
  </si>
  <si>
    <t>Te129</t>
  </si>
  <si>
    <t>Te130</t>
  </si>
  <si>
    <t>Te131</t>
  </si>
  <si>
    <t>Te132</t>
  </si>
  <si>
    <t>Te133</t>
  </si>
  <si>
    <t>Te134</t>
  </si>
  <si>
    <t>Te135</t>
  </si>
  <si>
    <t>Te136</t>
  </si>
  <si>
    <t>Te137</t>
  </si>
  <si>
    <t>Te138</t>
  </si>
  <si>
    <t>Te139</t>
  </si>
  <si>
    <t>Te140</t>
  </si>
  <si>
    <t>Te141</t>
  </si>
  <si>
    <t>Te143</t>
  </si>
  <si>
    <t>I108</t>
  </si>
  <si>
    <t>I109</t>
  </si>
  <si>
    <t>I110</t>
  </si>
  <si>
    <t>I111</t>
  </si>
  <si>
    <t>I112</t>
  </si>
  <si>
    <t>I113</t>
  </si>
  <si>
    <t>I114</t>
  </si>
  <si>
    <t>I115</t>
  </si>
  <si>
    <t>I116</t>
  </si>
  <si>
    <t>I117</t>
  </si>
  <si>
    <t>I118</t>
  </si>
  <si>
    <t>I119</t>
  </si>
  <si>
    <t>I120</t>
  </si>
  <si>
    <t>I121</t>
  </si>
  <si>
    <t>I122</t>
  </si>
  <si>
    <t>I123</t>
  </si>
  <si>
    <t>I124</t>
  </si>
  <si>
    <t>I125</t>
  </si>
  <si>
    <t>I126</t>
  </si>
  <si>
    <t>I127</t>
  </si>
  <si>
    <t>I128</t>
  </si>
  <si>
    <t>I129</t>
  </si>
  <si>
    <t>I130</t>
  </si>
  <si>
    <t>I131</t>
  </si>
  <si>
    <t>I132</t>
  </si>
  <si>
    <t>I133</t>
  </si>
  <si>
    <t>I134</t>
  </si>
  <si>
    <t>I135</t>
  </si>
  <si>
    <t>I136</t>
  </si>
  <si>
    <t>I137</t>
  </si>
  <si>
    <t>I138</t>
  </si>
  <si>
    <t>I139</t>
  </si>
  <si>
    <t>I140</t>
  </si>
  <si>
    <t>I141</t>
  </si>
  <si>
    <t>I142</t>
  </si>
  <si>
    <t>I143</t>
  </si>
  <si>
    <t>I144</t>
  </si>
  <si>
    <t>I145</t>
  </si>
  <si>
    <t>Xe109</t>
  </si>
  <si>
    <t>Xe110</t>
  </si>
  <si>
    <t>Xe111</t>
  </si>
  <si>
    <t>Xe112</t>
  </si>
  <si>
    <t>Xe113</t>
  </si>
  <si>
    <t>Xe114</t>
  </si>
  <si>
    <t>Xe115</t>
  </si>
  <si>
    <t>Xe116</t>
  </si>
  <si>
    <t>Xe117</t>
  </si>
  <si>
    <t>Xe118</t>
  </si>
  <si>
    <t>Xe119</t>
  </si>
  <si>
    <t>Xe120</t>
  </si>
  <si>
    <t>Xe121</t>
  </si>
  <si>
    <t>Xe122</t>
  </si>
  <si>
    <t>Xe123</t>
  </si>
  <si>
    <t>Xe124</t>
  </si>
  <si>
    <t>Xe125</t>
  </si>
  <si>
    <t>Xe126</t>
  </si>
  <si>
    <t>Xe127</t>
  </si>
  <si>
    <t>Xe128</t>
  </si>
  <si>
    <t>Xe129</t>
  </si>
  <si>
    <t>Xe130</t>
  </si>
  <si>
    <t>Xe131</t>
  </si>
  <si>
    <t>Xe132</t>
  </si>
  <si>
    <t>Xe133</t>
  </si>
  <si>
    <t>Xe134</t>
  </si>
  <si>
    <t>Xe135</t>
  </si>
  <si>
    <t>Xe136</t>
  </si>
  <si>
    <t>Xe137</t>
  </si>
  <si>
    <t>Xe138</t>
  </si>
  <si>
    <t>Xe139</t>
  </si>
  <si>
    <t>Xe140</t>
  </si>
  <si>
    <t>Xe141</t>
  </si>
  <si>
    <t>Xe142</t>
  </si>
  <si>
    <t>Xe143</t>
  </si>
  <si>
    <t>Xe144</t>
  </si>
  <si>
    <t>Xe145</t>
  </si>
  <si>
    <t>Xe146</t>
  </si>
  <si>
    <t>Xe147</t>
  </si>
  <si>
    <t>Xe148</t>
  </si>
  <si>
    <t>Cs112</t>
  </si>
  <si>
    <t>Cs113</t>
  </si>
  <si>
    <t>Cs114</t>
  </si>
  <si>
    <t>Cs115</t>
  </si>
  <si>
    <t>Cs116</t>
  </si>
  <si>
    <t>Cs117</t>
  </si>
  <si>
    <t>Cs118</t>
  </si>
  <si>
    <t>Cs119</t>
  </si>
  <si>
    <t>Cs120</t>
  </si>
  <si>
    <t>Cs121</t>
  </si>
  <si>
    <t>Cs122</t>
  </si>
  <si>
    <t>Cs123</t>
  </si>
  <si>
    <t>Cs124</t>
  </si>
  <si>
    <t>Cs125</t>
  </si>
  <si>
    <t>Cs126</t>
  </si>
  <si>
    <t>Cs127</t>
  </si>
  <si>
    <t>Cs128</t>
  </si>
  <si>
    <t>Cs129</t>
  </si>
  <si>
    <t>Cs130</t>
  </si>
  <si>
    <t>Cs131</t>
  </si>
  <si>
    <t>Cs132</t>
  </si>
  <si>
    <t>Cs133</t>
  </si>
  <si>
    <t>Cs134</t>
  </si>
  <si>
    <t>Cs135</t>
  </si>
  <si>
    <t>Cs136</t>
  </si>
  <si>
    <t>Cs137</t>
  </si>
  <si>
    <t>Cs138</t>
  </si>
  <si>
    <t>Cs139</t>
  </si>
  <si>
    <t>Cs140</t>
  </si>
  <si>
    <t>Cs141</t>
  </si>
  <si>
    <t>Cs142</t>
  </si>
  <si>
    <t>Cs143</t>
  </si>
  <si>
    <t>Cs144</t>
  </si>
  <si>
    <t>Cs145</t>
  </si>
  <si>
    <t>Cs146</t>
  </si>
  <si>
    <t>Cs147</t>
  </si>
  <si>
    <t>Cs148</t>
  </si>
  <si>
    <t>Cs149</t>
  </si>
  <si>
    <t>Cs150</t>
  </si>
  <si>
    <t>Cs151</t>
  </si>
  <si>
    <t>Ba114</t>
  </si>
  <si>
    <t>Ba115</t>
  </si>
  <si>
    <t>Ba116</t>
  </si>
  <si>
    <t>Ba117</t>
  </si>
  <si>
    <t>Ba118</t>
  </si>
  <si>
    <t>Ba119</t>
  </si>
  <si>
    <t>Ba120</t>
  </si>
  <si>
    <t>Ba121</t>
  </si>
  <si>
    <t>Ba122</t>
  </si>
  <si>
    <t>Ba123</t>
  </si>
  <si>
    <t>Ba124</t>
  </si>
  <si>
    <t>Ba125</t>
  </si>
  <si>
    <t>Ba126</t>
  </si>
  <si>
    <t>Ba127</t>
  </si>
  <si>
    <t>Ba128</t>
  </si>
  <si>
    <t>Ba129</t>
  </si>
  <si>
    <t>Ba130</t>
  </si>
  <si>
    <t>Ba131</t>
  </si>
  <si>
    <t>Ba132</t>
  </si>
  <si>
    <t>Ba133</t>
  </si>
  <si>
    <t>Ba134</t>
  </si>
  <si>
    <t>Ba135</t>
  </si>
  <si>
    <t>Ba136</t>
  </si>
  <si>
    <t>Ba137</t>
  </si>
  <si>
    <t>Ba138</t>
  </si>
  <si>
    <t>Ba139</t>
  </si>
  <si>
    <t>Ba140</t>
  </si>
  <si>
    <t>Ba141</t>
  </si>
  <si>
    <t>Ba142</t>
  </si>
  <si>
    <t>Ba143</t>
  </si>
  <si>
    <t>Ba144</t>
  </si>
  <si>
    <t>Ba145</t>
  </si>
  <si>
    <t>Ba146</t>
  </si>
  <si>
    <t>Ba147</t>
  </si>
  <si>
    <t>Ba148</t>
  </si>
  <si>
    <t>Ba149</t>
  </si>
  <si>
    <t>Ba150</t>
  </si>
  <si>
    <t>Ba151</t>
  </si>
  <si>
    <t>Ba152</t>
  </si>
  <si>
    <t>La117</t>
  </si>
  <si>
    <t>La120</t>
  </si>
  <si>
    <t>La121</t>
  </si>
  <si>
    <t>La122</t>
  </si>
  <si>
    <t>La123</t>
  </si>
  <si>
    <t>La124</t>
  </si>
  <si>
    <t>La125</t>
  </si>
  <si>
    <t>La126</t>
  </si>
  <si>
    <t>La127</t>
  </si>
  <si>
    <t>La128</t>
  </si>
  <si>
    <t>La129</t>
  </si>
  <si>
    <t>La130</t>
  </si>
  <si>
    <t>La131</t>
  </si>
  <si>
    <t>La132</t>
  </si>
  <si>
    <t>La133</t>
  </si>
  <si>
    <t>La134</t>
  </si>
  <si>
    <t>La135</t>
  </si>
  <si>
    <t>La136</t>
  </si>
  <si>
    <t>La137</t>
  </si>
  <si>
    <t>La138</t>
  </si>
  <si>
    <t>La139</t>
  </si>
  <si>
    <t>La140</t>
  </si>
  <si>
    <t>La141</t>
  </si>
  <si>
    <t>La142</t>
  </si>
  <si>
    <t>La143</t>
  </si>
  <si>
    <t>La144</t>
  </si>
  <si>
    <t>La145</t>
  </si>
  <si>
    <t>La146</t>
  </si>
  <si>
    <t>La147</t>
  </si>
  <si>
    <t>La148</t>
  </si>
  <si>
    <t>La149</t>
  </si>
  <si>
    <t>La150</t>
  </si>
  <si>
    <t>La151</t>
  </si>
  <si>
    <t>La152</t>
  </si>
  <si>
    <t>La153</t>
  </si>
  <si>
    <t>Ce121</t>
  </si>
  <si>
    <t>Ce123</t>
  </si>
  <si>
    <t>Ce124</t>
  </si>
  <si>
    <t>Ce125</t>
  </si>
  <si>
    <t>Ce126</t>
  </si>
  <si>
    <t>Ce127</t>
  </si>
  <si>
    <t>Ce128</t>
  </si>
  <si>
    <t>Ce129</t>
  </si>
  <si>
    <t>Ce130</t>
  </si>
  <si>
    <t>Ce131</t>
  </si>
  <si>
    <t>Ce132</t>
  </si>
  <si>
    <t>Ce133</t>
  </si>
  <si>
    <t>Ce134</t>
  </si>
  <si>
    <t>Ce135</t>
  </si>
  <si>
    <t>Ce136</t>
  </si>
  <si>
    <t>Ce137</t>
  </si>
  <si>
    <t>Ce138</t>
  </si>
  <si>
    <t>Ce139</t>
  </si>
  <si>
    <t>Ce140</t>
  </si>
  <si>
    <t>Ce141</t>
  </si>
  <si>
    <t>Ce142</t>
  </si>
  <si>
    <t>Ce143</t>
  </si>
  <si>
    <t>Ce144</t>
  </si>
  <si>
    <t>Ce145</t>
  </si>
  <si>
    <t>Ce146</t>
  </si>
  <si>
    <t>Ce147</t>
  </si>
  <si>
    <t>Ce148</t>
  </si>
  <si>
    <t>Ce149</t>
  </si>
  <si>
    <t>Ce150</t>
  </si>
  <si>
    <t>Ce151</t>
  </si>
  <si>
    <t>Ce152</t>
  </si>
  <si>
    <t>Ce153</t>
  </si>
  <si>
    <t>Ce154</t>
  </si>
  <si>
    <t>Ce155</t>
  </si>
  <si>
    <t>Pr121</t>
  </si>
  <si>
    <t>Pr122</t>
  </si>
  <si>
    <t>Pr123</t>
  </si>
  <si>
    <t>Pr124</t>
  </si>
  <si>
    <t>Pr125</t>
  </si>
  <si>
    <t>Pr126</t>
  </si>
  <si>
    <t>Pr127</t>
  </si>
  <si>
    <t>Pr128</t>
  </si>
  <si>
    <t>Pr129</t>
  </si>
  <si>
    <t>Pr130</t>
  </si>
  <si>
    <t>Pr131</t>
  </si>
  <si>
    <t>Pr132</t>
  </si>
  <si>
    <t>Pr133</t>
  </si>
  <si>
    <t>Pr134</t>
  </si>
  <si>
    <t>Pr135</t>
  </si>
  <si>
    <t>Pr136</t>
  </si>
  <si>
    <t>Pr137</t>
  </si>
  <si>
    <t>Pr138</t>
  </si>
  <si>
    <t>Pr139</t>
  </si>
  <si>
    <t>Pr140</t>
  </si>
  <si>
    <t>Pr141</t>
  </si>
  <si>
    <t>Pr142</t>
  </si>
  <si>
    <t>Pr143</t>
  </si>
  <si>
    <t>Pr144</t>
  </si>
  <si>
    <t>Pr145</t>
  </si>
  <si>
    <t>Pr146</t>
  </si>
  <si>
    <t>Pr147</t>
  </si>
  <si>
    <t>Pr148</t>
  </si>
  <si>
    <t>Pr149</t>
  </si>
  <si>
    <t>Pr150</t>
  </si>
  <si>
    <t>Pr151</t>
  </si>
  <si>
    <t>Pr152</t>
  </si>
  <si>
    <t>Pr153</t>
  </si>
  <si>
    <t>Pr154</t>
  </si>
  <si>
    <t>Pr155</t>
  </si>
  <si>
    <t>Pr156</t>
  </si>
  <si>
    <t>Nd125</t>
  </si>
  <si>
    <t>Nd126</t>
  </si>
  <si>
    <t>Nd127</t>
  </si>
  <si>
    <t>Nd128</t>
  </si>
  <si>
    <t>Nd129</t>
  </si>
  <si>
    <t>Nd130</t>
  </si>
  <si>
    <t>Nd131</t>
  </si>
  <si>
    <t>Nd132</t>
  </si>
  <si>
    <t>Nd133</t>
  </si>
  <si>
    <t>Nd134</t>
  </si>
  <si>
    <t>Nd135</t>
  </si>
  <si>
    <t>Nd136</t>
  </si>
  <si>
    <t>Nd137</t>
  </si>
  <si>
    <t>Nd138</t>
  </si>
  <si>
    <t>Nd139</t>
  </si>
  <si>
    <t>Nd140</t>
  </si>
  <si>
    <t>Nd141</t>
  </si>
  <si>
    <t>Nd142</t>
  </si>
  <si>
    <t>Nd143</t>
  </si>
  <si>
    <t>Nd144</t>
  </si>
  <si>
    <t>Nd145</t>
  </si>
  <si>
    <t>Nd146</t>
  </si>
  <si>
    <t>Nd147</t>
  </si>
  <si>
    <t>Nd148</t>
  </si>
  <si>
    <t>Nd149</t>
  </si>
  <si>
    <t>Nd150</t>
  </si>
  <si>
    <t>Nd151</t>
  </si>
  <si>
    <t>Nd152</t>
  </si>
  <si>
    <t>Nd153</t>
  </si>
  <si>
    <t>Nd154</t>
  </si>
  <si>
    <t>Nd155</t>
  </si>
  <si>
    <t>Nd156</t>
  </si>
  <si>
    <t>Nd157</t>
  </si>
  <si>
    <t>Nd158</t>
  </si>
  <si>
    <t>Nd159</t>
  </si>
  <si>
    <t>Nd160</t>
  </si>
  <si>
    <t>Nd161</t>
  </si>
  <si>
    <t>Pm128</t>
  </si>
  <si>
    <t>Pm129</t>
  </si>
  <si>
    <t>Pm130</t>
  </si>
  <si>
    <t>Pm131</t>
  </si>
  <si>
    <t>Pm132</t>
  </si>
  <si>
    <t>Pm133</t>
  </si>
  <si>
    <t>Pm134</t>
  </si>
  <si>
    <t>Pm135</t>
  </si>
  <si>
    <t>Pm136</t>
  </si>
  <si>
    <t>Pm137</t>
  </si>
  <si>
    <t>Pm138</t>
  </si>
  <si>
    <t>Pm139</t>
  </si>
  <si>
    <t>Pm140</t>
  </si>
  <si>
    <t>Pm141</t>
  </si>
  <si>
    <t>Pm142</t>
  </si>
  <si>
    <t>Pm143</t>
  </si>
  <si>
    <t>Pm144</t>
  </si>
  <si>
    <t>Pm145</t>
  </si>
  <si>
    <t>Pm146</t>
  </si>
  <si>
    <t>Pm147</t>
  </si>
  <si>
    <t>Pm148</t>
  </si>
  <si>
    <t>Pm149</t>
  </si>
  <si>
    <t>Pm150</t>
  </si>
  <si>
    <t>Pm151</t>
  </si>
  <si>
    <t>Pm152</t>
  </si>
  <si>
    <t>Pm153</t>
  </si>
  <si>
    <t>Pm154</t>
  </si>
  <si>
    <t>Pm155</t>
  </si>
  <si>
    <t>Pm156</t>
  </si>
  <si>
    <t>Pm157</t>
  </si>
  <si>
    <t>Pm158</t>
  </si>
  <si>
    <t>Pm159</t>
  </si>
  <si>
    <t>Pm160</t>
  </si>
  <si>
    <t>Pm161</t>
  </si>
  <si>
    <t>Pm162</t>
  </si>
  <si>
    <t>Pm163</t>
  </si>
  <si>
    <t>Sm129</t>
  </si>
  <si>
    <t>Sm131</t>
  </si>
  <si>
    <t>Sm132</t>
  </si>
  <si>
    <t>Sm133</t>
  </si>
  <si>
    <t>Sm134</t>
  </si>
  <si>
    <t>Sm135</t>
  </si>
  <si>
    <t>Sm136</t>
  </si>
  <si>
    <t>Sm137</t>
  </si>
  <si>
    <t>Sm138</t>
  </si>
  <si>
    <t>Sm139</t>
  </si>
  <si>
    <t>Sm140</t>
  </si>
  <si>
    <t>Sm141</t>
  </si>
  <si>
    <t>Sm142</t>
  </si>
  <si>
    <t>Sm143</t>
  </si>
  <si>
    <t>Sm144</t>
  </si>
  <si>
    <t>Sm145</t>
  </si>
  <si>
    <t>Sm146</t>
  </si>
  <si>
    <t>Sm147</t>
  </si>
  <si>
    <t>Sm148</t>
  </si>
  <si>
    <t>Sm149</t>
  </si>
  <si>
    <t>Sm150</t>
  </si>
  <si>
    <t>Sm151</t>
  </si>
  <si>
    <t>Sm152</t>
  </si>
  <si>
    <t>Sm153</t>
  </si>
  <si>
    <t>Sm154</t>
  </si>
  <si>
    <t>Sm155</t>
  </si>
  <si>
    <t>Sm156</t>
  </si>
  <si>
    <t>Sm157</t>
  </si>
  <si>
    <t>Sm158</t>
  </si>
  <si>
    <t>Sm159</t>
  </si>
  <si>
    <t>Sm160</t>
  </si>
  <si>
    <t>Sm161</t>
  </si>
  <si>
    <t>Sm162</t>
  </si>
  <si>
    <t>Sm163</t>
  </si>
  <si>
    <t>Sm164</t>
  </si>
  <si>
    <t>Sm165</t>
  </si>
  <si>
    <t>Eu130</t>
  </si>
  <si>
    <t>Eu131</t>
  </si>
  <si>
    <t>Eu134</t>
  </si>
  <si>
    <t>Eu135</t>
  </si>
  <si>
    <t>Eu136</t>
  </si>
  <si>
    <t>Eu137</t>
  </si>
  <si>
    <t>Eu138</t>
  </si>
  <si>
    <t>Eu139</t>
  </si>
  <si>
    <t>Eu140</t>
  </si>
  <si>
    <t>Eu141</t>
  </si>
  <si>
    <t>Eu142</t>
  </si>
  <si>
    <t>Eu143</t>
  </si>
  <si>
    <t>Eu144</t>
  </si>
  <si>
    <t>Eu145</t>
  </si>
  <si>
    <t>Eu146</t>
  </si>
  <si>
    <t>Eu147</t>
  </si>
  <si>
    <t>Eu148</t>
  </si>
  <si>
    <t>Eu149</t>
  </si>
  <si>
    <t>Eu150</t>
  </si>
  <si>
    <t>Eu151</t>
  </si>
  <si>
    <t>Eu152</t>
  </si>
  <si>
    <t>Eu153</t>
  </si>
  <si>
    <t>Eu154</t>
  </si>
  <si>
    <t>Eu155</t>
  </si>
  <si>
    <t>Eu156</t>
  </si>
  <si>
    <t>Eu157</t>
  </si>
  <si>
    <t>Eu158</t>
  </si>
  <si>
    <t>Eu159</t>
  </si>
  <si>
    <t>Eu160</t>
  </si>
  <si>
    <t>Eu161</t>
  </si>
  <si>
    <t>Eu162</t>
  </si>
  <si>
    <t>Eu163</t>
  </si>
  <si>
    <t>Eu164</t>
  </si>
  <si>
    <t>Eu165</t>
  </si>
  <si>
    <t>Eu166</t>
  </si>
  <si>
    <t>Eu167</t>
  </si>
  <si>
    <t>Eu168</t>
  </si>
  <si>
    <t>Gd135</t>
  </si>
  <si>
    <t>Gd136</t>
  </si>
  <si>
    <t>Gd137</t>
  </si>
  <si>
    <t>Gd138</t>
  </si>
  <si>
    <t>Gd139</t>
  </si>
  <si>
    <t>Gd140</t>
  </si>
  <si>
    <t>Gd141</t>
  </si>
  <si>
    <t>Gd142</t>
  </si>
  <si>
    <t>Gd143</t>
  </si>
  <si>
    <t>Gd144</t>
  </si>
  <si>
    <t>Gd145</t>
  </si>
  <si>
    <t>Gd146</t>
  </si>
  <si>
    <t>Gd147</t>
  </si>
  <si>
    <t>Gd148</t>
  </si>
  <si>
    <t>Gd149</t>
  </si>
  <si>
    <t>Gd150</t>
  </si>
  <si>
    <t>Gd151</t>
  </si>
  <si>
    <t>Gd152</t>
  </si>
  <si>
    <t>Gd153</t>
  </si>
  <si>
    <t>Gd154</t>
  </si>
  <si>
    <t>Gd155</t>
  </si>
  <si>
    <t>Gd156</t>
  </si>
  <si>
    <t>Gd157</t>
  </si>
  <si>
    <t>Gd158</t>
  </si>
  <si>
    <t>Gd159</t>
  </si>
  <si>
    <t>Gd160</t>
  </si>
  <si>
    <t>Gd161</t>
  </si>
  <si>
    <t>Gd162</t>
  </si>
  <si>
    <t>Gd163</t>
  </si>
  <si>
    <t>Gd164</t>
  </si>
  <si>
    <t>Gd165</t>
  </si>
  <si>
    <t>Gd166</t>
  </si>
  <si>
    <t>Gd167</t>
  </si>
  <si>
    <t>Gd168</t>
  </si>
  <si>
    <t>Gd169</t>
  </si>
  <si>
    <t>Gd170</t>
  </si>
  <si>
    <t>Tb135</t>
  </si>
  <si>
    <t>Tb138</t>
  </si>
  <si>
    <t>Tb139</t>
  </si>
  <si>
    <t>Tb140</t>
  </si>
  <si>
    <t>Tb141</t>
  </si>
  <si>
    <t>Tb142</t>
  </si>
  <si>
    <t>Tb143</t>
  </si>
  <si>
    <t>Tb144</t>
  </si>
  <si>
    <t>Tb145</t>
  </si>
  <si>
    <t>Tb146</t>
  </si>
  <si>
    <t>Tb147</t>
  </si>
  <si>
    <t>Tb148</t>
  </si>
  <si>
    <t>Tb149</t>
  </si>
  <si>
    <t>Tb150</t>
  </si>
  <si>
    <t>Tb151</t>
  </si>
  <si>
    <t>Tb152</t>
  </si>
  <si>
    <t>Tb153</t>
  </si>
  <si>
    <t>Tb154</t>
  </si>
  <si>
    <t>Tb155</t>
  </si>
  <si>
    <t>Tb156</t>
  </si>
  <si>
    <t>Tb157</t>
  </si>
  <si>
    <t>Tb158</t>
  </si>
  <si>
    <t>Tb159</t>
  </si>
  <si>
    <t>Tb160</t>
  </si>
  <si>
    <t>Tb161</t>
  </si>
  <si>
    <t>Tb162</t>
  </si>
  <si>
    <t>Tb163</t>
  </si>
  <si>
    <t>Tb164</t>
  </si>
  <si>
    <t>Tb165</t>
  </si>
  <si>
    <t>Tb166</t>
  </si>
  <si>
    <t>Tb167</t>
  </si>
  <si>
    <t>Tb168</t>
  </si>
  <si>
    <t>Tb169</t>
  </si>
  <si>
    <t>Tb170</t>
  </si>
  <si>
    <t>Tb171</t>
  </si>
  <si>
    <t>Tb172</t>
  </si>
  <si>
    <t>Dy139</t>
  </si>
  <si>
    <t>Dy141</t>
  </si>
  <si>
    <t>Dy142</t>
  </si>
  <si>
    <t>Dy143</t>
  </si>
  <si>
    <t>Dy144</t>
  </si>
  <si>
    <t>Dy145</t>
  </si>
  <si>
    <t>Dy146</t>
  </si>
  <si>
    <t>Dy147</t>
  </si>
  <si>
    <t>Dy148</t>
  </si>
  <si>
    <t>Dy149</t>
  </si>
  <si>
    <t>Dy150</t>
  </si>
  <si>
    <t>Dy151</t>
  </si>
  <si>
    <t>Dy152</t>
  </si>
  <si>
    <t>Dy153</t>
  </si>
  <si>
    <t>Dy154</t>
  </si>
  <si>
    <t>Dy155</t>
  </si>
  <si>
    <t>Dy156</t>
  </si>
  <si>
    <t>Dy157</t>
  </si>
  <si>
    <t>Dy158</t>
  </si>
  <si>
    <t>Dy159</t>
  </si>
  <si>
    <t>Dy160</t>
  </si>
  <si>
    <t>Dy161</t>
  </si>
  <si>
    <t>Dy162</t>
  </si>
  <si>
    <t>Dy163</t>
  </si>
  <si>
    <t>Dy164</t>
  </si>
  <si>
    <t>Dy165</t>
  </si>
  <si>
    <t>Dy166</t>
  </si>
  <si>
    <t>Dy167</t>
  </si>
  <si>
    <t>Dy168</t>
  </si>
  <si>
    <t>Dy169</t>
  </si>
  <si>
    <t>Dy171</t>
  </si>
  <si>
    <t>Dy172</t>
  </si>
  <si>
    <t>Dy173</t>
  </si>
  <si>
    <t>Ho140</t>
  </si>
  <si>
    <t>Ho141</t>
  </si>
  <si>
    <t>Ho142</t>
  </si>
  <si>
    <t>Ho144</t>
  </si>
  <si>
    <t>Ho145</t>
  </si>
  <si>
    <t>Ho146</t>
  </si>
  <si>
    <t>Ho147</t>
  </si>
  <si>
    <t>Ho148</t>
  </si>
  <si>
    <t>Ho149</t>
  </si>
  <si>
    <t>Ho150</t>
  </si>
  <si>
    <t>Ho151</t>
  </si>
  <si>
    <t>Ho152</t>
  </si>
  <si>
    <t>Ho153</t>
  </si>
  <si>
    <t>Ho154</t>
  </si>
  <si>
    <t>Ho155</t>
  </si>
  <si>
    <t>Ho156</t>
  </si>
  <si>
    <t>Ho157</t>
  </si>
  <si>
    <t>Ho158</t>
  </si>
  <si>
    <t>Ho159</t>
  </si>
  <si>
    <t>Ho160</t>
  </si>
  <si>
    <t>Ho161</t>
  </si>
  <si>
    <t>Ho162</t>
  </si>
  <si>
    <t>Ho163</t>
  </si>
  <si>
    <t>Ho164</t>
  </si>
  <si>
    <t>Ho165</t>
  </si>
  <si>
    <t>Ho166</t>
  </si>
  <si>
    <t>Ho167</t>
  </si>
  <si>
    <t>Ho168</t>
  </si>
  <si>
    <t>Ho169</t>
  </si>
  <si>
    <t>Ho170</t>
  </si>
  <si>
    <t>Ho171</t>
  </si>
  <si>
    <t>Ho172</t>
  </si>
  <si>
    <t>Ho173</t>
  </si>
  <si>
    <t>Ho174</t>
  </si>
  <si>
    <t>Ho175</t>
  </si>
  <si>
    <t>Ho176</t>
  </si>
  <si>
    <t>Er144</t>
  </si>
  <si>
    <t>Er145</t>
  </si>
  <si>
    <t>Er146</t>
  </si>
  <si>
    <t>Er147</t>
  </si>
  <si>
    <t>Er148</t>
  </si>
  <si>
    <t>Er149</t>
  </si>
  <si>
    <t>Er150</t>
  </si>
  <si>
    <t>Er151</t>
  </si>
  <si>
    <t>Er152</t>
  </si>
  <si>
    <t>Er153</t>
  </si>
  <si>
    <t>Er154</t>
  </si>
  <si>
    <t>Er155</t>
  </si>
  <si>
    <t>Er156</t>
  </si>
  <si>
    <t>Er157</t>
  </si>
  <si>
    <t>Er158</t>
  </si>
  <si>
    <t>Er159</t>
  </si>
  <si>
    <t>Er160</t>
  </si>
  <si>
    <t>Er161</t>
  </si>
  <si>
    <t>Er162</t>
  </si>
  <si>
    <t>Er163</t>
  </si>
  <si>
    <t>Er164</t>
  </si>
  <si>
    <t>Er165</t>
  </si>
  <si>
    <t>Er166</t>
  </si>
  <si>
    <t>Er167</t>
  </si>
  <si>
    <t>Er168</t>
  </si>
  <si>
    <t>Er169</t>
  </si>
  <si>
    <t>Er170</t>
  </si>
  <si>
    <t>Er171</t>
  </si>
  <si>
    <t>Er172</t>
  </si>
  <si>
    <t>Er173</t>
  </si>
  <si>
    <t>Er174</t>
  </si>
  <si>
    <t>Er175</t>
  </si>
  <si>
    <t>Er176</t>
  </si>
  <si>
    <t>Er177</t>
  </si>
  <si>
    <t>Er178</t>
  </si>
  <si>
    <t>Tm144</t>
  </si>
  <si>
    <t>Tm145</t>
  </si>
  <si>
    <t>Tm146</t>
  </si>
  <si>
    <t>Tm147</t>
  </si>
  <si>
    <t>Tm148</t>
  </si>
  <si>
    <t>Tm149</t>
  </si>
  <si>
    <t>Tm150</t>
  </si>
  <si>
    <t>Tm151</t>
  </si>
  <si>
    <t>Tm152</t>
  </si>
  <si>
    <t>Tm153</t>
  </si>
  <si>
    <t>Tm154</t>
  </si>
  <si>
    <t>Tm155</t>
  </si>
  <si>
    <t>Tm156</t>
  </si>
  <si>
    <t>Tm157</t>
  </si>
  <si>
    <t>Tm158</t>
  </si>
  <si>
    <t>Tm159</t>
  </si>
  <si>
    <t>Tm160</t>
  </si>
  <si>
    <t>Tm161</t>
  </si>
  <si>
    <t>Tm162</t>
  </si>
  <si>
    <t>Tm163</t>
  </si>
  <si>
    <t>Tm164</t>
  </si>
  <si>
    <t>Tm165</t>
  </si>
  <si>
    <t>Tm166</t>
  </si>
  <si>
    <t>Tm167</t>
  </si>
  <si>
    <t>Tm168</t>
  </si>
  <si>
    <t>Tm169</t>
  </si>
  <si>
    <t>Tm170</t>
  </si>
  <si>
    <t>Tm171</t>
  </si>
  <si>
    <t>Tm172</t>
  </si>
  <si>
    <t>Tm173</t>
  </si>
  <si>
    <t>Tm174</t>
  </si>
  <si>
    <t>Tm175</t>
  </si>
  <si>
    <t>Tm176</t>
  </si>
  <si>
    <t>Tm177</t>
  </si>
  <si>
    <t>Tm178</t>
  </si>
  <si>
    <t>Tm179</t>
  </si>
  <si>
    <t>Tm180</t>
  </si>
  <si>
    <t>Tm181</t>
  </si>
  <si>
    <t>Yb149</t>
  </si>
  <si>
    <t>Yb150</t>
  </si>
  <si>
    <t>Yb151</t>
  </si>
  <si>
    <t>Yb152</t>
  </si>
  <si>
    <t>Yb153</t>
  </si>
  <si>
    <t>Yb154</t>
  </si>
  <si>
    <t>Yb155</t>
  </si>
  <si>
    <t>Yb156</t>
  </si>
  <si>
    <t>Yb157</t>
  </si>
  <si>
    <t>Yb158</t>
  </si>
  <si>
    <t>Yb159</t>
  </si>
  <si>
    <t>Yb160</t>
  </si>
  <si>
    <t>Yb161</t>
  </si>
  <si>
    <t>Yb162</t>
  </si>
  <si>
    <t>Yb163</t>
  </si>
  <si>
    <t>Yb164</t>
  </si>
  <si>
    <t>Yb165</t>
  </si>
  <si>
    <t>Yb166</t>
  </si>
  <si>
    <t>Yb167</t>
  </si>
  <si>
    <t>Yb168</t>
  </si>
  <si>
    <t>Yb169</t>
  </si>
  <si>
    <t>Yb170</t>
  </si>
  <si>
    <t>Yb171</t>
  </si>
  <si>
    <t>Yb172</t>
  </si>
  <si>
    <t>Yb173</t>
  </si>
  <si>
    <t>Yb174</t>
  </si>
  <si>
    <t>Yb175</t>
  </si>
  <si>
    <t>Yb176</t>
  </si>
  <si>
    <t>Yb177</t>
  </si>
  <si>
    <t>Yb178</t>
  </si>
  <si>
    <t>Yb179</t>
  </si>
  <si>
    <t>Yb180</t>
  </si>
  <si>
    <t>Yb181</t>
  </si>
  <si>
    <t>Yb182</t>
  </si>
  <si>
    <t>Yb183</t>
  </si>
  <si>
    <t>Yb184</t>
  </si>
  <si>
    <t>Yb185</t>
  </si>
  <si>
    <t>Lu150</t>
  </si>
  <si>
    <t>Lu151</t>
  </si>
  <si>
    <t>Lu152</t>
  </si>
  <si>
    <t>Lu153</t>
  </si>
  <si>
    <t>Lu154</t>
  </si>
  <si>
    <t>Lu155</t>
  </si>
  <si>
    <t>Lu156</t>
  </si>
  <si>
    <t>Lu157</t>
  </si>
  <si>
    <t>Lu158</t>
  </si>
  <si>
    <t>Lu159</t>
  </si>
  <si>
    <t>Lu160</t>
  </si>
  <si>
    <t>Lu161</t>
  </si>
  <si>
    <t>Lu162</t>
  </si>
  <si>
    <t>Lu163</t>
  </si>
  <si>
    <t>Lu164</t>
  </si>
  <si>
    <t>Lu165</t>
  </si>
  <si>
    <t>Lu166</t>
  </si>
  <si>
    <t>Lu167</t>
  </si>
  <si>
    <t>Lu168</t>
  </si>
  <si>
    <t>Lu169</t>
  </si>
  <si>
    <t>Lu170</t>
  </si>
  <si>
    <t>Lu171</t>
  </si>
  <si>
    <t>Lu172</t>
  </si>
  <si>
    <t>Lu173</t>
  </si>
  <si>
    <t>Lu174</t>
  </si>
  <si>
    <t>Lu175</t>
  </si>
  <si>
    <t>Lu176</t>
  </si>
  <si>
    <t>Lu177</t>
  </si>
  <si>
    <t>Lu178</t>
  </si>
  <si>
    <t>Lu179</t>
  </si>
  <si>
    <t>Lu180</t>
  </si>
  <si>
    <t>Lu181</t>
  </si>
  <si>
    <t>Lu182</t>
  </si>
  <si>
    <t>Lu183</t>
  </si>
  <si>
    <t>Lu184</t>
  </si>
  <si>
    <t>Lu185</t>
  </si>
  <si>
    <t>Lu186</t>
  </si>
  <si>
    <t>Lu187</t>
  </si>
  <si>
    <t>Lu188</t>
  </si>
  <si>
    <t>Hf153</t>
  </si>
  <si>
    <t>Hf154</t>
  </si>
  <si>
    <t>Hf155</t>
  </si>
  <si>
    <t>Hf156</t>
  </si>
  <si>
    <t>Hf157</t>
  </si>
  <si>
    <t>Hf158</t>
  </si>
  <si>
    <t>Hf159</t>
  </si>
  <si>
    <t>Hf160</t>
  </si>
  <si>
    <t>Hf161</t>
  </si>
  <si>
    <t>Hf162</t>
  </si>
  <si>
    <t>Hf163</t>
  </si>
  <si>
    <t>Hf164</t>
  </si>
  <si>
    <t>Hf165</t>
  </si>
  <si>
    <t>Hf166</t>
  </si>
  <si>
    <t>Hf167</t>
  </si>
  <si>
    <t>Hf168</t>
  </si>
  <si>
    <t>Hf169</t>
  </si>
  <si>
    <t>Hf170</t>
  </si>
  <si>
    <t>Hf171</t>
  </si>
  <si>
    <t>Hf172</t>
  </si>
  <si>
    <t>Hf173</t>
  </si>
  <si>
    <t>Hf174</t>
  </si>
  <si>
    <t>Hf175</t>
  </si>
  <si>
    <t>Hf176</t>
  </si>
  <si>
    <t>Hf177</t>
  </si>
  <si>
    <t>Hf178</t>
  </si>
  <si>
    <t>Hf179</t>
  </si>
  <si>
    <t>Hf180</t>
  </si>
  <si>
    <t>Hf181</t>
  </si>
  <si>
    <t>Hf182</t>
  </si>
  <si>
    <t>Hf183</t>
  </si>
  <si>
    <t>Hf184</t>
  </si>
  <si>
    <t>Hf185</t>
  </si>
  <si>
    <t>Hf186</t>
  </si>
  <si>
    <t>Hf187</t>
  </si>
  <si>
    <t>Hf190</t>
  </si>
  <si>
    <t>Ta155</t>
  </si>
  <si>
    <t>Ta156</t>
  </si>
  <si>
    <t>Ta157</t>
  </si>
  <si>
    <t>Ta158</t>
  </si>
  <si>
    <t>Ta159</t>
  </si>
  <si>
    <t>Ta160</t>
  </si>
  <si>
    <t>Ta162</t>
  </si>
  <si>
    <t>Ta163</t>
  </si>
  <si>
    <t>Ta164</t>
  </si>
  <si>
    <t>Ta165</t>
  </si>
  <si>
    <t>Ta166</t>
  </si>
  <si>
    <t>Ta167</t>
  </si>
  <si>
    <t>Ta168</t>
  </si>
  <si>
    <t>Ta169</t>
  </si>
  <si>
    <t>Ta170</t>
  </si>
  <si>
    <t>Ta171</t>
  </si>
  <si>
    <t>Ta172</t>
  </si>
  <si>
    <t>Ta173</t>
  </si>
  <si>
    <t>Ta174</t>
  </si>
  <si>
    <t>Ta175</t>
  </si>
  <si>
    <t>Ta176</t>
  </si>
  <si>
    <t>Ta177</t>
  </si>
  <si>
    <t>Ta178</t>
  </si>
  <si>
    <t>Ta179</t>
  </si>
  <si>
    <t>Ta180</t>
  </si>
  <si>
    <t>Ta181</t>
  </si>
  <si>
    <t>Ta182</t>
  </si>
  <si>
    <t>Ta183</t>
  </si>
  <si>
    <t>Ta184</t>
  </si>
  <si>
    <t>Ta185</t>
  </si>
  <si>
    <t>Ta186</t>
  </si>
  <si>
    <t>Ta187</t>
  </si>
  <si>
    <t>Ta188</t>
  </si>
  <si>
    <t>Ta189</t>
  </si>
  <si>
    <t>Ta190</t>
  </si>
  <si>
    <t>Ta191</t>
  </si>
  <si>
    <t>Ta192</t>
  </si>
  <si>
    <t>Ta193</t>
  </si>
  <si>
    <t>Ta194</t>
  </si>
  <si>
    <t>W157</t>
  </si>
  <si>
    <t>W158</t>
  </si>
  <si>
    <t>W159</t>
  </si>
  <si>
    <t>W160</t>
  </si>
  <si>
    <t>W161</t>
  </si>
  <si>
    <t>W162</t>
  </si>
  <si>
    <t>W163</t>
  </si>
  <si>
    <t>W164</t>
  </si>
  <si>
    <t>W165</t>
  </si>
  <si>
    <t>W166</t>
  </si>
  <si>
    <t>W167</t>
  </si>
  <si>
    <t>W168</t>
  </si>
  <si>
    <t>W169</t>
  </si>
  <si>
    <t>W170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</si>
  <si>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</si>
  <si>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</si>
  <si>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</si>
  <si>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</si>
  <si>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</si>
  <si>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</si>
  <si>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</si>
  <si>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</si>
  <si>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</si>
  <si>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</si>
  <si>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</si>
  <si>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</si>
  <si>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</si>
  <si>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</si>
  <si>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</si>
  <si>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</si>
  <si>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</si>
  <si>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</si>
  <si>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</si>
  <si>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</si>
  <si>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</si>
  <si>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W193</t>
  </si>
  <si>
    <t>W194</t>
  </si>
  <si>
    <t>W195</t>
  </si>
  <si>
    <t>W196</t>
  </si>
  <si>
    <t>W197</t>
  </si>
  <si>
    <t>Re160</t>
  </si>
  <si>
    <t>Re161</t>
  </si>
  <si>
    <t>Re162</t>
  </si>
  <si>
    <t>Re163</t>
  </si>
  <si>
    <t>Re164</t>
  </si>
  <si>
    <t>Re165</t>
  </si>
  <si>
    <t>Re166</t>
  </si>
  <si>
    <t>Re167</t>
  </si>
  <si>
    <t>Re168</t>
  </si>
  <si>
    <t>Re169</t>
  </si>
  <si>
    <t>Re170</t>
  </si>
  <si>
    <t>Re171</t>
  </si>
  <si>
    <t>Re172</t>
  </si>
  <si>
    <t>Re173</t>
  </si>
  <si>
    <t>Re174</t>
  </si>
  <si>
    <t>Re175</t>
  </si>
  <si>
    <t>Re176</t>
  </si>
  <si>
    <t>Re177</t>
  </si>
  <si>
    <t>Re178</t>
  </si>
  <si>
    <t>Re179</t>
  </si>
  <si>
    <t>Re180</t>
  </si>
  <si>
    <t>Re181</t>
  </si>
  <si>
    <t>Re182</t>
  </si>
  <si>
    <t>Re183</t>
  </si>
  <si>
    <t>Re184</t>
  </si>
  <si>
    <t>Re185</t>
  </si>
  <si>
    <t>Re186</t>
  </si>
  <si>
    <t>Re187</t>
  </si>
  <si>
    <t>Re188</t>
  </si>
  <si>
    <t>Re189</t>
  </si>
  <si>
    <t>Re190</t>
  </si>
  <si>
    <t>Re191</t>
  </si>
  <si>
    <t>Re192</t>
  </si>
  <si>
    <t>Re194</t>
  </si>
  <si>
    <t>Re195</t>
  </si>
  <si>
    <t>Re196</t>
  </si>
  <si>
    <t>Re197</t>
  </si>
  <si>
    <t>Re198</t>
  </si>
  <si>
    <t>Re199</t>
  </si>
  <si>
    <t>Os161</t>
  </si>
  <si>
    <t>Os162</t>
  </si>
  <si>
    <t>Os163</t>
  </si>
  <si>
    <t>Os164</t>
  </si>
  <si>
    <t>Os165</t>
  </si>
  <si>
    <t>Os166</t>
  </si>
  <si>
    <t>Os167</t>
  </si>
  <si>
    <t>Os168</t>
  </si>
  <si>
    <t>Os169</t>
  </si>
  <si>
    <t>Os170</t>
  </si>
  <si>
    <t>Os171</t>
  </si>
  <si>
    <t>Os172</t>
  </si>
  <si>
    <t>Os173</t>
  </si>
  <si>
    <t>Os174</t>
  </si>
  <si>
    <t>Os175</t>
  </si>
  <si>
    <t>Os176</t>
  </si>
  <si>
    <t>Os177</t>
  </si>
  <si>
    <t>Os178</t>
  </si>
  <si>
    <t>Os179</t>
  </si>
  <si>
    <t>Os180</t>
  </si>
  <si>
    <t>Os181</t>
  </si>
  <si>
    <t>Os182</t>
  </si>
  <si>
    <t>Os183</t>
  </si>
  <si>
    <t>Os184</t>
  </si>
  <si>
    <t>Os185</t>
  </si>
  <si>
    <t>Os186</t>
  </si>
  <si>
    <t>Os187</t>
  </si>
  <si>
    <t>Os188</t>
  </si>
  <si>
    <t>Os189</t>
  </si>
  <si>
    <t>Os190</t>
  </si>
  <si>
    <t>Os191</t>
  </si>
  <si>
    <t>Os192</t>
  </si>
  <si>
    <t>Os193</t>
  </si>
  <si>
    <t>Os194</t>
  </si>
  <si>
    <t>Os195</t>
  </si>
  <si>
    <t>Os196</t>
  </si>
  <si>
    <t>Os197</t>
  </si>
  <si>
    <t>Os199</t>
  </si>
  <si>
    <t>Os200</t>
  </si>
  <si>
    <t>Os201</t>
  </si>
  <si>
    <t>Os202</t>
  </si>
  <si>
    <t>Os203</t>
  </si>
  <si>
    <t>Ir164</t>
  </si>
  <si>
    <t>Ir166</t>
  </si>
  <si>
    <t>Ir167</t>
  </si>
  <si>
    <t>Ir168</t>
  </si>
  <si>
    <t>Ir169</t>
  </si>
  <si>
    <t>Ir170</t>
  </si>
  <si>
    <t>Ir171</t>
  </si>
  <si>
    <t>Ir172</t>
  </si>
  <si>
    <t>Ir173</t>
  </si>
  <si>
    <t>Ir174</t>
  </si>
  <si>
    <t>Ir175</t>
  </si>
  <si>
    <t>Ir176</t>
  </si>
  <si>
    <t>Ir177</t>
  </si>
  <si>
    <t>Ir178</t>
  </si>
  <si>
    <t>Ir179</t>
  </si>
  <si>
    <t>Ir180</t>
  </si>
  <si>
    <t>Ir181</t>
  </si>
  <si>
    <t>Ir182</t>
  </si>
  <si>
    <t>Ir183</t>
  </si>
  <si>
    <t>Ir184</t>
  </si>
  <si>
    <t>Ir185</t>
  </si>
  <si>
    <t>Ir186</t>
  </si>
  <si>
    <t>Ir187</t>
  </si>
  <si>
    <t>Ir188</t>
  </si>
  <si>
    <t>Ir189</t>
  </si>
  <si>
    <t>Ir190</t>
  </si>
  <si>
    <t>Ir191</t>
  </si>
  <si>
    <t>Ir192</t>
  </si>
  <si>
    <t>Ir193</t>
  </si>
  <si>
    <t>Ir194</t>
  </si>
  <si>
    <t>Ir195</t>
  </si>
  <si>
    <t>Ir196</t>
  </si>
  <si>
    <t>Ir197</t>
  </si>
  <si>
    <t>Ir198</t>
  </si>
  <si>
    <t>Ir199</t>
  </si>
  <si>
    <t>Ir200</t>
  </si>
  <si>
    <t>Ir201</t>
  </si>
  <si>
    <t>Ir202</t>
  </si>
  <si>
    <t>Ir203</t>
  </si>
  <si>
    <t>Ir204</t>
  </si>
  <si>
    <t>Ir205</t>
  </si>
  <si>
    <t>Pt166</t>
  </si>
  <si>
    <t>Pt167</t>
  </si>
  <si>
    <t>Pt168</t>
  </si>
  <si>
    <t>Pt169</t>
  </si>
  <si>
    <t>Pt170</t>
  </si>
  <si>
    <t>Pt171</t>
  </si>
  <si>
    <t>Pt172</t>
  </si>
  <si>
    <t>Pt173</t>
  </si>
  <si>
    <t>Pt174</t>
  </si>
  <si>
    <t>Pt175</t>
  </si>
  <si>
    <t>Pt176</t>
  </si>
  <si>
    <t>Pt177</t>
  </si>
  <si>
    <t>Pt178</t>
  </si>
  <si>
    <t>Pt179</t>
  </si>
  <si>
    <t>Pt180</t>
  </si>
  <si>
    <t>Pt181</t>
  </si>
  <si>
    <t>Pt182</t>
  </si>
  <si>
    <t>Pt183</t>
  </si>
  <si>
    <t>Pt184</t>
  </si>
  <si>
    <t>Pt185</t>
  </si>
  <si>
    <t>Pt186</t>
  </si>
  <si>
    <t>Pt187</t>
  </si>
  <si>
    <t>Pt188</t>
  </si>
  <si>
    <t>Pt189</t>
  </si>
  <si>
    <t>Pt190</t>
  </si>
  <si>
    <t>Pt191</t>
  </si>
  <si>
    <t>Pt192</t>
  </si>
  <si>
    <t>Pt193</t>
  </si>
  <si>
    <t>Pt194</t>
  </si>
  <si>
    <t>Pt195</t>
  </si>
  <si>
    <t>Pt196</t>
  </si>
  <si>
    <t>Pt197</t>
  </si>
  <si>
    <t>Pt198</t>
  </si>
  <si>
    <t>Pt199</t>
  </si>
  <si>
    <t>Pt200</t>
  </si>
  <si>
    <t>Pt201</t>
  </si>
  <si>
    <t>Pt202</t>
  </si>
  <si>
    <t>Pt203</t>
  </si>
  <si>
    <t>Pt204</t>
  </si>
  <si>
    <t>Pt205</t>
  </si>
  <si>
    <t>Pt206</t>
  </si>
  <si>
    <t>Pt207</t>
  </si>
  <si>
    <t>Pt208</t>
  </si>
  <si>
    <t>Au170</t>
  </si>
  <si>
    <t>Au171</t>
  </si>
  <si>
    <t>Au172</t>
  </si>
  <si>
    <t>Au173</t>
  </si>
  <si>
    <t>Au174</t>
  </si>
  <si>
    <t>Au176</t>
  </si>
  <si>
    <t>Au177</t>
  </si>
  <si>
    <t>Au178</t>
  </si>
  <si>
    <t>Au179</t>
  </si>
  <si>
    <t>Au180</t>
  </si>
  <si>
    <t>Au181</t>
  </si>
  <si>
    <t>Au182</t>
  </si>
  <si>
    <t>Au183</t>
  </si>
  <si>
    <t>Au184</t>
  </si>
  <si>
    <t>Au185</t>
  </si>
  <si>
    <t>Au186</t>
  </si>
  <si>
    <t>Au187</t>
  </si>
  <si>
    <t>Au188</t>
  </si>
  <si>
    <t>Au189</t>
  </si>
  <si>
    <t>Au190</t>
  </si>
  <si>
    <t>Au191</t>
  </si>
  <si>
    <t>Au192</t>
  </si>
  <si>
    <t>Au193</t>
  </si>
  <si>
    <t>Au194</t>
  </si>
  <si>
    <t>Au195</t>
  </si>
  <si>
    <t>Au196</t>
  </si>
  <si>
    <t>Au197</t>
  </si>
  <si>
    <t>Au198</t>
  </si>
  <si>
    <t>Au199</t>
  </si>
  <si>
    <t>Au200</t>
  </si>
  <si>
    <t>Au201</t>
  </si>
  <si>
    <t>Au202</t>
  </si>
  <si>
    <t>Au203</t>
  </si>
  <si>
    <t>Au204</t>
  </si>
  <si>
    <t>Au205</t>
  </si>
  <si>
    <t>Au206</t>
  </si>
  <si>
    <t>Au207</t>
  </si>
  <si>
    <t>Au208</t>
  </si>
  <si>
    <t>Au209</t>
  </si>
  <si>
    <t>Au210</t>
  </si>
  <si>
    <t>Hg171</t>
  </si>
  <si>
    <t>Hg172</t>
  </si>
  <si>
    <t>Hg173</t>
  </si>
  <si>
    <t>Hg174</t>
  </si>
  <si>
    <t>Hg175</t>
  </si>
  <si>
    <t>Hg176</t>
  </si>
  <si>
    <t>Hg177</t>
  </si>
  <si>
    <t>Hg178</t>
  </si>
  <si>
    <t>Hg179</t>
  </si>
  <si>
    <t>Hg180</t>
  </si>
  <si>
    <t>Hg181</t>
  </si>
  <si>
    <t>Hg182</t>
  </si>
  <si>
    <t>Hg183</t>
  </si>
  <si>
    <t>Hg184</t>
  </si>
  <si>
    <t>Hg185</t>
  </si>
  <si>
    <t>Hg186</t>
  </si>
  <si>
    <t>Hg187</t>
  </si>
  <si>
    <t>Hg188</t>
  </si>
  <si>
    <t>Hg189</t>
  </si>
  <si>
    <t>Hg190</t>
  </si>
  <si>
    <t>Hg191</t>
  </si>
  <si>
    <t>Hg192</t>
  </si>
  <si>
    <t>Hg193</t>
  </si>
  <si>
    <t>Hg194</t>
  </si>
  <si>
    <t>Hg195</t>
  </si>
  <si>
    <t>Hg196</t>
  </si>
  <si>
    <t>Hg197</t>
  </si>
  <si>
    <t>Hg198</t>
  </si>
  <si>
    <t>Hg199</t>
  </si>
  <si>
    <t>Hg200</t>
  </si>
  <si>
    <t>Hg201</t>
  </si>
  <si>
    <t>Hg202</t>
  </si>
  <si>
    <t>Hg203</t>
  </si>
  <si>
    <t>Hg204</t>
  </si>
  <si>
    <t>Hg205</t>
  </si>
  <si>
    <t>Hg206</t>
  </si>
  <si>
    <t>Hg207</t>
  </si>
  <si>
    <t>Hg208</t>
  </si>
  <si>
    <t>Hg209</t>
  </si>
  <si>
    <t>Hg210</t>
  </si>
  <si>
    <t>Hg211</t>
  </si>
  <si>
    <t>Hg212</t>
  </si>
  <si>
    <t>Hg213</t>
  </si>
  <si>
    <t>Hg214</t>
  </si>
  <si>
    <t>Hg215</t>
  </si>
  <si>
    <t>Hg216</t>
  </si>
  <si>
    <t>Tl176</t>
  </si>
  <si>
    <t>Tl177</t>
  </si>
  <si>
    <t>Tl178</t>
  </si>
  <si>
    <t>Tl179</t>
  </si>
  <si>
    <t>Tl180</t>
  </si>
  <si>
    <t>Tl181</t>
  </si>
  <si>
    <t>Tl182</t>
  </si>
  <si>
    <t>Tl183</t>
  </si>
  <si>
    <t>Tl184</t>
  </si>
  <si>
    <t>Tl185</t>
  </si>
  <si>
    <t>Tl186</t>
  </si>
  <si>
    <t>Tl187</t>
  </si>
  <si>
    <t>Tl188</t>
  </si>
  <si>
    <t>Tl189</t>
  </si>
  <si>
    <t>Tl190</t>
  </si>
  <si>
    <t>Tl191</t>
  </si>
  <si>
    <t>Tl192</t>
  </si>
  <si>
    <t>Tl193</t>
  </si>
  <si>
    <t>Tl194</t>
  </si>
  <si>
    <t>Tl195</t>
  </si>
  <si>
    <t>Tl196</t>
  </si>
  <si>
    <t>Tl197</t>
  </si>
  <si>
    <t>Tl198</t>
  </si>
  <si>
    <t>Tl199</t>
  </si>
  <si>
    <t>Tl200</t>
  </si>
  <si>
    <t>Tl201</t>
  </si>
  <si>
    <t>Tl202</t>
  </si>
  <si>
    <t>Tl203</t>
  </si>
  <si>
    <t>Tl204</t>
  </si>
  <si>
    <t>Tl205</t>
  </si>
  <si>
    <t>Tl206</t>
  </si>
  <si>
    <t>Tl207</t>
  </si>
  <si>
    <t>Tl208</t>
  </si>
  <si>
    <t>Tl209</t>
  </si>
  <si>
    <t>Tl210</t>
  </si>
  <si>
    <t>Tl211</t>
  </si>
  <si>
    <t>Tl212</t>
  </si>
  <si>
    <t>Tl213</t>
  </si>
  <si>
    <t>Tl214</t>
  </si>
  <si>
    <t>Tl215</t>
  </si>
  <si>
    <t>Tl216</t>
  </si>
  <si>
    <t>Tl217</t>
  </si>
  <si>
    <t>Pb178</t>
  </si>
  <si>
    <t>Pb179</t>
  </si>
  <si>
    <t>Pb180</t>
  </si>
  <si>
    <t>Pb181</t>
  </si>
  <si>
    <t>Pb182</t>
  </si>
  <si>
    <t>Pb183</t>
  </si>
  <si>
    <t>Pb184</t>
  </si>
  <si>
    <t>Pb185</t>
  </si>
  <si>
    <t>Pb186</t>
  </si>
  <si>
    <t>Pb187</t>
  </si>
  <si>
    <t>Pb188</t>
  </si>
  <si>
    <t>Pb189</t>
  </si>
  <si>
    <t>Pb190</t>
  </si>
  <si>
    <t>Pb191</t>
  </si>
  <si>
    <t>Pb192</t>
  </si>
  <si>
    <t>Pb193</t>
  </si>
  <si>
    <t>Pb194</t>
  </si>
  <si>
    <t>Pb195</t>
  </si>
  <si>
    <t>Pb196</t>
  </si>
  <si>
    <t>Pb197</t>
  </si>
  <si>
    <t>Pb198</t>
  </si>
  <si>
    <t>Pb199</t>
  </si>
  <si>
    <t>Pb200</t>
  </si>
  <si>
    <t>Pb201</t>
  </si>
  <si>
    <t>Pb202</t>
  </si>
  <si>
    <t>Pb203</t>
  </si>
  <si>
    <t>Pb204</t>
  </si>
  <si>
    <t>Pb205</t>
  </si>
  <si>
    <t>Pb206</t>
  </si>
  <si>
    <t>Pb207</t>
  </si>
  <si>
    <t>Pb208</t>
  </si>
  <si>
    <t>Pb209</t>
  </si>
  <si>
    <t>Pb210</t>
  </si>
  <si>
    <t>Pb211</t>
  </si>
  <si>
    <t>Pb212</t>
  </si>
  <si>
    <t>Pb213</t>
  </si>
  <si>
    <t>Pb214</t>
  </si>
  <si>
    <t>Pb215</t>
  </si>
  <si>
    <t>Pb216</t>
  </si>
  <si>
    <t>Pb217</t>
  </si>
  <si>
    <t>Pb218</t>
  </si>
  <si>
    <t>Pb219</t>
  </si>
  <si>
    <t>Pb220</t>
  </si>
  <si>
    <t>Bi184</t>
  </si>
  <si>
    <t>Bi185</t>
  </si>
  <si>
    <t>Bi186</t>
  </si>
  <si>
    <t>Bi187</t>
  </si>
  <si>
    <t>Bi188</t>
  </si>
  <si>
    <t>Bi189</t>
  </si>
  <si>
    <t>Bi190</t>
  </si>
  <si>
    <t>Bi191</t>
  </si>
  <si>
    <t>Bi192</t>
  </si>
  <si>
    <t>Bi193</t>
  </si>
  <si>
    <t>Bi194</t>
  </si>
  <si>
    <t>Bi195</t>
  </si>
  <si>
    <t>Bi196</t>
  </si>
  <si>
    <t>Bi197</t>
  </si>
  <si>
    <t>Bi198</t>
  </si>
  <si>
    <t>Bi199</t>
  </si>
  <si>
    <t>Bi200</t>
  </si>
  <si>
    <t>Bi201</t>
  </si>
  <si>
    <t>Bi202</t>
  </si>
  <si>
    <t>Bi203</t>
  </si>
  <si>
    <t>Bi204</t>
  </si>
  <si>
    <t>Bi205</t>
  </si>
  <si>
    <t>Bi206</t>
  </si>
  <si>
    <t>Bi207</t>
  </si>
  <si>
    <t>Bi208</t>
  </si>
  <si>
    <t>Bi209</t>
  </si>
  <si>
    <t>Bi210</t>
  </si>
  <si>
    <t>Bi211</t>
  </si>
  <si>
    <t>Bi212</t>
  </si>
  <si>
    <t>Bi213</t>
  </si>
  <si>
    <t>Bi214</t>
  </si>
  <si>
    <t>Bi215</t>
  </si>
  <si>
    <t>Bi216</t>
  </si>
  <si>
    <t>Bi217</t>
  </si>
  <si>
    <t>Bi218</t>
  </si>
  <si>
    <t>Bi219</t>
  </si>
  <si>
    <t>Bi220</t>
  </si>
  <si>
    <t>Bi221</t>
  </si>
  <si>
    <t>Bi222</t>
  </si>
  <si>
    <t>Bi223</t>
  </si>
  <si>
    <t>Bi224</t>
  </si>
  <si>
    <t>Po186</t>
  </si>
  <si>
    <t>Po187</t>
  </si>
  <si>
    <t>Po188</t>
  </si>
  <si>
    <t>Po189</t>
  </si>
  <si>
    <t>Po190</t>
  </si>
  <si>
    <t>Po191</t>
  </si>
  <si>
    <t>Po192</t>
  </si>
  <si>
    <t>Po193</t>
  </si>
  <si>
    <t>Po194</t>
  </si>
  <si>
    <t>Po195</t>
  </si>
  <si>
    <t>Po196</t>
  </si>
  <si>
    <t>Po197</t>
  </si>
  <si>
    <t>Po198</t>
  </si>
  <si>
    <t>Po199</t>
  </si>
  <si>
    <t>Po200</t>
  </si>
  <si>
    <t>Po201</t>
  </si>
  <si>
    <t>Po202</t>
  </si>
  <si>
    <t>Po203</t>
  </si>
  <si>
    <t>Po204</t>
  </si>
  <si>
    <t>Po205</t>
  </si>
  <si>
    <t>Po206</t>
  </si>
  <si>
    <t>Po207</t>
  </si>
  <si>
    <t>Po208</t>
  </si>
  <si>
    <t>Po209</t>
  </si>
  <si>
    <t>Po210</t>
  </si>
  <si>
    <t>Po211</t>
  </si>
  <si>
    <t>Po212</t>
  </si>
  <si>
    <t>Po213</t>
  </si>
  <si>
    <t>Po214</t>
  </si>
  <si>
    <t>Po215</t>
  </si>
  <si>
    <t>Po216</t>
  </si>
  <si>
    <t>Po217</t>
  </si>
  <si>
    <t>Po218</t>
  </si>
  <si>
    <t>Po219</t>
  </si>
  <si>
    <t>Po220</t>
  </si>
  <si>
    <t>Po221</t>
  </si>
  <si>
    <t>Po222</t>
  </si>
  <si>
    <t>Po223</t>
  </si>
  <si>
    <t>Po224</t>
  </si>
  <si>
    <t>Po225</t>
  </si>
  <si>
    <t>Po226</t>
  </si>
  <si>
    <t>Po227</t>
  </si>
  <si>
    <t>At191</t>
  </si>
  <si>
    <t>At192</t>
  </si>
  <si>
    <t>At193</t>
  </si>
  <si>
    <t>At194</t>
  </si>
  <si>
    <t>At195</t>
  </si>
  <si>
    <t>At196</t>
  </si>
  <si>
    <t>At197</t>
  </si>
  <si>
    <t>At198</t>
  </si>
  <si>
    <t>At199</t>
  </si>
  <si>
    <t>At200</t>
  </si>
  <si>
    <t>At201</t>
  </si>
  <si>
    <t>At202</t>
  </si>
  <si>
    <t>At203</t>
  </si>
  <si>
    <t>At204</t>
  </si>
  <si>
    <t>At205</t>
  </si>
  <si>
    <t>At206</t>
  </si>
  <si>
    <t>At207</t>
  </si>
  <si>
    <t>At208</t>
  </si>
  <si>
    <t>At209</t>
  </si>
  <si>
    <t>At210</t>
  </si>
  <si>
    <t>At211</t>
  </si>
  <si>
    <t>At212</t>
  </si>
  <si>
    <t>At213</t>
  </si>
  <si>
    <t>At214</t>
  </si>
  <si>
    <t>At215</t>
  </si>
  <si>
    <t>At216</t>
  </si>
  <si>
    <t>At217</t>
  </si>
  <si>
    <t>At218</t>
  </si>
  <si>
    <t>At219</t>
  </si>
  <si>
    <t>At220</t>
  </si>
  <si>
    <t>At221</t>
  </si>
  <si>
    <t>At222</t>
  </si>
  <si>
    <t>At223</t>
  </si>
  <si>
    <t>At224</t>
  </si>
  <si>
    <t>At225</t>
  </si>
  <si>
    <t>At226</t>
  </si>
  <si>
    <t>At227</t>
  </si>
  <si>
    <t>At228</t>
  </si>
  <si>
    <t>At229</t>
  </si>
  <si>
    <t>Rn193</t>
  </si>
  <si>
    <t>Rn194</t>
  </si>
  <si>
    <t>Rn195</t>
  </si>
  <si>
    <t>Rn196</t>
  </si>
  <si>
    <t>Rn197</t>
  </si>
  <si>
    <t>Rn198</t>
  </si>
  <si>
    <t>Rn199</t>
  </si>
  <si>
    <t>Rn200</t>
  </si>
  <si>
    <t>Rn201</t>
  </si>
  <si>
    <t>Rn202</t>
  </si>
  <si>
    <t>Rn203</t>
  </si>
  <si>
    <t>Rn204</t>
  </si>
  <si>
    <t>Rn205</t>
  </si>
  <si>
    <t>Rn206</t>
  </si>
  <si>
    <t>Rn207</t>
  </si>
  <si>
    <t>Rn208</t>
  </si>
  <si>
    <t>Rn209</t>
  </si>
  <si>
    <t>Rn210</t>
  </si>
  <si>
    <t>Rn211</t>
  </si>
  <si>
    <t>Rn212</t>
  </si>
  <si>
    <t>Rn213</t>
  </si>
  <si>
    <t>Rn214</t>
  </si>
  <si>
    <t>Rn215</t>
  </si>
  <si>
    <t>Rn216</t>
  </si>
  <si>
    <t>Rn217</t>
  </si>
  <si>
    <t>Rn218</t>
  </si>
  <si>
    <t>Rn219</t>
  </si>
  <si>
    <t>Rn220</t>
  </si>
  <si>
    <t>Rn221</t>
  </si>
  <si>
    <t>Rn222</t>
  </si>
  <si>
    <t>Rn223</t>
  </si>
  <si>
    <t>Rn224</t>
  </si>
  <si>
    <t>Rn225</t>
  </si>
  <si>
    <t>Rn226</t>
  </si>
  <si>
    <t>Rn227</t>
  </si>
  <si>
    <t>Rn228</t>
  </si>
  <si>
    <t>Rn229</t>
  </si>
  <si>
    <t>Rn230</t>
  </si>
  <si>
    <t>Rn231</t>
  </si>
  <si>
    <t>Fr197</t>
  </si>
  <si>
    <t>Fr198</t>
  </si>
  <si>
    <t>Fr199</t>
  </si>
  <si>
    <t>Fr200</t>
  </si>
  <si>
    <t>Fr201</t>
  </si>
  <si>
    <t>Fr202</t>
  </si>
  <si>
    <t>Fr203</t>
  </si>
  <si>
    <t>Fr204</t>
  </si>
  <si>
    <t>Fr205</t>
  </si>
  <si>
    <t>Fr206</t>
  </si>
  <si>
    <t>Fr207</t>
  </si>
  <si>
    <t>Fr208</t>
  </si>
  <si>
    <t>Fr209</t>
  </si>
  <si>
    <t>Fr210</t>
  </si>
  <si>
    <t>Fr211</t>
  </si>
  <si>
    <t>Fr212</t>
  </si>
  <si>
    <t>Fr213</t>
  </si>
  <si>
    <t>Fr214</t>
  </si>
  <si>
    <t>Fr215</t>
  </si>
  <si>
    <t>Fr216</t>
  </si>
  <si>
    <t>Fr217</t>
  </si>
  <si>
    <t>Fr218</t>
  </si>
  <si>
    <t>Fr219</t>
  </si>
  <si>
    <t>Fr220</t>
  </si>
  <si>
    <t>Fr221</t>
  </si>
  <si>
    <t>Fr222</t>
  </si>
  <si>
    <t>Fr223</t>
  </si>
  <si>
    <t>Fr224</t>
  </si>
  <si>
    <t>Fr225</t>
  </si>
  <si>
    <t>Fr226</t>
  </si>
  <si>
    <t>Fr227</t>
  </si>
  <si>
    <t>Fr228</t>
  </si>
  <si>
    <t>Fr229</t>
  </si>
  <si>
    <t>Fr230</t>
  </si>
  <si>
    <t>Fr231</t>
  </si>
  <si>
    <t>Fr232</t>
  </si>
  <si>
    <t>Fr233</t>
  </si>
  <si>
    <t>Ra201</t>
  </si>
  <si>
    <t>Ra202</t>
  </si>
  <si>
    <t>Ra203</t>
  </si>
  <si>
    <t>Ra204</t>
  </si>
  <si>
    <t>Ra205</t>
  </si>
  <si>
    <t>Ra206</t>
  </si>
  <si>
    <t>Ra207</t>
  </si>
  <si>
    <t>Ra208</t>
  </si>
  <si>
    <t>Ra209</t>
  </si>
  <si>
    <t>Ra210</t>
  </si>
  <si>
    <t>Ra211</t>
  </si>
  <si>
    <t>Ra212</t>
  </si>
  <si>
    <t>Ra213</t>
  </si>
  <si>
    <t>Ra214</t>
  </si>
  <si>
    <t>Ra215</t>
  </si>
  <si>
    <t>Ra216</t>
  </si>
  <si>
    <t>Ra217</t>
  </si>
  <si>
    <t>Ra218</t>
  </si>
  <si>
    <t>Ra219</t>
  </si>
  <si>
    <t>Ra220</t>
  </si>
  <si>
    <t>Ra221</t>
  </si>
  <si>
    <t>Ra222</t>
  </si>
  <si>
    <t>Ra223</t>
  </si>
  <si>
    <t>Ra224</t>
  </si>
  <si>
    <t>Ra225</t>
  </si>
  <si>
    <t>Ra226</t>
  </si>
  <si>
    <t>Ra227</t>
  </si>
  <si>
    <t>Ra228</t>
  </si>
  <si>
    <t>Ra229</t>
  </si>
  <si>
    <t>Ra230</t>
  </si>
  <si>
    <t>Ra231</t>
  </si>
  <si>
    <t>Ra232</t>
  </si>
  <si>
    <t>Ra233</t>
  </si>
  <si>
    <t>Ra234</t>
  </si>
  <si>
    <t>Ac205</t>
  </si>
  <si>
    <t>Ac206</t>
  </si>
  <si>
    <t>Ac207</t>
  </si>
  <si>
    <t>Ac208</t>
  </si>
  <si>
    <t>Ac209</t>
  </si>
  <si>
    <t>Ac210</t>
  </si>
  <si>
    <t>Ac211</t>
  </si>
  <si>
    <t>Ac212</t>
  </si>
  <si>
    <t>Ac213</t>
  </si>
  <si>
    <t>Ac214</t>
  </si>
  <si>
    <t>Ac215</t>
  </si>
  <si>
    <t>Ac216</t>
  </si>
  <si>
    <t>Ac217</t>
  </si>
  <si>
    <t>Ac218</t>
  </si>
  <si>
    <t>Ac219</t>
  </si>
  <si>
    <t>Ac220</t>
  </si>
  <si>
    <t>Ac221</t>
  </si>
  <si>
    <t>Ac222</t>
  </si>
  <si>
    <t>Ac223</t>
  </si>
  <si>
    <t>Ac224</t>
  </si>
  <si>
    <t>Ac225</t>
  </si>
  <si>
    <t>Ac226</t>
  </si>
  <si>
    <t>Ac227</t>
  </si>
  <si>
    <t>Ac228</t>
  </si>
  <si>
    <t>Ac229</t>
  </si>
  <si>
    <t>Ac230</t>
  </si>
  <si>
    <t>Ac231</t>
  </si>
  <si>
    <t>Ac232</t>
  </si>
  <si>
    <t>Ac233</t>
  </si>
  <si>
    <t>Ac234</t>
  </si>
  <si>
    <t>Ac235</t>
  </si>
  <si>
    <t>Ac236</t>
  </si>
  <si>
    <t>Th208</t>
  </si>
  <si>
    <t>Th209</t>
  </si>
  <si>
    <t>Th210</t>
  </si>
  <si>
    <t>Th211</t>
  </si>
  <si>
    <t>Th212</t>
  </si>
  <si>
    <t>Th213</t>
  </si>
  <si>
    <t>Th214</t>
  </si>
  <si>
    <t>Th215</t>
  </si>
  <si>
    <t>Th216</t>
  </si>
  <si>
    <t>Th217</t>
  </si>
  <si>
    <t>Th218</t>
  </si>
  <si>
    <t>Th219</t>
  </si>
  <si>
    <t>Th220</t>
  </si>
  <si>
    <t>Th221</t>
  </si>
  <si>
    <t>Th222</t>
  </si>
  <si>
    <t>Th223</t>
  </si>
  <si>
    <t>Th224</t>
  </si>
  <si>
    <t>Th225</t>
  </si>
  <si>
    <t>Th226</t>
  </si>
  <si>
    <t>Th227</t>
  </si>
  <si>
    <t>Th228</t>
  </si>
  <si>
    <t>Th229</t>
  </si>
  <si>
    <t>Th230</t>
  </si>
  <si>
    <t>Th231</t>
  </si>
  <si>
    <t>Th232</t>
  </si>
  <si>
    <t>Th233</t>
  </si>
  <si>
    <t>Th234</t>
  </si>
  <si>
    <t>Th235</t>
  </si>
  <si>
    <t>Th236</t>
  </si>
  <si>
    <t>Th237</t>
  </si>
  <si>
    <t>Th238</t>
  </si>
  <si>
    <t>Pa211</t>
  </si>
  <si>
    <t>Pa212</t>
  </si>
  <si>
    <t>Pa213</t>
  </si>
  <si>
    <t>Pa214</t>
  </si>
  <si>
    <t>Pa215</t>
  </si>
  <si>
    <t>Pa216</t>
  </si>
  <si>
    <t>Pa217</t>
  </si>
  <si>
    <t>Pa218</t>
  </si>
  <si>
    <t>Pa219</t>
  </si>
  <si>
    <t>Pa220</t>
  </si>
  <si>
    <t>Pa221</t>
  </si>
  <si>
    <t>Pa222</t>
  </si>
  <si>
    <t>Pa223</t>
  </si>
  <si>
    <t>Pa224</t>
  </si>
  <si>
    <t>Pa225</t>
  </si>
  <si>
    <t>Pa226</t>
  </si>
  <si>
    <t>Pa227</t>
  </si>
  <si>
    <t>Pa228</t>
  </si>
  <si>
    <t>Pa229</t>
  </si>
  <si>
    <t>Pa230</t>
  </si>
  <si>
    <t>Pa231</t>
  </si>
  <si>
    <t>Pa232</t>
  </si>
  <si>
    <t>Pa233</t>
  </si>
  <si>
    <t>Pa234</t>
  </si>
  <si>
    <t>Pa235</t>
  </si>
  <si>
    <t>Pa236</t>
  </si>
  <si>
    <t>Pa237</t>
  </si>
  <si>
    <t>Pa238</t>
  </si>
  <si>
    <t>Pa239</t>
  </si>
  <si>
    <t>U216</t>
  </si>
  <si>
    <t>U217</t>
  </si>
  <si>
    <t>U218</t>
  </si>
  <si>
    <t>U219</t>
  </si>
  <si>
    <t>U221</t>
  </si>
  <si>
    <t>U222</t>
  </si>
  <si>
    <t>U223</t>
  </si>
  <si>
    <t>U224</t>
  </si>
  <si>
    <t>U225</t>
  </si>
  <si>
    <t>U226</t>
  </si>
  <si>
    <t>U227</t>
  </si>
  <si>
    <t>U228</t>
  </si>
  <si>
    <t>U229</t>
  </si>
  <si>
    <t>U230</t>
  </si>
  <si>
    <t>U231</t>
  </si>
  <si>
    <t>U232</t>
  </si>
  <si>
    <t>U233</t>
  </si>
  <si>
    <t>U234</t>
  </si>
  <si>
    <t>U235</t>
  </si>
  <si>
    <t>U236</t>
  </si>
  <si>
    <t>U237</t>
  </si>
  <si>
    <t>U238</t>
  </si>
  <si>
    <t>U239</t>
  </si>
  <si>
    <t>U240</t>
  </si>
  <si>
    <t>U242</t>
  </si>
  <si>
    <t>Np225</t>
  </si>
  <si>
    <t>Np226</t>
  </si>
  <si>
    <t>Np227</t>
  </si>
  <si>
    <t>Np228</t>
  </si>
  <si>
    <t>Np229</t>
  </si>
  <si>
    <t>Np230</t>
  </si>
  <si>
    <t>Np231</t>
  </si>
  <si>
    <t>Np232</t>
  </si>
  <si>
    <t>Np233</t>
  </si>
  <si>
    <t>Np234</t>
  </si>
  <si>
    <t>Np235</t>
  </si>
  <si>
    <t>Np236</t>
  </si>
  <si>
    <t>Np237</t>
  </si>
  <si>
    <t>Np238</t>
  </si>
  <si>
    <t>Np239</t>
  </si>
  <si>
    <t>Np240</t>
  </si>
  <si>
    <t>Np241</t>
  </si>
  <si>
    <t>Np242</t>
  </si>
  <si>
    <t>Np243</t>
  </si>
  <si>
    <t>Np244</t>
  </si>
  <si>
    <t>Pu228</t>
  </si>
  <si>
    <t>Pu229</t>
  </si>
  <si>
    <t>Pu230</t>
  </si>
  <si>
    <t>Pu231</t>
  </si>
  <si>
    <t>Pu232</t>
  </si>
  <si>
    <t>Pu233</t>
  </si>
  <si>
    <t>Pu234</t>
  </si>
  <si>
    <t>Pu235</t>
  </si>
  <si>
    <t>Pu236</t>
  </si>
  <si>
    <t>Pu237</t>
  </si>
  <si>
    <t>Pu238</t>
  </si>
  <si>
    <t>Pu239</t>
  </si>
  <si>
    <t>Pu240</t>
  </si>
  <si>
    <t>Pu241</t>
  </si>
  <si>
    <t>Pu242</t>
  </si>
  <si>
    <t>Pu243</t>
  </si>
  <si>
    <t>Pu244</t>
  </si>
  <si>
    <t>Pu245</t>
  </si>
  <si>
    <t>Pu246</t>
  </si>
  <si>
    <t>Pu247</t>
  </si>
  <si>
    <t>Am230</t>
  </si>
  <si>
    <t>Am232</t>
  </si>
  <si>
    <t>Am233</t>
  </si>
  <si>
    <t>Am234</t>
  </si>
  <si>
    <t>Am235</t>
  </si>
  <si>
    <t>Am236</t>
  </si>
  <si>
    <t>Am237</t>
  </si>
  <si>
    <t>Am238</t>
  </si>
  <si>
    <t>Am239</t>
  </si>
  <si>
    <t>Am240</t>
  </si>
  <si>
    <t>Am241</t>
  </si>
  <si>
    <t>Am242</t>
  </si>
  <si>
    <t>Am243</t>
  </si>
  <si>
    <t>Am244</t>
  </si>
  <si>
    <t>Am245</t>
  </si>
  <si>
    <t>Am246</t>
  </si>
  <si>
    <t>Am247</t>
  </si>
  <si>
    <t>Am248</t>
  </si>
  <si>
    <t>Cm233</t>
  </si>
  <si>
    <t>Cm234</t>
  </si>
  <si>
    <t>Cm238</t>
  </si>
  <si>
    <t>Cm239</t>
  </si>
  <si>
    <t>Cm240</t>
  </si>
  <si>
    <t>Cm241</t>
  </si>
  <si>
    <t>Cm242</t>
  </si>
  <si>
    <t>Cm243</t>
  </si>
  <si>
    <t>Cm244</t>
  </si>
  <si>
    <t>Cm245</t>
  </si>
  <si>
    <t>Cm246</t>
  </si>
  <si>
    <t>Cm247</t>
  </si>
  <si>
    <t>Cm248</t>
  </si>
  <si>
    <t>Cm249</t>
  </si>
  <si>
    <t>Cm250</t>
  </si>
  <si>
    <t>Cm251</t>
  </si>
  <si>
    <t>Bk234</t>
  </si>
  <si>
    <t>Bk237</t>
  </si>
  <si>
    <t>Bk238</t>
  </si>
  <si>
    <t>Bk240</t>
  </si>
  <si>
    <t>Bk241</t>
  </si>
  <si>
    <t>Bk242</t>
  </si>
  <si>
    <t>Bk243</t>
  </si>
  <si>
    <t>Bk244</t>
  </si>
  <si>
    <t>Bk245</t>
  </si>
  <si>
    <t>Bk246</t>
  </si>
  <si>
    <t>Bk247</t>
  </si>
  <si>
    <t>Bk248</t>
  </si>
  <si>
    <t>Bk249</t>
  </si>
  <si>
    <t>Bk250</t>
  </si>
  <si>
    <t>Bk251</t>
  </si>
  <si>
    <t>Bk253</t>
  </si>
  <si>
    <t>Cf237</t>
  </si>
  <si>
    <t>Cf238</t>
  </si>
  <si>
    <t>Cf239</t>
  </si>
  <si>
    <t>Cf240</t>
  </si>
  <si>
    <t>Cf241</t>
  </si>
  <si>
    <t>Cf242</t>
  </si>
  <si>
    <t>Cf243</t>
  </si>
  <si>
    <t>Cf244</t>
  </si>
  <si>
    <t>Cf245</t>
  </si>
  <si>
    <t>Cf246</t>
  </si>
  <si>
    <t>Cf247</t>
  </si>
  <si>
    <t>Cf248</t>
  </si>
  <si>
    <t>Cf249</t>
  </si>
  <si>
    <t>Cf250</t>
  </si>
  <si>
    <t>Cf251</t>
  </si>
  <si>
    <t>Cf252</t>
  </si>
  <si>
    <t>Cf253</t>
  </si>
  <si>
    <t>Cf254</t>
  </si>
  <si>
    <t>Cf255</t>
  </si>
  <si>
    <t>Cf256</t>
  </si>
  <si>
    <t>Es241</t>
  </si>
  <si>
    <t>Es242</t>
  </si>
  <si>
    <t>Es243</t>
  </si>
  <si>
    <t>Es244</t>
  </si>
  <si>
    <t>Es245</t>
  </si>
  <si>
    <t>Es246</t>
  </si>
  <si>
    <t>Es247</t>
  </si>
  <si>
    <t>Es248</t>
  </si>
  <si>
    <t>Es249</t>
  </si>
  <si>
    <t>Es250</t>
  </si>
  <si>
    <t>Es251</t>
  </si>
  <si>
    <t>Es252</t>
  </si>
  <si>
    <t>Es253</t>
  </si>
  <si>
    <t>Es254</t>
  </si>
  <si>
    <t>Es255</t>
  </si>
  <si>
    <t>Es256</t>
  </si>
  <si>
    <t>Es257</t>
  </si>
  <si>
    <t>Fm241</t>
  </si>
  <si>
    <t>Fm243</t>
  </si>
  <si>
    <t>Fm244</t>
  </si>
  <si>
    <t>Fm245</t>
  </si>
  <si>
    <t>Fm246</t>
  </si>
  <si>
    <t>Fm247</t>
  </si>
  <si>
    <t>Fm248</t>
  </si>
  <si>
    <t>Fm249</t>
  </si>
  <si>
    <t>Fm250</t>
  </si>
  <si>
    <t>Fm251</t>
  </si>
  <si>
    <t>Fm252</t>
  </si>
  <si>
    <t>Fm253</t>
  </si>
  <si>
    <t>Fm254</t>
  </si>
  <si>
    <t>Fm255</t>
  </si>
  <si>
    <t>Fm256</t>
  </si>
  <si>
    <t>Fm257</t>
  </si>
  <si>
    <t>Fm258</t>
  </si>
  <si>
    <t>Fm259</t>
  </si>
  <si>
    <t>Fm260</t>
  </si>
  <si>
    <t>Md245</t>
  </si>
  <si>
    <t>Md246</t>
  </si>
  <si>
    <t>Md247</t>
  </si>
  <si>
    <t>Md248</t>
  </si>
  <si>
    <t>Md249</t>
  </si>
  <si>
    <t>Md250</t>
  </si>
  <si>
    <t>Md251</t>
  </si>
  <si>
    <t>Md252</t>
  </si>
  <si>
    <t>Md253</t>
  </si>
  <si>
    <t>Md254</t>
  </si>
  <si>
    <t>Md255</t>
  </si>
  <si>
    <t>Md256</t>
  </si>
  <si>
    <t>Md257</t>
  </si>
  <si>
    <t>Md258</t>
  </si>
  <si>
    <t>Md259</t>
  </si>
  <si>
    <t>Md260</t>
  </si>
  <si>
    <t>No250</t>
  </si>
  <si>
    <t>No251</t>
  </si>
  <si>
    <t>No252</t>
  </si>
  <si>
    <t>No253</t>
  </si>
  <si>
    <t>No254</t>
  </si>
  <si>
    <t>No255</t>
  </si>
  <si>
    <t>No256</t>
  </si>
  <si>
    <t>No257</t>
  </si>
  <si>
    <t>No258</t>
  </si>
  <si>
    <t>No259</t>
  </si>
  <si>
    <t>No260</t>
  </si>
  <si>
    <t>No262</t>
  </si>
  <si>
    <t>Lr252</t>
  </si>
  <si>
    <t>Lr253</t>
  </si>
  <si>
    <t>Lr254</t>
  </si>
  <si>
    <t>Lr255</t>
  </si>
  <si>
    <t>Lr256</t>
  </si>
  <si>
    <t>Lr257</t>
  </si>
  <si>
    <t>Lr258</t>
  </si>
  <si>
    <t>Lr259</t>
  </si>
  <si>
    <t>Lr260</t>
  </si>
  <si>
    <t>Lr261</t>
  </si>
  <si>
    <t>Lr262</t>
  </si>
  <si>
    <t>Lr266</t>
  </si>
  <si>
    <t>Rf253</t>
  </si>
  <si>
    <t>Rf254</t>
  </si>
  <si>
    <t>Rf255</t>
  </si>
  <si>
    <t>Rf256</t>
  </si>
  <si>
    <t>Rf257</t>
  </si>
  <si>
    <t>Rf258</t>
  </si>
  <si>
    <t>Rf259</t>
  </si>
  <si>
    <t>Rf260</t>
  </si>
  <si>
    <t>Rf261</t>
  </si>
  <si>
    <t>Rf262</t>
  </si>
  <si>
    <t>Rf263</t>
  </si>
  <si>
    <t>Rf265</t>
  </si>
  <si>
    <t>Db255</t>
  </si>
  <si>
    <t>Db256</t>
  </si>
  <si>
    <t>Db257</t>
  </si>
  <si>
    <t>Db258</t>
  </si>
  <si>
    <t>Db259</t>
  </si>
  <si>
    <t>Db260</t>
  </si>
  <si>
    <t>Db261</t>
  </si>
  <si>
    <t>Db262</t>
  </si>
  <si>
    <t>Db263</t>
  </si>
  <si>
    <t>Db267</t>
  </si>
  <si>
    <t>Db268</t>
  </si>
  <si>
    <t>Db270</t>
  </si>
  <si>
    <t>Sg258</t>
  </si>
  <si>
    <t>Sg259</t>
  </si>
  <si>
    <t>Sg260</t>
  </si>
  <si>
    <t>Sg261</t>
  </si>
  <si>
    <t>Sg262</t>
  </si>
  <si>
    <t>Sg263</t>
  </si>
  <si>
    <t>Sg264</t>
  </si>
  <si>
    <t>Sg265</t>
  </si>
  <si>
    <t>Sg266</t>
  </si>
  <si>
    <t>Sg269</t>
  </si>
  <si>
    <t>Sg271</t>
  </si>
  <si>
    <t>Bh260</t>
  </si>
  <si>
    <t>Bh261</t>
  </si>
  <si>
    <t>Bh262</t>
  </si>
  <si>
    <t>Bh264</t>
  </si>
  <si>
    <t>Bh265</t>
  </si>
  <si>
    <t>Bh266</t>
  </si>
  <si>
    <t>Bh267</t>
  </si>
  <si>
    <t>Bh270</t>
  </si>
  <si>
    <t>Bh272</t>
  </si>
  <si>
    <t>Bh274</t>
  </si>
  <si>
    <t>Hs263</t>
  </si>
  <si>
    <t>Hs264</t>
  </si>
  <si>
    <t>Hs265</t>
  </si>
  <si>
    <t>Hs266</t>
  </si>
  <si>
    <t>Hs267</t>
  </si>
  <si>
    <t>Hs268</t>
  </si>
  <si>
    <t>Hs269</t>
  </si>
  <si>
    <t>Hs270</t>
  </si>
  <si>
    <t>Hs273</t>
  </si>
  <si>
    <t>Hs275</t>
  </si>
  <si>
    <t>Hs277</t>
  </si>
  <si>
    <t>Mt266</t>
  </si>
  <si>
    <t>Mt268</t>
  </si>
  <si>
    <t>Mt270</t>
  </si>
  <si>
    <t>Mt274</t>
  </si>
  <si>
    <t>Mt275</t>
  </si>
  <si>
    <t>Mt276</t>
  </si>
  <si>
    <t>Mt277</t>
  </si>
  <si>
    <t>Mt278</t>
  </si>
  <si>
    <t>Ds267</t>
  </si>
  <si>
    <t>Ds269</t>
  </si>
  <si>
    <t>Ds270</t>
  </si>
  <si>
    <t>Ds271</t>
  </si>
  <si>
    <t>Ds273</t>
  </si>
  <si>
    <t>Ds277</t>
  </si>
  <si>
    <t>Ds279</t>
  </si>
  <si>
    <t>Ds281</t>
  </si>
  <si>
    <t>Rg272</t>
  </si>
  <si>
    <t>Rg274</t>
  </si>
  <si>
    <t>Rg278</t>
  </si>
  <si>
    <t>Rg279</t>
  </si>
  <si>
    <t>Rg280</t>
  </si>
  <si>
    <t>Rg281</t>
  </si>
  <si>
    <t>Rg282</t>
  </si>
  <si>
    <t>Cn281</t>
  </si>
  <si>
    <t>Cn282</t>
  </si>
  <si>
    <t>Cn283</t>
  </si>
  <si>
    <t>Cn284</t>
  </si>
  <si>
    <t>Cn285</t>
  </si>
  <si>
    <t>Nh278</t>
  </si>
  <si>
    <t>Nh282</t>
  </si>
  <si>
    <t>Nh283</t>
  </si>
  <si>
    <t>Nh284</t>
  </si>
  <si>
    <t>Nh285</t>
  </si>
  <si>
    <t>Nh286</t>
  </si>
  <si>
    <t>Fl284</t>
  </si>
  <si>
    <t>Fl285</t>
  </si>
  <si>
    <t>Fl286</t>
  </si>
  <si>
    <t>Fl287</t>
  </si>
  <si>
    <t>Fl288</t>
  </si>
  <si>
    <t>Fl289</t>
  </si>
  <si>
    <t>Mc287</t>
  </si>
  <si>
    <t>Mc288</t>
  </si>
  <si>
    <t>Mc289</t>
  </si>
  <si>
    <t>Mc290</t>
  </si>
  <si>
    <t>Lv290</t>
  </si>
  <si>
    <t>Lv291</t>
  </si>
  <si>
    <t>Lv292</t>
  </si>
  <si>
    <t>Lv293</t>
  </si>
  <si>
    <t>Ts293</t>
  </si>
  <si>
    <t>Ts294</t>
  </si>
  <si>
    <t>Nuclides</t>
  </si>
  <si>
    <t>w</t>
  </si>
  <si>
    <t>Error</t>
  </si>
  <si>
    <t>T1/2</t>
  </si>
  <si>
    <t>λ</t>
  </si>
  <si>
    <t>500μA-10d</t>
  </si>
  <si>
    <t>cool-10d</t>
  </si>
  <si>
    <t>Nuclides</t>
    <phoneticPr fontId="3" type="noConversion"/>
  </si>
  <si>
    <t>total</t>
  </si>
  <si>
    <t>l  6</t>
  </si>
  <si>
    <t>user bin</t>
  </si>
  <si>
    <t>l  10</t>
  </si>
  <si>
    <t>l  14</t>
  </si>
  <si>
    <t>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</si>
</sst>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Times New Roman"/>
      <family val="1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11" fontId="0" fillId="0" borderId="0" xfId="0" applyNumberFormat="1" applyAlignment="1"/>
    <xf numFmtId="0" fontId="0" fillId="0" borderId="0" xfId="0" applyAlignment="1"/>
    <xf numFmtId="11" fontId="0" fillId="0" borderId="0" xfId="0" applyNumberFormat="1" applyAlignment="1">
      <alignment horizont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9669B-DBAC-4BF4-B805-73AAB1333B1B}">
  <dimension ref="A2:E3163"/>
  <sheetViews>
    <sheetView workbookViewId="0">
      <selection activeCell="E3" sqref="E3"/>
    </sheetView>
  </sheetViews>
  <sheetFormatPr defaultRowHeight="15" x14ac:dyDescent="0.25"/>
  <cols>
    <col min="1" max="1" width="8.875" style="1"/>
    <col min="2" max="3" width="8.875" style="2"/>
    <col min="4" max="4" width="13.125" style="2" bestFit="1" customWidth="1"/>
    <col min="5" max="5" width="8.875" style="2"/>
  </cols>
  <sheetData>
    <row r="2" spans="1:5" x14ac:dyDescent="0.25">
      <c r="B2" s="2" t="s">
        <v>0</v>
      </c>
      <c r="C2" s="2" t="s">
        <v>1</v>
      </c>
      <c r="D2" s="2" t="s">
        <v>2</v>
      </c>
    </row>
    <row r="3" spans="1:5" x14ac:dyDescent="0.25">
      <c r="A3" s="1">
        <v>1001</v>
      </c>
      <c r="B3" s="2">
        <v>1</v>
      </c>
      <c r="C3" s="2">
        <v>0</v>
      </c>
      <c r="D3" s="2">
        <v>613.9</v>
      </c>
      <c r="E3" s="2" t="s">
        <v>3177</v>
      </c>
    </row>
    <row r="4" spans="1:5" x14ac:dyDescent="0.25">
      <c r="A4" s="1">
        <v>1002</v>
      </c>
      <c r="B4" s="2">
        <v>1</v>
      </c>
      <c r="C4" s="2">
        <v>1</v>
      </c>
      <c r="D4" s="2" t="s">
        <v>3</v>
      </c>
      <c r="E4" s="2" t="s">
        <v>4</v>
      </c>
    </row>
    <row r="5" spans="1:5" x14ac:dyDescent="0.25">
      <c r="A5" s="1">
        <v>1003</v>
      </c>
      <c r="B5" s="2">
        <v>2</v>
      </c>
      <c r="C5" s="2">
        <v>1</v>
      </c>
      <c r="D5" s="2">
        <v>388789632</v>
      </c>
      <c r="E5" s="2" t="s">
        <v>5</v>
      </c>
    </row>
    <row r="6" spans="1:5" x14ac:dyDescent="0.25">
      <c r="A6" s="1">
        <v>1005</v>
      </c>
      <c r="B6" s="2">
        <v>4</v>
      </c>
      <c r="C6" s="2">
        <v>1</v>
      </c>
      <c r="D6" s="2">
        <v>7.9947368421052595E-23</v>
      </c>
      <c r="E6" s="2" t="s">
        <v>6</v>
      </c>
    </row>
    <row r="7" spans="1:5" x14ac:dyDescent="0.25">
      <c r="A7" s="1">
        <v>1006</v>
      </c>
      <c r="B7" s="2">
        <v>5</v>
      </c>
      <c r="C7" s="2">
        <v>1</v>
      </c>
      <c r="D7" s="2">
        <v>2.8481249999999898E-22</v>
      </c>
      <c r="E7" s="2" t="s">
        <v>7</v>
      </c>
    </row>
    <row r="8" spans="1:5" x14ac:dyDescent="0.25">
      <c r="A8" s="1">
        <v>2003</v>
      </c>
      <c r="B8" s="2">
        <v>1</v>
      </c>
      <c r="C8" s="2">
        <v>2</v>
      </c>
      <c r="D8" s="2" t="s">
        <v>3</v>
      </c>
      <c r="E8" s="2" t="s">
        <v>8</v>
      </c>
    </row>
    <row r="9" spans="1:5" x14ac:dyDescent="0.25">
      <c r="A9" s="1">
        <v>2004</v>
      </c>
      <c r="B9" s="2">
        <v>2</v>
      </c>
      <c r="C9" s="2">
        <v>2</v>
      </c>
      <c r="D9" s="2" t="s">
        <v>3</v>
      </c>
      <c r="E9" s="2" t="s">
        <v>9</v>
      </c>
    </row>
    <row r="10" spans="1:5" x14ac:dyDescent="0.25">
      <c r="A10" s="1">
        <v>2005</v>
      </c>
      <c r="B10" s="2">
        <v>3</v>
      </c>
      <c r="C10" s="2">
        <v>2</v>
      </c>
      <c r="D10" s="2">
        <v>7.5950000000000001E-22</v>
      </c>
      <c r="E10" s="2" t="s">
        <v>10</v>
      </c>
    </row>
    <row r="11" spans="1:5" x14ac:dyDescent="0.25">
      <c r="A11" s="1">
        <v>2006</v>
      </c>
      <c r="B11" s="2">
        <v>4</v>
      </c>
      <c r="C11" s="2">
        <v>2</v>
      </c>
      <c r="D11" s="2">
        <v>0.80669999999999997</v>
      </c>
      <c r="E11" s="2" t="s">
        <v>11</v>
      </c>
    </row>
    <row r="12" spans="1:5" x14ac:dyDescent="0.25">
      <c r="A12" s="1">
        <v>2007</v>
      </c>
      <c r="B12" s="2">
        <v>5</v>
      </c>
      <c r="C12" s="2">
        <v>2</v>
      </c>
      <c r="D12" s="2">
        <v>3.0380000000000001E-21</v>
      </c>
      <c r="E12" s="2" t="s">
        <v>12</v>
      </c>
    </row>
    <row r="13" spans="1:5" x14ac:dyDescent="0.25">
      <c r="A13" s="1">
        <v>2008</v>
      </c>
      <c r="B13" s="2">
        <v>6</v>
      </c>
      <c r="C13" s="2">
        <v>2</v>
      </c>
      <c r="D13" s="2">
        <v>0.1191</v>
      </c>
      <c r="E13" s="2" t="s">
        <v>13</v>
      </c>
    </row>
    <row r="14" spans="1:5" x14ac:dyDescent="0.25">
      <c r="A14" s="1">
        <v>2010</v>
      </c>
      <c r="B14" s="2">
        <v>8</v>
      </c>
      <c r="C14" s="2">
        <v>2</v>
      </c>
      <c r="D14" s="2">
        <v>1.519E-21</v>
      </c>
      <c r="E14" s="2" t="s">
        <v>14</v>
      </c>
    </row>
    <row r="15" spans="1:5" x14ac:dyDescent="0.25">
      <c r="A15" s="1">
        <v>3004</v>
      </c>
      <c r="B15" s="2">
        <v>1</v>
      </c>
      <c r="C15" s="2">
        <v>3</v>
      </c>
      <c r="D15" s="2">
        <v>7.5572139303482503E-23</v>
      </c>
      <c r="E15" s="2" t="s">
        <v>15</v>
      </c>
    </row>
    <row r="16" spans="1:5" x14ac:dyDescent="0.25">
      <c r="A16" s="1">
        <v>3005</v>
      </c>
      <c r="B16" s="2">
        <v>2</v>
      </c>
      <c r="C16" s="2">
        <v>3</v>
      </c>
      <c r="D16" s="2">
        <v>3.038E-22</v>
      </c>
      <c r="E16" s="2" t="s">
        <v>16</v>
      </c>
    </row>
    <row r="17" spans="1:5" x14ac:dyDescent="0.25">
      <c r="A17" s="1">
        <v>3006</v>
      </c>
      <c r="B17" s="2">
        <v>3</v>
      </c>
      <c r="C17" s="2">
        <v>3</v>
      </c>
      <c r="D17" s="2" t="s">
        <v>3</v>
      </c>
      <c r="E17" s="2" t="s">
        <v>17</v>
      </c>
    </row>
    <row r="18" spans="1:5" x14ac:dyDescent="0.25">
      <c r="A18" s="1">
        <v>3007</v>
      </c>
      <c r="B18" s="2">
        <v>4</v>
      </c>
      <c r="C18" s="2">
        <v>3</v>
      </c>
      <c r="D18" s="2" t="s">
        <v>3</v>
      </c>
      <c r="E18" s="2" t="s">
        <v>18</v>
      </c>
    </row>
    <row r="19" spans="1:5" x14ac:dyDescent="0.25">
      <c r="A19" s="1">
        <v>3008</v>
      </c>
      <c r="B19" s="2">
        <v>5</v>
      </c>
      <c r="C19" s="2">
        <v>3</v>
      </c>
      <c r="D19" s="2">
        <v>0.83989999999999998</v>
      </c>
      <c r="E19" s="2" t="s">
        <v>19</v>
      </c>
    </row>
    <row r="20" spans="1:5" x14ac:dyDescent="0.25">
      <c r="A20" s="1">
        <v>3009</v>
      </c>
      <c r="B20" s="2">
        <v>6</v>
      </c>
      <c r="C20" s="2">
        <v>3</v>
      </c>
      <c r="D20" s="2">
        <v>0.17829999999999999</v>
      </c>
      <c r="E20" s="2" t="s">
        <v>20</v>
      </c>
    </row>
    <row r="21" spans="1:5" x14ac:dyDescent="0.25">
      <c r="A21" s="1">
        <v>3011</v>
      </c>
      <c r="B21" s="2">
        <v>8</v>
      </c>
      <c r="C21" s="2">
        <v>3</v>
      </c>
      <c r="D21" s="2">
        <v>8.7500000000000008E-3</v>
      </c>
      <c r="E21" s="2" t="s">
        <v>21</v>
      </c>
    </row>
    <row r="22" spans="1:5" x14ac:dyDescent="0.25">
      <c r="A22" s="1">
        <v>4006</v>
      </c>
      <c r="B22" s="2">
        <v>2</v>
      </c>
      <c r="C22" s="2">
        <v>4</v>
      </c>
      <c r="D22" s="2">
        <v>4.9532608695652102E-21</v>
      </c>
      <c r="E22" s="2" t="s">
        <v>22</v>
      </c>
    </row>
    <row r="23" spans="1:5" x14ac:dyDescent="0.25">
      <c r="A23" s="1">
        <v>4007</v>
      </c>
      <c r="B23" s="2">
        <v>3</v>
      </c>
      <c r="C23" s="2">
        <v>4</v>
      </c>
      <c r="D23" s="2">
        <v>4598208</v>
      </c>
      <c r="E23" s="2" t="s">
        <v>23</v>
      </c>
    </row>
    <row r="24" spans="1:5" x14ac:dyDescent="0.25">
      <c r="A24" s="1">
        <v>4008</v>
      </c>
      <c r="B24" s="2">
        <v>4</v>
      </c>
      <c r="C24" s="2">
        <v>4</v>
      </c>
      <c r="D24" s="2">
        <v>8.1813285457809601E-17</v>
      </c>
      <c r="E24" s="2" t="s">
        <v>24</v>
      </c>
    </row>
    <row r="25" spans="1:5" x14ac:dyDescent="0.25">
      <c r="A25" s="1">
        <v>4009</v>
      </c>
      <c r="B25" s="2">
        <v>5</v>
      </c>
      <c r="C25" s="2">
        <v>4</v>
      </c>
      <c r="D25" s="2" t="s">
        <v>3</v>
      </c>
      <c r="E25" s="2" t="s">
        <v>25</v>
      </c>
    </row>
    <row r="26" spans="1:5" x14ac:dyDescent="0.25">
      <c r="A26" s="1">
        <v>4010</v>
      </c>
      <c r="B26" s="2">
        <v>6</v>
      </c>
      <c r="C26" s="2">
        <v>4</v>
      </c>
      <c r="D26" s="2">
        <v>47651976000000</v>
      </c>
      <c r="E26" s="2" t="s">
        <v>26</v>
      </c>
    </row>
    <row r="27" spans="1:5" x14ac:dyDescent="0.25">
      <c r="A27" s="1">
        <v>4011</v>
      </c>
      <c r="B27" s="2">
        <v>7</v>
      </c>
      <c r="C27" s="2">
        <v>4</v>
      </c>
      <c r="D27" s="2">
        <v>13.76</v>
      </c>
      <c r="E27" s="2" t="s">
        <v>27</v>
      </c>
    </row>
    <row r="28" spans="1:5" x14ac:dyDescent="0.25">
      <c r="A28" s="1">
        <v>4012</v>
      </c>
      <c r="B28" s="2">
        <v>8</v>
      </c>
      <c r="C28" s="2">
        <v>4</v>
      </c>
      <c r="D28" s="2">
        <v>2.147E-2</v>
      </c>
      <c r="E28" s="2" t="s">
        <v>28</v>
      </c>
    </row>
    <row r="29" spans="1:5" x14ac:dyDescent="0.25">
      <c r="A29" s="1">
        <v>4013</v>
      </c>
      <c r="B29" s="2">
        <v>9</v>
      </c>
      <c r="C29" s="2">
        <v>4</v>
      </c>
      <c r="D29" s="2">
        <v>2.7000000000000001E-21</v>
      </c>
      <c r="E29" s="2" t="s">
        <v>29</v>
      </c>
    </row>
    <row r="30" spans="1:5" x14ac:dyDescent="0.25">
      <c r="A30" s="1">
        <v>4014</v>
      </c>
      <c r="B30" s="2">
        <v>10</v>
      </c>
      <c r="C30" s="2">
        <v>4</v>
      </c>
      <c r="D30" s="2">
        <v>4.3499999999999997E-3</v>
      </c>
      <c r="E30" s="2" t="s">
        <v>30</v>
      </c>
    </row>
    <row r="31" spans="1:5" x14ac:dyDescent="0.25">
      <c r="A31" s="1">
        <v>4015</v>
      </c>
      <c r="B31" s="2">
        <v>11</v>
      </c>
      <c r="C31" s="2">
        <v>4</v>
      </c>
      <c r="D31" s="2">
        <v>7.8568965517241304E-22</v>
      </c>
      <c r="E31" s="2" t="s">
        <v>31</v>
      </c>
    </row>
    <row r="32" spans="1:5" x14ac:dyDescent="0.25">
      <c r="A32" s="1">
        <v>4016</v>
      </c>
      <c r="B32" s="2">
        <v>12</v>
      </c>
      <c r="C32" s="2">
        <v>4</v>
      </c>
      <c r="D32" s="2">
        <v>5.69624999999999E-22</v>
      </c>
      <c r="E32" s="2" t="s">
        <v>32</v>
      </c>
    </row>
    <row r="33" spans="1:5" x14ac:dyDescent="0.25">
      <c r="A33" s="1">
        <v>5007</v>
      </c>
      <c r="B33" s="2">
        <v>2</v>
      </c>
      <c r="C33" s="2">
        <v>5</v>
      </c>
      <c r="D33" s="2">
        <v>3.2550000000000001E-22</v>
      </c>
      <c r="E33" s="2" t="s">
        <v>33</v>
      </c>
    </row>
    <row r="34" spans="1:5" x14ac:dyDescent="0.25">
      <c r="A34" s="1">
        <v>5008</v>
      </c>
      <c r="B34" s="2">
        <v>3</v>
      </c>
      <c r="C34" s="2">
        <v>5</v>
      </c>
      <c r="D34" s="2">
        <v>0.77</v>
      </c>
      <c r="E34" s="2" t="s">
        <v>34</v>
      </c>
    </row>
    <row r="35" spans="1:5" x14ac:dyDescent="0.25">
      <c r="A35" s="1">
        <v>5009</v>
      </c>
      <c r="B35" s="2">
        <v>4</v>
      </c>
      <c r="C35" s="2">
        <v>5</v>
      </c>
      <c r="D35" s="2">
        <v>8.4388888888888803E-19</v>
      </c>
      <c r="E35" s="2" t="s">
        <v>35</v>
      </c>
    </row>
    <row r="36" spans="1:5" x14ac:dyDescent="0.25">
      <c r="A36" s="1">
        <v>5010</v>
      </c>
      <c r="B36" s="2">
        <v>5</v>
      </c>
      <c r="C36" s="2">
        <v>5</v>
      </c>
      <c r="D36" s="2" t="s">
        <v>3</v>
      </c>
      <c r="E36" s="2" t="s">
        <v>36</v>
      </c>
    </row>
    <row r="37" spans="1:5" x14ac:dyDescent="0.25">
      <c r="A37" s="1">
        <v>5011</v>
      </c>
      <c r="B37" s="2">
        <v>6</v>
      </c>
      <c r="C37" s="2">
        <v>5</v>
      </c>
      <c r="D37" s="2" t="s">
        <v>3</v>
      </c>
      <c r="E37" s="2" t="s">
        <v>37</v>
      </c>
    </row>
    <row r="38" spans="1:5" x14ac:dyDescent="0.25">
      <c r="A38" s="1">
        <v>5012</v>
      </c>
      <c r="B38" s="2">
        <v>7</v>
      </c>
      <c r="C38" s="2">
        <v>5</v>
      </c>
      <c r="D38" s="2">
        <v>2.0199999999999999E-2</v>
      </c>
      <c r="E38" s="2" t="s">
        <v>38</v>
      </c>
    </row>
    <row r="39" spans="1:5" x14ac:dyDescent="0.25">
      <c r="A39" s="1">
        <v>5013</v>
      </c>
      <c r="B39" s="2">
        <v>8</v>
      </c>
      <c r="C39" s="2">
        <v>5</v>
      </c>
      <c r="D39" s="2">
        <v>1.7329999999999901E-2</v>
      </c>
      <c r="E39" s="2" t="s">
        <v>39</v>
      </c>
    </row>
    <row r="40" spans="1:5" x14ac:dyDescent="0.25">
      <c r="A40" s="1">
        <v>5014</v>
      </c>
      <c r="B40" s="2">
        <v>9</v>
      </c>
      <c r="C40" s="2">
        <v>5</v>
      </c>
      <c r="D40" s="2">
        <v>1.2359999999999999E-2</v>
      </c>
      <c r="E40" s="2" t="s">
        <v>40</v>
      </c>
    </row>
    <row r="41" spans="1:5" x14ac:dyDescent="0.25">
      <c r="A41" s="1">
        <v>5015</v>
      </c>
      <c r="B41" s="2">
        <v>10</v>
      </c>
      <c r="C41" s="2">
        <v>5</v>
      </c>
      <c r="D41" s="2">
        <v>1.018E-2</v>
      </c>
      <c r="E41" s="2" t="s">
        <v>41</v>
      </c>
    </row>
    <row r="42" spans="1:5" x14ac:dyDescent="0.25">
      <c r="A42" s="1">
        <v>5017</v>
      </c>
      <c r="B42" s="2">
        <v>12</v>
      </c>
      <c r="C42" s="2">
        <v>5</v>
      </c>
      <c r="D42" s="2">
        <v>5.0800000000000003E-3</v>
      </c>
      <c r="E42" s="2" t="s">
        <v>42</v>
      </c>
    </row>
    <row r="43" spans="1:5" x14ac:dyDescent="0.25">
      <c r="A43" s="1">
        <v>5019</v>
      </c>
      <c r="B43" s="2">
        <v>14</v>
      </c>
      <c r="C43" s="2">
        <v>5</v>
      </c>
      <c r="D43" s="2">
        <v>2.9199999999999999E-3</v>
      </c>
      <c r="E43" s="2" t="s">
        <v>43</v>
      </c>
    </row>
    <row r="44" spans="1:5" x14ac:dyDescent="0.25">
      <c r="A44" s="1">
        <v>6008</v>
      </c>
      <c r="B44" s="2">
        <v>2</v>
      </c>
      <c r="C44" s="2">
        <v>6</v>
      </c>
      <c r="D44" s="2">
        <v>1.9813043478260799E-21</v>
      </c>
      <c r="E44" s="2" t="s">
        <v>44</v>
      </c>
    </row>
    <row r="45" spans="1:5" x14ac:dyDescent="0.25">
      <c r="A45" s="1">
        <v>6009</v>
      </c>
      <c r="B45" s="2">
        <v>3</v>
      </c>
      <c r="C45" s="2">
        <v>6</v>
      </c>
      <c r="D45" s="2">
        <v>0.1265</v>
      </c>
      <c r="E45" s="2" t="s">
        <v>45</v>
      </c>
    </row>
    <row r="46" spans="1:5" x14ac:dyDescent="0.25">
      <c r="A46" s="1">
        <v>6010</v>
      </c>
      <c r="B46" s="2">
        <v>4</v>
      </c>
      <c r="C46" s="2">
        <v>6</v>
      </c>
      <c r="D46" s="2">
        <v>19.308</v>
      </c>
      <c r="E46" s="2" t="s">
        <v>46</v>
      </c>
    </row>
    <row r="47" spans="1:5" x14ac:dyDescent="0.25">
      <c r="A47" s="1">
        <v>6011</v>
      </c>
      <c r="B47" s="2">
        <v>5</v>
      </c>
      <c r="C47" s="2">
        <v>6</v>
      </c>
      <c r="D47" s="2">
        <v>1221.8399999999999</v>
      </c>
      <c r="E47" s="2" t="s">
        <v>47</v>
      </c>
    </row>
    <row r="48" spans="1:5" x14ac:dyDescent="0.25">
      <c r="A48" s="1">
        <v>6012</v>
      </c>
      <c r="B48" s="2">
        <v>6</v>
      </c>
      <c r="C48" s="2">
        <v>6</v>
      </c>
      <c r="D48" s="2" t="s">
        <v>3</v>
      </c>
      <c r="E48" s="2" t="s">
        <v>48</v>
      </c>
    </row>
    <row r="49" spans="1:5" x14ac:dyDescent="0.25">
      <c r="A49" s="1">
        <v>6013</v>
      </c>
      <c r="B49" s="2">
        <v>7</v>
      </c>
      <c r="C49" s="2">
        <v>6</v>
      </c>
      <c r="D49" s="2" t="s">
        <v>3</v>
      </c>
      <c r="E49" s="2" t="s">
        <v>49</v>
      </c>
    </row>
    <row r="50" spans="1:5" x14ac:dyDescent="0.25">
      <c r="A50" s="1">
        <v>6014</v>
      </c>
      <c r="B50" s="2">
        <v>8</v>
      </c>
      <c r="C50" s="2">
        <v>6</v>
      </c>
      <c r="D50" s="2">
        <v>179878320000</v>
      </c>
      <c r="E50" s="2" t="s">
        <v>50</v>
      </c>
    </row>
    <row r="51" spans="1:5" x14ac:dyDescent="0.25">
      <c r="A51" s="1">
        <v>6015</v>
      </c>
      <c r="B51" s="2">
        <v>9</v>
      </c>
      <c r="C51" s="2">
        <v>6</v>
      </c>
      <c r="D51" s="2">
        <v>2.4489999999999998</v>
      </c>
      <c r="E51" s="2" t="s">
        <v>51</v>
      </c>
    </row>
    <row r="52" spans="1:5" x14ac:dyDescent="0.25">
      <c r="A52" s="1">
        <v>6016</v>
      </c>
      <c r="B52" s="2">
        <v>10</v>
      </c>
      <c r="C52" s="2">
        <v>6</v>
      </c>
      <c r="D52" s="2">
        <v>0.747</v>
      </c>
      <c r="E52" s="2" t="s">
        <v>52</v>
      </c>
    </row>
    <row r="53" spans="1:5" x14ac:dyDescent="0.25">
      <c r="A53" s="1">
        <v>6017</v>
      </c>
      <c r="B53" s="2">
        <v>11</v>
      </c>
      <c r="C53" s="2">
        <v>6</v>
      </c>
      <c r="D53" s="2">
        <v>0.191</v>
      </c>
      <c r="E53" s="2" t="s">
        <v>53</v>
      </c>
    </row>
    <row r="54" spans="1:5" x14ac:dyDescent="0.25">
      <c r="A54" s="1">
        <v>6018</v>
      </c>
      <c r="B54" s="2">
        <v>12</v>
      </c>
      <c r="C54" s="2">
        <v>6</v>
      </c>
      <c r="D54" s="2">
        <v>9.1999999999999998E-2</v>
      </c>
      <c r="E54" s="2" t="s">
        <v>54</v>
      </c>
    </row>
    <row r="55" spans="1:5" x14ac:dyDescent="0.25">
      <c r="A55" s="1">
        <v>6019</v>
      </c>
      <c r="B55" s="2">
        <v>13</v>
      </c>
      <c r="C55" s="2">
        <v>6</v>
      </c>
      <c r="D55" s="2">
        <v>4.6199999999999998E-2</v>
      </c>
      <c r="E55" s="2" t="s">
        <v>55</v>
      </c>
    </row>
    <row r="56" spans="1:5" x14ac:dyDescent="0.25">
      <c r="A56" s="1">
        <v>6020</v>
      </c>
      <c r="B56" s="2">
        <v>14</v>
      </c>
      <c r="C56" s="2">
        <v>6</v>
      </c>
      <c r="D56" s="2">
        <v>1.6199999999999999E-2</v>
      </c>
      <c r="E56" s="2" t="s">
        <v>56</v>
      </c>
    </row>
    <row r="57" spans="1:5" x14ac:dyDescent="0.25">
      <c r="A57" s="1">
        <v>6022</v>
      </c>
      <c r="B57" s="2">
        <v>16</v>
      </c>
      <c r="C57" s="2">
        <v>6</v>
      </c>
      <c r="D57" s="2">
        <v>6.09999999999999E-3</v>
      </c>
      <c r="E57" s="2" t="s">
        <v>57</v>
      </c>
    </row>
    <row r="58" spans="1:5" x14ac:dyDescent="0.25">
      <c r="A58" s="1">
        <v>7011</v>
      </c>
      <c r="B58" s="2">
        <v>4</v>
      </c>
      <c r="C58" s="2">
        <v>7</v>
      </c>
      <c r="D58" s="2">
        <v>5.4903614457831297E-22</v>
      </c>
      <c r="E58" s="2" t="s">
        <v>58</v>
      </c>
    </row>
    <row r="59" spans="1:5" x14ac:dyDescent="0.25">
      <c r="A59" s="1">
        <v>7012</v>
      </c>
      <c r="B59" s="2">
        <v>5</v>
      </c>
      <c r="C59" s="2">
        <v>7</v>
      </c>
      <c r="D59" s="2">
        <v>1.0999999999999999E-2</v>
      </c>
      <c r="E59" s="2" t="s">
        <v>59</v>
      </c>
    </row>
    <row r="60" spans="1:5" x14ac:dyDescent="0.25">
      <c r="A60" s="1">
        <v>7013</v>
      </c>
      <c r="B60" s="2">
        <v>6</v>
      </c>
      <c r="C60" s="2">
        <v>7</v>
      </c>
      <c r="D60" s="2">
        <v>597.9</v>
      </c>
      <c r="E60" s="2" t="s">
        <v>60</v>
      </c>
    </row>
    <row r="61" spans="1:5" x14ac:dyDescent="0.25">
      <c r="A61" s="1">
        <v>7014</v>
      </c>
      <c r="B61" s="2">
        <v>7</v>
      </c>
      <c r="C61" s="2">
        <v>7</v>
      </c>
      <c r="D61" s="2" t="s">
        <v>3</v>
      </c>
      <c r="E61" s="2" t="s">
        <v>61</v>
      </c>
    </row>
    <row r="62" spans="1:5" x14ac:dyDescent="0.25">
      <c r="A62" s="1">
        <v>7015</v>
      </c>
      <c r="B62" s="2">
        <v>8</v>
      </c>
      <c r="C62" s="2">
        <v>7</v>
      </c>
      <c r="D62" s="2" t="s">
        <v>3</v>
      </c>
      <c r="E62" s="2" t="s">
        <v>62</v>
      </c>
    </row>
    <row r="63" spans="1:5" x14ac:dyDescent="0.25">
      <c r="A63" s="1">
        <v>7016</v>
      </c>
      <c r="B63" s="2">
        <v>9</v>
      </c>
      <c r="C63" s="2">
        <v>7</v>
      </c>
      <c r="D63" s="2">
        <v>7.13</v>
      </c>
      <c r="E63" s="2" t="s">
        <v>63</v>
      </c>
    </row>
    <row r="64" spans="1:5" x14ac:dyDescent="0.25">
      <c r="A64" s="1">
        <v>7017</v>
      </c>
      <c r="B64" s="2">
        <v>10</v>
      </c>
      <c r="C64" s="2">
        <v>7</v>
      </c>
      <c r="D64" s="2">
        <v>4.1710000000000003</v>
      </c>
      <c r="E64" s="2" t="s">
        <v>64</v>
      </c>
    </row>
    <row r="65" spans="1:5" x14ac:dyDescent="0.25">
      <c r="A65" s="1">
        <v>7018</v>
      </c>
      <c r="B65" s="2">
        <v>11</v>
      </c>
      <c r="C65" s="2">
        <v>7</v>
      </c>
      <c r="D65" s="2">
        <v>0.61899999999999999</v>
      </c>
      <c r="E65" s="2" t="s">
        <v>65</v>
      </c>
    </row>
    <row r="66" spans="1:5" x14ac:dyDescent="0.25">
      <c r="A66" s="1">
        <v>7019</v>
      </c>
      <c r="B66" s="2">
        <v>12</v>
      </c>
      <c r="C66" s="2">
        <v>7</v>
      </c>
      <c r="D66" s="2">
        <v>0.33600000000000002</v>
      </c>
      <c r="E66" s="2" t="s">
        <v>66</v>
      </c>
    </row>
    <row r="67" spans="1:5" x14ac:dyDescent="0.25">
      <c r="A67" s="1">
        <v>7020</v>
      </c>
      <c r="B67" s="2">
        <v>13</v>
      </c>
      <c r="C67" s="2">
        <v>7</v>
      </c>
      <c r="D67" s="2">
        <v>0.13600000000000001</v>
      </c>
      <c r="E67" s="2" t="s">
        <v>67</v>
      </c>
    </row>
    <row r="68" spans="1:5" x14ac:dyDescent="0.25">
      <c r="A68" s="1">
        <v>7021</v>
      </c>
      <c r="B68" s="2">
        <v>14</v>
      </c>
      <c r="C68" s="2">
        <v>7</v>
      </c>
      <c r="D68" s="2">
        <v>8.48E-2</v>
      </c>
      <c r="E68" s="2" t="s">
        <v>68</v>
      </c>
    </row>
    <row r="69" spans="1:5" x14ac:dyDescent="0.25">
      <c r="A69" s="1">
        <v>7022</v>
      </c>
      <c r="B69" s="2">
        <v>15</v>
      </c>
      <c r="C69" s="2">
        <v>7</v>
      </c>
      <c r="D69" s="2">
        <v>1.95E-2</v>
      </c>
      <c r="E69" s="2" t="s">
        <v>69</v>
      </c>
    </row>
    <row r="70" spans="1:5" x14ac:dyDescent="0.25">
      <c r="A70" s="1">
        <v>7023</v>
      </c>
      <c r="B70" s="2">
        <v>16</v>
      </c>
      <c r="C70" s="2">
        <v>7</v>
      </c>
      <c r="D70" s="2">
        <v>1.41E-2</v>
      </c>
      <c r="E70" s="2" t="s">
        <v>70</v>
      </c>
    </row>
    <row r="71" spans="1:5" x14ac:dyDescent="0.25">
      <c r="A71" s="1">
        <v>8012</v>
      </c>
      <c r="B71" s="2">
        <v>4</v>
      </c>
      <c r="C71" s="2">
        <v>8</v>
      </c>
      <c r="D71" s="2">
        <v>1.1392499999999899E-21</v>
      </c>
      <c r="E71" s="2" t="s">
        <v>71</v>
      </c>
    </row>
    <row r="72" spans="1:5" x14ac:dyDescent="0.25">
      <c r="A72" s="1">
        <v>8013</v>
      </c>
      <c r="B72" s="2">
        <v>5</v>
      </c>
      <c r="C72" s="2">
        <v>8</v>
      </c>
      <c r="D72" s="2">
        <v>8.5800000000000008E-3</v>
      </c>
      <c r="E72" s="2" t="s">
        <v>72</v>
      </c>
    </row>
    <row r="73" spans="1:5" x14ac:dyDescent="0.25">
      <c r="A73" s="1">
        <v>8014</v>
      </c>
      <c r="B73" s="2">
        <v>6</v>
      </c>
      <c r="C73" s="2">
        <v>8</v>
      </c>
      <c r="D73" s="2">
        <v>70.62</v>
      </c>
      <c r="E73" s="2" t="s">
        <v>73</v>
      </c>
    </row>
    <row r="74" spans="1:5" x14ac:dyDescent="0.25">
      <c r="A74" s="1">
        <v>8015</v>
      </c>
      <c r="B74" s="2">
        <v>7</v>
      </c>
      <c r="C74" s="2">
        <v>8</v>
      </c>
      <c r="D74" s="2">
        <v>122.24</v>
      </c>
      <c r="E74" s="2" t="s">
        <v>74</v>
      </c>
    </row>
    <row r="75" spans="1:5" x14ac:dyDescent="0.25">
      <c r="A75" s="1">
        <v>8016</v>
      </c>
      <c r="B75" s="2">
        <v>8</v>
      </c>
      <c r="C75" s="2">
        <v>8</v>
      </c>
      <c r="D75" s="2" t="s">
        <v>3</v>
      </c>
      <c r="E75" s="2" t="s">
        <v>75</v>
      </c>
    </row>
    <row r="76" spans="1:5" x14ac:dyDescent="0.25">
      <c r="A76" s="1">
        <v>8017</v>
      </c>
      <c r="B76" s="2">
        <v>9</v>
      </c>
      <c r="C76" s="2">
        <v>8</v>
      </c>
      <c r="D76" s="2" t="s">
        <v>3</v>
      </c>
      <c r="E76" s="2" t="s">
        <v>76</v>
      </c>
    </row>
    <row r="77" spans="1:5" x14ac:dyDescent="0.25">
      <c r="A77" s="1">
        <v>8018</v>
      </c>
      <c r="B77" s="2">
        <v>10</v>
      </c>
      <c r="C77" s="2">
        <v>8</v>
      </c>
      <c r="D77" s="2" t="s">
        <v>3</v>
      </c>
      <c r="E77" s="2" t="s">
        <v>77</v>
      </c>
    </row>
    <row r="78" spans="1:5" x14ac:dyDescent="0.25">
      <c r="A78" s="1">
        <v>8019</v>
      </c>
      <c r="B78" s="2">
        <v>11</v>
      </c>
      <c r="C78" s="2">
        <v>8</v>
      </c>
      <c r="D78" s="2">
        <v>26.88</v>
      </c>
      <c r="E78" s="2" t="s">
        <v>78</v>
      </c>
    </row>
    <row r="79" spans="1:5" x14ac:dyDescent="0.25">
      <c r="A79" s="1">
        <v>8020</v>
      </c>
      <c r="B79" s="2">
        <v>12</v>
      </c>
      <c r="C79" s="2">
        <v>8</v>
      </c>
      <c r="D79" s="2">
        <v>13.51</v>
      </c>
      <c r="E79" s="2" t="s">
        <v>79</v>
      </c>
    </row>
    <row r="80" spans="1:5" x14ac:dyDescent="0.25">
      <c r="A80" s="1">
        <v>8021</v>
      </c>
      <c r="B80" s="2">
        <v>13</v>
      </c>
      <c r="C80" s="2">
        <v>8</v>
      </c>
      <c r="D80" s="2">
        <v>3.42</v>
      </c>
      <c r="E80" s="2" t="s">
        <v>80</v>
      </c>
    </row>
    <row r="81" spans="1:5" x14ac:dyDescent="0.25">
      <c r="A81" s="1">
        <v>8022</v>
      </c>
      <c r="B81" s="2">
        <v>14</v>
      </c>
      <c r="C81" s="2">
        <v>8</v>
      </c>
      <c r="D81" s="2">
        <v>2.25</v>
      </c>
      <c r="E81" s="2" t="s">
        <v>81</v>
      </c>
    </row>
    <row r="82" spans="1:5" x14ac:dyDescent="0.25">
      <c r="A82" s="1">
        <v>8023</v>
      </c>
      <c r="B82" s="2">
        <v>15</v>
      </c>
      <c r="C82" s="2">
        <v>8</v>
      </c>
      <c r="D82" s="2">
        <v>9.7000000000000003E-2</v>
      </c>
      <c r="E82" s="2" t="s">
        <v>82</v>
      </c>
    </row>
    <row r="83" spans="1:5" x14ac:dyDescent="0.25">
      <c r="A83" s="1">
        <v>8024</v>
      </c>
      <c r="B83" s="2">
        <v>16</v>
      </c>
      <c r="C83" s="2">
        <v>8</v>
      </c>
      <c r="D83" s="2">
        <v>7.1999999999999995E-2</v>
      </c>
      <c r="E83" s="2" t="s">
        <v>83</v>
      </c>
    </row>
    <row r="84" spans="1:5" x14ac:dyDescent="0.25">
      <c r="A84" s="1">
        <v>8025</v>
      </c>
      <c r="B84" s="2">
        <v>17</v>
      </c>
      <c r="C84" s="2">
        <v>8</v>
      </c>
      <c r="D84" s="2">
        <v>6.3E-21</v>
      </c>
      <c r="E84" s="2" t="s">
        <v>84</v>
      </c>
    </row>
    <row r="85" spans="1:5" x14ac:dyDescent="0.25">
      <c r="A85" s="1">
        <v>8026</v>
      </c>
      <c r="B85" s="2">
        <v>18</v>
      </c>
      <c r="C85" s="2">
        <v>8</v>
      </c>
      <c r="D85" s="2">
        <v>4.4999999999999998E-12</v>
      </c>
      <c r="E85" s="2" t="s">
        <v>85</v>
      </c>
    </row>
    <row r="86" spans="1:5" x14ac:dyDescent="0.25">
      <c r="A86" s="1">
        <v>9014</v>
      </c>
      <c r="B86" s="2">
        <v>5</v>
      </c>
      <c r="C86" s="2">
        <v>9</v>
      </c>
      <c r="D86" s="2">
        <v>5.0076923076923E-22</v>
      </c>
      <c r="E86" s="2" t="s">
        <v>86</v>
      </c>
    </row>
    <row r="87" spans="1:5" x14ac:dyDescent="0.25">
      <c r="A87" s="1">
        <v>9015</v>
      </c>
      <c r="B87" s="2">
        <v>6</v>
      </c>
      <c r="C87" s="2">
        <v>9</v>
      </c>
      <c r="D87" s="2">
        <v>6.9045454545454504E-22</v>
      </c>
      <c r="E87" s="2" t="s">
        <v>87</v>
      </c>
    </row>
    <row r="88" spans="1:5" x14ac:dyDescent="0.25">
      <c r="A88" s="1">
        <v>9016</v>
      </c>
      <c r="B88" s="2">
        <v>7</v>
      </c>
      <c r="C88" s="2">
        <v>9</v>
      </c>
      <c r="D88" s="2">
        <v>1.13925E-20</v>
      </c>
      <c r="E88" s="2" t="s">
        <v>88</v>
      </c>
    </row>
    <row r="89" spans="1:5" x14ac:dyDescent="0.25">
      <c r="A89" s="1">
        <v>9017</v>
      </c>
      <c r="B89" s="2">
        <v>8</v>
      </c>
      <c r="C89" s="2">
        <v>9</v>
      </c>
      <c r="D89" s="2">
        <v>64.489999999999995</v>
      </c>
      <c r="E89" s="2" t="s">
        <v>89</v>
      </c>
    </row>
    <row r="90" spans="1:5" x14ac:dyDescent="0.25">
      <c r="A90" s="1">
        <v>9018</v>
      </c>
      <c r="B90" s="2">
        <v>9</v>
      </c>
      <c r="C90" s="2">
        <v>9</v>
      </c>
      <c r="D90" s="2">
        <v>6586.2</v>
      </c>
      <c r="E90" s="2" t="s">
        <v>90</v>
      </c>
    </row>
    <row r="91" spans="1:5" x14ac:dyDescent="0.25">
      <c r="A91" s="1">
        <v>9019</v>
      </c>
      <c r="B91" s="2">
        <v>10</v>
      </c>
      <c r="C91" s="2">
        <v>9</v>
      </c>
      <c r="D91" s="2" t="s">
        <v>3</v>
      </c>
      <c r="E91" s="2" t="s">
        <v>91</v>
      </c>
    </row>
    <row r="92" spans="1:5" x14ac:dyDescent="0.25">
      <c r="A92" s="1">
        <v>9020</v>
      </c>
      <c r="B92" s="2">
        <v>11</v>
      </c>
      <c r="C92" s="2">
        <v>9</v>
      </c>
      <c r="D92" s="2">
        <v>11.07</v>
      </c>
      <c r="E92" s="2" t="s">
        <v>92</v>
      </c>
    </row>
    <row r="93" spans="1:5" x14ac:dyDescent="0.25">
      <c r="A93" s="1">
        <v>9021</v>
      </c>
      <c r="B93" s="2">
        <v>12</v>
      </c>
      <c r="C93" s="2">
        <v>9</v>
      </c>
      <c r="D93" s="2">
        <v>4.1580000000000004</v>
      </c>
      <c r="E93" s="2" t="s">
        <v>93</v>
      </c>
    </row>
    <row r="94" spans="1:5" x14ac:dyDescent="0.25">
      <c r="A94" s="1">
        <v>9022</v>
      </c>
      <c r="B94" s="2">
        <v>13</v>
      </c>
      <c r="C94" s="2">
        <v>9</v>
      </c>
      <c r="D94" s="2">
        <v>4.2300000000000004</v>
      </c>
      <c r="E94" s="2" t="s">
        <v>94</v>
      </c>
    </row>
    <row r="95" spans="1:5" x14ac:dyDescent="0.25">
      <c r="A95" s="1">
        <v>9023</v>
      </c>
      <c r="B95" s="2">
        <v>14</v>
      </c>
      <c r="C95" s="2">
        <v>9</v>
      </c>
      <c r="D95" s="2">
        <v>2.23</v>
      </c>
      <c r="E95" s="2" t="s">
        <v>95</v>
      </c>
    </row>
    <row r="96" spans="1:5" x14ac:dyDescent="0.25">
      <c r="A96" s="1">
        <v>9024</v>
      </c>
      <c r="B96" s="2">
        <v>15</v>
      </c>
      <c r="C96" s="2">
        <v>9</v>
      </c>
      <c r="D96" s="2">
        <v>0.38200000000000001</v>
      </c>
      <c r="E96" s="2" t="s">
        <v>96</v>
      </c>
    </row>
    <row r="97" spans="1:5" x14ac:dyDescent="0.25">
      <c r="A97" s="1">
        <v>9025</v>
      </c>
      <c r="B97" s="2">
        <v>16</v>
      </c>
      <c r="C97" s="2">
        <v>9</v>
      </c>
      <c r="D97" s="2">
        <v>0.08</v>
      </c>
      <c r="E97" s="2" t="s">
        <v>97</v>
      </c>
    </row>
    <row r="98" spans="1:5" x14ac:dyDescent="0.25">
      <c r="A98" s="1">
        <v>9026</v>
      </c>
      <c r="B98" s="2">
        <v>17</v>
      </c>
      <c r="C98" s="2">
        <v>9</v>
      </c>
      <c r="D98" s="2">
        <v>8.1999999999999903E-3</v>
      </c>
      <c r="E98" s="2" t="s">
        <v>98</v>
      </c>
    </row>
    <row r="99" spans="1:5" x14ac:dyDescent="0.25">
      <c r="A99" s="1">
        <v>9027</v>
      </c>
      <c r="B99" s="2">
        <v>18</v>
      </c>
      <c r="C99" s="2">
        <v>9</v>
      </c>
      <c r="D99" s="2">
        <v>5.0000000000000001E-3</v>
      </c>
      <c r="E99" s="2" t="s">
        <v>99</v>
      </c>
    </row>
    <row r="100" spans="1:5" x14ac:dyDescent="0.25">
      <c r="A100" s="1">
        <v>9028</v>
      </c>
      <c r="B100" s="2">
        <v>19</v>
      </c>
      <c r="C100" s="2">
        <v>9</v>
      </c>
      <c r="D100" s="2">
        <v>4.5999999999999998E-20</v>
      </c>
      <c r="E100" s="2" t="s">
        <v>100</v>
      </c>
    </row>
    <row r="101" spans="1:5" x14ac:dyDescent="0.25">
      <c r="A101" s="1">
        <v>9029</v>
      </c>
      <c r="B101" s="2">
        <v>20</v>
      </c>
      <c r="C101" s="2">
        <v>9</v>
      </c>
      <c r="D101" s="2">
        <v>2.6700000000000001E-3</v>
      </c>
      <c r="E101" s="2" t="s">
        <v>101</v>
      </c>
    </row>
    <row r="102" spans="1:5" x14ac:dyDescent="0.25">
      <c r="A102" s="1">
        <v>10016</v>
      </c>
      <c r="B102" s="2">
        <v>6</v>
      </c>
      <c r="C102" s="2">
        <v>10</v>
      </c>
      <c r="D102" s="2">
        <v>8.9999999999999994E-21</v>
      </c>
      <c r="E102" s="2" t="s">
        <v>102</v>
      </c>
    </row>
    <row r="103" spans="1:5" x14ac:dyDescent="0.25">
      <c r="A103" s="1">
        <v>10017</v>
      </c>
      <c r="B103" s="2">
        <v>7</v>
      </c>
      <c r="C103" s="2">
        <v>10</v>
      </c>
      <c r="D103" s="2">
        <v>0.10920000000000001</v>
      </c>
      <c r="E103" s="2" t="s">
        <v>103</v>
      </c>
    </row>
    <row r="104" spans="1:5" x14ac:dyDescent="0.25">
      <c r="A104" s="1">
        <v>10018</v>
      </c>
      <c r="B104" s="2">
        <v>8</v>
      </c>
      <c r="C104" s="2">
        <v>10</v>
      </c>
      <c r="D104" s="2">
        <v>1.667</v>
      </c>
      <c r="E104" s="2" t="s">
        <v>104</v>
      </c>
    </row>
    <row r="105" spans="1:5" x14ac:dyDescent="0.25">
      <c r="A105" s="1">
        <v>10019</v>
      </c>
      <c r="B105" s="2">
        <v>9</v>
      </c>
      <c r="C105" s="2">
        <v>10</v>
      </c>
      <c r="D105" s="2">
        <v>17.22</v>
      </c>
      <c r="E105" s="2" t="s">
        <v>105</v>
      </c>
    </row>
    <row r="106" spans="1:5" x14ac:dyDescent="0.25">
      <c r="A106" s="1">
        <v>10020</v>
      </c>
      <c r="B106" s="2">
        <v>10</v>
      </c>
      <c r="C106" s="2">
        <v>10</v>
      </c>
      <c r="D106" s="2" t="s">
        <v>3</v>
      </c>
      <c r="E106" s="2" t="s">
        <v>106</v>
      </c>
    </row>
    <row r="107" spans="1:5" x14ac:dyDescent="0.25">
      <c r="A107" s="1">
        <v>10021</v>
      </c>
      <c r="B107" s="2">
        <v>11</v>
      </c>
      <c r="C107" s="2">
        <v>10</v>
      </c>
      <c r="D107" s="2" t="s">
        <v>3</v>
      </c>
      <c r="E107" s="2" t="s">
        <v>107</v>
      </c>
    </row>
    <row r="108" spans="1:5" x14ac:dyDescent="0.25">
      <c r="A108" s="1">
        <v>10022</v>
      </c>
      <c r="B108" s="2">
        <v>12</v>
      </c>
      <c r="C108" s="2">
        <v>10</v>
      </c>
      <c r="D108" s="2" t="s">
        <v>3</v>
      </c>
      <c r="E108" s="2" t="s">
        <v>108</v>
      </c>
    </row>
    <row r="109" spans="1:5" x14ac:dyDescent="0.25">
      <c r="A109" s="1">
        <v>10023</v>
      </c>
      <c r="B109" s="2">
        <v>13</v>
      </c>
      <c r="C109" s="2">
        <v>10</v>
      </c>
      <c r="D109" s="2">
        <v>37.24</v>
      </c>
      <c r="E109" s="2" t="s">
        <v>109</v>
      </c>
    </row>
    <row r="110" spans="1:5" x14ac:dyDescent="0.25">
      <c r="A110" s="1">
        <v>10024</v>
      </c>
      <c r="B110" s="2">
        <v>14</v>
      </c>
      <c r="C110" s="2">
        <v>10</v>
      </c>
      <c r="D110" s="2">
        <v>202.79999999999899</v>
      </c>
      <c r="E110" s="2" t="s">
        <v>110</v>
      </c>
    </row>
    <row r="111" spans="1:5" x14ac:dyDescent="0.25">
      <c r="A111" s="1">
        <v>10025</v>
      </c>
      <c r="B111" s="2">
        <v>15</v>
      </c>
      <c r="C111" s="2">
        <v>10</v>
      </c>
      <c r="D111" s="2">
        <v>0.60199999999999998</v>
      </c>
      <c r="E111" s="2" t="s">
        <v>111</v>
      </c>
    </row>
    <row r="112" spans="1:5" x14ac:dyDescent="0.25">
      <c r="A112" s="1">
        <v>10026</v>
      </c>
      <c r="B112" s="2">
        <v>16</v>
      </c>
      <c r="C112" s="2">
        <v>10</v>
      </c>
      <c r="D112" s="2">
        <v>0.19700000000000001</v>
      </c>
      <c r="E112" s="2" t="s">
        <v>112</v>
      </c>
    </row>
    <row r="113" spans="1:5" x14ac:dyDescent="0.25">
      <c r="A113" s="1">
        <v>10027</v>
      </c>
      <c r="B113" s="2">
        <v>17</v>
      </c>
      <c r="C113" s="2">
        <v>10</v>
      </c>
      <c r="D113" s="2">
        <v>3.15E-2</v>
      </c>
      <c r="E113" s="2" t="s">
        <v>113</v>
      </c>
    </row>
    <row r="114" spans="1:5" x14ac:dyDescent="0.25">
      <c r="A114" s="1">
        <v>10028</v>
      </c>
      <c r="B114" s="2">
        <v>18</v>
      </c>
      <c r="C114" s="2">
        <v>10</v>
      </c>
      <c r="D114" s="2">
        <v>0.02</v>
      </c>
      <c r="E114" s="2" t="s">
        <v>114</v>
      </c>
    </row>
    <row r="115" spans="1:5" x14ac:dyDescent="0.25">
      <c r="A115" s="1">
        <v>10029</v>
      </c>
      <c r="B115" s="2">
        <v>19</v>
      </c>
      <c r="C115" s="2">
        <v>10</v>
      </c>
      <c r="D115" s="2">
        <v>1.4999999999999999E-2</v>
      </c>
      <c r="E115" s="2" t="s">
        <v>115</v>
      </c>
    </row>
    <row r="116" spans="1:5" x14ac:dyDescent="0.25">
      <c r="A116" s="1">
        <v>10030</v>
      </c>
      <c r="B116" s="2">
        <v>20</v>
      </c>
      <c r="C116" s="2">
        <v>10</v>
      </c>
      <c r="D116" s="2">
        <v>7.3899999999999999E-3</v>
      </c>
      <c r="E116" s="2" t="s">
        <v>116</v>
      </c>
    </row>
    <row r="117" spans="1:5" x14ac:dyDescent="0.25">
      <c r="A117" s="1">
        <v>10031</v>
      </c>
      <c r="B117" s="2">
        <v>21</v>
      </c>
      <c r="C117" s="2">
        <v>10</v>
      </c>
      <c r="D117" s="2">
        <v>3.3999999999999998E-3</v>
      </c>
      <c r="E117" s="2" t="s">
        <v>117</v>
      </c>
    </row>
    <row r="118" spans="1:5" x14ac:dyDescent="0.25">
      <c r="A118" s="1">
        <v>10032</v>
      </c>
      <c r="B118" s="2">
        <v>22</v>
      </c>
      <c r="C118" s="2">
        <v>10</v>
      </c>
      <c r="D118" s="2">
        <v>3.5000000000000001E-3</v>
      </c>
      <c r="E118" s="2" t="s">
        <v>118</v>
      </c>
    </row>
    <row r="119" spans="1:5" x14ac:dyDescent="0.25">
      <c r="A119" s="1">
        <v>10034</v>
      </c>
      <c r="B119" s="2">
        <v>24</v>
      </c>
      <c r="C119" s="2">
        <v>10</v>
      </c>
      <c r="D119" s="2">
        <v>5.9999999999999995E-8</v>
      </c>
      <c r="E119" s="2" t="s">
        <v>119</v>
      </c>
    </row>
    <row r="120" spans="1:5" x14ac:dyDescent="0.25">
      <c r="A120" s="1">
        <v>11018</v>
      </c>
      <c r="B120" s="2">
        <v>7</v>
      </c>
      <c r="C120" s="2">
        <v>11</v>
      </c>
      <c r="D120" s="2">
        <v>1.3000000000000001E-21</v>
      </c>
      <c r="E120" s="2" t="s">
        <v>120</v>
      </c>
    </row>
    <row r="121" spans="1:5" x14ac:dyDescent="0.25">
      <c r="A121" s="1">
        <v>11020</v>
      </c>
      <c r="B121" s="2">
        <v>9</v>
      </c>
      <c r="C121" s="2">
        <v>11</v>
      </c>
      <c r="D121" s="2">
        <v>0.44789999999999902</v>
      </c>
      <c r="E121" s="2" t="s">
        <v>121</v>
      </c>
    </row>
    <row r="122" spans="1:5" x14ac:dyDescent="0.25">
      <c r="A122" s="1">
        <v>11021</v>
      </c>
      <c r="B122" s="2">
        <v>10</v>
      </c>
      <c r="C122" s="2">
        <v>11</v>
      </c>
      <c r="D122" s="2">
        <v>22.49</v>
      </c>
      <c r="E122" s="2" t="s">
        <v>122</v>
      </c>
    </row>
    <row r="123" spans="1:5" x14ac:dyDescent="0.25">
      <c r="A123" s="1">
        <v>11022</v>
      </c>
      <c r="B123" s="2">
        <v>11</v>
      </c>
      <c r="C123" s="2">
        <v>11</v>
      </c>
      <c r="D123" s="2">
        <v>82106563.679999903</v>
      </c>
      <c r="E123" s="2" t="s">
        <v>123</v>
      </c>
    </row>
    <row r="124" spans="1:5" x14ac:dyDescent="0.25">
      <c r="A124" s="1">
        <v>11023</v>
      </c>
      <c r="B124" s="2">
        <v>12</v>
      </c>
      <c r="C124" s="2">
        <v>11</v>
      </c>
      <c r="D124" s="2" t="s">
        <v>3</v>
      </c>
      <c r="E124" s="2" t="s">
        <v>124</v>
      </c>
    </row>
    <row r="125" spans="1:5" x14ac:dyDescent="0.25">
      <c r="A125" s="1">
        <v>11024</v>
      </c>
      <c r="B125" s="2">
        <v>13</v>
      </c>
      <c r="C125" s="2">
        <v>11</v>
      </c>
      <c r="D125" s="2">
        <v>53989.2</v>
      </c>
      <c r="E125" s="2" t="s">
        <v>125</v>
      </c>
    </row>
    <row r="126" spans="1:5" x14ac:dyDescent="0.25">
      <c r="A126" s="1">
        <v>11025</v>
      </c>
      <c r="B126" s="2">
        <v>14</v>
      </c>
      <c r="C126" s="2">
        <v>11</v>
      </c>
      <c r="D126" s="2">
        <v>59.1</v>
      </c>
      <c r="E126" s="2" t="s">
        <v>126</v>
      </c>
    </row>
    <row r="127" spans="1:5" x14ac:dyDescent="0.25">
      <c r="A127" s="1">
        <v>11026</v>
      </c>
      <c r="B127" s="2">
        <v>15</v>
      </c>
      <c r="C127" s="2">
        <v>11</v>
      </c>
      <c r="D127" s="2">
        <v>1.07128</v>
      </c>
      <c r="E127" s="2" t="s">
        <v>127</v>
      </c>
    </row>
    <row r="128" spans="1:5" x14ac:dyDescent="0.25">
      <c r="A128" s="1">
        <v>11027</v>
      </c>
      <c r="B128" s="2">
        <v>16</v>
      </c>
      <c r="C128" s="2">
        <v>11</v>
      </c>
      <c r="D128" s="2">
        <v>0.30099999999999999</v>
      </c>
      <c r="E128" s="2" t="s">
        <v>128</v>
      </c>
    </row>
    <row r="129" spans="1:5" x14ac:dyDescent="0.25">
      <c r="A129" s="1">
        <v>11028</v>
      </c>
      <c r="B129" s="2">
        <v>17</v>
      </c>
      <c r="C129" s="2">
        <v>11</v>
      </c>
      <c r="D129" s="2">
        <v>3.0499999999999999E-2</v>
      </c>
      <c r="E129" s="2" t="s">
        <v>129</v>
      </c>
    </row>
    <row r="130" spans="1:5" x14ac:dyDescent="0.25">
      <c r="A130" s="1">
        <v>11029</v>
      </c>
      <c r="B130" s="2">
        <v>18</v>
      </c>
      <c r="C130" s="2">
        <v>11</v>
      </c>
      <c r="D130" s="2">
        <v>4.41E-2</v>
      </c>
      <c r="E130" s="2" t="s">
        <v>130</v>
      </c>
    </row>
    <row r="131" spans="1:5" x14ac:dyDescent="0.25">
      <c r="A131" s="1">
        <v>11030</v>
      </c>
      <c r="B131" s="2">
        <v>19</v>
      </c>
      <c r="C131" s="2">
        <v>11</v>
      </c>
      <c r="D131" s="2">
        <v>4.8000000000000001E-2</v>
      </c>
      <c r="E131" s="2" t="s">
        <v>131</v>
      </c>
    </row>
    <row r="132" spans="1:5" x14ac:dyDescent="0.25">
      <c r="A132" s="1">
        <v>11031</v>
      </c>
      <c r="B132" s="2">
        <v>20</v>
      </c>
      <c r="C132" s="2">
        <v>11</v>
      </c>
      <c r="D132" s="2">
        <v>1.7399999999999999E-2</v>
      </c>
      <c r="E132" s="2" t="s">
        <v>132</v>
      </c>
    </row>
    <row r="133" spans="1:5" x14ac:dyDescent="0.25">
      <c r="A133" s="1">
        <v>11032</v>
      </c>
      <c r="B133" s="2">
        <v>21</v>
      </c>
      <c r="C133" s="2">
        <v>11</v>
      </c>
      <c r="D133" s="2">
        <v>1.32E-2</v>
      </c>
      <c r="E133" s="2" t="s">
        <v>133</v>
      </c>
    </row>
    <row r="134" spans="1:5" x14ac:dyDescent="0.25">
      <c r="A134" s="1">
        <v>11033</v>
      </c>
      <c r="B134" s="2">
        <v>22</v>
      </c>
      <c r="C134" s="2">
        <v>11</v>
      </c>
      <c r="D134" s="2">
        <v>8.0999999999999996E-3</v>
      </c>
      <c r="E134" s="2" t="s">
        <v>134</v>
      </c>
    </row>
    <row r="135" spans="1:5" x14ac:dyDescent="0.25">
      <c r="A135" s="1">
        <v>11034</v>
      </c>
      <c r="B135" s="2">
        <v>23</v>
      </c>
      <c r="C135" s="2">
        <v>11</v>
      </c>
      <c r="D135" s="2">
        <v>5.0000000000000001E-3</v>
      </c>
      <c r="E135" s="2" t="s">
        <v>135</v>
      </c>
    </row>
    <row r="136" spans="1:5" x14ac:dyDescent="0.25">
      <c r="A136" s="1">
        <v>11035</v>
      </c>
      <c r="B136" s="2">
        <v>24</v>
      </c>
      <c r="C136" s="2">
        <v>11</v>
      </c>
      <c r="D136" s="2">
        <v>1.8E-3</v>
      </c>
      <c r="E136" s="2" t="s">
        <v>136</v>
      </c>
    </row>
    <row r="137" spans="1:5" x14ac:dyDescent="0.25">
      <c r="A137" s="1">
        <v>12019</v>
      </c>
      <c r="B137" s="2">
        <v>7</v>
      </c>
      <c r="C137" s="2">
        <v>12</v>
      </c>
      <c r="D137" s="2">
        <v>3.9999999999999999E-12</v>
      </c>
      <c r="E137" s="2" t="s">
        <v>137</v>
      </c>
    </row>
    <row r="138" spans="1:5" x14ac:dyDescent="0.25">
      <c r="A138" s="1">
        <v>12020</v>
      </c>
      <c r="B138" s="2">
        <v>8</v>
      </c>
      <c r="C138" s="2">
        <v>12</v>
      </c>
      <c r="D138" s="2">
        <v>9.0800000000000006E-2</v>
      </c>
      <c r="E138" s="2" t="s">
        <v>138</v>
      </c>
    </row>
    <row r="139" spans="1:5" x14ac:dyDescent="0.25">
      <c r="A139" s="1">
        <v>12021</v>
      </c>
      <c r="B139" s="2">
        <v>9</v>
      </c>
      <c r="C139" s="2">
        <v>12</v>
      </c>
      <c r="D139" s="2">
        <v>0.122</v>
      </c>
      <c r="E139" s="2" t="s">
        <v>139</v>
      </c>
    </row>
    <row r="140" spans="1:5" x14ac:dyDescent="0.25">
      <c r="A140" s="1">
        <v>12022</v>
      </c>
      <c r="B140" s="2">
        <v>10</v>
      </c>
      <c r="C140" s="2">
        <v>12</v>
      </c>
      <c r="D140" s="2">
        <v>3.8755000000000002</v>
      </c>
      <c r="E140" s="2" t="s">
        <v>140</v>
      </c>
    </row>
    <row r="141" spans="1:5" x14ac:dyDescent="0.25">
      <c r="A141" s="1">
        <v>12023</v>
      </c>
      <c r="B141" s="2">
        <v>11</v>
      </c>
      <c r="C141" s="2">
        <v>12</v>
      </c>
      <c r="D141" s="2">
        <v>11.317</v>
      </c>
      <c r="E141" s="2" t="s">
        <v>141</v>
      </c>
    </row>
    <row r="142" spans="1:5" x14ac:dyDescent="0.25">
      <c r="A142" s="1">
        <v>12024</v>
      </c>
      <c r="B142" s="2">
        <v>12</v>
      </c>
      <c r="C142" s="2">
        <v>12</v>
      </c>
      <c r="D142" s="2" t="s">
        <v>3</v>
      </c>
      <c r="E142" s="2" t="s">
        <v>142</v>
      </c>
    </row>
    <row r="143" spans="1:5" x14ac:dyDescent="0.25">
      <c r="A143" s="1">
        <v>12025</v>
      </c>
      <c r="B143" s="2">
        <v>13</v>
      </c>
      <c r="C143" s="2">
        <v>12</v>
      </c>
      <c r="D143" s="2" t="s">
        <v>3</v>
      </c>
      <c r="E143" s="2" t="s">
        <v>143</v>
      </c>
    </row>
    <row r="144" spans="1:5" x14ac:dyDescent="0.25">
      <c r="A144" s="1">
        <v>12026</v>
      </c>
      <c r="B144" s="2">
        <v>14</v>
      </c>
      <c r="C144" s="2">
        <v>12</v>
      </c>
      <c r="D144" s="2" t="s">
        <v>3</v>
      </c>
      <c r="E144" s="2" t="s">
        <v>144</v>
      </c>
    </row>
    <row r="145" spans="1:5" x14ac:dyDescent="0.25">
      <c r="A145" s="1">
        <v>12027</v>
      </c>
      <c r="B145" s="2">
        <v>15</v>
      </c>
      <c r="C145" s="2">
        <v>12</v>
      </c>
      <c r="D145" s="2">
        <v>567.48</v>
      </c>
      <c r="E145" s="2" t="s">
        <v>145</v>
      </c>
    </row>
    <row r="146" spans="1:5" x14ac:dyDescent="0.25">
      <c r="A146" s="1">
        <v>12028</v>
      </c>
      <c r="B146" s="2">
        <v>16</v>
      </c>
      <c r="C146" s="2">
        <v>12</v>
      </c>
      <c r="D146" s="2">
        <v>75294</v>
      </c>
      <c r="E146" s="2" t="s">
        <v>146</v>
      </c>
    </row>
    <row r="147" spans="1:5" x14ac:dyDescent="0.25">
      <c r="A147" s="1">
        <v>12029</v>
      </c>
      <c r="B147" s="2">
        <v>17</v>
      </c>
      <c r="C147" s="2">
        <v>12</v>
      </c>
      <c r="D147" s="2">
        <v>1.3</v>
      </c>
      <c r="E147" s="2" t="s">
        <v>147</v>
      </c>
    </row>
    <row r="148" spans="1:5" x14ac:dyDescent="0.25">
      <c r="A148" s="1">
        <v>12030</v>
      </c>
      <c r="B148" s="2">
        <v>18</v>
      </c>
      <c r="C148" s="2">
        <v>12</v>
      </c>
      <c r="D148" s="2">
        <v>0.317</v>
      </c>
      <c r="E148" s="2" t="s">
        <v>148</v>
      </c>
    </row>
    <row r="149" spans="1:5" x14ac:dyDescent="0.25">
      <c r="A149" s="1">
        <v>12031</v>
      </c>
      <c r="B149" s="2">
        <v>19</v>
      </c>
      <c r="C149" s="2">
        <v>12</v>
      </c>
      <c r="D149" s="2">
        <v>0.23599999999999999</v>
      </c>
      <c r="E149" s="2" t="s">
        <v>149</v>
      </c>
    </row>
    <row r="150" spans="1:5" x14ac:dyDescent="0.25">
      <c r="A150" s="1">
        <v>12032</v>
      </c>
      <c r="B150" s="2">
        <v>20</v>
      </c>
      <c r="C150" s="2">
        <v>12</v>
      </c>
      <c r="D150" s="2">
        <v>8.5999999999999993E-2</v>
      </c>
      <c r="E150" s="2" t="s">
        <v>150</v>
      </c>
    </row>
    <row r="151" spans="1:5" x14ac:dyDescent="0.25">
      <c r="A151" s="1">
        <v>12033</v>
      </c>
      <c r="B151" s="2">
        <v>21</v>
      </c>
      <c r="C151" s="2">
        <v>12</v>
      </c>
      <c r="D151" s="2">
        <v>8.9399999999999993E-2</v>
      </c>
      <c r="E151" s="2" t="s">
        <v>151</v>
      </c>
    </row>
    <row r="152" spans="1:5" x14ac:dyDescent="0.25">
      <c r="A152" s="1">
        <v>12034</v>
      </c>
      <c r="B152" s="2">
        <v>22</v>
      </c>
      <c r="C152" s="2">
        <v>12</v>
      </c>
      <c r="D152" s="2">
        <v>0.02</v>
      </c>
      <c r="E152" s="2" t="s">
        <v>152</v>
      </c>
    </row>
    <row r="153" spans="1:5" x14ac:dyDescent="0.25">
      <c r="A153" s="1">
        <v>12035</v>
      </c>
      <c r="B153" s="2">
        <v>23</v>
      </c>
      <c r="C153" s="2">
        <v>12</v>
      </c>
      <c r="D153" s="2">
        <v>1.1299999999999999E-2</v>
      </c>
      <c r="E153" s="2" t="s">
        <v>153</v>
      </c>
    </row>
    <row r="154" spans="1:5" x14ac:dyDescent="0.25">
      <c r="A154" s="1">
        <v>12036</v>
      </c>
      <c r="B154" s="2">
        <v>24</v>
      </c>
      <c r="C154" s="2">
        <v>12</v>
      </c>
      <c r="D154" s="2">
        <v>5.7999999999999996E-3</v>
      </c>
      <c r="E154" s="2" t="s">
        <v>154</v>
      </c>
    </row>
    <row r="155" spans="1:5" x14ac:dyDescent="0.25">
      <c r="A155" s="1">
        <v>12037</v>
      </c>
      <c r="B155" s="2">
        <v>25</v>
      </c>
      <c r="C155" s="2">
        <v>12</v>
      </c>
      <c r="D155" s="2">
        <v>8.0000000000000002E-3</v>
      </c>
      <c r="E155" s="2" t="s">
        <v>155</v>
      </c>
    </row>
    <row r="156" spans="1:5" x14ac:dyDescent="0.25">
      <c r="A156" s="1">
        <v>13022</v>
      </c>
      <c r="B156" s="2">
        <v>9</v>
      </c>
      <c r="C156" s="2">
        <v>13</v>
      </c>
      <c r="D156" s="2">
        <v>9.11E-2</v>
      </c>
      <c r="E156" s="2" t="s">
        <v>156</v>
      </c>
    </row>
    <row r="157" spans="1:5" x14ac:dyDescent="0.25">
      <c r="A157" s="1">
        <v>13023</v>
      </c>
      <c r="B157" s="2">
        <v>10</v>
      </c>
      <c r="C157" s="2">
        <v>13</v>
      </c>
      <c r="D157" s="2">
        <v>0.47</v>
      </c>
      <c r="E157" s="2" t="s">
        <v>157</v>
      </c>
    </row>
    <row r="158" spans="1:5" x14ac:dyDescent="0.25">
      <c r="A158" s="1">
        <v>13024</v>
      </c>
      <c r="B158" s="2">
        <v>11</v>
      </c>
      <c r="C158" s="2">
        <v>13</v>
      </c>
      <c r="D158" s="2">
        <v>2.0529999999999999</v>
      </c>
      <c r="E158" s="2" t="s">
        <v>158</v>
      </c>
    </row>
    <row r="159" spans="1:5" x14ac:dyDescent="0.25">
      <c r="A159" s="1">
        <v>13025</v>
      </c>
      <c r="B159" s="2">
        <v>12</v>
      </c>
      <c r="C159" s="2">
        <v>13</v>
      </c>
      <c r="D159" s="2">
        <v>7.1829999999999998</v>
      </c>
      <c r="E159" s="2" t="s">
        <v>159</v>
      </c>
    </row>
    <row r="160" spans="1:5" x14ac:dyDescent="0.25">
      <c r="A160" s="1">
        <v>13026</v>
      </c>
      <c r="B160" s="2">
        <v>13</v>
      </c>
      <c r="C160" s="2">
        <v>13</v>
      </c>
      <c r="D160" s="2">
        <v>22626799200000</v>
      </c>
      <c r="E160" s="2" t="s">
        <v>160</v>
      </c>
    </row>
    <row r="161" spans="1:5" x14ac:dyDescent="0.25">
      <c r="A161" s="1">
        <v>13027</v>
      </c>
      <c r="B161" s="2">
        <v>14</v>
      </c>
      <c r="C161" s="2">
        <v>13</v>
      </c>
      <c r="D161" s="2" t="s">
        <v>3</v>
      </c>
      <c r="E161" s="2" t="s">
        <v>161</v>
      </c>
    </row>
    <row r="162" spans="1:5" x14ac:dyDescent="0.25">
      <c r="A162" s="1">
        <v>13028</v>
      </c>
      <c r="B162" s="2">
        <v>15</v>
      </c>
      <c r="C162" s="2">
        <v>13</v>
      </c>
      <c r="D162" s="2">
        <v>134.69999999999999</v>
      </c>
      <c r="E162" s="2" t="s">
        <v>162</v>
      </c>
    </row>
    <row r="163" spans="1:5" x14ac:dyDescent="0.25">
      <c r="A163" s="1">
        <v>13029</v>
      </c>
      <c r="B163" s="2">
        <v>16</v>
      </c>
      <c r="C163" s="2">
        <v>13</v>
      </c>
      <c r="D163" s="2">
        <v>393.599999999999</v>
      </c>
      <c r="E163" s="2" t="s">
        <v>163</v>
      </c>
    </row>
    <row r="164" spans="1:5" x14ac:dyDescent="0.25">
      <c r="A164" s="1">
        <v>13030</v>
      </c>
      <c r="B164" s="2">
        <v>17</v>
      </c>
      <c r="C164" s="2">
        <v>13</v>
      </c>
      <c r="D164" s="2">
        <v>3.62</v>
      </c>
      <c r="E164" s="2" t="s">
        <v>164</v>
      </c>
    </row>
    <row r="165" spans="1:5" x14ac:dyDescent="0.25">
      <c r="A165" s="1">
        <v>13031</v>
      </c>
      <c r="B165" s="2">
        <v>18</v>
      </c>
      <c r="C165" s="2">
        <v>13</v>
      </c>
      <c r="D165" s="2">
        <v>0.64400000000000002</v>
      </c>
      <c r="E165" s="2" t="s">
        <v>165</v>
      </c>
    </row>
    <row r="166" spans="1:5" x14ac:dyDescent="0.25">
      <c r="A166" s="1">
        <v>13032</v>
      </c>
      <c r="B166" s="2">
        <v>19</v>
      </c>
      <c r="C166" s="2">
        <v>13</v>
      </c>
      <c r="D166" s="2">
        <v>3.1899999999999998E-2</v>
      </c>
      <c r="E166" s="2" t="s">
        <v>166</v>
      </c>
    </row>
    <row r="167" spans="1:5" x14ac:dyDescent="0.25">
      <c r="A167" s="1">
        <v>13033</v>
      </c>
      <c r="B167" s="2">
        <v>20</v>
      </c>
      <c r="C167" s="2">
        <v>13</v>
      </c>
      <c r="D167" s="2">
        <v>4.1700000000000001E-2</v>
      </c>
      <c r="E167" s="2" t="s">
        <v>167</v>
      </c>
    </row>
    <row r="168" spans="1:5" x14ac:dyDescent="0.25">
      <c r="A168" s="1">
        <v>13034</v>
      </c>
      <c r="B168" s="2">
        <v>21</v>
      </c>
      <c r="C168" s="2">
        <v>13</v>
      </c>
      <c r="D168" s="2">
        <v>5.6299999999999899E-2</v>
      </c>
      <c r="E168" s="2" t="s">
        <v>168</v>
      </c>
    </row>
    <row r="169" spans="1:5" x14ac:dyDescent="0.25">
      <c r="A169" s="1">
        <v>13035</v>
      </c>
      <c r="B169" s="2">
        <v>22</v>
      </c>
      <c r="C169" s="2">
        <v>13</v>
      </c>
      <c r="D169" s="2">
        <v>3.7600000000000001E-2</v>
      </c>
      <c r="E169" s="2" t="s">
        <v>169</v>
      </c>
    </row>
    <row r="170" spans="1:5" x14ac:dyDescent="0.25">
      <c r="A170" s="1">
        <v>13036</v>
      </c>
      <c r="B170" s="2">
        <v>23</v>
      </c>
      <c r="C170" s="2">
        <v>13</v>
      </c>
      <c r="D170" s="2">
        <v>9.4E-2</v>
      </c>
      <c r="E170" s="2" t="s">
        <v>170</v>
      </c>
    </row>
    <row r="171" spans="1:5" x14ac:dyDescent="0.25">
      <c r="A171" s="1">
        <v>13037</v>
      </c>
      <c r="B171" s="2">
        <v>24</v>
      </c>
      <c r="C171" s="2">
        <v>13</v>
      </c>
      <c r="D171" s="2">
        <v>1.0699999999999999E-2</v>
      </c>
      <c r="E171" s="2" t="s">
        <v>171</v>
      </c>
    </row>
    <row r="172" spans="1:5" x14ac:dyDescent="0.25">
      <c r="A172" s="1">
        <v>13038</v>
      </c>
      <c r="B172" s="2">
        <v>25</v>
      </c>
      <c r="C172" s="2">
        <v>13</v>
      </c>
      <c r="D172" s="2">
        <v>7.6E-3</v>
      </c>
      <c r="E172" s="2" t="s">
        <v>172</v>
      </c>
    </row>
    <row r="173" spans="1:5" x14ac:dyDescent="0.25">
      <c r="A173" s="1">
        <v>13039</v>
      </c>
      <c r="B173" s="2">
        <v>26</v>
      </c>
      <c r="C173" s="2">
        <v>13</v>
      </c>
      <c r="D173" s="2">
        <v>7.6E-3</v>
      </c>
      <c r="E173" s="2" t="s">
        <v>173</v>
      </c>
    </row>
    <row r="174" spans="1:5" x14ac:dyDescent="0.25">
      <c r="A174" s="1">
        <v>14022</v>
      </c>
      <c r="B174" s="2">
        <v>8</v>
      </c>
      <c r="C174" s="2">
        <v>14</v>
      </c>
      <c r="D174" s="2">
        <v>2.9000000000000001E-2</v>
      </c>
      <c r="E174" s="2" t="s">
        <v>174</v>
      </c>
    </row>
    <row r="175" spans="1:5" x14ac:dyDescent="0.25">
      <c r="A175" s="1">
        <v>14023</v>
      </c>
      <c r="B175" s="2">
        <v>9</v>
      </c>
      <c r="C175" s="2">
        <v>14</v>
      </c>
      <c r="D175" s="2">
        <v>4.2299999999999997E-2</v>
      </c>
      <c r="E175" s="2" t="s">
        <v>175</v>
      </c>
    </row>
    <row r="176" spans="1:5" x14ac:dyDescent="0.25">
      <c r="A176" s="1">
        <v>14024</v>
      </c>
      <c r="B176" s="2">
        <v>10</v>
      </c>
      <c r="C176" s="2">
        <v>14</v>
      </c>
      <c r="D176" s="2">
        <v>0.14050000000000001</v>
      </c>
      <c r="E176" s="2" t="s">
        <v>176</v>
      </c>
    </row>
    <row r="177" spans="1:5" x14ac:dyDescent="0.25">
      <c r="A177" s="1">
        <v>14025</v>
      </c>
      <c r="B177" s="2">
        <v>11</v>
      </c>
      <c r="C177" s="2">
        <v>14</v>
      </c>
      <c r="D177" s="2">
        <v>0.22</v>
      </c>
      <c r="E177" s="2" t="s">
        <v>177</v>
      </c>
    </row>
    <row r="178" spans="1:5" x14ac:dyDescent="0.25">
      <c r="A178" s="1">
        <v>14026</v>
      </c>
      <c r="B178" s="2">
        <v>12</v>
      </c>
      <c r="C178" s="2">
        <v>14</v>
      </c>
      <c r="D178" s="2">
        <v>2.2452999999999999</v>
      </c>
      <c r="E178" s="2" t="s">
        <v>178</v>
      </c>
    </row>
    <row r="179" spans="1:5" x14ac:dyDescent="0.25">
      <c r="A179" s="1">
        <v>14027</v>
      </c>
      <c r="B179" s="2">
        <v>13</v>
      </c>
      <c r="C179" s="2">
        <v>14</v>
      </c>
      <c r="D179" s="2">
        <v>4.1500000000000004</v>
      </c>
      <c r="E179" s="2" t="s">
        <v>179</v>
      </c>
    </row>
    <row r="180" spans="1:5" x14ac:dyDescent="0.25">
      <c r="A180" s="1">
        <v>14028</v>
      </c>
      <c r="B180" s="2">
        <v>14</v>
      </c>
      <c r="C180" s="2">
        <v>14</v>
      </c>
      <c r="D180" s="2" t="s">
        <v>3</v>
      </c>
      <c r="E180" s="2" t="s">
        <v>180</v>
      </c>
    </row>
    <row r="181" spans="1:5" x14ac:dyDescent="0.25">
      <c r="A181" s="1">
        <v>14029</v>
      </c>
      <c r="B181" s="2">
        <v>15</v>
      </c>
      <c r="C181" s="2">
        <v>14</v>
      </c>
      <c r="D181" s="2" t="s">
        <v>3</v>
      </c>
      <c r="E181" s="2" t="s">
        <v>181</v>
      </c>
    </row>
    <row r="182" spans="1:5" x14ac:dyDescent="0.25">
      <c r="A182" s="1">
        <v>14030</v>
      </c>
      <c r="B182" s="2">
        <v>16</v>
      </c>
      <c r="C182" s="2">
        <v>14</v>
      </c>
      <c r="D182" s="2" t="s">
        <v>3</v>
      </c>
      <c r="E182" s="2" t="s">
        <v>182</v>
      </c>
    </row>
    <row r="183" spans="1:5" x14ac:dyDescent="0.25">
      <c r="A183" s="1">
        <v>14031</v>
      </c>
      <c r="B183" s="2">
        <v>17</v>
      </c>
      <c r="C183" s="2">
        <v>14</v>
      </c>
      <c r="D183" s="2">
        <v>9441.6</v>
      </c>
      <c r="E183" s="2" t="s">
        <v>183</v>
      </c>
    </row>
    <row r="184" spans="1:5" x14ac:dyDescent="0.25">
      <c r="A184" s="1">
        <v>14032</v>
      </c>
      <c r="B184" s="2">
        <v>18</v>
      </c>
      <c r="C184" s="2">
        <v>14</v>
      </c>
      <c r="D184" s="2">
        <v>4828312800</v>
      </c>
      <c r="E184" s="2" t="s">
        <v>184</v>
      </c>
    </row>
    <row r="185" spans="1:5" x14ac:dyDescent="0.25">
      <c r="A185" s="1">
        <v>14033</v>
      </c>
      <c r="B185" s="2">
        <v>19</v>
      </c>
      <c r="C185" s="2">
        <v>14</v>
      </c>
      <c r="D185" s="2">
        <v>6.11</v>
      </c>
      <c r="E185" s="2" t="s">
        <v>185</v>
      </c>
    </row>
    <row r="186" spans="1:5" x14ac:dyDescent="0.25">
      <c r="A186" s="1">
        <v>14034</v>
      </c>
      <c r="B186" s="2">
        <v>20</v>
      </c>
      <c r="C186" s="2">
        <v>14</v>
      </c>
      <c r="D186" s="2">
        <v>2.77</v>
      </c>
      <c r="E186" s="2" t="s">
        <v>186</v>
      </c>
    </row>
    <row r="187" spans="1:5" x14ac:dyDescent="0.25">
      <c r="A187" s="1">
        <v>14035</v>
      </c>
      <c r="B187" s="2">
        <v>21</v>
      </c>
      <c r="C187" s="2">
        <v>14</v>
      </c>
      <c r="D187" s="2">
        <v>0.78</v>
      </c>
      <c r="E187" s="2" t="s">
        <v>187</v>
      </c>
    </row>
    <row r="188" spans="1:5" x14ac:dyDescent="0.25">
      <c r="A188" s="1">
        <v>14036</v>
      </c>
      <c r="B188" s="2">
        <v>22</v>
      </c>
      <c r="C188" s="2">
        <v>14</v>
      </c>
      <c r="D188" s="2">
        <v>0.45</v>
      </c>
      <c r="E188" s="2" t="s">
        <v>188</v>
      </c>
    </row>
    <row r="189" spans="1:5" x14ac:dyDescent="0.25">
      <c r="A189" s="1">
        <v>14037</v>
      </c>
      <c r="B189" s="2">
        <v>23</v>
      </c>
      <c r="C189" s="2">
        <v>14</v>
      </c>
      <c r="D189" s="2">
        <v>0.09</v>
      </c>
      <c r="E189" s="2" t="s">
        <v>189</v>
      </c>
    </row>
    <row r="190" spans="1:5" x14ac:dyDescent="0.25">
      <c r="A190" s="1">
        <v>14038</v>
      </c>
      <c r="B190" s="2">
        <v>24</v>
      </c>
      <c r="C190" s="2">
        <v>14</v>
      </c>
      <c r="D190" s="2">
        <v>9.5000000000000001E-2</v>
      </c>
      <c r="E190" s="2" t="s">
        <v>190</v>
      </c>
    </row>
    <row r="191" spans="1:5" x14ac:dyDescent="0.25">
      <c r="A191" s="1">
        <v>14039</v>
      </c>
      <c r="B191" s="2">
        <v>25</v>
      </c>
      <c r="C191" s="2">
        <v>14</v>
      </c>
      <c r="D191" s="2">
        <v>4.7500000000000001E-2</v>
      </c>
      <c r="E191" s="2" t="s">
        <v>191</v>
      </c>
    </row>
    <row r="192" spans="1:5" x14ac:dyDescent="0.25">
      <c r="A192" s="1">
        <v>14040</v>
      </c>
      <c r="B192" s="2">
        <v>26</v>
      </c>
      <c r="C192" s="2">
        <v>14</v>
      </c>
      <c r="D192" s="2">
        <v>3.3000000000000002E-2</v>
      </c>
      <c r="E192" s="2" t="s">
        <v>192</v>
      </c>
    </row>
    <row r="193" spans="1:5" x14ac:dyDescent="0.25">
      <c r="A193" s="1">
        <v>14041</v>
      </c>
      <c r="B193" s="2">
        <v>27</v>
      </c>
      <c r="C193" s="2">
        <v>14</v>
      </c>
      <c r="D193" s="2">
        <v>0.02</v>
      </c>
      <c r="E193" s="2" t="s">
        <v>193</v>
      </c>
    </row>
    <row r="194" spans="1:5" x14ac:dyDescent="0.25">
      <c r="A194" s="1">
        <v>14042</v>
      </c>
      <c r="B194" s="2">
        <v>28</v>
      </c>
      <c r="C194" s="2">
        <v>14</v>
      </c>
      <c r="D194" s="2">
        <v>1.2500000000000001E-2</v>
      </c>
      <c r="E194" s="2" t="s">
        <v>194</v>
      </c>
    </row>
    <row r="195" spans="1:5" x14ac:dyDescent="0.25">
      <c r="A195" s="1">
        <v>15026</v>
      </c>
      <c r="B195" s="2">
        <v>11</v>
      </c>
      <c r="C195" s="2">
        <v>15</v>
      </c>
      <c r="D195" s="2">
        <v>4.3700000000000003E-2</v>
      </c>
      <c r="E195" s="2" t="s">
        <v>195</v>
      </c>
    </row>
    <row r="196" spans="1:5" x14ac:dyDescent="0.25">
      <c r="A196" s="1">
        <v>15027</v>
      </c>
      <c r="B196" s="2">
        <v>12</v>
      </c>
      <c r="C196" s="2">
        <v>15</v>
      </c>
      <c r="D196" s="2">
        <v>0.26</v>
      </c>
      <c r="E196" s="2" t="s">
        <v>196</v>
      </c>
    </row>
    <row r="197" spans="1:5" x14ac:dyDescent="0.25">
      <c r="A197" s="1">
        <v>15028</v>
      </c>
      <c r="B197" s="2">
        <v>13</v>
      </c>
      <c r="C197" s="2">
        <v>15</v>
      </c>
      <c r="D197" s="2">
        <v>0.27029999999999998</v>
      </c>
      <c r="E197" s="2" t="s">
        <v>197</v>
      </c>
    </row>
    <row r="198" spans="1:5" x14ac:dyDescent="0.25">
      <c r="A198" s="1">
        <v>15029</v>
      </c>
      <c r="B198" s="2">
        <v>14</v>
      </c>
      <c r="C198" s="2">
        <v>15</v>
      </c>
      <c r="D198" s="2">
        <v>4.1420000000000003</v>
      </c>
      <c r="E198" s="2" t="s">
        <v>198</v>
      </c>
    </row>
    <row r="199" spans="1:5" x14ac:dyDescent="0.25">
      <c r="A199" s="1">
        <v>15030</v>
      </c>
      <c r="B199" s="2">
        <v>15</v>
      </c>
      <c r="C199" s="2">
        <v>15</v>
      </c>
      <c r="D199" s="2">
        <v>149.88</v>
      </c>
      <c r="E199" s="2" t="s">
        <v>199</v>
      </c>
    </row>
    <row r="200" spans="1:5" x14ac:dyDescent="0.25">
      <c r="A200" s="1">
        <v>15031</v>
      </c>
      <c r="B200" s="2">
        <v>16</v>
      </c>
      <c r="C200" s="2">
        <v>15</v>
      </c>
      <c r="D200" s="2" t="s">
        <v>3</v>
      </c>
      <c r="E200" s="2" t="s">
        <v>200</v>
      </c>
    </row>
    <row r="201" spans="1:5" x14ac:dyDescent="0.25">
      <c r="A201" s="1">
        <v>15032</v>
      </c>
      <c r="B201" s="2">
        <v>17</v>
      </c>
      <c r="C201" s="2">
        <v>15</v>
      </c>
      <c r="D201" s="2">
        <v>1232755.2</v>
      </c>
      <c r="E201" s="2" t="s">
        <v>201</v>
      </c>
    </row>
    <row r="202" spans="1:5" x14ac:dyDescent="0.25">
      <c r="A202" s="1">
        <v>15033</v>
      </c>
      <c r="B202" s="2">
        <v>18</v>
      </c>
      <c r="C202" s="2">
        <v>15</v>
      </c>
      <c r="D202" s="2">
        <v>2190240</v>
      </c>
      <c r="E202" s="2" t="s">
        <v>202</v>
      </c>
    </row>
    <row r="203" spans="1:5" x14ac:dyDescent="0.25">
      <c r="A203" s="1">
        <v>15034</v>
      </c>
      <c r="B203" s="2">
        <v>19</v>
      </c>
      <c r="C203" s="2">
        <v>15</v>
      </c>
      <c r="D203" s="2">
        <v>12.43</v>
      </c>
      <c r="E203" s="2" t="s">
        <v>203</v>
      </c>
    </row>
    <row r="204" spans="1:5" x14ac:dyDescent="0.25">
      <c r="A204" s="1">
        <v>15035</v>
      </c>
      <c r="B204" s="2">
        <v>20</v>
      </c>
      <c r="C204" s="2">
        <v>15</v>
      </c>
      <c r="D204" s="2">
        <v>47.3</v>
      </c>
      <c r="E204" s="2" t="s">
        <v>204</v>
      </c>
    </row>
    <row r="205" spans="1:5" x14ac:dyDescent="0.25">
      <c r="A205" s="1">
        <v>15036</v>
      </c>
      <c r="B205" s="2">
        <v>21</v>
      </c>
      <c r="C205" s="2">
        <v>15</v>
      </c>
      <c r="D205" s="2">
        <v>5.6</v>
      </c>
      <c r="E205" s="2" t="s">
        <v>205</v>
      </c>
    </row>
    <row r="206" spans="1:5" x14ac:dyDescent="0.25">
      <c r="A206" s="1">
        <v>15037</v>
      </c>
      <c r="B206" s="2">
        <v>22</v>
      </c>
      <c r="C206" s="2">
        <v>15</v>
      </c>
      <c r="D206" s="2">
        <v>2.31</v>
      </c>
      <c r="E206" s="2" t="s">
        <v>206</v>
      </c>
    </row>
    <row r="207" spans="1:5" x14ac:dyDescent="0.25">
      <c r="A207" s="1">
        <v>15038</v>
      </c>
      <c r="B207" s="2">
        <v>23</v>
      </c>
      <c r="C207" s="2">
        <v>15</v>
      </c>
      <c r="D207" s="2">
        <v>0.64</v>
      </c>
      <c r="E207" s="2" t="s">
        <v>207</v>
      </c>
    </row>
    <row r="208" spans="1:5" x14ac:dyDescent="0.25">
      <c r="A208" s="1">
        <v>15039</v>
      </c>
      <c r="B208" s="2">
        <v>24</v>
      </c>
      <c r="C208" s="2">
        <v>15</v>
      </c>
      <c r="D208" s="2">
        <v>0.28000000000000003</v>
      </c>
      <c r="E208" s="2" t="s">
        <v>208</v>
      </c>
    </row>
    <row r="209" spans="1:5" x14ac:dyDescent="0.25">
      <c r="A209" s="1">
        <v>15040</v>
      </c>
      <c r="B209" s="2">
        <v>25</v>
      </c>
      <c r="C209" s="2">
        <v>15</v>
      </c>
      <c r="D209" s="2">
        <v>0.15</v>
      </c>
      <c r="E209" s="2" t="s">
        <v>209</v>
      </c>
    </row>
    <row r="210" spans="1:5" x14ac:dyDescent="0.25">
      <c r="A210" s="1">
        <v>15041</v>
      </c>
      <c r="B210" s="2">
        <v>26</v>
      </c>
      <c r="C210" s="2">
        <v>15</v>
      </c>
      <c r="D210" s="2">
        <v>0.10100000000000001</v>
      </c>
      <c r="E210" s="2" t="s">
        <v>210</v>
      </c>
    </row>
    <row r="211" spans="1:5" x14ac:dyDescent="0.25">
      <c r="A211" s="1">
        <v>15042</v>
      </c>
      <c r="B211" s="2">
        <v>27</v>
      </c>
      <c r="C211" s="2">
        <v>15</v>
      </c>
      <c r="D211" s="2">
        <v>4.8500000000000001E-2</v>
      </c>
      <c r="E211" s="2" t="s">
        <v>211</v>
      </c>
    </row>
    <row r="212" spans="1:5" x14ac:dyDescent="0.25">
      <c r="A212" s="1">
        <v>15043</v>
      </c>
      <c r="B212" s="2">
        <v>28</v>
      </c>
      <c r="C212" s="2">
        <v>15</v>
      </c>
      <c r="D212" s="2">
        <v>3.6499999999999998E-2</v>
      </c>
      <c r="E212" s="2" t="s">
        <v>212</v>
      </c>
    </row>
    <row r="213" spans="1:5" x14ac:dyDescent="0.25">
      <c r="A213" s="1">
        <v>15044</v>
      </c>
      <c r="B213" s="2">
        <v>29</v>
      </c>
      <c r="C213" s="2">
        <v>15</v>
      </c>
      <c r="D213" s="2">
        <v>1.8499999999999999E-2</v>
      </c>
      <c r="E213" s="2" t="s">
        <v>213</v>
      </c>
    </row>
    <row r="214" spans="1:5" x14ac:dyDescent="0.25">
      <c r="A214" s="1">
        <v>15045</v>
      </c>
      <c r="B214" s="2">
        <v>30</v>
      </c>
      <c r="C214" s="2">
        <v>15</v>
      </c>
      <c r="D214" s="2">
        <v>1.9999999999999999E-7</v>
      </c>
      <c r="E214" s="2" t="s">
        <v>214</v>
      </c>
    </row>
    <row r="215" spans="1:5" x14ac:dyDescent="0.25">
      <c r="A215" s="1">
        <v>15046</v>
      </c>
      <c r="B215" s="2">
        <v>31</v>
      </c>
      <c r="C215" s="2">
        <v>15</v>
      </c>
      <c r="D215" s="2">
        <v>1.9999999999999999E-7</v>
      </c>
      <c r="E215" s="2" t="s">
        <v>215</v>
      </c>
    </row>
    <row r="216" spans="1:5" x14ac:dyDescent="0.25">
      <c r="A216" s="1">
        <v>16027</v>
      </c>
      <c r="B216" s="2">
        <v>11</v>
      </c>
      <c r="C216" s="2">
        <v>16</v>
      </c>
      <c r="D216" s="2">
        <v>1.55E-2</v>
      </c>
      <c r="E216" s="2" t="s">
        <v>216</v>
      </c>
    </row>
    <row r="217" spans="1:5" x14ac:dyDescent="0.25">
      <c r="A217" s="1">
        <v>16028</v>
      </c>
      <c r="B217" s="2">
        <v>12</v>
      </c>
      <c r="C217" s="2">
        <v>16</v>
      </c>
      <c r="D217" s="2">
        <v>0.125</v>
      </c>
      <c r="E217" s="2" t="s">
        <v>217</v>
      </c>
    </row>
    <row r="218" spans="1:5" x14ac:dyDescent="0.25">
      <c r="A218" s="1">
        <v>16029</v>
      </c>
      <c r="B218" s="2">
        <v>13</v>
      </c>
      <c r="C218" s="2">
        <v>16</v>
      </c>
      <c r="D218" s="2">
        <v>0.188</v>
      </c>
      <c r="E218" s="2" t="s">
        <v>218</v>
      </c>
    </row>
    <row r="219" spans="1:5" x14ac:dyDescent="0.25">
      <c r="A219" s="1">
        <v>16030</v>
      </c>
      <c r="B219" s="2">
        <v>14</v>
      </c>
      <c r="C219" s="2">
        <v>16</v>
      </c>
      <c r="D219" s="2">
        <v>1.1779999999999999</v>
      </c>
      <c r="E219" s="2" t="s">
        <v>219</v>
      </c>
    </row>
    <row r="220" spans="1:5" x14ac:dyDescent="0.25">
      <c r="A220" s="1">
        <v>16031</v>
      </c>
      <c r="B220" s="2">
        <v>15</v>
      </c>
      <c r="C220" s="2">
        <v>16</v>
      </c>
      <c r="D220" s="2">
        <v>2.5533999999999999</v>
      </c>
      <c r="E220" s="2" t="s">
        <v>220</v>
      </c>
    </row>
    <row r="221" spans="1:5" x14ac:dyDescent="0.25">
      <c r="A221" s="1">
        <v>16032</v>
      </c>
      <c r="B221" s="2">
        <v>16</v>
      </c>
      <c r="C221" s="2">
        <v>16</v>
      </c>
      <c r="D221" s="2" t="s">
        <v>3</v>
      </c>
      <c r="E221" s="2" t="s">
        <v>221</v>
      </c>
    </row>
    <row r="222" spans="1:5" x14ac:dyDescent="0.25">
      <c r="A222" s="1">
        <v>16033</v>
      </c>
      <c r="B222" s="2">
        <v>17</v>
      </c>
      <c r="C222" s="2">
        <v>16</v>
      </c>
      <c r="D222" s="2" t="s">
        <v>3</v>
      </c>
      <c r="E222" s="2" t="s">
        <v>222</v>
      </c>
    </row>
    <row r="223" spans="1:5" x14ac:dyDescent="0.25">
      <c r="A223" s="1">
        <v>16034</v>
      </c>
      <c r="B223" s="2">
        <v>18</v>
      </c>
      <c r="C223" s="2">
        <v>16</v>
      </c>
      <c r="D223" s="2" t="s">
        <v>3</v>
      </c>
      <c r="E223" s="2" t="s">
        <v>223</v>
      </c>
    </row>
    <row r="224" spans="1:5" x14ac:dyDescent="0.25">
      <c r="A224" s="1">
        <v>16035</v>
      </c>
      <c r="B224" s="2">
        <v>19</v>
      </c>
      <c r="C224" s="2">
        <v>16</v>
      </c>
      <c r="D224" s="2">
        <v>7548768</v>
      </c>
      <c r="E224" s="2" t="s">
        <v>224</v>
      </c>
    </row>
    <row r="225" spans="1:5" x14ac:dyDescent="0.25">
      <c r="A225" s="1">
        <v>16036</v>
      </c>
      <c r="B225" s="2">
        <v>20</v>
      </c>
      <c r="C225" s="2">
        <v>16</v>
      </c>
      <c r="D225" s="2" t="s">
        <v>3</v>
      </c>
      <c r="E225" s="2" t="s">
        <v>225</v>
      </c>
    </row>
    <row r="226" spans="1:5" x14ac:dyDescent="0.25">
      <c r="A226" s="1">
        <v>16037</v>
      </c>
      <c r="B226" s="2">
        <v>21</v>
      </c>
      <c r="C226" s="2">
        <v>16</v>
      </c>
      <c r="D226" s="2">
        <v>303</v>
      </c>
      <c r="E226" s="2" t="s">
        <v>226</v>
      </c>
    </row>
    <row r="227" spans="1:5" x14ac:dyDescent="0.25">
      <c r="A227" s="1">
        <v>16038</v>
      </c>
      <c r="B227" s="2">
        <v>22</v>
      </c>
      <c r="C227" s="2">
        <v>16</v>
      </c>
      <c r="D227" s="2">
        <v>10218</v>
      </c>
      <c r="E227" s="2" t="s">
        <v>227</v>
      </c>
    </row>
    <row r="228" spans="1:5" x14ac:dyDescent="0.25">
      <c r="A228" s="1">
        <v>16039</v>
      </c>
      <c r="B228" s="2">
        <v>23</v>
      </c>
      <c r="C228" s="2">
        <v>16</v>
      </c>
      <c r="D228" s="2">
        <v>11.5</v>
      </c>
      <c r="E228" s="2" t="s">
        <v>228</v>
      </c>
    </row>
    <row r="229" spans="1:5" x14ac:dyDescent="0.25">
      <c r="A229" s="1">
        <v>16040</v>
      </c>
      <c r="B229" s="2">
        <v>24</v>
      </c>
      <c r="C229" s="2">
        <v>16</v>
      </c>
      <c r="D229" s="2">
        <v>8.8000000000000007</v>
      </c>
      <c r="E229" s="2" t="s">
        <v>229</v>
      </c>
    </row>
    <row r="230" spans="1:5" x14ac:dyDescent="0.25">
      <c r="A230" s="1">
        <v>16041</v>
      </c>
      <c r="B230" s="2">
        <v>25</v>
      </c>
      <c r="C230" s="2">
        <v>16</v>
      </c>
      <c r="D230" s="2">
        <v>2.6</v>
      </c>
      <c r="E230" s="2" t="s">
        <v>230</v>
      </c>
    </row>
    <row r="231" spans="1:5" x14ac:dyDescent="0.25">
      <c r="A231" s="1">
        <v>16042</v>
      </c>
      <c r="B231" s="2">
        <v>26</v>
      </c>
      <c r="C231" s="2">
        <v>16</v>
      </c>
      <c r="D231" s="2">
        <v>1.03</v>
      </c>
      <c r="E231" s="2" t="s">
        <v>231</v>
      </c>
    </row>
    <row r="232" spans="1:5" x14ac:dyDescent="0.25">
      <c r="A232" s="1">
        <v>16043</v>
      </c>
      <c r="B232" s="2">
        <v>27</v>
      </c>
      <c r="C232" s="2">
        <v>16</v>
      </c>
      <c r="D232" s="2">
        <v>0.27300000000000002</v>
      </c>
      <c r="E232" s="2" t="s">
        <v>232</v>
      </c>
    </row>
    <row r="233" spans="1:5" x14ac:dyDescent="0.25">
      <c r="A233" s="1">
        <v>16044</v>
      </c>
      <c r="B233" s="2">
        <v>28</v>
      </c>
      <c r="C233" s="2">
        <v>16</v>
      </c>
      <c r="D233" s="2">
        <v>0.1</v>
      </c>
      <c r="E233" s="2" t="s">
        <v>233</v>
      </c>
    </row>
    <row r="234" spans="1:5" x14ac:dyDescent="0.25">
      <c r="A234" s="1">
        <v>16045</v>
      </c>
      <c r="B234" s="2">
        <v>29</v>
      </c>
      <c r="C234" s="2">
        <v>16</v>
      </c>
      <c r="D234" s="2">
        <v>6.8000000000000005E-2</v>
      </c>
      <c r="E234" s="2" t="s">
        <v>234</v>
      </c>
    </row>
    <row r="235" spans="1:5" x14ac:dyDescent="0.25">
      <c r="A235" s="1">
        <v>16046</v>
      </c>
      <c r="B235" s="2">
        <v>30</v>
      </c>
      <c r="C235" s="2">
        <v>16</v>
      </c>
      <c r="D235" s="2">
        <v>0.05</v>
      </c>
      <c r="E235" s="2" t="s">
        <v>235</v>
      </c>
    </row>
    <row r="236" spans="1:5" x14ac:dyDescent="0.25">
      <c r="A236" s="1">
        <v>16048</v>
      </c>
      <c r="B236" s="2">
        <v>32</v>
      </c>
      <c r="C236" s="2">
        <v>16</v>
      </c>
      <c r="D236" s="2">
        <v>1.9999999999999999E-7</v>
      </c>
      <c r="E236" s="2" t="s">
        <v>236</v>
      </c>
    </row>
    <row r="237" spans="1:5" x14ac:dyDescent="0.25">
      <c r="A237" s="1">
        <v>17031</v>
      </c>
      <c r="B237" s="2">
        <v>14</v>
      </c>
      <c r="C237" s="2">
        <v>17</v>
      </c>
      <c r="D237" s="2">
        <v>0.19</v>
      </c>
      <c r="E237" s="2" t="s">
        <v>237</v>
      </c>
    </row>
    <row r="238" spans="1:5" x14ac:dyDescent="0.25">
      <c r="A238" s="1">
        <v>17032</v>
      </c>
      <c r="B238" s="2">
        <v>15</v>
      </c>
      <c r="C238" s="2">
        <v>17</v>
      </c>
      <c r="D238" s="2">
        <v>0.29799999999999999</v>
      </c>
      <c r="E238" s="2" t="s">
        <v>238</v>
      </c>
    </row>
    <row r="239" spans="1:5" x14ac:dyDescent="0.25">
      <c r="A239" s="1">
        <v>17033</v>
      </c>
      <c r="B239" s="2">
        <v>16</v>
      </c>
      <c r="C239" s="2">
        <v>17</v>
      </c>
      <c r="D239" s="2">
        <v>2.5110000000000001</v>
      </c>
      <c r="E239" s="2" t="s">
        <v>239</v>
      </c>
    </row>
    <row r="240" spans="1:5" x14ac:dyDescent="0.25">
      <c r="A240" s="1">
        <v>17034</v>
      </c>
      <c r="B240" s="2">
        <v>17</v>
      </c>
      <c r="C240" s="2">
        <v>17</v>
      </c>
      <c r="D240" s="2">
        <v>1.5264</v>
      </c>
      <c r="E240" s="2" t="s">
        <v>240</v>
      </c>
    </row>
    <row r="241" spans="1:5" x14ac:dyDescent="0.25">
      <c r="A241" s="1">
        <v>17035</v>
      </c>
      <c r="B241" s="2">
        <v>18</v>
      </c>
      <c r="C241" s="2">
        <v>17</v>
      </c>
      <c r="D241" s="2" t="s">
        <v>3</v>
      </c>
      <c r="E241" s="2" t="s">
        <v>241</v>
      </c>
    </row>
    <row r="242" spans="1:5" x14ac:dyDescent="0.25">
      <c r="A242" s="1">
        <v>17036</v>
      </c>
      <c r="B242" s="2">
        <v>19</v>
      </c>
      <c r="C242" s="2">
        <v>17</v>
      </c>
      <c r="D242" s="2">
        <v>9498837600000</v>
      </c>
      <c r="E242" s="2" t="s">
        <v>242</v>
      </c>
    </row>
    <row r="243" spans="1:5" x14ac:dyDescent="0.25">
      <c r="A243" s="1">
        <v>17037</v>
      </c>
      <c r="B243" s="2">
        <v>20</v>
      </c>
      <c r="C243" s="2">
        <v>17</v>
      </c>
      <c r="D243" s="2" t="s">
        <v>3</v>
      </c>
      <c r="E243" s="2" t="s">
        <v>243</v>
      </c>
    </row>
    <row r="244" spans="1:5" x14ac:dyDescent="0.25">
      <c r="A244" s="1">
        <v>17038</v>
      </c>
      <c r="B244" s="2">
        <v>21</v>
      </c>
      <c r="C244" s="2">
        <v>17</v>
      </c>
      <c r="D244" s="2">
        <v>2234.4</v>
      </c>
      <c r="E244" s="2" t="s">
        <v>244</v>
      </c>
    </row>
    <row r="245" spans="1:5" x14ac:dyDescent="0.25">
      <c r="A245" s="1">
        <v>17039</v>
      </c>
      <c r="B245" s="2">
        <v>22</v>
      </c>
      <c r="C245" s="2">
        <v>17</v>
      </c>
      <c r="D245" s="2">
        <v>3372</v>
      </c>
      <c r="E245" s="2" t="s">
        <v>245</v>
      </c>
    </row>
    <row r="246" spans="1:5" x14ac:dyDescent="0.25">
      <c r="A246" s="1">
        <v>17040</v>
      </c>
      <c r="B246" s="2">
        <v>23</v>
      </c>
      <c r="C246" s="2">
        <v>17</v>
      </c>
      <c r="D246" s="2">
        <v>81</v>
      </c>
      <c r="E246" s="2" t="s">
        <v>246</v>
      </c>
    </row>
    <row r="247" spans="1:5" x14ac:dyDescent="0.25">
      <c r="A247" s="1">
        <v>17041</v>
      </c>
      <c r="B247" s="2">
        <v>24</v>
      </c>
      <c r="C247" s="2">
        <v>17</v>
      </c>
      <c r="D247" s="2">
        <v>38.4</v>
      </c>
      <c r="E247" s="2" t="s">
        <v>247</v>
      </c>
    </row>
    <row r="248" spans="1:5" x14ac:dyDescent="0.25">
      <c r="A248" s="1">
        <v>17042</v>
      </c>
      <c r="B248" s="2">
        <v>25</v>
      </c>
      <c r="C248" s="2">
        <v>17</v>
      </c>
      <c r="D248" s="2">
        <v>6.8</v>
      </c>
      <c r="E248" s="2" t="s">
        <v>248</v>
      </c>
    </row>
    <row r="249" spans="1:5" x14ac:dyDescent="0.25">
      <c r="A249" s="1">
        <v>17043</v>
      </c>
      <c r="B249" s="2">
        <v>26</v>
      </c>
      <c r="C249" s="2">
        <v>17</v>
      </c>
      <c r="D249" s="2">
        <v>3.1749999999999998</v>
      </c>
      <c r="E249" s="2" t="s">
        <v>249</v>
      </c>
    </row>
    <row r="250" spans="1:5" x14ac:dyDescent="0.25">
      <c r="A250" s="1">
        <v>17044</v>
      </c>
      <c r="B250" s="2">
        <v>27</v>
      </c>
      <c r="C250" s="2">
        <v>17</v>
      </c>
      <c r="D250" s="2">
        <v>0.65</v>
      </c>
      <c r="E250" s="2" t="s">
        <v>250</v>
      </c>
    </row>
    <row r="251" spans="1:5" x14ac:dyDescent="0.25">
      <c r="A251" s="1">
        <v>17045</v>
      </c>
      <c r="B251" s="2">
        <v>28</v>
      </c>
      <c r="C251" s="2">
        <v>17</v>
      </c>
      <c r="D251" s="2">
        <v>0.4</v>
      </c>
      <c r="E251" s="2" t="s">
        <v>251</v>
      </c>
    </row>
    <row r="252" spans="1:5" x14ac:dyDescent="0.25">
      <c r="A252" s="1">
        <v>17046</v>
      </c>
      <c r="B252" s="2">
        <v>29</v>
      </c>
      <c r="C252" s="2">
        <v>17</v>
      </c>
      <c r="D252" s="2">
        <v>0.23200000000000001</v>
      </c>
      <c r="E252" s="2" t="s">
        <v>252</v>
      </c>
    </row>
    <row r="253" spans="1:5" x14ac:dyDescent="0.25">
      <c r="A253" s="1">
        <v>17047</v>
      </c>
      <c r="B253" s="2">
        <v>30</v>
      </c>
      <c r="C253" s="2">
        <v>17</v>
      </c>
      <c r="D253" s="2">
        <v>0.10100000000000001</v>
      </c>
      <c r="E253" s="2" t="s">
        <v>253</v>
      </c>
    </row>
    <row r="254" spans="1:5" x14ac:dyDescent="0.25">
      <c r="A254" s="1">
        <v>17048</v>
      </c>
      <c r="B254" s="2">
        <v>31</v>
      </c>
      <c r="C254" s="2">
        <v>17</v>
      </c>
      <c r="D254" s="2">
        <v>1.9999999999999999E-7</v>
      </c>
      <c r="E254" s="2" t="s">
        <v>254</v>
      </c>
    </row>
    <row r="255" spans="1:5" x14ac:dyDescent="0.25">
      <c r="A255" s="1">
        <v>17049</v>
      </c>
      <c r="B255" s="2">
        <v>32</v>
      </c>
      <c r="C255" s="2">
        <v>17</v>
      </c>
      <c r="D255" s="2">
        <v>1.6999999999999999E-7</v>
      </c>
      <c r="E255" s="2" t="s">
        <v>255</v>
      </c>
    </row>
    <row r="256" spans="1:5" x14ac:dyDescent="0.25">
      <c r="A256" s="1">
        <v>17050</v>
      </c>
      <c r="B256" s="2">
        <v>33</v>
      </c>
      <c r="C256" s="2">
        <v>17</v>
      </c>
      <c r="D256" s="2">
        <v>6.1999999999999999E-7</v>
      </c>
      <c r="E256" s="2" t="s">
        <v>256</v>
      </c>
    </row>
    <row r="257" spans="1:5" x14ac:dyDescent="0.25">
      <c r="A257" s="1">
        <v>17051</v>
      </c>
      <c r="B257" s="2">
        <v>34</v>
      </c>
      <c r="C257" s="2">
        <v>17</v>
      </c>
      <c r="D257" s="2">
        <v>1.9999999999999999E-7</v>
      </c>
      <c r="E257" s="2" t="s">
        <v>257</v>
      </c>
    </row>
    <row r="258" spans="1:5" x14ac:dyDescent="0.25">
      <c r="A258" s="1">
        <v>18031</v>
      </c>
      <c r="B258" s="2">
        <v>13</v>
      </c>
      <c r="C258" s="2">
        <v>18</v>
      </c>
      <c r="D258" s="2">
        <v>1.44E-2</v>
      </c>
      <c r="E258" s="2" t="s">
        <v>258</v>
      </c>
    </row>
    <row r="259" spans="1:5" x14ac:dyDescent="0.25">
      <c r="A259" s="1">
        <v>18032</v>
      </c>
      <c r="B259" s="2">
        <v>14</v>
      </c>
      <c r="C259" s="2">
        <v>18</v>
      </c>
      <c r="D259" s="2">
        <v>9.8000000000000004E-2</v>
      </c>
      <c r="E259" s="2" t="s">
        <v>259</v>
      </c>
    </row>
    <row r="260" spans="1:5" x14ac:dyDescent="0.25">
      <c r="A260" s="1">
        <v>18033</v>
      </c>
      <c r="B260" s="2">
        <v>15</v>
      </c>
      <c r="C260" s="2">
        <v>18</v>
      </c>
      <c r="D260" s="2">
        <v>0.17299999999999999</v>
      </c>
      <c r="E260" s="2" t="s">
        <v>260</v>
      </c>
    </row>
    <row r="261" spans="1:5" x14ac:dyDescent="0.25">
      <c r="A261" s="1">
        <v>18034</v>
      </c>
      <c r="B261" s="2">
        <v>16</v>
      </c>
      <c r="C261" s="2">
        <v>18</v>
      </c>
      <c r="D261" s="2">
        <v>0.84450000000000003</v>
      </c>
      <c r="E261" s="2" t="s">
        <v>261</v>
      </c>
    </row>
    <row r="262" spans="1:5" x14ac:dyDescent="0.25">
      <c r="A262" s="1">
        <v>18035</v>
      </c>
      <c r="B262" s="2">
        <v>17</v>
      </c>
      <c r="C262" s="2">
        <v>18</v>
      </c>
      <c r="D262" s="2">
        <v>1.7756000000000001</v>
      </c>
      <c r="E262" s="2" t="s">
        <v>262</v>
      </c>
    </row>
    <row r="263" spans="1:5" x14ac:dyDescent="0.25">
      <c r="A263" s="1">
        <v>18036</v>
      </c>
      <c r="B263" s="2">
        <v>18</v>
      </c>
      <c r="C263" s="2">
        <v>18</v>
      </c>
      <c r="D263" s="2" t="s">
        <v>3</v>
      </c>
      <c r="E263" s="2" t="s">
        <v>263</v>
      </c>
    </row>
    <row r="264" spans="1:5" x14ac:dyDescent="0.25">
      <c r="A264" s="1">
        <v>18037</v>
      </c>
      <c r="B264" s="2">
        <v>19</v>
      </c>
      <c r="C264" s="2">
        <v>18</v>
      </c>
      <c r="D264" s="2">
        <v>3027456</v>
      </c>
      <c r="E264" s="2" t="s">
        <v>264</v>
      </c>
    </row>
    <row r="265" spans="1:5" x14ac:dyDescent="0.25">
      <c r="A265" s="1">
        <v>18038</v>
      </c>
      <c r="B265" s="2">
        <v>20</v>
      </c>
      <c r="C265" s="2">
        <v>18</v>
      </c>
      <c r="D265" s="2" t="s">
        <v>3</v>
      </c>
      <c r="E265" s="2" t="s">
        <v>265</v>
      </c>
    </row>
    <row r="266" spans="1:5" x14ac:dyDescent="0.25">
      <c r="A266" s="1">
        <v>18039</v>
      </c>
      <c r="B266" s="2">
        <v>21</v>
      </c>
      <c r="C266" s="2">
        <v>18</v>
      </c>
      <c r="D266" s="2">
        <v>8488994400</v>
      </c>
      <c r="E266" s="2" t="s">
        <v>266</v>
      </c>
    </row>
    <row r="267" spans="1:5" x14ac:dyDescent="0.25">
      <c r="A267" s="1">
        <v>18040</v>
      </c>
      <c r="B267" s="2">
        <v>22</v>
      </c>
      <c r="C267" s="2">
        <v>18</v>
      </c>
      <c r="D267" s="2" t="s">
        <v>3</v>
      </c>
      <c r="E267" s="2" t="s">
        <v>267</v>
      </c>
    </row>
    <row r="268" spans="1:5" x14ac:dyDescent="0.25">
      <c r="A268" s="1">
        <v>18041</v>
      </c>
      <c r="B268" s="2">
        <v>23</v>
      </c>
      <c r="C268" s="2">
        <v>18</v>
      </c>
      <c r="D268" s="2">
        <v>6576.6</v>
      </c>
      <c r="E268" s="2" t="s">
        <v>268</v>
      </c>
    </row>
    <row r="269" spans="1:5" x14ac:dyDescent="0.25">
      <c r="A269" s="1">
        <v>18042</v>
      </c>
      <c r="B269" s="2">
        <v>24</v>
      </c>
      <c r="C269" s="2">
        <v>18</v>
      </c>
      <c r="D269" s="2">
        <v>1038245040</v>
      </c>
      <c r="E269" s="2" t="s">
        <v>269</v>
      </c>
    </row>
    <row r="270" spans="1:5" x14ac:dyDescent="0.25">
      <c r="A270" s="1">
        <v>18043</v>
      </c>
      <c r="B270" s="2">
        <v>25</v>
      </c>
      <c r="C270" s="2">
        <v>18</v>
      </c>
      <c r="D270" s="2">
        <v>322.2</v>
      </c>
      <c r="E270" s="2" t="s">
        <v>270</v>
      </c>
    </row>
    <row r="271" spans="1:5" x14ac:dyDescent="0.25">
      <c r="A271" s="1">
        <v>18044</v>
      </c>
      <c r="B271" s="2">
        <v>26</v>
      </c>
      <c r="C271" s="2">
        <v>18</v>
      </c>
      <c r="D271" s="2">
        <v>712.19999999999902</v>
      </c>
      <c r="E271" s="2" t="s">
        <v>271</v>
      </c>
    </row>
    <row r="272" spans="1:5" x14ac:dyDescent="0.25">
      <c r="A272" s="1">
        <v>18045</v>
      </c>
      <c r="B272" s="2">
        <v>27</v>
      </c>
      <c r="C272" s="2">
        <v>18</v>
      </c>
      <c r="D272" s="2">
        <v>21.48</v>
      </c>
      <c r="E272" s="2" t="s">
        <v>272</v>
      </c>
    </row>
    <row r="273" spans="1:5" x14ac:dyDescent="0.25">
      <c r="A273" s="1">
        <v>18046</v>
      </c>
      <c r="B273" s="2">
        <v>28</v>
      </c>
      <c r="C273" s="2">
        <v>18</v>
      </c>
      <c r="D273" s="2">
        <v>8.4</v>
      </c>
      <c r="E273" s="2" t="s">
        <v>273</v>
      </c>
    </row>
    <row r="274" spans="1:5" x14ac:dyDescent="0.25">
      <c r="A274" s="1">
        <v>18047</v>
      </c>
      <c r="B274" s="2">
        <v>29</v>
      </c>
      <c r="C274" s="2">
        <v>18</v>
      </c>
      <c r="D274" s="2">
        <v>1.23</v>
      </c>
      <c r="E274" s="2" t="s">
        <v>274</v>
      </c>
    </row>
    <row r="275" spans="1:5" x14ac:dyDescent="0.25">
      <c r="A275" s="1">
        <v>18048</v>
      </c>
      <c r="B275" s="2">
        <v>30</v>
      </c>
      <c r="C275" s="2">
        <v>18</v>
      </c>
      <c r="D275" s="2">
        <v>0.42399999999999999</v>
      </c>
      <c r="E275" s="2" t="s">
        <v>275</v>
      </c>
    </row>
    <row r="276" spans="1:5" x14ac:dyDescent="0.25">
      <c r="A276" s="1">
        <v>18049</v>
      </c>
      <c r="B276" s="2">
        <v>31</v>
      </c>
      <c r="C276" s="2">
        <v>18</v>
      </c>
      <c r="D276" s="2">
        <v>0.23599999999999999</v>
      </c>
      <c r="E276" s="2" t="s">
        <v>276</v>
      </c>
    </row>
    <row r="277" spans="1:5" x14ac:dyDescent="0.25">
      <c r="A277" s="1">
        <v>18050</v>
      </c>
      <c r="B277" s="2">
        <v>32</v>
      </c>
      <c r="C277" s="2">
        <v>18</v>
      </c>
      <c r="D277" s="2">
        <v>0.106</v>
      </c>
      <c r="E277" s="2" t="s">
        <v>277</v>
      </c>
    </row>
    <row r="278" spans="1:5" x14ac:dyDescent="0.25">
      <c r="A278" s="1">
        <v>18051</v>
      </c>
      <c r="B278" s="2">
        <v>33</v>
      </c>
      <c r="C278" s="2">
        <v>18</v>
      </c>
      <c r="D278" s="2">
        <v>1.9999999999999999E-7</v>
      </c>
      <c r="E278" s="2" t="s">
        <v>278</v>
      </c>
    </row>
    <row r="279" spans="1:5" x14ac:dyDescent="0.25">
      <c r="A279" s="1">
        <v>18052</v>
      </c>
      <c r="B279" s="2">
        <v>34</v>
      </c>
      <c r="C279" s="2">
        <v>18</v>
      </c>
      <c r="D279" s="2">
        <v>6.1999999999999999E-7</v>
      </c>
      <c r="E279" s="2" t="s">
        <v>279</v>
      </c>
    </row>
    <row r="280" spans="1:5" x14ac:dyDescent="0.25">
      <c r="A280" s="1">
        <v>18053</v>
      </c>
      <c r="B280" s="2">
        <v>35</v>
      </c>
      <c r="C280" s="2">
        <v>18</v>
      </c>
      <c r="D280" s="2">
        <v>6.1999999999999999E-7</v>
      </c>
      <c r="E280" s="2" t="s">
        <v>280</v>
      </c>
    </row>
    <row r="281" spans="1:5" x14ac:dyDescent="0.25">
      <c r="A281" s="1">
        <v>19035</v>
      </c>
      <c r="B281" s="2">
        <v>16</v>
      </c>
      <c r="C281" s="2">
        <v>19</v>
      </c>
      <c r="D281" s="2">
        <v>0.17799999999999999</v>
      </c>
      <c r="E281" s="2" t="s">
        <v>281</v>
      </c>
    </row>
    <row r="282" spans="1:5" x14ac:dyDescent="0.25">
      <c r="A282" s="1">
        <v>19036</v>
      </c>
      <c r="B282" s="2">
        <v>17</v>
      </c>
      <c r="C282" s="2">
        <v>19</v>
      </c>
      <c r="D282" s="2">
        <v>0.34200000000000003</v>
      </c>
      <c r="E282" s="2" t="s">
        <v>282</v>
      </c>
    </row>
    <row r="283" spans="1:5" x14ac:dyDescent="0.25">
      <c r="A283" s="1">
        <v>19037</v>
      </c>
      <c r="B283" s="2">
        <v>18</v>
      </c>
      <c r="C283" s="2">
        <v>19</v>
      </c>
      <c r="D283" s="2">
        <v>1.226</v>
      </c>
      <c r="E283" s="2" t="s">
        <v>283</v>
      </c>
    </row>
    <row r="284" spans="1:5" x14ac:dyDescent="0.25">
      <c r="A284" s="1">
        <v>19038</v>
      </c>
      <c r="B284" s="2">
        <v>19</v>
      </c>
      <c r="C284" s="2">
        <v>19</v>
      </c>
      <c r="D284" s="2">
        <v>458.16</v>
      </c>
      <c r="E284" s="2" t="s">
        <v>284</v>
      </c>
    </row>
    <row r="285" spans="1:5" x14ac:dyDescent="0.25">
      <c r="A285" s="1">
        <v>19039</v>
      </c>
      <c r="B285" s="2">
        <v>20</v>
      </c>
      <c r="C285" s="2">
        <v>19</v>
      </c>
      <c r="D285" s="2" t="s">
        <v>3</v>
      </c>
      <c r="E285" s="2" t="s">
        <v>285</v>
      </c>
    </row>
    <row r="286" spans="1:5" x14ac:dyDescent="0.25">
      <c r="A286" s="1">
        <v>19040</v>
      </c>
      <c r="B286" s="2">
        <v>21</v>
      </c>
      <c r="C286" s="2">
        <v>19</v>
      </c>
      <c r="D286" s="2">
        <v>3.93838848E+16</v>
      </c>
      <c r="E286" s="2" t="s">
        <v>286</v>
      </c>
    </row>
    <row r="287" spans="1:5" x14ac:dyDescent="0.25">
      <c r="A287" s="1">
        <v>19041</v>
      </c>
      <c r="B287" s="2">
        <v>22</v>
      </c>
      <c r="C287" s="2">
        <v>19</v>
      </c>
      <c r="D287" s="2" t="s">
        <v>3</v>
      </c>
      <c r="E287" s="2" t="s">
        <v>287</v>
      </c>
    </row>
    <row r="288" spans="1:5" x14ac:dyDescent="0.25">
      <c r="A288" s="1">
        <v>19042</v>
      </c>
      <c r="B288" s="2">
        <v>23</v>
      </c>
      <c r="C288" s="2">
        <v>19</v>
      </c>
      <c r="D288" s="2">
        <v>44478</v>
      </c>
      <c r="E288" s="2" t="s">
        <v>288</v>
      </c>
    </row>
    <row r="289" spans="1:5" x14ac:dyDescent="0.25">
      <c r="A289" s="1">
        <v>19043</v>
      </c>
      <c r="B289" s="2">
        <v>24</v>
      </c>
      <c r="C289" s="2">
        <v>19</v>
      </c>
      <c r="D289" s="2">
        <v>80280</v>
      </c>
      <c r="E289" s="2" t="s">
        <v>289</v>
      </c>
    </row>
    <row r="290" spans="1:5" x14ac:dyDescent="0.25">
      <c r="A290" s="1">
        <v>19044</v>
      </c>
      <c r="B290" s="2">
        <v>25</v>
      </c>
      <c r="C290" s="2">
        <v>19</v>
      </c>
      <c r="D290" s="2">
        <v>1327.8</v>
      </c>
      <c r="E290" s="2" t="s">
        <v>290</v>
      </c>
    </row>
    <row r="291" spans="1:5" x14ac:dyDescent="0.25">
      <c r="A291" s="1">
        <v>19045</v>
      </c>
      <c r="B291" s="2">
        <v>26</v>
      </c>
      <c r="C291" s="2">
        <v>19</v>
      </c>
      <c r="D291" s="2">
        <v>1068.5999999999999</v>
      </c>
      <c r="E291" s="2" t="s">
        <v>291</v>
      </c>
    </row>
    <row r="292" spans="1:5" x14ac:dyDescent="0.25">
      <c r="A292" s="1">
        <v>19046</v>
      </c>
      <c r="B292" s="2">
        <v>27</v>
      </c>
      <c r="C292" s="2">
        <v>19</v>
      </c>
      <c r="D292" s="2">
        <v>105</v>
      </c>
      <c r="E292" s="2" t="s">
        <v>292</v>
      </c>
    </row>
    <row r="293" spans="1:5" x14ac:dyDescent="0.25">
      <c r="A293" s="1">
        <v>19047</v>
      </c>
      <c r="B293" s="2">
        <v>28</v>
      </c>
      <c r="C293" s="2">
        <v>19</v>
      </c>
      <c r="D293" s="2">
        <v>17.5</v>
      </c>
      <c r="E293" s="2" t="s">
        <v>293</v>
      </c>
    </row>
    <row r="294" spans="1:5" x14ac:dyDescent="0.25">
      <c r="A294" s="1">
        <v>19048</v>
      </c>
      <c r="B294" s="2">
        <v>29</v>
      </c>
      <c r="C294" s="2">
        <v>19</v>
      </c>
      <c r="D294" s="2">
        <v>6.83</v>
      </c>
      <c r="E294" s="2" t="s">
        <v>294</v>
      </c>
    </row>
    <row r="295" spans="1:5" x14ac:dyDescent="0.25">
      <c r="A295" s="1">
        <v>19049</v>
      </c>
      <c r="B295" s="2">
        <v>30</v>
      </c>
      <c r="C295" s="2">
        <v>19</v>
      </c>
      <c r="D295" s="2">
        <v>1.2629999999999999</v>
      </c>
      <c r="E295" s="2" t="s">
        <v>295</v>
      </c>
    </row>
    <row r="296" spans="1:5" x14ac:dyDescent="0.25">
      <c r="A296" s="1">
        <v>19050</v>
      </c>
      <c r="B296" s="2">
        <v>31</v>
      </c>
      <c r="C296" s="2">
        <v>19</v>
      </c>
      <c r="D296" s="2">
        <v>0.47199999999999998</v>
      </c>
      <c r="E296" s="2" t="s">
        <v>296</v>
      </c>
    </row>
    <row r="297" spans="1:5" x14ac:dyDescent="0.25">
      <c r="A297" s="1">
        <v>19051</v>
      </c>
      <c r="B297" s="2">
        <v>32</v>
      </c>
      <c r="C297" s="2">
        <v>19</v>
      </c>
      <c r="D297" s="2">
        <v>0.36499999999999999</v>
      </c>
      <c r="E297" s="2" t="s">
        <v>297</v>
      </c>
    </row>
    <row r="298" spans="1:5" x14ac:dyDescent="0.25">
      <c r="A298" s="1">
        <v>19052</v>
      </c>
      <c r="B298" s="2">
        <v>33</v>
      </c>
      <c r="C298" s="2">
        <v>19</v>
      </c>
      <c r="D298" s="2">
        <v>0.11</v>
      </c>
      <c r="E298" s="2" t="s">
        <v>298</v>
      </c>
    </row>
    <row r="299" spans="1:5" x14ac:dyDescent="0.25">
      <c r="A299" s="1">
        <v>19053</v>
      </c>
      <c r="B299" s="2">
        <v>34</v>
      </c>
      <c r="C299" s="2">
        <v>19</v>
      </c>
      <c r="D299" s="2">
        <v>0.03</v>
      </c>
      <c r="E299" s="2" t="s">
        <v>299</v>
      </c>
    </row>
    <row r="300" spans="1:5" x14ac:dyDescent="0.25">
      <c r="A300" s="1">
        <v>19054</v>
      </c>
      <c r="B300" s="2">
        <v>35</v>
      </c>
      <c r="C300" s="2">
        <v>19</v>
      </c>
      <c r="D300" s="2">
        <v>0.01</v>
      </c>
      <c r="E300" s="2" t="s">
        <v>300</v>
      </c>
    </row>
    <row r="301" spans="1:5" x14ac:dyDescent="0.25">
      <c r="A301" s="1">
        <v>19055</v>
      </c>
      <c r="B301" s="2">
        <v>36</v>
      </c>
      <c r="C301" s="2">
        <v>19</v>
      </c>
      <c r="D301" s="2">
        <v>3.5999999999999999E-7</v>
      </c>
      <c r="E301" s="2" t="s">
        <v>301</v>
      </c>
    </row>
    <row r="302" spans="1:5" x14ac:dyDescent="0.25">
      <c r="A302" s="1">
        <v>19056</v>
      </c>
      <c r="B302" s="2">
        <v>37</v>
      </c>
      <c r="C302" s="2">
        <v>19</v>
      </c>
      <c r="D302" s="2">
        <v>2E-8</v>
      </c>
      <c r="E302" s="2" t="s">
        <v>302</v>
      </c>
    </row>
    <row r="303" spans="1:5" x14ac:dyDescent="0.25">
      <c r="A303" s="1">
        <v>20035</v>
      </c>
      <c r="B303" s="2">
        <v>15</v>
      </c>
      <c r="C303" s="2">
        <v>20</v>
      </c>
      <c r="D303" s="2">
        <v>2.5700000000000001E-2</v>
      </c>
      <c r="E303" s="2" t="s">
        <v>303</v>
      </c>
    </row>
    <row r="304" spans="1:5" x14ac:dyDescent="0.25">
      <c r="A304" s="1">
        <v>20036</v>
      </c>
      <c r="B304" s="2">
        <v>16</v>
      </c>
      <c r="C304" s="2">
        <v>20</v>
      </c>
      <c r="D304" s="2">
        <v>0.10199999999999999</v>
      </c>
      <c r="E304" s="2" t="s">
        <v>304</v>
      </c>
    </row>
    <row r="305" spans="1:5" x14ac:dyDescent="0.25">
      <c r="A305" s="1">
        <v>20037</v>
      </c>
      <c r="B305" s="2">
        <v>17</v>
      </c>
      <c r="C305" s="2">
        <v>20</v>
      </c>
      <c r="D305" s="2">
        <v>0.18110000000000001</v>
      </c>
      <c r="E305" s="2" t="s">
        <v>305</v>
      </c>
    </row>
    <row r="306" spans="1:5" x14ac:dyDescent="0.25">
      <c r="A306" s="1">
        <v>20038</v>
      </c>
      <c r="B306" s="2">
        <v>18</v>
      </c>
      <c r="C306" s="2">
        <v>20</v>
      </c>
      <c r="D306" s="2">
        <v>0.44</v>
      </c>
      <c r="E306" s="2" t="s">
        <v>306</v>
      </c>
    </row>
    <row r="307" spans="1:5" x14ac:dyDescent="0.25">
      <c r="A307" s="1">
        <v>20039</v>
      </c>
      <c r="B307" s="2">
        <v>19</v>
      </c>
      <c r="C307" s="2">
        <v>20</v>
      </c>
      <c r="D307" s="2">
        <v>0.85960000000000003</v>
      </c>
      <c r="E307" s="2" t="s">
        <v>307</v>
      </c>
    </row>
    <row r="308" spans="1:5" x14ac:dyDescent="0.25">
      <c r="A308" s="1">
        <v>20040</v>
      </c>
      <c r="B308" s="2">
        <v>20</v>
      </c>
      <c r="C308" s="2">
        <v>20</v>
      </c>
      <c r="D308" s="2">
        <v>9.4672799999999999E+28</v>
      </c>
      <c r="E308" s="2" t="s">
        <v>308</v>
      </c>
    </row>
    <row r="309" spans="1:5" x14ac:dyDescent="0.25">
      <c r="A309" s="1">
        <v>20041</v>
      </c>
      <c r="B309" s="2">
        <v>21</v>
      </c>
      <c r="C309" s="2">
        <v>20</v>
      </c>
      <c r="D309" s="2">
        <v>3136825440000</v>
      </c>
      <c r="E309" s="2" t="s">
        <v>309</v>
      </c>
    </row>
    <row r="310" spans="1:5" x14ac:dyDescent="0.25">
      <c r="A310" s="1">
        <v>20042</v>
      </c>
      <c r="B310" s="2">
        <v>22</v>
      </c>
      <c r="C310" s="2">
        <v>20</v>
      </c>
      <c r="D310" s="2" t="s">
        <v>3</v>
      </c>
      <c r="E310" s="2" t="s">
        <v>310</v>
      </c>
    </row>
    <row r="311" spans="1:5" x14ac:dyDescent="0.25">
      <c r="A311" s="1">
        <v>20043</v>
      </c>
      <c r="B311" s="2">
        <v>23</v>
      </c>
      <c r="C311" s="2">
        <v>20</v>
      </c>
      <c r="D311" s="2" t="s">
        <v>3</v>
      </c>
      <c r="E311" s="2" t="s">
        <v>311</v>
      </c>
    </row>
    <row r="312" spans="1:5" x14ac:dyDescent="0.25">
      <c r="A312" s="1">
        <v>20044</v>
      </c>
      <c r="B312" s="2">
        <v>24</v>
      </c>
      <c r="C312" s="2">
        <v>20</v>
      </c>
      <c r="D312" s="2" t="s">
        <v>3</v>
      </c>
      <c r="E312" s="2" t="s">
        <v>312</v>
      </c>
    </row>
    <row r="313" spans="1:5" x14ac:dyDescent="0.25">
      <c r="A313" s="1">
        <v>20045</v>
      </c>
      <c r="B313" s="2">
        <v>25</v>
      </c>
      <c r="C313" s="2">
        <v>20</v>
      </c>
      <c r="D313" s="2">
        <v>14049504</v>
      </c>
      <c r="E313" s="2" t="s">
        <v>313</v>
      </c>
    </row>
    <row r="314" spans="1:5" x14ac:dyDescent="0.25">
      <c r="A314" s="1">
        <v>20046</v>
      </c>
      <c r="B314" s="2">
        <v>26</v>
      </c>
      <c r="C314" s="2">
        <v>20</v>
      </c>
      <c r="D314" s="2">
        <v>8.8361279999999998E+22</v>
      </c>
      <c r="E314" s="2" t="s">
        <v>314</v>
      </c>
    </row>
    <row r="315" spans="1:5" x14ac:dyDescent="0.25">
      <c r="A315" s="1">
        <v>20047</v>
      </c>
      <c r="B315" s="2">
        <v>27</v>
      </c>
      <c r="C315" s="2">
        <v>20</v>
      </c>
      <c r="D315" s="2">
        <v>391910.39999999898</v>
      </c>
      <c r="E315" s="2" t="s">
        <v>315</v>
      </c>
    </row>
    <row r="316" spans="1:5" x14ac:dyDescent="0.25">
      <c r="A316" s="1">
        <v>20048</v>
      </c>
      <c r="B316" s="2">
        <v>28</v>
      </c>
      <c r="C316" s="2">
        <v>20</v>
      </c>
      <c r="D316" s="2">
        <v>1.8303407999999899E+30</v>
      </c>
      <c r="E316" s="2" t="s">
        <v>316</v>
      </c>
    </row>
    <row r="317" spans="1:5" x14ac:dyDescent="0.25">
      <c r="A317" s="1">
        <v>20049</v>
      </c>
      <c r="B317" s="2">
        <v>29</v>
      </c>
      <c r="C317" s="2">
        <v>20</v>
      </c>
      <c r="D317" s="2">
        <v>523.08000000000004</v>
      </c>
      <c r="E317" s="2" t="s">
        <v>317</v>
      </c>
    </row>
    <row r="318" spans="1:5" x14ac:dyDescent="0.25">
      <c r="A318" s="1">
        <v>20050</v>
      </c>
      <c r="B318" s="2">
        <v>30</v>
      </c>
      <c r="C318" s="2">
        <v>20</v>
      </c>
      <c r="D318" s="2">
        <v>13.9</v>
      </c>
      <c r="E318" s="2" t="s">
        <v>318</v>
      </c>
    </row>
    <row r="319" spans="1:5" x14ac:dyDescent="0.25">
      <c r="A319" s="1">
        <v>20051</v>
      </c>
      <c r="B319" s="2">
        <v>31</v>
      </c>
      <c r="C319" s="2">
        <v>20</v>
      </c>
      <c r="D319" s="2">
        <v>10</v>
      </c>
      <c r="E319" s="2" t="s">
        <v>319</v>
      </c>
    </row>
    <row r="320" spans="1:5" x14ac:dyDescent="0.25">
      <c r="A320" s="1">
        <v>20052</v>
      </c>
      <c r="B320" s="2">
        <v>32</v>
      </c>
      <c r="C320" s="2">
        <v>20</v>
      </c>
      <c r="D320" s="2">
        <v>4.5999999999999996</v>
      </c>
      <c r="E320" s="2" t="s">
        <v>320</v>
      </c>
    </row>
    <row r="321" spans="1:5" x14ac:dyDescent="0.25">
      <c r="A321" s="1">
        <v>20053</v>
      </c>
      <c r="B321" s="2">
        <v>33</v>
      </c>
      <c r="C321" s="2">
        <v>20</v>
      </c>
      <c r="D321" s="2">
        <v>0.46100000000000002</v>
      </c>
      <c r="E321" s="2" t="s">
        <v>321</v>
      </c>
    </row>
    <row r="322" spans="1:5" x14ac:dyDescent="0.25">
      <c r="A322" s="1">
        <v>20054</v>
      </c>
      <c r="B322" s="2">
        <v>34</v>
      </c>
      <c r="C322" s="2">
        <v>20</v>
      </c>
      <c r="D322" s="2">
        <v>0.107</v>
      </c>
      <c r="E322" s="2" t="s">
        <v>322</v>
      </c>
    </row>
    <row r="323" spans="1:5" x14ac:dyDescent="0.25">
      <c r="A323" s="1">
        <v>20055</v>
      </c>
      <c r="B323" s="2">
        <v>35</v>
      </c>
      <c r="C323" s="2">
        <v>20</v>
      </c>
      <c r="D323" s="2">
        <v>2.1999999999999999E-2</v>
      </c>
      <c r="E323" s="2" t="s">
        <v>323</v>
      </c>
    </row>
    <row r="324" spans="1:5" x14ac:dyDescent="0.25">
      <c r="A324" s="1">
        <v>20056</v>
      </c>
      <c r="B324" s="2">
        <v>36</v>
      </c>
      <c r="C324" s="2">
        <v>20</v>
      </c>
      <c r="D324" s="2">
        <v>1.0999999999999999E-2</v>
      </c>
      <c r="E324" s="2" t="s">
        <v>324</v>
      </c>
    </row>
    <row r="325" spans="1:5" x14ac:dyDescent="0.25">
      <c r="A325" s="1">
        <v>20057</v>
      </c>
      <c r="B325" s="2">
        <v>37</v>
      </c>
      <c r="C325" s="2">
        <v>20</v>
      </c>
      <c r="D325" s="2">
        <v>6.1999999999999999E-7</v>
      </c>
      <c r="E325" s="2" t="s">
        <v>325</v>
      </c>
    </row>
    <row r="326" spans="1:5" x14ac:dyDescent="0.25">
      <c r="A326" s="1">
        <v>20058</v>
      </c>
      <c r="B326" s="2">
        <v>38</v>
      </c>
      <c r="C326" s="2">
        <v>20</v>
      </c>
      <c r="D326" s="2">
        <v>6.1999999999999999E-7</v>
      </c>
      <c r="E326" s="2" t="s">
        <v>326</v>
      </c>
    </row>
    <row r="327" spans="1:5" x14ac:dyDescent="0.25">
      <c r="A327" s="1">
        <v>21040</v>
      </c>
      <c r="B327" s="2">
        <v>19</v>
      </c>
      <c r="C327" s="2">
        <v>21</v>
      </c>
      <c r="D327" s="2">
        <v>0.18229999999999999</v>
      </c>
      <c r="E327" s="2" t="s">
        <v>327</v>
      </c>
    </row>
    <row r="328" spans="1:5" x14ac:dyDescent="0.25">
      <c r="A328" s="1">
        <v>21041</v>
      </c>
      <c r="B328" s="2">
        <v>20</v>
      </c>
      <c r="C328" s="2">
        <v>21</v>
      </c>
      <c r="D328" s="2">
        <v>0.59629999999999905</v>
      </c>
      <c r="E328" s="2" t="s">
        <v>328</v>
      </c>
    </row>
    <row r="329" spans="1:5" x14ac:dyDescent="0.25">
      <c r="A329" s="1">
        <v>21042</v>
      </c>
      <c r="B329" s="2">
        <v>21</v>
      </c>
      <c r="C329" s="2">
        <v>21</v>
      </c>
      <c r="D329" s="2">
        <v>0.68069999999999997</v>
      </c>
      <c r="E329" s="2" t="s">
        <v>329</v>
      </c>
    </row>
    <row r="330" spans="1:5" x14ac:dyDescent="0.25">
      <c r="A330" s="1">
        <v>21043</v>
      </c>
      <c r="B330" s="2">
        <v>22</v>
      </c>
      <c r="C330" s="2">
        <v>21</v>
      </c>
      <c r="D330" s="2">
        <v>14007.6</v>
      </c>
      <c r="E330" s="2" t="s">
        <v>330</v>
      </c>
    </row>
    <row r="331" spans="1:5" x14ac:dyDescent="0.25">
      <c r="A331" s="1">
        <v>21044</v>
      </c>
      <c r="B331" s="2">
        <v>23</v>
      </c>
      <c r="C331" s="2">
        <v>21</v>
      </c>
      <c r="D331" s="2">
        <v>14292</v>
      </c>
      <c r="E331" s="2" t="s">
        <v>331</v>
      </c>
    </row>
    <row r="332" spans="1:5" x14ac:dyDescent="0.25">
      <c r="A332" s="1">
        <v>21045</v>
      </c>
      <c r="B332" s="2">
        <v>24</v>
      </c>
      <c r="C332" s="2">
        <v>21</v>
      </c>
      <c r="D332" s="2" t="s">
        <v>3</v>
      </c>
      <c r="E332" s="2" t="s">
        <v>332</v>
      </c>
    </row>
    <row r="333" spans="1:5" x14ac:dyDescent="0.25">
      <c r="A333" s="1">
        <v>21046</v>
      </c>
      <c r="B333" s="2">
        <v>25</v>
      </c>
      <c r="C333" s="2">
        <v>21</v>
      </c>
      <c r="D333" s="2">
        <v>7239456</v>
      </c>
      <c r="E333" s="2" t="s">
        <v>333</v>
      </c>
    </row>
    <row r="334" spans="1:5" x14ac:dyDescent="0.25">
      <c r="A334" s="1">
        <v>21047</v>
      </c>
      <c r="B334" s="2">
        <v>26</v>
      </c>
      <c r="C334" s="2">
        <v>21</v>
      </c>
      <c r="D334" s="2">
        <v>289370.88</v>
      </c>
      <c r="E334" s="2" t="s">
        <v>334</v>
      </c>
    </row>
    <row r="335" spans="1:5" x14ac:dyDescent="0.25">
      <c r="A335" s="1">
        <v>21048</v>
      </c>
      <c r="B335" s="2">
        <v>27</v>
      </c>
      <c r="C335" s="2">
        <v>21</v>
      </c>
      <c r="D335" s="2">
        <v>157212</v>
      </c>
      <c r="E335" s="2" t="s">
        <v>335</v>
      </c>
    </row>
    <row r="336" spans="1:5" x14ac:dyDescent="0.25">
      <c r="A336" s="1">
        <v>21049</v>
      </c>
      <c r="B336" s="2">
        <v>28</v>
      </c>
      <c r="C336" s="2">
        <v>21</v>
      </c>
      <c r="D336" s="2">
        <v>3430.8</v>
      </c>
      <c r="E336" s="2" t="s">
        <v>336</v>
      </c>
    </row>
    <row r="337" spans="1:5" x14ac:dyDescent="0.25">
      <c r="A337" s="1">
        <v>21050</v>
      </c>
      <c r="B337" s="2">
        <v>29</v>
      </c>
      <c r="C337" s="2">
        <v>21</v>
      </c>
      <c r="D337" s="2">
        <v>102.5</v>
      </c>
      <c r="E337" s="2" t="s">
        <v>337</v>
      </c>
    </row>
    <row r="338" spans="1:5" x14ac:dyDescent="0.25">
      <c r="A338" s="1">
        <v>21051</v>
      </c>
      <c r="B338" s="2">
        <v>30</v>
      </c>
      <c r="C338" s="2">
        <v>21</v>
      </c>
      <c r="D338" s="2">
        <v>12.4</v>
      </c>
      <c r="E338" s="2" t="s">
        <v>338</v>
      </c>
    </row>
    <row r="339" spans="1:5" x14ac:dyDescent="0.25">
      <c r="A339" s="1">
        <v>21052</v>
      </c>
      <c r="B339" s="2">
        <v>31</v>
      </c>
      <c r="C339" s="2">
        <v>21</v>
      </c>
      <c r="D339" s="2">
        <v>0.2</v>
      </c>
      <c r="E339" s="2" t="s">
        <v>339</v>
      </c>
    </row>
    <row r="340" spans="1:5" x14ac:dyDescent="0.25">
      <c r="A340" s="1">
        <v>21053</v>
      </c>
      <c r="B340" s="2">
        <v>32</v>
      </c>
      <c r="C340" s="2">
        <v>21</v>
      </c>
      <c r="D340" s="2">
        <v>2.4</v>
      </c>
      <c r="E340" s="2" t="s">
        <v>340</v>
      </c>
    </row>
    <row r="341" spans="1:5" x14ac:dyDescent="0.25">
      <c r="A341" s="1">
        <v>21054</v>
      </c>
      <c r="B341" s="2">
        <v>33</v>
      </c>
      <c r="C341" s="2">
        <v>21</v>
      </c>
      <c r="D341" s="2">
        <v>0.52600000000000002</v>
      </c>
      <c r="E341" s="2" t="s">
        <v>341</v>
      </c>
    </row>
    <row r="342" spans="1:5" x14ac:dyDescent="0.25">
      <c r="A342" s="1">
        <v>21055</v>
      </c>
      <c r="B342" s="2">
        <v>34</v>
      </c>
      <c r="C342" s="2">
        <v>21</v>
      </c>
      <c r="D342" s="2">
        <v>9.6000000000000002E-2</v>
      </c>
      <c r="E342" s="2" t="s">
        <v>342</v>
      </c>
    </row>
    <row r="343" spans="1:5" x14ac:dyDescent="0.25">
      <c r="A343" s="1">
        <v>21056</v>
      </c>
      <c r="B343" s="2">
        <v>35</v>
      </c>
      <c r="C343" s="2">
        <v>21</v>
      </c>
      <c r="D343" s="2">
        <v>3.1E-2</v>
      </c>
      <c r="E343" s="2" t="s">
        <v>343</v>
      </c>
    </row>
    <row r="344" spans="1:5" x14ac:dyDescent="0.25">
      <c r="A344" s="1">
        <v>21057</v>
      </c>
      <c r="B344" s="2">
        <v>36</v>
      </c>
      <c r="C344" s="2">
        <v>21</v>
      </c>
      <c r="D344" s="2">
        <v>2E-3</v>
      </c>
      <c r="E344" s="2" t="s">
        <v>344</v>
      </c>
    </row>
    <row r="345" spans="1:5" x14ac:dyDescent="0.25">
      <c r="A345" s="1">
        <v>21058</v>
      </c>
      <c r="B345" s="2">
        <v>37</v>
      </c>
      <c r="C345" s="2">
        <v>21</v>
      </c>
      <c r="D345" s="2">
        <v>1.2E-2</v>
      </c>
      <c r="E345" s="2" t="s">
        <v>345</v>
      </c>
    </row>
    <row r="346" spans="1:5" x14ac:dyDescent="0.25">
      <c r="A346" s="1">
        <v>21059</v>
      </c>
      <c r="B346" s="2">
        <v>38</v>
      </c>
      <c r="C346" s="2">
        <v>21</v>
      </c>
      <c r="D346" s="2">
        <v>3.5999999999999999E-7</v>
      </c>
      <c r="E346" s="2" t="s">
        <v>346</v>
      </c>
    </row>
    <row r="347" spans="1:5" x14ac:dyDescent="0.25">
      <c r="A347" s="1">
        <v>21060</v>
      </c>
      <c r="B347" s="2">
        <v>39</v>
      </c>
      <c r="C347" s="2">
        <v>21</v>
      </c>
      <c r="D347" s="2">
        <v>3.5999999999999999E-7</v>
      </c>
      <c r="E347" s="2" t="s">
        <v>347</v>
      </c>
    </row>
    <row r="348" spans="1:5" x14ac:dyDescent="0.25">
      <c r="A348" s="1">
        <v>21061</v>
      </c>
      <c r="B348" s="2">
        <v>40</v>
      </c>
      <c r="C348" s="2">
        <v>21</v>
      </c>
      <c r="D348" s="2">
        <v>3.5999999999999999E-7</v>
      </c>
      <c r="E348" s="2" t="s">
        <v>348</v>
      </c>
    </row>
    <row r="349" spans="1:5" x14ac:dyDescent="0.25">
      <c r="A349" s="1">
        <v>22039</v>
      </c>
      <c r="B349" s="2">
        <v>17</v>
      </c>
      <c r="C349" s="2">
        <v>22</v>
      </c>
      <c r="D349" s="2">
        <v>3.1E-2</v>
      </c>
      <c r="E349" s="2" t="s">
        <v>349</v>
      </c>
    </row>
    <row r="350" spans="1:5" x14ac:dyDescent="0.25">
      <c r="A350" s="1">
        <v>22040</v>
      </c>
      <c r="B350" s="2">
        <v>18</v>
      </c>
      <c r="C350" s="2">
        <v>22</v>
      </c>
      <c r="D350" s="2">
        <v>5.2400000000000002E-2</v>
      </c>
      <c r="E350" s="2" t="s">
        <v>350</v>
      </c>
    </row>
    <row r="351" spans="1:5" x14ac:dyDescent="0.25">
      <c r="A351" s="1">
        <v>22041</v>
      </c>
      <c r="B351" s="2">
        <v>19</v>
      </c>
      <c r="C351" s="2">
        <v>22</v>
      </c>
      <c r="D351" s="2">
        <v>8.1900000000000001E-2</v>
      </c>
      <c r="E351" s="2" t="s">
        <v>351</v>
      </c>
    </row>
    <row r="352" spans="1:5" x14ac:dyDescent="0.25">
      <c r="A352" s="1">
        <v>22042</v>
      </c>
      <c r="B352" s="2">
        <v>20</v>
      </c>
      <c r="C352" s="2">
        <v>22</v>
      </c>
      <c r="D352" s="2">
        <v>0.20865</v>
      </c>
      <c r="E352" s="2" t="s">
        <v>352</v>
      </c>
    </row>
    <row r="353" spans="1:5" x14ac:dyDescent="0.25">
      <c r="A353" s="1">
        <v>22043</v>
      </c>
      <c r="B353" s="2">
        <v>21</v>
      </c>
      <c r="C353" s="2">
        <v>22</v>
      </c>
      <c r="D353" s="2">
        <v>0.50900000000000001</v>
      </c>
      <c r="E353" s="2" t="s">
        <v>353</v>
      </c>
    </row>
    <row r="354" spans="1:5" x14ac:dyDescent="0.25">
      <c r="A354" s="1">
        <v>22044</v>
      </c>
      <c r="B354" s="2">
        <v>22</v>
      </c>
      <c r="C354" s="2">
        <v>22</v>
      </c>
      <c r="D354" s="2">
        <v>1893456000</v>
      </c>
      <c r="E354" s="2" t="s">
        <v>354</v>
      </c>
    </row>
    <row r="355" spans="1:5" x14ac:dyDescent="0.25">
      <c r="A355" s="1">
        <v>22045</v>
      </c>
      <c r="B355" s="2">
        <v>23</v>
      </c>
      <c r="C355" s="2">
        <v>22</v>
      </c>
      <c r="D355" s="2">
        <v>11088</v>
      </c>
      <c r="E355" s="2" t="s">
        <v>355</v>
      </c>
    </row>
    <row r="356" spans="1:5" x14ac:dyDescent="0.25">
      <c r="A356" s="1">
        <v>22046</v>
      </c>
      <c r="B356" s="2">
        <v>24</v>
      </c>
      <c r="C356" s="2">
        <v>22</v>
      </c>
      <c r="D356" s="2" t="s">
        <v>3</v>
      </c>
      <c r="E356" s="2" t="s">
        <v>356</v>
      </c>
    </row>
    <row r="357" spans="1:5" x14ac:dyDescent="0.25">
      <c r="A357" s="1">
        <v>22047</v>
      </c>
      <c r="B357" s="2">
        <v>25</v>
      </c>
      <c r="C357" s="2">
        <v>22</v>
      </c>
      <c r="D357" s="2" t="s">
        <v>3</v>
      </c>
      <c r="E357" s="2" t="s">
        <v>357</v>
      </c>
    </row>
    <row r="358" spans="1:5" x14ac:dyDescent="0.25">
      <c r="A358" s="1">
        <v>22048</v>
      </c>
      <c r="B358" s="2">
        <v>26</v>
      </c>
      <c r="C358" s="2">
        <v>22</v>
      </c>
      <c r="D358" s="2" t="s">
        <v>3</v>
      </c>
      <c r="E358" s="2" t="s">
        <v>358</v>
      </c>
    </row>
    <row r="359" spans="1:5" x14ac:dyDescent="0.25">
      <c r="A359" s="1">
        <v>22049</v>
      </c>
      <c r="B359" s="2">
        <v>27</v>
      </c>
      <c r="C359" s="2">
        <v>22</v>
      </c>
      <c r="D359" s="2" t="s">
        <v>3</v>
      </c>
      <c r="E359" s="2" t="s">
        <v>359</v>
      </c>
    </row>
    <row r="360" spans="1:5" x14ac:dyDescent="0.25">
      <c r="A360" s="1">
        <v>22050</v>
      </c>
      <c r="B360" s="2">
        <v>28</v>
      </c>
      <c r="C360" s="2">
        <v>22</v>
      </c>
      <c r="D360" s="2" t="s">
        <v>3</v>
      </c>
      <c r="E360" s="2" t="s">
        <v>360</v>
      </c>
    </row>
    <row r="361" spans="1:5" x14ac:dyDescent="0.25">
      <c r="A361" s="1">
        <v>22051</v>
      </c>
      <c r="B361" s="2">
        <v>29</v>
      </c>
      <c r="C361" s="2">
        <v>22</v>
      </c>
      <c r="D361" s="2">
        <v>345.599999999999</v>
      </c>
      <c r="E361" s="2" t="s">
        <v>361</v>
      </c>
    </row>
    <row r="362" spans="1:5" x14ac:dyDescent="0.25">
      <c r="A362" s="1">
        <v>22052</v>
      </c>
      <c r="B362" s="2">
        <v>30</v>
      </c>
      <c r="C362" s="2">
        <v>22</v>
      </c>
      <c r="D362" s="2">
        <v>102</v>
      </c>
      <c r="E362" s="2" t="s">
        <v>362</v>
      </c>
    </row>
    <row r="363" spans="1:5" x14ac:dyDescent="0.25">
      <c r="A363" s="1">
        <v>22053</v>
      </c>
      <c r="B363" s="2">
        <v>31</v>
      </c>
      <c r="C363" s="2">
        <v>22</v>
      </c>
      <c r="D363" s="2">
        <v>32.700000000000003</v>
      </c>
      <c r="E363" s="2" t="s">
        <v>363</v>
      </c>
    </row>
    <row r="364" spans="1:5" x14ac:dyDescent="0.25">
      <c r="A364" s="1">
        <v>22054</v>
      </c>
      <c r="B364" s="2">
        <v>32</v>
      </c>
      <c r="C364" s="2">
        <v>22</v>
      </c>
      <c r="D364" s="2">
        <v>2.1</v>
      </c>
      <c r="E364" s="2" t="s">
        <v>364</v>
      </c>
    </row>
    <row r="365" spans="1:5" x14ac:dyDescent="0.25">
      <c r="A365" s="1">
        <v>22055</v>
      </c>
      <c r="B365" s="2">
        <v>33</v>
      </c>
      <c r="C365" s="2">
        <v>22</v>
      </c>
      <c r="D365" s="2">
        <v>1.3</v>
      </c>
      <c r="E365" s="2" t="s">
        <v>365</v>
      </c>
    </row>
    <row r="366" spans="1:5" x14ac:dyDescent="0.25">
      <c r="A366" s="1">
        <v>22056</v>
      </c>
      <c r="B366" s="2">
        <v>34</v>
      </c>
      <c r="C366" s="2">
        <v>22</v>
      </c>
      <c r="D366" s="2">
        <v>0.2</v>
      </c>
      <c r="E366" s="2" t="s">
        <v>366</v>
      </c>
    </row>
    <row r="367" spans="1:5" x14ac:dyDescent="0.25">
      <c r="A367" s="1">
        <v>22057</v>
      </c>
      <c r="B367" s="2">
        <v>35</v>
      </c>
      <c r="C367" s="2">
        <v>22</v>
      </c>
      <c r="D367" s="2">
        <v>9.8000000000000004E-2</v>
      </c>
      <c r="E367" s="2" t="s">
        <v>367</v>
      </c>
    </row>
    <row r="368" spans="1:5" x14ac:dyDescent="0.25">
      <c r="A368" s="1">
        <v>22058</v>
      </c>
      <c r="B368" s="2">
        <v>36</v>
      </c>
      <c r="C368" s="2">
        <v>22</v>
      </c>
      <c r="D368" s="2">
        <v>5.8000000000000003E-2</v>
      </c>
      <c r="E368" s="2" t="s">
        <v>368</v>
      </c>
    </row>
    <row r="369" spans="1:5" x14ac:dyDescent="0.25">
      <c r="A369" s="1">
        <v>22059</v>
      </c>
      <c r="B369" s="2">
        <v>37</v>
      </c>
      <c r="C369" s="2">
        <v>22</v>
      </c>
      <c r="D369" s="2">
        <v>2.8500000000000001E-2</v>
      </c>
      <c r="E369" s="2" t="s">
        <v>369</v>
      </c>
    </row>
    <row r="370" spans="1:5" x14ac:dyDescent="0.25">
      <c r="A370" s="1">
        <v>22060</v>
      </c>
      <c r="B370" s="2">
        <v>38</v>
      </c>
      <c r="C370" s="2">
        <v>22</v>
      </c>
      <c r="D370" s="2">
        <v>2.2200000000000001E-2</v>
      </c>
      <c r="E370" s="2" t="s">
        <v>370</v>
      </c>
    </row>
    <row r="371" spans="1:5" x14ac:dyDescent="0.25">
      <c r="A371" s="1">
        <v>22061</v>
      </c>
      <c r="B371" s="2">
        <v>39</v>
      </c>
      <c r="C371" s="2">
        <v>22</v>
      </c>
      <c r="D371" s="2">
        <v>1.4999999999999999E-2</v>
      </c>
      <c r="E371" s="2" t="s">
        <v>371</v>
      </c>
    </row>
    <row r="372" spans="1:5" x14ac:dyDescent="0.25">
      <c r="A372" s="1">
        <v>22062</v>
      </c>
      <c r="B372" s="2">
        <v>40</v>
      </c>
      <c r="C372" s="2">
        <v>22</v>
      </c>
      <c r="D372" s="2">
        <v>6.1999999999999999E-7</v>
      </c>
      <c r="E372" s="2" t="s">
        <v>372</v>
      </c>
    </row>
    <row r="373" spans="1:5" x14ac:dyDescent="0.25">
      <c r="A373" s="1">
        <v>22063</v>
      </c>
      <c r="B373" s="2">
        <v>41</v>
      </c>
      <c r="C373" s="2">
        <v>22</v>
      </c>
      <c r="D373" s="2">
        <v>3.5999999999999999E-7</v>
      </c>
      <c r="E373" s="2" t="s">
        <v>373</v>
      </c>
    </row>
    <row r="374" spans="1:5" x14ac:dyDescent="0.25">
      <c r="A374" s="1">
        <v>23043</v>
      </c>
      <c r="B374" s="2">
        <v>20</v>
      </c>
      <c r="C374" s="2">
        <v>23</v>
      </c>
      <c r="D374" s="2">
        <v>7.9299999999999995E-2</v>
      </c>
      <c r="E374" s="2" t="s">
        <v>374</v>
      </c>
    </row>
    <row r="375" spans="1:5" x14ac:dyDescent="0.25">
      <c r="A375" s="1">
        <v>23044</v>
      </c>
      <c r="B375" s="2">
        <v>21</v>
      </c>
      <c r="C375" s="2">
        <v>23</v>
      </c>
      <c r="D375" s="2">
        <v>0.111</v>
      </c>
      <c r="E375" s="2" t="s">
        <v>375</v>
      </c>
    </row>
    <row r="376" spans="1:5" x14ac:dyDescent="0.25">
      <c r="A376" s="1">
        <v>23045</v>
      </c>
      <c r="B376" s="2">
        <v>22</v>
      </c>
      <c r="C376" s="2">
        <v>23</v>
      </c>
      <c r="D376" s="2">
        <v>0.54700000000000004</v>
      </c>
      <c r="E376" s="2" t="s">
        <v>376</v>
      </c>
    </row>
    <row r="377" spans="1:5" x14ac:dyDescent="0.25">
      <c r="A377" s="1">
        <v>23046</v>
      </c>
      <c r="B377" s="2">
        <v>23</v>
      </c>
      <c r="C377" s="2">
        <v>23</v>
      </c>
      <c r="D377" s="2">
        <v>0.42249999999999999</v>
      </c>
      <c r="E377" s="2" t="s">
        <v>377</v>
      </c>
    </row>
    <row r="378" spans="1:5" x14ac:dyDescent="0.25">
      <c r="A378" s="1">
        <v>23047</v>
      </c>
      <c r="B378" s="2">
        <v>24</v>
      </c>
      <c r="C378" s="2">
        <v>23</v>
      </c>
      <c r="D378" s="2">
        <v>1956</v>
      </c>
      <c r="E378" s="2" t="s">
        <v>378</v>
      </c>
    </row>
    <row r="379" spans="1:5" x14ac:dyDescent="0.25">
      <c r="A379" s="1">
        <v>23048</v>
      </c>
      <c r="B379" s="2">
        <v>25</v>
      </c>
      <c r="C379" s="2">
        <v>23</v>
      </c>
      <c r="D379" s="2">
        <v>1380110.4</v>
      </c>
      <c r="E379" s="2" t="s">
        <v>379</v>
      </c>
    </row>
    <row r="380" spans="1:5" x14ac:dyDescent="0.25">
      <c r="A380" s="1">
        <v>23049</v>
      </c>
      <c r="B380" s="2">
        <v>26</v>
      </c>
      <c r="C380" s="2">
        <v>23</v>
      </c>
      <c r="D380" s="2">
        <v>28512000</v>
      </c>
      <c r="E380" s="2" t="s">
        <v>380</v>
      </c>
    </row>
    <row r="381" spans="1:5" x14ac:dyDescent="0.25">
      <c r="A381" s="1">
        <v>23050</v>
      </c>
      <c r="B381" s="2">
        <v>27</v>
      </c>
      <c r="C381" s="2">
        <v>23</v>
      </c>
      <c r="D381" s="2">
        <v>6.6270959999999998E+24</v>
      </c>
      <c r="E381" s="2" t="s">
        <v>381</v>
      </c>
    </row>
    <row r="382" spans="1:5" x14ac:dyDescent="0.25">
      <c r="A382" s="1">
        <v>23051</v>
      </c>
      <c r="B382" s="2">
        <v>28</v>
      </c>
      <c r="C382" s="2">
        <v>23</v>
      </c>
      <c r="D382" s="2" t="s">
        <v>3</v>
      </c>
      <c r="E382" s="2" t="s">
        <v>382</v>
      </c>
    </row>
    <row r="383" spans="1:5" x14ac:dyDescent="0.25">
      <c r="A383" s="1">
        <v>23052</v>
      </c>
      <c r="B383" s="2">
        <v>29</v>
      </c>
      <c r="C383" s="2">
        <v>23</v>
      </c>
      <c r="D383" s="2">
        <v>224.57999999999899</v>
      </c>
      <c r="E383" s="2" t="s">
        <v>383</v>
      </c>
    </row>
    <row r="384" spans="1:5" x14ac:dyDescent="0.25">
      <c r="A384" s="1">
        <v>23053</v>
      </c>
      <c r="B384" s="2">
        <v>30</v>
      </c>
      <c r="C384" s="2">
        <v>23</v>
      </c>
      <c r="D384" s="2">
        <v>92.58</v>
      </c>
      <c r="E384" s="2" t="s">
        <v>384</v>
      </c>
    </row>
    <row r="385" spans="1:5" x14ac:dyDescent="0.25">
      <c r="A385" s="1">
        <v>23054</v>
      </c>
      <c r="B385" s="2">
        <v>31</v>
      </c>
      <c r="C385" s="2">
        <v>23</v>
      </c>
      <c r="D385" s="2">
        <v>49.8</v>
      </c>
      <c r="E385" s="2" t="s">
        <v>385</v>
      </c>
    </row>
    <row r="386" spans="1:5" x14ac:dyDescent="0.25">
      <c r="A386" s="1">
        <v>23055</v>
      </c>
      <c r="B386" s="2">
        <v>32</v>
      </c>
      <c r="C386" s="2">
        <v>23</v>
      </c>
      <c r="D386" s="2">
        <v>6.54</v>
      </c>
      <c r="E386" s="2" t="s">
        <v>386</v>
      </c>
    </row>
    <row r="387" spans="1:5" x14ac:dyDescent="0.25">
      <c r="A387" s="1">
        <v>23056</v>
      </c>
      <c r="B387" s="2">
        <v>33</v>
      </c>
      <c r="C387" s="2">
        <v>23</v>
      </c>
      <c r="D387" s="2">
        <v>0.216</v>
      </c>
      <c r="E387" s="2" t="s">
        <v>387</v>
      </c>
    </row>
    <row r="388" spans="1:5" x14ac:dyDescent="0.25">
      <c r="A388" s="1">
        <v>23057</v>
      </c>
      <c r="B388" s="2">
        <v>34</v>
      </c>
      <c r="C388" s="2">
        <v>23</v>
      </c>
      <c r="D388" s="2">
        <v>0.34699999999999998</v>
      </c>
      <c r="E388" s="2" t="s">
        <v>388</v>
      </c>
    </row>
    <row r="389" spans="1:5" x14ac:dyDescent="0.25">
      <c r="A389" s="1">
        <v>23058</v>
      </c>
      <c r="B389" s="2">
        <v>35</v>
      </c>
      <c r="C389" s="2">
        <v>23</v>
      </c>
      <c r="D389" s="2">
        <v>0.19</v>
      </c>
      <c r="E389" s="2" t="s">
        <v>389</v>
      </c>
    </row>
    <row r="390" spans="1:5" x14ac:dyDescent="0.25">
      <c r="A390" s="1">
        <v>23059</v>
      </c>
      <c r="B390" s="2">
        <v>36</v>
      </c>
      <c r="C390" s="2">
        <v>23</v>
      </c>
      <c r="D390" s="2">
        <v>9.1999999999999998E-2</v>
      </c>
      <c r="E390" s="2" t="s">
        <v>390</v>
      </c>
    </row>
    <row r="391" spans="1:5" x14ac:dyDescent="0.25">
      <c r="A391" s="1">
        <v>23060</v>
      </c>
      <c r="B391" s="2">
        <v>37</v>
      </c>
      <c r="C391" s="2">
        <v>23</v>
      </c>
      <c r="D391" s="2">
        <v>0.04</v>
      </c>
      <c r="E391" s="2" t="s">
        <v>391</v>
      </c>
    </row>
    <row r="392" spans="1:5" x14ac:dyDescent="0.25">
      <c r="A392" s="1">
        <v>23061</v>
      </c>
      <c r="B392" s="2">
        <v>38</v>
      </c>
      <c r="C392" s="2">
        <v>23</v>
      </c>
      <c r="D392" s="2">
        <v>4.8299999999999899E-2</v>
      </c>
      <c r="E392" s="2" t="s">
        <v>392</v>
      </c>
    </row>
    <row r="393" spans="1:5" x14ac:dyDescent="0.25">
      <c r="A393" s="1">
        <v>23062</v>
      </c>
      <c r="B393" s="2">
        <v>39</v>
      </c>
      <c r="C393" s="2">
        <v>23</v>
      </c>
      <c r="D393" s="2">
        <v>3.3500000000000002E-2</v>
      </c>
      <c r="E393" s="2" t="s">
        <v>393</v>
      </c>
    </row>
    <row r="394" spans="1:5" x14ac:dyDescent="0.25">
      <c r="A394" s="1">
        <v>23063</v>
      </c>
      <c r="B394" s="2">
        <v>40</v>
      </c>
      <c r="C394" s="2">
        <v>23</v>
      </c>
      <c r="D394" s="2">
        <v>1.9599999999999999E-2</v>
      </c>
      <c r="E394" s="2" t="s">
        <v>394</v>
      </c>
    </row>
    <row r="395" spans="1:5" x14ac:dyDescent="0.25">
      <c r="A395" s="1">
        <v>23064</v>
      </c>
      <c r="B395" s="2">
        <v>41</v>
      </c>
      <c r="C395" s="2">
        <v>23</v>
      </c>
      <c r="D395" s="2">
        <v>1.4999999999999999E-2</v>
      </c>
      <c r="E395" s="2" t="s">
        <v>395</v>
      </c>
    </row>
    <row r="396" spans="1:5" x14ac:dyDescent="0.25">
      <c r="A396" s="1">
        <v>23065</v>
      </c>
      <c r="B396" s="2">
        <v>42</v>
      </c>
      <c r="C396" s="2">
        <v>23</v>
      </c>
      <c r="D396" s="2">
        <v>3.5999999999999999E-7</v>
      </c>
      <c r="E396" s="2" t="s">
        <v>396</v>
      </c>
    </row>
    <row r="397" spans="1:5" x14ac:dyDescent="0.25">
      <c r="A397" s="1">
        <v>23066</v>
      </c>
      <c r="B397" s="2">
        <v>43</v>
      </c>
      <c r="C397" s="2">
        <v>23</v>
      </c>
      <c r="D397" s="2">
        <v>3.5999999999999999E-7</v>
      </c>
      <c r="E397" s="2" t="s">
        <v>397</v>
      </c>
    </row>
    <row r="398" spans="1:5" x14ac:dyDescent="0.25">
      <c r="A398" s="1">
        <v>24042</v>
      </c>
      <c r="B398" s="2">
        <v>18</v>
      </c>
      <c r="C398" s="2">
        <v>24</v>
      </c>
      <c r="D398" s="2">
        <v>1.3299999999999999E-2</v>
      </c>
      <c r="E398" s="2" t="s">
        <v>398</v>
      </c>
    </row>
    <row r="399" spans="1:5" x14ac:dyDescent="0.25">
      <c r="A399" s="1">
        <v>24043</v>
      </c>
      <c r="B399" s="2">
        <v>19</v>
      </c>
      <c r="C399" s="2">
        <v>24</v>
      </c>
      <c r="D399" s="2">
        <v>2.12E-2</v>
      </c>
      <c r="E399" s="2" t="s">
        <v>399</v>
      </c>
    </row>
    <row r="400" spans="1:5" x14ac:dyDescent="0.25">
      <c r="A400" s="1">
        <v>24044</v>
      </c>
      <c r="B400" s="2">
        <v>20</v>
      </c>
      <c r="C400" s="2">
        <v>24</v>
      </c>
      <c r="D400" s="2">
        <v>4.2799999999999998E-2</v>
      </c>
      <c r="E400" s="2" t="s">
        <v>400</v>
      </c>
    </row>
    <row r="401" spans="1:5" x14ac:dyDescent="0.25">
      <c r="A401" s="1">
        <v>24045</v>
      </c>
      <c r="B401" s="2">
        <v>21</v>
      </c>
      <c r="C401" s="2">
        <v>24</v>
      </c>
      <c r="D401" s="2">
        <v>6.0900000000000003E-2</v>
      </c>
      <c r="E401" s="2" t="s">
        <v>401</v>
      </c>
    </row>
    <row r="402" spans="1:5" x14ac:dyDescent="0.25">
      <c r="A402" s="1">
        <v>24046</v>
      </c>
      <c r="B402" s="2">
        <v>22</v>
      </c>
      <c r="C402" s="2">
        <v>24</v>
      </c>
      <c r="D402" s="2">
        <v>0.26</v>
      </c>
      <c r="E402" s="2" t="s">
        <v>402</v>
      </c>
    </row>
    <row r="403" spans="1:5" x14ac:dyDescent="0.25">
      <c r="A403" s="1">
        <v>24047</v>
      </c>
      <c r="B403" s="2">
        <v>23</v>
      </c>
      <c r="C403" s="2">
        <v>24</v>
      </c>
      <c r="D403" s="2">
        <v>0.5</v>
      </c>
      <c r="E403" s="2" t="s">
        <v>403</v>
      </c>
    </row>
    <row r="404" spans="1:5" x14ac:dyDescent="0.25">
      <c r="A404" s="1">
        <v>24048</v>
      </c>
      <c r="B404" s="2">
        <v>24</v>
      </c>
      <c r="C404" s="2">
        <v>24</v>
      </c>
      <c r="D404" s="2">
        <v>77616</v>
      </c>
      <c r="E404" s="2" t="s">
        <v>404</v>
      </c>
    </row>
    <row r="405" spans="1:5" x14ac:dyDescent="0.25">
      <c r="A405" s="1">
        <v>24049</v>
      </c>
      <c r="B405" s="2">
        <v>25</v>
      </c>
      <c r="C405" s="2">
        <v>24</v>
      </c>
      <c r="D405" s="2">
        <v>2538</v>
      </c>
      <c r="E405" s="2" t="s">
        <v>405</v>
      </c>
    </row>
    <row r="406" spans="1:5" x14ac:dyDescent="0.25">
      <c r="A406" s="1">
        <v>24050</v>
      </c>
      <c r="B406" s="2">
        <v>26</v>
      </c>
      <c r="C406" s="2">
        <v>24</v>
      </c>
      <c r="D406" s="2">
        <v>4.1024880000000004E+25</v>
      </c>
      <c r="E406" s="2" t="s">
        <v>406</v>
      </c>
    </row>
    <row r="407" spans="1:5" x14ac:dyDescent="0.25">
      <c r="A407" s="1">
        <v>24051</v>
      </c>
      <c r="B407" s="2">
        <v>27</v>
      </c>
      <c r="C407" s="2">
        <v>24</v>
      </c>
      <c r="D407" s="2">
        <v>2393496</v>
      </c>
      <c r="E407" s="2" t="s">
        <v>407</v>
      </c>
    </row>
    <row r="408" spans="1:5" x14ac:dyDescent="0.25">
      <c r="A408" s="1">
        <v>24052</v>
      </c>
      <c r="B408" s="2">
        <v>28</v>
      </c>
      <c r="C408" s="2">
        <v>24</v>
      </c>
      <c r="D408" s="2" t="s">
        <v>3</v>
      </c>
      <c r="E408" s="2" t="s">
        <v>408</v>
      </c>
    </row>
    <row r="409" spans="1:5" x14ac:dyDescent="0.25">
      <c r="A409" s="1">
        <v>24053</v>
      </c>
      <c r="B409" s="2">
        <v>29</v>
      </c>
      <c r="C409" s="2">
        <v>24</v>
      </c>
      <c r="D409" s="2" t="s">
        <v>3</v>
      </c>
      <c r="E409" s="2" t="s">
        <v>409</v>
      </c>
    </row>
    <row r="410" spans="1:5" x14ac:dyDescent="0.25">
      <c r="A410" s="1">
        <v>24054</v>
      </c>
      <c r="B410" s="2">
        <v>30</v>
      </c>
      <c r="C410" s="2">
        <v>24</v>
      </c>
      <c r="D410" s="2" t="s">
        <v>3</v>
      </c>
      <c r="E410" s="2" t="s">
        <v>410</v>
      </c>
    </row>
    <row r="411" spans="1:5" x14ac:dyDescent="0.25">
      <c r="A411" s="1">
        <v>24055</v>
      </c>
      <c r="B411" s="2">
        <v>31</v>
      </c>
      <c r="C411" s="2">
        <v>24</v>
      </c>
      <c r="D411" s="2">
        <v>209.82</v>
      </c>
      <c r="E411" s="2" t="s">
        <v>411</v>
      </c>
    </row>
    <row r="412" spans="1:5" x14ac:dyDescent="0.25">
      <c r="A412" s="1">
        <v>24056</v>
      </c>
      <c r="B412" s="2">
        <v>32</v>
      </c>
      <c r="C412" s="2">
        <v>24</v>
      </c>
      <c r="D412" s="2">
        <v>356.4</v>
      </c>
      <c r="E412" s="2" t="s">
        <v>412</v>
      </c>
    </row>
    <row r="413" spans="1:5" x14ac:dyDescent="0.25">
      <c r="A413" s="1">
        <v>24057</v>
      </c>
      <c r="B413" s="2">
        <v>33</v>
      </c>
      <c r="C413" s="2">
        <v>24</v>
      </c>
      <c r="D413" s="2">
        <v>21.1</v>
      </c>
      <c r="E413" s="2" t="s">
        <v>413</v>
      </c>
    </row>
    <row r="414" spans="1:5" x14ac:dyDescent="0.25">
      <c r="A414" s="1">
        <v>24058</v>
      </c>
      <c r="B414" s="2">
        <v>34</v>
      </c>
      <c r="C414" s="2">
        <v>24</v>
      </c>
      <c r="D414" s="2">
        <v>7</v>
      </c>
      <c r="E414" s="2" t="s">
        <v>414</v>
      </c>
    </row>
    <row r="415" spans="1:5" x14ac:dyDescent="0.25">
      <c r="A415" s="1">
        <v>24059</v>
      </c>
      <c r="B415" s="2">
        <v>35</v>
      </c>
      <c r="C415" s="2">
        <v>24</v>
      </c>
      <c r="D415" s="2">
        <v>1.05</v>
      </c>
      <c r="E415" s="2" t="s">
        <v>415</v>
      </c>
    </row>
    <row r="416" spans="1:5" x14ac:dyDescent="0.25">
      <c r="A416" s="1">
        <v>24060</v>
      </c>
      <c r="B416" s="2">
        <v>36</v>
      </c>
      <c r="C416" s="2">
        <v>24</v>
      </c>
      <c r="D416" s="2">
        <v>0.49199999999999999</v>
      </c>
      <c r="E416" s="2" t="s">
        <v>416</v>
      </c>
    </row>
    <row r="417" spans="1:5" x14ac:dyDescent="0.25">
      <c r="A417" s="1">
        <v>24061</v>
      </c>
      <c r="B417" s="2">
        <v>37</v>
      </c>
      <c r="C417" s="2">
        <v>24</v>
      </c>
      <c r="D417" s="2">
        <v>0.23400000000000001</v>
      </c>
      <c r="E417" s="2" t="s">
        <v>417</v>
      </c>
    </row>
    <row r="418" spans="1:5" x14ac:dyDescent="0.25">
      <c r="A418" s="1">
        <v>24062</v>
      </c>
      <c r="B418" s="2">
        <v>38</v>
      </c>
      <c r="C418" s="2">
        <v>24</v>
      </c>
      <c r="D418" s="2">
        <v>0.2</v>
      </c>
      <c r="E418" s="2" t="s">
        <v>418</v>
      </c>
    </row>
    <row r="419" spans="1:5" x14ac:dyDescent="0.25">
      <c r="A419" s="1">
        <v>24063</v>
      </c>
      <c r="B419" s="2">
        <v>39</v>
      </c>
      <c r="C419" s="2">
        <v>24</v>
      </c>
      <c r="D419" s="2">
        <v>0.129</v>
      </c>
      <c r="E419" s="2" t="s">
        <v>419</v>
      </c>
    </row>
    <row r="420" spans="1:5" x14ac:dyDescent="0.25">
      <c r="A420" s="1">
        <v>24064</v>
      </c>
      <c r="B420" s="2">
        <v>40</v>
      </c>
      <c r="C420" s="2">
        <v>24</v>
      </c>
      <c r="D420" s="2">
        <v>4.2900000000000001E-2</v>
      </c>
      <c r="E420" s="2" t="s">
        <v>420</v>
      </c>
    </row>
    <row r="421" spans="1:5" x14ac:dyDescent="0.25">
      <c r="A421" s="1">
        <v>24065</v>
      </c>
      <c r="B421" s="2">
        <v>41</v>
      </c>
      <c r="C421" s="2">
        <v>24</v>
      </c>
      <c r="D421" s="2">
        <v>2.8000000000000001E-2</v>
      </c>
      <c r="E421" s="2" t="s">
        <v>421</v>
      </c>
    </row>
    <row r="422" spans="1:5" x14ac:dyDescent="0.25">
      <c r="A422" s="1">
        <v>24066</v>
      </c>
      <c r="B422" s="2">
        <v>42</v>
      </c>
      <c r="C422" s="2">
        <v>24</v>
      </c>
      <c r="D422" s="2">
        <v>2.3E-2</v>
      </c>
      <c r="E422" s="2" t="s">
        <v>422</v>
      </c>
    </row>
    <row r="423" spans="1:5" x14ac:dyDescent="0.25">
      <c r="A423" s="1">
        <v>24068</v>
      </c>
      <c r="B423" s="2">
        <v>44</v>
      </c>
      <c r="C423" s="2">
        <v>24</v>
      </c>
      <c r="D423" s="2">
        <v>5.9999999999999995E-8</v>
      </c>
      <c r="E423" s="2" t="s">
        <v>423</v>
      </c>
    </row>
    <row r="424" spans="1:5" x14ac:dyDescent="0.25">
      <c r="A424" s="1">
        <v>25046</v>
      </c>
      <c r="B424" s="2">
        <v>21</v>
      </c>
      <c r="C424" s="2">
        <v>25</v>
      </c>
      <c r="D424" s="2">
        <v>3.6200000000000003E-2</v>
      </c>
      <c r="E424" s="2" t="s">
        <v>424</v>
      </c>
    </row>
    <row r="425" spans="1:5" x14ac:dyDescent="0.25">
      <c r="A425" s="1">
        <v>25047</v>
      </c>
      <c r="B425" s="2">
        <v>22</v>
      </c>
      <c r="C425" s="2">
        <v>25</v>
      </c>
      <c r="D425" s="2">
        <v>8.7999999999999995E-2</v>
      </c>
      <c r="E425" s="2" t="s">
        <v>425</v>
      </c>
    </row>
    <row r="426" spans="1:5" x14ac:dyDescent="0.25">
      <c r="A426" s="1">
        <v>25048</v>
      </c>
      <c r="B426" s="2">
        <v>23</v>
      </c>
      <c r="C426" s="2">
        <v>25</v>
      </c>
      <c r="D426" s="2">
        <v>0.15809999999999999</v>
      </c>
      <c r="E426" s="2" t="s">
        <v>426</v>
      </c>
    </row>
    <row r="427" spans="1:5" x14ac:dyDescent="0.25">
      <c r="A427" s="1">
        <v>25049</v>
      </c>
      <c r="B427" s="2">
        <v>24</v>
      </c>
      <c r="C427" s="2">
        <v>25</v>
      </c>
      <c r="D427" s="2">
        <v>0.38200000000000001</v>
      </c>
      <c r="E427" s="2" t="s">
        <v>427</v>
      </c>
    </row>
    <row r="428" spans="1:5" x14ac:dyDescent="0.25">
      <c r="A428" s="1">
        <v>25050</v>
      </c>
      <c r="B428" s="2">
        <v>25</v>
      </c>
      <c r="C428" s="2">
        <v>25</v>
      </c>
      <c r="D428" s="2">
        <v>0.28319</v>
      </c>
      <c r="E428" s="2" t="s">
        <v>428</v>
      </c>
    </row>
    <row r="429" spans="1:5" x14ac:dyDescent="0.25">
      <c r="A429" s="1">
        <v>25051</v>
      </c>
      <c r="B429" s="2">
        <v>26</v>
      </c>
      <c r="C429" s="2">
        <v>25</v>
      </c>
      <c r="D429" s="2">
        <v>2772</v>
      </c>
      <c r="E429" s="2" t="s">
        <v>429</v>
      </c>
    </row>
    <row r="430" spans="1:5" x14ac:dyDescent="0.25">
      <c r="A430" s="1">
        <v>25052</v>
      </c>
      <c r="B430" s="2">
        <v>27</v>
      </c>
      <c r="C430" s="2">
        <v>25</v>
      </c>
      <c r="D430" s="2">
        <v>483062.4</v>
      </c>
      <c r="E430" s="2" t="s">
        <v>430</v>
      </c>
    </row>
    <row r="431" spans="1:5" x14ac:dyDescent="0.25">
      <c r="A431" s="1">
        <v>25053</v>
      </c>
      <c r="B431" s="2">
        <v>28</v>
      </c>
      <c r="C431" s="2">
        <v>25</v>
      </c>
      <c r="D431" s="2">
        <v>118025424000000</v>
      </c>
      <c r="E431" s="2" t="s">
        <v>431</v>
      </c>
    </row>
    <row r="432" spans="1:5" x14ac:dyDescent="0.25">
      <c r="A432" s="1">
        <v>25054</v>
      </c>
      <c r="B432" s="2">
        <v>29</v>
      </c>
      <c r="C432" s="2">
        <v>25</v>
      </c>
      <c r="D432" s="2">
        <v>26974080</v>
      </c>
      <c r="E432" s="2" t="s">
        <v>432</v>
      </c>
    </row>
    <row r="433" spans="1:5" x14ac:dyDescent="0.25">
      <c r="A433" s="1">
        <v>25055</v>
      </c>
      <c r="B433" s="2">
        <v>30</v>
      </c>
      <c r="C433" s="2">
        <v>25</v>
      </c>
      <c r="D433" s="2" t="s">
        <v>3</v>
      </c>
      <c r="E433" s="2" t="s">
        <v>433</v>
      </c>
    </row>
    <row r="434" spans="1:5" x14ac:dyDescent="0.25">
      <c r="A434" s="1">
        <v>25056</v>
      </c>
      <c r="B434" s="2">
        <v>31</v>
      </c>
      <c r="C434" s="2">
        <v>25</v>
      </c>
      <c r="D434" s="2">
        <v>9284.03999999999</v>
      </c>
      <c r="E434" s="2" t="s">
        <v>434</v>
      </c>
    </row>
    <row r="435" spans="1:5" x14ac:dyDescent="0.25">
      <c r="A435" s="1">
        <v>25057</v>
      </c>
      <c r="B435" s="2">
        <v>32</v>
      </c>
      <c r="C435" s="2">
        <v>25</v>
      </c>
      <c r="D435" s="2">
        <v>85.4</v>
      </c>
      <c r="E435" s="2" t="s">
        <v>435</v>
      </c>
    </row>
    <row r="436" spans="1:5" x14ac:dyDescent="0.25">
      <c r="A436" s="1">
        <v>25058</v>
      </c>
      <c r="B436" s="2">
        <v>33</v>
      </c>
      <c r="C436" s="2">
        <v>25</v>
      </c>
      <c r="D436" s="2">
        <v>3</v>
      </c>
      <c r="E436" s="2" t="s">
        <v>436</v>
      </c>
    </row>
    <row r="437" spans="1:5" x14ac:dyDescent="0.25">
      <c r="A437" s="1">
        <v>25059</v>
      </c>
      <c r="B437" s="2">
        <v>34</v>
      </c>
      <c r="C437" s="2">
        <v>25</v>
      </c>
      <c r="D437" s="2">
        <v>4.59</v>
      </c>
      <c r="E437" s="2" t="s">
        <v>437</v>
      </c>
    </row>
    <row r="438" spans="1:5" x14ac:dyDescent="0.25">
      <c r="A438" s="1">
        <v>25060</v>
      </c>
      <c r="B438" s="2">
        <v>35</v>
      </c>
      <c r="C438" s="2">
        <v>25</v>
      </c>
      <c r="D438" s="2">
        <v>0.28000000000000003</v>
      </c>
      <c r="E438" s="2" t="s">
        <v>438</v>
      </c>
    </row>
    <row r="439" spans="1:5" x14ac:dyDescent="0.25">
      <c r="A439" s="1">
        <v>25061</v>
      </c>
      <c r="B439" s="2">
        <v>36</v>
      </c>
      <c r="C439" s="2">
        <v>25</v>
      </c>
      <c r="D439" s="2">
        <v>0.70899999999999996</v>
      </c>
      <c r="E439" s="2" t="s">
        <v>439</v>
      </c>
    </row>
    <row r="440" spans="1:5" x14ac:dyDescent="0.25">
      <c r="A440" s="1">
        <v>25062</v>
      </c>
      <c r="B440" s="2">
        <v>37</v>
      </c>
      <c r="C440" s="2">
        <v>25</v>
      </c>
      <c r="D440" s="2">
        <v>9.1999999999999998E-2</v>
      </c>
      <c r="E440" s="2" t="s">
        <v>440</v>
      </c>
    </row>
    <row r="441" spans="1:5" x14ac:dyDescent="0.25">
      <c r="A441" s="1">
        <v>25063</v>
      </c>
      <c r="B441" s="2">
        <v>38</v>
      </c>
      <c r="C441" s="2">
        <v>25</v>
      </c>
      <c r="D441" s="2">
        <v>0.27600000000000002</v>
      </c>
      <c r="E441" s="2" t="s">
        <v>441</v>
      </c>
    </row>
    <row r="442" spans="1:5" x14ac:dyDescent="0.25">
      <c r="A442" s="1">
        <v>25064</v>
      </c>
      <c r="B442" s="2">
        <v>39</v>
      </c>
      <c r="C442" s="2">
        <v>25</v>
      </c>
      <c r="D442" s="2">
        <v>0.09</v>
      </c>
      <c r="E442" s="2" t="s">
        <v>442</v>
      </c>
    </row>
    <row r="443" spans="1:5" x14ac:dyDescent="0.25">
      <c r="A443" s="1">
        <v>25065</v>
      </c>
      <c r="B443" s="2">
        <v>40</v>
      </c>
      <c r="C443" s="2">
        <v>25</v>
      </c>
      <c r="D443" s="2">
        <v>9.1899999999999996E-2</v>
      </c>
      <c r="E443" s="2" t="s">
        <v>443</v>
      </c>
    </row>
    <row r="444" spans="1:5" x14ac:dyDescent="0.25">
      <c r="A444" s="1">
        <v>25066</v>
      </c>
      <c r="B444" s="2">
        <v>41</v>
      </c>
      <c r="C444" s="2">
        <v>25</v>
      </c>
      <c r="D444" s="2">
        <v>6.5000000000000002E-2</v>
      </c>
      <c r="E444" s="2" t="s">
        <v>444</v>
      </c>
    </row>
    <row r="445" spans="1:5" x14ac:dyDescent="0.25">
      <c r="A445" s="1">
        <v>25067</v>
      </c>
      <c r="B445" s="2">
        <v>42</v>
      </c>
      <c r="C445" s="2">
        <v>25</v>
      </c>
      <c r="D445" s="2">
        <v>4.7E-2</v>
      </c>
      <c r="E445" s="2" t="s">
        <v>445</v>
      </c>
    </row>
    <row r="446" spans="1:5" x14ac:dyDescent="0.25">
      <c r="A446" s="1">
        <v>25068</v>
      </c>
      <c r="B446" s="2">
        <v>43</v>
      </c>
      <c r="C446" s="2">
        <v>25</v>
      </c>
      <c r="D446" s="2">
        <v>2.8000000000000001E-2</v>
      </c>
      <c r="E446" s="2" t="s">
        <v>446</v>
      </c>
    </row>
    <row r="447" spans="1:5" x14ac:dyDescent="0.25">
      <c r="A447" s="1">
        <v>25069</v>
      </c>
      <c r="B447" s="2">
        <v>44</v>
      </c>
      <c r="C447" s="2">
        <v>25</v>
      </c>
      <c r="D447" s="2">
        <v>1.6E-2</v>
      </c>
      <c r="E447" s="2" t="s">
        <v>447</v>
      </c>
    </row>
    <row r="448" spans="1:5" x14ac:dyDescent="0.25">
      <c r="A448" s="1">
        <v>25070</v>
      </c>
      <c r="B448" s="2">
        <v>45</v>
      </c>
      <c r="C448" s="2">
        <v>25</v>
      </c>
      <c r="D448" s="2">
        <v>3.5999999999999999E-7</v>
      </c>
      <c r="E448" s="2" t="s">
        <v>448</v>
      </c>
    </row>
    <row r="449" spans="1:5" x14ac:dyDescent="0.25">
      <c r="A449" s="1">
        <v>25071</v>
      </c>
      <c r="B449" s="2">
        <v>46</v>
      </c>
      <c r="C449" s="2">
        <v>25</v>
      </c>
      <c r="D449" s="2">
        <v>6.37E-7</v>
      </c>
      <c r="E449" s="2" t="s">
        <v>449</v>
      </c>
    </row>
    <row r="450" spans="1:5" x14ac:dyDescent="0.25">
      <c r="A450" s="1">
        <v>26045</v>
      </c>
      <c r="B450" s="2">
        <v>19</v>
      </c>
      <c r="C450" s="2">
        <v>26</v>
      </c>
      <c r="D450" s="2">
        <v>2.4499999999999999E-3</v>
      </c>
      <c r="E450" s="2" t="s">
        <v>450</v>
      </c>
    </row>
    <row r="451" spans="1:5" x14ac:dyDescent="0.25">
      <c r="A451" s="1">
        <v>26046</v>
      </c>
      <c r="B451" s="2">
        <v>20</v>
      </c>
      <c r="C451" s="2">
        <v>26</v>
      </c>
      <c r="D451" s="2">
        <v>1.2999999999999999E-2</v>
      </c>
      <c r="E451" s="2" t="s">
        <v>451</v>
      </c>
    </row>
    <row r="452" spans="1:5" x14ac:dyDescent="0.25">
      <c r="A452" s="1">
        <v>26047</v>
      </c>
      <c r="B452" s="2">
        <v>21</v>
      </c>
      <c r="C452" s="2">
        <v>26</v>
      </c>
      <c r="D452" s="2">
        <v>2.1899999999999999E-2</v>
      </c>
      <c r="E452" s="2" t="s">
        <v>452</v>
      </c>
    </row>
    <row r="453" spans="1:5" x14ac:dyDescent="0.25">
      <c r="A453" s="1">
        <v>26048</v>
      </c>
      <c r="B453" s="2">
        <v>22</v>
      </c>
      <c r="C453" s="2">
        <v>26</v>
      </c>
      <c r="D453" s="2">
        <v>4.53E-2</v>
      </c>
      <c r="E453" s="2" t="s">
        <v>453</v>
      </c>
    </row>
    <row r="454" spans="1:5" x14ac:dyDescent="0.25">
      <c r="A454" s="1">
        <v>26049</v>
      </c>
      <c r="B454" s="2">
        <v>23</v>
      </c>
      <c r="C454" s="2">
        <v>26</v>
      </c>
      <c r="D454" s="2">
        <v>6.4699999999999994E-2</v>
      </c>
      <c r="E454" s="2" t="s">
        <v>454</v>
      </c>
    </row>
    <row r="455" spans="1:5" x14ac:dyDescent="0.25">
      <c r="A455" s="1">
        <v>26050</v>
      </c>
      <c r="B455" s="2">
        <v>24</v>
      </c>
      <c r="C455" s="2">
        <v>26</v>
      </c>
      <c r="D455" s="2">
        <v>0.155</v>
      </c>
      <c r="E455" s="2" t="s">
        <v>455</v>
      </c>
    </row>
    <row r="456" spans="1:5" x14ac:dyDescent="0.25">
      <c r="A456" s="1">
        <v>26051</v>
      </c>
      <c r="B456" s="2">
        <v>25</v>
      </c>
      <c r="C456" s="2">
        <v>26</v>
      </c>
      <c r="D456" s="2">
        <v>0.30499999999999999</v>
      </c>
      <c r="E456" s="2" t="s">
        <v>456</v>
      </c>
    </row>
    <row r="457" spans="1:5" x14ac:dyDescent="0.25">
      <c r="A457" s="1">
        <v>26052</v>
      </c>
      <c r="B457" s="2">
        <v>26</v>
      </c>
      <c r="C457" s="2">
        <v>26</v>
      </c>
      <c r="D457" s="2">
        <v>29790</v>
      </c>
      <c r="E457" s="2" t="s">
        <v>457</v>
      </c>
    </row>
    <row r="458" spans="1:5" x14ac:dyDescent="0.25">
      <c r="A458" s="1">
        <v>26053</v>
      </c>
      <c r="B458" s="2">
        <v>27</v>
      </c>
      <c r="C458" s="2">
        <v>26</v>
      </c>
      <c r="D458" s="2">
        <v>510.599999999999</v>
      </c>
      <c r="E458" s="2" t="s">
        <v>458</v>
      </c>
    </row>
    <row r="459" spans="1:5" x14ac:dyDescent="0.25">
      <c r="A459" s="1">
        <v>26054</v>
      </c>
      <c r="B459" s="2">
        <v>28</v>
      </c>
      <c r="C459" s="2">
        <v>26</v>
      </c>
      <c r="D459" s="2" t="s">
        <v>3</v>
      </c>
      <c r="E459" s="2" t="s">
        <v>459</v>
      </c>
    </row>
    <row r="460" spans="1:5" x14ac:dyDescent="0.25">
      <c r="A460" s="1">
        <v>26055</v>
      </c>
      <c r="B460" s="2">
        <v>29</v>
      </c>
      <c r="C460" s="2">
        <v>26</v>
      </c>
      <c r="D460" s="2">
        <v>86594054.400000006</v>
      </c>
      <c r="E460" s="2" t="s">
        <v>460</v>
      </c>
    </row>
    <row r="461" spans="1:5" x14ac:dyDescent="0.25">
      <c r="A461" s="1">
        <v>26056</v>
      </c>
      <c r="B461" s="2">
        <v>30</v>
      </c>
      <c r="C461" s="2">
        <v>26</v>
      </c>
      <c r="D461" s="2" t="s">
        <v>3</v>
      </c>
      <c r="E461" s="2" t="s">
        <v>461</v>
      </c>
    </row>
    <row r="462" spans="1:5" x14ac:dyDescent="0.25">
      <c r="A462" s="1">
        <v>26057</v>
      </c>
      <c r="B462" s="2">
        <v>31</v>
      </c>
      <c r="C462" s="2">
        <v>26</v>
      </c>
      <c r="D462" s="2" t="s">
        <v>3</v>
      </c>
      <c r="E462" s="2" t="s">
        <v>462</v>
      </c>
    </row>
    <row r="463" spans="1:5" x14ac:dyDescent="0.25">
      <c r="A463" s="1">
        <v>26058</v>
      </c>
      <c r="B463" s="2">
        <v>32</v>
      </c>
      <c r="C463" s="2">
        <v>26</v>
      </c>
      <c r="D463" s="2" t="s">
        <v>3</v>
      </c>
      <c r="E463" s="2" t="s">
        <v>463</v>
      </c>
    </row>
    <row r="464" spans="1:5" x14ac:dyDescent="0.25">
      <c r="A464" s="1">
        <v>26059</v>
      </c>
      <c r="B464" s="2">
        <v>33</v>
      </c>
      <c r="C464" s="2">
        <v>26</v>
      </c>
      <c r="D464" s="2">
        <v>3844368</v>
      </c>
      <c r="E464" s="2" t="s">
        <v>464</v>
      </c>
    </row>
    <row r="465" spans="1:5" x14ac:dyDescent="0.25">
      <c r="A465" s="1">
        <v>26060</v>
      </c>
      <c r="B465" s="2">
        <v>34</v>
      </c>
      <c r="C465" s="2">
        <v>26</v>
      </c>
      <c r="D465" s="2">
        <v>82680912000000</v>
      </c>
      <c r="E465" s="2" t="s">
        <v>465</v>
      </c>
    </row>
    <row r="466" spans="1:5" x14ac:dyDescent="0.25">
      <c r="A466" s="1">
        <v>26061</v>
      </c>
      <c r="B466" s="2">
        <v>35</v>
      </c>
      <c r="C466" s="2">
        <v>26</v>
      </c>
      <c r="D466" s="2">
        <v>358.8</v>
      </c>
      <c r="E466" s="2" t="s">
        <v>466</v>
      </c>
    </row>
    <row r="467" spans="1:5" x14ac:dyDescent="0.25">
      <c r="A467" s="1">
        <v>26062</v>
      </c>
      <c r="B467" s="2">
        <v>36</v>
      </c>
      <c r="C467" s="2">
        <v>26</v>
      </c>
      <c r="D467" s="2">
        <v>68</v>
      </c>
      <c r="E467" s="2" t="s">
        <v>467</v>
      </c>
    </row>
    <row r="468" spans="1:5" x14ac:dyDescent="0.25">
      <c r="A468" s="1">
        <v>26063</v>
      </c>
      <c r="B468" s="2">
        <v>37</v>
      </c>
      <c r="C468" s="2">
        <v>26</v>
      </c>
      <c r="D468" s="2">
        <v>6.1</v>
      </c>
      <c r="E468" s="2" t="s">
        <v>468</v>
      </c>
    </row>
    <row r="469" spans="1:5" x14ac:dyDescent="0.25">
      <c r="A469" s="1">
        <v>26064</v>
      </c>
      <c r="B469" s="2">
        <v>38</v>
      </c>
      <c r="C469" s="2">
        <v>26</v>
      </c>
      <c r="D469" s="2">
        <v>2</v>
      </c>
      <c r="E469" s="2" t="s">
        <v>469</v>
      </c>
    </row>
    <row r="470" spans="1:5" x14ac:dyDescent="0.25">
      <c r="A470" s="1">
        <v>26065</v>
      </c>
      <c r="B470" s="2">
        <v>39</v>
      </c>
      <c r="C470" s="2">
        <v>26</v>
      </c>
      <c r="D470" s="2">
        <v>0.81</v>
      </c>
      <c r="E470" s="2" t="s">
        <v>470</v>
      </c>
    </row>
    <row r="471" spans="1:5" x14ac:dyDescent="0.25">
      <c r="A471" s="1">
        <v>26066</v>
      </c>
      <c r="B471" s="2">
        <v>40</v>
      </c>
      <c r="C471" s="2">
        <v>26</v>
      </c>
      <c r="D471" s="2">
        <v>0.35099999999999998</v>
      </c>
      <c r="E471" s="2" t="s">
        <v>471</v>
      </c>
    </row>
    <row r="472" spans="1:5" x14ac:dyDescent="0.25">
      <c r="A472" s="1">
        <v>26067</v>
      </c>
      <c r="B472" s="2">
        <v>41</v>
      </c>
      <c r="C472" s="2">
        <v>26</v>
      </c>
      <c r="D472" s="2">
        <v>0.39500000000000002</v>
      </c>
      <c r="E472" s="2" t="s">
        <v>472</v>
      </c>
    </row>
    <row r="473" spans="1:5" x14ac:dyDescent="0.25">
      <c r="A473" s="1">
        <v>26068</v>
      </c>
      <c r="B473" s="2">
        <v>42</v>
      </c>
      <c r="C473" s="2">
        <v>26</v>
      </c>
      <c r="D473" s="2">
        <v>0.188</v>
      </c>
      <c r="E473" s="2" t="s">
        <v>473</v>
      </c>
    </row>
    <row r="474" spans="1:5" x14ac:dyDescent="0.25">
      <c r="A474" s="1">
        <v>26069</v>
      </c>
      <c r="B474" s="2">
        <v>43</v>
      </c>
      <c r="C474" s="2">
        <v>26</v>
      </c>
      <c r="D474" s="2">
        <v>0.16200000000000001</v>
      </c>
      <c r="E474" s="2" t="s">
        <v>474</v>
      </c>
    </row>
    <row r="475" spans="1:5" x14ac:dyDescent="0.25">
      <c r="A475" s="1">
        <v>26070</v>
      </c>
      <c r="B475" s="2">
        <v>44</v>
      </c>
      <c r="C475" s="2">
        <v>26</v>
      </c>
      <c r="D475" s="2">
        <v>6.3E-2</v>
      </c>
      <c r="E475" s="2" t="s">
        <v>475</v>
      </c>
    </row>
    <row r="476" spans="1:5" x14ac:dyDescent="0.25">
      <c r="A476" s="1">
        <v>26071</v>
      </c>
      <c r="B476" s="2">
        <v>45</v>
      </c>
      <c r="C476" s="2">
        <v>26</v>
      </c>
      <c r="D476" s="2">
        <v>3.5000000000000003E-2</v>
      </c>
      <c r="E476" s="2" t="s">
        <v>476</v>
      </c>
    </row>
    <row r="477" spans="1:5" x14ac:dyDescent="0.25">
      <c r="A477" s="1">
        <v>26072</v>
      </c>
      <c r="B477" s="2">
        <v>46</v>
      </c>
      <c r="C477" s="2">
        <v>26</v>
      </c>
      <c r="D477" s="2">
        <v>1.9E-2</v>
      </c>
      <c r="E477" s="2" t="s">
        <v>477</v>
      </c>
    </row>
    <row r="478" spans="1:5" x14ac:dyDescent="0.25">
      <c r="A478" s="1">
        <v>26073</v>
      </c>
      <c r="B478" s="2">
        <v>47</v>
      </c>
      <c r="C478" s="2">
        <v>26</v>
      </c>
      <c r="D478" s="2">
        <v>6.3300000000000002E-7</v>
      </c>
      <c r="E478" s="2" t="s">
        <v>478</v>
      </c>
    </row>
    <row r="479" spans="1:5" x14ac:dyDescent="0.25">
      <c r="A479" s="1">
        <v>26074</v>
      </c>
      <c r="B479" s="2">
        <v>48</v>
      </c>
      <c r="C479" s="2">
        <v>26</v>
      </c>
      <c r="D479" s="2">
        <v>6.3799999999999997E-7</v>
      </c>
      <c r="E479" s="2" t="s">
        <v>479</v>
      </c>
    </row>
    <row r="480" spans="1:5" x14ac:dyDescent="0.25">
      <c r="A480" s="1">
        <v>27050</v>
      </c>
      <c r="B480" s="2">
        <v>23</v>
      </c>
      <c r="C480" s="2">
        <v>27</v>
      </c>
      <c r="D480" s="2">
        <v>3.8800000000000001E-2</v>
      </c>
      <c r="E480" s="2" t="s">
        <v>480</v>
      </c>
    </row>
    <row r="481" spans="1:5" x14ac:dyDescent="0.25">
      <c r="A481" s="1">
        <v>27051</v>
      </c>
      <c r="B481" s="2">
        <v>24</v>
      </c>
      <c r="C481" s="2">
        <v>27</v>
      </c>
      <c r="D481" s="2">
        <v>1.9999999999999999E-7</v>
      </c>
      <c r="E481" s="2" t="s">
        <v>481</v>
      </c>
    </row>
    <row r="482" spans="1:5" x14ac:dyDescent="0.25">
      <c r="A482" s="1">
        <v>27052</v>
      </c>
      <c r="B482" s="2">
        <v>25</v>
      </c>
      <c r="C482" s="2">
        <v>27</v>
      </c>
      <c r="D482" s="2">
        <v>0.104</v>
      </c>
      <c r="E482" s="2" t="s">
        <v>482</v>
      </c>
    </row>
    <row r="483" spans="1:5" x14ac:dyDescent="0.25">
      <c r="A483" s="1">
        <v>27053</v>
      </c>
      <c r="B483" s="2">
        <v>26</v>
      </c>
      <c r="C483" s="2">
        <v>27</v>
      </c>
      <c r="D483" s="2">
        <v>0.24</v>
      </c>
      <c r="E483" s="2" t="s">
        <v>483</v>
      </c>
    </row>
    <row r="484" spans="1:5" x14ac:dyDescent="0.25">
      <c r="A484" s="1">
        <v>27054</v>
      </c>
      <c r="B484" s="2">
        <v>27</v>
      </c>
      <c r="C484" s="2">
        <v>27</v>
      </c>
      <c r="D484" s="2">
        <v>0.193</v>
      </c>
      <c r="E484" s="2" t="s">
        <v>484</v>
      </c>
    </row>
    <row r="485" spans="1:5" x14ac:dyDescent="0.25">
      <c r="A485" s="1">
        <v>27055</v>
      </c>
      <c r="B485" s="2">
        <v>28</v>
      </c>
      <c r="C485" s="2">
        <v>27</v>
      </c>
      <c r="D485" s="2">
        <v>63108</v>
      </c>
      <c r="E485" s="2" t="s">
        <v>485</v>
      </c>
    </row>
    <row r="486" spans="1:5" x14ac:dyDescent="0.25">
      <c r="A486" s="1">
        <v>27056</v>
      </c>
      <c r="B486" s="2">
        <v>29</v>
      </c>
      <c r="C486" s="2">
        <v>27</v>
      </c>
      <c r="D486" s="2">
        <v>6673190.4000000004</v>
      </c>
      <c r="E486" s="2" t="s">
        <v>486</v>
      </c>
    </row>
    <row r="487" spans="1:5" x14ac:dyDescent="0.25">
      <c r="A487" s="1">
        <v>27057</v>
      </c>
      <c r="B487" s="2">
        <v>30</v>
      </c>
      <c r="C487" s="2">
        <v>27</v>
      </c>
      <c r="D487" s="2">
        <v>23478336</v>
      </c>
      <c r="E487" s="2" t="s">
        <v>487</v>
      </c>
    </row>
    <row r="488" spans="1:5" x14ac:dyDescent="0.25">
      <c r="A488" s="1">
        <v>27058</v>
      </c>
      <c r="B488" s="2">
        <v>31</v>
      </c>
      <c r="C488" s="2">
        <v>27</v>
      </c>
      <c r="D488" s="2">
        <v>6122304</v>
      </c>
      <c r="E488" s="2" t="s">
        <v>488</v>
      </c>
    </row>
    <row r="489" spans="1:5" x14ac:dyDescent="0.25">
      <c r="A489" s="1">
        <v>27059</v>
      </c>
      <c r="B489" s="2">
        <v>32</v>
      </c>
      <c r="C489" s="2">
        <v>27</v>
      </c>
      <c r="D489" s="2" t="s">
        <v>3</v>
      </c>
      <c r="E489" s="2" t="s">
        <v>489</v>
      </c>
    </row>
    <row r="490" spans="1:5" x14ac:dyDescent="0.25">
      <c r="A490" s="1">
        <v>27060</v>
      </c>
      <c r="B490" s="2">
        <v>33</v>
      </c>
      <c r="C490" s="2">
        <v>27</v>
      </c>
      <c r="D490" s="2">
        <v>166344192</v>
      </c>
      <c r="E490" s="2" t="s">
        <v>490</v>
      </c>
    </row>
    <row r="491" spans="1:5" x14ac:dyDescent="0.25">
      <c r="A491" s="1">
        <v>27061</v>
      </c>
      <c r="B491" s="2">
        <v>34</v>
      </c>
      <c r="C491" s="2">
        <v>27</v>
      </c>
      <c r="D491" s="2">
        <v>5936.4</v>
      </c>
      <c r="E491" s="2" t="s">
        <v>491</v>
      </c>
    </row>
    <row r="492" spans="1:5" x14ac:dyDescent="0.25">
      <c r="A492" s="1">
        <v>27062</v>
      </c>
      <c r="B492" s="2">
        <v>35</v>
      </c>
      <c r="C492" s="2">
        <v>27</v>
      </c>
      <c r="D492" s="2">
        <v>90</v>
      </c>
      <c r="E492" s="2" t="s">
        <v>492</v>
      </c>
    </row>
    <row r="493" spans="1:5" x14ac:dyDescent="0.25">
      <c r="A493" s="1">
        <v>27063</v>
      </c>
      <c r="B493" s="2">
        <v>36</v>
      </c>
      <c r="C493" s="2">
        <v>27</v>
      </c>
      <c r="D493" s="2">
        <v>27.4</v>
      </c>
      <c r="E493" s="2" t="s">
        <v>493</v>
      </c>
    </row>
    <row r="494" spans="1:5" x14ac:dyDescent="0.25">
      <c r="A494" s="1">
        <v>27064</v>
      </c>
      <c r="B494" s="2">
        <v>37</v>
      </c>
      <c r="C494" s="2">
        <v>27</v>
      </c>
      <c r="D494" s="2">
        <v>0.3</v>
      </c>
      <c r="E494" s="2" t="s">
        <v>494</v>
      </c>
    </row>
    <row r="495" spans="1:5" x14ac:dyDescent="0.25">
      <c r="A495" s="1">
        <v>27065</v>
      </c>
      <c r="B495" s="2">
        <v>38</v>
      </c>
      <c r="C495" s="2">
        <v>27</v>
      </c>
      <c r="D495" s="2">
        <v>1.1599999999999999</v>
      </c>
      <c r="E495" s="2" t="s">
        <v>495</v>
      </c>
    </row>
    <row r="496" spans="1:5" x14ac:dyDescent="0.25">
      <c r="A496" s="1">
        <v>27066</v>
      </c>
      <c r="B496" s="2">
        <v>39</v>
      </c>
      <c r="C496" s="2">
        <v>27</v>
      </c>
      <c r="D496" s="2">
        <v>0.20899999999999999</v>
      </c>
      <c r="E496" s="2" t="s">
        <v>496</v>
      </c>
    </row>
    <row r="497" spans="1:5" x14ac:dyDescent="0.25">
      <c r="A497" s="1">
        <v>27067</v>
      </c>
      <c r="B497" s="2">
        <v>40</v>
      </c>
      <c r="C497" s="2">
        <v>27</v>
      </c>
      <c r="D497" s="2">
        <v>0.32900000000000001</v>
      </c>
      <c r="E497" s="2" t="s">
        <v>497</v>
      </c>
    </row>
    <row r="498" spans="1:5" x14ac:dyDescent="0.25">
      <c r="A498" s="1">
        <v>27068</v>
      </c>
      <c r="B498" s="2">
        <v>41</v>
      </c>
      <c r="C498" s="2">
        <v>27</v>
      </c>
      <c r="D498" s="2">
        <v>9.9000000000000005E-2</v>
      </c>
      <c r="E498" s="2" t="s">
        <v>498</v>
      </c>
    </row>
    <row r="499" spans="1:5" x14ac:dyDescent="0.25">
      <c r="A499" s="1">
        <v>27069</v>
      </c>
      <c r="B499" s="2">
        <v>42</v>
      </c>
      <c r="C499" s="2">
        <v>27</v>
      </c>
      <c r="D499" s="2">
        <v>0.18</v>
      </c>
      <c r="E499" s="2" t="s">
        <v>499</v>
      </c>
    </row>
    <row r="500" spans="1:5" x14ac:dyDescent="0.25">
      <c r="A500" s="1">
        <v>27070</v>
      </c>
      <c r="B500" s="2">
        <v>43</v>
      </c>
      <c r="C500" s="2">
        <v>27</v>
      </c>
      <c r="D500" s="2">
        <v>1.4E-2</v>
      </c>
      <c r="E500" s="2" t="s">
        <v>500</v>
      </c>
    </row>
    <row r="501" spans="1:5" x14ac:dyDescent="0.25">
      <c r="A501" s="1">
        <v>27071</v>
      </c>
      <c r="B501" s="2">
        <v>44</v>
      </c>
      <c r="C501" s="2">
        <v>27</v>
      </c>
      <c r="D501" s="2">
        <v>0.08</v>
      </c>
      <c r="E501" s="2" t="s">
        <v>501</v>
      </c>
    </row>
    <row r="502" spans="1:5" x14ac:dyDescent="0.25">
      <c r="A502" s="1">
        <v>27072</v>
      </c>
      <c r="B502" s="2">
        <v>45</v>
      </c>
      <c r="C502" s="2">
        <v>27</v>
      </c>
      <c r="D502" s="2">
        <v>5.7299999999999997E-2</v>
      </c>
      <c r="E502" s="2" t="s">
        <v>502</v>
      </c>
    </row>
    <row r="503" spans="1:5" x14ac:dyDescent="0.25">
      <c r="A503" s="1">
        <v>27073</v>
      </c>
      <c r="B503" s="2">
        <v>46</v>
      </c>
      <c r="C503" s="2">
        <v>27</v>
      </c>
      <c r="D503" s="2">
        <v>4.0500000000000001E-2</v>
      </c>
      <c r="E503" s="2" t="s">
        <v>503</v>
      </c>
    </row>
    <row r="504" spans="1:5" x14ac:dyDescent="0.25">
      <c r="A504" s="1">
        <v>27074</v>
      </c>
      <c r="B504" s="2">
        <v>47</v>
      </c>
      <c r="C504" s="2">
        <v>27</v>
      </c>
      <c r="D504" s="2">
        <v>3.1399999999999997E-2</v>
      </c>
      <c r="E504" s="2" t="s">
        <v>504</v>
      </c>
    </row>
    <row r="505" spans="1:5" x14ac:dyDescent="0.25">
      <c r="A505" s="1">
        <v>27075</v>
      </c>
      <c r="B505" s="2">
        <v>48</v>
      </c>
      <c r="C505" s="2">
        <v>27</v>
      </c>
      <c r="D505" s="2">
        <v>2.6499999999999999E-2</v>
      </c>
      <c r="E505" s="2" t="s">
        <v>505</v>
      </c>
    </row>
    <row r="506" spans="1:5" x14ac:dyDescent="0.25">
      <c r="A506" s="1">
        <v>27076</v>
      </c>
      <c r="B506" s="2">
        <v>49</v>
      </c>
      <c r="C506" s="2">
        <v>27</v>
      </c>
      <c r="D506" s="2">
        <v>2.1700000000000001E-2</v>
      </c>
      <c r="E506" s="2" t="s">
        <v>506</v>
      </c>
    </row>
    <row r="507" spans="1:5" x14ac:dyDescent="0.25">
      <c r="A507" s="1">
        <v>27077</v>
      </c>
      <c r="B507" s="2">
        <v>50</v>
      </c>
      <c r="C507" s="2">
        <v>27</v>
      </c>
      <c r="D507" s="2">
        <v>1.2999999999999999E-2</v>
      </c>
      <c r="E507" s="2" t="s">
        <v>507</v>
      </c>
    </row>
    <row r="508" spans="1:5" x14ac:dyDescent="0.25">
      <c r="A508" s="1">
        <v>28048</v>
      </c>
      <c r="B508" s="2">
        <v>20</v>
      </c>
      <c r="C508" s="2">
        <v>28</v>
      </c>
      <c r="D508" s="2">
        <v>2.0999999999999999E-3</v>
      </c>
      <c r="E508" s="2" t="s">
        <v>508</v>
      </c>
    </row>
    <row r="509" spans="1:5" x14ac:dyDescent="0.25">
      <c r="A509" s="1">
        <v>28049</v>
      </c>
      <c r="B509" s="2">
        <v>21</v>
      </c>
      <c r="C509" s="2">
        <v>28</v>
      </c>
      <c r="D509" s="2">
        <v>7.4999999999999997E-3</v>
      </c>
      <c r="E509" s="2" t="s">
        <v>509</v>
      </c>
    </row>
    <row r="510" spans="1:5" x14ac:dyDescent="0.25">
      <c r="A510" s="1">
        <v>28050</v>
      </c>
      <c r="B510" s="2">
        <v>22</v>
      </c>
      <c r="C510" s="2">
        <v>28</v>
      </c>
      <c r="D510" s="2">
        <v>1.8499999999999999E-2</v>
      </c>
      <c r="E510" s="2" t="s">
        <v>510</v>
      </c>
    </row>
    <row r="511" spans="1:5" x14ac:dyDescent="0.25">
      <c r="A511" s="1">
        <v>28051</v>
      </c>
      <c r="B511" s="2">
        <v>23</v>
      </c>
      <c r="C511" s="2">
        <v>28</v>
      </c>
      <c r="D511" s="2">
        <v>2.3800000000000002E-2</v>
      </c>
      <c r="E511" s="2" t="s">
        <v>511</v>
      </c>
    </row>
    <row r="512" spans="1:5" x14ac:dyDescent="0.25">
      <c r="A512" s="1">
        <v>28052</v>
      </c>
      <c r="B512" s="2">
        <v>24</v>
      </c>
      <c r="C512" s="2">
        <v>28</v>
      </c>
      <c r="D512" s="2">
        <v>4.0799999999999899E-2</v>
      </c>
      <c r="E512" s="2" t="s">
        <v>512</v>
      </c>
    </row>
    <row r="513" spans="1:5" x14ac:dyDescent="0.25">
      <c r="A513" s="1">
        <v>28053</v>
      </c>
      <c r="B513" s="2">
        <v>25</v>
      </c>
      <c r="C513" s="2">
        <v>28</v>
      </c>
      <c r="D513" s="2">
        <v>5.5199999999999999E-2</v>
      </c>
      <c r="E513" s="2" t="s">
        <v>513</v>
      </c>
    </row>
    <row r="514" spans="1:5" x14ac:dyDescent="0.25">
      <c r="A514" s="1">
        <v>28054</v>
      </c>
      <c r="B514" s="2">
        <v>26</v>
      </c>
      <c r="C514" s="2">
        <v>28</v>
      </c>
      <c r="D514" s="2">
        <v>0.1142</v>
      </c>
      <c r="E514" s="2" t="s">
        <v>514</v>
      </c>
    </row>
    <row r="515" spans="1:5" x14ac:dyDescent="0.25">
      <c r="A515" s="1">
        <v>28055</v>
      </c>
      <c r="B515" s="2">
        <v>27</v>
      </c>
      <c r="C515" s="2">
        <v>28</v>
      </c>
      <c r="D515" s="2">
        <v>0.20469999999999999</v>
      </c>
      <c r="E515" s="2" t="s">
        <v>515</v>
      </c>
    </row>
    <row r="516" spans="1:5" x14ac:dyDescent="0.25">
      <c r="A516" s="1">
        <v>28056</v>
      </c>
      <c r="B516" s="2">
        <v>28</v>
      </c>
      <c r="C516" s="2">
        <v>28</v>
      </c>
      <c r="D516" s="2">
        <v>524880</v>
      </c>
      <c r="E516" s="2" t="s">
        <v>516</v>
      </c>
    </row>
    <row r="517" spans="1:5" x14ac:dyDescent="0.25">
      <c r="A517" s="1">
        <v>28057</v>
      </c>
      <c r="B517" s="2">
        <v>29</v>
      </c>
      <c r="C517" s="2">
        <v>28</v>
      </c>
      <c r="D517" s="2">
        <v>128160</v>
      </c>
      <c r="E517" s="2" t="s">
        <v>517</v>
      </c>
    </row>
    <row r="518" spans="1:5" x14ac:dyDescent="0.25">
      <c r="A518" s="1">
        <v>28058</v>
      </c>
      <c r="B518" s="2">
        <v>30</v>
      </c>
      <c r="C518" s="2">
        <v>28</v>
      </c>
      <c r="D518" s="2" t="s">
        <v>3</v>
      </c>
      <c r="E518" s="2" t="s">
        <v>518</v>
      </c>
    </row>
    <row r="519" spans="1:5" x14ac:dyDescent="0.25">
      <c r="A519" s="1">
        <v>28059</v>
      </c>
      <c r="B519" s="2">
        <v>31</v>
      </c>
      <c r="C519" s="2">
        <v>28</v>
      </c>
      <c r="D519" s="2">
        <v>2398377600000</v>
      </c>
      <c r="E519" s="2" t="s">
        <v>519</v>
      </c>
    </row>
    <row r="520" spans="1:5" x14ac:dyDescent="0.25">
      <c r="A520" s="1">
        <v>28060</v>
      </c>
      <c r="B520" s="2">
        <v>32</v>
      </c>
      <c r="C520" s="2">
        <v>28</v>
      </c>
      <c r="D520" s="2" t="s">
        <v>3</v>
      </c>
      <c r="E520" s="2" t="s">
        <v>520</v>
      </c>
    </row>
    <row r="521" spans="1:5" x14ac:dyDescent="0.25">
      <c r="A521" s="1">
        <v>28061</v>
      </c>
      <c r="B521" s="2">
        <v>33</v>
      </c>
      <c r="C521" s="2">
        <v>28</v>
      </c>
      <c r="D521" s="2" t="s">
        <v>3</v>
      </c>
      <c r="E521" s="2" t="s">
        <v>521</v>
      </c>
    </row>
    <row r="522" spans="1:5" x14ac:dyDescent="0.25">
      <c r="A522" s="1">
        <v>28062</v>
      </c>
      <c r="B522" s="2">
        <v>34</v>
      </c>
      <c r="C522" s="2">
        <v>28</v>
      </c>
      <c r="D522" s="2" t="s">
        <v>3</v>
      </c>
      <c r="E522" s="2" t="s">
        <v>522</v>
      </c>
    </row>
    <row r="523" spans="1:5" x14ac:dyDescent="0.25">
      <c r="A523" s="1">
        <v>28063</v>
      </c>
      <c r="B523" s="2">
        <v>35</v>
      </c>
      <c r="C523" s="2">
        <v>28</v>
      </c>
      <c r="D523" s="2">
        <v>3193629120</v>
      </c>
      <c r="E523" s="2" t="s">
        <v>523</v>
      </c>
    </row>
    <row r="524" spans="1:5" x14ac:dyDescent="0.25">
      <c r="A524" s="1">
        <v>28064</v>
      </c>
      <c r="B524" s="2">
        <v>36</v>
      </c>
      <c r="C524" s="2">
        <v>28</v>
      </c>
      <c r="D524" s="2" t="s">
        <v>3</v>
      </c>
      <c r="E524" s="2" t="s">
        <v>524</v>
      </c>
    </row>
    <row r="525" spans="1:5" x14ac:dyDescent="0.25">
      <c r="A525" s="1">
        <v>28065</v>
      </c>
      <c r="B525" s="2">
        <v>37</v>
      </c>
      <c r="C525" s="2">
        <v>28</v>
      </c>
      <c r="D525" s="2">
        <v>9063</v>
      </c>
      <c r="E525" s="2" t="s">
        <v>525</v>
      </c>
    </row>
    <row r="526" spans="1:5" x14ac:dyDescent="0.25">
      <c r="A526" s="1">
        <v>28066</v>
      </c>
      <c r="B526" s="2">
        <v>38</v>
      </c>
      <c r="C526" s="2">
        <v>28</v>
      </c>
      <c r="D526" s="2">
        <v>196560</v>
      </c>
      <c r="E526" s="2" t="s">
        <v>526</v>
      </c>
    </row>
    <row r="527" spans="1:5" x14ac:dyDescent="0.25">
      <c r="A527" s="1">
        <v>28067</v>
      </c>
      <c r="B527" s="2">
        <v>39</v>
      </c>
      <c r="C527" s="2">
        <v>28</v>
      </c>
      <c r="D527" s="2">
        <v>21</v>
      </c>
      <c r="E527" s="2" t="s">
        <v>527</v>
      </c>
    </row>
    <row r="528" spans="1:5" x14ac:dyDescent="0.25">
      <c r="A528" s="1">
        <v>28068</v>
      </c>
      <c r="B528" s="2">
        <v>40</v>
      </c>
      <c r="C528" s="2">
        <v>28</v>
      </c>
      <c r="D528" s="2">
        <v>29</v>
      </c>
      <c r="E528" s="2" t="s">
        <v>528</v>
      </c>
    </row>
    <row r="529" spans="1:5" x14ac:dyDescent="0.25">
      <c r="A529" s="1">
        <v>28069</v>
      </c>
      <c r="B529" s="2">
        <v>41</v>
      </c>
      <c r="C529" s="2">
        <v>28</v>
      </c>
      <c r="D529" s="2">
        <v>11.4</v>
      </c>
      <c r="E529" s="2" t="s">
        <v>529</v>
      </c>
    </row>
    <row r="530" spans="1:5" x14ac:dyDescent="0.25">
      <c r="A530" s="1">
        <v>28070</v>
      </c>
      <c r="B530" s="2">
        <v>42</v>
      </c>
      <c r="C530" s="2">
        <v>28</v>
      </c>
      <c r="D530" s="2">
        <v>6</v>
      </c>
      <c r="E530" s="2" t="s">
        <v>530</v>
      </c>
    </row>
    <row r="531" spans="1:5" x14ac:dyDescent="0.25">
      <c r="A531" s="1">
        <v>28071</v>
      </c>
      <c r="B531" s="2">
        <v>43</v>
      </c>
      <c r="C531" s="2">
        <v>28</v>
      </c>
      <c r="D531" s="2">
        <v>2.56</v>
      </c>
      <c r="E531" s="2" t="s">
        <v>531</v>
      </c>
    </row>
    <row r="532" spans="1:5" x14ac:dyDescent="0.25">
      <c r="A532" s="1">
        <v>28072</v>
      </c>
      <c r="B532" s="2">
        <v>44</v>
      </c>
      <c r="C532" s="2">
        <v>28</v>
      </c>
      <c r="D532" s="2">
        <v>1.587</v>
      </c>
      <c r="E532" s="2" t="s">
        <v>532</v>
      </c>
    </row>
    <row r="533" spans="1:5" x14ac:dyDescent="0.25">
      <c r="A533" s="1">
        <v>28073</v>
      </c>
      <c r="B533" s="2">
        <v>45</v>
      </c>
      <c r="C533" s="2">
        <v>28</v>
      </c>
      <c r="D533" s="2">
        <v>0.84199999999999997</v>
      </c>
      <c r="E533" s="2" t="s">
        <v>533</v>
      </c>
    </row>
    <row r="534" spans="1:5" x14ac:dyDescent="0.25">
      <c r="A534" s="1">
        <v>28074</v>
      </c>
      <c r="B534" s="2">
        <v>46</v>
      </c>
      <c r="C534" s="2">
        <v>28</v>
      </c>
      <c r="D534" s="2">
        <v>0.50770000000000004</v>
      </c>
      <c r="E534" s="2" t="s">
        <v>534</v>
      </c>
    </row>
    <row r="535" spans="1:5" x14ac:dyDescent="0.25">
      <c r="A535" s="1">
        <v>28075</v>
      </c>
      <c r="B535" s="2">
        <v>47</v>
      </c>
      <c r="C535" s="2">
        <v>28</v>
      </c>
      <c r="D535" s="2">
        <v>0.33179999999999998</v>
      </c>
      <c r="E535" s="2" t="s">
        <v>535</v>
      </c>
    </row>
    <row r="536" spans="1:5" x14ac:dyDescent="0.25">
      <c r="A536" s="1">
        <v>28076</v>
      </c>
      <c r="B536" s="2">
        <v>48</v>
      </c>
      <c r="C536" s="2">
        <v>28</v>
      </c>
      <c r="D536" s="2">
        <v>0.23469999999999999</v>
      </c>
      <c r="E536" s="2" t="s">
        <v>536</v>
      </c>
    </row>
    <row r="537" spans="1:5" x14ac:dyDescent="0.25">
      <c r="A537" s="1">
        <v>28077</v>
      </c>
      <c r="B537" s="2">
        <v>49</v>
      </c>
      <c r="C537" s="2">
        <v>28</v>
      </c>
      <c r="D537" s="2">
        <v>0.15840000000000001</v>
      </c>
      <c r="E537" s="2" t="s">
        <v>537</v>
      </c>
    </row>
    <row r="538" spans="1:5" x14ac:dyDescent="0.25">
      <c r="A538" s="1">
        <v>28078</v>
      </c>
      <c r="B538" s="2">
        <v>50</v>
      </c>
      <c r="C538" s="2">
        <v>28</v>
      </c>
      <c r="D538" s="2">
        <v>0.1222</v>
      </c>
      <c r="E538" s="2" t="s">
        <v>538</v>
      </c>
    </row>
    <row r="539" spans="1:5" x14ac:dyDescent="0.25">
      <c r="A539" s="1">
        <v>28079</v>
      </c>
      <c r="B539" s="2">
        <v>51</v>
      </c>
      <c r="C539" s="2">
        <v>28</v>
      </c>
      <c r="D539" s="2">
        <v>4.2999999999999997E-2</v>
      </c>
      <c r="E539" s="2" t="s">
        <v>539</v>
      </c>
    </row>
    <row r="540" spans="1:5" x14ac:dyDescent="0.25">
      <c r="A540" s="1">
        <v>28080</v>
      </c>
      <c r="B540" s="2">
        <v>52</v>
      </c>
      <c r="C540" s="2">
        <v>28</v>
      </c>
      <c r="D540" s="2">
        <v>2.4E-2</v>
      </c>
      <c r="E540" s="2" t="s">
        <v>540</v>
      </c>
    </row>
    <row r="541" spans="1:5" x14ac:dyDescent="0.25">
      <c r="A541" s="1">
        <v>29055</v>
      </c>
      <c r="B541" s="2">
        <v>26</v>
      </c>
      <c r="C541" s="2">
        <v>29</v>
      </c>
      <c r="D541" s="2">
        <v>2.7E-2</v>
      </c>
      <c r="E541" s="2" t="s">
        <v>541</v>
      </c>
    </row>
    <row r="542" spans="1:5" x14ac:dyDescent="0.25">
      <c r="A542" s="1">
        <v>29056</v>
      </c>
      <c r="B542" s="2">
        <v>27</v>
      </c>
      <c r="C542" s="2">
        <v>29</v>
      </c>
      <c r="D542" s="2">
        <v>9.2999999999999999E-2</v>
      </c>
      <c r="E542" s="2" t="s">
        <v>542</v>
      </c>
    </row>
    <row r="543" spans="1:5" x14ac:dyDescent="0.25">
      <c r="A543" s="1">
        <v>29057</v>
      </c>
      <c r="B543" s="2">
        <v>28</v>
      </c>
      <c r="C543" s="2">
        <v>29</v>
      </c>
      <c r="D543" s="2">
        <v>0.1963</v>
      </c>
      <c r="E543" s="2" t="s">
        <v>543</v>
      </c>
    </row>
    <row r="544" spans="1:5" x14ac:dyDescent="0.25">
      <c r="A544" s="1">
        <v>29058</v>
      </c>
      <c r="B544" s="2">
        <v>29</v>
      </c>
      <c r="C544" s="2">
        <v>29</v>
      </c>
      <c r="D544" s="2">
        <v>3.2040000000000002</v>
      </c>
      <c r="E544" s="2" t="s">
        <v>544</v>
      </c>
    </row>
    <row r="545" spans="1:5" x14ac:dyDescent="0.25">
      <c r="A545" s="1">
        <v>29059</v>
      </c>
      <c r="B545" s="2">
        <v>30</v>
      </c>
      <c r="C545" s="2">
        <v>29</v>
      </c>
      <c r="D545" s="2">
        <v>81.5</v>
      </c>
      <c r="E545" s="2" t="s">
        <v>545</v>
      </c>
    </row>
    <row r="546" spans="1:5" x14ac:dyDescent="0.25">
      <c r="A546" s="1">
        <v>29060</v>
      </c>
      <c r="B546" s="2">
        <v>31</v>
      </c>
      <c r="C546" s="2">
        <v>29</v>
      </c>
      <c r="D546" s="2">
        <v>1422</v>
      </c>
      <c r="E546" s="2" t="s">
        <v>546</v>
      </c>
    </row>
    <row r="547" spans="1:5" x14ac:dyDescent="0.25">
      <c r="A547" s="1">
        <v>29061</v>
      </c>
      <c r="B547" s="2">
        <v>32</v>
      </c>
      <c r="C547" s="2">
        <v>29</v>
      </c>
      <c r="D547" s="2">
        <v>12020.4</v>
      </c>
      <c r="E547" s="2" t="s">
        <v>547</v>
      </c>
    </row>
    <row r="548" spans="1:5" x14ac:dyDescent="0.25">
      <c r="A548" s="1">
        <v>29062</v>
      </c>
      <c r="B548" s="2">
        <v>33</v>
      </c>
      <c r="C548" s="2">
        <v>29</v>
      </c>
      <c r="D548" s="2">
        <v>580.38</v>
      </c>
      <c r="E548" s="2" t="s">
        <v>548</v>
      </c>
    </row>
    <row r="549" spans="1:5" x14ac:dyDescent="0.25">
      <c r="A549" s="1">
        <v>29063</v>
      </c>
      <c r="B549" s="2">
        <v>34</v>
      </c>
      <c r="C549" s="2">
        <v>29</v>
      </c>
      <c r="D549" s="2" t="s">
        <v>3</v>
      </c>
      <c r="E549" s="2" t="s">
        <v>549</v>
      </c>
    </row>
    <row r="550" spans="1:5" x14ac:dyDescent="0.25">
      <c r="A550" s="1">
        <v>29064</v>
      </c>
      <c r="B550" s="2">
        <v>35</v>
      </c>
      <c r="C550" s="2">
        <v>29</v>
      </c>
      <c r="D550" s="2">
        <v>45723.6</v>
      </c>
      <c r="E550" s="2" t="s">
        <v>550</v>
      </c>
    </row>
    <row r="551" spans="1:5" x14ac:dyDescent="0.25">
      <c r="A551" s="1">
        <v>29065</v>
      </c>
      <c r="B551" s="2">
        <v>36</v>
      </c>
      <c r="C551" s="2">
        <v>29</v>
      </c>
      <c r="D551" s="2" t="s">
        <v>3</v>
      </c>
      <c r="E551" s="2" t="s">
        <v>551</v>
      </c>
    </row>
    <row r="552" spans="1:5" x14ac:dyDescent="0.25">
      <c r="A552" s="1">
        <v>29066</v>
      </c>
      <c r="B552" s="2">
        <v>37</v>
      </c>
      <c r="C552" s="2">
        <v>29</v>
      </c>
      <c r="D552" s="2">
        <v>307.2</v>
      </c>
      <c r="E552" s="2" t="s">
        <v>552</v>
      </c>
    </row>
    <row r="553" spans="1:5" x14ac:dyDescent="0.25">
      <c r="A553" s="1">
        <v>29067</v>
      </c>
      <c r="B553" s="2">
        <v>38</v>
      </c>
      <c r="C553" s="2">
        <v>29</v>
      </c>
      <c r="D553" s="2">
        <v>222588</v>
      </c>
      <c r="E553" s="2" t="s">
        <v>553</v>
      </c>
    </row>
    <row r="554" spans="1:5" x14ac:dyDescent="0.25">
      <c r="A554" s="1">
        <v>29068</v>
      </c>
      <c r="B554" s="2">
        <v>39</v>
      </c>
      <c r="C554" s="2">
        <v>29</v>
      </c>
      <c r="D554" s="2">
        <v>30.9</v>
      </c>
      <c r="E554" s="2" t="s">
        <v>554</v>
      </c>
    </row>
    <row r="555" spans="1:5" x14ac:dyDescent="0.25">
      <c r="A555" s="1">
        <v>29069</v>
      </c>
      <c r="B555" s="2">
        <v>40</v>
      </c>
      <c r="C555" s="2">
        <v>29</v>
      </c>
      <c r="D555" s="2">
        <v>171</v>
      </c>
      <c r="E555" s="2" t="s">
        <v>555</v>
      </c>
    </row>
    <row r="556" spans="1:5" x14ac:dyDescent="0.25">
      <c r="A556" s="1">
        <v>29070</v>
      </c>
      <c r="B556" s="2">
        <v>41</v>
      </c>
      <c r="C556" s="2">
        <v>29</v>
      </c>
      <c r="D556" s="2">
        <v>44.5</v>
      </c>
      <c r="E556" s="2" t="s">
        <v>556</v>
      </c>
    </row>
    <row r="557" spans="1:5" x14ac:dyDescent="0.25">
      <c r="A557" s="1">
        <v>29071</v>
      </c>
      <c r="B557" s="2">
        <v>42</v>
      </c>
      <c r="C557" s="2">
        <v>29</v>
      </c>
      <c r="D557" s="2">
        <v>19.399999999999999</v>
      </c>
      <c r="E557" s="2" t="s">
        <v>557</v>
      </c>
    </row>
    <row r="558" spans="1:5" x14ac:dyDescent="0.25">
      <c r="A558" s="1">
        <v>29072</v>
      </c>
      <c r="B558" s="2">
        <v>43</v>
      </c>
      <c r="C558" s="2">
        <v>29</v>
      </c>
      <c r="D558" s="2">
        <v>6.63</v>
      </c>
      <c r="E558" s="2" t="s">
        <v>558</v>
      </c>
    </row>
    <row r="559" spans="1:5" x14ac:dyDescent="0.25">
      <c r="A559" s="1">
        <v>29073</v>
      </c>
      <c r="B559" s="2">
        <v>44</v>
      </c>
      <c r="C559" s="2">
        <v>29</v>
      </c>
      <c r="D559" s="2">
        <v>4.2</v>
      </c>
      <c r="E559" s="2" t="s">
        <v>559</v>
      </c>
    </row>
    <row r="560" spans="1:5" x14ac:dyDescent="0.25">
      <c r="A560" s="1">
        <v>29074</v>
      </c>
      <c r="B560" s="2">
        <v>45</v>
      </c>
      <c r="C560" s="2">
        <v>29</v>
      </c>
      <c r="D560" s="2">
        <v>1.5940000000000001</v>
      </c>
      <c r="E560" s="2" t="s">
        <v>560</v>
      </c>
    </row>
    <row r="561" spans="1:5" x14ac:dyDescent="0.25">
      <c r="A561" s="1">
        <v>29075</v>
      </c>
      <c r="B561" s="2">
        <v>46</v>
      </c>
      <c r="C561" s="2">
        <v>29</v>
      </c>
      <c r="D561" s="2">
        <v>1.224</v>
      </c>
      <c r="E561" s="2" t="s">
        <v>561</v>
      </c>
    </row>
    <row r="562" spans="1:5" x14ac:dyDescent="0.25">
      <c r="A562" s="1">
        <v>29076</v>
      </c>
      <c r="B562" s="2">
        <v>47</v>
      </c>
      <c r="C562" s="2">
        <v>29</v>
      </c>
      <c r="D562" s="2">
        <v>0.63800000000000001</v>
      </c>
      <c r="E562" s="2" t="s">
        <v>562</v>
      </c>
    </row>
    <row r="563" spans="1:5" x14ac:dyDescent="0.25">
      <c r="A563" s="1">
        <v>29077</v>
      </c>
      <c r="B563" s="2">
        <v>48</v>
      </c>
      <c r="C563" s="2">
        <v>29</v>
      </c>
      <c r="D563" s="2">
        <v>0.46810000000000002</v>
      </c>
      <c r="E563" s="2" t="s">
        <v>563</v>
      </c>
    </row>
    <row r="564" spans="1:5" x14ac:dyDescent="0.25">
      <c r="A564" s="1">
        <v>29078</v>
      </c>
      <c r="B564" s="2">
        <v>49</v>
      </c>
      <c r="C564" s="2">
        <v>29</v>
      </c>
      <c r="D564" s="2">
        <v>0.33500000000000002</v>
      </c>
      <c r="E564" s="2" t="s">
        <v>564</v>
      </c>
    </row>
    <row r="565" spans="1:5" x14ac:dyDescent="0.25">
      <c r="A565" s="1">
        <v>29079</v>
      </c>
      <c r="B565" s="2">
        <v>50</v>
      </c>
      <c r="C565" s="2">
        <v>29</v>
      </c>
      <c r="D565" s="2">
        <v>0.24099999999999999</v>
      </c>
      <c r="E565" s="2" t="s">
        <v>565</v>
      </c>
    </row>
    <row r="566" spans="1:5" x14ac:dyDescent="0.25">
      <c r="A566" s="1">
        <v>29080</v>
      </c>
      <c r="B566" s="2">
        <v>51</v>
      </c>
      <c r="C566" s="2">
        <v>29</v>
      </c>
      <c r="D566" s="2">
        <v>0.17</v>
      </c>
      <c r="E566" s="2" t="s">
        <v>566</v>
      </c>
    </row>
    <row r="567" spans="1:5" x14ac:dyDescent="0.25">
      <c r="A567" s="1">
        <v>29081</v>
      </c>
      <c r="B567" s="2">
        <v>52</v>
      </c>
      <c r="C567" s="2">
        <v>29</v>
      </c>
      <c r="D567" s="2">
        <v>6.3200000000000005E-7</v>
      </c>
      <c r="E567" s="2" t="s">
        <v>567</v>
      </c>
    </row>
    <row r="568" spans="1:5" x14ac:dyDescent="0.25">
      <c r="A568" s="1">
        <v>29082</v>
      </c>
      <c r="B568" s="2">
        <v>53</v>
      </c>
      <c r="C568" s="2">
        <v>29</v>
      </c>
      <c r="D568" s="2">
        <v>6.3600000000000003E-7</v>
      </c>
      <c r="E568" s="2" t="s">
        <v>568</v>
      </c>
    </row>
    <row r="569" spans="1:5" x14ac:dyDescent="0.25">
      <c r="A569" s="1">
        <v>30054</v>
      </c>
      <c r="B569" s="2">
        <v>24</v>
      </c>
      <c r="C569" s="2">
        <v>30</v>
      </c>
      <c r="D569" s="2">
        <v>1.5900000000000001E-3</v>
      </c>
      <c r="E569" s="2" t="s">
        <v>569</v>
      </c>
    </row>
    <row r="570" spans="1:5" x14ac:dyDescent="0.25">
      <c r="A570" s="1">
        <v>30055</v>
      </c>
      <c r="B570" s="2">
        <v>25</v>
      </c>
      <c r="C570" s="2">
        <v>30</v>
      </c>
      <c r="D570" s="2">
        <v>1.9800000000000002E-2</v>
      </c>
      <c r="E570" s="2" t="s">
        <v>570</v>
      </c>
    </row>
    <row r="571" spans="1:5" x14ac:dyDescent="0.25">
      <c r="A571" s="1">
        <v>30056</v>
      </c>
      <c r="B571" s="2">
        <v>26</v>
      </c>
      <c r="C571" s="2">
        <v>30</v>
      </c>
      <c r="D571" s="2">
        <v>0.03</v>
      </c>
      <c r="E571" s="2" t="s">
        <v>571</v>
      </c>
    </row>
    <row r="572" spans="1:5" x14ac:dyDescent="0.25">
      <c r="A572" s="1">
        <v>30057</v>
      </c>
      <c r="B572" s="2">
        <v>27</v>
      </c>
      <c r="C572" s="2">
        <v>30</v>
      </c>
      <c r="D572" s="2">
        <v>3.7999999999999999E-2</v>
      </c>
      <c r="E572" s="2" t="s">
        <v>572</v>
      </c>
    </row>
    <row r="573" spans="1:5" x14ac:dyDescent="0.25">
      <c r="A573" s="1">
        <v>30058</v>
      </c>
      <c r="B573" s="2">
        <v>28</v>
      </c>
      <c r="C573" s="2">
        <v>30</v>
      </c>
      <c r="D573" s="2">
        <v>8.5999999999999993E-2</v>
      </c>
      <c r="E573" s="2" t="s">
        <v>573</v>
      </c>
    </row>
    <row r="574" spans="1:5" x14ac:dyDescent="0.25">
      <c r="A574" s="1">
        <v>30059</v>
      </c>
      <c r="B574" s="2">
        <v>29</v>
      </c>
      <c r="C574" s="2">
        <v>30</v>
      </c>
      <c r="D574" s="2">
        <v>0.182</v>
      </c>
      <c r="E574" s="2" t="s">
        <v>574</v>
      </c>
    </row>
    <row r="575" spans="1:5" x14ac:dyDescent="0.25">
      <c r="A575" s="1">
        <v>30060</v>
      </c>
      <c r="B575" s="2">
        <v>30</v>
      </c>
      <c r="C575" s="2">
        <v>30</v>
      </c>
      <c r="D575" s="2">
        <v>142.79999999999899</v>
      </c>
      <c r="E575" s="2" t="s">
        <v>575</v>
      </c>
    </row>
    <row r="576" spans="1:5" x14ac:dyDescent="0.25">
      <c r="A576" s="1">
        <v>30061</v>
      </c>
      <c r="B576" s="2">
        <v>31</v>
      </c>
      <c r="C576" s="2">
        <v>30</v>
      </c>
      <c r="D576" s="2">
        <v>89.1</v>
      </c>
      <c r="E576" s="2" t="s">
        <v>576</v>
      </c>
    </row>
    <row r="577" spans="1:5" x14ac:dyDescent="0.25">
      <c r="A577" s="1">
        <v>30062</v>
      </c>
      <c r="B577" s="2">
        <v>32</v>
      </c>
      <c r="C577" s="2">
        <v>30</v>
      </c>
      <c r="D577" s="2">
        <v>33069.599999999999</v>
      </c>
      <c r="E577" s="2" t="s">
        <v>577</v>
      </c>
    </row>
    <row r="578" spans="1:5" x14ac:dyDescent="0.25">
      <c r="A578" s="1">
        <v>30063</v>
      </c>
      <c r="B578" s="2">
        <v>33</v>
      </c>
      <c r="C578" s="2">
        <v>30</v>
      </c>
      <c r="D578" s="2">
        <v>2308.1999999999998</v>
      </c>
      <c r="E578" s="2" t="s">
        <v>578</v>
      </c>
    </row>
    <row r="579" spans="1:5" x14ac:dyDescent="0.25">
      <c r="A579" s="1">
        <v>30064</v>
      </c>
      <c r="B579" s="2">
        <v>34</v>
      </c>
      <c r="C579" s="2">
        <v>30</v>
      </c>
      <c r="D579" s="2">
        <v>2.209032E+28</v>
      </c>
      <c r="E579" s="2" t="s">
        <v>579</v>
      </c>
    </row>
    <row r="580" spans="1:5" x14ac:dyDescent="0.25">
      <c r="A580" s="1">
        <v>30065</v>
      </c>
      <c r="B580" s="2">
        <v>35</v>
      </c>
      <c r="C580" s="2">
        <v>30</v>
      </c>
      <c r="D580" s="2">
        <v>21075552</v>
      </c>
      <c r="E580" s="2" t="s">
        <v>580</v>
      </c>
    </row>
    <row r="581" spans="1:5" x14ac:dyDescent="0.25">
      <c r="A581" s="1">
        <v>30066</v>
      </c>
      <c r="B581" s="2">
        <v>36</v>
      </c>
      <c r="C581" s="2">
        <v>30</v>
      </c>
      <c r="D581" s="2" t="s">
        <v>3</v>
      </c>
      <c r="E581" s="2" t="s">
        <v>581</v>
      </c>
    </row>
    <row r="582" spans="1:5" x14ac:dyDescent="0.25">
      <c r="A582" s="1">
        <v>30067</v>
      </c>
      <c r="B582" s="2">
        <v>37</v>
      </c>
      <c r="C582" s="2">
        <v>30</v>
      </c>
      <c r="D582" s="2" t="s">
        <v>3</v>
      </c>
      <c r="E582" s="2" t="s">
        <v>582</v>
      </c>
    </row>
    <row r="583" spans="1:5" x14ac:dyDescent="0.25">
      <c r="A583" s="1">
        <v>30068</v>
      </c>
      <c r="B583" s="2">
        <v>38</v>
      </c>
      <c r="C583" s="2">
        <v>30</v>
      </c>
      <c r="D583" s="2" t="s">
        <v>3</v>
      </c>
      <c r="E583" s="2" t="s">
        <v>583</v>
      </c>
    </row>
    <row r="584" spans="1:5" x14ac:dyDescent="0.25">
      <c r="A584" s="1">
        <v>30069</v>
      </c>
      <c r="B584" s="2">
        <v>39</v>
      </c>
      <c r="C584" s="2">
        <v>30</v>
      </c>
      <c r="D584" s="2">
        <v>3384</v>
      </c>
      <c r="E584" s="2" t="s">
        <v>584</v>
      </c>
    </row>
    <row r="585" spans="1:5" x14ac:dyDescent="0.25">
      <c r="A585" s="1">
        <v>30070</v>
      </c>
      <c r="B585" s="2">
        <v>40</v>
      </c>
      <c r="C585" s="2">
        <v>30</v>
      </c>
      <c r="D585" s="2">
        <v>7.2582480000000003E+24</v>
      </c>
      <c r="E585" s="2" t="s">
        <v>585</v>
      </c>
    </row>
    <row r="586" spans="1:5" x14ac:dyDescent="0.25">
      <c r="A586" s="1">
        <v>30071</v>
      </c>
      <c r="B586" s="2">
        <v>41</v>
      </c>
      <c r="C586" s="2">
        <v>30</v>
      </c>
      <c r="D586" s="2">
        <v>147</v>
      </c>
      <c r="E586" s="2" t="s">
        <v>586</v>
      </c>
    </row>
    <row r="587" spans="1:5" x14ac:dyDescent="0.25">
      <c r="A587" s="1">
        <v>30072</v>
      </c>
      <c r="B587" s="2">
        <v>42</v>
      </c>
      <c r="C587" s="2">
        <v>30</v>
      </c>
      <c r="D587" s="2">
        <v>167400</v>
      </c>
      <c r="E587" s="2" t="s">
        <v>587</v>
      </c>
    </row>
    <row r="588" spans="1:5" x14ac:dyDescent="0.25">
      <c r="A588" s="1">
        <v>30073</v>
      </c>
      <c r="B588" s="2">
        <v>43</v>
      </c>
      <c r="C588" s="2">
        <v>30</v>
      </c>
      <c r="D588" s="2">
        <v>23.5</v>
      </c>
      <c r="E588" s="2" t="s">
        <v>588</v>
      </c>
    </row>
    <row r="589" spans="1:5" x14ac:dyDescent="0.25">
      <c r="A589" s="1">
        <v>30074</v>
      </c>
      <c r="B589" s="2">
        <v>44</v>
      </c>
      <c r="C589" s="2">
        <v>30</v>
      </c>
      <c r="D589" s="2">
        <v>95.6</v>
      </c>
      <c r="E589" s="2" t="s">
        <v>589</v>
      </c>
    </row>
    <row r="590" spans="1:5" x14ac:dyDescent="0.25">
      <c r="A590" s="1">
        <v>30075</v>
      </c>
      <c r="B590" s="2">
        <v>45</v>
      </c>
      <c r="C590" s="2">
        <v>30</v>
      </c>
      <c r="D590" s="2">
        <v>10.199999999999999</v>
      </c>
      <c r="E590" s="2" t="s">
        <v>590</v>
      </c>
    </row>
    <row r="591" spans="1:5" x14ac:dyDescent="0.25">
      <c r="A591" s="1">
        <v>30076</v>
      </c>
      <c r="B591" s="2">
        <v>46</v>
      </c>
      <c r="C591" s="2">
        <v>30</v>
      </c>
      <c r="D591" s="2">
        <v>5.7</v>
      </c>
      <c r="E591" s="2" t="s">
        <v>591</v>
      </c>
    </row>
    <row r="592" spans="1:5" x14ac:dyDescent="0.25">
      <c r="A592" s="1">
        <v>30077</v>
      </c>
      <c r="B592" s="2">
        <v>47</v>
      </c>
      <c r="C592" s="2">
        <v>30</v>
      </c>
      <c r="D592" s="2">
        <v>2.08</v>
      </c>
      <c r="E592" s="2" t="s">
        <v>592</v>
      </c>
    </row>
    <row r="593" spans="1:5" x14ac:dyDescent="0.25">
      <c r="A593" s="1">
        <v>30078</v>
      </c>
      <c r="B593" s="2">
        <v>48</v>
      </c>
      <c r="C593" s="2">
        <v>30</v>
      </c>
      <c r="D593" s="2">
        <v>1.47</v>
      </c>
      <c r="E593" s="2" t="s">
        <v>593</v>
      </c>
    </row>
    <row r="594" spans="1:5" x14ac:dyDescent="0.25">
      <c r="A594" s="1">
        <v>30079</v>
      </c>
      <c r="B594" s="2">
        <v>49</v>
      </c>
      <c r="C594" s="2">
        <v>30</v>
      </c>
      <c r="D594" s="2">
        <v>0.746</v>
      </c>
      <c r="E594" s="2" t="s">
        <v>594</v>
      </c>
    </row>
    <row r="595" spans="1:5" x14ac:dyDescent="0.25">
      <c r="A595" s="1">
        <v>30080</v>
      </c>
      <c r="B595" s="2">
        <v>50</v>
      </c>
      <c r="C595" s="2">
        <v>30</v>
      </c>
      <c r="D595" s="2">
        <v>0.56189999999999996</v>
      </c>
      <c r="E595" s="2" t="s">
        <v>595</v>
      </c>
    </row>
    <row r="596" spans="1:5" x14ac:dyDescent="0.25">
      <c r="A596" s="1">
        <v>30081</v>
      </c>
      <c r="B596" s="2">
        <v>51</v>
      </c>
      <c r="C596" s="2">
        <v>30</v>
      </c>
      <c r="D596" s="2">
        <v>0.30349999999999999</v>
      </c>
      <c r="E596" s="2" t="s">
        <v>596</v>
      </c>
    </row>
    <row r="597" spans="1:5" x14ac:dyDescent="0.25">
      <c r="A597" s="1">
        <v>30082</v>
      </c>
      <c r="B597" s="2">
        <v>52</v>
      </c>
      <c r="C597" s="2">
        <v>30</v>
      </c>
      <c r="D597" s="2">
        <v>0.22800000000000001</v>
      </c>
      <c r="E597" s="2" t="s">
        <v>597</v>
      </c>
    </row>
    <row r="598" spans="1:5" x14ac:dyDescent="0.25">
      <c r="A598" s="1">
        <v>30083</v>
      </c>
      <c r="B598" s="2">
        <v>53</v>
      </c>
      <c r="C598" s="2">
        <v>30</v>
      </c>
      <c r="D598" s="2">
        <v>0.11700000000000001</v>
      </c>
      <c r="E598" s="2" t="s">
        <v>598</v>
      </c>
    </row>
    <row r="599" spans="1:5" x14ac:dyDescent="0.25">
      <c r="A599" s="1">
        <v>30084</v>
      </c>
      <c r="B599" s="2">
        <v>54</v>
      </c>
      <c r="C599" s="2">
        <v>30</v>
      </c>
      <c r="D599" s="2">
        <v>6.3300000000000002E-7</v>
      </c>
      <c r="E599" s="2" t="s">
        <v>599</v>
      </c>
    </row>
    <row r="600" spans="1:5" x14ac:dyDescent="0.25">
      <c r="A600" s="1">
        <v>30085</v>
      </c>
      <c r="B600" s="2">
        <v>55</v>
      </c>
      <c r="C600" s="2">
        <v>30</v>
      </c>
      <c r="D600" s="2">
        <v>6.37E-7</v>
      </c>
      <c r="E600" s="2" t="s">
        <v>600</v>
      </c>
    </row>
    <row r="601" spans="1:5" x14ac:dyDescent="0.25">
      <c r="A601" s="1">
        <v>31060</v>
      </c>
      <c r="B601" s="2">
        <v>29</v>
      </c>
      <c r="C601" s="2">
        <v>31</v>
      </c>
      <c r="D601" s="2">
        <v>7.0000000000000007E-2</v>
      </c>
      <c r="E601" s="2" t="s">
        <v>601</v>
      </c>
    </row>
    <row r="602" spans="1:5" x14ac:dyDescent="0.25">
      <c r="A602" s="1">
        <v>31061</v>
      </c>
      <c r="B602" s="2">
        <v>30</v>
      </c>
      <c r="C602" s="2">
        <v>31</v>
      </c>
      <c r="D602" s="2">
        <v>0.16700000000000001</v>
      </c>
      <c r="E602" s="2" t="s">
        <v>602</v>
      </c>
    </row>
    <row r="603" spans="1:5" x14ac:dyDescent="0.25">
      <c r="A603" s="1">
        <v>31062</v>
      </c>
      <c r="B603" s="2">
        <v>31</v>
      </c>
      <c r="C603" s="2">
        <v>31</v>
      </c>
      <c r="D603" s="2">
        <v>0.116121</v>
      </c>
      <c r="E603" s="2" t="s">
        <v>603</v>
      </c>
    </row>
    <row r="604" spans="1:5" x14ac:dyDescent="0.25">
      <c r="A604" s="1">
        <v>31063</v>
      </c>
      <c r="B604" s="2">
        <v>32</v>
      </c>
      <c r="C604" s="2">
        <v>31</v>
      </c>
      <c r="D604" s="2">
        <v>32.4</v>
      </c>
      <c r="E604" s="2" t="s">
        <v>604</v>
      </c>
    </row>
    <row r="605" spans="1:5" x14ac:dyDescent="0.25">
      <c r="A605" s="1">
        <v>31064</v>
      </c>
      <c r="B605" s="2">
        <v>33</v>
      </c>
      <c r="C605" s="2">
        <v>31</v>
      </c>
      <c r="D605" s="2">
        <v>157.61999999999901</v>
      </c>
      <c r="E605" s="2" t="s">
        <v>605</v>
      </c>
    </row>
    <row r="606" spans="1:5" x14ac:dyDescent="0.25">
      <c r="A606" s="1">
        <v>31065</v>
      </c>
      <c r="B606" s="2">
        <v>34</v>
      </c>
      <c r="C606" s="2">
        <v>31</v>
      </c>
      <c r="D606" s="2">
        <v>912</v>
      </c>
      <c r="E606" s="2" t="s">
        <v>606</v>
      </c>
    </row>
    <row r="607" spans="1:5" x14ac:dyDescent="0.25">
      <c r="A607" s="1">
        <v>31066</v>
      </c>
      <c r="B607" s="2">
        <v>35</v>
      </c>
      <c r="C607" s="2">
        <v>31</v>
      </c>
      <c r="D607" s="2">
        <v>34164</v>
      </c>
      <c r="E607" s="2" t="s">
        <v>607</v>
      </c>
    </row>
    <row r="608" spans="1:5" x14ac:dyDescent="0.25">
      <c r="A608" s="1">
        <v>31067</v>
      </c>
      <c r="B608" s="2">
        <v>36</v>
      </c>
      <c r="C608" s="2">
        <v>31</v>
      </c>
      <c r="D608" s="2">
        <v>281810.88</v>
      </c>
      <c r="E608" s="2" t="s">
        <v>608</v>
      </c>
    </row>
    <row r="609" spans="1:5" x14ac:dyDescent="0.25">
      <c r="A609" s="1">
        <v>31068</v>
      </c>
      <c r="B609" s="2">
        <v>37</v>
      </c>
      <c r="C609" s="2">
        <v>31</v>
      </c>
      <c r="D609" s="2">
        <v>4062.5999999999899</v>
      </c>
      <c r="E609" s="2" t="s">
        <v>609</v>
      </c>
    </row>
    <row r="610" spans="1:5" x14ac:dyDescent="0.25">
      <c r="A610" s="1">
        <v>31069</v>
      </c>
      <c r="B610" s="2">
        <v>38</v>
      </c>
      <c r="C610" s="2">
        <v>31</v>
      </c>
      <c r="D610" s="2" t="s">
        <v>3</v>
      </c>
      <c r="E610" s="2" t="s">
        <v>610</v>
      </c>
    </row>
    <row r="611" spans="1:5" x14ac:dyDescent="0.25">
      <c r="A611" s="1">
        <v>31070</v>
      </c>
      <c r="B611" s="2">
        <v>39</v>
      </c>
      <c r="C611" s="2">
        <v>31</v>
      </c>
      <c r="D611" s="2">
        <v>1268.4000000000001</v>
      </c>
      <c r="E611" s="2" t="s">
        <v>611</v>
      </c>
    </row>
    <row r="612" spans="1:5" x14ac:dyDescent="0.25">
      <c r="A612" s="1">
        <v>31071</v>
      </c>
      <c r="B612" s="2">
        <v>40</v>
      </c>
      <c r="C612" s="2">
        <v>31</v>
      </c>
      <c r="D612" s="2" t="s">
        <v>3</v>
      </c>
      <c r="E612" s="2" t="s">
        <v>612</v>
      </c>
    </row>
    <row r="613" spans="1:5" x14ac:dyDescent="0.25">
      <c r="A613" s="1">
        <v>31072</v>
      </c>
      <c r="B613" s="2">
        <v>41</v>
      </c>
      <c r="C613" s="2">
        <v>31</v>
      </c>
      <c r="D613" s="2">
        <v>50760</v>
      </c>
      <c r="E613" s="2" t="s">
        <v>613</v>
      </c>
    </row>
    <row r="614" spans="1:5" x14ac:dyDescent="0.25">
      <c r="A614" s="1">
        <v>31073</v>
      </c>
      <c r="B614" s="2">
        <v>42</v>
      </c>
      <c r="C614" s="2">
        <v>31</v>
      </c>
      <c r="D614" s="2">
        <v>17496</v>
      </c>
      <c r="E614" s="2" t="s">
        <v>614</v>
      </c>
    </row>
    <row r="615" spans="1:5" x14ac:dyDescent="0.25">
      <c r="A615" s="1">
        <v>31074</v>
      </c>
      <c r="B615" s="2">
        <v>43</v>
      </c>
      <c r="C615" s="2">
        <v>31</v>
      </c>
      <c r="D615" s="2">
        <v>487.19999999999902</v>
      </c>
      <c r="E615" s="2" t="s">
        <v>615</v>
      </c>
    </row>
    <row r="616" spans="1:5" x14ac:dyDescent="0.25">
      <c r="A616" s="1">
        <v>31075</v>
      </c>
      <c r="B616" s="2">
        <v>44</v>
      </c>
      <c r="C616" s="2">
        <v>31</v>
      </c>
      <c r="D616" s="2">
        <v>126</v>
      </c>
      <c r="E616" s="2" t="s">
        <v>616</v>
      </c>
    </row>
    <row r="617" spans="1:5" x14ac:dyDescent="0.25">
      <c r="A617" s="1">
        <v>31076</v>
      </c>
      <c r="B617" s="2">
        <v>45</v>
      </c>
      <c r="C617" s="2">
        <v>31</v>
      </c>
      <c r="D617" s="2">
        <v>32.6</v>
      </c>
      <c r="E617" s="2" t="s">
        <v>617</v>
      </c>
    </row>
    <row r="618" spans="1:5" x14ac:dyDescent="0.25">
      <c r="A618" s="1">
        <v>31077</v>
      </c>
      <c r="B618" s="2">
        <v>46</v>
      </c>
      <c r="C618" s="2">
        <v>31</v>
      </c>
      <c r="D618" s="2">
        <v>13.2</v>
      </c>
      <c r="E618" s="2" t="s">
        <v>618</v>
      </c>
    </row>
    <row r="619" spans="1:5" x14ac:dyDescent="0.25">
      <c r="A619" s="1">
        <v>31078</v>
      </c>
      <c r="B619" s="2">
        <v>47</v>
      </c>
      <c r="C619" s="2">
        <v>31</v>
      </c>
      <c r="D619" s="2">
        <v>5.09</v>
      </c>
      <c r="E619" s="2" t="s">
        <v>619</v>
      </c>
    </row>
    <row r="620" spans="1:5" x14ac:dyDescent="0.25">
      <c r="A620" s="1">
        <v>31079</v>
      </c>
      <c r="B620" s="2">
        <v>48</v>
      </c>
      <c r="C620" s="2">
        <v>31</v>
      </c>
      <c r="D620" s="2">
        <v>2.847</v>
      </c>
      <c r="E620" s="2" t="s">
        <v>620</v>
      </c>
    </row>
    <row r="621" spans="1:5" x14ac:dyDescent="0.25">
      <c r="A621" s="1">
        <v>31080</v>
      </c>
      <c r="B621" s="2">
        <v>49</v>
      </c>
      <c r="C621" s="2">
        <v>31</v>
      </c>
      <c r="D621" s="2">
        <v>1.9</v>
      </c>
      <c r="E621" s="2" t="s">
        <v>621</v>
      </c>
    </row>
    <row r="622" spans="1:5" x14ac:dyDescent="0.25">
      <c r="A622" s="1">
        <v>31081</v>
      </c>
      <c r="B622" s="2">
        <v>50</v>
      </c>
      <c r="C622" s="2">
        <v>31</v>
      </c>
      <c r="D622" s="2">
        <v>1.2170000000000001</v>
      </c>
      <c r="E622" s="2" t="s">
        <v>622</v>
      </c>
    </row>
    <row r="623" spans="1:5" x14ac:dyDescent="0.25">
      <c r="A623" s="1">
        <v>31082</v>
      </c>
      <c r="B623" s="2">
        <v>51</v>
      </c>
      <c r="C623" s="2">
        <v>31</v>
      </c>
      <c r="D623" s="2">
        <v>0.59899999999999998</v>
      </c>
      <c r="E623" s="2" t="s">
        <v>623</v>
      </c>
    </row>
    <row r="624" spans="1:5" x14ac:dyDescent="0.25">
      <c r="A624" s="1">
        <v>31083</v>
      </c>
      <c r="B624" s="2">
        <v>52</v>
      </c>
      <c r="C624" s="2">
        <v>31</v>
      </c>
      <c r="D624" s="2">
        <v>0.30809999999999998</v>
      </c>
      <c r="E624" s="2" t="s">
        <v>624</v>
      </c>
    </row>
    <row r="625" spans="1:5" x14ac:dyDescent="0.25">
      <c r="A625" s="1">
        <v>31084</v>
      </c>
      <c r="B625" s="2">
        <v>53</v>
      </c>
      <c r="C625" s="2">
        <v>31</v>
      </c>
      <c r="D625" s="2">
        <v>8.5000000000000006E-2</v>
      </c>
      <c r="E625" s="2" t="s">
        <v>625</v>
      </c>
    </row>
    <row r="626" spans="1:5" x14ac:dyDescent="0.25">
      <c r="A626" s="1">
        <v>31085</v>
      </c>
      <c r="B626" s="2">
        <v>54</v>
      </c>
      <c r="C626" s="2">
        <v>31</v>
      </c>
      <c r="D626" s="2">
        <v>9.1999999999999998E-2</v>
      </c>
      <c r="E626" s="2" t="s">
        <v>626</v>
      </c>
    </row>
    <row r="627" spans="1:5" x14ac:dyDescent="0.25">
      <c r="A627" s="1">
        <v>31086</v>
      </c>
      <c r="B627" s="2">
        <v>55</v>
      </c>
      <c r="C627" s="2">
        <v>31</v>
      </c>
      <c r="D627" s="2">
        <v>4.2999999999999997E-2</v>
      </c>
      <c r="E627" s="2" t="s">
        <v>627</v>
      </c>
    </row>
    <row r="628" spans="1:5" x14ac:dyDescent="0.25">
      <c r="A628" s="1">
        <v>31087</v>
      </c>
      <c r="B628" s="2">
        <v>56</v>
      </c>
      <c r="C628" s="2">
        <v>31</v>
      </c>
      <c r="D628" s="2">
        <v>6.3399999999999999E-7</v>
      </c>
      <c r="E628" s="2" t="s">
        <v>628</v>
      </c>
    </row>
    <row r="629" spans="1:5" x14ac:dyDescent="0.25">
      <c r="A629" s="1">
        <v>32059</v>
      </c>
      <c r="B629" s="2">
        <v>27</v>
      </c>
      <c r="C629" s="2">
        <v>32</v>
      </c>
      <c r="D629" s="2">
        <v>3.5999999999999999E-7</v>
      </c>
      <c r="E629" s="2" t="s">
        <v>629</v>
      </c>
    </row>
    <row r="630" spans="1:5" x14ac:dyDescent="0.25">
      <c r="A630" s="1">
        <v>32060</v>
      </c>
      <c r="B630" s="2">
        <v>28</v>
      </c>
      <c r="C630" s="2">
        <v>32</v>
      </c>
      <c r="D630" s="2">
        <v>1.1000000000000001E-7</v>
      </c>
      <c r="E630" s="2" t="s">
        <v>630</v>
      </c>
    </row>
    <row r="631" spans="1:5" x14ac:dyDescent="0.25">
      <c r="A631" s="1">
        <v>32061</v>
      </c>
      <c r="B631" s="2">
        <v>29</v>
      </c>
      <c r="C631" s="2">
        <v>32</v>
      </c>
      <c r="D631" s="2">
        <v>4.3999999999999997E-2</v>
      </c>
      <c r="E631" s="2" t="s">
        <v>631</v>
      </c>
    </row>
    <row r="632" spans="1:5" x14ac:dyDescent="0.25">
      <c r="A632" s="1">
        <v>32062</v>
      </c>
      <c r="B632" s="2">
        <v>30</v>
      </c>
      <c r="C632" s="2">
        <v>32</v>
      </c>
      <c r="D632" s="2">
        <v>0.129</v>
      </c>
      <c r="E632" s="2" t="s">
        <v>632</v>
      </c>
    </row>
    <row r="633" spans="1:5" x14ac:dyDescent="0.25">
      <c r="A633" s="1">
        <v>32063</v>
      </c>
      <c r="B633" s="2">
        <v>31</v>
      </c>
      <c r="C633" s="2">
        <v>32</v>
      </c>
      <c r="D633" s="2">
        <v>0.15</v>
      </c>
      <c r="E633" s="2" t="s">
        <v>633</v>
      </c>
    </row>
    <row r="634" spans="1:5" x14ac:dyDescent="0.25">
      <c r="A634" s="1">
        <v>32064</v>
      </c>
      <c r="B634" s="2">
        <v>32</v>
      </c>
      <c r="C634" s="2">
        <v>32</v>
      </c>
      <c r="D634" s="2">
        <v>63.7</v>
      </c>
      <c r="E634" s="2" t="s">
        <v>634</v>
      </c>
    </row>
    <row r="635" spans="1:5" x14ac:dyDescent="0.25">
      <c r="A635" s="1">
        <v>32065</v>
      </c>
      <c r="B635" s="2">
        <v>33</v>
      </c>
      <c r="C635" s="2">
        <v>32</v>
      </c>
      <c r="D635" s="2">
        <v>30.9</v>
      </c>
      <c r="E635" s="2" t="s">
        <v>635</v>
      </c>
    </row>
    <row r="636" spans="1:5" x14ac:dyDescent="0.25">
      <c r="A636" s="1">
        <v>32066</v>
      </c>
      <c r="B636" s="2">
        <v>34</v>
      </c>
      <c r="C636" s="2">
        <v>32</v>
      </c>
      <c r="D636" s="2">
        <v>8135.99999999999</v>
      </c>
      <c r="E636" s="2" t="s">
        <v>636</v>
      </c>
    </row>
    <row r="637" spans="1:5" x14ac:dyDescent="0.25">
      <c r="A637" s="1">
        <v>32067</v>
      </c>
      <c r="B637" s="2">
        <v>35</v>
      </c>
      <c r="C637" s="2">
        <v>32</v>
      </c>
      <c r="D637" s="2">
        <v>1134</v>
      </c>
      <c r="E637" s="2" t="s">
        <v>637</v>
      </c>
    </row>
    <row r="638" spans="1:5" x14ac:dyDescent="0.25">
      <c r="A638" s="1">
        <v>32068</v>
      </c>
      <c r="B638" s="2">
        <v>36</v>
      </c>
      <c r="C638" s="2">
        <v>32</v>
      </c>
      <c r="D638" s="2">
        <v>23408352</v>
      </c>
      <c r="E638" s="2" t="s">
        <v>638</v>
      </c>
    </row>
    <row r="639" spans="1:5" x14ac:dyDescent="0.25">
      <c r="A639" s="1">
        <v>32069</v>
      </c>
      <c r="B639" s="2">
        <v>37</v>
      </c>
      <c r="C639" s="2">
        <v>32</v>
      </c>
      <c r="D639" s="2">
        <v>140580</v>
      </c>
      <c r="E639" s="2" t="s">
        <v>639</v>
      </c>
    </row>
    <row r="640" spans="1:5" x14ac:dyDescent="0.25">
      <c r="A640" s="1">
        <v>32070</v>
      </c>
      <c r="B640" s="2">
        <v>38</v>
      </c>
      <c r="C640" s="2">
        <v>32</v>
      </c>
      <c r="D640" s="2" t="s">
        <v>3</v>
      </c>
      <c r="E640" s="2" t="s">
        <v>640</v>
      </c>
    </row>
    <row r="641" spans="1:5" x14ac:dyDescent="0.25">
      <c r="A641" s="1">
        <v>32071</v>
      </c>
      <c r="B641" s="2">
        <v>39</v>
      </c>
      <c r="C641" s="2">
        <v>32</v>
      </c>
      <c r="D641" s="2">
        <v>987552</v>
      </c>
      <c r="E641" s="2" t="s">
        <v>641</v>
      </c>
    </row>
    <row r="642" spans="1:5" x14ac:dyDescent="0.25">
      <c r="A642" s="1">
        <v>32072</v>
      </c>
      <c r="B642" s="2">
        <v>40</v>
      </c>
      <c r="C642" s="2">
        <v>32</v>
      </c>
      <c r="D642" s="2" t="s">
        <v>3</v>
      </c>
      <c r="E642" s="2" t="s">
        <v>642</v>
      </c>
    </row>
    <row r="643" spans="1:5" x14ac:dyDescent="0.25">
      <c r="A643" s="1">
        <v>32073</v>
      </c>
      <c r="B643" s="2">
        <v>41</v>
      </c>
      <c r="C643" s="2">
        <v>32</v>
      </c>
      <c r="D643" s="2" t="s">
        <v>3</v>
      </c>
      <c r="E643" s="2" t="s">
        <v>643</v>
      </c>
    </row>
    <row r="644" spans="1:5" x14ac:dyDescent="0.25">
      <c r="A644" s="1">
        <v>32074</v>
      </c>
      <c r="B644" s="2">
        <v>42</v>
      </c>
      <c r="C644" s="2">
        <v>32</v>
      </c>
      <c r="D644" s="2" t="s">
        <v>3</v>
      </c>
      <c r="E644" s="2" t="s">
        <v>644</v>
      </c>
    </row>
    <row r="645" spans="1:5" x14ac:dyDescent="0.25">
      <c r="A645" s="1">
        <v>32075</v>
      </c>
      <c r="B645" s="2">
        <v>43</v>
      </c>
      <c r="C645" s="2">
        <v>32</v>
      </c>
      <c r="D645" s="2">
        <v>4966.8</v>
      </c>
      <c r="E645" s="2" t="s">
        <v>645</v>
      </c>
    </row>
    <row r="646" spans="1:5" x14ac:dyDescent="0.25">
      <c r="A646" s="1">
        <v>32076</v>
      </c>
      <c r="B646" s="2">
        <v>44</v>
      </c>
      <c r="C646" s="2">
        <v>32</v>
      </c>
      <c r="D646" s="2" t="s">
        <v>3</v>
      </c>
      <c r="E646" s="2" t="s">
        <v>646</v>
      </c>
    </row>
    <row r="647" spans="1:5" x14ac:dyDescent="0.25">
      <c r="A647" s="1">
        <v>32077</v>
      </c>
      <c r="B647" s="2">
        <v>45</v>
      </c>
      <c r="C647" s="2">
        <v>32</v>
      </c>
      <c r="D647" s="2">
        <v>40680</v>
      </c>
      <c r="E647" s="2" t="s">
        <v>647</v>
      </c>
    </row>
    <row r="648" spans="1:5" x14ac:dyDescent="0.25">
      <c r="A648" s="1">
        <v>32078</v>
      </c>
      <c r="B648" s="2">
        <v>46</v>
      </c>
      <c r="C648" s="2">
        <v>32</v>
      </c>
      <c r="D648" s="2">
        <v>5280</v>
      </c>
      <c r="E648" s="2" t="s">
        <v>648</v>
      </c>
    </row>
    <row r="649" spans="1:5" x14ac:dyDescent="0.25">
      <c r="A649" s="1">
        <v>32079</v>
      </c>
      <c r="B649" s="2">
        <v>47</v>
      </c>
      <c r="C649" s="2">
        <v>32</v>
      </c>
      <c r="D649" s="2">
        <v>18.98</v>
      </c>
      <c r="E649" s="2" t="s">
        <v>649</v>
      </c>
    </row>
    <row r="650" spans="1:5" x14ac:dyDescent="0.25">
      <c r="A650" s="1">
        <v>32080</v>
      </c>
      <c r="B650" s="2">
        <v>48</v>
      </c>
      <c r="C650" s="2">
        <v>32</v>
      </c>
      <c r="D650" s="2">
        <v>29.5</v>
      </c>
      <c r="E650" s="2" t="s">
        <v>650</v>
      </c>
    </row>
    <row r="651" spans="1:5" x14ac:dyDescent="0.25">
      <c r="A651" s="1">
        <v>32081</v>
      </c>
      <c r="B651" s="2">
        <v>49</v>
      </c>
      <c r="C651" s="2">
        <v>32</v>
      </c>
      <c r="D651" s="2">
        <v>7.6</v>
      </c>
      <c r="E651" s="2" t="s">
        <v>651</v>
      </c>
    </row>
    <row r="652" spans="1:5" x14ac:dyDescent="0.25">
      <c r="A652" s="1">
        <v>32082</v>
      </c>
      <c r="B652" s="2">
        <v>50</v>
      </c>
      <c r="C652" s="2">
        <v>32</v>
      </c>
      <c r="D652" s="2">
        <v>4.5599999999999996</v>
      </c>
      <c r="E652" s="2" t="s">
        <v>652</v>
      </c>
    </row>
    <row r="653" spans="1:5" x14ac:dyDescent="0.25">
      <c r="A653" s="1">
        <v>32083</v>
      </c>
      <c r="B653" s="2">
        <v>51</v>
      </c>
      <c r="C653" s="2">
        <v>32</v>
      </c>
      <c r="D653" s="2">
        <v>1.85</v>
      </c>
      <c r="E653" s="2" t="s">
        <v>653</v>
      </c>
    </row>
    <row r="654" spans="1:5" x14ac:dyDescent="0.25">
      <c r="A654" s="1">
        <v>32084</v>
      </c>
      <c r="B654" s="2">
        <v>52</v>
      </c>
      <c r="C654" s="2">
        <v>32</v>
      </c>
      <c r="D654" s="2">
        <v>0.95399999999999996</v>
      </c>
      <c r="E654" s="2" t="s">
        <v>654</v>
      </c>
    </row>
    <row r="655" spans="1:5" x14ac:dyDescent="0.25">
      <c r="A655" s="1">
        <v>32085</v>
      </c>
      <c r="B655" s="2">
        <v>53</v>
      </c>
      <c r="C655" s="2">
        <v>32</v>
      </c>
      <c r="D655" s="2">
        <v>0.503</v>
      </c>
      <c r="E655" s="2" t="s">
        <v>655</v>
      </c>
    </row>
    <row r="656" spans="1:5" x14ac:dyDescent="0.25">
      <c r="A656" s="1">
        <v>32086</v>
      </c>
      <c r="B656" s="2">
        <v>54</v>
      </c>
      <c r="C656" s="2">
        <v>32</v>
      </c>
      <c r="D656" s="2">
        <v>0.22600000000000001</v>
      </c>
      <c r="E656" s="2" t="s">
        <v>656</v>
      </c>
    </row>
    <row r="657" spans="1:5" x14ac:dyDescent="0.25">
      <c r="A657" s="1">
        <v>32087</v>
      </c>
      <c r="B657" s="2">
        <v>55</v>
      </c>
      <c r="C657" s="2">
        <v>32</v>
      </c>
      <c r="D657" s="2">
        <v>0.14000000000000001</v>
      </c>
      <c r="E657" s="2" t="s">
        <v>657</v>
      </c>
    </row>
    <row r="658" spans="1:5" x14ac:dyDescent="0.25">
      <c r="A658" s="1">
        <v>32088</v>
      </c>
      <c r="B658" s="2">
        <v>56</v>
      </c>
      <c r="C658" s="2">
        <v>32</v>
      </c>
      <c r="D658" s="2">
        <v>2.9999999999999999E-7</v>
      </c>
      <c r="E658" s="2" t="s">
        <v>658</v>
      </c>
    </row>
    <row r="659" spans="1:5" x14ac:dyDescent="0.25">
      <c r="A659" s="1">
        <v>32089</v>
      </c>
      <c r="B659" s="2">
        <v>57</v>
      </c>
      <c r="C659" s="2">
        <v>32</v>
      </c>
      <c r="D659" s="2">
        <v>2.9999999999999999E-7</v>
      </c>
      <c r="E659" s="2" t="s">
        <v>659</v>
      </c>
    </row>
    <row r="660" spans="1:5" x14ac:dyDescent="0.25">
      <c r="A660" s="1">
        <v>32090</v>
      </c>
      <c r="B660" s="2">
        <v>58</v>
      </c>
      <c r="C660" s="2">
        <v>32</v>
      </c>
      <c r="D660" s="2">
        <v>6.3499999999999996E-7</v>
      </c>
      <c r="E660" s="2" t="s">
        <v>660</v>
      </c>
    </row>
    <row r="661" spans="1:5" x14ac:dyDescent="0.25">
      <c r="A661" s="1">
        <v>33064</v>
      </c>
      <c r="B661" s="2">
        <v>31</v>
      </c>
      <c r="C661" s="2">
        <v>33</v>
      </c>
      <c r="D661" s="2">
        <v>1.7999999999999999E-2</v>
      </c>
      <c r="E661" s="2" t="s">
        <v>661</v>
      </c>
    </row>
    <row r="662" spans="1:5" x14ac:dyDescent="0.25">
      <c r="A662" s="1">
        <v>33065</v>
      </c>
      <c r="B662" s="2">
        <v>32</v>
      </c>
      <c r="C662" s="2">
        <v>33</v>
      </c>
      <c r="D662" s="2">
        <v>0.128</v>
      </c>
      <c r="E662" s="2" t="s">
        <v>662</v>
      </c>
    </row>
    <row r="663" spans="1:5" x14ac:dyDescent="0.25">
      <c r="A663" s="1">
        <v>33066</v>
      </c>
      <c r="B663" s="2">
        <v>33</v>
      </c>
      <c r="C663" s="2">
        <v>33</v>
      </c>
      <c r="D663" s="2">
        <v>9.5769999999999994E-2</v>
      </c>
      <c r="E663" s="2" t="s">
        <v>663</v>
      </c>
    </row>
    <row r="664" spans="1:5" x14ac:dyDescent="0.25">
      <c r="A664" s="1">
        <v>33067</v>
      </c>
      <c r="B664" s="2">
        <v>34</v>
      </c>
      <c r="C664" s="2">
        <v>33</v>
      </c>
      <c r="D664" s="2">
        <v>42.5</v>
      </c>
      <c r="E664" s="2" t="s">
        <v>664</v>
      </c>
    </row>
    <row r="665" spans="1:5" x14ac:dyDescent="0.25">
      <c r="A665" s="1">
        <v>33068</v>
      </c>
      <c r="B665" s="2">
        <v>35</v>
      </c>
      <c r="C665" s="2">
        <v>33</v>
      </c>
      <c r="D665" s="2">
        <v>151.6</v>
      </c>
      <c r="E665" s="2" t="s">
        <v>665</v>
      </c>
    </row>
    <row r="666" spans="1:5" x14ac:dyDescent="0.25">
      <c r="A666" s="1">
        <v>33069</v>
      </c>
      <c r="B666" s="2">
        <v>36</v>
      </c>
      <c r="C666" s="2">
        <v>33</v>
      </c>
      <c r="D666" s="2">
        <v>912</v>
      </c>
      <c r="E666" s="2" t="s">
        <v>666</v>
      </c>
    </row>
    <row r="667" spans="1:5" x14ac:dyDescent="0.25">
      <c r="A667" s="1">
        <v>33070</v>
      </c>
      <c r="B667" s="2">
        <v>37</v>
      </c>
      <c r="C667" s="2">
        <v>33</v>
      </c>
      <c r="D667" s="2">
        <v>3156</v>
      </c>
      <c r="E667" s="2" t="s">
        <v>667</v>
      </c>
    </row>
    <row r="668" spans="1:5" x14ac:dyDescent="0.25">
      <c r="A668" s="1">
        <v>33071</v>
      </c>
      <c r="B668" s="2">
        <v>38</v>
      </c>
      <c r="C668" s="2">
        <v>33</v>
      </c>
      <c r="D668" s="2">
        <v>235080</v>
      </c>
      <c r="E668" s="2" t="s">
        <v>668</v>
      </c>
    </row>
    <row r="669" spans="1:5" x14ac:dyDescent="0.25">
      <c r="A669" s="1">
        <v>33072</v>
      </c>
      <c r="B669" s="2">
        <v>39</v>
      </c>
      <c r="C669" s="2">
        <v>33</v>
      </c>
      <c r="D669" s="2">
        <v>93600</v>
      </c>
      <c r="E669" s="2" t="s">
        <v>669</v>
      </c>
    </row>
    <row r="670" spans="1:5" x14ac:dyDescent="0.25">
      <c r="A670" s="1">
        <v>33073</v>
      </c>
      <c r="B670" s="2">
        <v>40</v>
      </c>
      <c r="C670" s="2">
        <v>33</v>
      </c>
      <c r="D670" s="2">
        <v>6937920</v>
      </c>
      <c r="E670" s="2" t="s">
        <v>670</v>
      </c>
    </row>
    <row r="671" spans="1:5" x14ac:dyDescent="0.25">
      <c r="A671" s="1">
        <v>33074</v>
      </c>
      <c r="B671" s="2">
        <v>41</v>
      </c>
      <c r="C671" s="2">
        <v>33</v>
      </c>
      <c r="D671" s="2">
        <v>1535328</v>
      </c>
      <c r="E671" s="2" t="s">
        <v>671</v>
      </c>
    </row>
    <row r="672" spans="1:5" x14ac:dyDescent="0.25">
      <c r="A672" s="1">
        <v>33075</v>
      </c>
      <c r="B672" s="2">
        <v>42</v>
      </c>
      <c r="C672" s="2">
        <v>33</v>
      </c>
      <c r="D672" s="2" t="s">
        <v>3</v>
      </c>
      <c r="E672" s="2" t="s">
        <v>672</v>
      </c>
    </row>
    <row r="673" spans="1:5" x14ac:dyDescent="0.25">
      <c r="A673" s="1">
        <v>33076</v>
      </c>
      <c r="B673" s="2">
        <v>43</v>
      </c>
      <c r="C673" s="2">
        <v>33</v>
      </c>
      <c r="D673" s="2">
        <v>94538.880000000005</v>
      </c>
      <c r="E673" s="2" t="s">
        <v>673</v>
      </c>
    </row>
    <row r="674" spans="1:5" x14ac:dyDescent="0.25">
      <c r="A674" s="1">
        <v>33077</v>
      </c>
      <c r="B674" s="2">
        <v>44</v>
      </c>
      <c r="C674" s="2">
        <v>33</v>
      </c>
      <c r="D674" s="2">
        <v>139788</v>
      </c>
      <c r="E674" s="2" t="s">
        <v>674</v>
      </c>
    </row>
    <row r="675" spans="1:5" x14ac:dyDescent="0.25">
      <c r="A675" s="1">
        <v>33078</v>
      </c>
      <c r="B675" s="2">
        <v>45</v>
      </c>
      <c r="C675" s="2">
        <v>33</v>
      </c>
      <c r="D675" s="2">
        <v>5442</v>
      </c>
      <c r="E675" s="2" t="s">
        <v>675</v>
      </c>
    </row>
    <row r="676" spans="1:5" x14ac:dyDescent="0.25">
      <c r="A676" s="1">
        <v>33079</v>
      </c>
      <c r="B676" s="2">
        <v>46</v>
      </c>
      <c r="C676" s="2">
        <v>33</v>
      </c>
      <c r="D676" s="2">
        <v>540.6</v>
      </c>
      <c r="E676" s="2" t="s">
        <v>676</v>
      </c>
    </row>
    <row r="677" spans="1:5" x14ac:dyDescent="0.25">
      <c r="A677" s="1">
        <v>33080</v>
      </c>
      <c r="B677" s="2">
        <v>47</v>
      </c>
      <c r="C677" s="2">
        <v>33</v>
      </c>
      <c r="D677" s="2">
        <v>15.2</v>
      </c>
      <c r="E677" s="2" t="s">
        <v>677</v>
      </c>
    </row>
    <row r="678" spans="1:5" x14ac:dyDescent="0.25">
      <c r="A678" s="1">
        <v>33081</v>
      </c>
      <c r="B678" s="2">
        <v>48</v>
      </c>
      <c r="C678" s="2">
        <v>33</v>
      </c>
      <c r="D678" s="2">
        <v>33.299999999999997</v>
      </c>
      <c r="E678" s="2" t="s">
        <v>678</v>
      </c>
    </row>
    <row r="679" spans="1:5" x14ac:dyDescent="0.25">
      <c r="A679" s="1">
        <v>33082</v>
      </c>
      <c r="B679" s="2">
        <v>49</v>
      </c>
      <c r="C679" s="2">
        <v>33</v>
      </c>
      <c r="D679" s="2">
        <v>19.100000000000001</v>
      </c>
      <c r="E679" s="2" t="s">
        <v>679</v>
      </c>
    </row>
    <row r="680" spans="1:5" x14ac:dyDescent="0.25">
      <c r="A680" s="1">
        <v>33083</v>
      </c>
      <c r="B680" s="2">
        <v>50</v>
      </c>
      <c r="C680" s="2">
        <v>33</v>
      </c>
      <c r="D680" s="2">
        <v>13.4</v>
      </c>
      <c r="E680" s="2" t="s">
        <v>680</v>
      </c>
    </row>
    <row r="681" spans="1:5" x14ac:dyDescent="0.25">
      <c r="A681" s="1">
        <v>33084</v>
      </c>
      <c r="B681" s="2">
        <v>51</v>
      </c>
      <c r="C681" s="2">
        <v>33</v>
      </c>
      <c r="D681" s="2">
        <v>4.0199999999999996</v>
      </c>
      <c r="E681" s="2" t="s">
        <v>681</v>
      </c>
    </row>
    <row r="682" spans="1:5" x14ac:dyDescent="0.25">
      <c r="A682" s="1">
        <v>33085</v>
      </c>
      <c r="B682" s="2">
        <v>52</v>
      </c>
      <c r="C682" s="2">
        <v>33</v>
      </c>
      <c r="D682" s="2">
        <v>2.0209999999999999</v>
      </c>
      <c r="E682" s="2" t="s">
        <v>682</v>
      </c>
    </row>
    <row r="683" spans="1:5" x14ac:dyDescent="0.25">
      <c r="A683" s="1">
        <v>33086</v>
      </c>
      <c r="B683" s="2">
        <v>53</v>
      </c>
      <c r="C683" s="2">
        <v>33</v>
      </c>
      <c r="D683" s="2">
        <v>0.94499999999999995</v>
      </c>
      <c r="E683" s="2" t="s">
        <v>683</v>
      </c>
    </row>
    <row r="684" spans="1:5" x14ac:dyDescent="0.25">
      <c r="A684" s="1">
        <v>33087</v>
      </c>
      <c r="B684" s="2">
        <v>54</v>
      </c>
      <c r="C684" s="2">
        <v>33</v>
      </c>
      <c r="D684" s="2">
        <v>0.48399999999999999</v>
      </c>
      <c r="E684" s="2" t="s">
        <v>684</v>
      </c>
    </row>
    <row r="685" spans="1:5" x14ac:dyDescent="0.25">
      <c r="A685" s="1">
        <v>33088</v>
      </c>
      <c r="B685" s="2">
        <v>55</v>
      </c>
      <c r="C685" s="2">
        <v>33</v>
      </c>
      <c r="D685" s="2">
        <v>0.2</v>
      </c>
      <c r="E685" s="2" t="s">
        <v>685</v>
      </c>
    </row>
    <row r="686" spans="1:5" x14ac:dyDescent="0.25">
      <c r="A686" s="1">
        <v>33089</v>
      </c>
      <c r="B686" s="2">
        <v>56</v>
      </c>
      <c r="C686" s="2">
        <v>33</v>
      </c>
      <c r="D686" s="2">
        <v>2.9999999999999999E-7</v>
      </c>
      <c r="E686" s="2" t="s">
        <v>686</v>
      </c>
    </row>
    <row r="687" spans="1:5" x14ac:dyDescent="0.25">
      <c r="A687" s="1">
        <v>33090</v>
      </c>
      <c r="B687" s="2">
        <v>57</v>
      </c>
      <c r="C687" s="2">
        <v>33</v>
      </c>
      <c r="D687" s="2">
        <v>2.9999999999999999E-7</v>
      </c>
      <c r="E687" s="2" t="s">
        <v>687</v>
      </c>
    </row>
    <row r="688" spans="1:5" x14ac:dyDescent="0.25">
      <c r="A688" s="1">
        <v>33091</v>
      </c>
      <c r="B688" s="2">
        <v>58</v>
      </c>
      <c r="C688" s="2">
        <v>33</v>
      </c>
      <c r="D688" s="2">
        <v>1.4999999999999999E-7</v>
      </c>
      <c r="E688" s="2" t="s">
        <v>688</v>
      </c>
    </row>
    <row r="689" spans="1:5" x14ac:dyDescent="0.25">
      <c r="A689" s="1">
        <v>34064</v>
      </c>
      <c r="B689" s="2">
        <v>30</v>
      </c>
      <c r="C689" s="2">
        <v>34</v>
      </c>
      <c r="D689" s="2">
        <v>1.8E-7</v>
      </c>
      <c r="E689" s="2" t="s">
        <v>689</v>
      </c>
    </row>
    <row r="690" spans="1:5" x14ac:dyDescent="0.25">
      <c r="A690" s="1">
        <v>34065</v>
      </c>
      <c r="B690" s="2">
        <v>31</v>
      </c>
      <c r="C690" s="2">
        <v>34</v>
      </c>
      <c r="D690" s="2">
        <v>3.3000000000000002E-2</v>
      </c>
      <c r="E690" s="2" t="s">
        <v>690</v>
      </c>
    </row>
    <row r="691" spans="1:5" x14ac:dyDescent="0.25">
      <c r="A691" s="1">
        <v>34066</v>
      </c>
      <c r="B691" s="2">
        <v>32</v>
      </c>
      <c r="C691" s="2">
        <v>34</v>
      </c>
      <c r="D691" s="2">
        <v>4.2000000000000003E-2</v>
      </c>
      <c r="E691" s="2" t="s">
        <v>691</v>
      </c>
    </row>
    <row r="692" spans="1:5" x14ac:dyDescent="0.25">
      <c r="A692" s="1">
        <v>34067</v>
      </c>
      <c r="B692" s="2">
        <v>33</v>
      </c>
      <c r="C692" s="2">
        <v>34</v>
      </c>
      <c r="D692" s="2">
        <v>0.13600000000000001</v>
      </c>
      <c r="E692" s="2" t="s">
        <v>692</v>
      </c>
    </row>
    <row r="693" spans="1:5" x14ac:dyDescent="0.25">
      <c r="A693" s="1">
        <v>34068</v>
      </c>
      <c r="B693" s="2">
        <v>34</v>
      </c>
      <c r="C693" s="2">
        <v>34</v>
      </c>
      <c r="D693" s="2">
        <v>35.5</v>
      </c>
      <c r="E693" s="2" t="s">
        <v>693</v>
      </c>
    </row>
    <row r="694" spans="1:5" x14ac:dyDescent="0.25">
      <c r="A694" s="1">
        <v>34069</v>
      </c>
      <c r="B694" s="2">
        <v>35</v>
      </c>
      <c r="C694" s="2">
        <v>34</v>
      </c>
      <c r="D694" s="2">
        <v>27.4</v>
      </c>
      <c r="E694" s="2" t="s">
        <v>694</v>
      </c>
    </row>
    <row r="695" spans="1:5" x14ac:dyDescent="0.25">
      <c r="A695" s="1">
        <v>34070</v>
      </c>
      <c r="B695" s="2">
        <v>36</v>
      </c>
      <c r="C695" s="2">
        <v>34</v>
      </c>
      <c r="D695" s="2">
        <v>2466</v>
      </c>
      <c r="E695" s="2" t="s">
        <v>695</v>
      </c>
    </row>
    <row r="696" spans="1:5" x14ac:dyDescent="0.25">
      <c r="A696" s="1">
        <v>34071</v>
      </c>
      <c r="B696" s="2">
        <v>37</v>
      </c>
      <c r="C696" s="2">
        <v>34</v>
      </c>
      <c r="D696" s="2">
        <v>284.39999999999998</v>
      </c>
      <c r="E696" s="2" t="s">
        <v>696</v>
      </c>
    </row>
    <row r="697" spans="1:5" x14ac:dyDescent="0.25">
      <c r="A697" s="1">
        <v>34072</v>
      </c>
      <c r="B697" s="2">
        <v>38</v>
      </c>
      <c r="C697" s="2">
        <v>34</v>
      </c>
      <c r="D697" s="2">
        <v>725760</v>
      </c>
      <c r="E697" s="2" t="s">
        <v>697</v>
      </c>
    </row>
    <row r="698" spans="1:5" x14ac:dyDescent="0.25">
      <c r="A698" s="1">
        <v>34073</v>
      </c>
      <c r="B698" s="2">
        <v>39</v>
      </c>
      <c r="C698" s="2">
        <v>34</v>
      </c>
      <c r="D698" s="2">
        <v>25740</v>
      </c>
      <c r="E698" s="2" t="s">
        <v>698</v>
      </c>
    </row>
    <row r="699" spans="1:5" x14ac:dyDescent="0.25">
      <c r="A699" s="1">
        <v>34074</v>
      </c>
      <c r="B699" s="2">
        <v>40</v>
      </c>
      <c r="C699" s="2">
        <v>34</v>
      </c>
      <c r="D699" s="2" t="s">
        <v>3</v>
      </c>
      <c r="E699" s="2" t="s">
        <v>699</v>
      </c>
    </row>
    <row r="700" spans="1:5" x14ac:dyDescent="0.25">
      <c r="A700" s="1">
        <v>34075</v>
      </c>
      <c r="B700" s="2">
        <v>41</v>
      </c>
      <c r="C700" s="2">
        <v>34</v>
      </c>
      <c r="D700" s="2">
        <v>10348992</v>
      </c>
      <c r="E700" s="2" t="s">
        <v>700</v>
      </c>
    </row>
    <row r="701" spans="1:5" x14ac:dyDescent="0.25">
      <c r="A701" s="1">
        <v>34076</v>
      </c>
      <c r="B701" s="2">
        <v>42</v>
      </c>
      <c r="C701" s="2">
        <v>34</v>
      </c>
      <c r="D701" s="2" t="s">
        <v>3</v>
      </c>
      <c r="E701" s="2" t="s">
        <v>701</v>
      </c>
    </row>
    <row r="702" spans="1:5" x14ac:dyDescent="0.25">
      <c r="A702" s="1">
        <v>34077</v>
      </c>
      <c r="B702" s="2">
        <v>43</v>
      </c>
      <c r="C702" s="2">
        <v>34</v>
      </c>
      <c r="D702" s="2" t="s">
        <v>3</v>
      </c>
      <c r="E702" s="2" t="s">
        <v>702</v>
      </c>
    </row>
    <row r="703" spans="1:5" x14ac:dyDescent="0.25">
      <c r="A703" s="1">
        <v>34078</v>
      </c>
      <c r="B703" s="2">
        <v>44</v>
      </c>
      <c r="C703" s="2">
        <v>34</v>
      </c>
      <c r="D703" s="2" t="s">
        <v>3</v>
      </c>
      <c r="E703" s="2" t="s">
        <v>703</v>
      </c>
    </row>
    <row r="704" spans="1:5" x14ac:dyDescent="0.25">
      <c r="A704" s="1">
        <v>34079</v>
      </c>
      <c r="B704" s="2">
        <v>45</v>
      </c>
      <c r="C704" s="2">
        <v>34</v>
      </c>
      <c r="D704" s="2">
        <v>10287777600000</v>
      </c>
      <c r="E704" s="2" t="s">
        <v>704</v>
      </c>
    </row>
    <row r="705" spans="1:5" x14ac:dyDescent="0.25">
      <c r="A705" s="1">
        <v>34080</v>
      </c>
      <c r="B705" s="2">
        <v>46</v>
      </c>
      <c r="C705" s="2">
        <v>34</v>
      </c>
      <c r="D705" s="2" t="s">
        <v>3</v>
      </c>
      <c r="E705" s="2" t="s">
        <v>705</v>
      </c>
    </row>
    <row r="706" spans="1:5" x14ac:dyDescent="0.25">
      <c r="A706" s="1">
        <v>34081</v>
      </c>
      <c r="B706" s="2">
        <v>47</v>
      </c>
      <c r="C706" s="2">
        <v>34</v>
      </c>
      <c r="D706" s="2">
        <v>1107</v>
      </c>
      <c r="E706" s="2" t="s">
        <v>706</v>
      </c>
    </row>
    <row r="707" spans="1:5" x14ac:dyDescent="0.25">
      <c r="A707" s="1">
        <v>34082</v>
      </c>
      <c r="B707" s="2">
        <v>48</v>
      </c>
      <c r="C707" s="2">
        <v>34</v>
      </c>
      <c r="D707" s="2" t="s">
        <v>3</v>
      </c>
      <c r="E707" s="2" t="s">
        <v>707</v>
      </c>
    </row>
    <row r="708" spans="1:5" x14ac:dyDescent="0.25">
      <c r="A708" s="1">
        <v>34083</v>
      </c>
      <c r="B708" s="2">
        <v>49</v>
      </c>
      <c r="C708" s="2">
        <v>34</v>
      </c>
      <c r="D708" s="2">
        <v>1335</v>
      </c>
      <c r="E708" s="2" t="s">
        <v>708</v>
      </c>
    </row>
    <row r="709" spans="1:5" x14ac:dyDescent="0.25">
      <c r="A709" s="1">
        <v>34084</v>
      </c>
      <c r="B709" s="2">
        <v>50</v>
      </c>
      <c r="C709" s="2">
        <v>34</v>
      </c>
      <c r="D709" s="2">
        <v>195.6</v>
      </c>
      <c r="E709" s="2" t="s">
        <v>709</v>
      </c>
    </row>
    <row r="710" spans="1:5" x14ac:dyDescent="0.25">
      <c r="A710" s="1">
        <v>34085</v>
      </c>
      <c r="B710" s="2">
        <v>51</v>
      </c>
      <c r="C710" s="2">
        <v>34</v>
      </c>
      <c r="D710" s="2">
        <v>32.9</v>
      </c>
      <c r="E710" s="2" t="s">
        <v>710</v>
      </c>
    </row>
    <row r="711" spans="1:5" x14ac:dyDescent="0.25">
      <c r="A711" s="1">
        <v>34086</v>
      </c>
      <c r="B711" s="2">
        <v>52</v>
      </c>
      <c r="C711" s="2">
        <v>34</v>
      </c>
      <c r="D711" s="2">
        <v>14.3</v>
      </c>
      <c r="E711" s="2" t="s">
        <v>711</v>
      </c>
    </row>
    <row r="712" spans="1:5" x14ac:dyDescent="0.25">
      <c r="A712" s="1">
        <v>34087</v>
      </c>
      <c r="B712" s="2">
        <v>53</v>
      </c>
      <c r="C712" s="2">
        <v>34</v>
      </c>
      <c r="D712" s="2">
        <v>5.5</v>
      </c>
      <c r="E712" s="2" t="s">
        <v>712</v>
      </c>
    </row>
    <row r="713" spans="1:5" x14ac:dyDescent="0.25">
      <c r="A713" s="1">
        <v>34088</v>
      </c>
      <c r="B713" s="2">
        <v>54</v>
      </c>
      <c r="C713" s="2">
        <v>34</v>
      </c>
      <c r="D713" s="2">
        <v>1.53</v>
      </c>
      <c r="E713" s="2" t="s">
        <v>713</v>
      </c>
    </row>
    <row r="714" spans="1:5" x14ac:dyDescent="0.25">
      <c r="A714" s="1">
        <v>34089</v>
      </c>
      <c r="B714" s="2">
        <v>55</v>
      </c>
      <c r="C714" s="2">
        <v>34</v>
      </c>
      <c r="D714" s="2">
        <v>0.43</v>
      </c>
      <c r="E714" s="2" t="s">
        <v>714</v>
      </c>
    </row>
    <row r="715" spans="1:5" x14ac:dyDescent="0.25">
      <c r="A715" s="1">
        <v>34090</v>
      </c>
      <c r="B715" s="2">
        <v>56</v>
      </c>
      <c r="C715" s="2">
        <v>34</v>
      </c>
      <c r="D715" s="2">
        <v>0.19500000000000001</v>
      </c>
      <c r="E715" s="2" t="s">
        <v>715</v>
      </c>
    </row>
    <row r="716" spans="1:5" x14ac:dyDescent="0.25">
      <c r="A716" s="1">
        <v>34091</v>
      </c>
      <c r="B716" s="2">
        <v>57</v>
      </c>
      <c r="C716" s="2">
        <v>34</v>
      </c>
      <c r="D716" s="2">
        <v>0.27</v>
      </c>
      <c r="E716" s="2" t="s">
        <v>716</v>
      </c>
    </row>
    <row r="717" spans="1:5" x14ac:dyDescent="0.25">
      <c r="A717" s="1">
        <v>34094</v>
      </c>
      <c r="B717" s="2">
        <v>60</v>
      </c>
      <c r="C717" s="2">
        <v>34</v>
      </c>
      <c r="D717" s="2">
        <v>1.4999999999999999E-7</v>
      </c>
      <c r="E717" s="2" t="s">
        <v>717</v>
      </c>
    </row>
    <row r="718" spans="1:5" x14ac:dyDescent="0.25">
      <c r="A718" s="1">
        <v>34095</v>
      </c>
      <c r="B718" s="2">
        <v>61</v>
      </c>
      <c r="C718" s="2">
        <v>34</v>
      </c>
      <c r="D718" s="2">
        <v>3.9200000000000002E-7</v>
      </c>
      <c r="E718" s="2" t="s">
        <v>718</v>
      </c>
    </row>
    <row r="719" spans="1:5" x14ac:dyDescent="0.25">
      <c r="A719" s="1">
        <v>35070</v>
      </c>
      <c r="B719" s="2">
        <v>35</v>
      </c>
      <c r="C719" s="2">
        <v>35</v>
      </c>
      <c r="D719" s="2">
        <v>7.9099999999999906E-2</v>
      </c>
      <c r="E719" s="2" t="s">
        <v>719</v>
      </c>
    </row>
    <row r="720" spans="1:5" x14ac:dyDescent="0.25">
      <c r="A720" s="1">
        <v>35071</v>
      </c>
      <c r="B720" s="2">
        <v>36</v>
      </c>
      <c r="C720" s="2">
        <v>35</v>
      </c>
      <c r="D720" s="2">
        <v>21.4</v>
      </c>
      <c r="E720" s="2" t="s">
        <v>720</v>
      </c>
    </row>
    <row r="721" spans="1:5" x14ac:dyDescent="0.25">
      <c r="A721" s="1">
        <v>35072</v>
      </c>
      <c r="B721" s="2">
        <v>37</v>
      </c>
      <c r="C721" s="2">
        <v>35</v>
      </c>
      <c r="D721" s="2">
        <v>78.599999999999994</v>
      </c>
      <c r="E721" s="2" t="s">
        <v>721</v>
      </c>
    </row>
    <row r="722" spans="1:5" x14ac:dyDescent="0.25">
      <c r="A722" s="1">
        <v>35073</v>
      </c>
      <c r="B722" s="2">
        <v>38</v>
      </c>
      <c r="C722" s="2">
        <v>35</v>
      </c>
      <c r="D722" s="2">
        <v>204</v>
      </c>
      <c r="E722" s="2" t="s">
        <v>722</v>
      </c>
    </row>
    <row r="723" spans="1:5" x14ac:dyDescent="0.25">
      <c r="A723" s="1">
        <v>35074</v>
      </c>
      <c r="B723" s="2">
        <v>39</v>
      </c>
      <c r="C723" s="2">
        <v>35</v>
      </c>
      <c r="D723" s="2">
        <v>1524</v>
      </c>
      <c r="E723" s="2" t="s">
        <v>723</v>
      </c>
    </row>
    <row r="724" spans="1:5" x14ac:dyDescent="0.25">
      <c r="A724" s="1">
        <v>35075</v>
      </c>
      <c r="B724" s="2">
        <v>40</v>
      </c>
      <c r="C724" s="2">
        <v>35</v>
      </c>
      <c r="D724" s="2">
        <v>5802</v>
      </c>
      <c r="E724" s="2" t="s">
        <v>724</v>
      </c>
    </row>
    <row r="725" spans="1:5" x14ac:dyDescent="0.25">
      <c r="A725" s="1">
        <v>35076</v>
      </c>
      <c r="B725" s="2">
        <v>41</v>
      </c>
      <c r="C725" s="2">
        <v>35</v>
      </c>
      <c r="D725" s="2">
        <v>58320</v>
      </c>
      <c r="E725" s="2" t="s">
        <v>725</v>
      </c>
    </row>
    <row r="726" spans="1:5" x14ac:dyDescent="0.25">
      <c r="A726" s="1">
        <v>35077</v>
      </c>
      <c r="B726" s="2">
        <v>42</v>
      </c>
      <c r="C726" s="2">
        <v>35</v>
      </c>
      <c r="D726" s="2">
        <v>205329.6</v>
      </c>
      <c r="E726" s="2" t="s">
        <v>726</v>
      </c>
    </row>
    <row r="727" spans="1:5" x14ac:dyDescent="0.25">
      <c r="A727" s="1">
        <v>35078</v>
      </c>
      <c r="B727" s="2">
        <v>43</v>
      </c>
      <c r="C727" s="2">
        <v>35</v>
      </c>
      <c r="D727" s="2">
        <v>387</v>
      </c>
      <c r="E727" s="2" t="s">
        <v>727</v>
      </c>
    </row>
    <row r="728" spans="1:5" x14ac:dyDescent="0.25">
      <c r="A728" s="1">
        <v>35079</v>
      </c>
      <c r="B728" s="2">
        <v>44</v>
      </c>
      <c r="C728" s="2">
        <v>35</v>
      </c>
      <c r="D728" s="2" t="s">
        <v>3</v>
      </c>
      <c r="E728" s="2" t="s">
        <v>728</v>
      </c>
    </row>
    <row r="729" spans="1:5" x14ac:dyDescent="0.25">
      <c r="A729" s="1">
        <v>35080</v>
      </c>
      <c r="B729" s="2">
        <v>45</v>
      </c>
      <c r="C729" s="2">
        <v>35</v>
      </c>
      <c r="D729" s="2">
        <v>1060.8</v>
      </c>
      <c r="E729" s="2" t="s">
        <v>729</v>
      </c>
    </row>
    <row r="730" spans="1:5" x14ac:dyDescent="0.25">
      <c r="A730" s="1">
        <v>35081</v>
      </c>
      <c r="B730" s="2">
        <v>46</v>
      </c>
      <c r="C730" s="2">
        <v>35</v>
      </c>
      <c r="D730" s="2" t="s">
        <v>3</v>
      </c>
      <c r="E730" s="2" t="s">
        <v>730</v>
      </c>
    </row>
    <row r="731" spans="1:5" x14ac:dyDescent="0.25">
      <c r="A731" s="1">
        <v>35082</v>
      </c>
      <c r="B731" s="2">
        <v>47</v>
      </c>
      <c r="C731" s="2">
        <v>35</v>
      </c>
      <c r="D731" s="2">
        <v>127015.19999999899</v>
      </c>
      <c r="E731" s="2" t="s">
        <v>731</v>
      </c>
    </row>
    <row r="732" spans="1:5" x14ac:dyDescent="0.25">
      <c r="A732" s="1">
        <v>35083</v>
      </c>
      <c r="B732" s="2">
        <v>48</v>
      </c>
      <c r="C732" s="2">
        <v>35</v>
      </c>
      <c r="D732" s="2">
        <v>8546.4</v>
      </c>
      <c r="E732" s="2" t="s">
        <v>732</v>
      </c>
    </row>
    <row r="733" spans="1:5" x14ac:dyDescent="0.25">
      <c r="A733" s="1">
        <v>35084</v>
      </c>
      <c r="B733" s="2">
        <v>49</v>
      </c>
      <c r="C733" s="2">
        <v>35</v>
      </c>
      <c r="D733" s="2">
        <v>1905.6</v>
      </c>
      <c r="E733" s="2" t="s">
        <v>733</v>
      </c>
    </row>
    <row r="734" spans="1:5" x14ac:dyDescent="0.25">
      <c r="A734" s="1">
        <v>35085</v>
      </c>
      <c r="B734" s="2">
        <v>50</v>
      </c>
      <c r="C734" s="2">
        <v>35</v>
      </c>
      <c r="D734" s="2">
        <v>174</v>
      </c>
      <c r="E734" s="2" t="s">
        <v>734</v>
      </c>
    </row>
    <row r="735" spans="1:5" x14ac:dyDescent="0.25">
      <c r="A735" s="1">
        <v>35086</v>
      </c>
      <c r="B735" s="2">
        <v>51</v>
      </c>
      <c r="C735" s="2">
        <v>35</v>
      </c>
      <c r="D735" s="2">
        <v>55.1</v>
      </c>
      <c r="E735" s="2" t="s">
        <v>735</v>
      </c>
    </row>
    <row r="736" spans="1:5" x14ac:dyDescent="0.25">
      <c r="A736" s="1">
        <v>35087</v>
      </c>
      <c r="B736" s="2">
        <v>52</v>
      </c>
      <c r="C736" s="2">
        <v>35</v>
      </c>
      <c r="D736" s="2">
        <v>55.65</v>
      </c>
      <c r="E736" s="2" t="s">
        <v>736</v>
      </c>
    </row>
    <row r="737" spans="1:5" x14ac:dyDescent="0.25">
      <c r="A737" s="1">
        <v>35088</v>
      </c>
      <c r="B737" s="2">
        <v>53</v>
      </c>
      <c r="C737" s="2">
        <v>35</v>
      </c>
      <c r="D737" s="2">
        <v>16.34</v>
      </c>
      <c r="E737" s="2" t="s">
        <v>737</v>
      </c>
    </row>
    <row r="738" spans="1:5" x14ac:dyDescent="0.25">
      <c r="A738" s="1">
        <v>35089</v>
      </c>
      <c r="B738" s="2">
        <v>54</v>
      </c>
      <c r="C738" s="2">
        <v>35</v>
      </c>
      <c r="D738" s="2">
        <v>4.3570000000000002</v>
      </c>
      <c r="E738" s="2" t="s">
        <v>738</v>
      </c>
    </row>
    <row r="739" spans="1:5" x14ac:dyDescent="0.25">
      <c r="A739" s="1">
        <v>35090</v>
      </c>
      <c r="B739" s="2">
        <v>55</v>
      </c>
      <c r="C739" s="2">
        <v>35</v>
      </c>
      <c r="D739" s="2">
        <v>1.92</v>
      </c>
      <c r="E739" s="2" t="s">
        <v>739</v>
      </c>
    </row>
    <row r="740" spans="1:5" x14ac:dyDescent="0.25">
      <c r="A740" s="1">
        <v>35091</v>
      </c>
      <c r="B740" s="2">
        <v>56</v>
      </c>
      <c r="C740" s="2">
        <v>35</v>
      </c>
      <c r="D740" s="2">
        <v>0.54300000000000004</v>
      </c>
      <c r="E740" s="2" t="s">
        <v>740</v>
      </c>
    </row>
    <row r="741" spans="1:5" x14ac:dyDescent="0.25">
      <c r="A741" s="1">
        <v>35092</v>
      </c>
      <c r="B741" s="2">
        <v>57</v>
      </c>
      <c r="C741" s="2">
        <v>35</v>
      </c>
      <c r="D741" s="2">
        <v>0.314</v>
      </c>
      <c r="E741" s="2" t="s">
        <v>741</v>
      </c>
    </row>
    <row r="742" spans="1:5" x14ac:dyDescent="0.25">
      <c r="A742" s="1">
        <v>35093</v>
      </c>
      <c r="B742" s="2">
        <v>58</v>
      </c>
      <c r="C742" s="2">
        <v>35</v>
      </c>
      <c r="D742" s="2">
        <v>0.10199999999999999</v>
      </c>
      <c r="E742" s="2" t="s">
        <v>742</v>
      </c>
    </row>
    <row r="743" spans="1:5" x14ac:dyDescent="0.25">
      <c r="A743" s="1">
        <v>35094</v>
      </c>
      <c r="B743" s="2">
        <v>59</v>
      </c>
      <c r="C743" s="2">
        <v>35</v>
      </c>
      <c r="D743" s="2">
        <v>7.0000000000000007E-2</v>
      </c>
      <c r="E743" s="2" t="s">
        <v>743</v>
      </c>
    </row>
    <row r="744" spans="1:5" x14ac:dyDescent="0.25">
      <c r="A744" s="1">
        <v>35095</v>
      </c>
      <c r="B744" s="2">
        <v>60</v>
      </c>
      <c r="C744" s="2">
        <v>35</v>
      </c>
      <c r="D744" s="2">
        <v>1.4999999999999999E-7</v>
      </c>
      <c r="E744" s="2" t="s">
        <v>744</v>
      </c>
    </row>
    <row r="745" spans="1:5" x14ac:dyDescent="0.25">
      <c r="A745" s="1">
        <v>35096</v>
      </c>
      <c r="B745" s="2">
        <v>61</v>
      </c>
      <c r="C745" s="2">
        <v>35</v>
      </c>
      <c r="D745" s="2">
        <v>1.4999999999999999E-7</v>
      </c>
      <c r="E745" s="2" t="s">
        <v>745</v>
      </c>
    </row>
    <row r="746" spans="1:5" x14ac:dyDescent="0.25">
      <c r="A746" s="1">
        <v>35097</v>
      </c>
      <c r="B746" s="2">
        <v>62</v>
      </c>
      <c r="C746" s="2">
        <v>35</v>
      </c>
      <c r="D746" s="2">
        <v>2.9999999999999999E-7</v>
      </c>
      <c r="E746" s="2" t="s">
        <v>746</v>
      </c>
    </row>
    <row r="747" spans="1:5" x14ac:dyDescent="0.25">
      <c r="A747" s="1">
        <v>35098</v>
      </c>
      <c r="B747" s="2">
        <v>63</v>
      </c>
      <c r="C747" s="2">
        <v>35</v>
      </c>
      <c r="D747" s="2">
        <v>6.3399999999999999E-7</v>
      </c>
      <c r="E747" s="2" t="s">
        <v>747</v>
      </c>
    </row>
    <row r="748" spans="1:5" x14ac:dyDescent="0.25">
      <c r="A748" s="1">
        <v>36069</v>
      </c>
      <c r="B748" s="2">
        <v>33</v>
      </c>
      <c r="C748" s="2">
        <v>36</v>
      </c>
      <c r="D748" s="2">
        <v>2.8000000000000001E-2</v>
      </c>
      <c r="E748" s="2" t="s">
        <v>748</v>
      </c>
    </row>
    <row r="749" spans="1:5" x14ac:dyDescent="0.25">
      <c r="A749" s="1">
        <v>36070</v>
      </c>
      <c r="B749" s="2">
        <v>34</v>
      </c>
      <c r="C749" s="2">
        <v>36</v>
      </c>
      <c r="D749" s="2">
        <v>0.04</v>
      </c>
      <c r="E749" s="2" t="s">
        <v>749</v>
      </c>
    </row>
    <row r="750" spans="1:5" x14ac:dyDescent="0.25">
      <c r="A750" s="1">
        <v>36071</v>
      </c>
      <c r="B750" s="2">
        <v>35</v>
      </c>
      <c r="C750" s="2">
        <v>36</v>
      </c>
      <c r="D750" s="2">
        <v>0.1</v>
      </c>
      <c r="E750" s="2" t="s">
        <v>750</v>
      </c>
    </row>
    <row r="751" spans="1:5" x14ac:dyDescent="0.25">
      <c r="A751" s="1">
        <v>36072</v>
      </c>
      <c r="B751" s="2">
        <v>36</v>
      </c>
      <c r="C751" s="2">
        <v>36</v>
      </c>
      <c r="D751" s="2">
        <v>17.100000000000001</v>
      </c>
      <c r="E751" s="2" t="s">
        <v>751</v>
      </c>
    </row>
    <row r="752" spans="1:5" x14ac:dyDescent="0.25">
      <c r="A752" s="1">
        <v>36073</v>
      </c>
      <c r="B752" s="2">
        <v>37</v>
      </c>
      <c r="C752" s="2">
        <v>36</v>
      </c>
      <c r="D752" s="2">
        <v>27.3</v>
      </c>
      <c r="E752" s="2" t="s">
        <v>752</v>
      </c>
    </row>
    <row r="753" spans="1:5" x14ac:dyDescent="0.25">
      <c r="A753" s="1">
        <v>36074</v>
      </c>
      <c r="B753" s="2">
        <v>38</v>
      </c>
      <c r="C753" s="2">
        <v>36</v>
      </c>
      <c r="D753" s="2">
        <v>690</v>
      </c>
      <c r="E753" s="2" t="s">
        <v>753</v>
      </c>
    </row>
    <row r="754" spans="1:5" x14ac:dyDescent="0.25">
      <c r="A754" s="1">
        <v>36075</v>
      </c>
      <c r="B754" s="2">
        <v>39</v>
      </c>
      <c r="C754" s="2">
        <v>36</v>
      </c>
      <c r="D754" s="2">
        <v>276</v>
      </c>
      <c r="E754" s="2" t="s">
        <v>754</v>
      </c>
    </row>
    <row r="755" spans="1:5" x14ac:dyDescent="0.25">
      <c r="A755" s="1">
        <v>36076</v>
      </c>
      <c r="B755" s="2">
        <v>40</v>
      </c>
      <c r="C755" s="2">
        <v>36</v>
      </c>
      <c r="D755" s="2">
        <v>53280</v>
      </c>
      <c r="E755" s="2" t="s">
        <v>755</v>
      </c>
    </row>
    <row r="756" spans="1:5" x14ac:dyDescent="0.25">
      <c r="A756" s="1">
        <v>36077</v>
      </c>
      <c r="B756" s="2">
        <v>41</v>
      </c>
      <c r="C756" s="2">
        <v>36</v>
      </c>
      <c r="D756" s="2">
        <v>4464</v>
      </c>
      <c r="E756" s="2" t="s">
        <v>756</v>
      </c>
    </row>
    <row r="757" spans="1:5" x14ac:dyDescent="0.25">
      <c r="A757" s="1">
        <v>36078</v>
      </c>
      <c r="B757" s="2">
        <v>42</v>
      </c>
      <c r="C757" s="2">
        <v>36</v>
      </c>
      <c r="D757" s="2">
        <v>4.73364E+28</v>
      </c>
      <c r="E757" s="2" t="s">
        <v>757</v>
      </c>
    </row>
    <row r="758" spans="1:5" x14ac:dyDescent="0.25">
      <c r="A758" s="1">
        <v>36079</v>
      </c>
      <c r="B758" s="2">
        <v>43</v>
      </c>
      <c r="C758" s="2">
        <v>36</v>
      </c>
      <c r="D758" s="2">
        <v>126144</v>
      </c>
      <c r="E758" s="2" t="s">
        <v>758</v>
      </c>
    </row>
    <row r="759" spans="1:5" x14ac:dyDescent="0.25">
      <c r="A759" s="1">
        <v>36080</v>
      </c>
      <c r="B759" s="2">
        <v>44</v>
      </c>
      <c r="C759" s="2">
        <v>36</v>
      </c>
      <c r="D759" s="2" t="s">
        <v>3</v>
      </c>
      <c r="E759" s="2" t="s">
        <v>759</v>
      </c>
    </row>
    <row r="760" spans="1:5" x14ac:dyDescent="0.25">
      <c r="A760" s="1">
        <v>36081</v>
      </c>
      <c r="B760" s="2">
        <v>45</v>
      </c>
      <c r="C760" s="2">
        <v>36</v>
      </c>
      <c r="D760" s="2">
        <v>7226690400000</v>
      </c>
      <c r="E760" s="2" t="s">
        <v>760</v>
      </c>
    </row>
    <row r="761" spans="1:5" x14ac:dyDescent="0.25">
      <c r="A761" s="1">
        <v>36082</v>
      </c>
      <c r="B761" s="2">
        <v>46</v>
      </c>
      <c r="C761" s="2">
        <v>36</v>
      </c>
      <c r="D761" s="2" t="s">
        <v>3</v>
      </c>
      <c r="E761" s="2" t="s">
        <v>761</v>
      </c>
    </row>
    <row r="762" spans="1:5" x14ac:dyDescent="0.25">
      <c r="A762" s="1">
        <v>36083</v>
      </c>
      <c r="B762" s="2">
        <v>47</v>
      </c>
      <c r="C762" s="2">
        <v>36</v>
      </c>
      <c r="D762" s="2" t="s">
        <v>3</v>
      </c>
      <c r="E762" s="2" t="s">
        <v>762</v>
      </c>
    </row>
    <row r="763" spans="1:5" x14ac:dyDescent="0.25">
      <c r="A763" s="1">
        <v>36084</v>
      </c>
      <c r="B763" s="2">
        <v>48</v>
      </c>
      <c r="C763" s="2">
        <v>36</v>
      </c>
      <c r="D763" s="2" t="s">
        <v>3</v>
      </c>
      <c r="E763" s="2" t="s">
        <v>763</v>
      </c>
    </row>
    <row r="764" spans="1:5" x14ac:dyDescent="0.25">
      <c r="A764" s="1">
        <v>36085</v>
      </c>
      <c r="B764" s="2">
        <v>49</v>
      </c>
      <c r="C764" s="2">
        <v>36</v>
      </c>
      <c r="D764" s="2">
        <v>338897066.39999998</v>
      </c>
      <c r="E764" s="2" t="s">
        <v>764</v>
      </c>
    </row>
    <row r="765" spans="1:5" x14ac:dyDescent="0.25">
      <c r="A765" s="1">
        <v>36086</v>
      </c>
      <c r="B765" s="2">
        <v>50</v>
      </c>
      <c r="C765" s="2">
        <v>36</v>
      </c>
      <c r="D765" s="2" t="s">
        <v>3</v>
      </c>
      <c r="E765" s="2" t="s">
        <v>765</v>
      </c>
    </row>
    <row r="766" spans="1:5" x14ac:dyDescent="0.25">
      <c r="A766" s="1">
        <v>36087</v>
      </c>
      <c r="B766" s="2">
        <v>51</v>
      </c>
      <c r="C766" s="2">
        <v>36</v>
      </c>
      <c r="D766" s="2">
        <v>4578</v>
      </c>
      <c r="E766" s="2" t="s">
        <v>766</v>
      </c>
    </row>
    <row r="767" spans="1:5" x14ac:dyDescent="0.25">
      <c r="A767" s="1">
        <v>36088</v>
      </c>
      <c r="B767" s="2">
        <v>52</v>
      </c>
      <c r="C767" s="2">
        <v>36</v>
      </c>
      <c r="D767" s="2">
        <v>10170</v>
      </c>
      <c r="E767" s="2" t="s">
        <v>767</v>
      </c>
    </row>
    <row r="768" spans="1:5" x14ac:dyDescent="0.25">
      <c r="A768" s="1">
        <v>36089</v>
      </c>
      <c r="B768" s="2">
        <v>53</v>
      </c>
      <c r="C768" s="2">
        <v>36</v>
      </c>
      <c r="D768" s="2">
        <v>189</v>
      </c>
      <c r="E768" s="2" t="s">
        <v>768</v>
      </c>
    </row>
    <row r="769" spans="1:5" x14ac:dyDescent="0.25">
      <c r="A769" s="1">
        <v>36090</v>
      </c>
      <c r="B769" s="2">
        <v>54</v>
      </c>
      <c r="C769" s="2">
        <v>36</v>
      </c>
      <c r="D769" s="2">
        <v>32.32</v>
      </c>
      <c r="E769" s="2" t="s">
        <v>769</v>
      </c>
    </row>
    <row r="770" spans="1:5" x14ac:dyDescent="0.25">
      <c r="A770" s="1">
        <v>36091</v>
      </c>
      <c r="B770" s="2">
        <v>55</v>
      </c>
      <c r="C770" s="2">
        <v>36</v>
      </c>
      <c r="D770" s="2">
        <v>8.57</v>
      </c>
      <c r="E770" s="2" t="s">
        <v>770</v>
      </c>
    </row>
    <row r="771" spans="1:5" x14ac:dyDescent="0.25">
      <c r="A771" s="1">
        <v>36092</v>
      </c>
      <c r="B771" s="2">
        <v>56</v>
      </c>
      <c r="C771" s="2">
        <v>36</v>
      </c>
      <c r="D771" s="2">
        <v>1.84</v>
      </c>
      <c r="E771" s="2" t="s">
        <v>771</v>
      </c>
    </row>
    <row r="772" spans="1:5" x14ac:dyDescent="0.25">
      <c r="A772" s="1">
        <v>36093</v>
      </c>
      <c r="B772" s="2">
        <v>57</v>
      </c>
      <c r="C772" s="2">
        <v>36</v>
      </c>
      <c r="D772" s="2">
        <v>1.286</v>
      </c>
      <c r="E772" s="2" t="s">
        <v>772</v>
      </c>
    </row>
    <row r="773" spans="1:5" x14ac:dyDescent="0.25">
      <c r="A773" s="1">
        <v>36094</v>
      </c>
      <c r="B773" s="2">
        <v>58</v>
      </c>
      <c r="C773" s="2">
        <v>36</v>
      </c>
      <c r="D773" s="2">
        <v>0.21199999999999999</v>
      </c>
      <c r="E773" s="2" t="s">
        <v>773</v>
      </c>
    </row>
    <row r="774" spans="1:5" x14ac:dyDescent="0.25">
      <c r="A774" s="1">
        <v>36095</v>
      </c>
      <c r="B774" s="2">
        <v>59</v>
      </c>
      <c r="C774" s="2">
        <v>36</v>
      </c>
      <c r="D774" s="2">
        <v>0.114</v>
      </c>
      <c r="E774" s="2" t="s">
        <v>774</v>
      </c>
    </row>
    <row r="775" spans="1:5" x14ac:dyDescent="0.25">
      <c r="A775" s="1">
        <v>36096</v>
      </c>
      <c r="B775" s="2">
        <v>60</v>
      </c>
      <c r="C775" s="2">
        <v>36</v>
      </c>
      <c r="D775" s="2">
        <v>0.08</v>
      </c>
      <c r="E775" s="2" t="s">
        <v>775</v>
      </c>
    </row>
    <row r="776" spans="1:5" x14ac:dyDescent="0.25">
      <c r="A776" s="1">
        <v>36097</v>
      </c>
      <c r="B776" s="2">
        <v>61</v>
      </c>
      <c r="C776" s="2">
        <v>36</v>
      </c>
      <c r="D776" s="2">
        <v>6.3E-2</v>
      </c>
      <c r="E776" s="2" t="s">
        <v>776</v>
      </c>
    </row>
    <row r="777" spans="1:5" x14ac:dyDescent="0.25">
      <c r="A777" s="1">
        <v>36098</v>
      </c>
      <c r="B777" s="2">
        <v>62</v>
      </c>
      <c r="C777" s="2">
        <v>36</v>
      </c>
      <c r="D777" s="2">
        <v>4.5999999999999999E-2</v>
      </c>
      <c r="E777" s="2" t="s">
        <v>777</v>
      </c>
    </row>
    <row r="778" spans="1:5" x14ac:dyDescent="0.25">
      <c r="A778" s="1">
        <v>36099</v>
      </c>
      <c r="B778" s="2">
        <v>63</v>
      </c>
      <c r="C778" s="2">
        <v>36</v>
      </c>
      <c r="D778" s="2">
        <v>1.2999999999999999E-2</v>
      </c>
      <c r="E778" s="2" t="s">
        <v>778</v>
      </c>
    </row>
    <row r="779" spans="1:5" x14ac:dyDescent="0.25">
      <c r="A779" s="1">
        <v>36100</v>
      </c>
      <c r="B779" s="2">
        <v>64</v>
      </c>
      <c r="C779" s="2">
        <v>36</v>
      </c>
      <c r="D779" s="2">
        <v>7.0000000000000001E-3</v>
      </c>
      <c r="E779" s="2" t="s">
        <v>779</v>
      </c>
    </row>
    <row r="780" spans="1:5" x14ac:dyDescent="0.25">
      <c r="A780" s="1">
        <v>36101</v>
      </c>
      <c r="B780" s="2">
        <v>65</v>
      </c>
      <c r="C780" s="2">
        <v>36</v>
      </c>
      <c r="D780" s="2">
        <v>6.3499999999999996E-7</v>
      </c>
      <c r="E780" s="2" t="s">
        <v>780</v>
      </c>
    </row>
    <row r="781" spans="1:5" x14ac:dyDescent="0.25">
      <c r="A781" s="1">
        <v>37074</v>
      </c>
      <c r="B781" s="2">
        <v>37</v>
      </c>
      <c r="C781" s="2">
        <v>37</v>
      </c>
      <c r="D781" s="2">
        <v>6.4899999999999999E-2</v>
      </c>
      <c r="E781" s="2" t="s">
        <v>781</v>
      </c>
    </row>
    <row r="782" spans="1:5" x14ac:dyDescent="0.25">
      <c r="A782" s="1">
        <v>37075</v>
      </c>
      <c r="B782" s="2">
        <v>38</v>
      </c>
      <c r="C782" s="2">
        <v>37</v>
      </c>
      <c r="D782" s="2">
        <v>19</v>
      </c>
      <c r="E782" s="2" t="s">
        <v>782</v>
      </c>
    </row>
    <row r="783" spans="1:5" x14ac:dyDescent="0.25">
      <c r="A783" s="1">
        <v>37076</v>
      </c>
      <c r="B783" s="2">
        <v>39</v>
      </c>
      <c r="C783" s="2">
        <v>37</v>
      </c>
      <c r="D783" s="2">
        <v>36.5</v>
      </c>
      <c r="E783" s="2" t="s">
        <v>783</v>
      </c>
    </row>
    <row r="784" spans="1:5" x14ac:dyDescent="0.25">
      <c r="A784" s="1">
        <v>37077</v>
      </c>
      <c r="B784" s="2">
        <v>40</v>
      </c>
      <c r="C784" s="2">
        <v>37</v>
      </c>
      <c r="D784" s="2">
        <v>226.2</v>
      </c>
      <c r="E784" s="2" t="s">
        <v>784</v>
      </c>
    </row>
    <row r="785" spans="1:5" x14ac:dyDescent="0.25">
      <c r="A785" s="1">
        <v>37078</v>
      </c>
      <c r="B785" s="2">
        <v>41</v>
      </c>
      <c r="C785" s="2">
        <v>37</v>
      </c>
      <c r="D785" s="2">
        <v>1059.5999999999999</v>
      </c>
      <c r="E785" s="2" t="s">
        <v>785</v>
      </c>
    </row>
    <row r="786" spans="1:5" x14ac:dyDescent="0.25">
      <c r="A786" s="1">
        <v>37079</v>
      </c>
      <c r="B786" s="2">
        <v>42</v>
      </c>
      <c r="C786" s="2">
        <v>37</v>
      </c>
      <c r="D786" s="2">
        <v>1374</v>
      </c>
      <c r="E786" s="2" t="s">
        <v>786</v>
      </c>
    </row>
    <row r="787" spans="1:5" x14ac:dyDescent="0.25">
      <c r="A787" s="1">
        <v>37080</v>
      </c>
      <c r="B787" s="2">
        <v>43</v>
      </c>
      <c r="C787" s="2">
        <v>37</v>
      </c>
      <c r="D787" s="2">
        <v>33.4</v>
      </c>
      <c r="E787" s="2" t="s">
        <v>787</v>
      </c>
    </row>
    <row r="788" spans="1:5" x14ac:dyDescent="0.25">
      <c r="A788" s="1">
        <v>37081</v>
      </c>
      <c r="B788" s="2">
        <v>44</v>
      </c>
      <c r="C788" s="2">
        <v>37</v>
      </c>
      <c r="D788" s="2">
        <v>16459.2</v>
      </c>
      <c r="E788" s="2" t="s">
        <v>788</v>
      </c>
    </row>
    <row r="789" spans="1:5" x14ac:dyDescent="0.25">
      <c r="A789" s="1">
        <v>37082</v>
      </c>
      <c r="B789" s="2">
        <v>45</v>
      </c>
      <c r="C789" s="2">
        <v>37</v>
      </c>
      <c r="D789" s="2">
        <v>75.45</v>
      </c>
      <c r="E789" s="2" t="s">
        <v>789</v>
      </c>
    </row>
    <row r="790" spans="1:5" x14ac:dyDescent="0.25">
      <c r="A790" s="1">
        <v>37083</v>
      </c>
      <c r="B790" s="2">
        <v>46</v>
      </c>
      <c r="C790" s="2">
        <v>37</v>
      </c>
      <c r="D790" s="2">
        <v>7447680</v>
      </c>
      <c r="E790" s="2" t="s">
        <v>790</v>
      </c>
    </row>
    <row r="791" spans="1:5" x14ac:dyDescent="0.25">
      <c r="A791" s="1">
        <v>37084</v>
      </c>
      <c r="B791" s="2">
        <v>47</v>
      </c>
      <c r="C791" s="2">
        <v>37</v>
      </c>
      <c r="D791" s="2">
        <v>2835648</v>
      </c>
      <c r="E791" s="2" t="s">
        <v>791</v>
      </c>
    </row>
    <row r="792" spans="1:5" x14ac:dyDescent="0.25">
      <c r="A792" s="1">
        <v>37085</v>
      </c>
      <c r="B792" s="2">
        <v>48</v>
      </c>
      <c r="C792" s="2">
        <v>37</v>
      </c>
      <c r="D792" s="2" t="s">
        <v>3</v>
      </c>
      <c r="E792" s="2" t="s">
        <v>792</v>
      </c>
    </row>
    <row r="793" spans="1:5" x14ac:dyDescent="0.25">
      <c r="A793" s="1">
        <v>37086</v>
      </c>
      <c r="B793" s="2">
        <v>49</v>
      </c>
      <c r="C793" s="2">
        <v>37</v>
      </c>
      <c r="D793" s="2">
        <v>1610668.8</v>
      </c>
      <c r="E793" s="2" t="s">
        <v>793</v>
      </c>
    </row>
    <row r="794" spans="1:5" x14ac:dyDescent="0.25">
      <c r="A794" s="1">
        <v>37087</v>
      </c>
      <c r="B794" s="2">
        <v>50</v>
      </c>
      <c r="C794" s="2">
        <v>37</v>
      </c>
      <c r="D794" s="2">
        <v>1.56841272E+18</v>
      </c>
      <c r="E794" s="2" t="s">
        <v>794</v>
      </c>
    </row>
    <row r="795" spans="1:5" x14ac:dyDescent="0.25">
      <c r="A795" s="1">
        <v>37088</v>
      </c>
      <c r="B795" s="2">
        <v>51</v>
      </c>
      <c r="C795" s="2">
        <v>37</v>
      </c>
      <c r="D795" s="2">
        <v>1066.3799999999901</v>
      </c>
      <c r="E795" s="2" t="s">
        <v>795</v>
      </c>
    </row>
    <row r="796" spans="1:5" x14ac:dyDescent="0.25">
      <c r="A796" s="1">
        <v>37089</v>
      </c>
      <c r="B796" s="2">
        <v>52</v>
      </c>
      <c r="C796" s="2">
        <v>37</v>
      </c>
      <c r="D796" s="2">
        <v>919.2</v>
      </c>
      <c r="E796" s="2" t="s">
        <v>796</v>
      </c>
    </row>
    <row r="797" spans="1:5" x14ac:dyDescent="0.25">
      <c r="A797" s="1">
        <v>37090</v>
      </c>
      <c r="B797" s="2">
        <v>53</v>
      </c>
      <c r="C797" s="2">
        <v>37</v>
      </c>
      <c r="D797" s="2">
        <v>158</v>
      </c>
      <c r="E797" s="2" t="s">
        <v>797</v>
      </c>
    </row>
    <row r="798" spans="1:5" x14ac:dyDescent="0.25">
      <c r="A798" s="1">
        <v>37091</v>
      </c>
      <c r="B798" s="2">
        <v>54</v>
      </c>
      <c r="C798" s="2">
        <v>37</v>
      </c>
      <c r="D798" s="2">
        <v>58.2</v>
      </c>
      <c r="E798" s="2" t="s">
        <v>798</v>
      </c>
    </row>
    <row r="799" spans="1:5" x14ac:dyDescent="0.25">
      <c r="A799" s="1">
        <v>37092</v>
      </c>
      <c r="B799" s="2">
        <v>55</v>
      </c>
      <c r="C799" s="2">
        <v>37</v>
      </c>
      <c r="D799" s="2">
        <v>4.492</v>
      </c>
      <c r="E799" s="2" t="s">
        <v>799</v>
      </c>
    </row>
    <row r="800" spans="1:5" x14ac:dyDescent="0.25">
      <c r="A800" s="1">
        <v>37093</v>
      </c>
      <c r="B800" s="2">
        <v>56</v>
      </c>
      <c r="C800" s="2">
        <v>37</v>
      </c>
      <c r="D800" s="2">
        <v>5.84</v>
      </c>
      <c r="E800" s="2" t="s">
        <v>800</v>
      </c>
    </row>
    <row r="801" spans="1:5" x14ac:dyDescent="0.25">
      <c r="A801" s="1">
        <v>37094</v>
      </c>
      <c r="B801" s="2">
        <v>57</v>
      </c>
      <c r="C801" s="2">
        <v>37</v>
      </c>
      <c r="D801" s="2">
        <v>2.702</v>
      </c>
      <c r="E801" s="2" t="s">
        <v>801</v>
      </c>
    </row>
    <row r="802" spans="1:5" x14ac:dyDescent="0.25">
      <c r="A802" s="1">
        <v>37095</v>
      </c>
      <c r="B802" s="2">
        <v>58</v>
      </c>
      <c r="C802" s="2">
        <v>37</v>
      </c>
      <c r="D802" s="2">
        <v>0.37769999999999998</v>
      </c>
      <c r="E802" s="2" t="s">
        <v>802</v>
      </c>
    </row>
    <row r="803" spans="1:5" x14ac:dyDescent="0.25">
      <c r="A803" s="1">
        <v>37096</v>
      </c>
      <c r="B803" s="2">
        <v>59</v>
      </c>
      <c r="C803" s="2">
        <v>37</v>
      </c>
      <c r="D803" s="2">
        <v>0.20300000000000001</v>
      </c>
      <c r="E803" s="2" t="s">
        <v>803</v>
      </c>
    </row>
    <row r="804" spans="1:5" x14ac:dyDescent="0.25">
      <c r="A804" s="1">
        <v>37097</v>
      </c>
      <c r="B804" s="2">
        <v>60</v>
      </c>
      <c r="C804" s="2">
        <v>37</v>
      </c>
      <c r="D804" s="2">
        <v>0.1691</v>
      </c>
      <c r="E804" s="2" t="s">
        <v>804</v>
      </c>
    </row>
    <row r="805" spans="1:5" x14ac:dyDescent="0.25">
      <c r="A805" s="1">
        <v>37098</v>
      </c>
      <c r="B805" s="2">
        <v>61</v>
      </c>
      <c r="C805" s="2">
        <v>37</v>
      </c>
      <c r="D805" s="2">
        <v>0.10199999999999999</v>
      </c>
      <c r="E805" s="2" t="s">
        <v>805</v>
      </c>
    </row>
    <row r="806" spans="1:5" x14ac:dyDescent="0.25">
      <c r="A806" s="1">
        <v>37099</v>
      </c>
      <c r="B806" s="2">
        <v>62</v>
      </c>
      <c r="C806" s="2">
        <v>37</v>
      </c>
      <c r="D806" s="2">
        <v>5.3999999999999999E-2</v>
      </c>
      <c r="E806" s="2" t="s">
        <v>806</v>
      </c>
    </row>
    <row r="807" spans="1:5" x14ac:dyDescent="0.25">
      <c r="A807" s="1">
        <v>37100</v>
      </c>
      <c r="B807" s="2">
        <v>63</v>
      </c>
      <c r="C807" s="2">
        <v>37</v>
      </c>
      <c r="D807" s="2">
        <v>5.0999999999999997E-2</v>
      </c>
      <c r="E807" s="2" t="s">
        <v>807</v>
      </c>
    </row>
    <row r="808" spans="1:5" x14ac:dyDescent="0.25">
      <c r="A808" s="1">
        <v>37101</v>
      </c>
      <c r="B808" s="2">
        <v>64</v>
      </c>
      <c r="C808" s="2">
        <v>37</v>
      </c>
      <c r="D808" s="2">
        <v>3.2000000000000001E-2</v>
      </c>
      <c r="E808" s="2" t="s">
        <v>808</v>
      </c>
    </row>
    <row r="809" spans="1:5" x14ac:dyDescent="0.25">
      <c r="A809" s="1">
        <v>37102</v>
      </c>
      <c r="B809" s="2">
        <v>65</v>
      </c>
      <c r="C809" s="2">
        <v>37</v>
      </c>
      <c r="D809" s="2">
        <v>3.6999999999999998E-2</v>
      </c>
      <c r="E809" s="2" t="s">
        <v>809</v>
      </c>
    </row>
    <row r="810" spans="1:5" x14ac:dyDescent="0.25">
      <c r="A810" s="1">
        <v>37103</v>
      </c>
      <c r="B810" s="2">
        <v>66</v>
      </c>
      <c r="C810" s="2">
        <v>37</v>
      </c>
      <c r="D810" s="2">
        <v>2.3E-2</v>
      </c>
      <c r="E810" s="2" t="s">
        <v>810</v>
      </c>
    </row>
    <row r="811" spans="1:5" x14ac:dyDescent="0.25">
      <c r="A811" s="1">
        <v>38073</v>
      </c>
      <c r="B811" s="2">
        <v>35</v>
      </c>
      <c r="C811" s="2">
        <v>38</v>
      </c>
      <c r="D811" s="2">
        <v>2.5000000000000001E-2</v>
      </c>
      <c r="E811" s="2" t="s">
        <v>811</v>
      </c>
    </row>
    <row r="812" spans="1:5" x14ac:dyDescent="0.25">
      <c r="A812" s="1">
        <v>38074</v>
      </c>
      <c r="B812" s="2">
        <v>36</v>
      </c>
      <c r="C812" s="2">
        <v>38</v>
      </c>
      <c r="D812" s="2">
        <v>2.7E-2</v>
      </c>
      <c r="E812" s="2" t="s">
        <v>812</v>
      </c>
    </row>
    <row r="813" spans="1:5" x14ac:dyDescent="0.25">
      <c r="A813" s="1">
        <v>38075</v>
      </c>
      <c r="B813" s="2">
        <v>37</v>
      </c>
      <c r="C813" s="2">
        <v>38</v>
      </c>
      <c r="D813" s="2">
        <v>8.7999999999999995E-2</v>
      </c>
      <c r="E813" s="2" t="s">
        <v>813</v>
      </c>
    </row>
    <row r="814" spans="1:5" x14ac:dyDescent="0.25">
      <c r="A814" s="1">
        <v>38076</v>
      </c>
      <c r="B814" s="2">
        <v>38</v>
      </c>
      <c r="C814" s="2">
        <v>38</v>
      </c>
      <c r="D814" s="2">
        <v>7.89</v>
      </c>
      <c r="E814" s="2" t="s">
        <v>814</v>
      </c>
    </row>
    <row r="815" spans="1:5" x14ac:dyDescent="0.25">
      <c r="A815" s="1">
        <v>38077</v>
      </c>
      <c r="B815" s="2">
        <v>39</v>
      </c>
      <c r="C815" s="2">
        <v>38</v>
      </c>
      <c r="D815" s="2">
        <v>9</v>
      </c>
      <c r="E815" s="2" t="s">
        <v>815</v>
      </c>
    </row>
    <row r="816" spans="1:5" x14ac:dyDescent="0.25">
      <c r="A816" s="1">
        <v>38078</v>
      </c>
      <c r="B816" s="2">
        <v>40</v>
      </c>
      <c r="C816" s="2">
        <v>38</v>
      </c>
      <c r="D816" s="2">
        <v>160</v>
      </c>
      <c r="E816" s="2" t="s">
        <v>816</v>
      </c>
    </row>
    <row r="817" spans="1:5" x14ac:dyDescent="0.25">
      <c r="A817" s="1">
        <v>38079</v>
      </c>
      <c r="B817" s="2">
        <v>41</v>
      </c>
      <c r="C817" s="2">
        <v>38</v>
      </c>
      <c r="D817" s="2">
        <v>135</v>
      </c>
      <c r="E817" s="2" t="s">
        <v>817</v>
      </c>
    </row>
    <row r="818" spans="1:5" x14ac:dyDescent="0.25">
      <c r="A818" s="1">
        <v>38080</v>
      </c>
      <c r="B818" s="2">
        <v>42</v>
      </c>
      <c r="C818" s="2">
        <v>38</v>
      </c>
      <c r="D818" s="2">
        <v>6378</v>
      </c>
      <c r="E818" s="2" t="s">
        <v>818</v>
      </c>
    </row>
    <row r="819" spans="1:5" x14ac:dyDescent="0.25">
      <c r="A819" s="1">
        <v>38081</v>
      </c>
      <c r="B819" s="2">
        <v>43</v>
      </c>
      <c r="C819" s="2">
        <v>38</v>
      </c>
      <c r="D819" s="2">
        <v>1338</v>
      </c>
      <c r="E819" s="2" t="s">
        <v>819</v>
      </c>
    </row>
    <row r="820" spans="1:5" x14ac:dyDescent="0.25">
      <c r="A820" s="1">
        <v>38082</v>
      </c>
      <c r="B820" s="2">
        <v>44</v>
      </c>
      <c r="C820" s="2">
        <v>38</v>
      </c>
      <c r="D820" s="2">
        <v>2189376</v>
      </c>
      <c r="E820" s="2" t="s">
        <v>820</v>
      </c>
    </row>
    <row r="821" spans="1:5" x14ac:dyDescent="0.25">
      <c r="A821" s="1">
        <v>38083</v>
      </c>
      <c r="B821" s="2">
        <v>45</v>
      </c>
      <c r="C821" s="2">
        <v>38</v>
      </c>
      <c r="D821" s="2">
        <v>116675.999999999</v>
      </c>
      <c r="E821" s="2" t="s">
        <v>821</v>
      </c>
    </row>
    <row r="822" spans="1:5" x14ac:dyDescent="0.25">
      <c r="A822" s="1">
        <v>38084</v>
      </c>
      <c r="B822" s="2">
        <v>46</v>
      </c>
      <c r="C822" s="2">
        <v>38</v>
      </c>
      <c r="D822" s="2" t="s">
        <v>3</v>
      </c>
      <c r="E822" s="2" t="s">
        <v>822</v>
      </c>
    </row>
    <row r="823" spans="1:5" x14ac:dyDescent="0.25">
      <c r="A823" s="1">
        <v>38085</v>
      </c>
      <c r="B823" s="2">
        <v>47</v>
      </c>
      <c r="C823" s="2">
        <v>38</v>
      </c>
      <c r="D823" s="2">
        <v>5602953.5999999996</v>
      </c>
      <c r="E823" s="2" t="s">
        <v>823</v>
      </c>
    </row>
    <row r="824" spans="1:5" x14ac:dyDescent="0.25">
      <c r="A824" s="1">
        <v>38086</v>
      </c>
      <c r="B824" s="2">
        <v>48</v>
      </c>
      <c r="C824" s="2">
        <v>38</v>
      </c>
      <c r="D824" s="2" t="s">
        <v>3</v>
      </c>
      <c r="E824" s="2" t="s">
        <v>824</v>
      </c>
    </row>
    <row r="825" spans="1:5" x14ac:dyDescent="0.25">
      <c r="A825" s="1">
        <v>38087</v>
      </c>
      <c r="B825" s="2">
        <v>49</v>
      </c>
      <c r="C825" s="2">
        <v>38</v>
      </c>
      <c r="D825" s="2" t="s">
        <v>3</v>
      </c>
      <c r="E825" s="2" t="s">
        <v>825</v>
      </c>
    </row>
    <row r="826" spans="1:5" x14ac:dyDescent="0.25">
      <c r="A826" s="1">
        <v>38088</v>
      </c>
      <c r="B826" s="2">
        <v>50</v>
      </c>
      <c r="C826" s="2">
        <v>38</v>
      </c>
      <c r="D826" s="2" t="s">
        <v>3</v>
      </c>
      <c r="E826" s="2" t="s">
        <v>826</v>
      </c>
    </row>
    <row r="827" spans="1:5" x14ac:dyDescent="0.25">
      <c r="A827" s="1">
        <v>38089</v>
      </c>
      <c r="B827" s="2">
        <v>51</v>
      </c>
      <c r="C827" s="2">
        <v>38</v>
      </c>
      <c r="D827" s="2">
        <v>4368643.2</v>
      </c>
      <c r="E827" s="2" t="s">
        <v>827</v>
      </c>
    </row>
    <row r="828" spans="1:5" x14ac:dyDescent="0.25">
      <c r="A828" s="1">
        <v>38090</v>
      </c>
      <c r="B828" s="2">
        <v>52</v>
      </c>
      <c r="C828" s="2">
        <v>38</v>
      </c>
      <c r="D828" s="2">
        <v>912014640</v>
      </c>
      <c r="E828" s="2" t="s">
        <v>828</v>
      </c>
    </row>
    <row r="829" spans="1:5" x14ac:dyDescent="0.25">
      <c r="A829" s="1">
        <v>38091</v>
      </c>
      <c r="B829" s="2">
        <v>53</v>
      </c>
      <c r="C829" s="2">
        <v>38</v>
      </c>
      <c r="D829" s="2">
        <v>34740</v>
      </c>
      <c r="E829" s="2" t="s">
        <v>829</v>
      </c>
    </row>
    <row r="830" spans="1:5" x14ac:dyDescent="0.25">
      <c r="A830" s="1">
        <v>38092</v>
      </c>
      <c r="B830" s="2">
        <v>54</v>
      </c>
      <c r="C830" s="2">
        <v>38</v>
      </c>
      <c r="D830" s="2">
        <v>9399.6</v>
      </c>
      <c r="E830" s="2" t="s">
        <v>830</v>
      </c>
    </row>
    <row r="831" spans="1:5" x14ac:dyDescent="0.25">
      <c r="A831" s="1">
        <v>38093</v>
      </c>
      <c r="B831" s="2">
        <v>55</v>
      </c>
      <c r="C831" s="2">
        <v>38</v>
      </c>
      <c r="D831" s="2">
        <v>445.79999999999899</v>
      </c>
      <c r="E831" s="2" t="s">
        <v>831</v>
      </c>
    </row>
    <row r="832" spans="1:5" x14ac:dyDescent="0.25">
      <c r="A832" s="1">
        <v>38094</v>
      </c>
      <c r="B832" s="2">
        <v>56</v>
      </c>
      <c r="C832" s="2">
        <v>38</v>
      </c>
      <c r="D832" s="2">
        <v>75.3</v>
      </c>
      <c r="E832" s="2" t="s">
        <v>832</v>
      </c>
    </row>
    <row r="833" spans="1:5" x14ac:dyDescent="0.25">
      <c r="A833" s="1">
        <v>38095</v>
      </c>
      <c r="B833" s="2">
        <v>57</v>
      </c>
      <c r="C833" s="2">
        <v>38</v>
      </c>
      <c r="D833" s="2">
        <v>23.9</v>
      </c>
      <c r="E833" s="2" t="s">
        <v>833</v>
      </c>
    </row>
    <row r="834" spans="1:5" x14ac:dyDescent="0.25">
      <c r="A834" s="1">
        <v>38096</v>
      </c>
      <c r="B834" s="2">
        <v>58</v>
      </c>
      <c r="C834" s="2">
        <v>38</v>
      </c>
      <c r="D834" s="2">
        <v>1.07</v>
      </c>
      <c r="E834" s="2" t="s">
        <v>834</v>
      </c>
    </row>
    <row r="835" spans="1:5" x14ac:dyDescent="0.25">
      <c r="A835" s="1">
        <v>38097</v>
      </c>
      <c r="B835" s="2">
        <v>59</v>
      </c>
      <c r="C835" s="2">
        <v>38</v>
      </c>
      <c r="D835" s="2">
        <v>0.42899999999999999</v>
      </c>
      <c r="E835" s="2" t="s">
        <v>835</v>
      </c>
    </row>
    <row r="836" spans="1:5" x14ac:dyDescent="0.25">
      <c r="A836" s="1">
        <v>38098</v>
      </c>
      <c r="B836" s="2">
        <v>60</v>
      </c>
      <c r="C836" s="2">
        <v>38</v>
      </c>
      <c r="D836" s="2">
        <v>0.65300000000000002</v>
      </c>
      <c r="E836" s="2" t="s">
        <v>836</v>
      </c>
    </row>
    <row r="837" spans="1:5" x14ac:dyDescent="0.25">
      <c r="A837" s="1">
        <v>38099</v>
      </c>
      <c r="B837" s="2">
        <v>61</v>
      </c>
      <c r="C837" s="2">
        <v>38</v>
      </c>
      <c r="D837" s="2">
        <v>0.26900000000000002</v>
      </c>
      <c r="E837" s="2" t="s">
        <v>837</v>
      </c>
    </row>
    <row r="838" spans="1:5" x14ac:dyDescent="0.25">
      <c r="A838" s="1">
        <v>38100</v>
      </c>
      <c r="B838" s="2">
        <v>62</v>
      </c>
      <c r="C838" s="2">
        <v>38</v>
      </c>
      <c r="D838" s="2">
        <v>0.20200000000000001</v>
      </c>
      <c r="E838" s="2" t="s">
        <v>838</v>
      </c>
    </row>
    <row r="839" spans="1:5" x14ac:dyDescent="0.25">
      <c r="A839" s="1">
        <v>38101</v>
      </c>
      <c r="B839" s="2">
        <v>63</v>
      </c>
      <c r="C839" s="2">
        <v>38</v>
      </c>
      <c r="D839" s="2">
        <v>0.11799999999999999</v>
      </c>
      <c r="E839" s="2" t="s">
        <v>839</v>
      </c>
    </row>
    <row r="840" spans="1:5" x14ac:dyDescent="0.25">
      <c r="A840" s="1">
        <v>38102</v>
      </c>
      <c r="B840" s="2">
        <v>64</v>
      </c>
      <c r="C840" s="2">
        <v>38</v>
      </c>
      <c r="D840" s="2">
        <v>6.9000000000000006E-2</v>
      </c>
      <c r="E840" s="2" t="s">
        <v>840</v>
      </c>
    </row>
    <row r="841" spans="1:5" x14ac:dyDescent="0.25">
      <c r="A841" s="1">
        <v>38103</v>
      </c>
      <c r="B841" s="2">
        <v>65</v>
      </c>
      <c r="C841" s="2">
        <v>38</v>
      </c>
      <c r="D841" s="2">
        <v>5.2999999999999999E-2</v>
      </c>
      <c r="E841" s="2" t="s">
        <v>841</v>
      </c>
    </row>
    <row r="842" spans="1:5" x14ac:dyDescent="0.25">
      <c r="A842" s="1">
        <v>38104</v>
      </c>
      <c r="B842" s="2">
        <v>66</v>
      </c>
      <c r="C842" s="2">
        <v>38</v>
      </c>
      <c r="D842" s="2">
        <v>5.2999999999999999E-2</v>
      </c>
      <c r="E842" s="2" t="s">
        <v>842</v>
      </c>
    </row>
    <row r="843" spans="1:5" x14ac:dyDescent="0.25">
      <c r="A843" s="1">
        <v>38105</v>
      </c>
      <c r="B843" s="2">
        <v>67</v>
      </c>
      <c r="C843" s="2">
        <v>38</v>
      </c>
      <c r="D843" s="2">
        <v>3.9E-2</v>
      </c>
      <c r="E843" s="2" t="s">
        <v>843</v>
      </c>
    </row>
    <row r="844" spans="1:5" x14ac:dyDescent="0.25">
      <c r="A844" s="1">
        <v>38106</v>
      </c>
      <c r="B844" s="2">
        <v>68</v>
      </c>
      <c r="C844" s="2">
        <v>38</v>
      </c>
      <c r="D844" s="2">
        <v>0.02</v>
      </c>
      <c r="E844" s="2" t="s">
        <v>844</v>
      </c>
    </row>
    <row r="845" spans="1:5" x14ac:dyDescent="0.25">
      <c r="A845" s="1">
        <v>38107</v>
      </c>
      <c r="B845" s="2">
        <v>69</v>
      </c>
      <c r="C845" s="2">
        <v>38</v>
      </c>
      <c r="D845" s="2">
        <v>3.9499999999999998E-7</v>
      </c>
      <c r="E845" s="2" t="s">
        <v>845</v>
      </c>
    </row>
    <row r="846" spans="1:5" x14ac:dyDescent="0.25">
      <c r="A846" s="1">
        <v>39076</v>
      </c>
      <c r="B846" s="2">
        <v>37</v>
      </c>
      <c r="C846" s="2">
        <v>39</v>
      </c>
      <c r="D846" s="2">
        <v>1.9999999999999999E-7</v>
      </c>
      <c r="E846" s="2" t="s">
        <v>846</v>
      </c>
    </row>
    <row r="847" spans="1:5" x14ac:dyDescent="0.25">
      <c r="A847" s="1">
        <v>39077</v>
      </c>
      <c r="B847" s="2">
        <v>38</v>
      </c>
      <c r="C847" s="2">
        <v>39</v>
      </c>
      <c r="D847" s="2">
        <v>5.7000000000000002E-2</v>
      </c>
      <c r="E847" s="2" t="s">
        <v>847</v>
      </c>
    </row>
    <row r="848" spans="1:5" x14ac:dyDescent="0.25">
      <c r="A848" s="1">
        <v>39078</v>
      </c>
      <c r="B848" s="2">
        <v>39</v>
      </c>
      <c r="C848" s="2">
        <v>39</v>
      </c>
      <c r="D848" s="2">
        <v>5.2999999999999999E-2</v>
      </c>
      <c r="E848" s="2" t="s">
        <v>848</v>
      </c>
    </row>
    <row r="849" spans="1:5" x14ac:dyDescent="0.25">
      <c r="A849" s="1">
        <v>39079</v>
      </c>
      <c r="B849" s="2">
        <v>40</v>
      </c>
      <c r="C849" s="2">
        <v>39</v>
      </c>
      <c r="D849" s="2">
        <v>14.8</v>
      </c>
      <c r="E849" s="2" t="s">
        <v>849</v>
      </c>
    </row>
    <row r="850" spans="1:5" x14ac:dyDescent="0.25">
      <c r="A850" s="1">
        <v>39080</v>
      </c>
      <c r="B850" s="2">
        <v>41</v>
      </c>
      <c r="C850" s="2">
        <v>39</v>
      </c>
      <c r="D850" s="2">
        <v>30.1</v>
      </c>
      <c r="E850" s="2" t="s">
        <v>850</v>
      </c>
    </row>
    <row r="851" spans="1:5" x14ac:dyDescent="0.25">
      <c r="A851" s="1">
        <v>39081</v>
      </c>
      <c r="B851" s="2">
        <v>42</v>
      </c>
      <c r="C851" s="2">
        <v>39</v>
      </c>
      <c r="D851" s="2">
        <v>70.400000000000006</v>
      </c>
      <c r="E851" s="2" t="s">
        <v>851</v>
      </c>
    </row>
    <row r="852" spans="1:5" x14ac:dyDescent="0.25">
      <c r="A852" s="1">
        <v>39082</v>
      </c>
      <c r="B852" s="2">
        <v>43</v>
      </c>
      <c r="C852" s="2">
        <v>39</v>
      </c>
      <c r="D852" s="2">
        <v>8.3000000000000007</v>
      </c>
      <c r="E852" s="2" t="s">
        <v>852</v>
      </c>
    </row>
    <row r="853" spans="1:5" x14ac:dyDescent="0.25">
      <c r="A853" s="1">
        <v>39083</v>
      </c>
      <c r="B853" s="2">
        <v>44</v>
      </c>
      <c r="C853" s="2">
        <v>39</v>
      </c>
      <c r="D853" s="2">
        <v>424.8</v>
      </c>
      <c r="E853" s="2" t="s">
        <v>853</v>
      </c>
    </row>
    <row r="854" spans="1:5" x14ac:dyDescent="0.25">
      <c r="A854" s="1">
        <v>39084</v>
      </c>
      <c r="B854" s="2">
        <v>45</v>
      </c>
      <c r="C854" s="2">
        <v>39</v>
      </c>
      <c r="D854" s="2">
        <v>2370</v>
      </c>
      <c r="E854" s="2" t="s">
        <v>854</v>
      </c>
    </row>
    <row r="855" spans="1:5" x14ac:dyDescent="0.25">
      <c r="A855" s="1">
        <v>39085</v>
      </c>
      <c r="B855" s="2">
        <v>46</v>
      </c>
      <c r="C855" s="2">
        <v>39</v>
      </c>
      <c r="D855" s="2">
        <v>9648</v>
      </c>
      <c r="E855" s="2" t="s">
        <v>855</v>
      </c>
    </row>
    <row r="856" spans="1:5" x14ac:dyDescent="0.25">
      <c r="A856" s="1">
        <v>39086</v>
      </c>
      <c r="B856" s="2">
        <v>47</v>
      </c>
      <c r="C856" s="2">
        <v>39</v>
      </c>
      <c r="D856" s="2">
        <v>53064</v>
      </c>
      <c r="E856" s="2" t="s">
        <v>856</v>
      </c>
    </row>
    <row r="857" spans="1:5" x14ac:dyDescent="0.25">
      <c r="A857" s="1">
        <v>39087</v>
      </c>
      <c r="B857" s="2">
        <v>48</v>
      </c>
      <c r="C857" s="2">
        <v>39</v>
      </c>
      <c r="D857" s="2">
        <v>287280</v>
      </c>
      <c r="E857" s="2" t="s">
        <v>857</v>
      </c>
    </row>
    <row r="858" spans="1:5" x14ac:dyDescent="0.25">
      <c r="A858" s="1">
        <v>39088</v>
      </c>
      <c r="B858" s="2">
        <v>49</v>
      </c>
      <c r="C858" s="2">
        <v>39</v>
      </c>
      <c r="D858" s="2">
        <v>9212486.4000000004</v>
      </c>
      <c r="E858" s="2" t="s">
        <v>858</v>
      </c>
    </row>
    <row r="859" spans="1:5" x14ac:dyDescent="0.25">
      <c r="A859" s="1">
        <v>39089</v>
      </c>
      <c r="B859" s="2">
        <v>50</v>
      </c>
      <c r="C859" s="2">
        <v>39</v>
      </c>
      <c r="D859" s="2" t="s">
        <v>3</v>
      </c>
      <c r="E859" s="2" t="s">
        <v>859</v>
      </c>
    </row>
    <row r="860" spans="1:5" x14ac:dyDescent="0.25">
      <c r="A860" s="1">
        <v>39090</v>
      </c>
      <c r="B860" s="2">
        <v>51</v>
      </c>
      <c r="C860" s="2">
        <v>39</v>
      </c>
      <c r="D860" s="2">
        <v>230590.8</v>
      </c>
      <c r="E860" s="2" t="s">
        <v>860</v>
      </c>
    </row>
    <row r="861" spans="1:5" x14ac:dyDescent="0.25">
      <c r="A861" s="1">
        <v>39091</v>
      </c>
      <c r="B861" s="2">
        <v>52</v>
      </c>
      <c r="C861" s="2">
        <v>39</v>
      </c>
      <c r="D861" s="2">
        <v>5055264</v>
      </c>
      <c r="E861" s="2" t="s">
        <v>861</v>
      </c>
    </row>
    <row r="862" spans="1:5" x14ac:dyDescent="0.25">
      <c r="A862" s="1">
        <v>39092</v>
      </c>
      <c r="B862" s="2">
        <v>53</v>
      </c>
      <c r="C862" s="2">
        <v>39</v>
      </c>
      <c r="D862" s="2">
        <v>12744</v>
      </c>
      <c r="E862" s="2" t="s">
        <v>862</v>
      </c>
    </row>
    <row r="863" spans="1:5" x14ac:dyDescent="0.25">
      <c r="A863" s="1">
        <v>39093</v>
      </c>
      <c r="B863" s="2">
        <v>54</v>
      </c>
      <c r="C863" s="2">
        <v>39</v>
      </c>
      <c r="D863" s="2">
        <v>36648</v>
      </c>
      <c r="E863" s="2" t="s">
        <v>863</v>
      </c>
    </row>
    <row r="864" spans="1:5" x14ac:dyDescent="0.25">
      <c r="A864" s="1">
        <v>39094</v>
      </c>
      <c r="B864" s="2">
        <v>55</v>
      </c>
      <c r="C864" s="2">
        <v>39</v>
      </c>
      <c r="D864" s="2">
        <v>1122</v>
      </c>
      <c r="E864" s="2" t="s">
        <v>864</v>
      </c>
    </row>
    <row r="865" spans="1:5" x14ac:dyDescent="0.25">
      <c r="A865" s="1">
        <v>39095</v>
      </c>
      <c r="B865" s="2">
        <v>56</v>
      </c>
      <c r="C865" s="2">
        <v>39</v>
      </c>
      <c r="D865" s="2">
        <v>618</v>
      </c>
      <c r="E865" s="2" t="s">
        <v>865</v>
      </c>
    </row>
    <row r="866" spans="1:5" x14ac:dyDescent="0.25">
      <c r="A866" s="1">
        <v>39096</v>
      </c>
      <c r="B866" s="2">
        <v>57</v>
      </c>
      <c r="C866" s="2">
        <v>39</v>
      </c>
      <c r="D866" s="2">
        <v>5.34</v>
      </c>
      <c r="E866" s="2" t="s">
        <v>866</v>
      </c>
    </row>
    <row r="867" spans="1:5" x14ac:dyDescent="0.25">
      <c r="A867" s="1">
        <v>39097</v>
      </c>
      <c r="B867" s="2">
        <v>58</v>
      </c>
      <c r="C867" s="2">
        <v>39</v>
      </c>
      <c r="D867" s="2">
        <v>3.75</v>
      </c>
      <c r="E867" s="2" t="s">
        <v>867</v>
      </c>
    </row>
    <row r="868" spans="1:5" x14ac:dyDescent="0.25">
      <c r="A868" s="1">
        <v>39098</v>
      </c>
      <c r="B868" s="2">
        <v>59</v>
      </c>
      <c r="C868" s="2">
        <v>39</v>
      </c>
      <c r="D868" s="2">
        <v>0.54800000000000004</v>
      </c>
      <c r="E868" s="2" t="s">
        <v>868</v>
      </c>
    </row>
    <row r="869" spans="1:5" x14ac:dyDescent="0.25">
      <c r="A869" s="1">
        <v>39099</v>
      </c>
      <c r="B869" s="2">
        <v>60</v>
      </c>
      <c r="C869" s="2">
        <v>39</v>
      </c>
      <c r="D869" s="2">
        <v>1.484</v>
      </c>
      <c r="E869" s="2" t="s">
        <v>869</v>
      </c>
    </row>
    <row r="870" spans="1:5" x14ac:dyDescent="0.25">
      <c r="A870" s="1">
        <v>39100</v>
      </c>
      <c r="B870" s="2">
        <v>61</v>
      </c>
      <c r="C870" s="2">
        <v>39</v>
      </c>
      <c r="D870" s="2">
        <v>0.73499999999999999</v>
      </c>
      <c r="E870" s="2" t="s">
        <v>870</v>
      </c>
    </row>
    <row r="871" spans="1:5" x14ac:dyDescent="0.25">
      <c r="A871" s="1">
        <v>39101</v>
      </c>
      <c r="B871" s="2">
        <v>62</v>
      </c>
      <c r="C871" s="2">
        <v>39</v>
      </c>
      <c r="D871" s="2">
        <v>0.45</v>
      </c>
      <c r="E871" s="2" t="s">
        <v>871</v>
      </c>
    </row>
    <row r="872" spans="1:5" x14ac:dyDescent="0.25">
      <c r="A872" s="1">
        <v>39102</v>
      </c>
      <c r="B872" s="2">
        <v>63</v>
      </c>
      <c r="C872" s="2">
        <v>39</v>
      </c>
      <c r="D872" s="2">
        <v>0.36</v>
      </c>
      <c r="E872" s="2" t="s">
        <v>872</v>
      </c>
    </row>
    <row r="873" spans="1:5" x14ac:dyDescent="0.25">
      <c r="A873" s="1">
        <v>39103</v>
      </c>
      <c r="B873" s="2">
        <v>64</v>
      </c>
      <c r="C873" s="2">
        <v>39</v>
      </c>
      <c r="D873" s="2">
        <v>0.23</v>
      </c>
      <c r="E873" s="2" t="s">
        <v>873</v>
      </c>
    </row>
    <row r="874" spans="1:5" x14ac:dyDescent="0.25">
      <c r="A874" s="1">
        <v>39104</v>
      </c>
      <c r="B874" s="2">
        <v>65</v>
      </c>
      <c r="C874" s="2">
        <v>39</v>
      </c>
      <c r="D874" s="2">
        <v>0.19700000000000001</v>
      </c>
      <c r="E874" s="2" t="s">
        <v>874</v>
      </c>
    </row>
    <row r="875" spans="1:5" x14ac:dyDescent="0.25">
      <c r="A875" s="1">
        <v>39105</v>
      </c>
      <c r="B875" s="2">
        <v>66</v>
      </c>
      <c r="C875" s="2">
        <v>39</v>
      </c>
      <c r="D875" s="2">
        <v>9.5000000000000001E-2</v>
      </c>
      <c r="E875" s="2" t="s">
        <v>875</v>
      </c>
    </row>
    <row r="876" spans="1:5" x14ac:dyDescent="0.25">
      <c r="A876" s="1">
        <v>39106</v>
      </c>
      <c r="B876" s="2">
        <v>67</v>
      </c>
      <c r="C876" s="2">
        <v>39</v>
      </c>
      <c r="D876" s="2">
        <v>7.9000000000000001E-2</v>
      </c>
      <c r="E876" s="2" t="s">
        <v>876</v>
      </c>
    </row>
    <row r="877" spans="1:5" x14ac:dyDescent="0.25">
      <c r="A877" s="1">
        <v>39107</v>
      </c>
      <c r="B877" s="2">
        <v>68</v>
      </c>
      <c r="C877" s="2">
        <v>39</v>
      </c>
      <c r="D877" s="2">
        <v>3.5000000000000001E-3</v>
      </c>
      <c r="E877" s="2" t="s">
        <v>877</v>
      </c>
    </row>
    <row r="878" spans="1:5" x14ac:dyDescent="0.25">
      <c r="A878" s="1">
        <v>39108</v>
      </c>
      <c r="B878" s="2">
        <v>69</v>
      </c>
      <c r="C878" s="2">
        <v>39</v>
      </c>
      <c r="D878" s="2">
        <v>0.03</v>
      </c>
      <c r="E878" s="2" t="s">
        <v>878</v>
      </c>
    </row>
    <row r="879" spans="1:5" x14ac:dyDescent="0.25">
      <c r="A879" s="1">
        <v>39109</v>
      </c>
      <c r="B879" s="2">
        <v>70</v>
      </c>
      <c r="C879" s="2">
        <v>39</v>
      </c>
      <c r="D879" s="2">
        <v>2.5000000000000001E-2</v>
      </c>
      <c r="E879" s="2" t="s">
        <v>879</v>
      </c>
    </row>
    <row r="880" spans="1:5" x14ac:dyDescent="0.25">
      <c r="A880" s="1">
        <v>40078</v>
      </c>
      <c r="B880" s="2">
        <v>38</v>
      </c>
      <c r="C880" s="2">
        <v>40</v>
      </c>
      <c r="D880" s="2">
        <v>1.6999999999999999E-7</v>
      </c>
      <c r="E880" s="2" t="s">
        <v>880</v>
      </c>
    </row>
    <row r="881" spans="1:5" x14ac:dyDescent="0.25">
      <c r="A881" s="1">
        <v>40079</v>
      </c>
      <c r="B881" s="2">
        <v>39</v>
      </c>
      <c r="C881" s="2">
        <v>40</v>
      </c>
      <c r="D881" s="2">
        <v>5.6000000000000001E-2</v>
      </c>
      <c r="E881" s="2" t="s">
        <v>881</v>
      </c>
    </row>
    <row r="882" spans="1:5" x14ac:dyDescent="0.25">
      <c r="A882" s="1">
        <v>40080</v>
      </c>
      <c r="B882" s="2">
        <v>40</v>
      </c>
      <c r="C882" s="2">
        <v>40</v>
      </c>
      <c r="D882" s="2">
        <v>4.5999999999999996</v>
      </c>
      <c r="E882" s="2" t="s">
        <v>882</v>
      </c>
    </row>
    <row r="883" spans="1:5" x14ac:dyDescent="0.25">
      <c r="A883" s="1">
        <v>40081</v>
      </c>
      <c r="B883" s="2">
        <v>41</v>
      </c>
      <c r="C883" s="2">
        <v>40</v>
      </c>
      <c r="D883" s="2">
        <v>5.5</v>
      </c>
      <c r="E883" s="2" t="s">
        <v>883</v>
      </c>
    </row>
    <row r="884" spans="1:5" x14ac:dyDescent="0.25">
      <c r="A884" s="1">
        <v>40082</v>
      </c>
      <c r="B884" s="2">
        <v>42</v>
      </c>
      <c r="C884" s="2">
        <v>40</v>
      </c>
      <c r="D884" s="2">
        <v>32</v>
      </c>
      <c r="E884" s="2" t="s">
        <v>884</v>
      </c>
    </row>
    <row r="885" spans="1:5" x14ac:dyDescent="0.25">
      <c r="A885" s="1">
        <v>40083</v>
      </c>
      <c r="B885" s="2">
        <v>43</v>
      </c>
      <c r="C885" s="2">
        <v>40</v>
      </c>
      <c r="D885" s="2">
        <v>42</v>
      </c>
      <c r="E885" s="2" t="s">
        <v>885</v>
      </c>
    </row>
    <row r="886" spans="1:5" x14ac:dyDescent="0.25">
      <c r="A886" s="1">
        <v>40084</v>
      </c>
      <c r="B886" s="2">
        <v>44</v>
      </c>
      <c r="C886" s="2">
        <v>40</v>
      </c>
      <c r="D886" s="2">
        <v>1548</v>
      </c>
      <c r="E886" s="2" t="s">
        <v>886</v>
      </c>
    </row>
    <row r="887" spans="1:5" x14ac:dyDescent="0.25">
      <c r="A887" s="1">
        <v>40085</v>
      </c>
      <c r="B887" s="2">
        <v>45</v>
      </c>
      <c r="C887" s="2">
        <v>40</v>
      </c>
      <c r="D887" s="2">
        <v>471.6</v>
      </c>
      <c r="E887" s="2" t="s">
        <v>887</v>
      </c>
    </row>
    <row r="888" spans="1:5" x14ac:dyDescent="0.25">
      <c r="A888" s="1">
        <v>40086</v>
      </c>
      <c r="B888" s="2">
        <v>46</v>
      </c>
      <c r="C888" s="2">
        <v>40</v>
      </c>
      <c r="D888" s="2">
        <v>59400</v>
      </c>
      <c r="E888" s="2" t="s">
        <v>888</v>
      </c>
    </row>
    <row r="889" spans="1:5" x14ac:dyDescent="0.25">
      <c r="A889" s="1">
        <v>40087</v>
      </c>
      <c r="B889" s="2">
        <v>47</v>
      </c>
      <c r="C889" s="2">
        <v>40</v>
      </c>
      <c r="D889" s="2">
        <v>6048</v>
      </c>
      <c r="E889" s="2" t="s">
        <v>889</v>
      </c>
    </row>
    <row r="890" spans="1:5" x14ac:dyDescent="0.25">
      <c r="A890" s="1">
        <v>40088</v>
      </c>
      <c r="B890" s="2">
        <v>48</v>
      </c>
      <c r="C890" s="2">
        <v>40</v>
      </c>
      <c r="D890" s="2">
        <v>7205760</v>
      </c>
      <c r="E890" s="2" t="s">
        <v>890</v>
      </c>
    </row>
    <row r="891" spans="1:5" x14ac:dyDescent="0.25">
      <c r="A891" s="1">
        <v>40089</v>
      </c>
      <c r="B891" s="2">
        <v>49</v>
      </c>
      <c r="C891" s="2">
        <v>40</v>
      </c>
      <c r="D891" s="2">
        <v>282276</v>
      </c>
      <c r="E891" s="2" t="s">
        <v>891</v>
      </c>
    </row>
    <row r="892" spans="1:5" x14ac:dyDescent="0.25">
      <c r="A892" s="1">
        <v>40090</v>
      </c>
      <c r="B892" s="2">
        <v>50</v>
      </c>
      <c r="C892" s="2">
        <v>40</v>
      </c>
      <c r="D892" s="2" t="s">
        <v>3</v>
      </c>
      <c r="E892" s="2" t="s">
        <v>892</v>
      </c>
    </row>
    <row r="893" spans="1:5" x14ac:dyDescent="0.25">
      <c r="A893" s="1">
        <v>40091</v>
      </c>
      <c r="B893" s="2">
        <v>51</v>
      </c>
      <c r="C893" s="2">
        <v>40</v>
      </c>
      <c r="D893" s="2" t="s">
        <v>3</v>
      </c>
      <c r="E893" s="2" t="s">
        <v>893</v>
      </c>
    </row>
    <row r="894" spans="1:5" x14ac:dyDescent="0.25">
      <c r="A894" s="1">
        <v>40092</v>
      </c>
      <c r="B894" s="2">
        <v>52</v>
      </c>
      <c r="C894" s="2">
        <v>40</v>
      </c>
      <c r="D894" s="2" t="s">
        <v>3</v>
      </c>
      <c r="E894" s="2" t="s">
        <v>894</v>
      </c>
    </row>
    <row r="895" spans="1:5" x14ac:dyDescent="0.25">
      <c r="A895" s="1">
        <v>40093</v>
      </c>
      <c r="B895" s="2">
        <v>53</v>
      </c>
      <c r="C895" s="2">
        <v>40</v>
      </c>
      <c r="D895" s="2">
        <v>50807736000000</v>
      </c>
      <c r="E895" s="2" t="s">
        <v>895</v>
      </c>
    </row>
    <row r="896" spans="1:5" x14ac:dyDescent="0.25">
      <c r="A896" s="1">
        <v>40094</v>
      </c>
      <c r="B896" s="2">
        <v>54</v>
      </c>
      <c r="C896" s="2">
        <v>40</v>
      </c>
      <c r="D896" s="2" t="s">
        <v>3</v>
      </c>
      <c r="E896" s="2" t="s">
        <v>896</v>
      </c>
    </row>
    <row r="897" spans="1:5" x14ac:dyDescent="0.25">
      <c r="A897" s="1">
        <v>40095</v>
      </c>
      <c r="B897" s="2">
        <v>55</v>
      </c>
      <c r="C897" s="2">
        <v>40</v>
      </c>
      <c r="D897" s="2">
        <v>5532364.7999999998</v>
      </c>
      <c r="E897" s="2" t="s">
        <v>897</v>
      </c>
    </row>
    <row r="898" spans="1:5" x14ac:dyDescent="0.25">
      <c r="A898" s="1">
        <v>40096</v>
      </c>
      <c r="B898" s="2">
        <v>56</v>
      </c>
      <c r="C898" s="2">
        <v>40</v>
      </c>
      <c r="D898" s="2">
        <v>7.4160360000000004E+26</v>
      </c>
      <c r="E898" s="2" t="s">
        <v>898</v>
      </c>
    </row>
    <row r="899" spans="1:5" x14ac:dyDescent="0.25">
      <c r="A899" s="1">
        <v>40097</v>
      </c>
      <c r="B899" s="2">
        <v>57</v>
      </c>
      <c r="C899" s="2">
        <v>40</v>
      </c>
      <c r="D899" s="2">
        <v>60296.3999999999</v>
      </c>
      <c r="E899" s="2" t="s">
        <v>899</v>
      </c>
    </row>
    <row r="900" spans="1:5" x14ac:dyDescent="0.25">
      <c r="A900" s="1">
        <v>40098</v>
      </c>
      <c r="B900" s="2">
        <v>58</v>
      </c>
      <c r="C900" s="2">
        <v>40</v>
      </c>
      <c r="D900" s="2">
        <v>30.7</v>
      </c>
      <c r="E900" s="2" t="s">
        <v>900</v>
      </c>
    </row>
    <row r="901" spans="1:5" x14ac:dyDescent="0.25">
      <c r="A901" s="1">
        <v>40099</v>
      </c>
      <c r="B901" s="2">
        <v>59</v>
      </c>
      <c r="C901" s="2">
        <v>40</v>
      </c>
      <c r="D901" s="2">
        <v>2.1</v>
      </c>
      <c r="E901" s="2" t="s">
        <v>901</v>
      </c>
    </row>
    <row r="902" spans="1:5" x14ac:dyDescent="0.25">
      <c r="A902" s="1">
        <v>40100</v>
      </c>
      <c r="B902" s="2">
        <v>60</v>
      </c>
      <c r="C902" s="2">
        <v>40</v>
      </c>
      <c r="D902" s="2">
        <v>7.1</v>
      </c>
      <c r="E902" s="2" t="s">
        <v>902</v>
      </c>
    </row>
    <row r="903" spans="1:5" x14ac:dyDescent="0.25">
      <c r="A903" s="1">
        <v>40101</v>
      </c>
      <c r="B903" s="2">
        <v>61</v>
      </c>
      <c r="C903" s="2">
        <v>40</v>
      </c>
      <c r="D903" s="2">
        <v>2.2999999999999998</v>
      </c>
      <c r="E903" s="2" t="s">
        <v>903</v>
      </c>
    </row>
    <row r="904" spans="1:5" x14ac:dyDescent="0.25">
      <c r="A904" s="1">
        <v>40102</v>
      </c>
      <c r="B904" s="2">
        <v>62</v>
      </c>
      <c r="C904" s="2">
        <v>40</v>
      </c>
      <c r="D904" s="2">
        <v>2.9</v>
      </c>
      <c r="E904" s="2" t="s">
        <v>904</v>
      </c>
    </row>
    <row r="905" spans="1:5" x14ac:dyDescent="0.25">
      <c r="A905" s="1">
        <v>40103</v>
      </c>
      <c r="B905" s="2">
        <v>63</v>
      </c>
      <c r="C905" s="2">
        <v>40</v>
      </c>
      <c r="D905" s="2">
        <v>1.32</v>
      </c>
      <c r="E905" s="2" t="s">
        <v>905</v>
      </c>
    </row>
    <row r="906" spans="1:5" x14ac:dyDescent="0.25">
      <c r="A906" s="1">
        <v>40104</v>
      </c>
      <c r="B906" s="2">
        <v>64</v>
      </c>
      <c r="C906" s="2">
        <v>40</v>
      </c>
      <c r="D906" s="2">
        <v>0.87</v>
      </c>
      <c r="E906" s="2" t="s">
        <v>906</v>
      </c>
    </row>
    <row r="907" spans="1:5" x14ac:dyDescent="0.25">
      <c r="A907" s="1">
        <v>40105</v>
      </c>
      <c r="B907" s="2">
        <v>65</v>
      </c>
      <c r="C907" s="2">
        <v>40</v>
      </c>
      <c r="D907" s="2">
        <v>0.67</v>
      </c>
      <c r="E907" s="2" t="s">
        <v>907</v>
      </c>
    </row>
    <row r="908" spans="1:5" x14ac:dyDescent="0.25">
      <c r="A908" s="1">
        <v>40106</v>
      </c>
      <c r="B908" s="2">
        <v>66</v>
      </c>
      <c r="C908" s="2">
        <v>40</v>
      </c>
      <c r="D908" s="2">
        <v>0.18</v>
      </c>
      <c r="E908" s="2" t="s">
        <v>908</v>
      </c>
    </row>
    <row r="909" spans="1:5" x14ac:dyDescent="0.25">
      <c r="A909" s="1">
        <v>40107</v>
      </c>
      <c r="B909" s="2">
        <v>67</v>
      </c>
      <c r="C909" s="2">
        <v>40</v>
      </c>
      <c r="D909" s="2">
        <v>0.14599999999999999</v>
      </c>
      <c r="E909" s="2" t="s">
        <v>909</v>
      </c>
    </row>
    <row r="910" spans="1:5" x14ac:dyDescent="0.25">
      <c r="A910" s="1">
        <v>40108</v>
      </c>
      <c r="B910" s="2">
        <v>68</v>
      </c>
      <c r="C910" s="2">
        <v>40</v>
      </c>
      <c r="D910" s="2">
        <v>7.7399999999999997E-2</v>
      </c>
      <c r="E910" s="2" t="s">
        <v>910</v>
      </c>
    </row>
    <row r="911" spans="1:5" x14ac:dyDescent="0.25">
      <c r="A911" s="1">
        <v>40109</v>
      </c>
      <c r="B911" s="2">
        <v>69</v>
      </c>
      <c r="C911" s="2">
        <v>40</v>
      </c>
      <c r="D911" s="2">
        <v>5.6000000000000001E-2</v>
      </c>
      <c r="E911" s="2" t="s">
        <v>911</v>
      </c>
    </row>
    <row r="912" spans="1:5" x14ac:dyDescent="0.25">
      <c r="A912" s="1">
        <v>40110</v>
      </c>
      <c r="B912" s="2">
        <v>70</v>
      </c>
      <c r="C912" s="2">
        <v>40</v>
      </c>
      <c r="D912" s="2">
        <v>3.7499999999999999E-2</v>
      </c>
      <c r="E912" s="2" t="s">
        <v>912</v>
      </c>
    </row>
    <row r="913" spans="1:5" x14ac:dyDescent="0.25">
      <c r="A913" s="1">
        <v>40111</v>
      </c>
      <c r="B913" s="2">
        <v>71</v>
      </c>
      <c r="C913" s="2">
        <v>40</v>
      </c>
      <c r="D913" s="2">
        <v>2.4E-2</v>
      </c>
      <c r="E913" s="2" t="s">
        <v>913</v>
      </c>
    </row>
    <row r="914" spans="1:5" x14ac:dyDescent="0.25">
      <c r="A914" s="1">
        <v>40112</v>
      </c>
      <c r="B914" s="2">
        <v>72</v>
      </c>
      <c r="C914" s="2">
        <v>40</v>
      </c>
      <c r="D914" s="2">
        <v>0.03</v>
      </c>
      <c r="E914" s="2" t="s">
        <v>914</v>
      </c>
    </row>
    <row r="915" spans="1:5" x14ac:dyDescent="0.25">
      <c r="A915" s="1">
        <v>41082</v>
      </c>
      <c r="B915" s="2">
        <v>41</v>
      </c>
      <c r="C915" s="2">
        <v>41</v>
      </c>
      <c r="D915" s="2">
        <v>0.05</v>
      </c>
      <c r="E915" s="2" t="s">
        <v>915</v>
      </c>
    </row>
    <row r="916" spans="1:5" x14ac:dyDescent="0.25">
      <c r="A916" s="1">
        <v>41083</v>
      </c>
      <c r="B916" s="2">
        <v>42</v>
      </c>
      <c r="C916" s="2">
        <v>41</v>
      </c>
      <c r="D916" s="2">
        <v>3.9</v>
      </c>
      <c r="E916" s="2" t="s">
        <v>916</v>
      </c>
    </row>
    <row r="917" spans="1:5" x14ac:dyDescent="0.25">
      <c r="A917" s="1">
        <v>41084</v>
      </c>
      <c r="B917" s="2">
        <v>43</v>
      </c>
      <c r="C917" s="2">
        <v>41</v>
      </c>
      <c r="D917" s="2">
        <v>9.8000000000000007</v>
      </c>
      <c r="E917" s="2" t="s">
        <v>917</v>
      </c>
    </row>
    <row r="918" spans="1:5" x14ac:dyDescent="0.25">
      <c r="A918" s="1">
        <v>41085</v>
      </c>
      <c r="B918" s="2">
        <v>44</v>
      </c>
      <c r="C918" s="2">
        <v>41</v>
      </c>
      <c r="D918" s="2">
        <v>20.5</v>
      </c>
      <c r="E918" s="2" t="s">
        <v>918</v>
      </c>
    </row>
    <row r="919" spans="1:5" x14ac:dyDescent="0.25">
      <c r="A919" s="1">
        <v>41086</v>
      </c>
      <c r="B919" s="2">
        <v>45</v>
      </c>
      <c r="C919" s="2">
        <v>41</v>
      </c>
      <c r="D919" s="2">
        <v>88</v>
      </c>
      <c r="E919" s="2" t="s">
        <v>919</v>
      </c>
    </row>
    <row r="920" spans="1:5" x14ac:dyDescent="0.25">
      <c r="A920" s="1">
        <v>41087</v>
      </c>
      <c r="B920" s="2">
        <v>46</v>
      </c>
      <c r="C920" s="2">
        <v>41</v>
      </c>
      <c r="D920" s="2">
        <v>222</v>
      </c>
      <c r="E920" s="2" t="s">
        <v>920</v>
      </c>
    </row>
    <row r="921" spans="1:5" x14ac:dyDescent="0.25">
      <c r="A921" s="1">
        <v>41088</v>
      </c>
      <c r="B921" s="2">
        <v>47</v>
      </c>
      <c r="C921" s="2">
        <v>41</v>
      </c>
      <c r="D921" s="2">
        <v>873</v>
      </c>
      <c r="E921" s="2" t="s">
        <v>921</v>
      </c>
    </row>
    <row r="922" spans="1:5" x14ac:dyDescent="0.25">
      <c r="A922" s="1">
        <v>41089</v>
      </c>
      <c r="B922" s="2">
        <v>48</v>
      </c>
      <c r="C922" s="2">
        <v>41</v>
      </c>
      <c r="D922" s="2">
        <v>7307.99999999999</v>
      </c>
      <c r="E922" s="2" t="s">
        <v>922</v>
      </c>
    </row>
    <row r="923" spans="1:5" x14ac:dyDescent="0.25">
      <c r="A923" s="1">
        <v>41090</v>
      </c>
      <c r="B923" s="2">
        <v>49</v>
      </c>
      <c r="C923" s="2">
        <v>41</v>
      </c>
      <c r="D923" s="2">
        <v>52560</v>
      </c>
      <c r="E923" s="2" t="s">
        <v>923</v>
      </c>
    </row>
    <row r="924" spans="1:5" x14ac:dyDescent="0.25">
      <c r="A924" s="1">
        <v>41091</v>
      </c>
      <c r="B924" s="2">
        <v>50</v>
      </c>
      <c r="C924" s="2">
        <v>41</v>
      </c>
      <c r="D924" s="2">
        <v>21459168000</v>
      </c>
      <c r="E924" s="2" t="s">
        <v>924</v>
      </c>
    </row>
    <row r="925" spans="1:5" x14ac:dyDescent="0.25">
      <c r="A925" s="1">
        <v>41092</v>
      </c>
      <c r="B925" s="2">
        <v>51</v>
      </c>
      <c r="C925" s="2">
        <v>41</v>
      </c>
      <c r="D925" s="2">
        <v>1095048720000000</v>
      </c>
      <c r="E925" s="2" t="s">
        <v>925</v>
      </c>
    </row>
    <row r="926" spans="1:5" x14ac:dyDescent="0.25">
      <c r="A926" s="1">
        <v>41093</v>
      </c>
      <c r="B926" s="2">
        <v>52</v>
      </c>
      <c r="C926" s="2">
        <v>41</v>
      </c>
      <c r="D926" s="2" t="s">
        <v>3</v>
      </c>
      <c r="E926" s="2" t="s">
        <v>926</v>
      </c>
    </row>
    <row r="927" spans="1:5" x14ac:dyDescent="0.25">
      <c r="A927" s="1">
        <v>41094</v>
      </c>
      <c r="B927" s="2">
        <v>53</v>
      </c>
      <c r="C927" s="2">
        <v>41</v>
      </c>
      <c r="D927" s="2">
        <v>640619280000</v>
      </c>
      <c r="E927" s="2" t="s">
        <v>927</v>
      </c>
    </row>
    <row r="928" spans="1:5" x14ac:dyDescent="0.25">
      <c r="A928" s="1">
        <v>41095</v>
      </c>
      <c r="B928" s="2">
        <v>54</v>
      </c>
      <c r="C928" s="2">
        <v>41</v>
      </c>
      <c r="D928" s="2">
        <v>3023222.4</v>
      </c>
      <c r="E928" s="2" t="s">
        <v>928</v>
      </c>
    </row>
    <row r="929" spans="1:5" x14ac:dyDescent="0.25">
      <c r="A929" s="1">
        <v>41096</v>
      </c>
      <c r="B929" s="2">
        <v>55</v>
      </c>
      <c r="C929" s="2">
        <v>41</v>
      </c>
      <c r="D929" s="2">
        <v>84060</v>
      </c>
      <c r="E929" s="2" t="s">
        <v>929</v>
      </c>
    </row>
    <row r="930" spans="1:5" x14ac:dyDescent="0.25">
      <c r="A930" s="1">
        <v>41097</v>
      </c>
      <c r="B930" s="2">
        <v>56</v>
      </c>
      <c r="C930" s="2">
        <v>41</v>
      </c>
      <c r="D930" s="2">
        <v>4326</v>
      </c>
      <c r="E930" s="2" t="s">
        <v>930</v>
      </c>
    </row>
    <row r="931" spans="1:5" x14ac:dyDescent="0.25">
      <c r="A931" s="1">
        <v>41098</v>
      </c>
      <c r="B931" s="2">
        <v>57</v>
      </c>
      <c r="C931" s="2">
        <v>41</v>
      </c>
      <c r="D931" s="2">
        <v>2.86</v>
      </c>
      <c r="E931" s="2" t="s">
        <v>931</v>
      </c>
    </row>
    <row r="932" spans="1:5" x14ac:dyDescent="0.25">
      <c r="A932" s="1">
        <v>41099</v>
      </c>
      <c r="B932" s="2">
        <v>58</v>
      </c>
      <c r="C932" s="2">
        <v>41</v>
      </c>
      <c r="D932" s="2">
        <v>15</v>
      </c>
      <c r="E932" s="2" t="s">
        <v>932</v>
      </c>
    </row>
    <row r="933" spans="1:5" x14ac:dyDescent="0.25">
      <c r="A933" s="1">
        <v>41100</v>
      </c>
      <c r="B933" s="2">
        <v>59</v>
      </c>
      <c r="C933" s="2">
        <v>41</v>
      </c>
      <c r="D933" s="2">
        <v>1.5</v>
      </c>
      <c r="E933" s="2" t="s">
        <v>933</v>
      </c>
    </row>
    <row r="934" spans="1:5" x14ac:dyDescent="0.25">
      <c r="A934" s="1">
        <v>41101</v>
      </c>
      <c r="B934" s="2">
        <v>60</v>
      </c>
      <c r="C934" s="2">
        <v>41</v>
      </c>
      <c r="D934" s="2">
        <v>7.1</v>
      </c>
      <c r="E934" s="2" t="s">
        <v>934</v>
      </c>
    </row>
    <row r="935" spans="1:5" x14ac:dyDescent="0.25">
      <c r="A935" s="1">
        <v>41102</v>
      </c>
      <c r="B935" s="2">
        <v>61</v>
      </c>
      <c r="C935" s="2">
        <v>41</v>
      </c>
      <c r="D935" s="2">
        <v>4.3</v>
      </c>
      <c r="E935" s="2" t="s">
        <v>935</v>
      </c>
    </row>
    <row r="936" spans="1:5" x14ac:dyDescent="0.25">
      <c r="A936" s="1">
        <v>41103</v>
      </c>
      <c r="B936" s="2">
        <v>62</v>
      </c>
      <c r="C936" s="2">
        <v>41</v>
      </c>
      <c r="D936" s="2">
        <v>1.5</v>
      </c>
      <c r="E936" s="2" t="s">
        <v>936</v>
      </c>
    </row>
    <row r="937" spans="1:5" x14ac:dyDescent="0.25">
      <c r="A937" s="1">
        <v>41104</v>
      </c>
      <c r="B937" s="2">
        <v>63</v>
      </c>
      <c r="C937" s="2">
        <v>41</v>
      </c>
      <c r="D937" s="2">
        <v>4.9000000000000004</v>
      </c>
      <c r="E937" s="2" t="s">
        <v>937</v>
      </c>
    </row>
    <row r="938" spans="1:5" x14ac:dyDescent="0.25">
      <c r="A938" s="1">
        <v>41105</v>
      </c>
      <c r="B938" s="2">
        <v>64</v>
      </c>
      <c r="C938" s="2">
        <v>41</v>
      </c>
      <c r="D938" s="2">
        <v>2.95</v>
      </c>
      <c r="E938" s="2" t="s">
        <v>938</v>
      </c>
    </row>
    <row r="939" spans="1:5" x14ac:dyDescent="0.25">
      <c r="A939" s="1">
        <v>41106</v>
      </c>
      <c r="B939" s="2">
        <v>65</v>
      </c>
      <c r="C939" s="2">
        <v>41</v>
      </c>
      <c r="D939" s="2">
        <v>1.02</v>
      </c>
      <c r="E939" s="2" t="s">
        <v>939</v>
      </c>
    </row>
    <row r="940" spans="1:5" x14ac:dyDescent="0.25">
      <c r="A940" s="1">
        <v>41107</v>
      </c>
      <c r="B940" s="2">
        <v>66</v>
      </c>
      <c r="C940" s="2">
        <v>41</v>
      </c>
      <c r="D940" s="2">
        <v>0.3</v>
      </c>
      <c r="E940" s="2" t="s">
        <v>940</v>
      </c>
    </row>
    <row r="941" spans="1:5" x14ac:dyDescent="0.25">
      <c r="A941" s="1">
        <v>41108</v>
      </c>
      <c r="B941" s="2">
        <v>67</v>
      </c>
      <c r="C941" s="2">
        <v>41</v>
      </c>
      <c r="D941" s="2">
        <v>0.19800000000000001</v>
      </c>
      <c r="E941" s="2" t="s">
        <v>941</v>
      </c>
    </row>
    <row r="942" spans="1:5" x14ac:dyDescent="0.25">
      <c r="A942" s="1">
        <v>41109</v>
      </c>
      <c r="B942" s="2">
        <v>68</v>
      </c>
      <c r="C942" s="2">
        <v>41</v>
      </c>
      <c r="D942" s="2">
        <v>0.106</v>
      </c>
      <c r="E942" s="2" t="s">
        <v>942</v>
      </c>
    </row>
    <row r="943" spans="1:5" x14ac:dyDescent="0.25">
      <c r="A943" s="1">
        <v>41110</v>
      </c>
      <c r="B943" s="2">
        <v>69</v>
      </c>
      <c r="C943" s="2">
        <v>41</v>
      </c>
      <c r="D943" s="2">
        <v>8.5999999999999993E-2</v>
      </c>
      <c r="E943" s="2" t="s">
        <v>943</v>
      </c>
    </row>
    <row r="944" spans="1:5" x14ac:dyDescent="0.25">
      <c r="A944" s="1">
        <v>41111</v>
      </c>
      <c r="B944" s="2">
        <v>70</v>
      </c>
      <c r="C944" s="2">
        <v>41</v>
      </c>
      <c r="D944" s="2">
        <v>5.0999999999999997E-2</v>
      </c>
      <c r="E944" s="2" t="s">
        <v>944</v>
      </c>
    </row>
    <row r="945" spans="1:5" x14ac:dyDescent="0.25">
      <c r="A945" s="1">
        <v>41112</v>
      </c>
      <c r="B945" s="2">
        <v>71</v>
      </c>
      <c r="C945" s="2">
        <v>41</v>
      </c>
      <c r="D945" s="2">
        <v>3.3000000000000002E-2</v>
      </c>
      <c r="E945" s="2" t="s">
        <v>945</v>
      </c>
    </row>
    <row r="946" spans="1:5" x14ac:dyDescent="0.25">
      <c r="A946" s="1">
        <v>41113</v>
      </c>
      <c r="B946" s="2">
        <v>72</v>
      </c>
      <c r="C946" s="2">
        <v>41</v>
      </c>
      <c r="D946" s="2">
        <v>3.2000000000000001E-2</v>
      </c>
      <c r="E946" s="2" t="s">
        <v>946</v>
      </c>
    </row>
    <row r="947" spans="1:5" x14ac:dyDescent="0.25">
      <c r="A947" s="1">
        <v>41114</v>
      </c>
      <c r="B947" s="2">
        <v>73</v>
      </c>
      <c r="C947" s="2">
        <v>41</v>
      </c>
      <c r="D947" s="2">
        <v>1.7000000000000001E-2</v>
      </c>
      <c r="E947" s="2" t="s">
        <v>947</v>
      </c>
    </row>
    <row r="948" spans="1:5" x14ac:dyDescent="0.25">
      <c r="A948" s="1">
        <v>41115</v>
      </c>
      <c r="B948" s="2">
        <v>74</v>
      </c>
      <c r="C948" s="2">
        <v>41</v>
      </c>
      <c r="D948" s="2">
        <v>2.3E-2</v>
      </c>
      <c r="E948" s="2" t="s">
        <v>948</v>
      </c>
    </row>
    <row r="949" spans="1:5" x14ac:dyDescent="0.25">
      <c r="A949" s="1">
        <v>42081</v>
      </c>
      <c r="B949" s="2">
        <v>39</v>
      </c>
      <c r="C949" s="2">
        <v>42</v>
      </c>
      <c r="D949" s="2">
        <v>4.4999999999999998E-7</v>
      </c>
      <c r="E949" s="2" t="s">
        <v>949</v>
      </c>
    </row>
    <row r="950" spans="1:5" x14ac:dyDescent="0.25">
      <c r="A950" s="1">
        <v>42082</v>
      </c>
      <c r="B950" s="2">
        <v>40</v>
      </c>
      <c r="C950" s="2">
        <v>42</v>
      </c>
      <c r="D950" s="2">
        <v>4.3700000000000001E-7</v>
      </c>
      <c r="E950" s="2" t="s">
        <v>950</v>
      </c>
    </row>
    <row r="951" spans="1:5" x14ac:dyDescent="0.25">
      <c r="A951" s="1">
        <v>42083</v>
      </c>
      <c r="B951" s="2">
        <v>41</v>
      </c>
      <c r="C951" s="2">
        <v>42</v>
      </c>
      <c r="D951" s="2">
        <v>6.0000000000000001E-3</v>
      </c>
      <c r="E951" s="2" t="s">
        <v>951</v>
      </c>
    </row>
    <row r="952" spans="1:5" x14ac:dyDescent="0.25">
      <c r="A952" s="1">
        <v>42084</v>
      </c>
      <c r="B952" s="2">
        <v>42</v>
      </c>
      <c r="C952" s="2">
        <v>42</v>
      </c>
      <c r="D952" s="2">
        <v>2.2999999999999998</v>
      </c>
      <c r="E952" s="2" t="s">
        <v>952</v>
      </c>
    </row>
    <row r="953" spans="1:5" x14ac:dyDescent="0.25">
      <c r="A953" s="1">
        <v>42085</v>
      </c>
      <c r="B953" s="2">
        <v>43</v>
      </c>
      <c r="C953" s="2">
        <v>42</v>
      </c>
      <c r="D953" s="2">
        <v>3.2</v>
      </c>
      <c r="E953" s="2" t="s">
        <v>953</v>
      </c>
    </row>
    <row r="954" spans="1:5" x14ac:dyDescent="0.25">
      <c r="A954" s="1">
        <v>42086</v>
      </c>
      <c r="B954" s="2">
        <v>44</v>
      </c>
      <c r="C954" s="2">
        <v>42</v>
      </c>
      <c r="D954" s="2">
        <v>19.100000000000001</v>
      </c>
      <c r="E954" s="2" t="s">
        <v>954</v>
      </c>
    </row>
    <row r="955" spans="1:5" x14ac:dyDescent="0.25">
      <c r="A955" s="1">
        <v>42087</v>
      </c>
      <c r="B955" s="2">
        <v>45</v>
      </c>
      <c r="C955" s="2">
        <v>42</v>
      </c>
      <c r="D955" s="2">
        <v>14.02</v>
      </c>
      <c r="E955" s="2" t="s">
        <v>955</v>
      </c>
    </row>
    <row r="956" spans="1:5" x14ac:dyDescent="0.25">
      <c r="A956" s="1">
        <v>42088</v>
      </c>
      <c r="B956" s="2">
        <v>46</v>
      </c>
      <c r="C956" s="2">
        <v>42</v>
      </c>
      <c r="D956" s="2">
        <v>480</v>
      </c>
      <c r="E956" s="2" t="s">
        <v>956</v>
      </c>
    </row>
    <row r="957" spans="1:5" x14ac:dyDescent="0.25">
      <c r="A957" s="1">
        <v>42089</v>
      </c>
      <c r="B957" s="2">
        <v>47</v>
      </c>
      <c r="C957" s="2">
        <v>42</v>
      </c>
      <c r="D957" s="2">
        <v>126.6</v>
      </c>
      <c r="E957" s="2" t="s">
        <v>957</v>
      </c>
    </row>
    <row r="958" spans="1:5" x14ac:dyDescent="0.25">
      <c r="A958" s="1">
        <v>42090</v>
      </c>
      <c r="B958" s="2">
        <v>48</v>
      </c>
      <c r="C958" s="2">
        <v>42</v>
      </c>
      <c r="D958" s="2">
        <v>20016</v>
      </c>
      <c r="E958" s="2" t="s">
        <v>958</v>
      </c>
    </row>
    <row r="959" spans="1:5" x14ac:dyDescent="0.25">
      <c r="A959" s="1">
        <v>42091</v>
      </c>
      <c r="B959" s="2">
        <v>49</v>
      </c>
      <c r="C959" s="2">
        <v>42</v>
      </c>
      <c r="D959" s="2">
        <v>929.4</v>
      </c>
      <c r="E959" s="2" t="s">
        <v>959</v>
      </c>
    </row>
    <row r="960" spans="1:5" x14ac:dyDescent="0.25">
      <c r="A960" s="1">
        <v>42092</v>
      </c>
      <c r="B960" s="2">
        <v>50</v>
      </c>
      <c r="C960" s="2">
        <v>42</v>
      </c>
      <c r="D960" s="2" t="s">
        <v>3</v>
      </c>
      <c r="E960" s="2" t="s">
        <v>960</v>
      </c>
    </row>
    <row r="961" spans="1:5" x14ac:dyDescent="0.25">
      <c r="A961" s="1">
        <v>42093</v>
      </c>
      <c r="B961" s="2">
        <v>51</v>
      </c>
      <c r="C961" s="2">
        <v>42</v>
      </c>
      <c r="D961" s="2">
        <v>126230400000</v>
      </c>
      <c r="E961" s="2" t="s">
        <v>961</v>
      </c>
    </row>
    <row r="962" spans="1:5" x14ac:dyDescent="0.25">
      <c r="A962" s="1">
        <v>42094</v>
      </c>
      <c r="B962" s="2">
        <v>52</v>
      </c>
      <c r="C962" s="2">
        <v>42</v>
      </c>
      <c r="D962" s="2" t="s">
        <v>3</v>
      </c>
      <c r="E962" s="2" t="s">
        <v>962</v>
      </c>
    </row>
    <row r="963" spans="1:5" x14ac:dyDescent="0.25">
      <c r="A963" s="1">
        <v>42095</v>
      </c>
      <c r="B963" s="2">
        <v>53</v>
      </c>
      <c r="C963" s="2">
        <v>42</v>
      </c>
      <c r="D963" s="2" t="s">
        <v>3</v>
      </c>
      <c r="E963" s="2" t="s">
        <v>963</v>
      </c>
    </row>
    <row r="964" spans="1:5" x14ac:dyDescent="0.25">
      <c r="A964" s="1">
        <v>42096</v>
      </c>
      <c r="B964" s="2">
        <v>54</v>
      </c>
      <c r="C964" s="2">
        <v>42</v>
      </c>
      <c r="D964" s="2" t="s">
        <v>3</v>
      </c>
      <c r="E964" s="2" t="s">
        <v>964</v>
      </c>
    </row>
    <row r="965" spans="1:5" x14ac:dyDescent="0.25">
      <c r="A965" s="1">
        <v>42097</v>
      </c>
      <c r="B965" s="2">
        <v>55</v>
      </c>
      <c r="C965" s="2">
        <v>42</v>
      </c>
      <c r="D965" s="2" t="s">
        <v>3</v>
      </c>
      <c r="E965" s="2" t="s">
        <v>965</v>
      </c>
    </row>
    <row r="966" spans="1:5" x14ac:dyDescent="0.25">
      <c r="A966" s="1">
        <v>42098</v>
      </c>
      <c r="B966" s="2">
        <v>56</v>
      </c>
      <c r="C966" s="2">
        <v>42</v>
      </c>
      <c r="D966" s="2" t="s">
        <v>3</v>
      </c>
      <c r="E966" s="2" t="s">
        <v>966</v>
      </c>
    </row>
    <row r="967" spans="1:5" x14ac:dyDescent="0.25">
      <c r="A967" s="1">
        <v>42099</v>
      </c>
      <c r="B967" s="2">
        <v>57</v>
      </c>
      <c r="C967" s="2">
        <v>42</v>
      </c>
      <c r="D967" s="2">
        <v>237513.60000000001</v>
      </c>
      <c r="E967" s="2" t="s">
        <v>967</v>
      </c>
    </row>
    <row r="968" spans="1:5" x14ac:dyDescent="0.25">
      <c r="A968" s="1">
        <v>42100</v>
      </c>
      <c r="B968" s="2">
        <v>58</v>
      </c>
      <c r="C968" s="2">
        <v>42</v>
      </c>
      <c r="D968" s="2">
        <v>2.3037048000000002E+26</v>
      </c>
      <c r="E968" s="2" t="s">
        <v>968</v>
      </c>
    </row>
    <row r="969" spans="1:5" x14ac:dyDescent="0.25">
      <c r="A969" s="1">
        <v>42101</v>
      </c>
      <c r="B969" s="2">
        <v>59</v>
      </c>
      <c r="C969" s="2">
        <v>42</v>
      </c>
      <c r="D969" s="2">
        <v>876.599999999999</v>
      </c>
      <c r="E969" s="2" t="s">
        <v>969</v>
      </c>
    </row>
    <row r="970" spans="1:5" x14ac:dyDescent="0.25">
      <c r="A970" s="1">
        <v>42102</v>
      </c>
      <c r="B970" s="2">
        <v>60</v>
      </c>
      <c r="C970" s="2">
        <v>42</v>
      </c>
      <c r="D970" s="2">
        <v>678</v>
      </c>
      <c r="E970" s="2" t="s">
        <v>970</v>
      </c>
    </row>
    <row r="971" spans="1:5" x14ac:dyDescent="0.25">
      <c r="A971" s="1">
        <v>42103</v>
      </c>
      <c r="B971" s="2">
        <v>61</v>
      </c>
      <c r="C971" s="2">
        <v>42</v>
      </c>
      <c r="D971" s="2">
        <v>67.5</v>
      </c>
      <c r="E971" s="2" t="s">
        <v>971</v>
      </c>
    </row>
    <row r="972" spans="1:5" x14ac:dyDescent="0.25">
      <c r="A972" s="1">
        <v>42104</v>
      </c>
      <c r="B972" s="2">
        <v>62</v>
      </c>
      <c r="C972" s="2">
        <v>42</v>
      </c>
      <c r="D972" s="2">
        <v>60</v>
      </c>
      <c r="E972" s="2" t="s">
        <v>972</v>
      </c>
    </row>
    <row r="973" spans="1:5" x14ac:dyDescent="0.25">
      <c r="A973" s="1">
        <v>42105</v>
      </c>
      <c r="B973" s="2">
        <v>63</v>
      </c>
      <c r="C973" s="2">
        <v>42</v>
      </c>
      <c r="D973" s="2">
        <v>35.6</v>
      </c>
      <c r="E973" s="2" t="s">
        <v>973</v>
      </c>
    </row>
    <row r="974" spans="1:5" x14ac:dyDescent="0.25">
      <c r="A974" s="1">
        <v>42106</v>
      </c>
      <c r="B974" s="2">
        <v>64</v>
      </c>
      <c r="C974" s="2">
        <v>42</v>
      </c>
      <c r="D974" s="2">
        <v>8.73</v>
      </c>
      <c r="E974" s="2" t="s">
        <v>974</v>
      </c>
    </row>
    <row r="975" spans="1:5" x14ac:dyDescent="0.25">
      <c r="A975" s="1">
        <v>42107</v>
      </c>
      <c r="B975" s="2">
        <v>65</v>
      </c>
      <c r="C975" s="2">
        <v>42</v>
      </c>
      <c r="D975" s="2">
        <v>3.5</v>
      </c>
      <c r="E975" s="2" t="s">
        <v>975</v>
      </c>
    </row>
    <row r="976" spans="1:5" x14ac:dyDescent="0.25">
      <c r="A976" s="1">
        <v>42108</v>
      </c>
      <c r="B976" s="2">
        <v>66</v>
      </c>
      <c r="C976" s="2">
        <v>42</v>
      </c>
      <c r="D976" s="2">
        <v>1.0900000000000001</v>
      </c>
      <c r="E976" s="2" t="s">
        <v>976</v>
      </c>
    </row>
    <row r="977" spans="1:5" x14ac:dyDescent="0.25">
      <c r="A977" s="1">
        <v>42109</v>
      </c>
      <c r="B977" s="2">
        <v>67</v>
      </c>
      <c r="C977" s="2">
        <v>42</v>
      </c>
      <c r="D977" s="2">
        <v>0.66</v>
      </c>
      <c r="E977" s="2" t="s">
        <v>977</v>
      </c>
    </row>
    <row r="978" spans="1:5" x14ac:dyDescent="0.25">
      <c r="A978" s="1">
        <v>42110</v>
      </c>
      <c r="B978" s="2">
        <v>68</v>
      </c>
      <c r="C978" s="2">
        <v>42</v>
      </c>
      <c r="D978" s="2">
        <v>0.29599999999999999</v>
      </c>
      <c r="E978" s="2" t="s">
        <v>978</v>
      </c>
    </row>
    <row r="979" spans="1:5" x14ac:dyDescent="0.25">
      <c r="A979" s="1">
        <v>42111</v>
      </c>
      <c r="B979" s="2">
        <v>69</v>
      </c>
      <c r="C979" s="2">
        <v>42</v>
      </c>
      <c r="D979" s="2">
        <v>0.186</v>
      </c>
      <c r="E979" s="2" t="s">
        <v>979</v>
      </c>
    </row>
    <row r="980" spans="1:5" x14ac:dyDescent="0.25">
      <c r="A980" s="1">
        <v>42112</v>
      </c>
      <c r="B980" s="2">
        <v>70</v>
      </c>
      <c r="C980" s="2">
        <v>42</v>
      </c>
      <c r="D980" s="2">
        <v>0.12</v>
      </c>
      <c r="E980" s="2" t="s">
        <v>980</v>
      </c>
    </row>
    <row r="981" spans="1:5" x14ac:dyDescent="0.25">
      <c r="A981" s="1">
        <v>42113</v>
      </c>
      <c r="B981" s="2">
        <v>71</v>
      </c>
      <c r="C981" s="2">
        <v>42</v>
      </c>
      <c r="D981" s="2">
        <v>0.08</v>
      </c>
      <c r="E981" s="2" t="s">
        <v>981</v>
      </c>
    </row>
    <row r="982" spans="1:5" x14ac:dyDescent="0.25">
      <c r="A982" s="1">
        <v>42114</v>
      </c>
      <c r="B982" s="2">
        <v>72</v>
      </c>
      <c r="C982" s="2">
        <v>42</v>
      </c>
      <c r="D982" s="2">
        <v>5.8000000000000003E-2</v>
      </c>
      <c r="E982" s="2" t="s">
        <v>982</v>
      </c>
    </row>
    <row r="983" spans="1:5" x14ac:dyDescent="0.25">
      <c r="A983" s="1">
        <v>42115</v>
      </c>
      <c r="B983" s="2">
        <v>73</v>
      </c>
      <c r="C983" s="2">
        <v>42</v>
      </c>
      <c r="D983" s="2">
        <v>4.5499999999999999E-2</v>
      </c>
      <c r="E983" s="2" t="s">
        <v>983</v>
      </c>
    </row>
    <row r="984" spans="1:5" x14ac:dyDescent="0.25">
      <c r="A984" s="1">
        <v>42116</v>
      </c>
      <c r="B984" s="2">
        <v>74</v>
      </c>
      <c r="C984" s="2">
        <v>42</v>
      </c>
      <c r="D984" s="2">
        <v>3.2000000000000001E-2</v>
      </c>
      <c r="E984" s="2" t="s">
        <v>984</v>
      </c>
    </row>
    <row r="985" spans="1:5" x14ac:dyDescent="0.25">
      <c r="A985" s="1">
        <v>42117</v>
      </c>
      <c r="B985" s="2">
        <v>75</v>
      </c>
      <c r="C985" s="2">
        <v>42</v>
      </c>
      <c r="D985" s="2">
        <v>2.1999999999999999E-2</v>
      </c>
      <c r="E985" s="2" t="s">
        <v>985</v>
      </c>
    </row>
    <row r="986" spans="1:5" x14ac:dyDescent="0.25">
      <c r="A986" s="1">
        <v>42118</v>
      </c>
      <c r="B986" s="2">
        <v>76</v>
      </c>
      <c r="C986" s="2">
        <v>42</v>
      </c>
      <c r="D986" s="2">
        <v>1.9E-2</v>
      </c>
      <c r="E986" s="2" t="s">
        <v>986</v>
      </c>
    </row>
    <row r="987" spans="1:5" x14ac:dyDescent="0.25">
      <c r="A987" s="1">
        <v>43085</v>
      </c>
      <c r="B987" s="2">
        <v>42</v>
      </c>
      <c r="C987" s="2">
        <v>43</v>
      </c>
      <c r="D987" s="2">
        <v>0.5</v>
      </c>
      <c r="E987" s="2" t="s">
        <v>987</v>
      </c>
    </row>
    <row r="988" spans="1:5" x14ac:dyDescent="0.25">
      <c r="A988" s="1">
        <v>43086</v>
      </c>
      <c r="B988" s="2">
        <v>43</v>
      </c>
      <c r="C988" s="2">
        <v>43</v>
      </c>
      <c r="D988" s="2">
        <v>5.5E-2</v>
      </c>
      <c r="E988" s="2" t="s">
        <v>988</v>
      </c>
    </row>
    <row r="989" spans="1:5" x14ac:dyDescent="0.25">
      <c r="A989" s="1">
        <v>43087</v>
      </c>
      <c r="B989" s="2">
        <v>44</v>
      </c>
      <c r="C989" s="2">
        <v>43</v>
      </c>
      <c r="D989" s="2">
        <v>2.2000000000000002</v>
      </c>
      <c r="E989" s="2" t="s">
        <v>989</v>
      </c>
    </row>
    <row r="990" spans="1:5" x14ac:dyDescent="0.25">
      <c r="A990" s="1">
        <v>43088</v>
      </c>
      <c r="B990" s="2">
        <v>45</v>
      </c>
      <c r="C990" s="2">
        <v>43</v>
      </c>
      <c r="D990" s="2">
        <v>6.4</v>
      </c>
      <c r="E990" s="2" t="s">
        <v>990</v>
      </c>
    </row>
    <row r="991" spans="1:5" x14ac:dyDescent="0.25">
      <c r="A991" s="1">
        <v>43089</v>
      </c>
      <c r="B991" s="2">
        <v>46</v>
      </c>
      <c r="C991" s="2">
        <v>43</v>
      </c>
      <c r="D991" s="2">
        <v>12.8</v>
      </c>
      <c r="E991" s="2" t="s">
        <v>991</v>
      </c>
    </row>
    <row r="992" spans="1:5" x14ac:dyDescent="0.25">
      <c r="A992" s="1">
        <v>43090</v>
      </c>
      <c r="B992" s="2">
        <v>47</v>
      </c>
      <c r="C992" s="2">
        <v>43</v>
      </c>
      <c r="D992" s="2">
        <v>8.6999999999999993</v>
      </c>
      <c r="E992" s="2" t="s">
        <v>992</v>
      </c>
    </row>
    <row r="993" spans="1:5" x14ac:dyDescent="0.25">
      <c r="A993" s="1">
        <v>43091</v>
      </c>
      <c r="B993" s="2">
        <v>48</v>
      </c>
      <c r="C993" s="2">
        <v>43</v>
      </c>
      <c r="D993" s="2">
        <v>188.4</v>
      </c>
      <c r="E993" s="2" t="s">
        <v>993</v>
      </c>
    </row>
    <row r="994" spans="1:5" x14ac:dyDescent="0.25">
      <c r="A994" s="1">
        <v>43092</v>
      </c>
      <c r="B994" s="2">
        <v>49</v>
      </c>
      <c r="C994" s="2">
        <v>43</v>
      </c>
      <c r="D994" s="2">
        <v>255</v>
      </c>
      <c r="E994" s="2" t="s">
        <v>994</v>
      </c>
    </row>
    <row r="995" spans="1:5" x14ac:dyDescent="0.25">
      <c r="A995" s="1">
        <v>43093</v>
      </c>
      <c r="B995" s="2">
        <v>50</v>
      </c>
      <c r="C995" s="2">
        <v>43</v>
      </c>
      <c r="D995" s="2">
        <v>9900</v>
      </c>
      <c r="E995" s="2" t="s">
        <v>995</v>
      </c>
    </row>
    <row r="996" spans="1:5" x14ac:dyDescent="0.25">
      <c r="A996" s="1">
        <v>43094</v>
      </c>
      <c r="B996" s="2">
        <v>51</v>
      </c>
      <c r="C996" s="2">
        <v>43</v>
      </c>
      <c r="D996" s="2">
        <v>17580</v>
      </c>
      <c r="E996" s="2" t="s">
        <v>996</v>
      </c>
    </row>
    <row r="997" spans="1:5" x14ac:dyDescent="0.25">
      <c r="A997" s="1">
        <v>43095</v>
      </c>
      <c r="B997" s="2">
        <v>52</v>
      </c>
      <c r="C997" s="2">
        <v>43</v>
      </c>
      <c r="D997" s="2">
        <v>72000</v>
      </c>
      <c r="E997" s="2" t="s">
        <v>997</v>
      </c>
    </row>
    <row r="998" spans="1:5" x14ac:dyDescent="0.25">
      <c r="A998" s="1">
        <v>43096</v>
      </c>
      <c r="B998" s="2">
        <v>53</v>
      </c>
      <c r="C998" s="2">
        <v>43</v>
      </c>
      <c r="D998" s="2">
        <v>369792</v>
      </c>
      <c r="E998" s="2" t="s">
        <v>998</v>
      </c>
    </row>
    <row r="999" spans="1:5" x14ac:dyDescent="0.25">
      <c r="A999" s="1">
        <v>43097</v>
      </c>
      <c r="B999" s="2">
        <v>54</v>
      </c>
      <c r="C999" s="2">
        <v>43</v>
      </c>
      <c r="D999" s="2">
        <v>132857496000000</v>
      </c>
      <c r="E999" s="2" t="s">
        <v>999</v>
      </c>
    </row>
    <row r="1000" spans="1:5" x14ac:dyDescent="0.25">
      <c r="A1000" s="1">
        <v>43098</v>
      </c>
      <c r="B1000" s="2">
        <v>55</v>
      </c>
      <c r="C1000" s="2">
        <v>43</v>
      </c>
      <c r="D1000" s="2">
        <v>132541920000000</v>
      </c>
      <c r="E1000" s="2" t="s">
        <v>1000</v>
      </c>
    </row>
    <row r="1001" spans="1:5" x14ac:dyDescent="0.25">
      <c r="A1001" s="1">
        <v>43099</v>
      </c>
      <c r="B1001" s="2">
        <v>56</v>
      </c>
      <c r="C1001" s="2">
        <v>43</v>
      </c>
      <c r="D1001" s="2">
        <v>6661809360000</v>
      </c>
      <c r="E1001" s="2" t="s">
        <v>1001</v>
      </c>
    </row>
    <row r="1002" spans="1:5" x14ac:dyDescent="0.25">
      <c r="A1002" s="1">
        <v>43100</v>
      </c>
      <c r="B1002" s="2">
        <v>57</v>
      </c>
      <c r="C1002" s="2">
        <v>43</v>
      </c>
      <c r="D1002" s="2">
        <v>15.46</v>
      </c>
      <c r="E1002" s="2" t="s">
        <v>1002</v>
      </c>
    </row>
    <row r="1003" spans="1:5" x14ac:dyDescent="0.25">
      <c r="A1003" s="1">
        <v>43101</v>
      </c>
      <c r="B1003" s="2">
        <v>58</v>
      </c>
      <c r="C1003" s="2">
        <v>43</v>
      </c>
      <c r="D1003" s="2">
        <v>841.19999999999902</v>
      </c>
      <c r="E1003" s="2" t="s">
        <v>1003</v>
      </c>
    </row>
    <row r="1004" spans="1:5" x14ac:dyDescent="0.25">
      <c r="A1004" s="1">
        <v>43102</v>
      </c>
      <c r="B1004" s="2">
        <v>59</v>
      </c>
      <c r="C1004" s="2">
        <v>43</v>
      </c>
      <c r="D1004" s="2">
        <v>5.28</v>
      </c>
      <c r="E1004" s="2" t="s">
        <v>1004</v>
      </c>
    </row>
    <row r="1005" spans="1:5" x14ac:dyDescent="0.25">
      <c r="A1005" s="1">
        <v>43103</v>
      </c>
      <c r="B1005" s="2">
        <v>60</v>
      </c>
      <c r="C1005" s="2">
        <v>43</v>
      </c>
      <c r="D1005" s="2">
        <v>54.2</v>
      </c>
      <c r="E1005" s="2" t="s">
        <v>1005</v>
      </c>
    </row>
    <row r="1006" spans="1:5" x14ac:dyDescent="0.25">
      <c r="A1006" s="1">
        <v>43104</v>
      </c>
      <c r="B1006" s="2">
        <v>61</v>
      </c>
      <c r="C1006" s="2">
        <v>43</v>
      </c>
      <c r="D1006" s="2">
        <v>1098</v>
      </c>
      <c r="E1006" s="2" t="s">
        <v>1006</v>
      </c>
    </row>
    <row r="1007" spans="1:5" x14ac:dyDescent="0.25">
      <c r="A1007" s="1">
        <v>43105</v>
      </c>
      <c r="B1007" s="2">
        <v>62</v>
      </c>
      <c r="C1007" s="2">
        <v>43</v>
      </c>
      <c r="D1007" s="2">
        <v>456</v>
      </c>
      <c r="E1007" s="2" t="s">
        <v>1007</v>
      </c>
    </row>
    <row r="1008" spans="1:5" x14ac:dyDescent="0.25">
      <c r="A1008" s="1">
        <v>43106</v>
      </c>
      <c r="B1008" s="2">
        <v>63</v>
      </c>
      <c r="C1008" s="2">
        <v>43</v>
      </c>
      <c r="D1008" s="2">
        <v>35.6</v>
      </c>
      <c r="E1008" s="2" t="s">
        <v>1008</v>
      </c>
    </row>
    <row r="1009" spans="1:5" x14ac:dyDescent="0.25">
      <c r="A1009" s="1">
        <v>43107</v>
      </c>
      <c r="B1009" s="2">
        <v>64</v>
      </c>
      <c r="C1009" s="2">
        <v>43</v>
      </c>
      <c r="D1009" s="2">
        <v>21.2</v>
      </c>
      <c r="E1009" s="2" t="s">
        <v>1009</v>
      </c>
    </row>
    <row r="1010" spans="1:5" x14ac:dyDescent="0.25">
      <c r="A1010" s="1">
        <v>43108</v>
      </c>
      <c r="B1010" s="2">
        <v>65</v>
      </c>
      <c r="C1010" s="2">
        <v>43</v>
      </c>
      <c r="D1010" s="2">
        <v>5.17</v>
      </c>
      <c r="E1010" s="2" t="s">
        <v>1010</v>
      </c>
    </row>
    <row r="1011" spans="1:5" x14ac:dyDescent="0.25">
      <c r="A1011" s="1">
        <v>43109</v>
      </c>
      <c r="B1011" s="2">
        <v>66</v>
      </c>
      <c r="C1011" s="2">
        <v>43</v>
      </c>
      <c r="D1011" s="2">
        <v>0.86</v>
      </c>
      <c r="E1011" s="2" t="s">
        <v>1011</v>
      </c>
    </row>
    <row r="1012" spans="1:5" x14ac:dyDescent="0.25">
      <c r="A1012" s="1">
        <v>43110</v>
      </c>
      <c r="B1012" s="2">
        <v>67</v>
      </c>
      <c r="C1012" s="2">
        <v>43</v>
      </c>
      <c r="D1012" s="2">
        <v>0.92</v>
      </c>
      <c r="E1012" s="2" t="s">
        <v>1012</v>
      </c>
    </row>
    <row r="1013" spans="1:5" x14ac:dyDescent="0.25">
      <c r="A1013" s="1">
        <v>43111</v>
      </c>
      <c r="B1013" s="2">
        <v>68</v>
      </c>
      <c r="C1013" s="2">
        <v>43</v>
      </c>
      <c r="D1013" s="2">
        <v>0.35</v>
      </c>
      <c r="E1013" s="2" t="s">
        <v>1013</v>
      </c>
    </row>
    <row r="1014" spans="1:5" x14ac:dyDescent="0.25">
      <c r="A1014" s="1">
        <v>43112</v>
      </c>
      <c r="B1014" s="2">
        <v>69</v>
      </c>
      <c r="C1014" s="2">
        <v>43</v>
      </c>
      <c r="D1014" s="2">
        <v>0.27100000000000002</v>
      </c>
      <c r="E1014" s="2" t="s">
        <v>1014</v>
      </c>
    </row>
    <row r="1015" spans="1:5" x14ac:dyDescent="0.25">
      <c r="A1015" s="1">
        <v>43113</v>
      </c>
      <c r="B1015" s="2">
        <v>70</v>
      </c>
      <c r="C1015" s="2">
        <v>43</v>
      </c>
      <c r="D1015" s="2">
        <v>0.152</v>
      </c>
      <c r="E1015" s="2" t="s">
        <v>1015</v>
      </c>
    </row>
    <row r="1016" spans="1:5" x14ac:dyDescent="0.25">
      <c r="A1016" s="1">
        <v>43114</v>
      </c>
      <c r="B1016" s="2">
        <v>71</v>
      </c>
      <c r="C1016" s="2">
        <v>43</v>
      </c>
      <c r="D1016" s="2">
        <v>0.1</v>
      </c>
      <c r="E1016" s="2" t="s">
        <v>1016</v>
      </c>
    </row>
    <row r="1017" spans="1:5" x14ac:dyDescent="0.25">
      <c r="A1017" s="1">
        <v>43115</v>
      </c>
      <c r="B1017" s="2">
        <v>72</v>
      </c>
      <c r="C1017" s="2">
        <v>43</v>
      </c>
      <c r="D1017" s="2">
        <v>7.8E-2</v>
      </c>
      <c r="E1017" s="2" t="s">
        <v>1017</v>
      </c>
    </row>
    <row r="1018" spans="1:5" x14ac:dyDescent="0.25">
      <c r="A1018" s="1">
        <v>43116</v>
      </c>
      <c r="B1018" s="2">
        <v>73</v>
      </c>
      <c r="C1018" s="2">
        <v>43</v>
      </c>
      <c r="D1018" s="2">
        <v>5.7000000000000002E-2</v>
      </c>
      <c r="E1018" s="2" t="s">
        <v>1018</v>
      </c>
    </row>
    <row r="1019" spans="1:5" x14ac:dyDescent="0.25">
      <c r="A1019" s="1">
        <v>43117</v>
      </c>
      <c r="B1019" s="2">
        <v>74</v>
      </c>
      <c r="C1019" s="2">
        <v>43</v>
      </c>
      <c r="D1019" s="2">
        <v>4.4499999999999998E-2</v>
      </c>
      <c r="E1019" s="2" t="s">
        <v>1019</v>
      </c>
    </row>
    <row r="1020" spans="1:5" x14ac:dyDescent="0.25">
      <c r="A1020" s="1">
        <v>43118</v>
      </c>
      <c r="B1020" s="2">
        <v>75</v>
      </c>
      <c r="C1020" s="2">
        <v>43</v>
      </c>
      <c r="D1020" s="2">
        <v>0.03</v>
      </c>
      <c r="E1020" s="2" t="s">
        <v>1020</v>
      </c>
    </row>
    <row r="1021" spans="1:5" x14ac:dyDescent="0.25">
      <c r="A1021" s="1">
        <v>43119</v>
      </c>
      <c r="B1021" s="2">
        <v>76</v>
      </c>
      <c r="C1021" s="2">
        <v>43</v>
      </c>
      <c r="D1021" s="2">
        <v>2.1999999999999999E-2</v>
      </c>
      <c r="E1021" s="2" t="s">
        <v>1021</v>
      </c>
    </row>
    <row r="1022" spans="1:5" x14ac:dyDescent="0.25">
      <c r="A1022" s="1">
        <v>43120</v>
      </c>
      <c r="B1022" s="2">
        <v>77</v>
      </c>
      <c r="C1022" s="2">
        <v>43</v>
      </c>
      <c r="D1022" s="2">
        <v>2.1000000000000001E-2</v>
      </c>
      <c r="E1022" s="2" t="s">
        <v>1022</v>
      </c>
    </row>
    <row r="1023" spans="1:5" x14ac:dyDescent="0.25">
      <c r="A1023" s="1">
        <v>43121</v>
      </c>
      <c r="B1023" s="2">
        <v>78</v>
      </c>
      <c r="C1023" s="2">
        <v>43</v>
      </c>
      <c r="D1023" s="2">
        <v>2.1999999999999999E-2</v>
      </c>
      <c r="E1023" s="2" t="s">
        <v>1023</v>
      </c>
    </row>
    <row r="1024" spans="1:5" x14ac:dyDescent="0.25">
      <c r="A1024" s="1">
        <v>44085</v>
      </c>
      <c r="B1024" s="2">
        <v>41</v>
      </c>
      <c r="C1024" s="2">
        <v>44</v>
      </c>
      <c r="D1024" s="2">
        <v>4.4999999999999998E-7</v>
      </c>
      <c r="E1024" s="2" t="s">
        <v>1024</v>
      </c>
    </row>
    <row r="1025" spans="1:5" x14ac:dyDescent="0.25">
      <c r="A1025" s="1">
        <v>44086</v>
      </c>
      <c r="B1025" s="2">
        <v>42</v>
      </c>
      <c r="C1025" s="2">
        <v>44</v>
      </c>
      <c r="D1025" s="2">
        <v>4.3799999999999998E-7</v>
      </c>
      <c r="E1025" s="2" t="s">
        <v>1025</v>
      </c>
    </row>
    <row r="1026" spans="1:5" x14ac:dyDescent="0.25">
      <c r="A1026" s="1">
        <v>44087</v>
      </c>
      <c r="B1026" s="2">
        <v>43</v>
      </c>
      <c r="C1026" s="2">
        <v>44</v>
      </c>
      <c r="D1026" s="2">
        <v>1.5E-6</v>
      </c>
      <c r="E1026" s="2" t="s">
        <v>1026</v>
      </c>
    </row>
    <row r="1027" spans="1:5" x14ac:dyDescent="0.25">
      <c r="A1027" s="1">
        <v>44088</v>
      </c>
      <c r="B1027" s="2">
        <v>44</v>
      </c>
      <c r="C1027" s="2">
        <v>44</v>
      </c>
      <c r="D1027" s="2">
        <v>1.2</v>
      </c>
      <c r="E1027" s="2" t="s">
        <v>1027</v>
      </c>
    </row>
    <row r="1028" spans="1:5" x14ac:dyDescent="0.25">
      <c r="A1028" s="1">
        <v>44089</v>
      </c>
      <c r="B1028" s="2">
        <v>45</v>
      </c>
      <c r="C1028" s="2">
        <v>44</v>
      </c>
      <c r="D1028" s="2">
        <v>1.5</v>
      </c>
      <c r="E1028" s="2" t="s">
        <v>1028</v>
      </c>
    </row>
    <row r="1029" spans="1:5" x14ac:dyDescent="0.25">
      <c r="A1029" s="1">
        <v>44090</v>
      </c>
      <c r="B1029" s="2">
        <v>46</v>
      </c>
      <c r="C1029" s="2">
        <v>44</v>
      </c>
      <c r="D1029" s="2">
        <v>11.7</v>
      </c>
      <c r="E1029" s="2" t="s">
        <v>1029</v>
      </c>
    </row>
    <row r="1030" spans="1:5" x14ac:dyDescent="0.25">
      <c r="A1030" s="1">
        <v>44091</v>
      </c>
      <c r="B1030" s="2">
        <v>47</v>
      </c>
      <c r="C1030" s="2">
        <v>44</v>
      </c>
      <c r="D1030" s="2">
        <v>8</v>
      </c>
      <c r="E1030" s="2" t="s">
        <v>1030</v>
      </c>
    </row>
    <row r="1031" spans="1:5" x14ac:dyDescent="0.25">
      <c r="A1031" s="1">
        <v>44092</v>
      </c>
      <c r="B1031" s="2">
        <v>48</v>
      </c>
      <c r="C1031" s="2">
        <v>44</v>
      </c>
      <c r="D1031" s="2">
        <v>219</v>
      </c>
      <c r="E1031" s="2" t="s">
        <v>1031</v>
      </c>
    </row>
    <row r="1032" spans="1:5" x14ac:dyDescent="0.25">
      <c r="A1032" s="1">
        <v>44093</v>
      </c>
      <c r="B1032" s="2">
        <v>49</v>
      </c>
      <c r="C1032" s="2">
        <v>44</v>
      </c>
      <c r="D1032" s="2">
        <v>59.7</v>
      </c>
      <c r="E1032" s="2" t="s">
        <v>1032</v>
      </c>
    </row>
    <row r="1033" spans="1:5" x14ac:dyDescent="0.25">
      <c r="A1033" s="1">
        <v>44094</v>
      </c>
      <c r="B1033" s="2">
        <v>50</v>
      </c>
      <c r="C1033" s="2">
        <v>44</v>
      </c>
      <c r="D1033" s="2">
        <v>3108</v>
      </c>
      <c r="E1033" s="2" t="s">
        <v>1033</v>
      </c>
    </row>
    <row r="1034" spans="1:5" x14ac:dyDescent="0.25">
      <c r="A1034" s="1">
        <v>44095</v>
      </c>
      <c r="B1034" s="2">
        <v>51</v>
      </c>
      <c r="C1034" s="2">
        <v>44</v>
      </c>
      <c r="D1034" s="2">
        <v>5914.8</v>
      </c>
      <c r="E1034" s="2" t="s">
        <v>1034</v>
      </c>
    </row>
    <row r="1035" spans="1:5" x14ac:dyDescent="0.25">
      <c r="A1035" s="1">
        <v>44096</v>
      </c>
      <c r="B1035" s="2">
        <v>52</v>
      </c>
      <c r="C1035" s="2">
        <v>44</v>
      </c>
      <c r="D1035" s="2" t="s">
        <v>3</v>
      </c>
      <c r="E1035" s="2" t="s">
        <v>1035</v>
      </c>
    </row>
    <row r="1036" spans="1:5" x14ac:dyDescent="0.25">
      <c r="A1036" s="1">
        <v>44097</v>
      </c>
      <c r="B1036" s="2">
        <v>53</v>
      </c>
      <c r="C1036" s="2">
        <v>44</v>
      </c>
      <c r="D1036" s="2">
        <v>244512</v>
      </c>
      <c r="E1036" s="2" t="s">
        <v>1036</v>
      </c>
    </row>
    <row r="1037" spans="1:5" x14ac:dyDescent="0.25">
      <c r="A1037" s="1">
        <v>44098</v>
      </c>
      <c r="B1037" s="2">
        <v>54</v>
      </c>
      <c r="C1037" s="2">
        <v>44</v>
      </c>
      <c r="D1037" s="2" t="s">
        <v>3</v>
      </c>
      <c r="E1037" s="2" t="s">
        <v>1037</v>
      </c>
    </row>
    <row r="1038" spans="1:5" x14ac:dyDescent="0.25">
      <c r="A1038" s="1">
        <v>44099</v>
      </c>
      <c r="B1038" s="2">
        <v>55</v>
      </c>
      <c r="C1038" s="2">
        <v>44</v>
      </c>
      <c r="D1038" s="2" t="s">
        <v>3</v>
      </c>
      <c r="E1038" s="2" t="s">
        <v>1038</v>
      </c>
    </row>
    <row r="1039" spans="1:5" x14ac:dyDescent="0.25">
      <c r="A1039" s="1">
        <v>44100</v>
      </c>
      <c r="B1039" s="2">
        <v>56</v>
      </c>
      <c r="C1039" s="2">
        <v>44</v>
      </c>
      <c r="D1039" s="2" t="s">
        <v>3</v>
      </c>
      <c r="E1039" s="2" t="s">
        <v>1039</v>
      </c>
    </row>
    <row r="1040" spans="1:5" x14ac:dyDescent="0.25">
      <c r="A1040" s="1">
        <v>44101</v>
      </c>
      <c r="B1040" s="2">
        <v>57</v>
      </c>
      <c r="C1040" s="2">
        <v>44</v>
      </c>
      <c r="D1040" s="2" t="s">
        <v>3</v>
      </c>
      <c r="E1040" s="2" t="s">
        <v>1040</v>
      </c>
    </row>
    <row r="1041" spans="1:5" x14ac:dyDescent="0.25">
      <c r="A1041" s="1">
        <v>44102</v>
      </c>
      <c r="B1041" s="2">
        <v>58</v>
      </c>
      <c r="C1041" s="2">
        <v>44</v>
      </c>
      <c r="D1041" s="2" t="s">
        <v>3</v>
      </c>
      <c r="E1041" s="2" t="s">
        <v>1041</v>
      </c>
    </row>
    <row r="1042" spans="1:5" x14ac:dyDescent="0.25">
      <c r="A1042" s="1">
        <v>44103</v>
      </c>
      <c r="B1042" s="2">
        <v>59</v>
      </c>
      <c r="C1042" s="2">
        <v>44</v>
      </c>
      <c r="D1042" s="2">
        <v>3390940.8</v>
      </c>
      <c r="E1042" s="2" t="s">
        <v>1042</v>
      </c>
    </row>
    <row r="1043" spans="1:5" x14ac:dyDescent="0.25">
      <c r="A1043" s="1">
        <v>44104</v>
      </c>
      <c r="B1043" s="2">
        <v>60</v>
      </c>
      <c r="C1043" s="2">
        <v>44</v>
      </c>
      <c r="D1043" s="2" t="s">
        <v>3</v>
      </c>
      <c r="E1043" s="2" t="s">
        <v>1043</v>
      </c>
    </row>
    <row r="1044" spans="1:5" x14ac:dyDescent="0.25">
      <c r="A1044" s="1">
        <v>44105</v>
      </c>
      <c r="B1044" s="2">
        <v>61</v>
      </c>
      <c r="C1044" s="2">
        <v>44</v>
      </c>
      <c r="D1044" s="2">
        <v>15984</v>
      </c>
      <c r="E1044" s="2" t="s">
        <v>1044</v>
      </c>
    </row>
    <row r="1045" spans="1:5" x14ac:dyDescent="0.25">
      <c r="A1045" s="1">
        <v>44106</v>
      </c>
      <c r="B1045" s="2">
        <v>62</v>
      </c>
      <c r="C1045" s="2">
        <v>44</v>
      </c>
      <c r="D1045" s="2">
        <v>32123520</v>
      </c>
      <c r="E1045" s="2" t="s">
        <v>1045</v>
      </c>
    </row>
    <row r="1046" spans="1:5" x14ac:dyDescent="0.25">
      <c r="A1046" s="1">
        <v>44107</v>
      </c>
      <c r="B1046" s="2">
        <v>63</v>
      </c>
      <c r="C1046" s="2">
        <v>44</v>
      </c>
      <c r="D1046" s="2">
        <v>225</v>
      </c>
      <c r="E1046" s="2" t="s">
        <v>1046</v>
      </c>
    </row>
    <row r="1047" spans="1:5" x14ac:dyDescent="0.25">
      <c r="A1047" s="1">
        <v>44108</v>
      </c>
      <c r="B1047" s="2">
        <v>64</v>
      </c>
      <c r="C1047" s="2">
        <v>44</v>
      </c>
      <c r="D1047" s="2">
        <v>273</v>
      </c>
      <c r="E1047" s="2" t="s">
        <v>1047</v>
      </c>
    </row>
    <row r="1048" spans="1:5" x14ac:dyDescent="0.25">
      <c r="A1048" s="1">
        <v>44109</v>
      </c>
      <c r="B1048" s="2">
        <v>65</v>
      </c>
      <c r="C1048" s="2">
        <v>44</v>
      </c>
      <c r="D1048" s="2">
        <v>34.5</v>
      </c>
      <c r="E1048" s="2" t="s">
        <v>1048</v>
      </c>
    </row>
    <row r="1049" spans="1:5" x14ac:dyDescent="0.25">
      <c r="A1049" s="1">
        <v>44110</v>
      </c>
      <c r="B1049" s="2">
        <v>66</v>
      </c>
      <c r="C1049" s="2">
        <v>44</v>
      </c>
      <c r="D1049" s="2">
        <v>11.6</v>
      </c>
      <c r="E1049" s="2" t="s">
        <v>1049</v>
      </c>
    </row>
    <row r="1050" spans="1:5" x14ac:dyDescent="0.25">
      <c r="A1050" s="1">
        <v>44111</v>
      </c>
      <c r="B1050" s="2">
        <v>67</v>
      </c>
      <c r="C1050" s="2">
        <v>44</v>
      </c>
      <c r="D1050" s="2">
        <v>2.12</v>
      </c>
      <c r="E1050" s="2" t="s">
        <v>1050</v>
      </c>
    </row>
    <row r="1051" spans="1:5" x14ac:dyDescent="0.25">
      <c r="A1051" s="1">
        <v>44112</v>
      </c>
      <c r="B1051" s="2">
        <v>68</v>
      </c>
      <c r="C1051" s="2">
        <v>44</v>
      </c>
      <c r="D1051" s="2">
        <v>1.75</v>
      </c>
      <c r="E1051" s="2" t="s">
        <v>1051</v>
      </c>
    </row>
    <row r="1052" spans="1:5" x14ac:dyDescent="0.25">
      <c r="A1052" s="1">
        <v>44113</v>
      </c>
      <c r="B1052" s="2">
        <v>69</v>
      </c>
      <c r="C1052" s="2">
        <v>44</v>
      </c>
      <c r="D1052" s="2">
        <v>0.8</v>
      </c>
      <c r="E1052" s="2" t="s">
        <v>1052</v>
      </c>
    </row>
    <row r="1053" spans="1:5" x14ac:dyDescent="0.25">
      <c r="A1053" s="1">
        <v>44114</v>
      </c>
      <c r="B1053" s="2">
        <v>70</v>
      </c>
      <c r="C1053" s="2">
        <v>44</v>
      </c>
      <c r="D1053" s="2">
        <v>0.52</v>
      </c>
      <c r="E1053" s="2" t="s">
        <v>1053</v>
      </c>
    </row>
    <row r="1054" spans="1:5" x14ac:dyDescent="0.25">
      <c r="A1054" s="1">
        <v>44115</v>
      </c>
      <c r="B1054" s="2">
        <v>71</v>
      </c>
      <c r="C1054" s="2">
        <v>44</v>
      </c>
      <c r="D1054" s="2">
        <v>0.318</v>
      </c>
      <c r="E1054" s="2" t="s">
        <v>1054</v>
      </c>
    </row>
    <row r="1055" spans="1:5" x14ac:dyDescent="0.25">
      <c r="A1055" s="1">
        <v>44116</v>
      </c>
      <c r="B1055" s="2">
        <v>72</v>
      </c>
      <c r="C1055" s="2">
        <v>44</v>
      </c>
      <c r="D1055" s="2">
        <v>0.20399999999999999</v>
      </c>
      <c r="E1055" s="2" t="s">
        <v>1055</v>
      </c>
    </row>
    <row r="1056" spans="1:5" x14ac:dyDescent="0.25">
      <c r="A1056" s="1">
        <v>44117</v>
      </c>
      <c r="B1056" s="2">
        <v>73</v>
      </c>
      <c r="C1056" s="2">
        <v>44</v>
      </c>
      <c r="D1056" s="2">
        <v>0.151</v>
      </c>
      <c r="E1056" s="2" t="s">
        <v>1056</v>
      </c>
    </row>
    <row r="1057" spans="1:5" x14ac:dyDescent="0.25">
      <c r="A1057" s="1">
        <v>44118</v>
      </c>
      <c r="B1057" s="2">
        <v>74</v>
      </c>
      <c r="C1057" s="2">
        <v>44</v>
      </c>
      <c r="D1057" s="2">
        <v>0.123</v>
      </c>
      <c r="E1057" s="2" t="s">
        <v>1057</v>
      </c>
    </row>
    <row r="1058" spans="1:5" x14ac:dyDescent="0.25">
      <c r="A1058" s="1">
        <v>44119</v>
      </c>
      <c r="B1058" s="2">
        <v>75</v>
      </c>
      <c r="C1058" s="2">
        <v>44</v>
      </c>
      <c r="D1058" s="2">
        <v>6.9500000000000006E-2</v>
      </c>
      <c r="E1058" s="2" t="s">
        <v>1058</v>
      </c>
    </row>
    <row r="1059" spans="1:5" x14ac:dyDescent="0.25">
      <c r="A1059" s="1">
        <v>44120</v>
      </c>
      <c r="B1059" s="2">
        <v>76</v>
      </c>
      <c r="C1059" s="2">
        <v>44</v>
      </c>
      <c r="D1059" s="2">
        <v>4.4999999999999998E-2</v>
      </c>
      <c r="E1059" s="2" t="s">
        <v>1059</v>
      </c>
    </row>
    <row r="1060" spans="1:5" x14ac:dyDescent="0.25">
      <c r="A1060" s="1">
        <v>44121</v>
      </c>
      <c r="B1060" s="2">
        <v>77</v>
      </c>
      <c r="C1060" s="2">
        <v>44</v>
      </c>
      <c r="D1060" s="2">
        <v>2.9000000000000001E-2</v>
      </c>
      <c r="E1060" s="2" t="s">
        <v>1060</v>
      </c>
    </row>
    <row r="1061" spans="1:5" x14ac:dyDescent="0.25">
      <c r="A1061" s="1">
        <v>44122</v>
      </c>
      <c r="B1061" s="2">
        <v>78</v>
      </c>
      <c r="C1061" s="2">
        <v>44</v>
      </c>
      <c r="D1061" s="2">
        <v>2.5000000000000001E-2</v>
      </c>
      <c r="E1061" s="2" t="s">
        <v>1061</v>
      </c>
    </row>
    <row r="1062" spans="1:5" x14ac:dyDescent="0.25">
      <c r="A1062" s="1">
        <v>44123</v>
      </c>
      <c r="B1062" s="2">
        <v>79</v>
      </c>
      <c r="C1062" s="2">
        <v>44</v>
      </c>
      <c r="D1062" s="2">
        <v>1.9E-2</v>
      </c>
      <c r="E1062" s="2" t="s">
        <v>1062</v>
      </c>
    </row>
    <row r="1063" spans="1:5" x14ac:dyDescent="0.25">
      <c r="A1063" s="1">
        <v>44124</v>
      </c>
      <c r="B1063" s="2">
        <v>80</v>
      </c>
      <c r="C1063" s="2">
        <v>44</v>
      </c>
      <c r="D1063" s="2">
        <v>1.4999999999999999E-2</v>
      </c>
      <c r="E1063" s="2" t="s">
        <v>1063</v>
      </c>
    </row>
    <row r="1064" spans="1:5" x14ac:dyDescent="0.25">
      <c r="A1064" s="1">
        <v>45089</v>
      </c>
      <c r="B1064" s="2">
        <v>44</v>
      </c>
      <c r="C1064" s="2">
        <v>45</v>
      </c>
      <c r="D1064" s="2">
        <v>1.5E-6</v>
      </c>
      <c r="E1064" s="2" t="s">
        <v>1064</v>
      </c>
    </row>
    <row r="1065" spans="1:5" x14ac:dyDescent="0.25">
      <c r="A1065" s="1">
        <v>45090</v>
      </c>
      <c r="B1065" s="2">
        <v>45</v>
      </c>
      <c r="C1065" s="2">
        <v>45</v>
      </c>
      <c r="D1065" s="2">
        <v>1.2E-2</v>
      </c>
      <c r="E1065" s="2" t="s">
        <v>1065</v>
      </c>
    </row>
    <row r="1066" spans="1:5" x14ac:dyDescent="0.25">
      <c r="A1066" s="1">
        <v>45091</v>
      </c>
      <c r="B1066" s="2">
        <v>46</v>
      </c>
      <c r="C1066" s="2">
        <v>45</v>
      </c>
      <c r="D1066" s="2">
        <v>1.47</v>
      </c>
      <c r="E1066" s="2" t="s">
        <v>1066</v>
      </c>
    </row>
    <row r="1067" spans="1:5" x14ac:dyDescent="0.25">
      <c r="A1067" s="1">
        <v>45092</v>
      </c>
      <c r="B1067" s="2">
        <v>47</v>
      </c>
      <c r="C1067" s="2">
        <v>45</v>
      </c>
      <c r="D1067" s="2">
        <v>5.7</v>
      </c>
      <c r="E1067" s="2" t="s">
        <v>1067</v>
      </c>
    </row>
    <row r="1068" spans="1:5" x14ac:dyDescent="0.25">
      <c r="A1068" s="1">
        <v>45093</v>
      </c>
      <c r="B1068" s="2">
        <v>48</v>
      </c>
      <c r="C1068" s="2">
        <v>45</v>
      </c>
      <c r="D1068" s="2">
        <v>12.2</v>
      </c>
      <c r="E1068" s="2" t="s">
        <v>1068</v>
      </c>
    </row>
    <row r="1069" spans="1:5" x14ac:dyDescent="0.25">
      <c r="A1069" s="1">
        <v>45094</v>
      </c>
      <c r="B1069" s="2">
        <v>49</v>
      </c>
      <c r="C1069" s="2">
        <v>45</v>
      </c>
      <c r="D1069" s="2">
        <v>66</v>
      </c>
      <c r="E1069" s="2" t="s">
        <v>1069</v>
      </c>
    </row>
    <row r="1070" spans="1:5" x14ac:dyDescent="0.25">
      <c r="A1070" s="1">
        <v>45095</v>
      </c>
      <c r="B1070" s="2">
        <v>50</v>
      </c>
      <c r="C1070" s="2">
        <v>45</v>
      </c>
      <c r="D1070" s="2">
        <v>301.2</v>
      </c>
      <c r="E1070" s="2" t="s">
        <v>1070</v>
      </c>
    </row>
    <row r="1071" spans="1:5" x14ac:dyDescent="0.25">
      <c r="A1071" s="1">
        <v>45096</v>
      </c>
      <c r="B1071" s="2">
        <v>51</v>
      </c>
      <c r="C1071" s="2">
        <v>45</v>
      </c>
      <c r="D1071" s="2">
        <v>594</v>
      </c>
      <c r="E1071" s="2" t="s">
        <v>1071</v>
      </c>
    </row>
    <row r="1072" spans="1:5" x14ac:dyDescent="0.25">
      <c r="A1072" s="1">
        <v>45097</v>
      </c>
      <c r="B1072" s="2">
        <v>52</v>
      </c>
      <c r="C1072" s="2">
        <v>45</v>
      </c>
      <c r="D1072" s="2">
        <v>1842</v>
      </c>
      <c r="E1072" s="2" t="s">
        <v>1072</v>
      </c>
    </row>
    <row r="1073" spans="1:5" x14ac:dyDescent="0.25">
      <c r="A1073" s="1">
        <v>45098</v>
      </c>
      <c r="B1073" s="2">
        <v>53</v>
      </c>
      <c r="C1073" s="2">
        <v>45</v>
      </c>
      <c r="D1073" s="2">
        <v>523.20000000000005</v>
      </c>
      <c r="E1073" s="2" t="s">
        <v>1073</v>
      </c>
    </row>
    <row r="1074" spans="1:5" x14ac:dyDescent="0.25">
      <c r="A1074" s="1">
        <v>45099</v>
      </c>
      <c r="B1074" s="2">
        <v>54</v>
      </c>
      <c r="C1074" s="2">
        <v>45</v>
      </c>
      <c r="D1074" s="2">
        <v>1391040</v>
      </c>
      <c r="E1074" s="2" t="s">
        <v>1074</v>
      </c>
    </row>
    <row r="1075" spans="1:5" x14ac:dyDescent="0.25">
      <c r="A1075" s="1">
        <v>45100</v>
      </c>
      <c r="B1075" s="2">
        <v>55</v>
      </c>
      <c r="C1075" s="2">
        <v>45</v>
      </c>
      <c r="D1075" s="2">
        <v>74880</v>
      </c>
      <c r="E1075" s="2" t="s">
        <v>1075</v>
      </c>
    </row>
    <row r="1076" spans="1:5" x14ac:dyDescent="0.25">
      <c r="A1076" s="1">
        <v>45101</v>
      </c>
      <c r="B1076" s="2">
        <v>56</v>
      </c>
      <c r="C1076" s="2">
        <v>45</v>
      </c>
      <c r="D1076" s="2">
        <v>104140080</v>
      </c>
      <c r="E1076" s="2" t="s">
        <v>1076</v>
      </c>
    </row>
    <row r="1077" spans="1:5" x14ac:dyDescent="0.25">
      <c r="A1077" s="1">
        <v>45102</v>
      </c>
      <c r="B1077" s="2">
        <v>57</v>
      </c>
      <c r="C1077" s="2">
        <v>45</v>
      </c>
      <c r="D1077" s="2">
        <v>17910720</v>
      </c>
      <c r="E1077" s="2" t="s">
        <v>1077</v>
      </c>
    </row>
    <row r="1078" spans="1:5" x14ac:dyDescent="0.25">
      <c r="A1078" s="1">
        <v>45103</v>
      </c>
      <c r="B1078" s="2">
        <v>58</v>
      </c>
      <c r="C1078" s="2">
        <v>45</v>
      </c>
      <c r="D1078" s="2" t="s">
        <v>3</v>
      </c>
      <c r="E1078" s="2" t="s">
        <v>1078</v>
      </c>
    </row>
    <row r="1079" spans="1:5" x14ac:dyDescent="0.25">
      <c r="A1079" s="1">
        <v>45104</v>
      </c>
      <c r="B1079" s="2">
        <v>59</v>
      </c>
      <c r="C1079" s="2">
        <v>45</v>
      </c>
      <c r="D1079" s="2">
        <v>42.3</v>
      </c>
      <c r="E1079" s="2" t="s">
        <v>1079</v>
      </c>
    </row>
    <row r="1080" spans="1:5" x14ac:dyDescent="0.25">
      <c r="A1080" s="1">
        <v>45105</v>
      </c>
      <c r="B1080" s="2">
        <v>60</v>
      </c>
      <c r="C1080" s="2">
        <v>45</v>
      </c>
      <c r="D1080" s="2">
        <v>127296</v>
      </c>
      <c r="E1080" s="2" t="s">
        <v>1080</v>
      </c>
    </row>
    <row r="1081" spans="1:5" x14ac:dyDescent="0.25">
      <c r="A1081" s="1">
        <v>45106</v>
      </c>
      <c r="B1081" s="2">
        <v>61</v>
      </c>
      <c r="C1081" s="2">
        <v>45</v>
      </c>
      <c r="D1081" s="2">
        <v>30.07</v>
      </c>
      <c r="E1081" s="2" t="s">
        <v>1081</v>
      </c>
    </row>
    <row r="1082" spans="1:5" x14ac:dyDescent="0.25">
      <c r="A1082" s="1">
        <v>45107</v>
      </c>
      <c r="B1082" s="2">
        <v>62</v>
      </c>
      <c r="C1082" s="2">
        <v>45</v>
      </c>
      <c r="D1082" s="2">
        <v>1302</v>
      </c>
      <c r="E1082" s="2" t="s">
        <v>1082</v>
      </c>
    </row>
    <row r="1083" spans="1:5" x14ac:dyDescent="0.25">
      <c r="A1083" s="1">
        <v>45108</v>
      </c>
      <c r="B1083" s="2">
        <v>63</v>
      </c>
      <c r="C1083" s="2">
        <v>45</v>
      </c>
      <c r="D1083" s="2">
        <v>16.8</v>
      </c>
      <c r="E1083" s="2" t="s">
        <v>1083</v>
      </c>
    </row>
    <row r="1084" spans="1:5" x14ac:dyDescent="0.25">
      <c r="A1084" s="1">
        <v>45109</v>
      </c>
      <c r="B1084" s="2">
        <v>64</v>
      </c>
      <c r="C1084" s="2">
        <v>45</v>
      </c>
      <c r="D1084" s="2">
        <v>80</v>
      </c>
      <c r="E1084" s="2" t="s">
        <v>1084</v>
      </c>
    </row>
    <row r="1085" spans="1:5" x14ac:dyDescent="0.25">
      <c r="A1085" s="1">
        <v>45110</v>
      </c>
      <c r="B1085" s="2">
        <v>65</v>
      </c>
      <c r="C1085" s="2">
        <v>45</v>
      </c>
      <c r="D1085" s="2">
        <v>28.5</v>
      </c>
      <c r="E1085" s="2" t="s">
        <v>1085</v>
      </c>
    </row>
    <row r="1086" spans="1:5" x14ac:dyDescent="0.25">
      <c r="A1086" s="1">
        <v>45111</v>
      </c>
      <c r="B1086" s="2">
        <v>66</v>
      </c>
      <c r="C1086" s="2">
        <v>45</v>
      </c>
      <c r="D1086" s="2">
        <v>11</v>
      </c>
      <c r="E1086" s="2" t="s">
        <v>1086</v>
      </c>
    </row>
    <row r="1087" spans="1:5" x14ac:dyDescent="0.25">
      <c r="A1087" s="1">
        <v>45112</v>
      </c>
      <c r="B1087" s="2">
        <v>67</v>
      </c>
      <c r="C1087" s="2">
        <v>45</v>
      </c>
      <c r="D1087" s="2">
        <v>3.6</v>
      </c>
      <c r="E1087" s="2" t="s">
        <v>1087</v>
      </c>
    </row>
    <row r="1088" spans="1:5" x14ac:dyDescent="0.25">
      <c r="A1088" s="1">
        <v>45113</v>
      </c>
      <c r="B1088" s="2">
        <v>68</v>
      </c>
      <c r="C1088" s="2">
        <v>45</v>
      </c>
      <c r="D1088" s="2">
        <v>2.8</v>
      </c>
      <c r="E1088" s="2" t="s">
        <v>1088</v>
      </c>
    </row>
    <row r="1089" spans="1:5" x14ac:dyDescent="0.25">
      <c r="A1089" s="1">
        <v>45114</v>
      </c>
      <c r="B1089" s="2">
        <v>69</v>
      </c>
      <c r="C1089" s="2">
        <v>45</v>
      </c>
      <c r="D1089" s="2">
        <v>1.85</v>
      </c>
      <c r="E1089" s="2" t="s">
        <v>1089</v>
      </c>
    </row>
    <row r="1090" spans="1:5" x14ac:dyDescent="0.25">
      <c r="A1090" s="1">
        <v>45115</v>
      </c>
      <c r="B1090" s="2">
        <v>70</v>
      </c>
      <c r="C1090" s="2">
        <v>45</v>
      </c>
      <c r="D1090" s="2">
        <v>0.99</v>
      </c>
      <c r="E1090" s="2" t="s">
        <v>1090</v>
      </c>
    </row>
    <row r="1091" spans="1:5" x14ac:dyDescent="0.25">
      <c r="A1091" s="1">
        <v>45116</v>
      </c>
      <c r="B1091" s="2">
        <v>71</v>
      </c>
      <c r="C1091" s="2">
        <v>45</v>
      </c>
      <c r="D1091" s="2">
        <v>0.68</v>
      </c>
      <c r="E1091" s="2" t="s">
        <v>1091</v>
      </c>
    </row>
    <row r="1092" spans="1:5" x14ac:dyDescent="0.25">
      <c r="A1092" s="1">
        <v>45117</v>
      </c>
      <c r="B1092" s="2">
        <v>72</v>
      </c>
      <c r="C1092" s="2">
        <v>45</v>
      </c>
      <c r="D1092" s="2">
        <v>0.44</v>
      </c>
      <c r="E1092" s="2" t="s">
        <v>1092</v>
      </c>
    </row>
    <row r="1093" spans="1:5" x14ac:dyDescent="0.25">
      <c r="A1093" s="1">
        <v>45118</v>
      </c>
      <c r="B1093" s="2">
        <v>73</v>
      </c>
      <c r="C1093" s="2">
        <v>45</v>
      </c>
      <c r="D1093" s="2">
        <v>0.26600000000000001</v>
      </c>
      <c r="E1093" s="2" t="s">
        <v>1093</v>
      </c>
    </row>
    <row r="1094" spans="1:5" x14ac:dyDescent="0.25">
      <c r="A1094" s="1">
        <v>45119</v>
      </c>
      <c r="B1094" s="2">
        <v>74</v>
      </c>
      <c r="C1094" s="2">
        <v>45</v>
      </c>
      <c r="D1094" s="2">
        <v>0.17100000000000001</v>
      </c>
      <c r="E1094" s="2" t="s">
        <v>1094</v>
      </c>
    </row>
    <row r="1095" spans="1:5" x14ac:dyDescent="0.25">
      <c r="A1095" s="1">
        <v>45120</v>
      </c>
      <c r="B1095" s="2">
        <v>75</v>
      </c>
      <c r="C1095" s="2">
        <v>45</v>
      </c>
      <c r="D1095" s="2">
        <v>0.13600000000000001</v>
      </c>
      <c r="E1095" s="2" t="s">
        <v>1095</v>
      </c>
    </row>
    <row r="1096" spans="1:5" x14ac:dyDescent="0.25">
      <c r="A1096" s="1">
        <v>45121</v>
      </c>
      <c r="B1096" s="2">
        <v>76</v>
      </c>
      <c r="C1096" s="2">
        <v>45</v>
      </c>
      <c r="D1096" s="2">
        <v>0.151</v>
      </c>
      <c r="E1096" s="2" t="s">
        <v>1096</v>
      </c>
    </row>
    <row r="1097" spans="1:5" x14ac:dyDescent="0.25">
      <c r="A1097" s="1">
        <v>45122</v>
      </c>
      <c r="B1097" s="2">
        <v>77</v>
      </c>
      <c r="C1097" s="2">
        <v>45</v>
      </c>
      <c r="D1097" s="2">
        <v>2.9999999999999999E-7</v>
      </c>
      <c r="E1097" s="2" t="s">
        <v>1097</v>
      </c>
    </row>
    <row r="1098" spans="1:5" x14ac:dyDescent="0.25">
      <c r="A1098" s="1">
        <v>45123</v>
      </c>
      <c r="B1098" s="2">
        <v>78</v>
      </c>
      <c r="C1098" s="2">
        <v>45</v>
      </c>
      <c r="D1098" s="2">
        <v>4.2000000000000003E-2</v>
      </c>
      <c r="E1098" s="2" t="s">
        <v>1098</v>
      </c>
    </row>
    <row r="1099" spans="1:5" x14ac:dyDescent="0.25">
      <c r="A1099" s="1">
        <v>45124</v>
      </c>
      <c r="B1099" s="2">
        <v>79</v>
      </c>
      <c r="C1099" s="2">
        <v>45</v>
      </c>
      <c r="D1099" s="2">
        <v>0.03</v>
      </c>
      <c r="E1099" s="2" t="s">
        <v>1099</v>
      </c>
    </row>
    <row r="1100" spans="1:5" x14ac:dyDescent="0.25">
      <c r="A1100" s="1">
        <v>45125</v>
      </c>
      <c r="B1100" s="2">
        <v>80</v>
      </c>
      <c r="C1100" s="2">
        <v>45</v>
      </c>
      <c r="D1100" s="2">
        <v>2.6499999999999999E-2</v>
      </c>
      <c r="E1100" s="2" t="s">
        <v>1100</v>
      </c>
    </row>
    <row r="1101" spans="1:5" x14ac:dyDescent="0.25">
      <c r="A1101" s="1">
        <v>45126</v>
      </c>
      <c r="B1101" s="2">
        <v>81</v>
      </c>
      <c r="C1101" s="2">
        <v>45</v>
      </c>
      <c r="D1101" s="2">
        <v>1.9E-2</v>
      </c>
      <c r="E1101" s="2" t="s">
        <v>1101</v>
      </c>
    </row>
    <row r="1102" spans="1:5" x14ac:dyDescent="0.25">
      <c r="A1102" s="1">
        <v>45127</v>
      </c>
      <c r="B1102" s="2">
        <v>82</v>
      </c>
      <c r="C1102" s="2">
        <v>45</v>
      </c>
      <c r="D1102" s="2">
        <v>0.02</v>
      </c>
      <c r="E1102" s="2" t="s">
        <v>1102</v>
      </c>
    </row>
    <row r="1103" spans="1:5" x14ac:dyDescent="0.25">
      <c r="A1103" s="1">
        <v>46091</v>
      </c>
      <c r="B1103" s="2">
        <v>45</v>
      </c>
      <c r="C1103" s="2">
        <v>46</v>
      </c>
      <c r="D1103" s="2">
        <v>9.9999999999999995E-7</v>
      </c>
      <c r="E1103" s="2" t="s">
        <v>1103</v>
      </c>
    </row>
    <row r="1104" spans="1:5" x14ac:dyDescent="0.25">
      <c r="A1104" s="1">
        <v>46092</v>
      </c>
      <c r="B1104" s="2">
        <v>46</v>
      </c>
      <c r="C1104" s="2">
        <v>46</v>
      </c>
      <c r="D1104" s="2">
        <v>0.7</v>
      </c>
      <c r="E1104" s="2" t="s">
        <v>1104</v>
      </c>
    </row>
    <row r="1105" spans="1:5" x14ac:dyDescent="0.25">
      <c r="A1105" s="1">
        <v>46093</v>
      </c>
      <c r="B1105" s="2">
        <v>47</v>
      </c>
      <c r="C1105" s="2">
        <v>46</v>
      </c>
      <c r="D1105" s="2">
        <v>1</v>
      </c>
      <c r="E1105" s="2" t="s">
        <v>1105</v>
      </c>
    </row>
    <row r="1106" spans="1:5" x14ac:dyDescent="0.25">
      <c r="A1106" s="1">
        <v>46094</v>
      </c>
      <c r="B1106" s="2">
        <v>48</v>
      </c>
      <c r="C1106" s="2">
        <v>46</v>
      </c>
      <c r="D1106" s="2">
        <v>9.6</v>
      </c>
      <c r="E1106" s="2" t="s">
        <v>1106</v>
      </c>
    </row>
    <row r="1107" spans="1:5" x14ac:dyDescent="0.25">
      <c r="A1107" s="1">
        <v>46095</v>
      </c>
      <c r="B1107" s="2">
        <v>49</v>
      </c>
      <c r="C1107" s="2">
        <v>46</v>
      </c>
      <c r="D1107" s="2">
        <v>5</v>
      </c>
      <c r="E1107" s="2" t="s">
        <v>1107</v>
      </c>
    </row>
    <row r="1108" spans="1:5" x14ac:dyDescent="0.25">
      <c r="A1108" s="1">
        <v>46096</v>
      </c>
      <c r="B1108" s="2">
        <v>50</v>
      </c>
      <c r="C1108" s="2">
        <v>46</v>
      </c>
      <c r="D1108" s="2">
        <v>122</v>
      </c>
      <c r="E1108" s="2" t="s">
        <v>1108</v>
      </c>
    </row>
    <row r="1109" spans="1:5" x14ac:dyDescent="0.25">
      <c r="A1109" s="1">
        <v>46097</v>
      </c>
      <c r="B1109" s="2">
        <v>51</v>
      </c>
      <c r="C1109" s="2">
        <v>46</v>
      </c>
      <c r="D1109" s="2">
        <v>186</v>
      </c>
      <c r="E1109" s="2" t="s">
        <v>1109</v>
      </c>
    </row>
    <row r="1110" spans="1:5" x14ac:dyDescent="0.25">
      <c r="A1110" s="1">
        <v>46098</v>
      </c>
      <c r="B1110" s="2">
        <v>52</v>
      </c>
      <c r="C1110" s="2">
        <v>46</v>
      </c>
      <c r="D1110" s="2">
        <v>1062</v>
      </c>
      <c r="E1110" s="2" t="s">
        <v>1110</v>
      </c>
    </row>
    <row r="1111" spans="1:5" x14ac:dyDescent="0.25">
      <c r="A1111" s="1">
        <v>46099</v>
      </c>
      <c r="B1111" s="2">
        <v>53</v>
      </c>
      <c r="C1111" s="2">
        <v>46</v>
      </c>
      <c r="D1111" s="2">
        <v>1284</v>
      </c>
      <c r="E1111" s="2" t="s">
        <v>1111</v>
      </c>
    </row>
    <row r="1112" spans="1:5" x14ac:dyDescent="0.25">
      <c r="A1112" s="1">
        <v>46100</v>
      </c>
      <c r="B1112" s="2">
        <v>54</v>
      </c>
      <c r="C1112" s="2">
        <v>46</v>
      </c>
      <c r="D1112" s="2">
        <v>313632</v>
      </c>
      <c r="E1112" s="2" t="s">
        <v>1112</v>
      </c>
    </row>
    <row r="1113" spans="1:5" x14ac:dyDescent="0.25">
      <c r="A1113" s="1">
        <v>46101</v>
      </c>
      <c r="B1113" s="2">
        <v>55</v>
      </c>
      <c r="C1113" s="2">
        <v>46</v>
      </c>
      <c r="D1113" s="2">
        <v>30492</v>
      </c>
      <c r="E1113" s="2" t="s">
        <v>1113</v>
      </c>
    </row>
    <row r="1114" spans="1:5" x14ac:dyDescent="0.25">
      <c r="A1114" s="1">
        <v>46102</v>
      </c>
      <c r="B1114" s="2">
        <v>56</v>
      </c>
      <c r="C1114" s="2">
        <v>46</v>
      </c>
      <c r="D1114" s="2" t="s">
        <v>3</v>
      </c>
      <c r="E1114" s="2" t="s">
        <v>1114</v>
      </c>
    </row>
    <row r="1115" spans="1:5" x14ac:dyDescent="0.25">
      <c r="A1115" s="1">
        <v>46103</v>
      </c>
      <c r="B1115" s="2">
        <v>57</v>
      </c>
      <c r="C1115" s="2">
        <v>46</v>
      </c>
      <c r="D1115" s="2">
        <v>1468022.4</v>
      </c>
      <c r="E1115" s="2" t="s">
        <v>1115</v>
      </c>
    </row>
    <row r="1116" spans="1:5" x14ac:dyDescent="0.25">
      <c r="A1116" s="1">
        <v>46104</v>
      </c>
      <c r="B1116" s="2">
        <v>58</v>
      </c>
      <c r="C1116" s="2">
        <v>46</v>
      </c>
      <c r="D1116" s="2" t="s">
        <v>3</v>
      </c>
      <c r="E1116" s="2" t="s">
        <v>1116</v>
      </c>
    </row>
    <row r="1117" spans="1:5" x14ac:dyDescent="0.25">
      <c r="A1117" s="1">
        <v>46105</v>
      </c>
      <c r="B1117" s="2">
        <v>59</v>
      </c>
      <c r="C1117" s="2">
        <v>46</v>
      </c>
      <c r="D1117" s="2" t="s">
        <v>3</v>
      </c>
      <c r="E1117" s="2" t="s">
        <v>1117</v>
      </c>
    </row>
    <row r="1118" spans="1:5" x14ac:dyDescent="0.25">
      <c r="A1118" s="1">
        <v>46106</v>
      </c>
      <c r="B1118" s="2">
        <v>60</v>
      </c>
      <c r="C1118" s="2">
        <v>46</v>
      </c>
      <c r="D1118" s="2" t="s">
        <v>3</v>
      </c>
      <c r="E1118" s="2" t="s">
        <v>1118</v>
      </c>
    </row>
    <row r="1119" spans="1:5" x14ac:dyDescent="0.25">
      <c r="A1119" s="1">
        <v>46107</v>
      </c>
      <c r="B1119" s="2">
        <v>61</v>
      </c>
      <c r="C1119" s="2">
        <v>46</v>
      </c>
      <c r="D1119" s="2">
        <v>205124400000000</v>
      </c>
      <c r="E1119" s="2" t="s">
        <v>1119</v>
      </c>
    </row>
    <row r="1120" spans="1:5" x14ac:dyDescent="0.25">
      <c r="A1120" s="1">
        <v>46108</v>
      </c>
      <c r="B1120" s="2">
        <v>62</v>
      </c>
      <c r="C1120" s="2">
        <v>46</v>
      </c>
      <c r="D1120" s="2" t="s">
        <v>3</v>
      </c>
      <c r="E1120" s="2" t="s">
        <v>1120</v>
      </c>
    </row>
    <row r="1121" spans="1:5" x14ac:dyDescent="0.25">
      <c r="A1121" s="1">
        <v>46109</v>
      </c>
      <c r="B1121" s="2">
        <v>63</v>
      </c>
      <c r="C1121" s="2">
        <v>46</v>
      </c>
      <c r="D1121" s="2">
        <v>49324.32</v>
      </c>
      <c r="E1121" s="2" t="s">
        <v>1121</v>
      </c>
    </row>
    <row r="1122" spans="1:5" x14ac:dyDescent="0.25">
      <c r="A1122" s="1">
        <v>46110</v>
      </c>
      <c r="B1122" s="2">
        <v>64</v>
      </c>
      <c r="C1122" s="2">
        <v>46</v>
      </c>
      <c r="D1122" s="2" t="s">
        <v>3</v>
      </c>
      <c r="E1122" s="2" t="s">
        <v>1122</v>
      </c>
    </row>
    <row r="1123" spans="1:5" x14ac:dyDescent="0.25">
      <c r="A1123" s="1">
        <v>46111</v>
      </c>
      <c r="B1123" s="2">
        <v>65</v>
      </c>
      <c r="C1123" s="2">
        <v>46</v>
      </c>
      <c r="D1123" s="2">
        <v>1404</v>
      </c>
      <c r="E1123" s="2" t="s">
        <v>1123</v>
      </c>
    </row>
    <row r="1124" spans="1:5" x14ac:dyDescent="0.25">
      <c r="A1124" s="1">
        <v>46112</v>
      </c>
      <c r="B1124" s="2">
        <v>66</v>
      </c>
      <c r="C1124" s="2">
        <v>46</v>
      </c>
      <c r="D1124" s="2">
        <v>75744</v>
      </c>
      <c r="E1124" s="2" t="s">
        <v>1124</v>
      </c>
    </row>
    <row r="1125" spans="1:5" x14ac:dyDescent="0.25">
      <c r="A1125" s="1">
        <v>46113</v>
      </c>
      <c r="B1125" s="2">
        <v>67</v>
      </c>
      <c r="C1125" s="2">
        <v>46</v>
      </c>
      <c r="D1125" s="2">
        <v>93</v>
      </c>
      <c r="E1125" s="2" t="s">
        <v>1125</v>
      </c>
    </row>
    <row r="1126" spans="1:5" x14ac:dyDescent="0.25">
      <c r="A1126" s="1">
        <v>46114</v>
      </c>
      <c r="B1126" s="2">
        <v>68</v>
      </c>
      <c r="C1126" s="2">
        <v>46</v>
      </c>
      <c r="D1126" s="2">
        <v>145.19999999999999</v>
      </c>
      <c r="E1126" s="2" t="s">
        <v>1126</v>
      </c>
    </row>
    <row r="1127" spans="1:5" x14ac:dyDescent="0.25">
      <c r="A1127" s="1">
        <v>46115</v>
      </c>
      <c r="B1127" s="2">
        <v>69</v>
      </c>
      <c r="C1127" s="2">
        <v>46</v>
      </c>
      <c r="D1127" s="2">
        <v>25</v>
      </c>
      <c r="E1127" s="2" t="s">
        <v>1127</v>
      </c>
    </row>
    <row r="1128" spans="1:5" x14ac:dyDescent="0.25">
      <c r="A1128" s="1">
        <v>46116</v>
      </c>
      <c r="B1128" s="2">
        <v>70</v>
      </c>
      <c r="C1128" s="2">
        <v>46</v>
      </c>
      <c r="D1128" s="2">
        <v>11.8</v>
      </c>
      <c r="E1128" s="2" t="s">
        <v>1128</v>
      </c>
    </row>
    <row r="1129" spans="1:5" x14ac:dyDescent="0.25">
      <c r="A1129" s="1">
        <v>46117</v>
      </c>
      <c r="B1129" s="2">
        <v>71</v>
      </c>
      <c r="C1129" s="2">
        <v>46</v>
      </c>
      <c r="D1129" s="2">
        <v>4.3</v>
      </c>
      <c r="E1129" s="2" t="s">
        <v>1129</v>
      </c>
    </row>
    <row r="1130" spans="1:5" x14ac:dyDescent="0.25">
      <c r="A1130" s="1">
        <v>46118</v>
      </c>
      <c r="B1130" s="2">
        <v>72</v>
      </c>
      <c r="C1130" s="2">
        <v>46</v>
      </c>
      <c r="D1130" s="2">
        <v>1.9</v>
      </c>
      <c r="E1130" s="2" t="s">
        <v>1130</v>
      </c>
    </row>
    <row r="1131" spans="1:5" x14ac:dyDescent="0.25">
      <c r="A1131" s="1">
        <v>46119</v>
      </c>
      <c r="B1131" s="2">
        <v>73</v>
      </c>
      <c r="C1131" s="2">
        <v>46</v>
      </c>
      <c r="D1131" s="2">
        <v>0.92</v>
      </c>
      <c r="E1131" s="2" t="s">
        <v>1131</v>
      </c>
    </row>
    <row r="1132" spans="1:5" x14ac:dyDescent="0.25">
      <c r="A1132" s="1">
        <v>46120</v>
      </c>
      <c r="B1132" s="2">
        <v>74</v>
      </c>
      <c r="C1132" s="2">
        <v>46</v>
      </c>
      <c r="D1132" s="2">
        <v>0.49199999999999999</v>
      </c>
      <c r="E1132" s="2" t="s">
        <v>1132</v>
      </c>
    </row>
    <row r="1133" spans="1:5" x14ac:dyDescent="0.25">
      <c r="A1133" s="1">
        <v>46121</v>
      </c>
      <c r="B1133" s="2">
        <v>75</v>
      </c>
      <c r="C1133" s="2">
        <v>46</v>
      </c>
      <c r="D1133" s="2">
        <v>0.28499999999999998</v>
      </c>
      <c r="E1133" s="2" t="s">
        <v>1133</v>
      </c>
    </row>
    <row r="1134" spans="1:5" x14ac:dyDescent="0.25">
      <c r="A1134" s="1">
        <v>46122</v>
      </c>
      <c r="B1134" s="2">
        <v>76</v>
      </c>
      <c r="C1134" s="2">
        <v>46</v>
      </c>
      <c r="D1134" s="2">
        <v>0.17499999999999999</v>
      </c>
      <c r="E1134" s="2" t="s">
        <v>1134</v>
      </c>
    </row>
    <row r="1135" spans="1:5" x14ac:dyDescent="0.25">
      <c r="A1135" s="1">
        <v>46123</v>
      </c>
      <c r="B1135" s="2">
        <v>77</v>
      </c>
      <c r="C1135" s="2">
        <v>46</v>
      </c>
      <c r="D1135" s="2">
        <v>0.108</v>
      </c>
      <c r="E1135" s="2" t="s">
        <v>1135</v>
      </c>
    </row>
    <row r="1136" spans="1:5" x14ac:dyDescent="0.25">
      <c r="A1136" s="1">
        <v>46124</v>
      </c>
      <c r="B1136" s="2">
        <v>78</v>
      </c>
      <c r="C1136" s="2">
        <v>46</v>
      </c>
      <c r="D1136" s="2">
        <v>3.7999999999999999E-2</v>
      </c>
      <c r="E1136" s="2" t="s">
        <v>1136</v>
      </c>
    </row>
    <row r="1137" spans="1:5" x14ac:dyDescent="0.25">
      <c r="A1137" s="1">
        <v>46125</v>
      </c>
      <c r="B1137" s="2">
        <v>79</v>
      </c>
      <c r="C1137" s="2">
        <v>46</v>
      </c>
      <c r="D1137" s="2">
        <v>5.7000000000000002E-2</v>
      </c>
      <c r="E1137" s="2" t="s">
        <v>1137</v>
      </c>
    </row>
    <row r="1138" spans="1:5" x14ac:dyDescent="0.25">
      <c r="A1138" s="1">
        <v>46126</v>
      </c>
      <c r="B1138" s="2">
        <v>80</v>
      </c>
      <c r="C1138" s="2">
        <v>46</v>
      </c>
      <c r="D1138" s="2">
        <v>4.8599999999999997E-2</v>
      </c>
      <c r="E1138" s="2" t="s">
        <v>1138</v>
      </c>
    </row>
    <row r="1139" spans="1:5" x14ac:dyDescent="0.25">
      <c r="A1139" s="1">
        <v>46127</v>
      </c>
      <c r="B1139" s="2">
        <v>81</v>
      </c>
      <c r="C1139" s="2">
        <v>46</v>
      </c>
      <c r="D1139" s="2">
        <v>3.7999999999999999E-2</v>
      </c>
      <c r="E1139" s="2" t="s">
        <v>1139</v>
      </c>
    </row>
    <row r="1140" spans="1:5" x14ac:dyDescent="0.25">
      <c r="A1140" s="1">
        <v>46128</v>
      </c>
      <c r="B1140" s="2">
        <v>82</v>
      </c>
      <c r="C1140" s="2">
        <v>46</v>
      </c>
      <c r="D1140" s="2">
        <v>3.5000000000000003E-2</v>
      </c>
      <c r="E1140" s="2" t="s">
        <v>1140</v>
      </c>
    </row>
    <row r="1141" spans="1:5" x14ac:dyDescent="0.25">
      <c r="A1141" s="1">
        <v>47094</v>
      </c>
      <c r="B1141" s="2">
        <v>47</v>
      </c>
      <c r="C1141" s="2">
        <v>47</v>
      </c>
      <c r="D1141" s="2">
        <v>2.5999999999999999E-2</v>
      </c>
      <c r="E1141" s="2" t="s">
        <v>1141</v>
      </c>
    </row>
    <row r="1142" spans="1:5" x14ac:dyDescent="0.25">
      <c r="A1142" s="1">
        <v>47095</v>
      </c>
      <c r="B1142" s="2">
        <v>48</v>
      </c>
      <c r="C1142" s="2">
        <v>47</v>
      </c>
      <c r="D1142" s="2">
        <v>1.75</v>
      </c>
      <c r="E1142" s="2" t="s">
        <v>1142</v>
      </c>
    </row>
    <row r="1143" spans="1:5" x14ac:dyDescent="0.25">
      <c r="A1143" s="1">
        <v>47096</v>
      </c>
      <c r="B1143" s="2">
        <v>49</v>
      </c>
      <c r="C1143" s="2">
        <v>47</v>
      </c>
      <c r="D1143" s="2">
        <v>4.4000000000000004</v>
      </c>
      <c r="E1143" s="2" t="s">
        <v>1143</v>
      </c>
    </row>
    <row r="1144" spans="1:5" x14ac:dyDescent="0.25">
      <c r="A1144" s="1">
        <v>47097</v>
      </c>
      <c r="B1144" s="2">
        <v>50</v>
      </c>
      <c r="C1144" s="2">
        <v>47</v>
      </c>
      <c r="D1144" s="2">
        <v>25.5</v>
      </c>
      <c r="E1144" s="2" t="s">
        <v>1144</v>
      </c>
    </row>
    <row r="1145" spans="1:5" x14ac:dyDescent="0.25">
      <c r="A1145" s="1">
        <v>47098</v>
      </c>
      <c r="B1145" s="2">
        <v>51</v>
      </c>
      <c r="C1145" s="2">
        <v>47</v>
      </c>
      <c r="D1145" s="2">
        <v>47.5</v>
      </c>
      <c r="E1145" s="2" t="s">
        <v>1145</v>
      </c>
    </row>
    <row r="1146" spans="1:5" x14ac:dyDescent="0.25">
      <c r="A1146" s="1">
        <v>47099</v>
      </c>
      <c r="B1146" s="2">
        <v>52</v>
      </c>
      <c r="C1146" s="2">
        <v>47</v>
      </c>
      <c r="D1146" s="2">
        <v>124</v>
      </c>
      <c r="E1146" s="2" t="s">
        <v>1146</v>
      </c>
    </row>
    <row r="1147" spans="1:5" x14ac:dyDescent="0.25">
      <c r="A1147" s="1">
        <v>47100</v>
      </c>
      <c r="B1147" s="2">
        <v>53</v>
      </c>
      <c r="C1147" s="2">
        <v>47</v>
      </c>
      <c r="D1147" s="2">
        <v>120.6</v>
      </c>
      <c r="E1147" s="2" t="s">
        <v>1147</v>
      </c>
    </row>
    <row r="1148" spans="1:5" x14ac:dyDescent="0.25">
      <c r="A1148" s="1">
        <v>47101</v>
      </c>
      <c r="B1148" s="2">
        <v>54</v>
      </c>
      <c r="C1148" s="2">
        <v>47</v>
      </c>
      <c r="D1148" s="2">
        <v>666</v>
      </c>
      <c r="E1148" s="2" t="s">
        <v>1148</v>
      </c>
    </row>
    <row r="1149" spans="1:5" x14ac:dyDescent="0.25">
      <c r="A1149" s="1">
        <v>47102</v>
      </c>
      <c r="B1149" s="2">
        <v>55</v>
      </c>
      <c r="C1149" s="2">
        <v>47</v>
      </c>
      <c r="D1149" s="2">
        <v>774</v>
      </c>
      <c r="E1149" s="2" t="s">
        <v>1149</v>
      </c>
    </row>
    <row r="1150" spans="1:5" x14ac:dyDescent="0.25">
      <c r="A1150" s="1">
        <v>47103</v>
      </c>
      <c r="B1150" s="2">
        <v>56</v>
      </c>
      <c r="C1150" s="2">
        <v>47</v>
      </c>
      <c r="D1150" s="2">
        <v>3942</v>
      </c>
      <c r="E1150" s="2" t="s">
        <v>1150</v>
      </c>
    </row>
    <row r="1151" spans="1:5" x14ac:dyDescent="0.25">
      <c r="A1151" s="1">
        <v>47104</v>
      </c>
      <c r="B1151" s="2">
        <v>57</v>
      </c>
      <c r="C1151" s="2">
        <v>47</v>
      </c>
      <c r="D1151" s="2">
        <v>4152</v>
      </c>
      <c r="E1151" s="2" t="s">
        <v>1151</v>
      </c>
    </row>
    <row r="1152" spans="1:5" x14ac:dyDescent="0.25">
      <c r="A1152" s="1">
        <v>47105</v>
      </c>
      <c r="B1152" s="2">
        <v>58</v>
      </c>
      <c r="C1152" s="2">
        <v>47</v>
      </c>
      <c r="D1152" s="2">
        <v>3567456</v>
      </c>
      <c r="E1152" s="2" t="s">
        <v>1152</v>
      </c>
    </row>
    <row r="1153" spans="1:5" x14ac:dyDescent="0.25">
      <c r="A1153" s="1">
        <v>47106</v>
      </c>
      <c r="B1153" s="2">
        <v>59</v>
      </c>
      <c r="C1153" s="2">
        <v>47</v>
      </c>
      <c r="D1153" s="2">
        <v>1437.6</v>
      </c>
      <c r="E1153" s="2" t="s">
        <v>1153</v>
      </c>
    </row>
    <row r="1154" spans="1:5" x14ac:dyDescent="0.25">
      <c r="A1154" s="1">
        <v>47107</v>
      </c>
      <c r="B1154" s="2">
        <v>60</v>
      </c>
      <c r="C1154" s="2">
        <v>47</v>
      </c>
      <c r="D1154" s="2" t="s">
        <v>3</v>
      </c>
      <c r="E1154" s="2" t="s">
        <v>1154</v>
      </c>
    </row>
    <row r="1155" spans="1:5" x14ac:dyDescent="0.25">
      <c r="A1155" s="1">
        <v>47108</v>
      </c>
      <c r="B1155" s="2">
        <v>61</v>
      </c>
      <c r="C1155" s="2">
        <v>47</v>
      </c>
      <c r="D1155" s="2">
        <v>142.91999999999999</v>
      </c>
      <c r="E1155" s="2" t="s">
        <v>1155</v>
      </c>
    </row>
    <row r="1156" spans="1:5" x14ac:dyDescent="0.25">
      <c r="A1156" s="1">
        <v>47109</v>
      </c>
      <c r="B1156" s="2">
        <v>62</v>
      </c>
      <c r="C1156" s="2">
        <v>47</v>
      </c>
      <c r="D1156" s="2" t="s">
        <v>3</v>
      </c>
      <c r="E1156" s="2" t="s">
        <v>1156</v>
      </c>
    </row>
    <row r="1157" spans="1:5" x14ac:dyDescent="0.25">
      <c r="A1157" s="1">
        <v>47110</v>
      </c>
      <c r="B1157" s="2">
        <v>63</v>
      </c>
      <c r="C1157" s="2">
        <v>47</v>
      </c>
      <c r="D1157" s="2">
        <v>24.6</v>
      </c>
      <c r="E1157" s="2" t="s">
        <v>1157</v>
      </c>
    </row>
    <row r="1158" spans="1:5" x14ac:dyDescent="0.25">
      <c r="A1158" s="1">
        <v>47111</v>
      </c>
      <c r="B1158" s="2">
        <v>64</v>
      </c>
      <c r="C1158" s="2">
        <v>47</v>
      </c>
      <c r="D1158" s="2">
        <v>643680</v>
      </c>
      <c r="E1158" s="2" t="s">
        <v>1158</v>
      </c>
    </row>
    <row r="1159" spans="1:5" x14ac:dyDescent="0.25">
      <c r="A1159" s="1">
        <v>47112</v>
      </c>
      <c r="B1159" s="2">
        <v>65</v>
      </c>
      <c r="C1159" s="2">
        <v>47</v>
      </c>
      <c r="D1159" s="2">
        <v>11268</v>
      </c>
      <c r="E1159" s="2" t="s">
        <v>1159</v>
      </c>
    </row>
    <row r="1160" spans="1:5" x14ac:dyDescent="0.25">
      <c r="A1160" s="1">
        <v>47113</v>
      </c>
      <c r="B1160" s="2">
        <v>66</v>
      </c>
      <c r="C1160" s="2">
        <v>47</v>
      </c>
      <c r="D1160" s="2">
        <v>19332</v>
      </c>
      <c r="E1160" s="2" t="s">
        <v>1160</v>
      </c>
    </row>
    <row r="1161" spans="1:5" x14ac:dyDescent="0.25">
      <c r="A1161" s="1">
        <v>47114</v>
      </c>
      <c r="B1161" s="2">
        <v>67</v>
      </c>
      <c r="C1161" s="2">
        <v>47</v>
      </c>
      <c r="D1161" s="2">
        <v>4.5999999999999996</v>
      </c>
      <c r="E1161" s="2" t="s">
        <v>1161</v>
      </c>
    </row>
    <row r="1162" spans="1:5" x14ac:dyDescent="0.25">
      <c r="A1162" s="1">
        <v>47115</v>
      </c>
      <c r="B1162" s="2">
        <v>68</v>
      </c>
      <c r="C1162" s="2">
        <v>47</v>
      </c>
      <c r="D1162" s="2">
        <v>1200</v>
      </c>
      <c r="E1162" s="2" t="s">
        <v>1162</v>
      </c>
    </row>
    <row r="1163" spans="1:5" x14ac:dyDescent="0.25">
      <c r="A1163" s="1">
        <v>47116</v>
      </c>
      <c r="B1163" s="2">
        <v>69</v>
      </c>
      <c r="C1163" s="2">
        <v>47</v>
      </c>
      <c r="D1163" s="2">
        <v>237</v>
      </c>
      <c r="E1163" s="2" t="s">
        <v>1163</v>
      </c>
    </row>
    <row r="1164" spans="1:5" x14ac:dyDescent="0.25">
      <c r="A1164" s="1">
        <v>47117</v>
      </c>
      <c r="B1164" s="2">
        <v>70</v>
      </c>
      <c r="C1164" s="2">
        <v>47</v>
      </c>
      <c r="D1164" s="2">
        <v>72.8</v>
      </c>
      <c r="E1164" s="2" t="s">
        <v>1164</v>
      </c>
    </row>
    <row r="1165" spans="1:5" x14ac:dyDescent="0.25">
      <c r="A1165" s="1">
        <v>47118</v>
      </c>
      <c r="B1165" s="2">
        <v>71</v>
      </c>
      <c r="C1165" s="2">
        <v>47</v>
      </c>
      <c r="D1165" s="2">
        <v>3.76</v>
      </c>
      <c r="E1165" s="2" t="s">
        <v>1165</v>
      </c>
    </row>
    <row r="1166" spans="1:5" x14ac:dyDescent="0.25">
      <c r="A1166" s="1">
        <v>47119</v>
      </c>
      <c r="B1166" s="2">
        <v>72</v>
      </c>
      <c r="C1166" s="2">
        <v>47</v>
      </c>
      <c r="D1166" s="2">
        <v>6</v>
      </c>
      <c r="E1166" s="2" t="s">
        <v>1166</v>
      </c>
    </row>
    <row r="1167" spans="1:5" x14ac:dyDescent="0.25">
      <c r="A1167" s="1">
        <v>47120</v>
      </c>
      <c r="B1167" s="2">
        <v>73</v>
      </c>
      <c r="C1167" s="2">
        <v>47</v>
      </c>
      <c r="D1167" s="2">
        <v>1.23</v>
      </c>
      <c r="E1167" s="2" t="s">
        <v>1167</v>
      </c>
    </row>
    <row r="1168" spans="1:5" x14ac:dyDescent="0.25">
      <c r="A1168" s="1">
        <v>47121</v>
      </c>
      <c r="B1168" s="2">
        <v>74</v>
      </c>
      <c r="C1168" s="2">
        <v>47</v>
      </c>
      <c r="D1168" s="2">
        <v>0.78</v>
      </c>
      <c r="E1168" s="2" t="s">
        <v>1168</v>
      </c>
    </row>
    <row r="1169" spans="1:5" x14ac:dyDescent="0.25">
      <c r="A1169" s="1">
        <v>47122</v>
      </c>
      <c r="B1169" s="2">
        <v>75</v>
      </c>
      <c r="C1169" s="2">
        <v>47</v>
      </c>
      <c r="D1169" s="2">
        <v>0.52900000000000003</v>
      </c>
      <c r="E1169" s="2" t="s">
        <v>1169</v>
      </c>
    </row>
    <row r="1170" spans="1:5" x14ac:dyDescent="0.25">
      <c r="A1170" s="1">
        <v>47123</v>
      </c>
      <c r="B1170" s="2">
        <v>76</v>
      </c>
      <c r="C1170" s="2">
        <v>47</v>
      </c>
      <c r="D1170" s="2">
        <v>0.3</v>
      </c>
      <c r="E1170" s="2" t="s">
        <v>1170</v>
      </c>
    </row>
    <row r="1171" spans="1:5" x14ac:dyDescent="0.25">
      <c r="A1171" s="1">
        <v>47124</v>
      </c>
      <c r="B1171" s="2">
        <v>77</v>
      </c>
      <c r="C1171" s="2">
        <v>47</v>
      </c>
      <c r="D1171" s="2">
        <v>0.191</v>
      </c>
      <c r="E1171" s="2" t="s">
        <v>1171</v>
      </c>
    </row>
    <row r="1172" spans="1:5" x14ac:dyDescent="0.25">
      <c r="A1172" s="1">
        <v>47125</v>
      </c>
      <c r="B1172" s="2">
        <v>78</v>
      </c>
      <c r="C1172" s="2">
        <v>47</v>
      </c>
      <c r="D1172" s="2">
        <v>0.159</v>
      </c>
      <c r="E1172" s="2" t="s">
        <v>1172</v>
      </c>
    </row>
    <row r="1173" spans="1:5" x14ac:dyDescent="0.25">
      <c r="A1173" s="1">
        <v>47126</v>
      </c>
      <c r="B1173" s="2">
        <v>79</v>
      </c>
      <c r="C1173" s="2">
        <v>47</v>
      </c>
      <c r="D1173" s="2">
        <v>5.1999999999999998E-2</v>
      </c>
      <c r="E1173" s="2" t="s">
        <v>1173</v>
      </c>
    </row>
    <row r="1174" spans="1:5" x14ac:dyDescent="0.25">
      <c r="A1174" s="1">
        <v>47127</v>
      </c>
      <c r="B1174" s="2">
        <v>80</v>
      </c>
      <c r="C1174" s="2">
        <v>47</v>
      </c>
      <c r="D1174" s="2">
        <v>0.109</v>
      </c>
      <c r="E1174" s="2" t="s">
        <v>1174</v>
      </c>
    </row>
    <row r="1175" spans="1:5" x14ac:dyDescent="0.25">
      <c r="A1175" s="1">
        <v>47128</v>
      </c>
      <c r="B1175" s="2">
        <v>81</v>
      </c>
      <c r="C1175" s="2">
        <v>47</v>
      </c>
      <c r="D1175" s="2">
        <v>5.8000000000000003E-2</v>
      </c>
      <c r="E1175" s="2" t="s">
        <v>1175</v>
      </c>
    </row>
    <row r="1176" spans="1:5" x14ac:dyDescent="0.25">
      <c r="A1176" s="1">
        <v>47129</v>
      </c>
      <c r="B1176" s="2">
        <v>82</v>
      </c>
      <c r="C1176" s="2">
        <v>47</v>
      </c>
      <c r="D1176" s="2">
        <v>4.5999999999999999E-2</v>
      </c>
      <c r="E1176" s="2" t="s">
        <v>1176</v>
      </c>
    </row>
    <row r="1177" spans="1:5" x14ac:dyDescent="0.25">
      <c r="A1177" s="1">
        <v>47130</v>
      </c>
      <c r="B1177" s="2">
        <v>83</v>
      </c>
      <c r="C1177" s="2">
        <v>47</v>
      </c>
      <c r="D1177" s="2">
        <v>4.2000000000000003E-2</v>
      </c>
      <c r="E1177" s="2" t="s">
        <v>1177</v>
      </c>
    </row>
    <row r="1178" spans="1:5" x14ac:dyDescent="0.25">
      <c r="A1178" s="1">
        <v>47131</v>
      </c>
      <c r="B1178" s="2">
        <v>84</v>
      </c>
      <c r="C1178" s="2">
        <v>47</v>
      </c>
      <c r="D1178" s="2">
        <v>3.5000000000000003E-2</v>
      </c>
      <c r="E1178" s="2" t="s">
        <v>1178</v>
      </c>
    </row>
    <row r="1179" spans="1:5" x14ac:dyDescent="0.25">
      <c r="A1179" s="1">
        <v>47132</v>
      </c>
      <c r="B1179" s="2">
        <v>85</v>
      </c>
      <c r="C1179" s="2">
        <v>47</v>
      </c>
      <c r="D1179" s="2">
        <v>2.8000000000000001E-2</v>
      </c>
      <c r="E1179" s="2" t="s">
        <v>1179</v>
      </c>
    </row>
    <row r="1180" spans="1:5" x14ac:dyDescent="0.25">
      <c r="A1180" s="1">
        <v>48096</v>
      </c>
      <c r="B1180" s="2">
        <v>48</v>
      </c>
      <c r="C1180" s="2">
        <v>48</v>
      </c>
      <c r="D1180" s="2">
        <v>1.03</v>
      </c>
      <c r="E1180" s="2" t="s">
        <v>1180</v>
      </c>
    </row>
    <row r="1181" spans="1:5" x14ac:dyDescent="0.25">
      <c r="A1181" s="1">
        <v>48097</v>
      </c>
      <c r="B1181" s="2">
        <v>49</v>
      </c>
      <c r="C1181" s="2">
        <v>48</v>
      </c>
      <c r="D1181" s="2">
        <v>1.1000000000000001</v>
      </c>
      <c r="E1181" s="2" t="s">
        <v>1181</v>
      </c>
    </row>
    <row r="1182" spans="1:5" x14ac:dyDescent="0.25">
      <c r="A1182" s="1">
        <v>48098</v>
      </c>
      <c r="B1182" s="2">
        <v>50</v>
      </c>
      <c r="C1182" s="2">
        <v>48</v>
      </c>
      <c r="D1182" s="2">
        <v>9.1999999999999993</v>
      </c>
      <c r="E1182" s="2" t="s">
        <v>1182</v>
      </c>
    </row>
    <row r="1183" spans="1:5" x14ac:dyDescent="0.25">
      <c r="A1183" s="1">
        <v>48099</v>
      </c>
      <c r="B1183" s="2">
        <v>51</v>
      </c>
      <c r="C1183" s="2">
        <v>48</v>
      </c>
      <c r="D1183" s="2">
        <v>16</v>
      </c>
      <c r="E1183" s="2" t="s">
        <v>1183</v>
      </c>
    </row>
    <row r="1184" spans="1:5" x14ac:dyDescent="0.25">
      <c r="A1184" s="1">
        <v>48100</v>
      </c>
      <c r="B1184" s="2">
        <v>52</v>
      </c>
      <c r="C1184" s="2">
        <v>48</v>
      </c>
      <c r="D1184" s="2">
        <v>49.1</v>
      </c>
      <c r="E1184" s="2" t="s">
        <v>1184</v>
      </c>
    </row>
    <row r="1185" spans="1:5" x14ac:dyDescent="0.25">
      <c r="A1185" s="1">
        <v>48101</v>
      </c>
      <c r="B1185" s="2">
        <v>53</v>
      </c>
      <c r="C1185" s="2">
        <v>48</v>
      </c>
      <c r="D1185" s="2">
        <v>81.599999999999994</v>
      </c>
      <c r="E1185" s="2" t="s">
        <v>1185</v>
      </c>
    </row>
    <row r="1186" spans="1:5" x14ac:dyDescent="0.25">
      <c r="A1186" s="1">
        <v>48102</v>
      </c>
      <c r="B1186" s="2">
        <v>54</v>
      </c>
      <c r="C1186" s="2">
        <v>48</v>
      </c>
      <c r="D1186" s="2">
        <v>330</v>
      </c>
      <c r="E1186" s="2" t="s">
        <v>1186</v>
      </c>
    </row>
    <row r="1187" spans="1:5" x14ac:dyDescent="0.25">
      <c r="A1187" s="1">
        <v>48103</v>
      </c>
      <c r="B1187" s="2">
        <v>55</v>
      </c>
      <c r="C1187" s="2">
        <v>48</v>
      </c>
      <c r="D1187" s="2">
        <v>438</v>
      </c>
      <c r="E1187" s="2" t="s">
        <v>1187</v>
      </c>
    </row>
    <row r="1188" spans="1:5" x14ac:dyDescent="0.25">
      <c r="A1188" s="1">
        <v>48104</v>
      </c>
      <c r="B1188" s="2">
        <v>56</v>
      </c>
      <c r="C1188" s="2">
        <v>48</v>
      </c>
      <c r="D1188" s="2">
        <v>3462</v>
      </c>
      <c r="E1188" s="2" t="s">
        <v>1188</v>
      </c>
    </row>
    <row r="1189" spans="1:5" x14ac:dyDescent="0.25">
      <c r="A1189" s="1">
        <v>48105</v>
      </c>
      <c r="B1189" s="2">
        <v>57</v>
      </c>
      <c r="C1189" s="2">
        <v>48</v>
      </c>
      <c r="D1189" s="2">
        <v>3330</v>
      </c>
      <c r="E1189" s="2" t="s">
        <v>1189</v>
      </c>
    </row>
    <row r="1190" spans="1:5" x14ac:dyDescent="0.25">
      <c r="A1190" s="1">
        <v>48106</v>
      </c>
      <c r="B1190" s="2">
        <v>58</v>
      </c>
      <c r="C1190" s="2">
        <v>48</v>
      </c>
      <c r="D1190" s="2">
        <v>1.1360736E+28</v>
      </c>
      <c r="E1190" s="2" t="s">
        <v>1190</v>
      </c>
    </row>
    <row r="1191" spans="1:5" x14ac:dyDescent="0.25">
      <c r="A1191" s="1">
        <v>48107</v>
      </c>
      <c r="B1191" s="2">
        <v>59</v>
      </c>
      <c r="C1191" s="2">
        <v>48</v>
      </c>
      <c r="D1191" s="2">
        <v>23400</v>
      </c>
      <c r="E1191" s="2" t="s">
        <v>1191</v>
      </c>
    </row>
    <row r="1192" spans="1:5" x14ac:dyDescent="0.25">
      <c r="A1192" s="1">
        <v>48108</v>
      </c>
      <c r="B1192" s="2">
        <v>60</v>
      </c>
      <c r="C1192" s="2">
        <v>48</v>
      </c>
      <c r="D1192" s="2">
        <v>5.9959439999999997E+25</v>
      </c>
      <c r="E1192" s="2" t="s">
        <v>1192</v>
      </c>
    </row>
    <row r="1193" spans="1:5" x14ac:dyDescent="0.25">
      <c r="A1193" s="1">
        <v>48109</v>
      </c>
      <c r="B1193" s="2">
        <v>61</v>
      </c>
      <c r="C1193" s="2">
        <v>48</v>
      </c>
      <c r="D1193" s="2">
        <v>39864960</v>
      </c>
      <c r="E1193" s="2" t="s">
        <v>1193</v>
      </c>
    </row>
    <row r="1194" spans="1:5" x14ac:dyDescent="0.25">
      <c r="A1194" s="1">
        <v>48110</v>
      </c>
      <c r="B1194" s="2">
        <v>62</v>
      </c>
      <c r="C1194" s="2">
        <v>48</v>
      </c>
      <c r="D1194" s="2" t="s">
        <v>3</v>
      </c>
      <c r="E1194" s="2" t="s">
        <v>1194</v>
      </c>
    </row>
    <row r="1195" spans="1:5" x14ac:dyDescent="0.25">
      <c r="A1195" s="1">
        <v>48111</v>
      </c>
      <c r="B1195" s="2">
        <v>63</v>
      </c>
      <c r="C1195" s="2">
        <v>48</v>
      </c>
      <c r="D1195" s="2" t="s">
        <v>3</v>
      </c>
      <c r="E1195" s="2" t="s">
        <v>1195</v>
      </c>
    </row>
    <row r="1196" spans="1:5" x14ac:dyDescent="0.25">
      <c r="A1196" s="1">
        <v>48112</v>
      </c>
      <c r="B1196" s="2">
        <v>64</v>
      </c>
      <c r="C1196" s="2">
        <v>48</v>
      </c>
      <c r="D1196" s="2" t="s">
        <v>3</v>
      </c>
      <c r="E1196" s="2" t="s">
        <v>1196</v>
      </c>
    </row>
    <row r="1197" spans="1:5" x14ac:dyDescent="0.25">
      <c r="A1197" s="1">
        <v>48113</v>
      </c>
      <c r="B1197" s="2">
        <v>65</v>
      </c>
      <c r="C1197" s="2">
        <v>48</v>
      </c>
      <c r="D1197" s="2">
        <v>2.5246080000000001E+23</v>
      </c>
      <c r="E1197" s="2" t="s">
        <v>1197</v>
      </c>
    </row>
    <row r="1198" spans="1:5" x14ac:dyDescent="0.25">
      <c r="A1198" s="1">
        <v>48114</v>
      </c>
      <c r="B1198" s="2">
        <v>66</v>
      </c>
      <c r="C1198" s="2">
        <v>48</v>
      </c>
      <c r="D1198" s="2">
        <v>6.627096E+25</v>
      </c>
      <c r="E1198" s="2" t="s">
        <v>1198</v>
      </c>
    </row>
    <row r="1199" spans="1:5" x14ac:dyDescent="0.25">
      <c r="A1199" s="1">
        <v>48115</v>
      </c>
      <c r="B1199" s="2">
        <v>67</v>
      </c>
      <c r="C1199" s="2">
        <v>48</v>
      </c>
      <c r="D1199" s="2">
        <v>192456</v>
      </c>
      <c r="E1199" s="2" t="s">
        <v>1199</v>
      </c>
    </row>
    <row r="1200" spans="1:5" x14ac:dyDescent="0.25">
      <c r="A1200" s="1">
        <v>48116</v>
      </c>
      <c r="B1200" s="2">
        <v>68</v>
      </c>
      <c r="C1200" s="2">
        <v>48</v>
      </c>
      <c r="D1200" s="2">
        <v>1.0414008E+27</v>
      </c>
      <c r="E1200" s="2" t="s">
        <v>1200</v>
      </c>
    </row>
    <row r="1201" spans="1:5" x14ac:dyDescent="0.25">
      <c r="A1201" s="1">
        <v>48117</v>
      </c>
      <c r="B1201" s="2">
        <v>69</v>
      </c>
      <c r="C1201" s="2">
        <v>48</v>
      </c>
      <c r="D1201" s="2">
        <v>8964</v>
      </c>
      <c r="E1201" s="2" t="s">
        <v>1201</v>
      </c>
    </row>
    <row r="1202" spans="1:5" x14ac:dyDescent="0.25">
      <c r="A1202" s="1">
        <v>48118</v>
      </c>
      <c r="B1202" s="2">
        <v>70</v>
      </c>
      <c r="C1202" s="2">
        <v>48</v>
      </c>
      <c r="D1202" s="2">
        <v>3018</v>
      </c>
      <c r="E1202" s="2" t="s">
        <v>1202</v>
      </c>
    </row>
    <row r="1203" spans="1:5" x14ac:dyDescent="0.25">
      <c r="A1203" s="1">
        <v>48119</v>
      </c>
      <c r="B1203" s="2">
        <v>71</v>
      </c>
      <c r="C1203" s="2">
        <v>48</v>
      </c>
      <c r="D1203" s="2">
        <v>161.4</v>
      </c>
      <c r="E1203" s="2" t="s">
        <v>1203</v>
      </c>
    </row>
    <row r="1204" spans="1:5" x14ac:dyDescent="0.25">
      <c r="A1204" s="1">
        <v>48120</v>
      </c>
      <c r="B1204" s="2">
        <v>72</v>
      </c>
      <c r="C1204" s="2">
        <v>48</v>
      </c>
      <c r="D1204" s="2">
        <v>50.8</v>
      </c>
      <c r="E1204" s="2" t="s">
        <v>1204</v>
      </c>
    </row>
    <row r="1205" spans="1:5" x14ac:dyDescent="0.25">
      <c r="A1205" s="1">
        <v>48121</v>
      </c>
      <c r="B1205" s="2">
        <v>73</v>
      </c>
      <c r="C1205" s="2">
        <v>48</v>
      </c>
      <c r="D1205" s="2">
        <v>13.5</v>
      </c>
      <c r="E1205" s="2" t="s">
        <v>1205</v>
      </c>
    </row>
    <row r="1206" spans="1:5" x14ac:dyDescent="0.25">
      <c r="A1206" s="1">
        <v>48122</v>
      </c>
      <c r="B1206" s="2">
        <v>74</v>
      </c>
      <c r="C1206" s="2">
        <v>48</v>
      </c>
      <c r="D1206" s="2">
        <v>5.24</v>
      </c>
      <c r="E1206" s="2" t="s">
        <v>1206</v>
      </c>
    </row>
    <row r="1207" spans="1:5" x14ac:dyDescent="0.25">
      <c r="A1207" s="1">
        <v>48123</v>
      </c>
      <c r="B1207" s="2">
        <v>75</v>
      </c>
      <c r="C1207" s="2">
        <v>48</v>
      </c>
      <c r="D1207" s="2">
        <v>2.1</v>
      </c>
      <c r="E1207" s="2" t="s">
        <v>1207</v>
      </c>
    </row>
    <row r="1208" spans="1:5" x14ac:dyDescent="0.25">
      <c r="A1208" s="1">
        <v>48124</v>
      </c>
      <c r="B1208" s="2">
        <v>76</v>
      </c>
      <c r="C1208" s="2">
        <v>48</v>
      </c>
      <c r="D1208" s="2">
        <v>1.25</v>
      </c>
      <c r="E1208" s="2" t="s">
        <v>1208</v>
      </c>
    </row>
    <row r="1209" spans="1:5" x14ac:dyDescent="0.25">
      <c r="A1209" s="1">
        <v>48125</v>
      </c>
      <c r="B1209" s="2">
        <v>77</v>
      </c>
      <c r="C1209" s="2">
        <v>48</v>
      </c>
      <c r="D1209" s="2">
        <v>0.68</v>
      </c>
      <c r="E1209" s="2" t="s">
        <v>1209</v>
      </c>
    </row>
    <row r="1210" spans="1:5" x14ac:dyDescent="0.25">
      <c r="A1210" s="1">
        <v>48126</v>
      </c>
      <c r="B1210" s="2">
        <v>78</v>
      </c>
      <c r="C1210" s="2">
        <v>48</v>
      </c>
      <c r="D1210" s="2">
        <v>0.51500000000000001</v>
      </c>
      <c r="E1210" s="2" t="s">
        <v>1210</v>
      </c>
    </row>
    <row r="1211" spans="1:5" x14ac:dyDescent="0.25">
      <c r="A1211" s="1">
        <v>48127</v>
      </c>
      <c r="B1211" s="2">
        <v>79</v>
      </c>
      <c r="C1211" s="2">
        <v>48</v>
      </c>
      <c r="D1211" s="2">
        <v>0.37</v>
      </c>
      <c r="E1211" s="2" t="s">
        <v>1211</v>
      </c>
    </row>
    <row r="1212" spans="1:5" x14ac:dyDescent="0.25">
      <c r="A1212" s="1">
        <v>48128</v>
      </c>
      <c r="B1212" s="2">
        <v>80</v>
      </c>
      <c r="C1212" s="2">
        <v>48</v>
      </c>
      <c r="D1212" s="2">
        <v>0.28000000000000003</v>
      </c>
      <c r="E1212" s="2" t="s">
        <v>1212</v>
      </c>
    </row>
    <row r="1213" spans="1:5" x14ac:dyDescent="0.25">
      <c r="A1213" s="1">
        <v>48129</v>
      </c>
      <c r="B1213" s="2">
        <v>81</v>
      </c>
      <c r="C1213" s="2">
        <v>48</v>
      </c>
      <c r="D1213" s="2">
        <v>0.154</v>
      </c>
      <c r="E1213" s="2" t="s">
        <v>1213</v>
      </c>
    </row>
    <row r="1214" spans="1:5" x14ac:dyDescent="0.25">
      <c r="A1214" s="1">
        <v>48130</v>
      </c>
      <c r="B1214" s="2">
        <v>82</v>
      </c>
      <c r="C1214" s="2">
        <v>48</v>
      </c>
      <c r="D1214" s="2">
        <v>0.16200000000000001</v>
      </c>
      <c r="E1214" s="2" t="s">
        <v>1214</v>
      </c>
    </row>
    <row r="1215" spans="1:5" x14ac:dyDescent="0.25">
      <c r="A1215" s="1">
        <v>48131</v>
      </c>
      <c r="B1215" s="2">
        <v>83</v>
      </c>
      <c r="C1215" s="2">
        <v>48</v>
      </c>
      <c r="D1215" s="2">
        <v>6.8000000000000005E-2</v>
      </c>
      <c r="E1215" s="2" t="s">
        <v>1215</v>
      </c>
    </row>
    <row r="1216" spans="1:5" x14ac:dyDescent="0.25">
      <c r="A1216" s="1">
        <v>48132</v>
      </c>
      <c r="B1216" s="2">
        <v>84</v>
      </c>
      <c r="C1216" s="2">
        <v>48</v>
      </c>
      <c r="D1216" s="2">
        <v>9.7000000000000003E-2</v>
      </c>
      <c r="E1216" s="2" t="s">
        <v>1216</v>
      </c>
    </row>
    <row r="1217" spans="1:5" x14ac:dyDescent="0.25">
      <c r="A1217" s="1">
        <v>48133</v>
      </c>
      <c r="B1217" s="2">
        <v>85</v>
      </c>
      <c r="C1217" s="2">
        <v>48</v>
      </c>
      <c r="D1217" s="2">
        <v>5.7000000000000002E-2</v>
      </c>
      <c r="E1217" s="2" t="s">
        <v>1217</v>
      </c>
    </row>
    <row r="1218" spans="1:5" x14ac:dyDescent="0.25">
      <c r="A1218" s="1">
        <v>48134</v>
      </c>
      <c r="B1218" s="2">
        <v>86</v>
      </c>
      <c r="C1218" s="2">
        <v>48</v>
      </c>
      <c r="D1218" s="2">
        <v>6.5000000000000002E-2</v>
      </c>
      <c r="E1218" s="2" t="s">
        <v>1218</v>
      </c>
    </row>
    <row r="1219" spans="1:5" x14ac:dyDescent="0.25">
      <c r="A1219" s="1">
        <v>49098</v>
      </c>
      <c r="B1219" s="2">
        <v>49</v>
      </c>
      <c r="C1219" s="2">
        <v>49</v>
      </c>
      <c r="D1219" s="2">
        <v>3.2000000000000001E-2</v>
      </c>
      <c r="E1219" s="2" t="s">
        <v>1219</v>
      </c>
    </row>
    <row r="1220" spans="1:5" x14ac:dyDescent="0.25">
      <c r="A1220" s="1">
        <v>49099</v>
      </c>
      <c r="B1220" s="2">
        <v>50</v>
      </c>
      <c r="C1220" s="2">
        <v>49</v>
      </c>
      <c r="D1220" s="2">
        <v>3</v>
      </c>
      <c r="E1220" s="2" t="s">
        <v>1220</v>
      </c>
    </row>
    <row r="1221" spans="1:5" x14ac:dyDescent="0.25">
      <c r="A1221" s="1">
        <v>49100</v>
      </c>
      <c r="B1221" s="2">
        <v>51</v>
      </c>
      <c r="C1221" s="2">
        <v>49</v>
      </c>
      <c r="D1221" s="2">
        <v>5.8</v>
      </c>
      <c r="E1221" s="2" t="s">
        <v>1221</v>
      </c>
    </row>
    <row r="1222" spans="1:5" x14ac:dyDescent="0.25">
      <c r="A1222" s="1">
        <v>49101</v>
      </c>
      <c r="B1222" s="2">
        <v>52</v>
      </c>
      <c r="C1222" s="2">
        <v>49</v>
      </c>
      <c r="D1222" s="2">
        <v>15.1</v>
      </c>
      <c r="E1222" s="2" t="s">
        <v>1222</v>
      </c>
    </row>
    <row r="1223" spans="1:5" x14ac:dyDescent="0.25">
      <c r="A1223" s="1">
        <v>49102</v>
      </c>
      <c r="B1223" s="2">
        <v>53</v>
      </c>
      <c r="C1223" s="2">
        <v>49</v>
      </c>
      <c r="D1223" s="2">
        <v>23.3</v>
      </c>
      <c r="E1223" s="2" t="s">
        <v>1223</v>
      </c>
    </row>
    <row r="1224" spans="1:5" x14ac:dyDescent="0.25">
      <c r="A1224" s="1">
        <v>49103</v>
      </c>
      <c r="B1224" s="2">
        <v>54</v>
      </c>
      <c r="C1224" s="2">
        <v>49</v>
      </c>
      <c r="D1224" s="2">
        <v>65</v>
      </c>
      <c r="E1224" s="2" t="s">
        <v>1224</v>
      </c>
    </row>
    <row r="1225" spans="1:5" x14ac:dyDescent="0.25">
      <c r="A1225" s="1">
        <v>49104</v>
      </c>
      <c r="B1225" s="2">
        <v>55</v>
      </c>
      <c r="C1225" s="2">
        <v>49</v>
      </c>
      <c r="D1225" s="2">
        <v>108</v>
      </c>
      <c r="E1225" s="2" t="s">
        <v>1225</v>
      </c>
    </row>
    <row r="1226" spans="1:5" x14ac:dyDescent="0.25">
      <c r="A1226" s="1">
        <v>49105</v>
      </c>
      <c r="B1226" s="2">
        <v>56</v>
      </c>
      <c r="C1226" s="2">
        <v>49</v>
      </c>
      <c r="D1226" s="2">
        <v>304.2</v>
      </c>
      <c r="E1226" s="2" t="s">
        <v>1226</v>
      </c>
    </row>
    <row r="1227" spans="1:5" x14ac:dyDescent="0.25">
      <c r="A1227" s="1">
        <v>49106</v>
      </c>
      <c r="B1227" s="2">
        <v>57</v>
      </c>
      <c r="C1227" s="2">
        <v>49</v>
      </c>
      <c r="D1227" s="2">
        <v>372</v>
      </c>
      <c r="E1227" s="2" t="s">
        <v>1227</v>
      </c>
    </row>
    <row r="1228" spans="1:5" x14ac:dyDescent="0.25">
      <c r="A1228" s="1">
        <v>49107</v>
      </c>
      <c r="B1228" s="2">
        <v>58</v>
      </c>
      <c r="C1228" s="2">
        <v>49</v>
      </c>
      <c r="D1228" s="2">
        <v>1944</v>
      </c>
      <c r="E1228" s="2" t="s">
        <v>1228</v>
      </c>
    </row>
    <row r="1229" spans="1:5" x14ac:dyDescent="0.25">
      <c r="A1229" s="1">
        <v>49108</v>
      </c>
      <c r="B1229" s="2">
        <v>59</v>
      </c>
      <c r="C1229" s="2">
        <v>49</v>
      </c>
      <c r="D1229" s="2">
        <v>3480</v>
      </c>
      <c r="E1229" s="2" t="s">
        <v>1229</v>
      </c>
    </row>
    <row r="1230" spans="1:5" x14ac:dyDescent="0.25">
      <c r="A1230" s="1">
        <v>49109</v>
      </c>
      <c r="B1230" s="2">
        <v>60</v>
      </c>
      <c r="C1230" s="2">
        <v>49</v>
      </c>
      <c r="D1230" s="2">
        <v>15001.199999999901</v>
      </c>
      <c r="E1230" s="2" t="s">
        <v>1230</v>
      </c>
    </row>
    <row r="1231" spans="1:5" x14ac:dyDescent="0.25">
      <c r="A1231" s="1">
        <v>49110</v>
      </c>
      <c r="B1231" s="2">
        <v>61</v>
      </c>
      <c r="C1231" s="2">
        <v>49</v>
      </c>
      <c r="D1231" s="2">
        <v>17640</v>
      </c>
      <c r="E1231" s="2" t="s">
        <v>1231</v>
      </c>
    </row>
    <row r="1232" spans="1:5" x14ac:dyDescent="0.25">
      <c r="A1232" s="1">
        <v>49111</v>
      </c>
      <c r="B1232" s="2">
        <v>62</v>
      </c>
      <c r="C1232" s="2">
        <v>49</v>
      </c>
      <c r="D1232" s="2">
        <v>242326.08</v>
      </c>
      <c r="E1232" s="2" t="s">
        <v>1232</v>
      </c>
    </row>
    <row r="1233" spans="1:5" x14ac:dyDescent="0.25">
      <c r="A1233" s="1">
        <v>49112</v>
      </c>
      <c r="B1233" s="2">
        <v>63</v>
      </c>
      <c r="C1233" s="2">
        <v>49</v>
      </c>
      <c r="D1233" s="2">
        <v>892.8</v>
      </c>
      <c r="E1233" s="2" t="s">
        <v>1233</v>
      </c>
    </row>
    <row r="1234" spans="1:5" x14ac:dyDescent="0.25">
      <c r="A1234" s="1">
        <v>49113</v>
      </c>
      <c r="B1234" s="2">
        <v>64</v>
      </c>
      <c r="C1234" s="2">
        <v>49</v>
      </c>
      <c r="D1234" s="2" t="s">
        <v>3</v>
      </c>
      <c r="E1234" s="2" t="s">
        <v>1234</v>
      </c>
    </row>
    <row r="1235" spans="1:5" x14ac:dyDescent="0.25">
      <c r="A1235" s="1">
        <v>49114</v>
      </c>
      <c r="B1235" s="2">
        <v>65</v>
      </c>
      <c r="C1235" s="2">
        <v>49</v>
      </c>
      <c r="D1235" s="2">
        <v>71.900000000000006</v>
      </c>
      <c r="E1235" s="2" t="s">
        <v>1235</v>
      </c>
    </row>
    <row r="1236" spans="1:5" x14ac:dyDescent="0.25">
      <c r="A1236" s="1">
        <v>49115</v>
      </c>
      <c r="B1236" s="2">
        <v>66</v>
      </c>
      <c r="C1236" s="2">
        <v>49</v>
      </c>
      <c r="D1236" s="2">
        <v>1.3916901599999999E+22</v>
      </c>
      <c r="E1236" s="2" t="s">
        <v>1236</v>
      </c>
    </row>
    <row r="1237" spans="1:5" x14ac:dyDescent="0.25">
      <c r="A1237" s="1">
        <v>49116</v>
      </c>
      <c r="B1237" s="2">
        <v>67</v>
      </c>
      <c r="C1237" s="2">
        <v>49</v>
      </c>
      <c r="D1237" s="2">
        <v>14.1</v>
      </c>
      <c r="E1237" s="2" t="s">
        <v>1237</v>
      </c>
    </row>
    <row r="1238" spans="1:5" x14ac:dyDescent="0.25">
      <c r="A1238" s="1">
        <v>49117</v>
      </c>
      <c r="B1238" s="2">
        <v>68</v>
      </c>
      <c r="C1238" s="2">
        <v>49</v>
      </c>
      <c r="D1238" s="2">
        <v>2592</v>
      </c>
      <c r="E1238" s="2" t="s">
        <v>1238</v>
      </c>
    </row>
    <row r="1239" spans="1:5" x14ac:dyDescent="0.25">
      <c r="A1239" s="1">
        <v>49118</v>
      </c>
      <c r="B1239" s="2">
        <v>69</v>
      </c>
      <c r="C1239" s="2">
        <v>49</v>
      </c>
      <c r="D1239" s="2">
        <v>5</v>
      </c>
      <c r="E1239" s="2" t="s">
        <v>1239</v>
      </c>
    </row>
    <row r="1240" spans="1:5" x14ac:dyDescent="0.25">
      <c r="A1240" s="1">
        <v>49119</v>
      </c>
      <c r="B1240" s="2">
        <v>70</v>
      </c>
      <c r="C1240" s="2">
        <v>49</v>
      </c>
      <c r="D1240" s="2">
        <v>144</v>
      </c>
      <c r="E1240" s="2" t="s">
        <v>1240</v>
      </c>
    </row>
    <row r="1241" spans="1:5" x14ac:dyDescent="0.25">
      <c r="A1241" s="1">
        <v>49120</v>
      </c>
      <c r="B1241" s="2">
        <v>71</v>
      </c>
      <c r="C1241" s="2">
        <v>49</v>
      </c>
      <c r="D1241" s="2">
        <v>3.08</v>
      </c>
      <c r="E1241" s="2" t="s">
        <v>1241</v>
      </c>
    </row>
    <row r="1242" spans="1:5" x14ac:dyDescent="0.25">
      <c r="A1242" s="1">
        <v>49121</v>
      </c>
      <c r="B1242" s="2">
        <v>72</v>
      </c>
      <c r="C1242" s="2">
        <v>49</v>
      </c>
      <c r="D1242" s="2">
        <v>23.1</v>
      </c>
      <c r="E1242" s="2" t="s">
        <v>1242</v>
      </c>
    </row>
    <row r="1243" spans="1:5" x14ac:dyDescent="0.25">
      <c r="A1243" s="1">
        <v>49122</v>
      </c>
      <c r="B1243" s="2">
        <v>73</v>
      </c>
      <c r="C1243" s="2">
        <v>49</v>
      </c>
      <c r="D1243" s="2">
        <v>1.5</v>
      </c>
      <c r="E1243" s="2" t="s">
        <v>1243</v>
      </c>
    </row>
    <row r="1244" spans="1:5" x14ac:dyDescent="0.25">
      <c r="A1244" s="1">
        <v>49123</v>
      </c>
      <c r="B1244" s="2">
        <v>74</v>
      </c>
      <c r="C1244" s="2">
        <v>49</v>
      </c>
      <c r="D1244" s="2">
        <v>6.17</v>
      </c>
      <c r="E1244" s="2" t="s">
        <v>1244</v>
      </c>
    </row>
    <row r="1245" spans="1:5" x14ac:dyDescent="0.25">
      <c r="A1245" s="1">
        <v>49124</v>
      </c>
      <c r="B1245" s="2">
        <v>75</v>
      </c>
      <c r="C1245" s="2">
        <v>49</v>
      </c>
      <c r="D1245" s="2">
        <v>3.12</v>
      </c>
      <c r="E1245" s="2" t="s">
        <v>1245</v>
      </c>
    </row>
    <row r="1246" spans="1:5" x14ac:dyDescent="0.25">
      <c r="A1246" s="1">
        <v>49125</v>
      </c>
      <c r="B1246" s="2">
        <v>76</v>
      </c>
      <c r="C1246" s="2">
        <v>49</v>
      </c>
      <c r="D1246" s="2">
        <v>2.36</v>
      </c>
      <c r="E1246" s="2" t="s">
        <v>1246</v>
      </c>
    </row>
    <row r="1247" spans="1:5" x14ac:dyDescent="0.25">
      <c r="A1247" s="1">
        <v>49126</v>
      </c>
      <c r="B1247" s="2">
        <v>77</v>
      </c>
      <c r="C1247" s="2">
        <v>49</v>
      </c>
      <c r="D1247" s="2">
        <v>1.53</v>
      </c>
      <c r="E1247" s="2" t="s">
        <v>1247</v>
      </c>
    </row>
    <row r="1248" spans="1:5" x14ac:dyDescent="0.25">
      <c r="A1248" s="1">
        <v>49127</v>
      </c>
      <c r="B1248" s="2">
        <v>78</v>
      </c>
      <c r="C1248" s="2">
        <v>49</v>
      </c>
      <c r="D1248" s="2">
        <v>1.0900000000000001</v>
      </c>
      <c r="E1248" s="2" t="s">
        <v>1248</v>
      </c>
    </row>
    <row r="1249" spans="1:5" x14ac:dyDescent="0.25">
      <c r="A1249" s="1">
        <v>49128</v>
      </c>
      <c r="B1249" s="2">
        <v>79</v>
      </c>
      <c r="C1249" s="2">
        <v>49</v>
      </c>
      <c r="D1249" s="2">
        <v>0.84</v>
      </c>
      <c r="E1249" s="2" t="s">
        <v>1249</v>
      </c>
    </row>
    <row r="1250" spans="1:5" x14ac:dyDescent="0.25">
      <c r="A1250" s="1">
        <v>49129</v>
      </c>
      <c r="B1250" s="2">
        <v>80</v>
      </c>
      <c r="C1250" s="2">
        <v>49</v>
      </c>
      <c r="D1250" s="2">
        <v>0.61099999999999999</v>
      </c>
      <c r="E1250" s="2" t="s">
        <v>1250</v>
      </c>
    </row>
    <row r="1251" spans="1:5" x14ac:dyDescent="0.25">
      <c r="A1251" s="1">
        <v>49130</v>
      </c>
      <c r="B1251" s="2">
        <v>81</v>
      </c>
      <c r="C1251" s="2">
        <v>49</v>
      </c>
      <c r="D1251" s="2">
        <v>0.28999999999999998</v>
      </c>
      <c r="E1251" s="2" t="s">
        <v>1251</v>
      </c>
    </row>
    <row r="1252" spans="1:5" x14ac:dyDescent="0.25">
      <c r="A1252" s="1">
        <v>49131</v>
      </c>
      <c r="B1252" s="2">
        <v>82</v>
      </c>
      <c r="C1252" s="2">
        <v>49</v>
      </c>
      <c r="D1252" s="2">
        <v>0.28000000000000003</v>
      </c>
      <c r="E1252" s="2" t="s">
        <v>1252</v>
      </c>
    </row>
    <row r="1253" spans="1:5" x14ac:dyDescent="0.25">
      <c r="A1253" s="1">
        <v>49132</v>
      </c>
      <c r="B1253" s="2">
        <v>83</v>
      </c>
      <c r="C1253" s="2">
        <v>49</v>
      </c>
      <c r="D1253" s="2">
        <v>0.20699999999999999</v>
      </c>
      <c r="E1253" s="2" t="s">
        <v>1253</v>
      </c>
    </row>
    <row r="1254" spans="1:5" x14ac:dyDescent="0.25">
      <c r="A1254" s="1">
        <v>49133</v>
      </c>
      <c r="B1254" s="2">
        <v>84</v>
      </c>
      <c r="C1254" s="2">
        <v>49</v>
      </c>
      <c r="D1254" s="2">
        <v>0.16500000000000001</v>
      </c>
      <c r="E1254" s="2" t="s">
        <v>1254</v>
      </c>
    </row>
    <row r="1255" spans="1:5" x14ac:dyDescent="0.25">
      <c r="A1255" s="1">
        <v>49134</v>
      </c>
      <c r="B1255" s="2">
        <v>85</v>
      </c>
      <c r="C1255" s="2">
        <v>49</v>
      </c>
      <c r="D1255" s="2">
        <v>0.14000000000000001</v>
      </c>
      <c r="E1255" s="2" t="s">
        <v>1255</v>
      </c>
    </row>
    <row r="1256" spans="1:5" x14ac:dyDescent="0.25">
      <c r="A1256" s="1">
        <v>49135</v>
      </c>
      <c r="B1256" s="2">
        <v>86</v>
      </c>
      <c r="C1256" s="2">
        <v>49</v>
      </c>
      <c r="D1256" s="2">
        <v>9.1999999999999998E-2</v>
      </c>
      <c r="E1256" s="2" t="s">
        <v>1256</v>
      </c>
    </row>
    <row r="1257" spans="1:5" x14ac:dyDescent="0.25">
      <c r="A1257" s="1">
        <v>49136</v>
      </c>
      <c r="B1257" s="2">
        <v>87</v>
      </c>
      <c r="C1257" s="2">
        <v>49</v>
      </c>
      <c r="D1257" s="2">
        <v>8.5000000000000006E-2</v>
      </c>
      <c r="E1257" s="2" t="s">
        <v>1257</v>
      </c>
    </row>
    <row r="1258" spans="1:5" x14ac:dyDescent="0.25">
      <c r="A1258" s="1">
        <v>49137</v>
      </c>
      <c r="B1258" s="2">
        <v>88</v>
      </c>
      <c r="C1258" s="2">
        <v>49</v>
      </c>
      <c r="D1258" s="2">
        <v>6.5000000000000002E-2</v>
      </c>
      <c r="E1258" s="2" t="s">
        <v>1258</v>
      </c>
    </row>
    <row r="1259" spans="1:5" x14ac:dyDescent="0.25">
      <c r="A1259" s="1">
        <v>50100</v>
      </c>
      <c r="B1259" s="2">
        <v>50</v>
      </c>
      <c r="C1259" s="2">
        <v>50</v>
      </c>
      <c r="D1259" s="2">
        <v>1.1599999999999999</v>
      </c>
      <c r="E1259" s="2" t="s">
        <v>1259</v>
      </c>
    </row>
    <row r="1260" spans="1:5" x14ac:dyDescent="0.25">
      <c r="A1260" s="1">
        <v>50101</v>
      </c>
      <c r="B1260" s="2">
        <v>51</v>
      </c>
      <c r="C1260" s="2">
        <v>50</v>
      </c>
      <c r="D1260" s="2">
        <v>1.7</v>
      </c>
      <c r="E1260" s="2" t="s">
        <v>1260</v>
      </c>
    </row>
    <row r="1261" spans="1:5" x14ac:dyDescent="0.25">
      <c r="A1261" s="1">
        <v>50102</v>
      </c>
      <c r="B1261" s="2">
        <v>52</v>
      </c>
      <c r="C1261" s="2">
        <v>50</v>
      </c>
      <c r="D1261" s="2">
        <v>3.8</v>
      </c>
      <c r="E1261" s="2" t="s">
        <v>1261</v>
      </c>
    </row>
    <row r="1262" spans="1:5" x14ac:dyDescent="0.25">
      <c r="A1262" s="1">
        <v>50103</v>
      </c>
      <c r="B1262" s="2">
        <v>53</v>
      </c>
      <c r="C1262" s="2">
        <v>50</v>
      </c>
      <c r="D1262" s="2">
        <v>7</v>
      </c>
      <c r="E1262" s="2" t="s">
        <v>1262</v>
      </c>
    </row>
    <row r="1263" spans="1:5" x14ac:dyDescent="0.25">
      <c r="A1263" s="1">
        <v>50104</v>
      </c>
      <c r="B1263" s="2">
        <v>54</v>
      </c>
      <c r="C1263" s="2">
        <v>50</v>
      </c>
      <c r="D1263" s="2">
        <v>20.8</v>
      </c>
      <c r="E1263" s="2" t="s">
        <v>1263</v>
      </c>
    </row>
    <row r="1264" spans="1:5" x14ac:dyDescent="0.25">
      <c r="A1264" s="1">
        <v>50105</v>
      </c>
      <c r="B1264" s="2">
        <v>55</v>
      </c>
      <c r="C1264" s="2">
        <v>50</v>
      </c>
      <c r="D1264" s="2">
        <v>32.700000000000003</v>
      </c>
      <c r="E1264" s="2" t="s">
        <v>1264</v>
      </c>
    </row>
    <row r="1265" spans="1:5" x14ac:dyDescent="0.25">
      <c r="A1265" s="1">
        <v>50106</v>
      </c>
      <c r="B1265" s="2">
        <v>56</v>
      </c>
      <c r="C1265" s="2">
        <v>50</v>
      </c>
      <c r="D1265" s="2">
        <v>115</v>
      </c>
      <c r="E1265" s="2" t="s">
        <v>1265</v>
      </c>
    </row>
    <row r="1266" spans="1:5" x14ac:dyDescent="0.25">
      <c r="A1266" s="1">
        <v>50107</v>
      </c>
      <c r="B1266" s="2">
        <v>57</v>
      </c>
      <c r="C1266" s="2">
        <v>50</v>
      </c>
      <c r="D1266" s="2">
        <v>174</v>
      </c>
      <c r="E1266" s="2" t="s">
        <v>1266</v>
      </c>
    </row>
    <row r="1267" spans="1:5" x14ac:dyDescent="0.25">
      <c r="A1267" s="1">
        <v>50108</v>
      </c>
      <c r="B1267" s="2">
        <v>58</v>
      </c>
      <c r="C1267" s="2">
        <v>50</v>
      </c>
      <c r="D1267" s="2">
        <v>618</v>
      </c>
      <c r="E1267" s="2" t="s">
        <v>1267</v>
      </c>
    </row>
    <row r="1268" spans="1:5" x14ac:dyDescent="0.25">
      <c r="A1268" s="1">
        <v>50109</v>
      </c>
      <c r="B1268" s="2">
        <v>59</v>
      </c>
      <c r="C1268" s="2">
        <v>50</v>
      </c>
      <c r="D1268" s="2">
        <v>1080</v>
      </c>
      <c r="E1268" s="2" t="s">
        <v>1268</v>
      </c>
    </row>
    <row r="1269" spans="1:5" x14ac:dyDescent="0.25">
      <c r="A1269" s="1">
        <v>50110</v>
      </c>
      <c r="B1269" s="2">
        <v>60</v>
      </c>
      <c r="C1269" s="2">
        <v>50</v>
      </c>
      <c r="D1269" s="2">
        <v>14796</v>
      </c>
      <c r="E1269" s="2" t="s">
        <v>1269</v>
      </c>
    </row>
    <row r="1270" spans="1:5" x14ac:dyDescent="0.25">
      <c r="A1270" s="1">
        <v>50111</v>
      </c>
      <c r="B1270" s="2">
        <v>61</v>
      </c>
      <c r="C1270" s="2">
        <v>50</v>
      </c>
      <c r="D1270" s="2">
        <v>2118</v>
      </c>
      <c r="E1270" s="2" t="s">
        <v>1270</v>
      </c>
    </row>
    <row r="1271" spans="1:5" x14ac:dyDescent="0.25">
      <c r="A1271" s="1">
        <v>50113</v>
      </c>
      <c r="B1271" s="2">
        <v>63</v>
      </c>
      <c r="C1271" s="2">
        <v>50</v>
      </c>
      <c r="D1271" s="2">
        <v>9943776</v>
      </c>
      <c r="E1271" s="2" t="s">
        <v>1271</v>
      </c>
    </row>
    <row r="1272" spans="1:5" x14ac:dyDescent="0.25">
      <c r="A1272" s="1">
        <v>50114</v>
      </c>
      <c r="B1272" s="2">
        <v>64</v>
      </c>
      <c r="C1272" s="2">
        <v>50</v>
      </c>
      <c r="D1272" s="2" t="s">
        <v>3</v>
      </c>
      <c r="E1272" s="2" t="s">
        <v>1272</v>
      </c>
    </row>
    <row r="1273" spans="1:5" x14ac:dyDescent="0.25">
      <c r="A1273" s="1">
        <v>50115</v>
      </c>
      <c r="B1273" s="2">
        <v>65</v>
      </c>
      <c r="C1273" s="2">
        <v>50</v>
      </c>
      <c r="D1273" s="2" t="s">
        <v>3</v>
      </c>
      <c r="E1273" s="2" t="s">
        <v>1273</v>
      </c>
    </row>
    <row r="1274" spans="1:5" x14ac:dyDescent="0.25">
      <c r="A1274" s="1">
        <v>50116</v>
      </c>
      <c r="B1274" s="2">
        <v>66</v>
      </c>
      <c r="C1274" s="2">
        <v>50</v>
      </c>
      <c r="D1274" s="2" t="s">
        <v>3</v>
      </c>
      <c r="E1274" s="2" t="s">
        <v>1274</v>
      </c>
    </row>
    <row r="1275" spans="1:5" x14ac:dyDescent="0.25">
      <c r="A1275" s="1">
        <v>50117</v>
      </c>
      <c r="B1275" s="2">
        <v>67</v>
      </c>
      <c r="C1275" s="2">
        <v>50</v>
      </c>
      <c r="D1275" s="2" t="s">
        <v>3</v>
      </c>
      <c r="E1275" s="2" t="s">
        <v>1275</v>
      </c>
    </row>
    <row r="1276" spans="1:5" x14ac:dyDescent="0.25">
      <c r="A1276" s="1">
        <v>50118</v>
      </c>
      <c r="B1276" s="2">
        <v>68</v>
      </c>
      <c r="C1276" s="2">
        <v>50</v>
      </c>
      <c r="D1276" s="2" t="s">
        <v>3</v>
      </c>
      <c r="E1276" s="2" t="s">
        <v>1276</v>
      </c>
    </row>
    <row r="1277" spans="1:5" x14ac:dyDescent="0.25">
      <c r="A1277" s="1">
        <v>50119</v>
      </c>
      <c r="B1277" s="2">
        <v>69</v>
      </c>
      <c r="C1277" s="2">
        <v>50</v>
      </c>
      <c r="D1277" s="2" t="s">
        <v>3</v>
      </c>
      <c r="E1277" s="2" t="s">
        <v>1277</v>
      </c>
    </row>
    <row r="1278" spans="1:5" x14ac:dyDescent="0.25">
      <c r="A1278" s="1">
        <v>50120</v>
      </c>
      <c r="B1278" s="2">
        <v>70</v>
      </c>
      <c r="C1278" s="2">
        <v>50</v>
      </c>
      <c r="D1278" s="2" t="s">
        <v>3</v>
      </c>
      <c r="E1278" s="2" t="s">
        <v>1278</v>
      </c>
    </row>
    <row r="1279" spans="1:5" x14ac:dyDescent="0.25">
      <c r="A1279" s="1">
        <v>50121</v>
      </c>
      <c r="B1279" s="2">
        <v>71</v>
      </c>
      <c r="C1279" s="2">
        <v>50</v>
      </c>
      <c r="D1279" s="2">
        <v>97308</v>
      </c>
      <c r="E1279" s="2" t="s">
        <v>1279</v>
      </c>
    </row>
    <row r="1280" spans="1:5" x14ac:dyDescent="0.25">
      <c r="A1280" s="1">
        <v>50122</v>
      </c>
      <c r="B1280" s="2">
        <v>72</v>
      </c>
      <c r="C1280" s="2">
        <v>50</v>
      </c>
      <c r="D1280" s="2" t="s">
        <v>3</v>
      </c>
      <c r="E1280" s="2" t="s">
        <v>1280</v>
      </c>
    </row>
    <row r="1281" spans="1:5" x14ac:dyDescent="0.25">
      <c r="A1281" s="1">
        <v>50123</v>
      </c>
      <c r="B1281" s="2">
        <v>73</v>
      </c>
      <c r="C1281" s="2">
        <v>50</v>
      </c>
      <c r="D1281" s="2">
        <v>11162879.999999899</v>
      </c>
      <c r="E1281" s="2" t="s">
        <v>1281</v>
      </c>
    </row>
    <row r="1282" spans="1:5" x14ac:dyDescent="0.25">
      <c r="A1282" s="1">
        <v>50124</v>
      </c>
      <c r="B1282" s="2">
        <v>74</v>
      </c>
      <c r="C1282" s="2">
        <v>50</v>
      </c>
      <c r="D1282" s="2">
        <v>3.786912E+28</v>
      </c>
      <c r="E1282" s="2" t="s">
        <v>1282</v>
      </c>
    </row>
    <row r="1283" spans="1:5" x14ac:dyDescent="0.25">
      <c r="A1283" s="1">
        <v>50125</v>
      </c>
      <c r="B1283" s="2">
        <v>75</v>
      </c>
      <c r="C1283" s="2">
        <v>50</v>
      </c>
      <c r="D1283" s="2">
        <v>832896</v>
      </c>
      <c r="E1283" s="2" t="s">
        <v>1283</v>
      </c>
    </row>
    <row r="1284" spans="1:5" x14ac:dyDescent="0.25">
      <c r="A1284" s="1">
        <v>50126</v>
      </c>
      <c r="B1284" s="2">
        <v>76</v>
      </c>
      <c r="C1284" s="2">
        <v>50</v>
      </c>
      <c r="D1284" s="2">
        <v>7258248000000</v>
      </c>
      <c r="E1284" s="2" t="s">
        <v>1284</v>
      </c>
    </row>
    <row r="1285" spans="1:5" x14ac:dyDescent="0.25">
      <c r="A1285" s="1">
        <v>50127</v>
      </c>
      <c r="B1285" s="2">
        <v>77</v>
      </c>
      <c r="C1285" s="2">
        <v>50</v>
      </c>
      <c r="D1285" s="2">
        <v>7560</v>
      </c>
      <c r="E1285" s="2" t="s">
        <v>1285</v>
      </c>
    </row>
    <row r="1286" spans="1:5" x14ac:dyDescent="0.25">
      <c r="A1286" s="1">
        <v>50128</v>
      </c>
      <c r="B1286" s="2">
        <v>78</v>
      </c>
      <c r="C1286" s="2">
        <v>50</v>
      </c>
      <c r="D1286" s="2">
        <v>3544.2</v>
      </c>
      <c r="E1286" s="2" t="s">
        <v>1286</v>
      </c>
    </row>
    <row r="1287" spans="1:5" x14ac:dyDescent="0.25">
      <c r="A1287" s="1">
        <v>50129</v>
      </c>
      <c r="B1287" s="2">
        <v>79</v>
      </c>
      <c r="C1287" s="2">
        <v>50</v>
      </c>
      <c r="D1287" s="2">
        <v>133.80000000000001</v>
      </c>
      <c r="E1287" s="2" t="s">
        <v>1287</v>
      </c>
    </row>
    <row r="1288" spans="1:5" x14ac:dyDescent="0.25">
      <c r="A1288" s="1">
        <v>50130</v>
      </c>
      <c r="B1288" s="2">
        <v>80</v>
      </c>
      <c r="C1288" s="2">
        <v>50</v>
      </c>
      <c r="D1288" s="2">
        <v>223.2</v>
      </c>
      <c r="E1288" s="2" t="s">
        <v>1288</v>
      </c>
    </row>
    <row r="1289" spans="1:5" x14ac:dyDescent="0.25">
      <c r="A1289" s="1">
        <v>50131</v>
      </c>
      <c r="B1289" s="2">
        <v>81</v>
      </c>
      <c r="C1289" s="2">
        <v>50</v>
      </c>
      <c r="D1289" s="2">
        <v>56</v>
      </c>
      <c r="E1289" s="2" t="s">
        <v>1289</v>
      </c>
    </row>
    <row r="1290" spans="1:5" x14ac:dyDescent="0.25">
      <c r="A1290" s="1">
        <v>50132</v>
      </c>
      <c r="B1290" s="2">
        <v>82</v>
      </c>
      <c r="C1290" s="2">
        <v>50</v>
      </c>
      <c r="D1290" s="2">
        <v>39.700000000000003</v>
      </c>
      <c r="E1290" s="2" t="s">
        <v>1290</v>
      </c>
    </row>
    <row r="1291" spans="1:5" x14ac:dyDescent="0.25">
      <c r="A1291" s="1">
        <v>50133</v>
      </c>
      <c r="B1291" s="2">
        <v>83</v>
      </c>
      <c r="C1291" s="2">
        <v>50</v>
      </c>
      <c r="D1291" s="2">
        <v>1.46</v>
      </c>
      <c r="E1291" s="2" t="s">
        <v>1291</v>
      </c>
    </row>
    <row r="1292" spans="1:5" x14ac:dyDescent="0.25">
      <c r="A1292" s="1">
        <v>50134</v>
      </c>
      <c r="B1292" s="2">
        <v>84</v>
      </c>
      <c r="C1292" s="2">
        <v>50</v>
      </c>
      <c r="D1292" s="2">
        <v>1.05</v>
      </c>
      <c r="E1292" s="2" t="s">
        <v>1292</v>
      </c>
    </row>
    <row r="1293" spans="1:5" x14ac:dyDescent="0.25">
      <c r="A1293" s="1">
        <v>50135</v>
      </c>
      <c r="B1293" s="2">
        <v>85</v>
      </c>
      <c r="C1293" s="2">
        <v>50</v>
      </c>
      <c r="D1293" s="2">
        <v>0.53</v>
      </c>
      <c r="E1293" s="2" t="s">
        <v>1293</v>
      </c>
    </row>
    <row r="1294" spans="1:5" x14ac:dyDescent="0.25">
      <c r="A1294" s="1">
        <v>50136</v>
      </c>
      <c r="B1294" s="2">
        <v>86</v>
      </c>
      <c r="C1294" s="2">
        <v>50</v>
      </c>
      <c r="D1294" s="2">
        <v>0.28999999999999998</v>
      </c>
      <c r="E1294" s="2" t="s">
        <v>1294</v>
      </c>
    </row>
    <row r="1295" spans="1:5" x14ac:dyDescent="0.25">
      <c r="A1295" s="1">
        <v>50137</v>
      </c>
      <c r="B1295" s="2">
        <v>87</v>
      </c>
      <c r="C1295" s="2">
        <v>50</v>
      </c>
      <c r="D1295" s="2">
        <v>0.19</v>
      </c>
      <c r="E1295" s="2" t="s">
        <v>1295</v>
      </c>
    </row>
    <row r="1296" spans="1:5" x14ac:dyDescent="0.25">
      <c r="A1296" s="1">
        <v>50138</v>
      </c>
      <c r="B1296" s="2">
        <v>88</v>
      </c>
      <c r="C1296" s="2">
        <v>50</v>
      </c>
      <c r="D1296" s="2">
        <v>0.14000000000000001</v>
      </c>
      <c r="E1296" s="2" t="s">
        <v>1296</v>
      </c>
    </row>
    <row r="1297" spans="1:5" x14ac:dyDescent="0.25">
      <c r="A1297" s="1">
        <v>50139</v>
      </c>
      <c r="B1297" s="2">
        <v>89</v>
      </c>
      <c r="C1297" s="2">
        <v>50</v>
      </c>
      <c r="D1297" s="2">
        <v>0.13</v>
      </c>
      <c r="E1297" s="2" t="s">
        <v>1297</v>
      </c>
    </row>
    <row r="1298" spans="1:5" x14ac:dyDescent="0.25">
      <c r="A1298" s="1">
        <v>51103</v>
      </c>
      <c r="B1298" s="2">
        <v>52</v>
      </c>
      <c r="C1298" s="2">
        <v>51</v>
      </c>
      <c r="D1298" s="2">
        <v>1.5E-6</v>
      </c>
      <c r="E1298" s="2" t="s">
        <v>1298</v>
      </c>
    </row>
    <row r="1299" spans="1:5" x14ac:dyDescent="0.25">
      <c r="A1299" s="1">
        <v>51104</v>
      </c>
      <c r="B1299" s="2">
        <v>53</v>
      </c>
      <c r="C1299" s="2">
        <v>51</v>
      </c>
      <c r="D1299" s="2">
        <v>0.44</v>
      </c>
      <c r="E1299" s="2" t="s">
        <v>1299</v>
      </c>
    </row>
    <row r="1300" spans="1:5" x14ac:dyDescent="0.25">
      <c r="A1300" s="1">
        <v>51105</v>
      </c>
      <c r="B1300" s="2">
        <v>54</v>
      </c>
      <c r="C1300" s="2">
        <v>51</v>
      </c>
      <c r="D1300" s="2">
        <v>1.22</v>
      </c>
      <c r="E1300" s="2" t="s">
        <v>1300</v>
      </c>
    </row>
    <row r="1301" spans="1:5" x14ac:dyDescent="0.25">
      <c r="A1301" s="1">
        <v>51106</v>
      </c>
      <c r="B1301" s="2">
        <v>55</v>
      </c>
      <c r="C1301" s="2">
        <v>51</v>
      </c>
      <c r="D1301" s="2">
        <v>0.6</v>
      </c>
      <c r="E1301" s="2" t="s">
        <v>1301</v>
      </c>
    </row>
    <row r="1302" spans="1:5" x14ac:dyDescent="0.25">
      <c r="A1302" s="1">
        <v>51107</v>
      </c>
      <c r="B1302" s="2">
        <v>56</v>
      </c>
      <c r="C1302" s="2">
        <v>51</v>
      </c>
      <c r="D1302" s="2">
        <v>4</v>
      </c>
      <c r="E1302" s="2" t="s">
        <v>1302</v>
      </c>
    </row>
    <row r="1303" spans="1:5" x14ac:dyDescent="0.25">
      <c r="A1303" s="1">
        <v>51108</v>
      </c>
      <c r="B1303" s="2">
        <v>57</v>
      </c>
      <c r="C1303" s="2">
        <v>51</v>
      </c>
      <c r="D1303" s="2">
        <v>7.4</v>
      </c>
      <c r="E1303" s="2" t="s">
        <v>1303</v>
      </c>
    </row>
    <row r="1304" spans="1:5" x14ac:dyDescent="0.25">
      <c r="A1304" s="1">
        <v>51109</v>
      </c>
      <c r="B1304" s="2">
        <v>58</v>
      </c>
      <c r="C1304" s="2">
        <v>51</v>
      </c>
      <c r="D1304" s="2">
        <v>17</v>
      </c>
      <c r="E1304" s="2" t="s">
        <v>1304</v>
      </c>
    </row>
    <row r="1305" spans="1:5" x14ac:dyDescent="0.25">
      <c r="A1305" s="1">
        <v>51110</v>
      </c>
      <c r="B1305" s="2">
        <v>59</v>
      </c>
      <c r="C1305" s="2">
        <v>51</v>
      </c>
      <c r="D1305" s="2">
        <v>23</v>
      </c>
      <c r="E1305" s="2" t="s">
        <v>1305</v>
      </c>
    </row>
    <row r="1306" spans="1:5" x14ac:dyDescent="0.25">
      <c r="A1306" s="1">
        <v>51111</v>
      </c>
      <c r="B1306" s="2">
        <v>60</v>
      </c>
      <c r="C1306" s="2">
        <v>51</v>
      </c>
      <c r="D1306" s="2">
        <v>75</v>
      </c>
      <c r="E1306" s="2" t="s">
        <v>1306</v>
      </c>
    </row>
    <row r="1307" spans="1:5" x14ac:dyDescent="0.25">
      <c r="A1307" s="1">
        <v>51112</v>
      </c>
      <c r="B1307" s="2">
        <v>61</v>
      </c>
      <c r="C1307" s="2">
        <v>51</v>
      </c>
      <c r="D1307" s="2">
        <v>53.5</v>
      </c>
      <c r="E1307" s="2" t="s">
        <v>1307</v>
      </c>
    </row>
    <row r="1308" spans="1:5" x14ac:dyDescent="0.25">
      <c r="A1308" s="1">
        <v>51113</v>
      </c>
      <c r="B1308" s="2">
        <v>62</v>
      </c>
      <c r="C1308" s="2">
        <v>51</v>
      </c>
      <c r="D1308" s="2">
        <v>400.2</v>
      </c>
      <c r="E1308" s="2" t="s">
        <v>1308</v>
      </c>
    </row>
    <row r="1309" spans="1:5" x14ac:dyDescent="0.25">
      <c r="A1309" s="1">
        <v>51114</v>
      </c>
      <c r="B1309" s="2">
        <v>63</v>
      </c>
      <c r="C1309" s="2">
        <v>51</v>
      </c>
      <c r="D1309" s="2">
        <v>209.4</v>
      </c>
      <c r="E1309" s="2" t="s">
        <v>1309</v>
      </c>
    </row>
    <row r="1310" spans="1:5" x14ac:dyDescent="0.25">
      <c r="A1310" s="1">
        <v>51115</v>
      </c>
      <c r="B1310" s="2">
        <v>64</v>
      </c>
      <c r="C1310" s="2">
        <v>51</v>
      </c>
      <c r="D1310" s="2">
        <v>1926</v>
      </c>
      <c r="E1310" s="2" t="s">
        <v>1310</v>
      </c>
    </row>
    <row r="1311" spans="1:5" x14ac:dyDescent="0.25">
      <c r="A1311" s="1">
        <v>51116</v>
      </c>
      <c r="B1311" s="2">
        <v>65</v>
      </c>
      <c r="C1311" s="2">
        <v>51</v>
      </c>
      <c r="D1311" s="2">
        <v>948</v>
      </c>
      <c r="E1311" s="2" t="s">
        <v>1311</v>
      </c>
    </row>
    <row r="1312" spans="1:5" x14ac:dyDescent="0.25">
      <c r="A1312" s="1">
        <v>51117</v>
      </c>
      <c r="B1312" s="2">
        <v>66</v>
      </c>
      <c r="C1312" s="2">
        <v>51</v>
      </c>
      <c r="D1312" s="2">
        <v>10080</v>
      </c>
      <c r="E1312" s="2" t="s">
        <v>1312</v>
      </c>
    </row>
    <row r="1313" spans="1:5" x14ac:dyDescent="0.25">
      <c r="A1313" s="1">
        <v>51118</v>
      </c>
      <c r="B1313" s="2">
        <v>67</v>
      </c>
      <c r="C1313" s="2">
        <v>51</v>
      </c>
      <c r="D1313" s="2">
        <v>216</v>
      </c>
      <c r="E1313" s="2" t="s">
        <v>1313</v>
      </c>
    </row>
    <row r="1314" spans="1:5" x14ac:dyDescent="0.25">
      <c r="A1314" s="1">
        <v>51119</v>
      </c>
      <c r="B1314" s="2">
        <v>68</v>
      </c>
      <c r="C1314" s="2">
        <v>51</v>
      </c>
      <c r="D1314" s="2">
        <v>137484</v>
      </c>
      <c r="E1314" s="2" t="s">
        <v>1314</v>
      </c>
    </row>
    <row r="1315" spans="1:5" x14ac:dyDescent="0.25">
      <c r="A1315" s="1">
        <v>51120</v>
      </c>
      <c r="B1315" s="2">
        <v>69</v>
      </c>
      <c r="C1315" s="2">
        <v>51</v>
      </c>
      <c r="D1315" s="2">
        <v>953.4</v>
      </c>
      <c r="E1315" s="2" t="s">
        <v>1315</v>
      </c>
    </row>
    <row r="1316" spans="1:5" x14ac:dyDescent="0.25">
      <c r="A1316" s="1">
        <v>51121</v>
      </c>
      <c r="B1316" s="2">
        <v>70</v>
      </c>
      <c r="C1316" s="2">
        <v>51</v>
      </c>
      <c r="D1316" s="2" t="s">
        <v>3</v>
      </c>
      <c r="E1316" s="2" t="s">
        <v>1316</v>
      </c>
    </row>
    <row r="1317" spans="1:5" x14ac:dyDescent="0.25">
      <c r="A1317" s="1">
        <v>51122</v>
      </c>
      <c r="B1317" s="2">
        <v>71</v>
      </c>
      <c r="C1317" s="2">
        <v>51</v>
      </c>
      <c r="D1317" s="2">
        <v>235336.32000000001</v>
      </c>
      <c r="E1317" s="2" t="s">
        <v>1317</v>
      </c>
    </row>
    <row r="1318" spans="1:5" x14ac:dyDescent="0.25">
      <c r="A1318" s="1">
        <v>51123</v>
      </c>
      <c r="B1318" s="2">
        <v>72</v>
      </c>
      <c r="C1318" s="2">
        <v>51</v>
      </c>
      <c r="D1318" s="2" t="s">
        <v>3</v>
      </c>
      <c r="E1318" s="2" t="s">
        <v>1318</v>
      </c>
    </row>
    <row r="1319" spans="1:5" x14ac:dyDescent="0.25">
      <c r="A1319" s="1">
        <v>51124</v>
      </c>
      <c r="B1319" s="2">
        <v>73</v>
      </c>
      <c r="C1319" s="2">
        <v>51</v>
      </c>
      <c r="D1319" s="2">
        <v>5201280</v>
      </c>
      <c r="E1319" s="2" t="s">
        <v>1319</v>
      </c>
    </row>
    <row r="1320" spans="1:5" x14ac:dyDescent="0.25">
      <c r="A1320" s="1">
        <v>51125</v>
      </c>
      <c r="B1320" s="2">
        <v>74</v>
      </c>
      <c r="C1320" s="2">
        <v>51</v>
      </c>
      <c r="D1320" s="2">
        <v>87053533.055999994</v>
      </c>
      <c r="E1320" s="2" t="s">
        <v>1320</v>
      </c>
    </row>
    <row r="1321" spans="1:5" x14ac:dyDescent="0.25">
      <c r="A1321" s="1">
        <v>51126</v>
      </c>
      <c r="B1321" s="2">
        <v>75</v>
      </c>
      <c r="C1321" s="2">
        <v>51</v>
      </c>
      <c r="D1321" s="2">
        <v>1067040</v>
      </c>
      <c r="E1321" s="2" t="s">
        <v>1321</v>
      </c>
    </row>
    <row r="1322" spans="1:5" x14ac:dyDescent="0.25">
      <c r="A1322" s="1">
        <v>51127</v>
      </c>
      <c r="B1322" s="2">
        <v>76</v>
      </c>
      <c r="C1322" s="2">
        <v>51</v>
      </c>
      <c r="D1322" s="2">
        <v>332640</v>
      </c>
      <c r="E1322" s="2" t="s">
        <v>1322</v>
      </c>
    </row>
    <row r="1323" spans="1:5" x14ac:dyDescent="0.25">
      <c r="A1323" s="1">
        <v>51128</v>
      </c>
      <c r="B1323" s="2">
        <v>77</v>
      </c>
      <c r="C1323" s="2">
        <v>51</v>
      </c>
      <c r="D1323" s="2">
        <v>32580</v>
      </c>
      <c r="E1323" s="2" t="s">
        <v>1323</v>
      </c>
    </row>
    <row r="1324" spans="1:5" x14ac:dyDescent="0.25">
      <c r="A1324" s="1">
        <v>51129</v>
      </c>
      <c r="B1324" s="2">
        <v>78</v>
      </c>
      <c r="C1324" s="2">
        <v>51</v>
      </c>
      <c r="D1324" s="2">
        <v>15717.5999999999</v>
      </c>
      <c r="E1324" s="2" t="s">
        <v>1324</v>
      </c>
    </row>
    <row r="1325" spans="1:5" x14ac:dyDescent="0.25">
      <c r="A1325" s="1">
        <v>51130</v>
      </c>
      <c r="B1325" s="2">
        <v>79</v>
      </c>
      <c r="C1325" s="2">
        <v>51</v>
      </c>
      <c r="D1325" s="2">
        <v>2370</v>
      </c>
      <c r="E1325" s="2" t="s">
        <v>1325</v>
      </c>
    </row>
    <row r="1326" spans="1:5" x14ac:dyDescent="0.25">
      <c r="A1326" s="1">
        <v>51131</v>
      </c>
      <c r="B1326" s="2">
        <v>80</v>
      </c>
      <c r="C1326" s="2">
        <v>51</v>
      </c>
      <c r="D1326" s="2">
        <v>1381.8</v>
      </c>
      <c r="E1326" s="2" t="s">
        <v>1326</v>
      </c>
    </row>
    <row r="1327" spans="1:5" x14ac:dyDescent="0.25">
      <c r="A1327" s="1">
        <v>51132</v>
      </c>
      <c r="B1327" s="2">
        <v>81</v>
      </c>
      <c r="C1327" s="2">
        <v>51</v>
      </c>
      <c r="D1327" s="2">
        <v>167.4</v>
      </c>
      <c r="E1327" s="2" t="s">
        <v>1327</v>
      </c>
    </row>
    <row r="1328" spans="1:5" x14ac:dyDescent="0.25">
      <c r="A1328" s="1">
        <v>51133</v>
      </c>
      <c r="B1328" s="2">
        <v>82</v>
      </c>
      <c r="C1328" s="2">
        <v>51</v>
      </c>
      <c r="D1328" s="2">
        <v>140.39999999999901</v>
      </c>
      <c r="E1328" s="2" t="s">
        <v>1328</v>
      </c>
    </row>
    <row r="1329" spans="1:5" x14ac:dyDescent="0.25">
      <c r="A1329" s="1">
        <v>51134</v>
      </c>
      <c r="B1329" s="2">
        <v>83</v>
      </c>
      <c r="C1329" s="2">
        <v>51</v>
      </c>
      <c r="D1329" s="2">
        <v>0.78</v>
      </c>
      <c r="E1329" s="2" t="s">
        <v>1329</v>
      </c>
    </row>
    <row r="1330" spans="1:5" x14ac:dyDescent="0.25">
      <c r="A1330" s="1">
        <v>51135</v>
      </c>
      <c r="B1330" s="2">
        <v>84</v>
      </c>
      <c r="C1330" s="2">
        <v>51</v>
      </c>
      <c r="D1330" s="2">
        <v>1.679</v>
      </c>
      <c r="E1330" s="2" t="s">
        <v>1330</v>
      </c>
    </row>
    <row r="1331" spans="1:5" x14ac:dyDescent="0.25">
      <c r="A1331" s="1">
        <v>51136</v>
      </c>
      <c r="B1331" s="2">
        <v>85</v>
      </c>
      <c r="C1331" s="2">
        <v>51</v>
      </c>
      <c r="D1331" s="2">
        <v>0.92300000000000004</v>
      </c>
      <c r="E1331" s="2" t="s">
        <v>1331</v>
      </c>
    </row>
    <row r="1332" spans="1:5" x14ac:dyDescent="0.25">
      <c r="A1332" s="1">
        <v>51137</v>
      </c>
      <c r="B1332" s="2">
        <v>86</v>
      </c>
      <c r="C1332" s="2">
        <v>51</v>
      </c>
      <c r="D1332" s="2">
        <v>0.49199999999999999</v>
      </c>
      <c r="E1332" s="2" t="s">
        <v>1332</v>
      </c>
    </row>
    <row r="1333" spans="1:5" x14ac:dyDescent="0.25">
      <c r="A1333" s="1">
        <v>51138</v>
      </c>
      <c r="B1333" s="2">
        <v>87</v>
      </c>
      <c r="C1333" s="2">
        <v>51</v>
      </c>
      <c r="D1333" s="2">
        <v>0.34799999999999998</v>
      </c>
      <c r="E1333" s="2" t="s">
        <v>1333</v>
      </c>
    </row>
    <row r="1334" spans="1:5" x14ac:dyDescent="0.25">
      <c r="A1334" s="1">
        <v>51139</v>
      </c>
      <c r="B1334" s="2">
        <v>88</v>
      </c>
      <c r="C1334" s="2">
        <v>51</v>
      </c>
      <c r="D1334" s="2">
        <v>9.2999999999999999E-2</v>
      </c>
      <c r="E1334" s="2" t="s">
        <v>1334</v>
      </c>
    </row>
    <row r="1335" spans="1:5" x14ac:dyDescent="0.25">
      <c r="A1335" s="1">
        <v>51140</v>
      </c>
      <c r="B1335" s="2">
        <v>89</v>
      </c>
      <c r="C1335" s="2">
        <v>51</v>
      </c>
      <c r="D1335" s="2">
        <v>4.0699999999999998E-7</v>
      </c>
      <c r="E1335" s="2" t="s">
        <v>1335</v>
      </c>
    </row>
    <row r="1336" spans="1:5" x14ac:dyDescent="0.25">
      <c r="A1336" s="1">
        <v>52105</v>
      </c>
      <c r="B1336" s="2">
        <v>53</v>
      </c>
      <c r="C1336" s="2">
        <v>52</v>
      </c>
      <c r="D1336" s="2">
        <v>6.1999999999999999E-7</v>
      </c>
      <c r="E1336" s="2" t="s">
        <v>1336</v>
      </c>
    </row>
    <row r="1337" spans="1:5" x14ac:dyDescent="0.25">
      <c r="A1337" s="1">
        <v>52106</v>
      </c>
      <c r="B1337" s="2">
        <v>54</v>
      </c>
      <c r="C1337" s="2">
        <v>52</v>
      </c>
      <c r="D1337" s="2">
        <v>6.9999999999999994E-5</v>
      </c>
      <c r="E1337" s="2" t="s">
        <v>1337</v>
      </c>
    </row>
    <row r="1338" spans="1:5" x14ac:dyDescent="0.25">
      <c r="A1338" s="1">
        <v>52107</v>
      </c>
      <c r="B1338" s="2">
        <v>55</v>
      </c>
      <c r="C1338" s="2">
        <v>52</v>
      </c>
      <c r="D1338" s="2">
        <v>3.0999999999999999E-3</v>
      </c>
      <c r="E1338" s="2" t="s">
        <v>1338</v>
      </c>
    </row>
    <row r="1339" spans="1:5" x14ac:dyDescent="0.25">
      <c r="A1339" s="1">
        <v>52108</v>
      </c>
      <c r="B1339" s="2">
        <v>56</v>
      </c>
      <c r="C1339" s="2">
        <v>52</v>
      </c>
      <c r="D1339" s="2">
        <v>2.1</v>
      </c>
      <c r="E1339" s="2" t="s">
        <v>1339</v>
      </c>
    </row>
    <row r="1340" spans="1:5" x14ac:dyDescent="0.25">
      <c r="A1340" s="1">
        <v>52109</v>
      </c>
      <c r="B1340" s="2">
        <v>57</v>
      </c>
      <c r="C1340" s="2">
        <v>52</v>
      </c>
      <c r="D1340" s="2">
        <v>4.5999999999999996</v>
      </c>
      <c r="E1340" s="2" t="s">
        <v>1340</v>
      </c>
    </row>
    <row r="1341" spans="1:5" x14ac:dyDescent="0.25">
      <c r="A1341" s="1">
        <v>52110</v>
      </c>
      <c r="B1341" s="2">
        <v>58</v>
      </c>
      <c r="C1341" s="2">
        <v>52</v>
      </c>
      <c r="D1341" s="2">
        <v>18.600000000000001</v>
      </c>
      <c r="E1341" s="2" t="s">
        <v>1341</v>
      </c>
    </row>
    <row r="1342" spans="1:5" x14ac:dyDescent="0.25">
      <c r="A1342" s="1">
        <v>52111</v>
      </c>
      <c r="B1342" s="2">
        <v>59</v>
      </c>
      <c r="C1342" s="2">
        <v>52</v>
      </c>
      <c r="D1342" s="2">
        <v>19.3</v>
      </c>
      <c r="E1342" s="2" t="s">
        <v>1342</v>
      </c>
    </row>
    <row r="1343" spans="1:5" x14ac:dyDescent="0.25">
      <c r="A1343" s="1">
        <v>52112</v>
      </c>
      <c r="B1343" s="2">
        <v>60</v>
      </c>
      <c r="C1343" s="2">
        <v>52</v>
      </c>
      <c r="D1343" s="2">
        <v>120</v>
      </c>
      <c r="E1343" s="2" t="s">
        <v>1343</v>
      </c>
    </row>
    <row r="1344" spans="1:5" x14ac:dyDescent="0.25">
      <c r="A1344" s="1">
        <v>52113</v>
      </c>
      <c r="B1344" s="2">
        <v>61</v>
      </c>
      <c r="C1344" s="2">
        <v>52</v>
      </c>
      <c r="D1344" s="2">
        <v>102</v>
      </c>
      <c r="E1344" s="2" t="s">
        <v>1344</v>
      </c>
    </row>
    <row r="1345" spans="1:5" x14ac:dyDescent="0.25">
      <c r="A1345" s="1">
        <v>52114</v>
      </c>
      <c r="B1345" s="2">
        <v>62</v>
      </c>
      <c r="C1345" s="2">
        <v>52</v>
      </c>
      <c r="D1345" s="2">
        <v>912</v>
      </c>
      <c r="E1345" s="2" t="s">
        <v>1345</v>
      </c>
    </row>
    <row r="1346" spans="1:5" x14ac:dyDescent="0.25">
      <c r="A1346" s="1">
        <v>52115</v>
      </c>
      <c r="B1346" s="2">
        <v>63</v>
      </c>
      <c r="C1346" s="2">
        <v>52</v>
      </c>
      <c r="D1346" s="2">
        <v>348</v>
      </c>
      <c r="E1346" s="2" t="s">
        <v>1346</v>
      </c>
    </row>
    <row r="1347" spans="1:5" x14ac:dyDescent="0.25">
      <c r="A1347" s="1">
        <v>52116</v>
      </c>
      <c r="B1347" s="2">
        <v>64</v>
      </c>
      <c r="C1347" s="2">
        <v>52</v>
      </c>
      <c r="D1347" s="2">
        <v>8964</v>
      </c>
      <c r="E1347" s="2" t="s">
        <v>1347</v>
      </c>
    </row>
    <row r="1348" spans="1:5" x14ac:dyDescent="0.25">
      <c r="A1348" s="1">
        <v>52117</v>
      </c>
      <c r="B1348" s="2">
        <v>65</v>
      </c>
      <c r="C1348" s="2">
        <v>52</v>
      </c>
      <c r="D1348" s="2">
        <v>3720</v>
      </c>
      <c r="E1348" s="2" t="s">
        <v>1348</v>
      </c>
    </row>
    <row r="1349" spans="1:5" x14ac:dyDescent="0.25">
      <c r="A1349" s="1">
        <v>52118</v>
      </c>
      <c r="B1349" s="2">
        <v>66</v>
      </c>
      <c r="C1349" s="2">
        <v>52</v>
      </c>
      <c r="D1349" s="2">
        <v>518400</v>
      </c>
      <c r="E1349" s="2" t="s">
        <v>1349</v>
      </c>
    </row>
    <row r="1350" spans="1:5" x14ac:dyDescent="0.25">
      <c r="A1350" s="1">
        <v>52119</v>
      </c>
      <c r="B1350" s="2">
        <v>67</v>
      </c>
      <c r="C1350" s="2">
        <v>52</v>
      </c>
      <c r="D1350" s="2">
        <v>57780</v>
      </c>
      <c r="E1350" s="2" t="s">
        <v>1350</v>
      </c>
    </row>
    <row r="1351" spans="1:5" x14ac:dyDescent="0.25">
      <c r="A1351" s="1">
        <v>52120</v>
      </c>
      <c r="B1351" s="2">
        <v>68</v>
      </c>
      <c r="C1351" s="2">
        <v>52</v>
      </c>
      <c r="D1351" s="2" t="s">
        <v>3</v>
      </c>
      <c r="E1351" s="2" t="s">
        <v>1351</v>
      </c>
    </row>
    <row r="1352" spans="1:5" x14ac:dyDescent="0.25">
      <c r="A1352" s="1">
        <v>52121</v>
      </c>
      <c r="B1352" s="2">
        <v>69</v>
      </c>
      <c r="C1352" s="2">
        <v>52</v>
      </c>
      <c r="D1352" s="2">
        <v>1656288</v>
      </c>
      <c r="E1352" s="2" t="s">
        <v>1352</v>
      </c>
    </row>
    <row r="1353" spans="1:5" x14ac:dyDescent="0.25">
      <c r="A1353" s="1">
        <v>52122</v>
      </c>
      <c r="B1353" s="2">
        <v>70</v>
      </c>
      <c r="C1353" s="2">
        <v>52</v>
      </c>
      <c r="D1353" s="2" t="s">
        <v>3</v>
      </c>
      <c r="E1353" s="2" t="s">
        <v>1353</v>
      </c>
    </row>
    <row r="1354" spans="1:5" x14ac:dyDescent="0.25">
      <c r="A1354" s="1">
        <v>52123</v>
      </c>
      <c r="B1354" s="2">
        <v>71</v>
      </c>
      <c r="C1354" s="2">
        <v>52</v>
      </c>
      <c r="D1354" s="2">
        <v>2.9032991999999999E+24</v>
      </c>
      <c r="E1354" s="2" t="s">
        <v>1354</v>
      </c>
    </row>
    <row r="1355" spans="1:5" x14ac:dyDescent="0.25">
      <c r="A1355" s="1">
        <v>52124</v>
      </c>
      <c r="B1355" s="2">
        <v>72</v>
      </c>
      <c r="C1355" s="2">
        <v>52</v>
      </c>
      <c r="D1355" s="2" t="s">
        <v>3</v>
      </c>
      <c r="E1355" s="2" t="s">
        <v>1355</v>
      </c>
    </row>
    <row r="1356" spans="1:5" x14ac:dyDescent="0.25">
      <c r="A1356" s="1">
        <v>52125</v>
      </c>
      <c r="B1356" s="2">
        <v>73</v>
      </c>
      <c r="C1356" s="2">
        <v>52</v>
      </c>
      <c r="D1356" s="2" t="s">
        <v>3</v>
      </c>
      <c r="E1356" s="2" t="s">
        <v>1356</v>
      </c>
    </row>
    <row r="1357" spans="1:5" x14ac:dyDescent="0.25">
      <c r="A1357" s="1">
        <v>52126</v>
      </c>
      <c r="B1357" s="2">
        <v>74</v>
      </c>
      <c r="C1357" s="2">
        <v>52</v>
      </c>
      <c r="D1357" s="2" t="s">
        <v>3</v>
      </c>
      <c r="E1357" s="2" t="s">
        <v>1357</v>
      </c>
    </row>
    <row r="1358" spans="1:5" x14ac:dyDescent="0.25">
      <c r="A1358" s="1">
        <v>52127</v>
      </c>
      <c r="B1358" s="2">
        <v>75</v>
      </c>
      <c r="C1358" s="2">
        <v>52</v>
      </c>
      <c r="D1358" s="2">
        <v>33660</v>
      </c>
      <c r="E1358" s="2" t="s">
        <v>1358</v>
      </c>
    </row>
    <row r="1359" spans="1:5" x14ac:dyDescent="0.25">
      <c r="A1359" s="1">
        <v>52128</v>
      </c>
      <c r="B1359" s="2">
        <v>76</v>
      </c>
      <c r="C1359" s="2">
        <v>52</v>
      </c>
      <c r="D1359" s="2">
        <v>7.6053815999999996E+31</v>
      </c>
      <c r="E1359" s="2" t="s">
        <v>1359</v>
      </c>
    </row>
    <row r="1360" spans="1:5" x14ac:dyDescent="0.25">
      <c r="A1360" s="1">
        <v>52129</v>
      </c>
      <c r="B1360" s="2">
        <v>77</v>
      </c>
      <c r="C1360" s="2">
        <v>52</v>
      </c>
      <c r="D1360" s="2">
        <v>4194</v>
      </c>
      <c r="E1360" s="2" t="s">
        <v>1360</v>
      </c>
    </row>
    <row r="1361" spans="1:5" x14ac:dyDescent="0.25">
      <c r="A1361" s="1">
        <v>52130</v>
      </c>
      <c r="B1361" s="2">
        <v>78</v>
      </c>
      <c r="C1361" s="2">
        <v>52</v>
      </c>
      <c r="D1361" s="2">
        <v>9.46728E+31</v>
      </c>
      <c r="E1361" s="2" t="s">
        <v>1361</v>
      </c>
    </row>
    <row r="1362" spans="1:5" x14ac:dyDescent="0.25">
      <c r="A1362" s="1">
        <v>52131</v>
      </c>
      <c r="B1362" s="2">
        <v>79</v>
      </c>
      <c r="C1362" s="2">
        <v>52</v>
      </c>
      <c r="D1362" s="2">
        <v>1500</v>
      </c>
      <c r="E1362" s="2" t="s">
        <v>1362</v>
      </c>
    </row>
    <row r="1363" spans="1:5" x14ac:dyDescent="0.25">
      <c r="A1363" s="1">
        <v>52132</v>
      </c>
      <c r="B1363" s="2">
        <v>80</v>
      </c>
      <c r="C1363" s="2">
        <v>52</v>
      </c>
      <c r="D1363" s="2">
        <v>276825.59999999998</v>
      </c>
      <c r="E1363" s="2" t="s">
        <v>1363</v>
      </c>
    </row>
    <row r="1364" spans="1:5" x14ac:dyDescent="0.25">
      <c r="A1364" s="1">
        <v>52133</v>
      </c>
      <c r="B1364" s="2">
        <v>81</v>
      </c>
      <c r="C1364" s="2">
        <v>52</v>
      </c>
      <c r="D1364" s="2">
        <v>750</v>
      </c>
      <c r="E1364" s="2" t="s">
        <v>1364</v>
      </c>
    </row>
    <row r="1365" spans="1:5" x14ac:dyDescent="0.25">
      <c r="A1365" s="1">
        <v>52134</v>
      </c>
      <c r="B1365" s="2">
        <v>82</v>
      </c>
      <c r="C1365" s="2">
        <v>52</v>
      </c>
      <c r="D1365" s="2">
        <v>2508</v>
      </c>
      <c r="E1365" s="2" t="s">
        <v>1365</v>
      </c>
    </row>
    <row r="1366" spans="1:5" x14ac:dyDescent="0.25">
      <c r="A1366" s="1">
        <v>52135</v>
      </c>
      <c r="B1366" s="2">
        <v>83</v>
      </c>
      <c r="C1366" s="2">
        <v>52</v>
      </c>
      <c r="D1366" s="2">
        <v>19</v>
      </c>
      <c r="E1366" s="2" t="s">
        <v>1366</v>
      </c>
    </row>
    <row r="1367" spans="1:5" x14ac:dyDescent="0.25">
      <c r="A1367" s="1">
        <v>52136</v>
      </c>
      <c r="B1367" s="2">
        <v>84</v>
      </c>
      <c r="C1367" s="2">
        <v>52</v>
      </c>
      <c r="D1367" s="2">
        <v>17.63</v>
      </c>
      <c r="E1367" s="2" t="s">
        <v>1367</v>
      </c>
    </row>
    <row r="1368" spans="1:5" x14ac:dyDescent="0.25">
      <c r="A1368" s="1">
        <v>52137</v>
      </c>
      <c r="B1368" s="2">
        <v>85</v>
      </c>
      <c r="C1368" s="2">
        <v>52</v>
      </c>
      <c r="D1368" s="2">
        <v>2.4900000000000002</v>
      </c>
      <c r="E1368" s="2" t="s">
        <v>1368</v>
      </c>
    </row>
    <row r="1369" spans="1:5" x14ac:dyDescent="0.25">
      <c r="A1369" s="1">
        <v>52138</v>
      </c>
      <c r="B1369" s="2">
        <v>86</v>
      </c>
      <c r="C1369" s="2">
        <v>52</v>
      </c>
      <c r="D1369" s="2">
        <v>1.4</v>
      </c>
      <c r="E1369" s="2" t="s">
        <v>1369</v>
      </c>
    </row>
    <row r="1370" spans="1:5" x14ac:dyDescent="0.25">
      <c r="A1370" s="1">
        <v>52139</v>
      </c>
      <c r="B1370" s="2">
        <v>87</v>
      </c>
      <c r="C1370" s="2">
        <v>52</v>
      </c>
      <c r="D1370" s="2">
        <v>1.4999999999999999E-7</v>
      </c>
      <c r="E1370" s="2" t="s">
        <v>1370</v>
      </c>
    </row>
    <row r="1371" spans="1:5" x14ac:dyDescent="0.25">
      <c r="A1371" s="1">
        <v>52140</v>
      </c>
      <c r="B1371" s="2">
        <v>88</v>
      </c>
      <c r="C1371" s="2">
        <v>52</v>
      </c>
      <c r="D1371" s="2">
        <v>2.9999999999999999E-7</v>
      </c>
      <c r="E1371" s="2" t="s">
        <v>1371</v>
      </c>
    </row>
    <row r="1372" spans="1:5" x14ac:dyDescent="0.25">
      <c r="A1372" s="1">
        <v>52141</v>
      </c>
      <c r="B1372" s="2">
        <v>89</v>
      </c>
      <c r="C1372" s="2">
        <v>52</v>
      </c>
      <c r="D1372" s="2">
        <v>1.4999999999999999E-7</v>
      </c>
      <c r="E1372" s="2" t="s">
        <v>1372</v>
      </c>
    </row>
    <row r="1373" spans="1:5" x14ac:dyDescent="0.25">
      <c r="A1373" s="1">
        <v>52143</v>
      </c>
      <c r="B1373" s="2">
        <v>91</v>
      </c>
      <c r="C1373" s="2">
        <v>52</v>
      </c>
      <c r="D1373" s="2">
        <v>4.08E-7</v>
      </c>
      <c r="E1373" s="2" t="s">
        <v>1373</v>
      </c>
    </row>
    <row r="1374" spans="1:5" x14ac:dyDescent="0.25">
      <c r="A1374" s="1">
        <v>53108</v>
      </c>
      <c r="B1374" s="2">
        <v>55</v>
      </c>
      <c r="C1374" s="2">
        <v>53</v>
      </c>
      <c r="D1374" s="2">
        <v>3.5999999999999997E-2</v>
      </c>
      <c r="E1374" s="2" t="s">
        <v>1374</v>
      </c>
    </row>
    <row r="1375" spans="1:5" x14ac:dyDescent="0.25">
      <c r="A1375" s="1">
        <v>53109</v>
      </c>
      <c r="B1375" s="2">
        <v>56</v>
      </c>
      <c r="C1375" s="2">
        <v>53</v>
      </c>
      <c r="D1375" s="2">
        <v>9.3499999999999996E-5</v>
      </c>
      <c r="E1375" s="2" t="s">
        <v>1375</v>
      </c>
    </row>
    <row r="1376" spans="1:5" x14ac:dyDescent="0.25">
      <c r="A1376" s="1">
        <v>53110</v>
      </c>
      <c r="B1376" s="2">
        <v>57</v>
      </c>
      <c r="C1376" s="2">
        <v>53</v>
      </c>
      <c r="D1376" s="2">
        <v>0.65</v>
      </c>
      <c r="E1376" s="2" t="s">
        <v>1376</v>
      </c>
    </row>
    <row r="1377" spans="1:5" x14ac:dyDescent="0.25">
      <c r="A1377" s="1">
        <v>53111</v>
      </c>
      <c r="B1377" s="2">
        <v>58</v>
      </c>
      <c r="C1377" s="2">
        <v>53</v>
      </c>
      <c r="D1377" s="2">
        <v>2.5</v>
      </c>
      <c r="E1377" s="2" t="s">
        <v>1377</v>
      </c>
    </row>
    <row r="1378" spans="1:5" x14ac:dyDescent="0.25">
      <c r="A1378" s="1">
        <v>53112</v>
      </c>
      <c r="B1378" s="2">
        <v>59</v>
      </c>
      <c r="C1378" s="2">
        <v>53</v>
      </c>
      <c r="D1378" s="2">
        <v>3.34</v>
      </c>
      <c r="E1378" s="2" t="s">
        <v>1378</v>
      </c>
    </row>
    <row r="1379" spans="1:5" x14ac:dyDescent="0.25">
      <c r="A1379" s="1">
        <v>53113</v>
      </c>
      <c r="B1379" s="2">
        <v>60</v>
      </c>
      <c r="C1379" s="2">
        <v>53</v>
      </c>
      <c r="D1379" s="2">
        <v>6.6</v>
      </c>
      <c r="E1379" s="2" t="s">
        <v>1379</v>
      </c>
    </row>
    <row r="1380" spans="1:5" x14ac:dyDescent="0.25">
      <c r="A1380" s="1">
        <v>53114</v>
      </c>
      <c r="B1380" s="2">
        <v>61</v>
      </c>
      <c r="C1380" s="2">
        <v>53</v>
      </c>
      <c r="D1380" s="2">
        <v>2.1</v>
      </c>
      <c r="E1380" s="2" t="s">
        <v>1380</v>
      </c>
    </row>
    <row r="1381" spans="1:5" x14ac:dyDescent="0.25">
      <c r="A1381" s="1">
        <v>53115</v>
      </c>
      <c r="B1381" s="2">
        <v>62</v>
      </c>
      <c r="C1381" s="2">
        <v>53</v>
      </c>
      <c r="D1381" s="2">
        <v>78</v>
      </c>
      <c r="E1381" s="2" t="s">
        <v>1381</v>
      </c>
    </row>
    <row r="1382" spans="1:5" x14ac:dyDescent="0.25">
      <c r="A1382" s="1">
        <v>53116</v>
      </c>
      <c r="B1382" s="2">
        <v>63</v>
      </c>
      <c r="C1382" s="2">
        <v>53</v>
      </c>
      <c r="D1382" s="2">
        <v>2.91</v>
      </c>
      <c r="E1382" s="2" t="s">
        <v>1382</v>
      </c>
    </row>
    <row r="1383" spans="1:5" x14ac:dyDescent="0.25">
      <c r="A1383" s="1">
        <v>53117</v>
      </c>
      <c r="B1383" s="2">
        <v>64</v>
      </c>
      <c r="C1383" s="2">
        <v>53</v>
      </c>
      <c r="D1383" s="2">
        <v>133.19999999999999</v>
      </c>
      <c r="E1383" s="2" t="s">
        <v>1383</v>
      </c>
    </row>
    <row r="1384" spans="1:5" x14ac:dyDescent="0.25">
      <c r="A1384" s="1">
        <v>53118</v>
      </c>
      <c r="B1384" s="2">
        <v>65</v>
      </c>
      <c r="C1384" s="2">
        <v>53</v>
      </c>
      <c r="D1384" s="2">
        <v>822</v>
      </c>
      <c r="E1384" s="2" t="s">
        <v>1384</v>
      </c>
    </row>
    <row r="1385" spans="1:5" x14ac:dyDescent="0.25">
      <c r="A1385" s="1">
        <v>53119</v>
      </c>
      <c r="B1385" s="2">
        <v>66</v>
      </c>
      <c r="C1385" s="2">
        <v>53</v>
      </c>
      <c r="D1385" s="2">
        <v>1146</v>
      </c>
      <c r="E1385" s="2" t="s">
        <v>1385</v>
      </c>
    </row>
    <row r="1386" spans="1:5" x14ac:dyDescent="0.25">
      <c r="A1386" s="1">
        <v>53120</v>
      </c>
      <c r="B1386" s="2">
        <v>67</v>
      </c>
      <c r="C1386" s="2">
        <v>53</v>
      </c>
      <c r="D1386" s="2">
        <v>4896</v>
      </c>
      <c r="E1386" s="2" t="s">
        <v>1386</v>
      </c>
    </row>
    <row r="1387" spans="1:5" x14ac:dyDescent="0.25">
      <c r="A1387" s="1">
        <v>53121</v>
      </c>
      <c r="B1387" s="2">
        <v>68</v>
      </c>
      <c r="C1387" s="2">
        <v>53</v>
      </c>
      <c r="D1387" s="2">
        <v>7632</v>
      </c>
      <c r="E1387" s="2" t="s">
        <v>1387</v>
      </c>
    </row>
    <row r="1388" spans="1:5" x14ac:dyDescent="0.25">
      <c r="A1388" s="1">
        <v>53122</v>
      </c>
      <c r="B1388" s="2">
        <v>69</v>
      </c>
      <c r="C1388" s="2">
        <v>53</v>
      </c>
      <c r="D1388" s="2">
        <v>217.79999999999899</v>
      </c>
      <c r="E1388" s="2" t="s">
        <v>1388</v>
      </c>
    </row>
    <row r="1389" spans="1:5" x14ac:dyDescent="0.25">
      <c r="A1389" s="1">
        <v>53123</v>
      </c>
      <c r="B1389" s="2">
        <v>70</v>
      </c>
      <c r="C1389" s="2">
        <v>53</v>
      </c>
      <c r="D1389" s="2">
        <v>47604.6</v>
      </c>
      <c r="E1389" s="2" t="s">
        <v>1389</v>
      </c>
    </row>
    <row r="1390" spans="1:5" x14ac:dyDescent="0.25">
      <c r="A1390" s="1">
        <v>53124</v>
      </c>
      <c r="B1390" s="2">
        <v>71</v>
      </c>
      <c r="C1390" s="2">
        <v>53</v>
      </c>
      <c r="D1390" s="2">
        <v>360806.40000000002</v>
      </c>
      <c r="E1390" s="2" t="s">
        <v>1390</v>
      </c>
    </row>
    <row r="1391" spans="1:5" x14ac:dyDescent="0.25">
      <c r="A1391" s="1">
        <v>53125</v>
      </c>
      <c r="B1391" s="2">
        <v>72</v>
      </c>
      <c r="C1391" s="2">
        <v>53</v>
      </c>
      <c r="D1391" s="2">
        <v>5132764.8</v>
      </c>
      <c r="E1391" s="2" t="s">
        <v>1391</v>
      </c>
    </row>
    <row r="1392" spans="1:5" x14ac:dyDescent="0.25">
      <c r="A1392" s="1">
        <v>53126</v>
      </c>
      <c r="B1392" s="2">
        <v>73</v>
      </c>
      <c r="C1392" s="2">
        <v>53</v>
      </c>
      <c r="D1392" s="2">
        <v>1117152</v>
      </c>
      <c r="E1392" s="2" t="s">
        <v>1392</v>
      </c>
    </row>
    <row r="1393" spans="1:5" x14ac:dyDescent="0.25">
      <c r="A1393" s="1">
        <v>53127</v>
      </c>
      <c r="B1393" s="2">
        <v>74</v>
      </c>
      <c r="C1393" s="2">
        <v>53</v>
      </c>
      <c r="D1393" s="2" t="s">
        <v>3</v>
      </c>
      <c r="E1393" s="2" t="s">
        <v>1393</v>
      </c>
    </row>
    <row r="1394" spans="1:5" x14ac:dyDescent="0.25">
      <c r="A1394" s="1">
        <v>53128</v>
      </c>
      <c r="B1394" s="2">
        <v>75</v>
      </c>
      <c r="C1394" s="2">
        <v>53</v>
      </c>
      <c r="D1394" s="2">
        <v>1499.3999999999901</v>
      </c>
      <c r="E1394" s="2" t="s">
        <v>1394</v>
      </c>
    </row>
    <row r="1395" spans="1:5" x14ac:dyDescent="0.25">
      <c r="A1395" s="1">
        <v>53129</v>
      </c>
      <c r="B1395" s="2">
        <v>76</v>
      </c>
      <c r="C1395" s="2">
        <v>53</v>
      </c>
      <c r="D1395" s="2">
        <v>495454320000000</v>
      </c>
      <c r="E1395" s="2" t="s">
        <v>1395</v>
      </c>
    </row>
    <row r="1396" spans="1:5" x14ac:dyDescent="0.25">
      <c r="A1396" s="1">
        <v>53130</v>
      </c>
      <c r="B1396" s="2">
        <v>77</v>
      </c>
      <c r="C1396" s="2">
        <v>53</v>
      </c>
      <c r="D1396" s="2">
        <v>44496</v>
      </c>
      <c r="E1396" s="2" t="s">
        <v>1396</v>
      </c>
    </row>
    <row r="1397" spans="1:5" x14ac:dyDescent="0.25">
      <c r="A1397" s="1">
        <v>53131</v>
      </c>
      <c r="B1397" s="2">
        <v>78</v>
      </c>
      <c r="C1397" s="2">
        <v>53</v>
      </c>
      <c r="D1397" s="2">
        <v>693377.28</v>
      </c>
      <c r="E1397" s="2" t="s">
        <v>1397</v>
      </c>
    </row>
    <row r="1398" spans="1:5" x14ac:dyDescent="0.25">
      <c r="A1398" s="1">
        <v>53132</v>
      </c>
      <c r="B1398" s="2">
        <v>79</v>
      </c>
      <c r="C1398" s="2">
        <v>53</v>
      </c>
      <c r="D1398" s="2">
        <v>8262</v>
      </c>
      <c r="E1398" s="2" t="s">
        <v>1398</v>
      </c>
    </row>
    <row r="1399" spans="1:5" x14ac:dyDescent="0.25">
      <c r="A1399" s="1">
        <v>53133</v>
      </c>
      <c r="B1399" s="2">
        <v>80</v>
      </c>
      <c r="C1399" s="2">
        <v>53</v>
      </c>
      <c r="D1399" s="2">
        <v>74988</v>
      </c>
      <c r="E1399" s="2" t="s">
        <v>1399</v>
      </c>
    </row>
    <row r="1400" spans="1:5" x14ac:dyDescent="0.25">
      <c r="A1400" s="1">
        <v>53134</v>
      </c>
      <c r="B1400" s="2">
        <v>81</v>
      </c>
      <c r="C1400" s="2">
        <v>53</v>
      </c>
      <c r="D1400" s="2">
        <v>3150</v>
      </c>
      <c r="E1400" s="2" t="s">
        <v>1400</v>
      </c>
    </row>
    <row r="1401" spans="1:5" x14ac:dyDescent="0.25">
      <c r="A1401" s="1">
        <v>53135</v>
      </c>
      <c r="B1401" s="2">
        <v>82</v>
      </c>
      <c r="C1401" s="2">
        <v>53</v>
      </c>
      <c r="D1401" s="2">
        <v>23688</v>
      </c>
      <c r="E1401" s="2" t="s">
        <v>1401</v>
      </c>
    </row>
    <row r="1402" spans="1:5" x14ac:dyDescent="0.25">
      <c r="A1402" s="1">
        <v>53136</v>
      </c>
      <c r="B1402" s="2">
        <v>83</v>
      </c>
      <c r="C1402" s="2">
        <v>53</v>
      </c>
      <c r="D1402" s="2">
        <v>83.4</v>
      </c>
      <c r="E1402" s="2" t="s">
        <v>1402</v>
      </c>
    </row>
    <row r="1403" spans="1:5" x14ac:dyDescent="0.25">
      <c r="A1403" s="1">
        <v>53137</v>
      </c>
      <c r="B1403" s="2">
        <v>84</v>
      </c>
      <c r="C1403" s="2">
        <v>53</v>
      </c>
      <c r="D1403" s="2">
        <v>24.5</v>
      </c>
      <c r="E1403" s="2" t="s">
        <v>1403</v>
      </c>
    </row>
    <row r="1404" spans="1:5" x14ac:dyDescent="0.25">
      <c r="A1404" s="1">
        <v>53138</v>
      </c>
      <c r="B1404" s="2">
        <v>85</v>
      </c>
      <c r="C1404" s="2">
        <v>53</v>
      </c>
      <c r="D1404" s="2">
        <v>6.23</v>
      </c>
      <c r="E1404" s="2" t="s">
        <v>1404</v>
      </c>
    </row>
    <row r="1405" spans="1:5" x14ac:dyDescent="0.25">
      <c r="A1405" s="1">
        <v>53139</v>
      </c>
      <c r="B1405" s="2">
        <v>86</v>
      </c>
      <c r="C1405" s="2">
        <v>53</v>
      </c>
      <c r="D1405" s="2">
        <v>2.2799999999999998</v>
      </c>
      <c r="E1405" s="2" t="s">
        <v>1405</v>
      </c>
    </row>
    <row r="1406" spans="1:5" x14ac:dyDescent="0.25">
      <c r="A1406" s="1">
        <v>53140</v>
      </c>
      <c r="B1406" s="2">
        <v>87</v>
      </c>
      <c r="C1406" s="2">
        <v>53</v>
      </c>
      <c r="D1406" s="2">
        <v>0.86</v>
      </c>
      <c r="E1406" s="2" t="s">
        <v>1406</v>
      </c>
    </row>
    <row r="1407" spans="1:5" x14ac:dyDescent="0.25">
      <c r="A1407" s="1">
        <v>53141</v>
      </c>
      <c r="B1407" s="2">
        <v>88</v>
      </c>
      <c r="C1407" s="2">
        <v>53</v>
      </c>
      <c r="D1407" s="2">
        <v>0.43</v>
      </c>
      <c r="E1407" s="2" t="s">
        <v>1407</v>
      </c>
    </row>
    <row r="1408" spans="1:5" x14ac:dyDescent="0.25">
      <c r="A1408" s="1">
        <v>53142</v>
      </c>
      <c r="B1408" s="2">
        <v>89</v>
      </c>
      <c r="C1408" s="2">
        <v>53</v>
      </c>
      <c r="D1408" s="2">
        <v>0.222</v>
      </c>
      <c r="E1408" s="2" t="s">
        <v>1408</v>
      </c>
    </row>
    <row r="1409" spans="1:5" x14ac:dyDescent="0.25">
      <c r="A1409" s="1">
        <v>53143</v>
      </c>
      <c r="B1409" s="2">
        <v>90</v>
      </c>
      <c r="C1409" s="2">
        <v>53</v>
      </c>
      <c r="D1409" s="2">
        <v>0.13</v>
      </c>
      <c r="E1409" s="2" t="s">
        <v>1409</v>
      </c>
    </row>
    <row r="1410" spans="1:5" x14ac:dyDescent="0.25">
      <c r="A1410" s="1">
        <v>53144</v>
      </c>
      <c r="B1410" s="2">
        <v>91</v>
      </c>
      <c r="C1410" s="2">
        <v>53</v>
      </c>
      <c r="D1410" s="2">
        <v>2.9999999999999999E-7</v>
      </c>
      <c r="E1410" s="2" t="s">
        <v>1410</v>
      </c>
    </row>
    <row r="1411" spans="1:5" x14ac:dyDescent="0.25">
      <c r="A1411" s="1">
        <v>53145</v>
      </c>
      <c r="B1411" s="2">
        <v>92</v>
      </c>
      <c r="C1411" s="2">
        <v>53</v>
      </c>
      <c r="D1411" s="2">
        <v>4.0699999999999998E-7</v>
      </c>
      <c r="E1411" s="2" t="s">
        <v>1411</v>
      </c>
    </row>
    <row r="1412" spans="1:5" x14ac:dyDescent="0.25">
      <c r="A1412" s="1">
        <v>54109</v>
      </c>
      <c r="B1412" s="2">
        <v>55</v>
      </c>
      <c r="C1412" s="2">
        <v>54</v>
      </c>
      <c r="D1412" s="2">
        <v>1.2999999999999999E-2</v>
      </c>
      <c r="E1412" s="2" t="s">
        <v>1412</v>
      </c>
    </row>
    <row r="1413" spans="1:5" x14ac:dyDescent="0.25">
      <c r="A1413" s="1">
        <v>54110</v>
      </c>
      <c r="B1413" s="2">
        <v>56</v>
      </c>
      <c r="C1413" s="2">
        <v>54</v>
      </c>
      <c r="D1413" s="2">
        <v>9.2999999999999999E-2</v>
      </c>
      <c r="E1413" s="2" t="s">
        <v>1413</v>
      </c>
    </row>
    <row r="1414" spans="1:5" x14ac:dyDescent="0.25">
      <c r="A1414" s="1">
        <v>54111</v>
      </c>
      <c r="B1414" s="2">
        <v>57</v>
      </c>
      <c r="C1414" s="2">
        <v>54</v>
      </c>
      <c r="D1414" s="2">
        <v>0.81</v>
      </c>
      <c r="E1414" s="2" t="s">
        <v>1414</v>
      </c>
    </row>
    <row r="1415" spans="1:5" x14ac:dyDescent="0.25">
      <c r="A1415" s="1">
        <v>54112</v>
      </c>
      <c r="B1415" s="2">
        <v>58</v>
      </c>
      <c r="C1415" s="2">
        <v>54</v>
      </c>
      <c r="D1415" s="2">
        <v>2.7</v>
      </c>
      <c r="E1415" s="2" t="s">
        <v>1415</v>
      </c>
    </row>
    <row r="1416" spans="1:5" x14ac:dyDescent="0.25">
      <c r="A1416" s="1">
        <v>54113</v>
      </c>
      <c r="B1416" s="2">
        <v>59</v>
      </c>
      <c r="C1416" s="2">
        <v>54</v>
      </c>
      <c r="D1416" s="2">
        <v>2.74</v>
      </c>
      <c r="E1416" s="2" t="s">
        <v>1416</v>
      </c>
    </row>
    <row r="1417" spans="1:5" x14ac:dyDescent="0.25">
      <c r="A1417" s="1">
        <v>54114</v>
      </c>
      <c r="B1417" s="2">
        <v>60</v>
      </c>
      <c r="C1417" s="2">
        <v>54</v>
      </c>
      <c r="D1417" s="2">
        <v>10</v>
      </c>
      <c r="E1417" s="2" t="s">
        <v>1417</v>
      </c>
    </row>
    <row r="1418" spans="1:5" x14ac:dyDescent="0.25">
      <c r="A1418" s="1">
        <v>54115</v>
      </c>
      <c r="B1418" s="2">
        <v>61</v>
      </c>
      <c r="C1418" s="2">
        <v>54</v>
      </c>
      <c r="D1418" s="2">
        <v>18</v>
      </c>
      <c r="E1418" s="2" t="s">
        <v>1418</v>
      </c>
    </row>
    <row r="1419" spans="1:5" x14ac:dyDescent="0.25">
      <c r="A1419" s="1">
        <v>54116</v>
      </c>
      <c r="B1419" s="2">
        <v>62</v>
      </c>
      <c r="C1419" s="2">
        <v>54</v>
      </c>
      <c r="D1419" s="2">
        <v>59</v>
      </c>
      <c r="E1419" s="2" t="s">
        <v>1419</v>
      </c>
    </row>
    <row r="1420" spans="1:5" x14ac:dyDescent="0.25">
      <c r="A1420" s="1">
        <v>54117</v>
      </c>
      <c r="B1420" s="2">
        <v>63</v>
      </c>
      <c r="C1420" s="2">
        <v>54</v>
      </c>
      <c r="D1420" s="2">
        <v>61</v>
      </c>
      <c r="E1420" s="2" t="s">
        <v>1420</v>
      </c>
    </row>
    <row r="1421" spans="1:5" x14ac:dyDescent="0.25">
      <c r="A1421" s="1">
        <v>54118</v>
      </c>
      <c r="B1421" s="2">
        <v>64</v>
      </c>
      <c r="C1421" s="2">
        <v>54</v>
      </c>
      <c r="D1421" s="2">
        <v>228</v>
      </c>
      <c r="E1421" s="2" t="s">
        <v>1421</v>
      </c>
    </row>
    <row r="1422" spans="1:5" x14ac:dyDescent="0.25">
      <c r="A1422" s="1">
        <v>54119</v>
      </c>
      <c r="B1422" s="2">
        <v>65</v>
      </c>
      <c r="C1422" s="2">
        <v>54</v>
      </c>
      <c r="D1422" s="2">
        <v>348</v>
      </c>
      <c r="E1422" s="2" t="s">
        <v>1422</v>
      </c>
    </row>
    <row r="1423" spans="1:5" x14ac:dyDescent="0.25">
      <c r="A1423" s="1">
        <v>54120</v>
      </c>
      <c r="B1423" s="2">
        <v>66</v>
      </c>
      <c r="C1423" s="2">
        <v>54</v>
      </c>
      <c r="D1423" s="2">
        <v>2400</v>
      </c>
      <c r="E1423" s="2" t="s">
        <v>1423</v>
      </c>
    </row>
    <row r="1424" spans="1:5" x14ac:dyDescent="0.25">
      <c r="A1424" s="1">
        <v>54121</v>
      </c>
      <c r="B1424" s="2">
        <v>67</v>
      </c>
      <c r="C1424" s="2">
        <v>54</v>
      </c>
      <c r="D1424" s="2">
        <v>2406</v>
      </c>
      <c r="E1424" s="2" t="s">
        <v>1424</v>
      </c>
    </row>
    <row r="1425" spans="1:5" x14ac:dyDescent="0.25">
      <c r="A1425" s="1">
        <v>54122</v>
      </c>
      <c r="B1425" s="2">
        <v>68</v>
      </c>
      <c r="C1425" s="2">
        <v>54</v>
      </c>
      <c r="D1425" s="2">
        <v>72360</v>
      </c>
      <c r="E1425" s="2" t="s">
        <v>1425</v>
      </c>
    </row>
    <row r="1426" spans="1:5" x14ac:dyDescent="0.25">
      <c r="A1426" s="1">
        <v>54123</v>
      </c>
      <c r="B1426" s="2">
        <v>69</v>
      </c>
      <c r="C1426" s="2">
        <v>54</v>
      </c>
      <c r="D1426" s="2">
        <v>7488</v>
      </c>
      <c r="E1426" s="2" t="s">
        <v>1426</v>
      </c>
    </row>
    <row r="1427" spans="1:5" x14ac:dyDescent="0.25">
      <c r="A1427" s="1">
        <v>54124</v>
      </c>
      <c r="B1427" s="2">
        <v>70</v>
      </c>
      <c r="C1427" s="2">
        <v>54</v>
      </c>
      <c r="D1427" s="2">
        <v>5.049216E+21</v>
      </c>
      <c r="E1427" s="2" t="s">
        <v>1427</v>
      </c>
    </row>
    <row r="1428" spans="1:5" x14ac:dyDescent="0.25">
      <c r="A1428" s="1">
        <v>54125</v>
      </c>
      <c r="B1428" s="2">
        <v>71</v>
      </c>
      <c r="C1428" s="2">
        <v>54</v>
      </c>
      <c r="D1428" s="2">
        <v>60839.999999999898</v>
      </c>
      <c r="E1428" s="2" t="s">
        <v>1428</v>
      </c>
    </row>
    <row r="1429" spans="1:5" x14ac:dyDescent="0.25">
      <c r="A1429" s="1">
        <v>54126</v>
      </c>
      <c r="B1429" s="2">
        <v>72</v>
      </c>
      <c r="C1429" s="2">
        <v>54</v>
      </c>
      <c r="D1429" s="2" t="s">
        <v>3</v>
      </c>
      <c r="E1429" s="2" t="s">
        <v>1429</v>
      </c>
    </row>
    <row r="1430" spans="1:5" x14ac:dyDescent="0.25">
      <c r="A1430" s="1">
        <v>54127</v>
      </c>
      <c r="B1430" s="2">
        <v>73</v>
      </c>
      <c r="C1430" s="2">
        <v>54</v>
      </c>
      <c r="D1430" s="2">
        <v>3140294.4</v>
      </c>
      <c r="E1430" s="2" t="s">
        <v>1430</v>
      </c>
    </row>
    <row r="1431" spans="1:5" x14ac:dyDescent="0.25">
      <c r="A1431" s="1">
        <v>54128</v>
      </c>
      <c r="B1431" s="2">
        <v>74</v>
      </c>
      <c r="C1431" s="2">
        <v>54</v>
      </c>
      <c r="D1431" s="2" t="s">
        <v>3</v>
      </c>
      <c r="E1431" s="2" t="s">
        <v>1431</v>
      </c>
    </row>
    <row r="1432" spans="1:5" x14ac:dyDescent="0.25">
      <c r="A1432" s="1">
        <v>54129</v>
      </c>
      <c r="B1432" s="2">
        <v>75</v>
      </c>
      <c r="C1432" s="2">
        <v>54</v>
      </c>
      <c r="D1432" s="2" t="s">
        <v>3</v>
      </c>
      <c r="E1432" s="2" t="s">
        <v>1432</v>
      </c>
    </row>
    <row r="1433" spans="1:5" x14ac:dyDescent="0.25">
      <c r="A1433" s="1">
        <v>54130</v>
      </c>
      <c r="B1433" s="2">
        <v>76</v>
      </c>
      <c r="C1433" s="2">
        <v>54</v>
      </c>
      <c r="D1433" s="2" t="s">
        <v>3</v>
      </c>
      <c r="E1433" s="2" t="s">
        <v>1433</v>
      </c>
    </row>
    <row r="1434" spans="1:5" x14ac:dyDescent="0.25">
      <c r="A1434" s="1">
        <v>54131</v>
      </c>
      <c r="B1434" s="2">
        <v>77</v>
      </c>
      <c r="C1434" s="2">
        <v>54</v>
      </c>
      <c r="D1434" s="2" t="s">
        <v>3</v>
      </c>
      <c r="E1434" s="2" t="s">
        <v>1434</v>
      </c>
    </row>
    <row r="1435" spans="1:5" x14ac:dyDescent="0.25">
      <c r="A1435" s="1">
        <v>54132</v>
      </c>
      <c r="B1435" s="2">
        <v>78</v>
      </c>
      <c r="C1435" s="2">
        <v>54</v>
      </c>
      <c r="D1435" s="2" t="s">
        <v>3</v>
      </c>
      <c r="E1435" s="2" t="s">
        <v>1435</v>
      </c>
    </row>
    <row r="1436" spans="1:5" x14ac:dyDescent="0.25">
      <c r="A1436" s="1">
        <v>54133</v>
      </c>
      <c r="B1436" s="2">
        <v>79</v>
      </c>
      <c r="C1436" s="2">
        <v>54</v>
      </c>
      <c r="D1436" s="2">
        <v>453383.99999999901</v>
      </c>
      <c r="E1436" s="2" t="s">
        <v>1436</v>
      </c>
    </row>
    <row r="1437" spans="1:5" x14ac:dyDescent="0.25">
      <c r="A1437" s="1">
        <v>54134</v>
      </c>
      <c r="B1437" s="2">
        <v>80</v>
      </c>
      <c r="C1437" s="2">
        <v>54</v>
      </c>
      <c r="D1437" s="2">
        <v>1.8303407999999899E+30</v>
      </c>
      <c r="E1437" s="2" t="s">
        <v>1437</v>
      </c>
    </row>
    <row r="1438" spans="1:5" x14ac:dyDescent="0.25">
      <c r="A1438" s="1">
        <v>54135</v>
      </c>
      <c r="B1438" s="2">
        <v>81</v>
      </c>
      <c r="C1438" s="2">
        <v>54</v>
      </c>
      <c r="D1438" s="2">
        <v>32904</v>
      </c>
      <c r="E1438" s="2" t="s">
        <v>1438</v>
      </c>
    </row>
    <row r="1439" spans="1:5" x14ac:dyDescent="0.25">
      <c r="A1439" s="1">
        <v>54136</v>
      </c>
      <c r="B1439" s="2">
        <v>82</v>
      </c>
      <c r="C1439" s="2">
        <v>54</v>
      </c>
      <c r="D1439" s="2">
        <v>7.573824E+28</v>
      </c>
      <c r="E1439" s="2" t="s">
        <v>1439</v>
      </c>
    </row>
    <row r="1440" spans="1:5" x14ac:dyDescent="0.25">
      <c r="A1440" s="1">
        <v>54137</v>
      </c>
      <c r="B1440" s="2">
        <v>83</v>
      </c>
      <c r="C1440" s="2">
        <v>54</v>
      </c>
      <c r="D1440" s="2">
        <v>229.08</v>
      </c>
      <c r="E1440" s="2" t="s">
        <v>1440</v>
      </c>
    </row>
    <row r="1441" spans="1:5" x14ac:dyDescent="0.25">
      <c r="A1441" s="1">
        <v>54138</v>
      </c>
      <c r="B1441" s="2">
        <v>84</v>
      </c>
      <c r="C1441" s="2">
        <v>54</v>
      </c>
      <c r="D1441" s="2">
        <v>848.4</v>
      </c>
      <c r="E1441" s="2" t="s">
        <v>1441</v>
      </c>
    </row>
    <row r="1442" spans="1:5" x14ac:dyDescent="0.25">
      <c r="A1442" s="1">
        <v>54139</v>
      </c>
      <c r="B1442" s="2">
        <v>85</v>
      </c>
      <c r="C1442" s="2">
        <v>54</v>
      </c>
      <c r="D1442" s="2">
        <v>39.68</v>
      </c>
      <c r="E1442" s="2" t="s">
        <v>1442</v>
      </c>
    </row>
    <row r="1443" spans="1:5" x14ac:dyDescent="0.25">
      <c r="A1443" s="1">
        <v>54140</v>
      </c>
      <c r="B1443" s="2">
        <v>86</v>
      </c>
      <c r="C1443" s="2">
        <v>54</v>
      </c>
      <c r="D1443" s="2">
        <v>13.6</v>
      </c>
      <c r="E1443" s="2" t="s">
        <v>1443</v>
      </c>
    </row>
    <row r="1444" spans="1:5" x14ac:dyDescent="0.25">
      <c r="A1444" s="1">
        <v>54141</v>
      </c>
      <c r="B1444" s="2">
        <v>87</v>
      </c>
      <c r="C1444" s="2">
        <v>54</v>
      </c>
      <c r="D1444" s="2">
        <v>1.73</v>
      </c>
      <c r="E1444" s="2" t="s">
        <v>1444</v>
      </c>
    </row>
    <row r="1445" spans="1:5" x14ac:dyDescent="0.25">
      <c r="A1445" s="1">
        <v>54142</v>
      </c>
      <c r="B1445" s="2">
        <v>88</v>
      </c>
      <c r="C1445" s="2">
        <v>54</v>
      </c>
      <c r="D1445" s="2">
        <v>1.23</v>
      </c>
      <c r="E1445" s="2" t="s">
        <v>1445</v>
      </c>
    </row>
    <row r="1446" spans="1:5" x14ac:dyDescent="0.25">
      <c r="A1446" s="1">
        <v>54143</v>
      </c>
      <c r="B1446" s="2">
        <v>89</v>
      </c>
      <c r="C1446" s="2">
        <v>54</v>
      </c>
      <c r="D1446" s="2">
        <v>0.51100000000000001</v>
      </c>
      <c r="E1446" s="2" t="s">
        <v>1446</v>
      </c>
    </row>
    <row r="1447" spans="1:5" x14ac:dyDescent="0.25">
      <c r="A1447" s="1">
        <v>54144</v>
      </c>
      <c r="B1447" s="2">
        <v>90</v>
      </c>
      <c r="C1447" s="2">
        <v>54</v>
      </c>
      <c r="D1447" s="2">
        <v>0.38800000000000001</v>
      </c>
      <c r="E1447" s="2" t="s">
        <v>1447</v>
      </c>
    </row>
    <row r="1448" spans="1:5" x14ac:dyDescent="0.25">
      <c r="A1448" s="1">
        <v>54145</v>
      </c>
      <c r="B1448" s="2">
        <v>91</v>
      </c>
      <c r="C1448" s="2">
        <v>54</v>
      </c>
      <c r="D1448" s="2">
        <v>0.188</v>
      </c>
      <c r="E1448" s="2" t="s">
        <v>1448</v>
      </c>
    </row>
    <row r="1449" spans="1:5" x14ac:dyDescent="0.25">
      <c r="A1449" s="1">
        <v>54146</v>
      </c>
      <c r="B1449" s="2">
        <v>92</v>
      </c>
      <c r="C1449" s="2">
        <v>54</v>
      </c>
      <c r="D1449" s="2">
        <v>0.14599999999999999</v>
      </c>
      <c r="E1449" s="2" t="s">
        <v>1449</v>
      </c>
    </row>
    <row r="1450" spans="1:5" x14ac:dyDescent="0.25">
      <c r="A1450" s="1">
        <v>54147</v>
      </c>
      <c r="B1450" s="2">
        <v>93</v>
      </c>
      <c r="C1450" s="2">
        <v>54</v>
      </c>
      <c r="D1450" s="2">
        <v>0.1</v>
      </c>
      <c r="E1450" s="2" t="s">
        <v>1450</v>
      </c>
    </row>
    <row r="1451" spans="1:5" x14ac:dyDescent="0.25">
      <c r="A1451" s="1">
        <v>54148</v>
      </c>
      <c r="B1451" s="2">
        <v>94</v>
      </c>
      <c r="C1451" s="2">
        <v>54</v>
      </c>
      <c r="D1451" s="2">
        <v>4.08E-7</v>
      </c>
      <c r="E1451" s="2" t="s">
        <v>1451</v>
      </c>
    </row>
    <row r="1452" spans="1:5" x14ac:dyDescent="0.25">
      <c r="A1452" s="1">
        <v>55112</v>
      </c>
      <c r="B1452" s="2">
        <v>57</v>
      </c>
      <c r="C1452" s="2">
        <v>55</v>
      </c>
      <c r="D1452" s="2">
        <v>4.8999999999999998E-4</v>
      </c>
      <c r="E1452" s="2" t="s">
        <v>1452</v>
      </c>
    </row>
    <row r="1453" spans="1:5" x14ac:dyDescent="0.25">
      <c r="A1453" s="1">
        <v>55113</v>
      </c>
      <c r="B1453" s="2">
        <v>58</v>
      </c>
      <c r="C1453" s="2">
        <v>55</v>
      </c>
      <c r="D1453" s="2">
        <v>1.77E-5</v>
      </c>
      <c r="E1453" s="2" t="s">
        <v>1453</v>
      </c>
    </row>
    <row r="1454" spans="1:5" x14ac:dyDescent="0.25">
      <c r="A1454" s="1">
        <v>55114</v>
      </c>
      <c r="B1454" s="2">
        <v>59</v>
      </c>
      <c r="C1454" s="2">
        <v>55</v>
      </c>
      <c r="D1454" s="2">
        <v>0.56999999999999995</v>
      </c>
      <c r="E1454" s="2" t="s">
        <v>1454</v>
      </c>
    </row>
    <row r="1455" spans="1:5" x14ac:dyDescent="0.25">
      <c r="A1455" s="1">
        <v>55115</v>
      </c>
      <c r="B1455" s="2">
        <v>60</v>
      </c>
      <c r="C1455" s="2">
        <v>55</v>
      </c>
      <c r="D1455" s="2">
        <v>1.4</v>
      </c>
      <c r="E1455" s="2" t="s">
        <v>1455</v>
      </c>
    </row>
    <row r="1456" spans="1:5" x14ac:dyDescent="0.25">
      <c r="A1456" s="1">
        <v>55116</v>
      </c>
      <c r="B1456" s="2">
        <v>61</v>
      </c>
      <c r="C1456" s="2">
        <v>55</v>
      </c>
      <c r="D1456" s="2">
        <v>0.7</v>
      </c>
      <c r="E1456" s="2" t="s">
        <v>1456</v>
      </c>
    </row>
    <row r="1457" spans="1:5" x14ac:dyDescent="0.25">
      <c r="A1457" s="1">
        <v>55117</v>
      </c>
      <c r="B1457" s="2">
        <v>62</v>
      </c>
      <c r="C1457" s="2">
        <v>55</v>
      </c>
      <c r="D1457" s="2">
        <v>8.4</v>
      </c>
      <c r="E1457" s="2" t="s">
        <v>1457</v>
      </c>
    </row>
    <row r="1458" spans="1:5" x14ac:dyDescent="0.25">
      <c r="A1458" s="1">
        <v>55118</v>
      </c>
      <c r="B1458" s="2">
        <v>63</v>
      </c>
      <c r="C1458" s="2">
        <v>55</v>
      </c>
      <c r="D1458" s="2">
        <v>14</v>
      </c>
      <c r="E1458" s="2" t="s">
        <v>1458</v>
      </c>
    </row>
    <row r="1459" spans="1:5" x14ac:dyDescent="0.25">
      <c r="A1459" s="1">
        <v>55119</v>
      </c>
      <c r="B1459" s="2">
        <v>64</v>
      </c>
      <c r="C1459" s="2">
        <v>55</v>
      </c>
      <c r="D1459" s="2">
        <v>43</v>
      </c>
      <c r="E1459" s="2" t="s">
        <v>1459</v>
      </c>
    </row>
    <row r="1460" spans="1:5" x14ac:dyDescent="0.25">
      <c r="A1460" s="1">
        <v>55120</v>
      </c>
      <c r="B1460" s="2">
        <v>65</v>
      </c>
      <c r="C1460" s="2">
        <v>55</v>
      </c>
      <c r="D1460" s="2">
        <v>61.3</v>
      </c>
      <c r="E1460" s="2" t="s">
        <v>1460</v>
      </c>
    </row>
    <row r="1461" spans="1:5" x14ac:dyDescent="0.25">
      <c r="A1461" s="1">
        <v>55121</v>
      </c>
      <c r="B1461" s="2">
        <v>66</v>
      </c>
      <c r="C1461" s="2">
        <v>55</v>
      </c>
      <c r="D1461" s="2">
        <v>155</v>
      </c>
      <c r="E1461" s="2" t="s">
        <v>1461</v>
      </c>
    </row>
    <row r="1462" spans="1:5" x14ac:dyDescent="0.25">
      <c r="A1462" s="1">
        <v>55122</v>
      </c>
      <c r="B1462" s="2">
        <v>67</v>
      </c>
      <c r="C1462" s="2">
        <v>55</v>
      </c>
      <c r="D1462" s="2">
        <v>21.18</v>
      </c>
      <c r="E1462" s="2" t="s">
        <v>1462</v>
      </c>
    </row>
    <row r="1463" spans="1:5" x14ac:dyDescent="0.25">
      <c r="A1463" s="1">
        <v>55123</v>
      </c>
      <c r="B1463" s="2">
        <v>68</v>
      </c>
      <c r="C1463" s="2">
        <v>55</v>
      </c>
      <c r="D1463" s="2">
        <v>352.8</v>
      </c>
      <c r="E1463" s="2" t="s">
        <v>1463</v>
      </c>
    </row>
    <row r="1464" spans="1:5" x14ac:dyDescent="0.25">
      <c r="A1464" s="1">
        <v>55124</v>
      </c>
      <c r="B1464" s="2">
        <v>69</v>
      </c>
      <c r="C1464" s="2">
        <v>55</v>
      </c>
      <c r="D1464" s="2">
        <v>30.9</v>
      </c>
      <c r="E1464" s="2" t="s">
        <v>1464</v>
      </c>
    </row>
    <row r="1465" spans="1:5" x14ac:dyDescent="0.25">
      <c r="A1465" s="1">
        <v>55125</v>
      </c>
      <c r="B1465" s="2">
        <v>70</v>
      </c>
      <c r="C1465" s="2">
        <v>55</v>
      </c>
      <c r="D1465" s="2">
        <v>2802</v>
      </c>
      <c r="E1465" s="2" t="s">
        <v>1465</v>
      </c>
    </row>
    <row r="1466" spans="1:5" x14ac:dyDescent="0.25">
      <c r="A1466" s="1">
        <v>55126</v>
      </c>
      <c r="B1466" s="2">
        <v>71</v>
      </c>
      <c r="C1466" s="2">
        <v>55</v>
      </c>
      <c r="D1466" s="2">
        <v>98.399999999999906</v>
      </c>
      <c r="E1466" s="2" t="s">
        <v>1466</v>
      </c>
    </row>
    <row r="1467" spans="1:5" x14ac:dyDescent="0.25">
      <c r="A1467" s="1">
        <v>55127</v>
      </c>
      <c r="B1467" s="2">
        <v>72</v>
      </c>
      <c r="C1467" s="2">
        <v>55</v>
      </c>
      <c r="D1467" s="2">
        <v>22500</v>
      </c>
      <c r="E1467" s="2" t="s">
        <v>1467</v>
      </c>
    </row>
    <row r="1468" spans="1:5" x14ac:dyDescent="0.25">
      <c r="A1468" s="1">
        <v>55128</v>
      </c>
      <c r="B1468" s="2">
        <v>73</v>
      </c>
      <c r="C1468" s="2">
        <v>55</v>
      </c>
      <c r="D1468" s="2">
        <v>219.6</v>
      </c>
      <c r="E1468" s="2" t="s">
        <v>1468</v>
      </c>
    </row>
    <row r="1469" spans="1:5" x14ac:dyDescent="0.25">
      <c r="A1469" s="1">
        <v>55129</v>
      </c>
      <c r="B1469" s="2">
        <v>74</v>
      </c>
      <c r="C1469" s="2">
        <v>55</v>
      </c>
      <c r="D1469" s="2">
        <v>115416</v>
      </c>
      <c r="E1469" s="2" t="s">
        <v>1469</v>
      </c>
    </row>
    <row r="1470" spans="1:5" x14ac:dyDescent="0.25">
      <c r="A1470" s="1">
        <v>55130</v>
      </c>
      <c r="B1470" s="2">
        <v>75</v>
      </c>
      <c r="C1470" s="2">
        <v>55</v>
      </c>
      <c r="D1470" s="2">
        <v>1752.6</v>
      </c>
      <c r="E1470" s="2" t="s">
        <v>1470</v>
      </c>
    </row>
    <row r="1471" spans="1:5" x14ac:dyDescent="0.25">
      <c r="A1471" s="1">
        <v>55131</v>
      </c>
      <c r="B1471" s="2">
        <v>76</v>
      </c>
      <c r="C1471" s="2">
        <v>55</v>
      </c>
      <c r="D1471" s="2">
        <v>837129.6</v>
      </c>
      <c r="E1471" s="2" t="s">
        <v>1471</v>
      </c>
    </row>
    <row r="1472" spans="1:5" x14ac:dyDescent="0.25">
      <c r="A1472" s="1">
        <v>55132</v>
      </c>
      <c r="B1472" s="2">
        <v>77</v>
      </c>
      <c r="C1472" s="2">
        <v>55</v>
      </c>
      <c r="D1472" s="2">
        <v>559872</v>
      </c>
      <c r="E1472" s="2" t="s">
        <v>1472</v>
      </c>
    </row>
    <row r="1473" spans="1:5" x14ac:dyDescent="0.25">
      <c r="A1473" s="1">
        <v>55133</v>
      </c>
      <c r="B1473" s="2">
        <v>78</v>
      </c>
      <c r="C1473" s="2">
        <v>55</v>
      </c>
      <c r="D1473" s="2" t="s">
        <v>3</v>
      </c>
      <c r="E1473" s="2" t="s">
        <v>1473</v>
      </c>
    </row>
    <row r="1474" spans="1:5" x14ac:dyDescent="0.25">
      <c r="A1474" s="1">
        <v>55134</v>
      </c>
      <c r="B1474" s="2">
        <v>79</v>
      </c>
      <c r="C1474" s="2">
        <v>55</v>
      </c>
      <c r="D1474" s="2">
        <v>65172755.519999899</v>
      </c>
      <c r="E1474" s="2" t="s">
        <v>1474</v>
      </c>
    </row>
    <row r="1475" spans="1:5" x14ac:dyDescent="0.25">
      <c r="A1475" s="1">
        <v>55135</v>
      </c>
      <c r="B1475" s="2">
        <v>80</v>
      </c>
      <c r="C1475" s="2">
        <v>55</v>
      </c>
      <c r="D1475" s="2">
        <v>72582480000000</v>
      </c>
      <c r="E1475" s="2" t="s">
        <v>1475</v>
      </c>
    </row>
    <row r="1476" spans="1:5" x14ac:dyDescent="0.25">
      <c r="A1476" s="1">
        <v>55136</v>
      </c>
      <c r="B1476" s="2">
        <v>81</v>
      </c>
      <c r="C1476" s="2">
        <v>55</v>
      </c>
      <c r="D1476" s="2">
        <v>1126656</v>
      </c>
      <c r="E1476" s="2" t="s">
        <v>1476</v>
      </c>
    </row>
    <row r="1477" spans="1:5" x14ac:dyDescent="0.25">
      <c r="A1477" s="1">
        <v>55137</v>
      </c>
      <c r="B1477" s="2">
        <v>82</v>
      </c>
      <c r="C1477" s="2">
        <v>55</v>
      </c>
      <c r="D1477" s="2">
        <v>949252608</v>
      </c>
      <c r="E1477" s="2" t="s">
        <v>1477</v>
      </c>
    </row>
    <row r="1478" spans="1:5" x14ac:dyDescent="0.25">
      <c r="A1478" s="1">
        <v>55138</v>
      </c>
      <c r="B1478" s="2">
        <v>83</v>
      </c>
      <c r="C1478" s="2">
        <v>55</v>
      </c>
      <c r="D1478" s="2">
        <v>2004.6</v>
      </c>
      <c r="E1478" s="2" t="s">
        <v>1478</v>
      </c>
    </row>
    <row r="1479" spans="1:5" x14ac:dyDescent="0.25">
      <c r="A1479" s="1">
        <v>55139</v>
      </c>
      <c r="B1479" s="2">
        <v>84</v>
      </c>
      <c r="C1479" s="2">
        <v>55</v>
      </c>
      <c r="D1479" s="2">
        <v>556.19999999999902</v>
      </c>
      <c r="E1479" s="2" t="s">
        <v>1479</v>
      </c>
    </row>
    <row r="1480" spans="1:5" x14ac:dyDescent="0.25">
      <c r="A1480" s="1">
        <v>55140</v>
      </c>
      <c r="B1480" s="2">
        <v>85</v>
      </c>
      <c r="C1480" s="2">
        <v>55</v>
      </c>
      <c r="D1480" s="2">
        <v>63.7</v>
      </c>
      <c r="E1480" s="2" t="s">
        <v>1480</v>
      </c>
    </row>
    <row r="1481" spans="1:5" x14ac:dyDescent="0.25">
      <c r="A1481" s="1">
        <v>55141</v>
      </c>
      <c r="B1481" s="2">
        <v>86</v>
      </c>
      <c r="C1481" s="2">
        <v>55</v>
      </c>
      <c r="D1481" s="2">
        <v>24.84</v>
      </c>
      <c r="E1481" s="2" t="s">
        <v>1481</v>
      </c>
    </row>
    <row r="1482" spans="1:5" x14ac:dyDescent="0.25">
      <c r="A1482" s="1">
        <v>55142</v>
      </c>
      <c r="B1482" s="2">
        <v>87</v>
      </c>
      <c r="C1482" s="2">
        <v>55</v>
      </c>
      <c r="D1482" s="2">
        <v>1.6839999999999999</v>
      </c>
      <c r="E1482" s="2" t="s">
        <v>1482</v>
      </c>
    </row>
    <row r="1483" spans="1:5" x14ac:dyDescent="0.25">
      <c r="A1483" s="1">
        <v>55143</v>
      </c>
      <c r="B1483" s="2">
        <v>88</v>
      </c>
      <c r="C1483" s="2">
        <v>55</v>
      </c>
      <c r="D1483" s="2">
        <v>1.7909999999999999</v>
      </c>
      <c r="E1483" s="2" t="s">
        <v>1483</v>
      </c>
    </row>
    <row r="1484" spans="1:5" x14ac:dyDescent="0.25">
      <c r="A1484" s="1">
        <v>55144</v>
      </c>
      <c r="B1484" s="2">
        <v>89</v>
      </c>
      <c r="C1484" s="2">
        <v>55</v>
      </c>
      <c r="D1484" s="2">
        <v>0.99399999999999999</v>
      </c>
      <c r="E1484" s="2" t="s">
        <v>1484</v>
      </c>
    </row>
    <row r="1485" spans="1:5" x14ac:dyDescent="0.25">
      <c r="A1485" s="1">
        <v>55145</v>
      </c>
      <c r="B1485" s="2">
        <v>90</v>
      </c>
      <c r="C1485" s="2">
        <v>55</v>
      </c>
      <c r="D1485" s="2">
        <v>0.58699999999999997</v>
      </c>
      <c r="E1485" s="2" t="s">
        <v>1485</v>
      </c>
    </row>
    <row r="1486" spans="1:5" x14ac:dyDescent="0.25">
      <c r="A1486" s="1">
        <v>55146</v>
      </c>
      <c r="B1486" s="2">
        <v>91</v>
      </c>
      <c r="C1486" s="2">
        <v>55</v>
      </c>
      <c r="D1486" s="2">
        <v>0.32200000000000001</v>
      </c>
      <c r="E1486" s="2" t="s">
        <v>1486</v>
      </c>
    </row>
    <row r="1487" spans="1:5" x14ac:dyDescent="0.25">
      <c r="A1487" s="1">
        <v>55147</v>
      </c>
      <c r="B1487" s="2">
        <v>92</v>
      </c>
      <c r="C1487" s="2">
        <v>55</v>
      </c>
      <c r="D1487" s="2">
        <v>0.23</v>
      </c>
      <c r="E1487" s="2" t="s">
        <v>1487</v>
      </c>
    </row>
    <row r="1488" spans="1:5" x14ac:dyDescent="0.25">
      <c r="A1488" s="1">
        <v>55148</v>
      </c>
      <c r="B1488" s="2">
        <v>93</v>
      </c>
      <c r="C1488" s="2">
        <v>55</v>
      </c>
      <c r="D1488" s="2">
        <v>0.14599999999999999</v>
      </c>
      <c r="E1488" s="2" t="s">
        <v>1488</v>
      </c>
    </row>
    <row r="1489" spans="1:5" x14ac:dyDescent="0.25">
      <c r="A1489" s="1">
        <v>55149</v>
      </c>
      <c r="B1489" s="2">
        <v>94</v>
      </c>
      <c r="C1489" s="2">
        <v>55</v>
      </c>
      <c r="D1489" s="2">
        <v>0.05</v>
      </c>
      <c r="E1489" s="2" t="s">
        <v>1489</v>
      </c>
    </row>
    <row r="1490" spans="1:5" x14ac:dyDescent="0.25">
      <c r="A1490" s="1">
        <v>55150</v>
      </c>
      <c r="B1490" s="2">
        <v>95</v>
      </c>
      <c r="C1490" s="2">
        <v>55</v>
      </c>
      <c r="D1490" s="2">
        <v>0.05</v>
      </c>
      <c r="E1490" s="2" t="s">
        <v>1490</v>
      </c>
    </row>
    <row r="1491" spans="1:5" x14ac:dyDescent="0.25">
      <c r="A1491" s="1">
        <v>55151</v>
      </c>
      <c r="B1491" s="2">
        <v>96</v>
      </c>
      <c r="C1491" s="2">
        <v>55</v>
      </c>
      <c r="D1491" s="2">
        <v>0.05</v>
      </c>
      <c r="E1491" s="2" t="s">
        <v>1491</v>
      </c>
    </row>
    <row r="1492" spans="1:5" x14ac:dyDescent="0.25">
      <c r="A1492" s="1">
        <v>56114</v>
      </c>
      <c r="B1492" s="2">
        <v>58</v>
      </c>
      <c r="C1492" s="2">
        <v>56</v>
      </c>
      <c r="D1492" s="2">
        <v>0.43</v>
      </c>
      <c r="E1492" s="2" t="s">
        <v>1492</v>
      </c>
    </row>
    <row r="1493" spans="1:5" x14ac:dyDescent="0.25">
      <c r="A1493" s="1">
        <v>56115</v>
      </c>
      <c r="B1493" s="2">
        <v>59</v>
      </c>
      <c r="C1493" s="2">
        <v>56</v>
      </c>
      <c r="D1493" s="2">
        <v>0.45</v>
      </c>
      <c r="E1493" s="2" t="s">
        <v>1493</v>
      </c>
    </row>
    <row r="1494" spans="1:5" x14ac:dyDescent="0.25">
      <c r="A1494" s="1">
        <v>56116</v>
      </c>
      <c r="B1494" s="2">
        <v>60</v>
      </c>
      <c r="C1494" s="2">
        <v>56</v>
      </c>
      <c r="D1494" s="2">
        <v>1.3</v>
      </c>
      <c r="E1494" s="2" t="s">
        <v>1494</v>
      </c>
    </row>
    <row r="1495" spans="1:5" x14ac:dyDescent="0.25">
      <c r="A1495" s="1">
        <v>56117</v>
      </c>
      <c r="B1495" s="2">
        <v>61</v>
      </c>
      <c r="C1495" s="2">
        <v>56</v>
      </c>
      <c r="D1495" s="2">
        <v>1.75</v>
      </c>
      <c r="E1495" s="2" t="s">
        <v>1495</v>
      </c>
    </row>
    <row r="1496" spans="1:5" x14ac:dyDescent="0.25">
      <c r="A1496" s="1">
        <v>56118</v>
      </c>
      <c r="B1496" s="2">
        <v>62</v>
      </c>
      <c r="C1496" s="2">
        <v>56</v>
      </c>
      <c r="D1496" s="2">
        <v>5.5</v>
      </c>
      <c r="E1496" s="2" t="s">
        <v>1496</v>
      </c>
    </row>
    <row r="1497" spans="1:5" x14ac:dyDescent="0.25">
      <c r="A1497" s="1">
        <v>56119</v>
      </c>
      <c r="B1497" s="2">
        <v>63</v>
      </c>
      <c r="C1497" s="2">
        <v>56</v>
      </c>
      <c r="D1497" s="2">
        <v>5.4</v>
      </c>
      <c r="E1497" s="2" t="s">
        <v>1497</v>
      </c>
    </row>
    <row r="1498" spans="1:5" x14ac:dyDescent="0.25">
      <c r="A1498" s="1">
        <v>56120</v>
      </c>
      <c r="B1498" s="2">
        <v>64</v>
      </c>
      <c r="C1498" s="2">
        <v>56</v>
      </c>
      <c r="D1498" s="2">
        <v>24</v>
      </c>
      <c r="E1498" s="2" t="s">
        <v>1498</v>
      </c>
    </row>
    <row r="1499" spans="1:5" x14ac:dyDescent="0.25">
      <c r="A1499" s="1">
        <v>56121</v>
      </c>
      <c r="B1499" s="2">
        <v>65</v>
      </c>
      <c r="C1499" s="2">
        <v>56</v>
      </c>
      <c r="D1499" s="2">
        <v>29.7</v>
      </c>
      <c r="E1499" s="2" t="s">
        <v>1499</v>
      </c>
    </row>
    <row r="1500" spans="1:5" x14ac:dyDescent="0.25">
      <c r="A1500" s="1">
        <v>56122</v>
      </c>
      <c r="B1500" s="2">
        <v>66</v>
      </c>
      <c r="C1500" s="2">
        <v>56</v>
      </c>
      <c r="D1500" s="2">
        <v>117</v>
      </c>
      <c r="E1500" s="2" t="s">
        <v>1500</v>
      </c>
    </row>
    <row r="1501" spans="1:5" x14ac:dyDescent="0.25">
      <c r="A1501" s="1">
        <v>56123</v>
      </c>
      <c r="B1501" s="2">
        <v>67</v>
      </c>
      <c r="C1501" s="2">
        <v>56</v>
      </c>
      <c r="D1501" s="2">
        <v>162</v>
      </c>
      <c r="E1501" s="2" t="s">
        <v>1501</v>
      </c>
    </row>
    <row r="1502" spans="1:5" x14ac:dyDescent="0.25">
      <c r="A1502" s="1">
        <v>56124</v>
      </c>
      <c r="B1502" s="2">
        <v>68</v>
      </c>
      <c r="C1502" s="2">
        <v>56</v>
      </c>
      <c r="D1502" s="2">
        <v>660</v>
      </c>
      <c r="E1502" s="2" t="s">
        <v>1502</v>
      </c>
    </row>
    <row r="1503" spans="1:5" x14ac:dyDescent="0.25">
      <c r="A1503" s="1">
        <v>56125</v>
      </c>
      <c r="B1503" s="2">
        <v>69</v>
      </c>
      <c r="C1503" s="2">
        <v>56</v>
      </c>
      <c r="D1503" s="2">
        <v>198</v>
      </c>
      <c r="E1503" s="2" t="s">
        <v>1503</v>
      </c>
    </row>
    <row r="1504" spans="1:5" x14ac:dyDescent="0.25">
      <c r="A1504" s="1">
        <v>56126</v>
      </c>
      <c r="B1504" s="2">
        <v>70</v>
      </c>
      <c r="C1504" s="2">
        <v>56</v>
      </c>
      <c r="D1504" s="2">
        <v>6000</v>
      </c>
      <c r="E1504" s="2" t="s">
        <v>1504</v>
      </c>
    </row>
    <row r="1505" spans="1:5" x14ac:dyDescent="0.25">
      <c r="A1505" s="1">
        <v>56127</v>
      </c>
      <c r="B1505" s="2">
        <v>71</v>
      </c>
      <c r="C1505" s="2">
        <v>56</v>
      </c>
      <c r="D1505" s="2">
        <v>762</v>
      </c>
      <c r="E1505" s="2" t="s">
        <v>1505</v>
      </c>
    </row>
    <row r="1506" spans="1:5" x14ac:dyDescent="0.25">
      <c r="A1506" s="1">
        <v>56128</v>
      </c>
      <c r="B1506" s="2">
        <v>72</v>
      </c>
      <c r="C1506" s="2">
        <v>56</v>
      </c>
      <c r="D1506" s="2">
        <v>209952</v>
      </c>
      <c r="E1506" s="2" t="s">
        <v>1506</v>
      </c>
    </row>
    <row r="1507" spans="1:5" x14ac:dyDescent="0.25">
      <c r="A1507" s="1">
        <v>56129</v>
      </c>
      <c r="B1507" s="2">
        <v>73</v>
      </c>
      <c r="C1507" s="2">
        <v>56</v>
      </c>
      <c r="D1507" s="2">
        <v>8028</v>
      </c>
      <c r="E1507" s="2" t="s">
        <v>1507</v>
      </c>
    </row>
    <row r="1508" spans="1:5" x14ac:dyDescent="0.25">
      <c r="A1508" s="1">
        <v>56130</v>
      </c>
      <c r="B1508" s="2">
        <v>74</v>
      </c>
      <c r="C1508" s="2">
        <v>56</v>
      </c>
      <c r="D1508" s="2" t="s">
        <v>3</v>
      </c>
      <c r="E1508" s="2" t="s">
        <v>1508</v>
      </c>
    </row>
    <row r="1509" spans="1:5" x14ac:dyDescent="0.25">
      <c r="A1509" s="1">
        <v>56131</v>
      </c>
      <c r="B1509" s="2">
        <v>75</v>
      </c>
      <c r="C1509" s="2">
        <v>56</v>
      </c>
      <c r="D1509" s="2">
        <v>993600</v>
      </c>
      <c r="E1509" s="2" t="s">
        <v>1509</v>
      </c>
    </row>
    <row r="1510" spans="1:5" x14ac:dyDescent="0.25">
      <c r="A1510" s="1">
        <v>56132</v>
      </c>
      <c r="B1510" s="2">
        <v>76</v>
      </c>
      <c r="C1510" s="2">
        <v>56</v>
      </c>
      <c r="D1510" s="2">
        <v>9.4672799999999999E+28</v>
      </c>
      <c r="E1510" s="2" t="s">
        <v>1510</v>
      </c>
    </row>
    <row r="1511" spans="1:5" x14ac:dyDescent="0.25">
      <c r="A1511" s="1">
        <v>56133</v>
      </c>
      <c r="B1511" s="2">
        <v>77</v>
      </c>
      <c r="C1511" s="2">
        <v>56</v>
      </c>
      <c r="D1511" s="2">
        <v>332964237.60000002</v>
      </c>
      <c r="E1511" s="2" t="s">
        <v>1511</v>
      </c>
    </row>
    <row r="1512" spans="1:5" x14ac:dyDescent="0.25">
      <c r="A1512" s="1">
        <v>56134</v>
      </c>
      <c r="B1512" s="2">
        <v>78</v>
      </c>
      <c r="C1512" s="2">
        <v>56</v>
      </c>
      <c r="D1512" s="2" t="s">
        <v>3</v>
      </c>
      <c r="E1512" s="2" t="s">
        <v>1512</v>
      </c>
    </row>
    <row r="1513" spans="1:5" x14ac:dyDescent="0.25">
      <c r="A1513" s="1">
        <v>56135</v>
      </c>
      <c r="B1513" s="2">
        <v>79</v>
      </c>
      <c r="C1513" s="2">
        <v>56</v>
      </c>
      <c r="D1513" s="2" t="s">
        <v>3</v>
      </c>
      <c r="E1513" s="2" t="s">
        <v>1513</v>
      </c>
    </row>
    <row r="1514" spans="1:5" x14ac:dyDescent="0.25">
      <c r="A1514" s="1">
        <v>56136</v>
      </c>
      <c r="B1514" s="2">
        <v>80</v>
      </c>
      <c r="C1514" s="2">
        <v>56</v>
      </c>
      <c r="D1514" s="2" t="s">
        <v>3</v>
      </c>
      <c r="E1514" s="2" t="s">
        <v>1514</v>
      </c>
    </row>
    <row r="1515" spans="1:5" x14ac:dyDescent="0.25">
      <c r="A1515" s="1">
        <v>56137</v>
      </c>
      <c r="B1515" s="2">
        <v>81</v>
      </c>
      <c r="C1515" s="2">
        <v>56</v>
      </c>
      <c r="D1515" s="2" t="s">
        <v>3</v>
      </c>
      <c r="E1515" s="2" t="s">
        <v>1515</v>
      </c>
    </row>
    <row r="1516" spans="1:5" x14ac:dyDescent="0.25">
      <c r="A1516" s="1">
        <v>56138</v>
      </c>
      <c r="B1516" s="2">
        <v>82</v>
      </c>
      <c r="C1516" s="2">
        <v>56</v>
      </c>
      <c r="D1516" s="2" t="s">
        <v>3</v>
      </c>
      <c r="E1516" s="2" t="s">
        <v>1516</v>
      </c>
    </row>
    <row r="1517" spans="1:5" x14ac:dyDescent="0.25">
      <c r="A1517" s="1">
        <v>56139</v>
      </c>
      <c r="B1517" s="2">
        <v>83</v>
      </c>
      <c r="C1517" s="2">
        <v>56</v>
      </c>
      <c r="D1517" s="2">
        <v>4983.6000000000004</v>
      </c>
      <c r="E1517" s="2" t="s">
        <v>1517</v>
      </c>
    </row>
    <row r="1518" spans="1:5" x14ac:dyDescent="0.25">
      <c r="A1518" s="1">
        <v>56140</v>
      </c>
      <c r="B1518" s="2">
        <v>84</v>
      </c>
      <c r="C1518" s="2">
        <v>56</v>
      </c>
      <c r="D1518" s="2">
        <v>1101833.28</v>
      </c>
      <c r="E1518" s="2" t="s">
        <v>1518</v>
      </c>
    </row>
    <row r="1519" spans="1:5" x14ac:dyDescent="0.25">
      <c r="A1519" s="1">
        <v>56141</v>
      </c>
      <c r="B1519" s="2">
        <v>85</v>
      </c>
      <c r="C1519" s="2">
        <v>56</v>
      </c>
      <c r="D1519" s="2">
        <v>1096.2</v>
      </c>
      <c r="E1519" s="2" t="s">
        <v>1519</v>
      </c>
    </row>
    <row r="1520" spans="1:5" x14ac:dyDescent="0.25">
      <c r="A1520" s="1">
        <v>56142</v>
      </c>
      <c r="B1520" s="2">
        <v>86</v>
      </c>
      <c r="C1520" s="2">
        <v>56</v>
      </c>
      <c r="D1520" s="2">
        <v>636</v>
      </c>
      <c r="E1520" s="2" t="s">
        <v>1520</v>
      </c>
    </row>
    <row r="1521" spans="1:5" x14ac:dyDescent="0.25">
      <c r="A1521" s="1">
        <v>56143</v>
      </c>
      <c r="B1521" s="2">
        <v>87</v>
      </c>
      <c r="C1521" s="2">
        <v>56</v>
      </c>
      <c r="D1521" s="2">
        <v>14.5</v>
      </c>
      <c r="E1521" s="2" t="s">
        <v>1521</v>
      </c>
    </row>
    <row r="1522" spans="1:5" x14ac:dyDescent="0.25">
      <c r="A1522" s="1">
        <v>56144</v>
      </c>
      <c r="B1522" s="2">
        <v>88</v>
      </c>
      <c r="C1522" s="2">
        <v>56</v>
      </c>
      <c r="D1522" s="2">
        <v>11.5</v>
      </c>
      <c r="E1522" s="2" t="s">
        <v>1522</v>
      </c>
    </row>
    <row r="1523" spans="1:5" x14ac:dyDescent="0.25">
      <c r="A1523" s="1">
        <v>56145</v>
      </c>
      <c r="B1523" s="2">
        <v>89</v>
      </c>
      <c r="C1523" s="2">
        <v>56</v>
      </c>
      <c r="D1523" s="2">
        <v>4.3099999999999996</v>
      </c>
      <c r="E1523" s="2" t="s">
        <v>1523</v>
      </c>
    </row>
    <row r="1524" spans="1:5" x14ac:dyDescent="0.25">
      <c r="A1524" s="1">
        <v>56146</v>
      </c>
      <c r="B1524" s="2">
        <v>90</v>
      </c>
      <c r="C1524" s="2">
        <v>56</v>
      </c>
      <c r="D1524" s="2">
        <v>2.2200000000000002</v>
      </c>
      <c r="E1524" s="2" t="s">
        <v>1524</v>
      </c>
    </row>
    <row r="1525" spans="1:5" x14ac:dyDescent="0.25">
      <c r="A1525" s="1">
        <v>56147</v>
      </c>
      <c r="B1525" s="2">
        <v>91</v>
      </c>
      <c r="C1525" s="2">
        <v>56</v>
      </c>
      <c r="D1525" s="2">
        <v>0.89400000000000002</v>
      </c>
      <c r="E1525" s="2" t="s">
        <v>1525</v>
      </c>
    </row>
    <row r="1526" spans="1:5" x14ac:dyDescent="0.25">
      <c r="A1526" s="1">
        <v>56148</v>
      </c>
      <c r="B1526" s="2">
        <v>92</v>
      </c>
      <c r="C1526" s="2">
        <v>56</v>
      </c>
      <c r="D1526" s="2">
        <v>0.61199999999999999</v>
      </c>
      <c r="E1526" s="2" t="s">
        <v>1526</v>
      </c>
    </row>
    <row r="1527" spans="1:5" x14ac:dyDescent="0.25">
      <c r="A1527" s="1">
        <v>56149</v>
      </c>
      <c r="B1527" s="2">
        <v>93</v>
      </c>
      <c r="C1527" s="2">
        <v>56</v>
      </c>
      <c r="D1527" s="2">
        <v>0.34399999999999997</v>
      </c>
      <c r="E1527" s="2" t="s">
        <v>1527</v>
      </c>
    </row>
    <row r="1528" spans="1:5" x14ac:dyDescent="0.25">
      <c r="A1528" s="1">
        <v>56150</v>
      </c>
      <c r="B1528" s="2">
        <v>94</v>
      </c>
      <c r="C1528" s="2">
        <v>56</v>
      </c>
      <c r="D1528" s="2">
        <v>0.3</v>
      </c>
      <c r="E1528" s="2" t="s">
        <v>1528</v>
      </c>
    </row>
    <row r="1529" spans="1:5" x14ac:dyDescent="0.25">
      <c r="A1529" s="1">
        <v>56151</v>
      </c>
      <c r="B1529" s="2">
        <v>95</v>
      </c>
      <c r="C1529" s="2">
        <v>56</v>
      </c>
      <c r="D1529" s="2">
        <v>2.9999999999999999E-7</v>
      </c>
      <c r="E1529" s="2" t="s">
        <v>1529</v>
      </c>
    </row>
    <row r="1530" spans="1:5" x14ac:dyDescent="0.25">
      <c r="A1530" s="1">
        <v>56152</v>
      </c>
      <c r="B1530" s="2">
        <v>96</v>
      </c>
      <c r="C1530" s="2">
        <v>56</v>
      </c>
      <c r="D1530" s="2">
        <v>4.0600000000000001E-7</v>
      </c>
      <c r="E1530" s="2" t="s">
        <v>1530</v>
      </c>
    </row>
    <row r="1531" spans="1:5" x14ac:dyDescent="0.25">
      <c r="A1531" s="1">
        <v>57117</v>
      </c>
      <c r="B1531" s="2">
        <v>60</v>
      </c>
      <c r="C1531" s="2">
        <v>57</v>
      </c>
      <c r="D1531" s="2">
        <v>2.35E-2</v>
      </c>
      <c r="E1531" s="2" t="s">
        <v>1531</v>
      </c>
    </row>
    <row r="1532" spans="1:5" x14ac:dyDescent="0.25">
      <c r="A1532" s="1">
        <v>57120</v>
      </c>
      <c r="B1532" s="2">
        <v>63</v>
      </c>
      <c r="C1532" s="2">
        <v>57</v>
      </c>
      <c r="D1532" s="2">
        <v>2.8</v>
      </c>
      <c r="E1532" s="2" t="s">
        <v>1532</v>
      </c>
    </row>
    <row r="1533" spans="1:5" x14ac:dyDescent="0.25">
      <c r="A1533" s="1">
        <v>57121</v>
      </c>
      <c r="B1533" s="2">
        <v>64</v>
      </c>
      <c r="C1533" s="2">
        <v>57</v>
      </c>
      <c r="D1533" s="2">
        <v>5.3</v>
      </c>
      <c r="E1533" s="2" t="s">
        <v>1533</v>
      </c>
    </row>
    <row r="1534" spans="1:5" x14ac:dyDescent="0.25">
      <c r="A1534" s="1">
        <v>57122</v>
      </c>
      <c r="B1534" s="2">
        <v>65</v>
      </c>
      <c r="C1534" s="2">
        <v>57</v>
      </c>
      <c r="D1534" s="2">
        <v>8.6</v>
      </c>
      <c r="E1534" s="2" t="s">
        <v>1534</v>
      </c>
    </row>
    <row r="1535" spans="1:5" x14ac:dyDescent="0.25">
      <c r="A1535" s="1">
        <v>57123</v>
      </c>
      <c r="B1535" s="2">
        <v>66</v>
      </c>
      <c r="C1535" s="2">
        <v>57</v>
      </c>
      <c r="D1535" s="2">
        <v>17</v>
      </c>
      <c r="E1535" s="2" t="s">
        <v>1535</v>
      </c>
    </row>
    <row r="1536" spans="1:5" x14ac:dyDescent="0.25">
      <c r="A1536" s="1">
        <v>57124</v>
      </c>
      <c r="B1536" s="2">
        <v>67</v>
      </c>
      <c r="C1536" s="2">
        <v>57</v>
      </c>
      <c r="D1536" s="2">
        <v>29.21</v>
      </c>
      <c r="E1536" s="2" t="s">
        <v>1536</v>
      </c>
    </row>
    <row r="1537" spans="1:5" x14ac:dyDescent="0.25">
      <c r="A1537" s="1">
        <v>57125</v>
      </c>
      <c r="B1537" s="2">
        <v>68</v>
      </c>
      <c r="C1537" s="2">
        <v>57</v>
      </c>
      <c r="D1537" s="2">
        <v>64.8</v>
      </c>
      <c r="E1537" s="2" t="s">
        <v>1537</v>
      </c>
    </row>
    <row r="1538" spans="1:5" x14ac:dyDescent="0.25">
      <c r="A1538" s="1">
        <v>57126</v>
      </c>
      <c r="B1538" s="2">
        <v>69</v>
      </c>
      <c r="C1538" s="2">
        <v>57</v>
      </c>
      <c r="D1538" s="2">
        <v>54</v>
      </c>
      <c r="E1538" s="2" t="s">
        <v>1538</v>
      </c>
    </row>
    <row r="1539" spans="1:5" x14ac:dyDescent="0.25">
      <c r="A1539" s="1">
        <v>57127</v>
      </c>
      <c r="B1539" s="2">
        <v>70</v>
      </c>
      <c r="C1539" s="2">
        <v>57</v>
      </c>
      <c r="D1539" s="2">
        <v>306</v>
      </c>
      <c r="E1539" s="2" t="s">
        <v>1539</v>
      </c>
    </row>
    <row r="1540" spans="1:5" x14ac:dyDescent="0.25">
      <c r="A1540" s="1">
        <v>57128</v>
      </c>
      <c r="B1540" s="2">
        <v>71</v>
      </c>
      <c r="C1540" s="2">
        <v>57</v>
      </c>
      <c r="D1540" s="2">
        <v>310.79999999999899</v>
      </c>
      <c r="E1540" s="2" t="s">
        <v>1540</v>
      </c>
    </row>
    <row r="1541" spans="1:5" x14ac:dyDescent="0.25">
      <c r="A1541" s="1">
        <v>57129</v>
      </c>
      <c r="B1541" s="2">
        <v>72</v>
      </c>
      <c r="C1541" s="2">
        <v>57</v>
      </c>
      <c r="D1541" s="2">
        <v>696</v>
      </c>
      <c r="E1541" s="2" t="s">
        <v>1541</v>
      </c>
    </row>
    <row r="1542" spans="1:5" x14ac:dyDescent="0.25">
      <c r="A1542" s="1">
        <v>57130</v>
      </c>
      <c r="B1542" s="2">
        <v>73</v>
      </c>
      <c r="C1542" s="2">
        <v>57</v>
      </c>
      <c r="D1542" s="2">
        <v>522</v>
      </c>
      <c r="E1542" s="2" t="s">
        <v>1542</v>
      </c>
    </row>
    <row r="1543" spans="1:5" x14ac:dyDescent="0.25">
      <c r="A1543" s="1">
        <v>57131</v>
      </c>
      <c r="B1543" s="2">
        <v>74</v>
      </c>
      <c r="C1543" s="2">
        <v>57</v>
      </c>
      <c r="D1543" s="2">
        <v>3540</v>
      </c>
      <c r="E1543" s="2" t="s">
        <v>1543</v>
      </c>
    </row>
    <row r="1544" spans="1:5" x14ac:dyDescent="0.25">
      <c r="A1544" s="1">
        <v>57132</v>
      </c>
      <c r="B1544" s="2">
        <v>75</v>
      </c>
      <c r="C1544" s="2">
        <v>57</v>
      </c>
      <c r="D1544" s="2">
        <v>17280</v>
      </c>
      <c r="E1544" s="2" t="s">
        <v>1544</v>
      </c>
    </row>
    <row r="1545" spans="1:5" x14ac:dyDescent="0.25">
      <c r="A1545" s="1">
        <v>57133</v>
      </c>
      <c r="B1545" s="2">
        <v>76</v>
      </c>
      <c r="C1545" s="2">
        <v>57</v>
      </c>
      <c r="D1545" s="2">
        <v>14083.199999999901</v>
      </c>
      <c r="E1545" s="2" t="s">
        <v>1545</v>
      </c>
    </row>
    <row r="1546" spans="1:5" x14ac:dyDescent="0.25">
      <c r="A1546" s="1">
        <v>57134</v>
      </c>
      <c r="B1546" s="2">
        <v>77</v>
      </c>
      <c r="C1546" s="2">
        <v>57</v>
      </c>
      <c r="D1546" s="2">
        <v>387</v>
      </c>
      <c r="E1546" s="2" t="s">
        <v>1546</v>
      </c>
    </row>
    <row r="1547" spans="1:5" x14ac:dyDescent="0.25">
      <c r="A1547" s="1">
        <v>57135</v>
      </c>
      <c r="B1547" s="2">
        <v>78</v>
      </c>
      <c r="C1547" s="2">
        <v>57</v>
      </c>
      <c r="D1547" s="2">
        <v>70200</v>
      </c>
      <c r="E1547" s="2" t="s">
        <v>1547</v>
      </c>
    </row>
    <row r="1548" spans="1:5" x14ac:dyDescent="0.25">
      <c r="A1548" s="1">
        <v>57136</v>
      </c>
      <c r="B1548" s="2">
        <v>79</v>
      </c>
      <c r="C1548" s="2">
        <v>57</v>
      </c>
      <c r="D1548" s="2">
        <v>592.19999999999902</v>
      </c>
      <c r="E1548" s="2" t="s">
        <v>1548</v>
      </c>
    </row>
    <row r="1549" spans="1:5" x14ac:dyDescent="0.25">
      <c r="A1549" s="1">
        <v>57137</v>
      </c>
      <c r="B1549" s="2">
        <v>80</v>
      </c>
      <c r="C1549" s="2">
        <v>57</v>
      </c>
      <c r="D1549" s="2">
        <v>1893456000000</v>
      </c>
      <c r="E1549" s="2" t="s">
        <v>1549</v>
      </c>
    </row>
    <row r="1550" spans="1:5" x14ac:dyDescent="0.25">
      <c r="A1550" s="1">
        <v>57138</v>
      </c>
      <c r="B1550" s="2">
        <v>81</v>
      </c>
      <c r="C1550" s="2">
        <v>57</v>
      </c>
      <c r="D1550" s="2">
        <v>3.2188752E+18</v>
      </c>
      <c r="E1550" s="2" t="s">
        <v>1550</v>
      </c>
    </row>
    <row r="1551" spans="1:5" x14ac:dyDescent="0.25">
      <c r="A1551" s="1">
        <v>57139</v>
      </c>
      <c r="B1551" s="2">
        <v>82</v>
      </c>
      <c r="C1551" s="2">
        <v>57</v>
      </c>
      <c r="D1551" s="2" t="s">
        <v>3</v>
      </c>
      <c r="E1551" s="2" t="s">
        <v>1551</v>
      </c>
    </row>
    <row r="1552" spans="1:5" x14ac:dyDescent="0.25">
      <c r="A1552" s="1">
        <v>57140</v>
      </c>
      <c r="B1552" s="2">
        <v>83</v>
      </c>
      <c r="C1552" s="2">
        <v>57</v>
      </c>
      <c r="D1552" s="2">
        <v>145026.72</v>
      </c>
      <c r="E1552" s="2" t="s">
        <v>1552</v>
      </c>
    </row>
    <row r="1553" spans="1:5" x14ac:dyDescent="0.25">
      <c r="A1553" s="1">
        <v>57141</v>
      </c>
      <c r="B1553" s="2">
        <v>84</v>
      </c>
      <c r="C1553" s="2">
        <v>57</v>
      </c>
      <c r="D1553" s="2">
        <v>14112</v>
      </c>
      <c r="E1553" s="2" t="s">
        <v>1553</v>
      </c>
    </row>
    <row r="1554" spans="1:5" x14ac:dyDescent="0.25">
      <c r="A1554" s="1">
        <v>57142</v>
      </c>
      <c r="B1554" s="2">
        <v>85</v>
      </c>
      <c r="C1554" s="2">
        <v>57</v>
      </c>
      <c r="D1554" s="2">
        <v>5466</v>
      </c>
      <c r="E1554" s="2" t="s">
        <v>1554</v>
      </c>
    </row>
    <row r="1555" spans="1:5" x14ac:dyDescent="0.25">
      <c r="A1555" s="1">
        <v>57143</v>
      </c>
      <c r="B1555" s="2">
        <v>86</v>
      </c>
      <c r="C1555" s="2">
        <v>57</v>
      </c>
      <c r="D1555" s="2">
        <v>852</v>
      </c>
      <c r="E1555" s="2" t="s">
        <v>1555</v>
      </c>
    </row>
    <row r="1556" spans="1:5" x14ac:dyDescent="0.25">
      <c r="A1556" s="1">
        <v>57144</v>
      </c>
      <c r="B1556" s="2">
        <v>87</v>
      </c>
      <c r="C1556" s="2">
        <v>57</v>
      </c>
      <c r="D1556" s="2">
        <v>40.799999999999997</v>
      </c>
      <c r="E1556" s="2" t="s">
        <v>1556</v>
      </c>
    </row>
    <row r="1557" spans="1:5" x14ac:dyDescent="0.25">
      <c r="A1557" s="1">
        <v>57145</v>
      </c>
      <c r="B1557" s="2">
        <v>88</v>
      </c>
      <c r="C1557" s="2">
        <v>57</v>
      </c>
      <c r="D1557" s="2">
        <v>24.8</v>
      </c>
      <c r="E1557" s="2" t="s">
        <v>1557</v>
      </c>
    </row>
    <row r="1558" spans="1:5" x14ac:dyDescent="0.25">
      <c r="A1558" s="1">
        <v>57146</v>
      </c>
      <c r="B1558" s="2">
        <v>89</v>
      </c>
      <c r="C1558" s="2">
        <v>57</v>
      </c>
      <c r="D1558" s="2">
        <v>6.27</v>
      </c>
      <c r="E1558" s="2" t="s">
        <v>1558</v>
      </c>
    </row>
    <row r="1559" spans="1:5" x14ac:dyDescent="0.25">
      <c r="A1559" s="1">
        <v>57147</v>
      </c>
      <c r="B1559" s="2">
        <v>90</v>
      </c>
      <c r="C1559" s="2">
        <v>57</v>
      </c>
      <c r="D1559" s="2">
        <v>4.0599999999999996</v>
      </c>
      <c r="E1559" s="2" t="s">
        <v>1559</v>
      </c>
    </row>
    <row r="1560" spans="1:5" x14ac:dyDescent="0.25">
      <c r="A1560" s="1">
        <v>57148</v>
      </c>
      <c r="B1560" s="2">
        <v>91</v>
      </c>
      <c r="C1560" s="2">
        <v>57</v>
      </c>
      <c r="D1560" s="2">
        <v>1.26</v>
      </c>
      <c r="E1560" s="2" t="s">
        <v>1560</v>
      </c>
    </row>
    <row r="1561" spans="1:5" x14ac:dyDescent="0.25">
      <c r="A1561" s="1">
        <v>57149</v>
      </c>
      <c r="B1561" s="2">
        <v>92</v>
      </c>
      <c r="C1561" s="2">
        <v>57</v>
      </c>
      <c r="D1561" s="2">
        <v>1.05</v>
      </c>
      <c r="E1561" s="2" t="s">
        <v>1561</v>
      </c>
    </row>
    <row r="1562" spans="1:5" x14ac:dyDescent="0.25">
      <c r="A1562" s="1">
        <v>57150</v>
      </c>
      <c r="B1562" s="2">
        <v>93</v>
      </c>
      <c r="C1562" s="2">
        <v>57</v>
      </c>
      <c r="D1562" s="2">
        <v>0.59</v>
      </c>
      <c r="E1562" s="2" t="s">
        <v>1562</v>
      </c>
    </row>
    <row r="1563" spans="1:5" x14ac:dyDescent="0.25">
      <c r="A1563" s="1">
        <v>57151</v>
      </c>
      <c r="B1563" s="2">
        <v>94</v>
      </c>
      <c r="C1563" s="2">
        <v>57</v>
      </c>
      <c r="D1563" s="2">
        <v>2.9999999999999999E-7</v>
      </c>
      <c r="E1563" s="2" t="s">
        <v>1563</v>
      </c>
    </row>
    <row r="1564" spans="1:5" x14ac:dyDescent="0.25">
      <c r="A1564" s="1">
        <v>57152</v>
      </c>
      <c r="B1564" s="2">
        <v>95</v>
      </c>
      <c r="C1564" s="2">
        <v>57</v>
      </c>
      <c r="D1564" s="2">
        <v>1.4999999999999999E-7</v>
      </c>
      <c r="E1564" s="2" t="s">
        <v>1564</v>
      </c>
    </row>
    <row r="1565" spans="1:5" x14ac:dyDescent="0.25">
      <c r="A1565" s="1">
        <v>57153</v>
      </c>
      <c r="B1565" s="2">
        <v>96</v>
      </c>
      <c r="C1565" s="2">
        <v>57</v>
      </c>
      <c r="D1565" s="2">
        <v>9.9999999999999995E-8</v>
      </c>
      <c r="E1565" s="2" t="s">
        <v>1565</v>
      </c>
    </row>
    <row r="1566" spans="1:5" x14ac:dyDescent="0.25">
      <c r="A1566" s="1">
        <v>58121</v>
      </c>
      <c r="B1566" s="2">
        <v>63</v>
      </c>
      <c r="C1566" s="2">
        <v>58</v>
      </c>
      <c r="D1566" s="2">
        <v>1.1000000000000001</v>
      </c>
      <c r="E1566" s="2" t="s">
        <v>1566</v>
      </c>
    </row>
    <row r="1567" spans="1:5" x14ac:dyDescent="0.25">
      <c r="A1567" s="1">
        <v>58123</v>
      </c>
      <c r="B1567" s="2">
        <v>65</v>
      </c>
      <c r="C1567" s="2">
        <v>58</v>
      </c>
      <c r="D1567" s="2">
        <v>3.8</v>
      </c>
      <c r="E1567" s="2" t="s">
        <v>1567</v>
      </c>
    </row>
    <row r="1568" spans="1:5" x14ac:dyDescent="0.25">
      <c r="A1568" s="1">
        <v>58124</v>
      </c>
      <c r="B1568" s="2">
        <v>66</v>
      </c>
      <c r="C1568" s="2">
        <v>58</v>
      </c>
      <c r="D1568" s="2">
        <v>6</v>
      </c>
      <c r="E1568" s="2" t="s">
        <v>1568</v>
      </c>
    </row>
    <row r="1569" spans="1:5" x14ac:dyDescent="0.25">
      <c r="A1569" s="1">
        <v>58125</v>
      </c>
      <c r="B1569" s="2">
        <v>67</v>
      </c>
      <c r="C1569" s="2">
        <v>58</v>
      </c>
      <c r="D1569" s="2">
        <v>9.6999999999999993</v>
      </c>
      <c r="E1569" s="2" t="s">
        <v>1569</v>
      </c>
    </row>
    <row r="1570" spans="1:5" x14ac:dyDescent="0.25">
      <c r="A1570" s="1">
        <v>58126</v>
      </c>
      <c r="B1570" s="2">
        <v>68</v>
      </c>
      <c r="C1570" s="2">
        <v>58</v>
      </c>
      <c r="D1570" s="2">
        <v>51</v>
      </c>
      <c r="E1570" s="2" t="s">
        <v>1570</v>
      </c>
    </row>
    <row r="1571" spans="1:5" x14ac:dyDescent="0.25">
      <c r="A1571" s="1">
        <v>58127</v>
      </c>
      <c r="B1571" s="2">
        <v>69</v>
      </c>
      <c r="C1571" s="2">
        <v>58</v>
      </c>
      <c r="D1571" s="2">
        <v>34</v>
      </c>
      <c r="E1571" s="2" t="s">
        <v>1571</v>
      </c>
    </row>
    <row r="1572" spans="1:5" x14ac:dyDescent="0.25">
      <c r="A1572" s="1">
        <v>58128</v>
      </c>
      <c r="B1572" s="2">
        <v>70</v>
      </c>
      <c r="C1572" s="2">
        <v>58</v>
      </c>
      <c r="D1572" s="2">
        <v>235.8</v>
      </c>
      <c r="E1572" s="2" t="s">
        <v>1572</v>
      </c>
    </row>
    <row r="1573" spans="1:5" x14ac:dyDescent="0.25">
      <c r="A1573" s="1">
        <v>58129</v>
      </c>
      <c r="B1573" s="2">
        <v>71</v>
      </c>
      <c r="C1573" s="2">
        <v>58</v>
      </c>
      <c r="D1573" s="2">
        <v>210</v>
      </c>
      <c r="E1573" s="2" t="s">
        <v>1573</v>
      </c>
    </row>
    <row r="1574" spans="1:5" x14ac:dyDescent="0.25">
      <c r="A1574" s="1">
        <v>58130</v>
      </c>
      <c r="B1574" s="2">
        <v>72</v>
      </c>
      <c r="C1574" s="2">
        <v>58</v>
      </c>
      <c r="D1574" s="2">
        <v>1374</v>
      </c>
      <c r="E1574" s="2" t="s">
        <v>1574</v>
      </c>
    </row>
    <row r="1575" spans="1:5" x14ac:dyDescent="0.25">
      <c r="A1575" s="1">
        <v>58131</v>
      </c>
      <c r="B1575" s="2">
        <v>73</v>
      </c>
      <c r="C1575" s="2">
        <v>58</v>
      </c>
      <c r="D1575" s="2">
        <v>618</v>
      </c>
      <c r="E1575" s="2" t="s">
        <v>1575</v>
      </c>
    </row>
    <row r="1576" spans="1:5" x14ac:dyDescent="0.25">
      <c r="A1576" s="1">
        <v>58132</v>
      </c>
      <c r="B1576" s="2">
        <v>74</v>
      </c>
      <c r="C1576" s="2">
        <v>58</v>
      </c>
      <c r="D1576" s="2">
        <v>12636</v>
      </c>
      <c r="E1576" s="2" t="s">
        <v>1576</v>
      </c>
    </row>
    <row r="1577" spans="1:5" x14ac:dyDescent="0.25">
      <c r="A1577" s="1">
        <v>58133</v>
      </c>
      <c r="B1577" s="2">
        <v>75</v>
      </c>
      <c r="C1577" s="2">
        <v>58</v>
      </c>
      <c r="D1577" s="2">
        <v>5820</v>
      </c>
      <c r="E1577" s="2" t="s">
        <v>1577</v>
      </c>
    </row>
    <row r="1578" spans="1:5" x14ac:dyDescent="0.25">
      <c r="A1578" s="1">
        <v>58134</v>
      </c>
      <c r="B1578" s="2">
        <v>76</v>
      </c>
      <c r="C1578" s="2">
        <v>58</v>
      </c>
      <c r="D1578" s="2">
        <v>273024</v>
      </c>
      <c r="E1578" s="2" t="s">
        <v>1578</v>
      </c>
    </row>
    <row r="1579" spans="1:5" x14ac:dyDescent="0.25">
      <c r="A1579" s="1">
        <v>58135</v>
      </c>
      <c r="B1579" s="2">
        <v>77</v>
      </c>
      <c r="C1579" s="2">
        <v>58</v>
      </c>
      <c r="D1579" s="2">
        <v>63720</v>
      </c>
      <c r="E1579" s="2" t="s">
        <v>1579</v>
      </c>
    </row>
    <row r="1580" spans="1:5" x14ac:dyDescent="0.25">
      <c r="A1580" s="1">
        <v>58136</v>
      </c>
      <c r="B1580" s="2">
        <v>78</v>
      </c>
      <c r="C1580" s="2">
        <v>58</v>
      </c>
      <c r="D1580" s="2">
        <v>2.209032E+21</v>
      </c>
      <c r="E1580" s="2" t="s">
        <v>1580</v>
      </c>
    </row>
    <row r="1581" spans="1:5" x14ac:dyDescent="0.25">
      <c r="A1581" s="1">
        <v>58137</v>
      </c>
      <c r="B1581" s="2">
        <v>79</v>
      </c>
      <c r="C1581" s="2">
        <v>58</v>
      </c>
      <c r="D1581" s="2">
        <v>32400</v>
      </c>
      <c r="E1581" s="2" t="s">
        <v>1581</v>
      </c>
    </row>
    <row r="1582" spans="1:5" x14ac:dyDescent="0.25">
      <c r="A1582" s="1">
        <v>58138</v>
      </c>
      <c r="B1582" s="2">
        <v>80</v>
      </c>
      <c r="C1582" s="2">
        <v>58</v>
      </c>
      <c r="D1582" s="2">
        <v>2.8401840000000003E+21</v>
      </c>
      <c r="E1582" s="2" t="s">
        <v>1582</v>
      </c>
    </row>
    <row r="1583" spans="1:5" x14ac:dyDescent="0.25">
      <c r="A1583" s="1">
        <v>58139</v>
      </c>
      <c r="B1583" s="2">
        <v>81</v>
      </c>
      <c r="C1583" s="2">
        <v>58</v>
      </c>
      <c r="D1583" s="2">
        <v>11892182.3999999</v>
      </c>
      <c r="E1583" s="2" t="s">
        <v>1583</v>
      </c>
    </row>
    <row r="1584" spans="1:5" x14ac:dyDescent="0.25">
      <c r="A1584" s="1">
        <v>58140</v>
      </c>
      <c r="B1584" s="2">
        <v>82</v>
      </c>
      <c r="C1584" s="2">
        <v>58</v>
      </c>
      <c r="D1584" s="2" t="s">
        <v>3</v>
      </c>
      <c r="E1584" s="2" t="s">
        <v>1584</v>
      </c>
    </row>
    <row r="1585" spans="1:5" x14ac:dyDescent="0.25">
      <c r="A1585" s="1">
        <v>58141</v>
      </c>
      <c r="B1585" s="2">
        <v>83</v>
      </c>
      <c r="C1585" s="2">
        <v>58</v>
      </c>
      <c r="D1585" s="2">
        <v>2808950.4</v>
      </c>
      <c r="E1585" s="2" t="s">
        <v>1585</v>
      </c>
    </row>
    <row r="1586" spans="1:5" x14ac:dyDescent="0.25">
      <c r="A1586" s="1">
        <v>58142</v>
      </c>
      <c r="B1586" s="2">
        <v>84</v>
      </c>
      <c r="C1586" s="2">
        <v>58</v>
      </c>
      <c r="D1586" s="2">
        <v>1.57788E+24</v>
      </c>
      <c r="E1586" s="2" t="s">
        <v>1586</v>
      </c>
    </row>
    <row r="1587" spans="1:5" x14ac:dyDescent="0.25">
      <c r="A1587" s="1">
        <v>58143</v>
      </c>
      <c r="B1587" s="2">
        <v>85</v>
      </c>
      <c r="C1587" s="2">
        <v>58</v>
      </c>
      <c r="D1587" s="2">
        <v>118940.4</v>
      </c>
      <c r="E1587" s="2" t="s">
        <v>1587</v>
      </c>
    </row>
    <row r="1588" spans="1:5" x14ac:dyDescent="0.25">
      <c r="A1588" s="1">
        <v>58144</v>
      </c>
      <c r="B1588" s="2">
        <v>86</v>
      </c>
      <c r="C1588" s="2">
        <v>58</v>
      </c>
      <c r="D1588" s="2">
        <v>24616224</v>
      </c>
      <c r="E1588" s="2" t="s">
        <v>1588</v>
      </c>
    </row>
    <row r="1589" spans="1:5" x14ac:dyDescent="0.25">
      <c r="A1589" s="1">
        <v>58145</v>
      </c>
      <c r="B1589" s="2">
        <v>87</v>
      </c>
      <c r="C1589" s="2">
        <v>58</v>
      </c>
      <c r="D1589" s="2">
        <v>180.6</v>
      </c>
      <c r="E1589" s="2" t="s">
        <v>1589</v>
      </c>
    </row>
    <row r="1590" spans="1:5" x14ac:dyDescent="0.25">
      <c r="A1590" s="1">
        <v>58146</v>
      </c>
      <c r="B1590" s="2">
        <v>88</v>
      </c>
      <c r="C1590" s="2">
        <v>58</v>
      </c>
      <c r="D1590" s="2">
        <v>809.4</v>
      </c>
      <c r="E1590" s="2" t="s">
        <v>1590</v>
      </c>
    </row>
    <row r="1591" spans="1:5" x14ac:dyDescent="0.25">
      <c r="A1591" s="1">
        <v>58147</v>
      </c>
      <c r="B1591" s="2">
        <v>89</v>
      </c>
      <c r="C1591" s="2">
        <v>58</v>
      </c>
      <c r="D1591" s="2">
        <v>56.4</v>
      </c>
      <c r="E1591" s="2" t="s">
        <v>1591</v>
      </c>
    </row>
    <row r="1592" spans="1:5" x14ac:dyDescent="0.25">
      <c r="A1592" s="1">
        <v>58148</v>
      </c>
      <c r="B1592" s="2">
        <v>90</v>
      </c>
      <c r="C1592" s="2">
        <v>58</v>
      </c>
      <c r="D1592" s="2">
        <v>56.8</v>
      </c>
      <c r="E1592" s="2" t="s">
        <v>1592</v>
      </c>
    </row>
    <row r="1593" spans="1:5" x14ac:dyDescent="0.25">
      <c r="A1593" s="1">
        <v>58149</v>
      </c>
      <c r="B1593" s="2">
        <v>91</v>
      </c>
      <c r="C1593" s="2">
        <v>58</v>
      </c>
      <c r="D1593" s="2">
        <v>5.3</v>
      </c>
      <c r="E1593" s="2" t="s">
        <v>1593</v>
      </c>
    </row>
    <row r="1594" spans="1:5" x14ac:dyDescent="0.25">
      <c r="A1594" s="1">
        <v>58150</v>
      </c>
      <c r="B1594" s="2">
        <v>92</v>
      </c>
      <c r="C1594" s="2">
        <v>58</v>
      </c>
      <c r="D1594" s="2">
        <v>4</v>
      </c>
      <c r="E1594" s="2" t="s">
        <v>1594</v>
      </c>
    </row>
    <row r="1595" spans="1:5" x14ac:dyDescent="0.25">
      <c r="A1595" s="1">
        <v>58151</v>
      </c>
      <c r="B1595" s="2">
        <v>93</v>
      </c>
      <c r="C1595" s="2">
        <v>58</v>
      </c>
      <c r="D1595" s="2">
        <v>1.76</v>
      </c>
      <c r="E1595" s="2" t="s">
        <v>1595</v>
      </c>
    </row>
    <row r="1596" spans="1:5" x14ac:dyDescent="0.25">
      <c r="A1596" s="1">
        <v>58152</v>
      </c>
      <c r="B1596" s="2">
        <v>94</v>
      </c>
      <c r="C1596" s="2">
        <v>58</v>
      </c>
      <c r="D1596" s="2">
        <v>1.4</v>
      </c>
      <c r="E1596" s="2" t="s">
        <v>1596</v>
      </c>
    </row>
    <row r="1597" spans="1:5" x14ac:dyDescent="0.25">
      <c r="A1597" s="1">
        <v>58153</v>
      </c>
      <c r="B1597" s="2">
        <v>95</v>
      </c>
      <c r="C1597" s="2">
        <v>58</v>
      </c>
      <c r="D1597" s="2">
        <v>9.9999999999999995E-8</v>
      </c>
      <c r="E1597" s="2" t="s">
        <v>1597</v>
      </c>
    </row>
    <row r="1598" spans="1:5" x14ac:dyDescent="0.25">
      <c r="A1598" s="1">
        <v>58154</v>
      </c>
      <c r="B1598" s="2">
        <v>96</v>
      </c>
      <c r="C1598" s="2">
        <v>58</v>
      </c>
      <c r="D1598" s="2">
        <v>9.9999999999999995E-8</v>
      </c>
      <c r="E1598" s="2" t="s">
        <v>1598</v>
      </c>
    </row>
    <row r="1599" spans="1:5" x14ac:dyDescent="0.25">
      <c r="A1599" s="1">
        <v>58155</v>
      </c>
      <c r="B1599" s="2">
        <v>97</v>
      </c>
      <c r="C1599" s="2">
        <v>58</v>
      </c>
      <c r="D1599" s="2">
        <v>2.9999999999999999E-7</v>
      </c>
      <c r="E1599" s="2" t="s">
        <v>1599</v>
      </c>
    </row>
    <row r="1600" spans="1:5" x14ac:dyDescent="0.25">
      <c r="A1600" s="1">
        <v>59121</v>
      </c>
      <c r="B1600" s="2">
        <v>62</v>
      </c>
      <c r="C1600" s="2">
        <v>59</v>
      </c>
      <c r="D1600" s="2">
        <v>0.01</v>
      </c>
      <c r="E1600" s="2" t="s">
        <v>1600</v>
      </c>
    </row>
    <row r="1601" spans="1:5" x14ac:dyDescent="0.25">
      <c r="A1601" s="1">
        <v>59122</v>
      </c>
      <c r="B1601" s="2">
        <v>63</v>
      </c>
      <c r="C1601" s="2">
        <v>59</v>
      </c>
      <c r="D1601" s="2">
        <v>0.5</v>
      </c>
      <c r="E1601" s="2" t="s">
        <v>1601</v>
      </c>
    </row>
    <row r="1602" spans="1:5" x14ac:dyDescent="0.25">
      <c r="A1602" s="1">
        <v>59123</v>
      </c>
      <c r="B1602" s="2">
        <v>64</v>
      </c>
      <c r="C1602" s="2">
        <v>59</v>
      </c>
      <c r="D1602" s="2">
        <v>0.8</v>
      </c>
      <c r="E1602" s="2" t="s">
        <v>1602</v>
      </c>
    </row>
    <row r="1603" spans="1:5" x14ac:dyDescent="0.25">
      <c r="A1603" s="1">
        <v>59124</v>
      </c>
      <c r="B1603" s="2">
        <v>65</v>
      </c>
      <c r="C1603" s="2">
        <v>59</v>
      </c>
      <c r="D1603" s="2">
        <v>1.2</v>
      </c>
      <c r="E1603" s="2" t="s">
        <v>1603</v>
      </c>
    </row>
    <row r="1604" spans="1:5" x14ac:dyDescent="0.25">
      <c r="A1604" s="1">
        <v>59125</v>
      </c>
      <c r="B1604" s="2">
        <v>66</v>
      </c>
      <c r="C1604" s="2">
        <v>59</v>
      </c>
      <c r="D1604" s="2">
        <v>3.3</v>
      </c>
      <c r="E1604" s="2" t="s">
        <v>1604</v>
      </c>
    </row>
    <row r="1605" spans="1:5" x14ac:dyDescent="0.25">
      <c r="A1605" s="1">
        <v>59126</v>
      </c>
      <c r="B1605" s="2">
        <v>67</v>
      </c>
      <c r="C1605" s="2">
        <v>59</v>
      </c>
      <c r="D1605" s="2">
        <v>3.14</v>
      </c>
      <c r="E1605" s="2" t="s">
        <v>1605</v>
      </c>
    </row>
    <row r="1606" spans="1:5" x14ac:dyDescent="0.25">
      <c r="A1606" s="1">
        <v>59127</v>
      </c>
      <c r="B1606" s="2">
        <v>68</v>
      </c>
      <c r="C1606" s="2">
        <v>59</v>
      </c>
      <c r="D1606" s="2">
        <v>4.2</v>
      </c>
      <c r="E1606" s="2" t="s">
        <v>1606</v>
      </c>
    </row>
    <row r="1607" spans="1:5" x14ac:dyDescent="0.25">
      <c r="A1607" s="1">
        <v>59128</v>
      </c>
      <c r="B1607" s="2">
        <v>69</v>
      </c>
      <c r="C1607" s="2">
        <v>59</v>
      </c>
      <c r="D1607" s="2">
        <v>2.85</v>
      </c>
      <c r="E1607" s="2" t="s">
        <v>1607</v>
      </c>
    </row>
    <row r="1608" spans="1:5" x14ac:dyDescent="0.25">
      <c r="A1608" s="1">
        <v>59129</v>
      </c>
      <c r="B1608" s="2">
        <v>70</v>
      </c>
      <c r="C1608" s="2">
        <v>59</v>
      </c>
      <c r="D1608" s="2">
        <v>30</v>
      </c>
      <c r="E1608" s="2" t="s">
        <v>1608</v>
      </c>
    </row>
    <row r="1609" spans="1:5" x14ac:dyDescent="0.25">
      <c r="A1609" s="1">
        <v>59130</v>
      </c>
      <c r="B1609" s="2">
        <v>71</v>
      </c>
      <c r="C1609" s="2">
        <v>59</v>
      </c>
      <c r="D1609" s="2">
        <v>40</v>
      </c>
      <c r="E1609" s="2" t="s">
        <v>1609</v>
      </c>
    </row>
    <row r="1610" spans="1:5" x14ac:dyDescent="0.25">
      <c r="A1610" s="1">
        <v>59131</v>
      </c>
      <c r="B1610" s="2">
        <v>72</v>
      </c>
      <c r="C1610" s="2">
        <v>59</v>
      </c>
      <c r="D1610" s="2">
        <v>90.6</v>
      </c>
      <c r="E1610" s="2" t="s">
        <v>1610</v>
      </c>
    </row>
    <row r="1611" spans="1:5" x14ac:dyDescent="0.25">
      <c r="A1611" s="1">
        <v>59132</v>
      </c>
      <c r="B1611" s="2">
        <v>73</v>
      </c>
      <c r="C1611" s="2">
        <v>59</v>
      </c>
      <c r="D1611" s="2">
        <v>96</v>
      </c>
      <c r="E1611" s="2" t="s">
        <v>1611</v>
      </c>
    </row>
    <row r="1612" spans="1:5" x14ac:dyDescent="0.25">
      <c r="A1612" s="1">
        <v>59133</v>
      </c>
      <c r="B1612" s="2">
        <v>74</v>
      </c>
      <c r="C1612" s="2">
        <v>59</v>
      </c>
      <c r="D1612" s="2">
        <v>390</v>
      </c>
      <c r="E1612" s="2" t="s">
        <v>1612</v>
      </c>
    </row>
    <row r="1613" spans="1:5" x14ac:dyDescent="0.25">
      <c r="A1613" s="1">
        <v>59134</v>
      </c>
      <c r="B1613" s="2">
        <v>75</v>
      </c>
      <c r="C1613" s="2">
        <v>59</v>
      </c>
      <c r="D1613" s="2">
        <v>660</v>
      </c>
      <c r="E1613" s="2" t="s">
        <v>1613</v>
      </c>
    </row>
    <row r="1614" spans="1:5" x14ac:dyDescent="0.25">
      <c r="A1614" s="1">
        <v>59135</v>
      </c>
      <c r="B1614" s="2">
        <v>76</v>
      </c>
      <c r="C1614" s="2">
        <v>59</v>
      </c>
      <c r="D1614" s="2">
        <v>1440</v>
      </c>
      <c r="E1614" s="2" t="s">
        <v>1614</v>
      </c>
    </row>
    <row r="1615" spans="1:5" x14ac:dyDescent="0.25">
      <c r="A1615" s="1">
        <v>59136</v>
      </c>
      <c r="B1615" s="2">
        <v>77</v>
      </c>
      <c r="C1615" s="2">
        <v>59</v>
      </c>
      <c r="D1615" s="2">
        <v>786</v>
      </c>
      <c r="E1615" s="2" t="s">
        <v>1615</v>
      </c>
    </row>
    <row r="1616" spans="1:5" x14ac:dyDescent="0.25">
      <c r="A1616" s="1">
        <v>59137</v>
      </c>
      <c r="B1616" s="2">
        <v>78</v>
      </c>
      <c r="C1616" s="2">
        <v>59</v>
      </c>
      <c r="D1616" s="2">
        <v>4608</v>
      </c>
      <c r="E1616" s="2" t="s">
        <v>1616</v>
      </c>
    </row>
    <row r="1617" spans="1:5" x14ac:dyDescent="0.25">
      <c r="A1617" s="1">
        <v>59138</v>
      </c>
      <c r="B1617" s="2">
        <v>79</v>
      </c>
      <c r="C1617" s="2">
        <v>59</v>
      </c>
      <c r="D1617" s="2">
        <v>87</v>
      </c>
      <c r="E1617" s="2" t="s">
        <v>1617</v>
      </c>
    </row>
    <row r="1618" spans="1:5" x14ac:dyDescent="0.25">
      <c r="A1618" s="1">
        <v>59139</v>
      </c>
      <c r="B1618" s="2">
        <v>80</v>
      </c>
      <c r="C1618" s="2">
        <v>59</v>
      </c>
      <c r="D1618" s="2">
        <v>15876</v>
      </c>
      <c r="E1618" s="2" t="s">
        <v>1618</v>
      </c>
    </row>
    <row r="1619" spans="1:5" x14ac:dyDescent="0.25">
      <c r="A1619" s="1">
        <v>59140</v>
      </c>
      <c r="B1619" s="2">
        <v>81</v>
      </c>
      <c r="C1619" s="2">
        <v>59</v>
      </c>
      <c r="D1619" s="2">
        <v>203.4</v>
      </c>
      <c r="E1619" s="2" t="s">
        <v>1619</v>
      </c>
    </row>
    <row r="1620" spans="1:5" x14ac:dyDescent="0.25">
      <c r="A1620" s="1">
        <v>59141</v>
      </c>
      <c r="B1620" s="2">
        <v>82</v>
      </c>
      <c r="C1620" s="2">
        <v>59</v>
      </c>
      <c r="D1620" s="2" t="s">
        <v>3</v>
      </c>
      <c r="E1620" s="2" t="s">
        <v>1620</v>
      </c>
    </row>
    <row r="1621" spans="1:5" x14ac:dyDescent="0.25">
      <c r="A1621" s="1">
        <v>59142</v>
      </c>
      <c r="B1621" s="2">
        <v>83</v>
      </c>
      <c r="C1621" s="2">
        <v>59</v>
      </c>
      <c r="D1621" s="2">
        <v>68832</v>
      </c>
      <c r="E1621" s="2" t="s">
        <v>1621</v>
      </c>
    </row>
    <row r="1622" spans="1:5" x14ac:dyDescent="0.25">
      <c r="A1622" s="1">
        <v>59143</v>
      </c>
      <c r="B1622" s="2">
        <v>84</v>
      </c>
      <c r="C1622" s="2">
        <v>59</v>
      </c>
      <c r="D1622" s="2">
        <v>1172448</v>
      </c>
      <c r="E1622" s="2" t="s">
        <v>1622</v>
      </c>
    </row>
    <row r="1623" spans="1:5" x14ac:dyDescent="0.25">
      <c r="A1623" s="1">
        <v>59144</v>
      </c>
      <c r="B1623" s="2">
        <v>85</v>
      </c>
      <c r="C1623" s="2">
        <v>59</v>
      </c>
      <c r="D1623" s="2">
        <v>1036.8</v>
      </c>
      <c r="E1623" s="2" t="s">
        <v>1623</v>
      </c>
    </row>
    <row r="1624" spans="1:5" x14ac:dyDescent="0.25">
      <c r="A1624" s="1">
        <v>59145</v>
      </c>
      <c r="B1624" s="2">
        <v>86</v>
      </c>
      <c r="C1624" s="2">
        <v>59</v>
      </c>
      <c r="D1624" s="2">
        <v>21542.400000000001</v>
      </c>
      <c r="E1624" s="2" t="s">
        <v>1624</v>
      </c>
    </row>
    <row r="1625" spans="1:5" x14ac:dyDescent="0.25">
      <c r="A1625" s="1">
        <v>59146</v>
      </c>
      <c r="B1625" s="2">
        <v>87</v>
      </c>
      <c r="C1625" s="2">
        <v>59</v>
      </c>
      <c r="D1625" s="2">
        <v>1449</v>
      </c>
      <c r="E1625" s="2" t="s">
        <v>1625</v>
      </c>
    </row>
    <row r="1626" spans="1:5" x14ac:dyDescent="0.25">
      <c r="A1626" s="1">
        <v>59147</v>
      </c>
      <c r="B1626" s="2">
        <v>88</v>
      </c>
      <c r="C1626" s="2">
        <v>59</v>
      </c>
      <c r="D1626" s="2">
        <v>804</v>
      </c>
      <c r="E1626" s="2" t="s">
        <v>1626</v>
      </c>
    </row>
    <row r="1627" spans="1:5" x14ac:dyDescent="0.25">
      <c r="A1627" s="1">
        <v>59148</v>
      </c>
      <c r="B1627" s="2">
        <v>89</v>
      </c>
      <c r="C1627" s="2">
        <v>59</v>
      </c>
      <c r="D1627" s="2">
        <v>137.4</v>
      </c>
      <c r="E1627" s="2" t="s">
        <v>1627</v>
      </c>
    </row>
    <row r="1628" spans="1:5" x14ac:dyDescent="0.25">
      <c r="A1628" s="1">
        <v>59149</v>
      </c>
      <c r="B1628" s="2">
        <v>90</v>
      </c>
      <c r="C1628" s="2">
        <v>59</v>
      </c>
      <c r="D1628" s="2">
        <v>135.6</v>
      </c>
      <c r="E1628" s="2" t="s">
        <v>1628</v>
      </c>
    </row>
    <row r="1629" spans="1:5" x14ac:dyDescent="0.25">
      <c r="A1629" s="1">
        <v>59150</v>
      </c>
      <c r="B1629" s="2">
        <v>91</v>
      </c>
      <c r="C1629" s="2">
        <v>59</v>
      </c>
      <c r="D1629" s="2">
        <v>6.19</v>
      </c>
      <c r="E1629" s="2" t="s">
        <v>1629</v>
      </c>
    </row>
    <row r="1630" spans="1:5" x14ac:dyDescent="0.25">
      <c r="A1630" s="1">
        <v>59151</v>
      </c>
      <c r="B1630" s="2">
        <v>92</v>
      </c>
      <c r="C1630" s="2">
        <v>59</v>
      </c>
      <c r="D1630" s="2">
        <v>18.899999999999999</v>
      </c>
      <c r="E1630" s="2" t="s">
        <v>1630</v>
      </c>
    </row>
    <row r="1631" spans="1:5" x14ac:dyDescent="0.25">
      <c r="A1631" s="1">
        <v>59152</v>
      </c>
      <c r="B1631" s="2">
        <v>93</v>
      </c>
      <c r="C1631" s="2">
        <v>59</v>
      </c>
      <c r="D1631" s="2">
        <v>3.57</v>
      </c>
      <c r="E1631" s="2" t="s">
        <v>1631</v>
      </c>
    </row>
    <row r="1632" spans="1:5" x14ac:dyDescent="0.25">
      <c r="A1632" s="1">
        <v>59153</v>
      </c>
      <c r="B1632" s="2">
        <v>94</v>
      </c>
      <c r="C1632" s="2">
        <v>59</v>
      </c>
      <c r="D1632" s="2">
        <v>4.28</v>
      </c>
      <c r="E1632" s="2" t="s">
        <v>1632</v>
      </c>
    </row>
    <row r="1633" spans="1:5" x14ac:dyDescent="0.25">
      <c r="A1633" s="1">
        <v>59154</v>
      </c>
      <c r="B1633" s="2">
        <v>95</v>
      </c>
      <c r="C1633" s="2">
        <v>59</v>
      </c>
      <c r="D1633" s="2">
        <v>2.2999999999999998</v>
      </c>
      <c r="E1633" s="2" t="s">
        <v>1633</v>
      </c>
    </row>
    <row r="1634" spans="1:5" x14ac:dyDescent="0.25">
      <c r="A1634" s="1">
        <v>59155</v>
      </c>
      <c r="B1634" s="2">
        <v>96</v>
      </c>
      <c r="C1634" s="2">
        <v>59</v>
      </c>
      <c r="D1634" s="2">
        <v>2.9999999999999999E-7</v>
      </c>
      <c r="E1634" s="2" t="s">
        <v>1634</v>
      </c>
    </row>
    <row r="1635" spans="1:5" x14ac:dyDescent="0.25">
      <c r="A1635" s="1">
        <v>59156</v>
      </c>
      <c r="B1635" s="2">
        <v>97</v>
      </c>
      <c r="C1635" s="2">
        <v>59</v>
      </c>
      <c r="D1635" s="2">
        <v>2.9999999999999999E-7</v>
      </c>
      <c r="E1635" s="2" t="s">
        <v>1635</v>
      </c>
    </row>
    <row r="1636" spans="1:5" x14ac:dyDescent="0.25">
      <c r="A1636" s="1">
        <v>60125</v>
      </c>
      <c r="B1636" s="2">
        <v>65</v>
      </c>
      <c r="C1636" s="2">
        <v>60</v>
      </c>
      <c r="D1636" s="2">
        <v>0.65</v>
      </c>
      <c r="E1636" s="2" t="s">
        <v>1636</v>
      </c>
    </row>
    <row r="1637" spans="1:5" x14ac:dyDescent="0.25">
      <c r="A1637" s="1">
        <v>60126</v>
      </c>
      <c r="B1637" s="2">
        <v>66</v>
      </c>
      <c r="C1637" s="2">
        <v>60</v>
      </c>
      <c r="D1637" s="2">
        <v>1.9999999999999999E-7</v>
      </c>
      <c r="E1637" s="2" t="s">
        <v>1637</v>
      </c>
    </row>
    <row r="1638" spans="1:5" x14ac:dyDescent="0.25">
      <c r="A1638" s="1">
        <v>60127</v>
      </c>
      <c r="B1638" s="2">
        <v>67</v>
      </c>
      <c r="C1638" s="2">
        <v>60</v>
      </c>
      <c r="D1638" s="2">
        <v>1.8</v>
      </c>
      <c r="E1638" s="2" t="s">
        <v>1638</v>
      </c>
    </row>
    <row r="1639" spans="1:5" x14ac:dyDescent="0.25">
      <c r="A1639" s="1">
        <v>60128</v>
      </c>
      <c r="B1639" s="2">
        <v>68</v>
      </c>
      <c r="C1639" s="2">
        <v>60</v>
      </c>
      <c r="D1639" s="2">
        <v>5</v>
      </c>
      <c r="E1639" s="2" t="s">
        <v>1639</v>
      </c>
    </row>
    <row r="1640" spans="1:5" x14ac:dyDescent="0.25">
      <c r="A1640" s="1">
        <v>60129</v>
      </c>
      <c r="B1640" s="2">
        <v>69</v>
      </c>
      <c r="C1640" s="2">
        <v>60</v>
      </c>
      <c r="D1640" s="2">
        <v>6.7</v>
      </c>
      <c r="E1640" s="2" t="s">
        <v>1640</v>
      </c>
    </row>
    <row r="1641" spans="1:5" x14ac:dyDescent="0.25">
      <c r="A1641" s="1">
        <v>60130</v>
      </c>
      <c r="B1641" s="2">
        <v>70</v>
      </c>
      <c r="C1641" s="2">
        <v>60</v>
      </c>
      <c r="D1641" s="2">
        <v>21</v>
      </c>
      <c r="E1641" s="2" t="s">
        <v>1641</v>
      </c>
    </row>
    <row r="1642" spans="1:5" x14ac:dyDescent="0.25">
      <c r="A1642" s="1">
        <v>60131</v>
      </c>
      <c r="B1642" s="2">
        <v>71</v>
      </c>
      <c r="C1642" s="2">
        <v>60</v>
      </c>
      <c r="D1642" s="2">
        <v>25.4</v>
      </c>
      <c r="E1642" s="2" t="s">
        <v>1642</v>
      </c>
    </row>
    <row r="1643" spans="1:5" x14ac:dyDescent="0.25">
      <c r="A1643" s="1">
        <v>60132</v>
      </c>
      <c r="B1643" s="2">
        <v>72</v>
      </c>
      <c r="C1643" s="2">
        <v>60</v>
      </c>
      <c r="D1643" s="2">
        <v>94</v>
      </c>
      <c r="E1643" s="2" t="s">
        <v>1643</v>
      </c>
    </row>
    <row r="1644" spans="1:5" x14ac:dyDescent="0.25">
      <c r="A1644" s="1">
        <v>60133</v>
      </c>
      <c r="B1644" s="2">
        <v>73</v>
      </c>
      <c r="C1644" s="2">
        <v>60</v>
      </c>
      <c r="D1644" s="2">
        <v>70</v>
      </c>
      <c r="E1644" s="2" t="s">
        <v>1644</v>
      </c>
    </row>
    <row r="1645" spans="1:5" x14ac:dyDescent="0.25">
      <c r="A1645" s="1">
        <v>60134</v>
      </c>
      <c r="B1645" s="2">
        <v>74</v>
      </c>
      <c r="C1645" s="2">
        <v>60</v>
      </c>
      <c r="D1645" s="2">
        <v>510</v>
      </c>
      <c r="E1645" s="2" t="s">
        <v>1645</v>
      </c>
    </row>
    <row r="1646" spans="1:5" x14ac:dyDescent="0.25">
      <c r="A1646" s="1">
        <v>60135</v>
      </c>
      <c r="B1646" s="2">
        <v>75</v>
      </c>
      <c r="C1646" s="2">
        <v>60</v>
      </c>
      <c r="D1646" s="2">
        <v>744</v>
      </c>
      <c r="E1646" s="2" t="s">
        <v>1646</v>
      </c>
    </row>
    <row r="1647" spans="1:5" x14ac:dyDescent="0.25">
      <c r="A1647" s="1">
        <v>60136</v>
      </c>
      <c r="B1647" s="2">
        <v>76</v>
      </c>
      <c r="C1647" s="2">
        <v>60</v>
      </c>
      <c r="D1647" s="2">
        <v>3039</v>
      </c>
      <c r="E1647" s="2" t="s">
        <v>1647</v>
      </c>
    </row>
    <row r="1648" spans="1:5" x14ac:dyDescent="0.25">
      <c r="A1648" s="1">
        <v>60137</v>
      </c>
      <c r="B1648" s="2">
        <v>77</v>
      </c>
      <c r="C1648" s="2">
        <v>60</v>
      </c>
      <c r="D1648" s="2">
        <v>2310</v>
      </c>
      <c r="E1648" s="2" t="s">
        <v>1648</v>
      </c>
    </row>
    <row r="1649" spans="1:5" x14ac:dyDescent="0.25">
      <c r="A1649" s="1">
        <v>60138</v>
      </c>
      <c r="B1649" s="2">
        <v>78</v>
      </c>
      <c r="C1649" s="2">
        <v>60</v>
      </c>
      <c r="D1649" s="2">
        <v>18144</v>
      </c>
      <c r="E1649" s="2" t="s">
        <v>1649</v>
      </c>
    </row>
    <row r="1650" spans="1:5" x14ac:dyDescent="0.25">
      <c r="A1650" s="1">
        <v>60139</v>
      </c>
      <c r="B1650" s="2">
        <v>79</v>
      </c>
      <c r="C1650" s="2">
        <v>60</v>
      </c>
      <c r="D1650" s="2">
        <v>1782</v>
      </c>
      <c r="E1650" s="2" t="s">
        <v>1650</v>
      </c>
    </row>
    <row r="1651" spans="1:5" x14ac:dyDescent="0.25">
      <c r="A1651" s="1">
        <v>60140</v>
      </c>
      <c r="B1651" s="2">
        <v>80</v>
      </c>
      <c r="C1651" s="2">
        <v>60</v>
      </c>
      <c r="D1651" s="2">
        <v>291168</v>
      </c>
      <c r="E1651" s="2" t="s">
        <v>1651</v>
      </c>
    </row>
    <row r="1652" spans="1:5" x14ac:dyDescent="0.25">
      <c r="A1652" s="1">
        <v>60141</v>
      </c>
      <c r="B1652" s="2">
        <v>81</v>
      </c>
      <c r="C1652" s="2">
        <v>60</v>
      </c>
      <c r="D1652" s="2">
        <v>8964</v>
      </c>
      <c r="E1652" s="2" t="s">
        <v>1652</v>
      </c>
    </row>
    <row r="1653" spans="1:5" x14ac:dyDescent="0.25">
      <c r="A1653" s="1">
        <v>60142</v>
      </c>
      <c r="B1653" s="2">
        <v>82</v>
      </c>
      <c r="C1653" s="2">
        <v>60</v>
      </c>
      <c r="D1653" s="2" t="s">
        <v>3</v>
      </c>
      <c r="E1653" s="2" t="s">
        <v>1653</v>
      </c>
    </row>
    <row r="1654" spans="1:5" x14ac:dyDescent="0.25">
      <c r="A1654" s="1">
        <v>60143</v>
      </c>
      <c r="B1654" s="2">
        <v>83</v>
      </c>
      <c r="C1654" s="2">
        <v>60</v>
      </c>
      <c r="D1654" s="2" t="s">
        <v>3</v>
      </c>
      <c r="E1654" s="2" t="s">
        <v>1654</v>
      </c>
    </row>
    <row r="1655" spans="1:5" x14ac:dyDescent="0.25">
      <c r="A1655" s="1">
        <v>60144</v>
      </c>
      <c r="B1655" s="2">
        <v>84</v>
      </c>
      <c r="C1655" s="2">
        <v>60</v>
      </c>
      <c r="D1655" s="2">
        <v>7.2266904000000002E+22</v>
      </c>
      <c r="E1655" s="2" t="s">
        <v>1655</v>
      </c>
    </row>
    <row r="1656" spans="1:5" x14ac:dyDescent="0.25">
      <c r="A1656" s="1">
        <v>60145</v>
      </c>
      <c r="B1656" s="2">
        <v>85</v>
      </c>
      <c r="C1656" s="2">
        <v>60</v>
      </c>
      <c r="D1656" s="2" t="s">
        <v>3</v>
      </c>
      <c r="E1656" s="2" t="s">
        <v>1656</v>
      </c>
    </row>
    <row r="1657" spans="1:5" x14ac:dyDescent="0.25">
      <c r="A1657" s="1">
        <v>60146</v>
      </c>
      <c r="B1657" s="2">
        <v>86</v>
      </c>
      <c r="C1657" s="2">
        <v>60</v>
      </c>
      <c r="D1657" s="2" t="s">
        <v>3</v>
      </c>
      <c r="E1657" s="2" t="s">
        <v>1657</v>
      </c>
    </row>
    <row r="1658" spans="1:5" x14ac:dyDescent="0.25">
      <c r="A1658" s="1">
        <v>60147</v>
      </c>
      <c r="B1658" s="2">
        <v>87</v>
      </c>
      <c r="C1658" s="2">
        <v>60</v>
      </c>
      <c r="D1658" s="2">
        <v>948672</v>
      </c>
      <c r="E1658" s="2" t="s">
        <v>1658</v>
      </c>
    </row>
    <row r="1659" spans="1:5" x14ac:dyDescent="0.25">
      <c r="A1659" s="1">
        <v>60148</v>
      </c>
      <c r="B1659" s="2">
        <v>88</v>
      </c>
      <c r="C1659" s="2">
        <v>60</v>
      </c>
      <c r="D1659" s="2" t="s">
        <v>3</v>
      </c>
      <c r="E1659" s="2" t="s">
        <v>1659</v>
      </c>
    </row>
    <row r="1660" spans="1:5" x14ac:dyDescent="0.25">
      <c r="A1660" s="1">
        <v>60149</v>
      </c>
      <c r="B1660" s="2">
        <v>89</v>
      </c>
      <c r="C1660" s="2">
        <v>60</v>
      </c>
      <c r="D1660" s="2">
        <v>6220.8</v>
      </c>
      <c r="E1660" s="2" t="s">
        <v>1660</v>
      </c>
    </row>
    <row r="1661" spans="1:5" x14ac:dyDescent="0.25">
      <c r="A1661" s="1">
        <v>60150</v>
      </c>
      <c r="B1661" s="2">
        <v>90</v>
      </c>
      <c r="C1661" s="2">
        <v>60</v>
      </c>
      <c r="D1661" s="2">
        <v>2.8717416000000001E+26</v>
      </c>
      <c r="E1661" s="2" t="s">
        <v>1661</v>
      </c>
    </row>
    <row r="1662" spans="1:5" x14ac:dyDescent="0.25">
      <c r="A1662" s="1">
        <v>60151</v>
      </c>
      <c r="B1662" s="2">
        <v>91</v>
      </c>
      <c r="C1662" s="2">
        <v>60</v>
      </c>
      <c r="D1662" s="2">
        <v>746.4</v>
      </c>
      <c r="E1662" s="2" t="s">
        <v>1662</v>
      </c>
    </row>
    <row r="1663" spans="1:5" x14ac:dyDescent="0.25">
      <c r="A1663" s="1">
        <v>60152</v>
      </c>
      <c r="B1663" s="2">
        <v>92</v>
      </c>
      <c r="C1663" s="2">
        <v>60</v>
      </c>
      <c r="D1663" s="2">
        <v>684</v>
      </c>
      <c r="E1663" s="2" t="s">
        <v>1663</v>
      </c>
    </row>
    <row r="1664" spans="1:5" x14ac:dyDescent="0.25">
      <c r="A1664" s="1">
        <v>60153</v>
      </c>
      <c r="B1664" s="2">
        <v>93</v>
      </c>
      <c r="C1664" s="2">
        <v>60</v>
      </c>
      <c r="D1664" s="2">
        <v>31.6</v>
      </c>
      <c r="E1664" s="2" t="s">
        <v>1664</v>
      </c>
    </row>
    <row r="1665" spans="1:5" x14ac:dyDescent="0.25">
      <c r="A1665" s="1">
        <v>60154</v>
      </c>
      <c r="B1665" s="2">
        <v>94</v>
      </c>
      <c r="C1665" s="2">
        <v>60</v>
      </c>
      <c r="D1665" s="2">
        <v>25.9</v>
      </c>
      <c r="E1665" s="2" t="s">
        <v>1665</v>
      </c>
    </row>
    <row r="1666" spans="1:5" x14ac:dyDescent="0.25">
      <c r="A1666" s="1">
        <v>60155</v>
      </c>
      <c r="B1666" s="2">
        <v>95</v>
      </c>
      <c r="C1666" s="2">
        <v>60</v>
      </c>
      <c r="D1666" s="2">
        <v>8.9</v>
      </c>
      <c r="E1666" s="2" t="s">
        <v>1666</v>
      </c>
    </row>
    <row r="1667" spans="1:5" x14ac:dyDescent="0.25">
      <c r="A1667" s="1">
        <v>60156</v>
      </c>
      <c r="B1667" s="2">
        <v>96</v>
      </c>
      <c r="C1667" s="2">
        <v>60</v>
      </c>
      <c r="D1667" s="2">
        <v>5.0599999999999996</v>
      </c>
      <c r="E1667" s="2" t="s">
        <v>1667</v>
      </c>
    </row>
    <row r="1668" spans="1:5" x14ac:dyDescent="0.25">
      <c r="A1668" s="1">
        <v>60157</v>
      </c>
      <c r="B1668" s="2">
        <v>97</v>
      </c>
      <c r="C1668" s="2">
        <v>60</v>
      </c>
      <c r="D1668" s="2">
        <v>0.1</v>
      </c>
      <c r="E1668" s="2" t="s">
        <v>1668</v>
      </c>
    </row>
    <row r="1669" spans="1:5" x14ac:dyDescent="0.25">
      <c r="A1669" s="1">
        <v>60158</v>
      </c>
      <c r="B1669" s="2">
        <v>98</v>
      </c>
      <c r="C1669" s="2">
        <v>60</v>
      </c>
      <c r="D1669" s="2">
        <v>1.6E-7</v>
      </c>
      <c r="E1669" s="2" t="s">
        <v>1669</v>
      </c>
    </row>
    <row r="1670" spans="1:5" x14ac:dyDescent="0.25">
      <c r="A1670" s="1">
        <v>60159</v>
      </c>
      <c r="B1670" s="2">
        <v>99</v>
      </c>
      <c r="C1670" s="2">
        <v>60</v>
      </c>
      <c r="D1670" s="2">
        <v>1.6E-7</v>
      </c>
      <c r="E1670" s="2" t="s">
        <v>1670</v>
      </c>
    </row>
    <row r="1671" spans="1:5" x14ac:dyDescent="0.25">
      <c r="A1671" s="1">
        <v>60160</v>
      </c>
      <c r="B1671" s="2">
        <v>100</v>
      </c>
      <c r="C1671" s="2">
        <v>60</v>
      </c>
      <c r="D1671" s="2">
        <v>1.6E-7</v>
      </c>
      <c r="E1671" s="2" t="s">
        <v>1671</v>
      </c>
    </row>
    <row r="1672" spans="1:5" x14ac:dyDescent="0.25">
      <c r="A1672" s="1">
        <v>60161</v>
      </c>
      <c r="B1672" s="2">
        <v>101</v>
      </c>
      <c r="C1672" s="2">
        <v>60</v>
      </c>
      <c r="D1672" s="2">
        <v>1.6E-7</v>
      </c>
      <c r="E1672" s="2" t="s">
        <v>1672</v>
      </c>
    </row>
    <row r="1673" spans="1:5" x14ac:dyDescent="0.25">
      <c r="A1673" s="1">
        <v>61128</v>
      </c>
      <c r="B1673" s="2">
        <v>67</v>
      </c>
      <c r="C1673" s="2">
        <v>61</v>
      </c>
      <c r="D1673" s="2">
        <v>1</v>
      </c>
      <c r="E1673" s="2" t="s">
        <v>1673</v>
      </c>
    </row>
    <row r="1674" spans="1:5" x14ac:dyDescent="0.25">
      <c r="A1674" s="1">
        <v>61129</v>
      </c>
      <c r="B1674" s="2">
        <v>68</v>
      </c>
      <c r="C1674" s="2">
        <v>61</v>
      </c>
      <c r="D1674" s="2">
        <v>2.4</v>
      </c>
      <c r="E1674" s="2" t="s">
        <v>1674</v>
      </c>
    </row>
    <row r="1675" spans="1:5" x14ac:dyDescent="0.25">
      <c r="A1675" s="1">
        <v>61130</v>
      </c>
      <c r="B1675" s="2">
        <v>69</v>
      </c>
      <c r="C1675" s="2">
        <v>61</v>
      </c>
      <c r="D1675" s="2">
        <v>2.6</v>
      </c>
      <c r="E1675" s="2" t="s">
        <v>1675</v>
      </c>
    </row>
    <row r="1676" spans="1:5" x14ac:dyDescent="0.25">
      <c r="A1676" s="1">
        <v>61131</v>
      </c>
      <c r="B1676" s="2">
        <v>70</v>
      </c>
      <c r="C1676" s="2">
        <v>61</v>
      </c>
      <c r="D1676" s="2">
        <v>6.3</v>
      </c>
      <c r="E1676" s="2" t="s">
        <v>1676</v>
      </c>
    </row>
    <row r="1677" spans="1:5" x14ac:dyDescent="0.25">
      <c r="A1677" s="1">
        <v>61132</v>
      </c>
      <c r="B1677" s="2">
        <v>71</v>
      </c>
      <c r="C1677" s="2">
        <v>61</v>
      </c>
      <c r="D1677" s="2">
        <v>6.2</v>
      </c>
      <c r="E1677" s="2" t="s">
        <v>1677</v>
      </c>
    </row>
    <row r="1678" spans="1:5" x14ac:dyDescent="0.25">
      <c r="A1678" s="1">
        <v>61133</v>
      </c>
      <c r="B1678" s="2">
        <v>72</v>
      </c>
      <c r="C1678" s="2">
        <v>61</v>
      </c>
      <c r="D1678" s="2">
        <v>13.5</v>
      </c>
      <c r="E1678" s="2" t="s">
        <v>1678</v>
      </c>
    </row>
    <row r="1679" spans="1:5" x14ac:dyDescent="0.25">
      <c r="A1679" s="1">
        <v>61134</v>
      </c>
      <c r="B1679" s="2">
        <v>73</v>
      </c>
      <c r="C1679" s="2">
        <v>61</v>
      </c>
      <c r="D1679" s="2">
        <v>5</v>
      </c>
      <c r="E1679" s="2" t="s">
        <v>1679</v>
      </c>
    </row>
    <row r="1680" spans="1:5" x14ac:dyDescent="0.25">
      <c r="A1680" s="1">
        <v>61135</v>
      </c>
      <c r="B1680" s="2">
        <v>74</v>
      </c>
      <c r="C1680" s="2">
        <v>61</v>
      </c>
      <c r="D1680" s="2">
        <v>49</v>
      </c>
      <c r="E1680" s="2" t="s">
        <v>1680</v>
      </c>
    </row>
    <row r="1681" spans="1:5" x14ac:dyDescent="0.25">
      <c r="A1681" s="1">
        <v>61136</v>
      </c>
      <c r="B1681" s="2">
        <v>75</v>
      </c>
      <c r="C1681" s="2">
        <v>61</v>
      </c>
      <c r="D1681" s="2">
        <v>107</v>
      </c>
      <c r="E1681" s="2" t="s">
        <v>1681</v>
      </c>
    </row>
    <row r="1682" spans="1:5" x14ac:dyDescent="0.25">
      <c r="A1682" s="1">
        <v>61137</v>
      </c>
      <c r="B1682" s="2">
        <v>76</v>
      </c>
      <c r="C1682" s="2">
        <v>61</v>
      </c>
      <c r="D1682" s="2">
        <v>144</v>
      </c>
      <c r="E1682" s="2" t="s">
        <v>1682</v>
      </c>
    </row>
    <row r="1683" spans="1:5" x14ac:dyDescent="0.25">
      <c r="A1683" s="1">
        <v>61138</v>
      </c>
      <c r="B1683" s="2">
        <v>77</v>
      </c>
      <c r="C1683" s="2">
        <v>61</v>
      </c>
      <c r="D1683" s="2">
        <v>10</v>
      </c>
      <c r="E1683" s="2" t="s">
        <v>1683</v>
      </c>
    </row>
    <row r="1684" spans="1:5" x14ac:dyDescent="0.25">
      <c r="A1684" s="1">
        <v>61139</v>
      </c>
      <c r="B1684" s="2">
        <v>78</v>
      </c>
      <c r="C1684" s="2">
        <v>61</v>
      </c>
      <c r="D1684" s="2">
        <v>249</v>
      </c>
      <c r="E1684" s="2" t="s">
        <v>1684</v>
      </c>
    </row>
    <row r="1685" spans="1:5" x14ac:dyDescent="0.25">
      <c r="A1685" s="1">
        <v>61140</v>
      </c>
      <c r="B1685" s="2">
        <v>79</v>
      </c>
      <c r="C1685" s="2">
        <v>61</v>
      </c>
      <c r="D1685" s="2">
        <v>9.1999999999999993</v>
      </c>
      <c r="E1685" s="2" t="s">
        <v>1685</v>
      </c>
    </row>
    <row r="1686" spans="1:5" x14ac:dyDescent="0.25">
      <c r="A1686" s="1">
        <v>61141</v>
      </c>
      <c r="B1686" s="2">
        <v>80</v>
      </c>
      <c r="C1686" s="2">
        <v>61</v>
      </c>
      <c r="D1686" s="2">
        <v>1254</v>
      </c>
      <c r="E1686" s="2" t="s">
        <v>1686</v>
      </c>
    </row>
    <row r="1687" spans="1:5" x14ac:dyDescent="0.25">
      <c r="A1687" s="1">
        <v>61142</v>
      </c>
      <c r="B1687" s="2">
        <v>81</v>
      </c>
      <c r="C1687" s="2">
        <v>61</v>
      </c>
      <c r="D1687" s="2">
        <v>40.5</v>
      </c>
      <c r="E1687" s="2" t="s">
        <v>1687</v>
      </c>
    </row>
    <row r="1688" spans="1:5" x14ac:dyDescent="0.25">
      <c r="A1688" s="1">
        <v>61143</v>
      </c>
      <c r="B1688" s="2">
        <v>82</v>
      </c>
      <c r="C1688" s="2">
        <v>61</v>
      </c>
      <c r="D1688" s="2">
        <v>22896000</v>
      </c>
      <c r="E1688" s="2" t="s">
        <v>1688</v>
      </c>
    </row>
    <row r="1689" spans="1:5" x14ac:dyDescent="0.25">
      <c r="A1689" s="1">
        <v>61144</v>
      </c>
      <c r="B1689" s="2">
        <v>83</v>
      </c>
      <c r="C1689" s="2">
        <v>61</v>
      </c>
      <c r="D1689" s="2">
        <v>31363200</v>
      </c>
      <c r="E1689" s="2" t="s">
        <v>1689</v>
      </c>
    </row>
    <row r="1690" spans="1:5" x14ac:dyDescent="0.25">
      <c r="A1690" s="1">
        <v>61145</v>
      </c>
      <c r="B1690" s="2">
        <v>84</v>
      </c>
      <c r="C1690" s="2">
        <v>61</v>
      </c>
      <c r="D1690" s="2">
        <v>558569520</v>
      </c>
      <c r="E1690" s="2" t="s">
        <v>1690</v>
      </c>
    </row>
    <row r="1691" spans="1:5" x14ac:dyDescent="0.25">
      <c r="A1691" s="1">
        <v>61146</v>
      </c>
      <c r="B1691" s="2">
        <v>85</v>
      </c>
      <c r="C1691" s="2">
        <v>61</v>
      </c>
      <c r="D1691" s="2">
        <v>174513528</v>
      </c>
      <c r="E1691" s="2" t="s">
        <v>1691</v>
      </c>
    </row>
    <row r="1692" spans="1:5" x14ac:dyDescent="0.25">
      <c r="A1692" s="1">
        <v>61147</v>
      </c>
      <c r="B1692" s="2">
        <v>86</v>
      </c>
      <c r="C1692" s="2">
        <v>61</v>
      </c>
      <c r="D1692" s="2">
        <v>82788207.840000004</v>
      </c>
      <c r="E1692" s="2" t="s">
        <v>1692</v>
      </c>
    </row>
    <row r="1693" spans="1:5" x14ac:dyDescent="0.25">
      <c r="A1693" s="1">
        <v>61148</v>
      </c>
      <c r="B1693" s="2">
        <v>87</v>
      </c>
      <c r="C1693" s="2">
        <v>61</v>
      </c>
      <c r="D1693" s="2">
        <v>463795.20000000001</v>
      </c>
      <c r="E1693" s="2" t="s">
        <v>1693</v>
      </c>
    </row>
    <row r="1694" spans="1:5" x14ac:dyDescent="0.25">
      <c r="A1694" s="1">
        <v>61149</v>
      </c>
      <c r="B1694" s="2">
        <v>88</v>
      </c>
      <c r="C1694" s="2">
        <v>61</v>
      </c>
      <c r="D1694" s="2">
        <v>191088</v>
      </c>
      <c r="E1694" s="2" t="s">
        <v>1694</v>
      </c>
    </row>
    <row r="1695" spans="1:5" x14ac:dyDescent="0.25">
      <c r="A1695" s="1">
        <v>61150</v>
      </c>
      <c r="B1695" s="2">
        <v>89</v>
      </c>
      <c r="C1695" s="2">
        <v>61</v>
      </c>
      <c r="D1695" s="2">
        <v>9712.7999999999993</v>
      </c>
      <c r="E1695" s="2" t="s">
        <v>1695</v>
      </c>
    </row>
    <row r="1696" spans="1:5" x14ac:dyDescent="0.25">
      <c r="A1696" s="1">
        <v>61151</v>
      </c>
      <c r="B1696" s="2">
        <v>90</v>
      </c>
      <c r="C1696" s="2">
        <v>61</v>
      </c>
      <c r="D1696" s="2">
        <v>102240</v>
      </c>
      <c r="E1696" s="2" t="s">
        <v>1696</v>
      </c>
    </row>
    <row r="1697" spans="1:5" x14ac:dyDescent="0.25">
      <c r="A1697" s="1">
        <v>61152</v>
      </c>
      <c r="B1697" s="2">
        <v>91</v>
      </c>
      <c r="C1697" s="2">
        <v>61</v>
      </c>
      <c r="D1697" s="2">
        <v>247.2</v>
      </c>
      <c r="E1697" s="2" t="s">
        <v>1697</v>
      </c>
    </row>
    <row r="1698" spans="1:5" x14ac:dyDescent="0.25">
      <c r="A1698" s="1">
        <v>61153</v>
      </c>
      <c r="B1698" s="2">
        <v>92</v>
      </c>
      <c r="C1698" s="2">
        <v>61</v>
      </c>
      <c r="D1698" s="2">
        <v>315</v>
      </c>
      <c r="E1698" s="2" t="s">
        <v>1698</v>
      </c>
    </row>
    <row r="1699" spans="1:5" x14ac:dyDescent="0.25">
      <c r="A1699" s="1">
        <v>61154</v>
      </c>
      <c r="B1699" s="2">
        <v>93</v>
      </c>
      <c r="C1699" s="2">
        <v>61</v>
      </c>
      <c r="D1699" s="2">
        <v>160.80000000000001</v>
      </c>
      <c r="E1699" s="2" t="s">
        <v>1699</v>
      </c>
    </row>
    <row r="1700" spans="1:5" x14ac:dyDescent="0.25">
      <c r="A1700" s="1">
        <v>61155</v>
      </c>
      <c r="B1700" s="2">
        <v>94</v>
      </c>
      <c r="C1700" s="2">
        <v>61</v>
      </c>
      <c r="D1700" s="2">
        <v>41.5</v>
      </c>
      <c r="E1700" s="2" t="s">
        <v>1700</v>
      </c>
    </row>
    <row r="1701" spans="1:5" x14ac:dyDescent="0.25">
      <c r="A1701" s="1">
        <v>61156</v>
      </c>
      <c r="B1701" s="2">
        <v>95</v>
      </c>
      <c r="C1701" s="2">
        <v>61</v>
      </c>
      <c r="D1701" s="2">
        <v>26.7</v>
      </c>
      <c r="E1701" s="2" t="s">
        <v>1701</v>
      </c>
    </row>
    <row r="1702" spans="1:5" x14ac:dyDescent="0.25">
      <c r="A1702" s="1">
        <v>61157</v>
      </c>
      <c r="B1702" s="2">
        <v>96</v>
      </c>
      <c r="C1702" s="2">
        <v>61</v>
      </c>
      <c r="D1702" s="2">
        <v>10.56</v>
      </c>
      <c r="E1702" s="2" t="s">
        <v>1702</v>
      </c>
    </row>
    <row r="1703" spans="1:5" x14ac:dyDescent="0.25">
      <c r="A1703" s="1">
        <v>61158</v>
      </c>
      <c r="B1703" s="2">
        <v>97</v>
      </c>
      <c r="C1703" s="2">
        <v>61</v>
      </c>
      <c r="D1703" s="2">
        <v>4.8</v>
      </c>
      <c r="E1703" s="2" t="s">
        <v>1703</v>
      </c>
    </row>
    <row r="1704" spans="1:5" x14ac:dyDescent="0.25">
      <c r="A1704" s="1">
        <v>61159</v>
      </c>
      <c r="B1704" s="2">
        <v>98</v>
      </c>
      <c r="C1704" s="2">
        <v>61</v>
      </c>
      <c r="D1704" s="2">
        <v>1.5</v>
      </c>
      <c r="E1704" s="2" t="s">
        <v>1704</v>
      </c>
    </row>
    <row r="1705" spans="1:5" x14ac:dyDescent="0.25">
      <c r="A1705" s="1">
        <v>61160</v>
      </c>
      <c r="B1705" s="2">
        <v>99</v>
      </c>
      <c r="C1705" s="2">
        <v>61</v>
      </c>
      <c r="D1705" s="2">
        <v>1.6E-7</v>
      </c>
      <c r="E1705" s="2" t="s">
        <v>1705</v>
      </c>
    </row>
    <row r="1706" spans="1:5" x14ac:dyDescent="0.25">
      <c r="A1706" s="1">
        <v>61161</v>
      </c>
      <c r="B1706" s="2">
        <v>100</v>
      </c>
      <c r="C1706" s="2">
        <v>61</v>
      </c>
      <c r="D1706" s="2">
        <v>1.6E-7</v>
      </c>
      <c r="E1706" s="2" t="s">
        <v>1706</v>
      </c>
    </row>
    <row r="1707" spans="1:5" x14ac:dyDescent="0.25">
      <c r="A1707" s="1">
        <v>61162</v>
      </c>
      <c r="B1707" s="2">
        <v>101</v>
      </c>
      <c r="C1707" s="2">
        <v>61</v>
      </c>
      <c r="D1707" s="2">
        <v>1.6E-7</v>
      </c>
      <c r="E1707" s="2" t="s">
        <v>1707</v>
      </c>
    </row>
    <row r="1708" spans="1:5" x14ac:dyDescent="0.25">
      <c r="A1708" s="1">
        <v>61163</v>
      </c>
      <c r="B1708" s="2">
        <v>102</v>
      </c>
      <c r="C1708" s="2">
        <v>61</v>
      </c>
      <c r="D1708" s="2">
        <v>1.6E-7</v>
      </c>
      <c r="E1708" s="2" t="s">
        <v>1708</v>
      </c>
    </row>
    <row r="1709" spans="1:5" x14ac:dyDescent="0.25">
      <c r="A1709" s="1">
        <v>62129</v>
      </c>
      <c r="B1709" s="2">
        <v>67</v>
      </c>
      <c r="C1709" s="2">
        <v>62</v>
      </c>
      <c r="D1709" s="2">
        <v>0.55000000000000004</v>
      </c>
      <c r="E1709" s="2" t="s">
        <v>1709</v>
      </c>
    </row>
    <row r="1710" spans="1:5" x14ac:dyDescent="0.25">
      <c r="A1710" s="1">
        <v>62131</v>
      </c>
      <c r="B1710" s="2">
        <v>69</v>
      </c>
      <c r="C1710" s="2">
        <v>62</v>
      </c>
      <c r="D1710" s="2">
        <v>1.2</v>
      </c>
      <c r="E1710" s="2" t="s">
        <v>1710</v>
      </c>
    </row>
    <row r="1711" spans="1:5" x14ac:dyDescent="0.25">
      <c r="A1711" s="1">
        <v>62132</v>
      </c>
      <c r="B1711" s="2">
        <v>70</v>
      </c>
      <c r="C1711" s="2">
        <v>62</v>
      </c>
      <c r="D1711" s="2">
        <v>4</v>
      </c>
      <c r="E1711" s="2" t="s">
        <v>1711</v>
      </c>
    </row>
    <row r="1712" spans="1:5" x14ac:dyDescent="0.25">
      <c r="A1712" s="1">
        <v>62133</v>
      </c>
      <c r="B1712" s="2">
        <v>71</v>
      </c>
      <c r="C1712" s="2">
        <v>62</v>
      </c>
      <c r="D1712" s="2">
        <v>2.89</v>
      </c>
      <c r="E1712" s="2" t="s">
        <v>1712</v>
      </c>
    </row>
    <row r="1713" spans="1:5" x14ac:dyDescent="0.25">
      <c r="A1713" s="1">
        <v>62134</v>
      </c>
      <c r="B1713" s="2">
        <v>72</v>
      </c>
      <c r="C1713" s="2">
        <v>62</v>
      </c>
      <c r="D1713" s="2">
        <v>9.5</v>
      </c>
      <c r="E1713" s="2" t="s">
        <v>1713</v>
      </c>
    </row>
    <row r="1714" spans="1:5" x14ac:dyDescent="0.25">
      <c r="A1714" s="1">
        <v>62135</v>
      </c>
      <c r="B1714" s="2">
        <v>73</v>
      </c>
      <c r="C1714" s="2">
        <v>62</v>
      </c>
      <c r="D1714" s="2">
        <v>10.3</v>
      </c>
      <c r="E1714" s="2" t="s">
        <v>1714</v>
      </c>
    </row>
    <row r="1715" spans="1:5" x14ac:dyDescent="0.25">
      <c r="A1715" s="1">
        <v>62136</v>
      </c>
      <c r="B1715" s="2">
        <v>74</v>
      </c>
      <c r="C1715" s="2">
        <v>62</v>
      </c>
      <c r="D1715" s="2">
        <v>47</v>
      </c>
      <c r="E1715" s="2" t="s">
        <v>1715</v>
      </c>
    </row>
    <row r="1716" spans="1:5" x14ac:dyDescent="0.25">
      <c r="A1716" s="1">
        <v>62137</v>
      </c>
      <c r="B1716" s="2">
        <v>75</v>
      </c>
      <c r="C1716" s="2">
        <v>62</v>
      </c>
      <c r="D1716" s="2">
        <v>45</v>
      </c>
      <c r="E1716" s="2" t="s">
        <v>1716</v>
      </c>
    </row>
    <row r="1717" spans="1:5" x14ac:dyDescent="0.25">
      <c r="A1717" s="1">
        <v>62138</v>
      </c>
      <c r="B1717" s="2">
        <v>76</v>
      </c>
      <c r="C1717" s="2">
        <v>62</v>
      </c>
      <c r="D1717" s="2">
        <v>186</v>
      </c>
      <c r="E1717" s="2" t="s">
        <v>1717</v>
      </c>
    </row>
    <row r="1718" spans="1:5" x14ac:dyDescent="0.25">
      <c r="A1718" s="1">
        <v>62139</v>
      </c>
      <c r="B1718" s="2">
        <v>77</v>
      </c>
      <c r="C1718" s="2">
        <v>62</v>
      </c>
      <c r="D1718" s="2">
        <v>154.19999999999999</v>
      </c>
      <c r="E1718" s="2" t="s">
        <v>1718</v>
      </c>
    </row>
    <row r="1719" spans="1:5" x14ac:dyDescent="0.25">
      <c r="A1719" s="1">
        <v>62140</v>
      </c>
      <c r="B1719" s="2">
        <v>78</v>
      </c>
      <c r="C1719" s="2">
        <v>62</v>
      </c>
      <c r="D1719" s="2">
        <v>889.2</v>
      </c>
      <c r="E1719" s="2" t="s">
        <v>1719</v>
      </c>
    </row>
    <row r="1720" spans="1:5" x14ac:dyDescent="0.25">
      <c r="A1720" s="1">
        <v>62141</v>
      </c>
      <c r="B1720" s="2">
        <v>79</v>
      </c>
      <c r="C1720" s="2">
        <v>62</v>
      </c>
      <c r="D1720" s="2">
        <v>612</v>
      </c>
      <c r="E1720" s="2" t="s">
        <v>1720</v>
      </c>
    </row>
    <row r="1721" spans="1:5" x14ac:dyDescent="0.25">
      <c r="A1721" s="1">
        <v>62142</v>
      </c>
      <c r="B1721" s="2">
        <v>80</v>
      </c>
      <c r="C1721" s="2">
        <v>62</v>
      </c>
      <c r="D1721" s="2">
        <v>4349.3999999999996</v>
      </c>
      <c r="E1721" s="2" t="s">
        <v>1721</v>
      </c>
    </row>
    <row r="1722" spans="1:5" x14ac:dyDescent="0.25">
      <c r="A1722" s="1">
        <v>62143</v>
      </c>
      <c r="B1722" s="2">
        <v>81</v>
      </c>
      <c r="C1722" s="2">
        <v>62</v>
      </c>
      <c r="D1722" s="2">
        <v>525</v>
      </c>
      <c r="E1722" s="2" t="s">
        <v>1722</v>
      </c>
    </row>
    <row r="1723" spans="1:5" x14ac:dyDescent="0.25">
      <c r="A1723" s="1">
        <v>62144</v>
      </c>
      <c r="B1723" s="2">
        <v>82</v>
      </c>
      <c r="C1723" s="2">
        <v>62</v>
      </c>
      <c r="D1723" s="2" t="s">
        <v>3</v>
      </c>
      <c r="E1723" s="2" t="s">
        <v>1723</v>
      </c>
    </row>
    <row r="1724" spans="1:5" x14ac:dyDescent="0.25">
      <c r="A1724" s="1">
        <v>62145</v>
      </c>
      <c r="B1724" s="2">
        <v>83</v>
      </c>
      <c r="C1724" s="2">
        <v>62</v>
      </c>
      <c r="D1724" s="2">
        <v>29376000</v>
      </c>
      <c r="E1724" s="2" t="s">
        <v>1724</v>
      </c>
    </row>
    <row r="1725" spans="1:5" x14ac:dyDescent="0.25">
      <c r="A1725" s="1">
        <v>62146</v>
      </c>
      <c r="B1725" s="2">
        <v>84</v>
      </c>
      <c r="C1725" s="2">
        <v>62</v>
      </c>
      <c r="D1725" s="2">
        <v>3250432800000000</v>
      </c>
      <c r="E1725" s="2" t="s">
        <v>1725</v>
      </c>
    </row>
    <row r="1726" spans="1:5" x14ac:dyDescent="0.25">
      <c r="A1726" s="1">
        <v>62147</v>
      </c>
      <c r="B1726" s="2">
        <v>85</v>
      </c>
      <c r="C1726" s="2">
        <v>62</v>
      </c>
      <c r="D1726" s="2">
        <v>3.3451056E+18</v>
      </c>
      <c r="E1726" s="2" t="s">
        <v>1726</v>
      </c>
    </row>
    <row r="1727" spans="1:5" x14ac:dyDescent="0.25">
      <c r="A1727" s="1">
        <v>62148</v>
      </c>
      <c r="B1727" s="2">
        <v>86</v>
      </c>
      <c r="C1727" s="2">
        <v>62</v>
      </c>
      <c r="D1727" s="2">
        <v>2.2090319999999999E+23</v>
      </c>
      <c r="E1727" s="2" t="s">
        <v>1727</v>
      </c>
    </row>
    <row r="1728" spans="1:5" x14ac:dyDescent="0.25">
      <c r="A1728" s="1">
        <v>62149</v>
      </c>
      <c r="B1728" s="2">
        <v>87</v>
      </c>
      <c r="C1728" s="2">
        <v>62</v>
      </c>
      <c r="D1728" s="2" t="s">
        <v>3</v>
      </c>
      <c r="E1728" s="2" t="s">
        <v>1728</v>
      </c>
    </row>
    <row r="1729" spans="1:5" x14ac:dyDescent="0.25">
      <c r="A1729" s="1">
        <v>62150</v>
      </c>
      <c r="B1729" s="2">
        <v>88</v>
      </c>
      <c r="C1729" s="2">
        <v>62</v>
      </c>
      <c r="D1729" s="2" t="s">
        <v>3</v>
      </c>
      <c r="E1729" s="2" t="s">
        <v>1729</v>
      </c>
    </row>
    <row r="1730" spans="1:5" x14ac:dyDescent="0.25">
      <c r="A1730" s="1">
        <v>62151</v>
      </c>
      <c r="B1730" s="2">
        <v>89</v>
      </c>
      <c r="C1730" s="2">
        <v>62</v>
      </c>
      <c r="D1730" s="2">
        <v>2840184000</v>
      </c>
      <c r="E1730" s="2" t="s">
        <v>1730</v>
      </c>
    </row>
    <row r="1731" spans="1:5" x14ac:dyDescent="0.25">
      <c r="A1731" s="1">
        <v>62152</v>
      </c>
      <c r="B1731" s="2">
        <v>90</v>
      </c>
      <c r="C1731" s="2">
        <v>62</v>
      </c>
      <c r="D1731" s="2" t="s">
        <v>3</v>
      </c>
      <c r="E1731" s="2" t="s">
        <v>1731</v>
      </c>
    </row>
    <row r="1732" spans="1:5" x14ac:dyDescent="0.25">
      <c r="A1732" s="1">
        <v>62153</v>
      </c>
      <c r="B1732" s="2">
        <v>91</v>
      </c>
      <c r="C1732" s="2">
        <v>62</v>
      </c>
      <c r="D1732" s="2">
        <v>166622.39999999999</v>
      </c>
      <c r="E1732" s="2" t="s">
        <v>1732</v>
      </c>
    </row>
    <row r="1733" spans="1:5" x14ac:dyDescent="0.25">
      <c r="A1733" s="1">
        <v>62154</v>
      </c>
      <c r="B1733" s="2">
        <v>92</v>
      </c>
      <c r="C1733" s="2">
        <v>62</v>
      </c>
      <c r="D1733" s="2" t="s">
        <v>3</v>
      </c>
      <c r="E1733" s="2" t="s">
        <v>1733</v>
      </c>
    </row>
    <row r="1734" spans="1:5" x14ac:dyDescent="0.25">
      <c r="A1734" s="1">
        <v>62155</v>
      </c>
      <c r="B1734" s="2">
        <v>93</v>
      </c>
      <c r="C1734" s="2">
        <v>62</v>
      </c>
      <c r="D1734" s="2">
        <v>1338</v>
      </c>
      <c r="E1734" s="2" t="s">
        <v>1734</v>
      </c>
    </row>
    <row r="1735" spans="1:5" x14ac:dyDescent="0.25">
      <c r="A1735" s="1">
        <v>62156</v>
      </c>
      <c r="B1735" s="2">
        <v>94</v>
      </c>
      <c r="C1735" s="2">
        <v>62</v>
      </c>
      <c r="D1735" s="2">
        <v>33840</v>
      </c>
      <c r="E1735" s="2" t="s">
        <v>1735</v>
      </c>
    </row>
    <row r="1736" spans="1:5" x14ac:dyDescent="0.25">
      <c r="A1736" s="1">
        <v>62157</v>
      </c>
      <c r="B1736" s="2">
        <v>95</v>
      </c>
      <c r="C1736" s="2">
        <v>62</v>
      </c>
      <c r="D1736" s="2">
        <v>481.79999999999899</v>
      </c>
      <c r="E1736" s="2" t="s">
        <v>1736</v>
      </c>
    </row>
    <row r="1737" spans="1:5" x14ac:dyDescent="0.25">
      <c r="A1737" s="1">
        <v>62158</v>
      </c>
      <c r="B1737" s="2">
        <v>96</v>
      </c>
      <c r="C1737" s="2">
        <v>62</v>
      </c>
      <c r="D1737" s="2">
        <v>318</v>
      </c>
      <c r="E1737" s="2" t="s">
        <v>1737</v>
      </c>
    </row>
    <row r="1738" spans="1:5" x14ac:dyDescent="0.25">
      <c r="A1738" s="1">
        <v>62159</v>
      </c>
      <c r="B1738" s="2">
        <v>97</v>
      </c>
      <c r="C1738" s="2">
        <v>62</v>
      </c>
      <c r="D1738" s="2">
        <v>11.37</v>
      </c>
      <c r="E1738" s="2" t="s">
        <v>1738</v>
      </c>
    </row>
    <row r="1739" spans="1:5" x14ac:dyDescent="0.25">
      <c r="A1739" s="1">
        <v>62160</v>
      </c>
      <c r="B1739" s="2">
        <v>98</v>
      </c>
      <c r="C1739" s="2">
        <v>62</v>
      </c>
      <c r="D1739" s="2">
        <v>9.6</v>
      </c>
      <c r="E1739" s="2" t="s">
        <v>1739</v>
      </c>
    </row>
    <row r="1740" spans="1:5" x14ac:dyDescent="0.25">
      <c r="A1740" s="1">
        <v>62161</v>
      </c>
      <c r="B1740" s="2">
        <v>99</v>
      </c>
      <c r="C1740" s="2">
        <v>62</v>
      </c>
      <c r="D1740" s="2">
        <v>4.8</v>
      </c>
      <c r="E1740" s="2" t="s">
        <v>1740</v>
      </c>
    </row>
    <row r="1741" spans="1:5" x14ac:dyDescent="0.25">
      <c r="A1741" s="1">
        <v>62162</v>
      </c>
      <c r="B1741" s="2">
        <v>100</v>
      </c>
      <c r="C1741" s="2">
        <v>62</v>
      </c>
      <c r="D1741" s="2">
        <v>2.4</v>
      </c>
      <c r="E1741" s="2" t="s">
        <v>1741</v>
      </c>
    </row>
    <row r="1742" spans="1:5" x14ac:dyDescent="0.25">
      <c r="A1742" s="1">
        <v>62163</v>
      </c>
      <c r="B1742" s="2">
        <v>101</v>
      </c>
      <c r="C1742" s="2">
        <v>62</v>
      </c>
      <c r="D1742" s="2">
        <v>1.6E-7</v>
      </c>
      <c r="E1742" s="2" t="s">
        <v>1742</v>
      </c>
    </row>
    <row r="1743" spans="1:5" x14ac:dyDescent="0.25">
      <c r="A1743" s="1">
        <v>62164</v>
      </c>
      <c r="B1743" s="2">
        <v>102</v>
      </c>
      <c r="C1743" s="2">
        <v>62</v>
      </c>
      <c r="D1743" s="2">
        <v>1.6E-7</v>
      </c>
      <c r="E1743" s="2" t="s">
        <v>1743</v>
      </c>
    </row>
    <row r="1744" spans="1:5" x14ac:dyDescent="0.25">
      <c r="A1744" s="1">
        <v>62165</v>
      </c>
      <c r="B1744" s="2">
        <v>103</v>
      </c>
      <c r="C1744" s="2">
        <v>62</v>
      </c>
      <c r="D1744" s="2">
        <v>1.6E-7</v>
      </c>
      <c r="E1744" s="2" t="s">
        <v>1744</v>
      </c>
    </row>
    <row r="1745" spans="1:5" x14ac:dyDescent="0.25">
      <c r="A1745" s="1">
        <v>63130</v>
      </c>
      <c r="B1745" s="2">
        <v>67</v>
      </c>
      <c r="C1745" s="2">
        <v>63</v>
      </c>
      <c r="D1745" s="2">
        <v>8.9999999999999998E-4</v>
      </c>
      <c r="E1745" s="2" t="s">
        <v>1745</v>
      </c>
    </row>
    <row r="1746" spans="1:5" x14ac:dyDescent="0.25">
      <c r="A1746" s="1">
        <v>63131</v>
      </c>
      <c r="B1746" s="2">
        <v>68</v>
      </c>
      <c r="C1746" s="2">
        <v>63</v>
      </c>
      <c r="D1746" s="2">
        <v>1.78E-2</v>
      </c>
      <c r="E1746" s="2" t="s">
        <v>1746</v>
      </c>
    </row>
    <row r="1747" spans="1:5" x14ac:dyDescent="0.25">
      <c r="A1747" s="1">
        <v>63134</v>
      </c>
      <c r="B1747" s="2">
        <v>71</v>
      </c>
      <c r="C1747" s="2">
        <v>63</v>
      </c>
      <c r="D1747" s="2">
        <v>0.5</v>
      </c>
      <c r="E1747" s="2" t="s">
        <v>1747</v>
      </c>
    </row>
    <row r="1748" spans="1:5" x14ac:dyDescent="0.25">
      <c r="A1748" s="1">
        <v>63135</v>
      </c>
      <c r="B1748" s="2">
        <v>72</v>
      </c>
      <c r="C1748" s="2">
        <v>63</v>
      </c>
      <c r="D1748" s="2">
        <v>1.5</v>
      </c>
      <c r="E1748" s="2" t="s">
        <v>1748</v>
      </c>
    </row>
    <row r="1749" spans="1:5" x14ac:dyDescent="0.25">
      <c r="A1749" s="1">
        <v>63136</v>
      </c>
      <c r="B1749" s="2">
        <v>73</v>
      </c>
      <c r="C1749" s="2">
        <v>63</v>
      </c>
      <c r="D1749" s="2">
        <v>3.3</v>
      </c>
      <c r="E1749" s="2" t="s">
        <v>1749</v>
      </c>
    </row>
    <row r="1750" spans="1:5" x14ac:dyDescent="0.25">
      <c r="A1750" s="1">
        <v>63137</v>
      </c>
      <c r="B1750" s="2">
        <v>74</v>
      </c>
      <c r="C1750" s="2">
        <v>63</v>
      </c>
      <c r="D1750" s="2">
        <v>11</v>
      </c>
      <c r="E1750" s="2" t="s">
        <v>1750</v>
      </c>
    </row>
    <row r="1751" spans="1:5" x14ac:dyDescent="0.25">
      <c r="A1751" s="1">
        <v>63138</v>
      </c>
      <c r="B1751" s="2">
        <v>75</v>
      </c>
      <c r="C1751" s="2">
        <v>63</v>
      </c>
      <c r="D1751" s="2">
        <v>12.1</v>
      </c>
      <c r="E1751" s="2" t="s">
        <v>1751</v>
      </c>
    </row>
    <row r="1752" spans="1:5" x14ac:dyDescent="0.25">
      <c r="A1752" s="1">
        <v>63139</v>
      </c>
      <c r="B1752" s="2">
        <v>76</v>
      </c>
      <c r="C1752" s="2">
        <v>63</v>
      </c>
      <c r="D1752" s="2">
        <v>17.899999999999999</v>
      </c>
      <c r="E1752" s="2" t="s">
        <v>1752</v>
      </c>
    </row>
    <row r="1753" spans="1:5" x14ac:dyDescent="0.25">
      <c r="A1753" s="1">
        <v>63140</v>
      </c>
      <c r="B1753" s="2">
        <v>77</v>
      </c>
      <c r="C1753" s="2">
        <v>63</v>
      </c>
      <c r="D1753" s="2">
        <v>1.51</v>
      </c>
      <c r="E1753" s="2" t="s">
        <v>1753</v>
      </c>
    </row>
    <row r="1754" spans="1:5" x14ac:dyDescent="0.25">
      <c r="A1754" s="1">
        <v>63141</v>
      </c>
      <c r="B1754" s="2">
        <v>78</v>
      </c>
      <c r="C1754" s="2">
        <v>63</v>
      </c>
      <c r="D1754" s="2">
        <v>40.700000000000003</v>
      </c>
      <c r="E1754" s="2" t="s">
        <v>1754</v>
      </c>
    </row>
    <row r="1755" spans="1:5" x14ac:dyDescent="0.25">
      <c r="A1755" s="1">
        <v>63142</v>
      </c>
      <c r="B1755" s="2">
        <v>79</v>
      </c>
      <c r="C1755" s="2">
        <v>63</v>
      </c>
      <c r="D1755" s="2">
        <v>2.34</v>
      </c>
      <c r="E1755" s="2" t="s">
        <v>1755</v>
      </c>
    </row>
    <row r="1756" spans="1:5" x14ac:dyDescent="0.25">
      <c r="A1756" s="1">
        <v>63143</v>
      </c>
      <c r="B1756" s="2">
        <v>80</v>
      </c>
      <c r="C1756" s="2">
        <v>63</v>
      </c>
      <c r="D1756" s="2">
        <v>155.39999999999901</v>
      </c>
      <c r="E1756" s="2" t="s">
        <v>1756</v>
      </c>
    </row>
    <row r="1757" spans="1:5" x14ac:dyDescent="0.25">
      <c r="A1757" s="1">
        <v>63144</v>
      </c>
      <c r="B1757" s="2">
        <v>81</v>
      </c>
      <c r="C1757" s="2">
        <v>63</v>
      </c>
      <c r="D1757" s="2">
        <v>10.199999999999999</v>
      </c>
      <c r="E1757" s="2" t="s">
        <v>1757</v>
      </c>
    </row>
    <row r="1758" spans="1:5" x14ac:dyDescent="0.25">
      <c r="A1758" s="1">
        <v>63145</v>
      </c>
      <c r="B1758" s="2">
        <v>82</v>
      </c>
      <c r="C1758" s="2">
        <v>63</v>
      </c>
      <c r="D1758" s="2">
        <v>512352</v>
      </c>
      <c r="E1758" s="2" t="s">
        <v>1758</v>
      </c>
    </row>
    <row r="1759" spans="1:5" x14ac:dyDescent="0.25">
      <c r="A1759" s="1">
        <v>63146</v>
      </c>
      <c r="B1759" s="2">
        <v>83</v>
      </c>
      <c r="C1759" s="2">
        <v>63</v>
      </c>
      <c r="D1759" s="2">
        <v>398304</v>
      </c>
      <c r="E1759" s="2" t="s">
        <v>1759</v>
      </c>
    </row>
    <row r="1760" spans="1:5" x14ac:dyDescent="0.25">
      <c r="A1760" s="1">
        <v>63147</v>
      </c>
      <c r="B1760" s="2">
        <v>84</v>
      </c>
      <c r="C1760" s="2">
        <v>63</v>
      </c>
      <c r="D1760" s="2">
        <v>2082240</v>
      </c>
      <c r="E1760" s="2" t="s">
        <v>1760</v>
      </c>
    </row>
    <row r="1761" spans="1:5" x14ac:dyDescent="0.25">
      <c r="A1761" s="1">
        <v>63148</v>
      </c>
      <c r="B1761" s="2">
        <v>85</v>
      </c>
      <c r="C1761" s="2">
        <v>63</v>
      </c>
      <c r="D1761" s="2">
        <v>4708800</v>
      </c>
      <c r="E1761" s="2" t="s">
        <v>1761</v>
      </c>
    </row>
    <row r="1762" spans="1:5" x14ac:dyDescent="0.25">
      <c r="A1762" s="1">
        <v>63149</v>
      </c>
      <c r="B1762" s="2">
        <v>86</v>
      </c>
      <c r="C1762" s="2">
        <v>63</v>
      </c>
      <c r="D1762" s="2">
        <v>8043839.9999999898</v>
      </c>
      <c r="E1762" s="2" t="s">
        <v>1762</v>
      </c>
    </row>
    <row r="1763" spans="1:5" x14ac:dyDescent="0.25">
      <c r="A1763" s="1">
        <v>63150</v>
      </c>
      <c r="B1763" s="2">
        <v>87</v>
      </c>
      <c r="C1763" s="2">
        <v>63</v>
      </c>
      <c r="D1763" s="2">
        <v>1164475440</v>
      </c>
      <c r="E1763" s="2" t="s">
        <v>1763</v>
      </c>
    </row>
    <row r="1764" spans="1:5" x14ac:dyDescent="0.25">
      <c r="A1764" s="1">
        <v>63151</v>
      </c>
      <c r="B1764" s="2">
        <v>88</v>
      </c>
      <c r="C1764" s="2">
        <v>63</v>
      </c>
      <c r="D1764" s="2">
        <v>5.3647920000000002E+25</v>
      </c>
      <c r="E1764" s="2" t="s">
        <v>1764</v>
      </c>
    </row>
    <row r="1765" spans="1:5" x14ac:dyDescent="0.25">
      <c r="A1765" s="1">
        <v>63152</v>
      </c>
      <c r="B1765" s="2">
        <v>89</v>
      </c>
      <c r="C1765" s="2">
        <v>63</v>
      </c>
      <c r="D1765" s="2">
        <v>426564079.19999999</v>
      </c>
      <c r="E1765" s="2" t="s">
        <v>1765</v>
      </c>
    </row>
    <row r="1766" spans="1:5" x14ac:dyDescent="0.25">
      <c r="A1766" s="1">
        <v>63153</v>
      </c>
      <c r="B1766" s="2">
        <v>90</v>
      </c>
      <c r="C1766" s="2">
        <v>63</v>
      </c>
      <c r="D1766" s="2" t="s">
        <v>3</v>
      </c>
      <c r="E1766" s="2" t="s">
        <v>1766</v>
      </c>
    </row>
    <row r="1767" spans="1:5" x14ac:dyDescent="0.25">
      <c r="A1767" s="1">
        <v>63154</v>
      </c>
      <c r="B1767" s="2">
        <v>91</v>
      </c>
      <c r="C1767" s="2">
        <v>63</v>
      </c>
      <c r="D1767" s="2">
        <v>271426917.60000002</v>
      </c>
      <c r="E1767" s="2" t="s">
        <v>1767</v>
      </c>
    </row>
    <row r="1768" spans="1:5" x14ac:dyDescent="0.25">
      <c r="A1768" s="1">
        <v>63155</v>
      </c>
      <c r="B1768" s="2">
        <v>92</v>
      </c>
      <c r="C1768" s="2">
        <v>63</v>
      </c>
      <c r="D1768" s="2">
        <v>149993272.80000001</v>
      </c>
      <c r="E1768" s="2" t="s">
        <v>1768</v>
      </c>
    </row>
    <row r="1769" spans="1:5" x14ac:dyDescent="0.25">
      <c r="A1769" s="1">
        <v>63156</v>
      </c>
      <c r="B1769" s="2">
        <v>93</v>
      </c>
      <c r="C1769" s="2">
        <v>63</v>
      </c>
      <c r="D1769" s="2">
        <v>1312416</v>
      </c>
      <c r="E1769" s="2" t="s">
        <v>1769</v>
      </c>
    </row>
    <row r="1770" spans="1:5" x14ac:dyDescent="0.25">
      <c r="A1770" s="1">
        <v>63157</v>
      </c>
      <c r="B1770" s="2">
        <v>94</v>
      </c>
      <c r="C1770" s="2">
        <v>63</v>
      </c>
      <c r="D1770" s="2">
        <v>54648</v>
      </c>
      <c r="E1770" s="2" t="s">
        <v>1770</v>
      </c>
    </row>
    <row r="1771" spans="1:5" x14ac:dyDescent="0.25">
      <c r="A1771" s="1">
        <v>63158</v>
      </c>
      <c r="B1771" s="2">
        <v>95</v>
      </c>
      <c r="C1771" s="2">
        <v>63</v>
      </c>
      <c r="D1771" s="2">
        <v>2754</v>
      </c>
      <c r="E1771" s="2" t="s">
        <v>1771</v>
      </c>
    </row>
    <row r="1772" spans="1:5" x14ac:dyDescent="0.25">
      <c r="A1772" s="1">
        <v>63159</v>
      </c>
      <c r="B1772" s="2">
        <v>96</v>
      </c>
      <c r="C1772" s="2">
        <v>63</v>
      </c>
      <c r="D1772" s="2">
        <v>1086</v>
      </c>
      <c r="E1772" s="2" t="s">
        <v>1772</v>
      </c>
    </row>
    <row r="1773" spans="1:5" x14ac:dyDescent="0.25">
      <c r="A1773" s="1">
        <v>63160</v>
      </c>
      <c r="B1773" s="2">
        <v>97</v>
      </c>
      <c r="C1773" s="2">
        <v>63</v>
      </c>
      <c r="D1773" s="2">
        <v>38</v>
      </c>
      <c r="E1773" s="2" t="s">
        <v>1773</v>
      </c>
    </row>
    <row r="1774" spans="1:5" x14ac:dyDescent="0.25">
      <c r="A1774" s="1">
        <v>63161</v>
      </c>
      <c r="B1774" s="2">
        <v>98</v>
      </c>
      <c r="C1774" s="2">
        <v>63</v>
      </c>
      <c r="D1774" s="2">
        <v>26</v>
      </c>
      <c r="E1774" s="2" t="s">
        <v>1774</v>
      </c>
    </row>
    <row r="1775" spans="1:5" x14ac:dyDescent="0.25">
      <c r="A1775" s="1">
        <v>63162</v>
      </c>
      <c r="B1775" s="2">
        <v>99</v>
      </c>
      <c r="C1775" s="2">
        <v>63</v>
      </c>
      <c r="D1775" s="2">
        <v>10.6</v>
      </c>
      <c r="E1775" s="2" t="s">
        <v>1775</v>
      </c>
    </row>
    <row r="1776" spans="1:5" x14ac:dyDescent="0.25">
      <c r="A1776" s="1">
        <v>63163</v>
      </c>
      <c r="B1776" s="2">
        <v>100</v>
      </c>
      <c r="C1776" s="2">
        <v>63</v>
      </c>
      <c r="D1776" s="2">
        <v>7.7</v>
      </c>
      <c r="E1776" s="2" t="s">
        <v>1776</v>
      </c>
    </row>
    <row r="1777" spans="1:5" x14ac:dyDescent="0.25">
      <c r="A1777" s="1">
        <v>63164</v>
      </c>
      <c r="B1777" s="2">
        <v>101</v>
      </c>
      <c r="C1777" s="2">
        <v>63</v>
      </c>
      <c r="D1777" s="2">
        <v>4.2</v>
      </c>
      <c r="E1777" s="2" t="s">
        <v>1777</v>
      </c>
    </row>
    <row r="1778" spans="1:5" x14ac:dyDescent="0.25">
      <c r="A1778" s="1">
        <v>63165</v>
      </c>
      <c r="B1778" s="2">
        <v>102</v>
      </c>
      <c r="C1778" s="2">
        <v>63</v>
      </c>
      <c r="D1778" s="2">
        <v>2.2999999999999998</v>
      </c>
      <c r="E1778" s="2" t="s">
        <v>1778</v>
      </c>
    </row>
    <row r="1779" spans="1:5" x14ac:dyDescent="0.25">
      <c r="A1779" s="1">
        <v>63166</v>
      </c>
      <c r="B1779" s="2">
        <v>103</v>
      </c>
      <c r="C1779" s="2">
        <v>63</v>
      </c>
      <c r="D1779" s="2">
        <v>1.7</v>
      </c>
      <c r="E1779" s="2" t="s">
        <v>1779</v>
      </c>
    </row>
    <row r="1780" spans="1:5" x14ac:dyDescent="0.25">
      <c r="A1780" s="1">
        <v>63167</v>
      </c>
      <c r="B1780" s="2">
        <v>104</v>
      </c>
      <c r="C1780" s="2">
        <v>63</v>
      </c>
      <c r="D1780" s="2">
        <v>1.6E-7</v>
      </c>
      <c r="E1780" s="2" t="s">
        <v>1780</v>
      </c>
    </row>
    <row r="1781" spans="1:5" x14ac:dyDescent="0.25">
      <c r="A1781" s="1">
        <v>63168</v>
      </c>
      <c r="B1781" s="2">
        <v>105</v>
      </c>
      <c r="C1781" s="2">
        <v>63</v>
      </c>
      <c r="D1781" s="2">
        <v>1.6E-7</v>
      </c>
      <c r="E1781" s="2" t="s">
        <v>1781</v>
      </c>
    </row>
    <row r="1782" spans="1:5" x14ac:dyDescent="0.25">
      <c r="A1782" s="1">
        <v>64135</v>
      </c>
      <c r="B1782" s="2">
        <v>71</v>
      </c>
      <c r="C1782" s="2">
        <v>64</v>
      </c>
      <c r="D1782" s="2">
        <v>1.1000000000000001</v>
      </c>
      <c r="E1782" s="2" t="s">
        <v>1782</v>
      </c>
    </row>
    <row r="1783" spans="1:5" x14ac:dyDescent="0.25">
      <c r="A1783" s="1">
        <v>64136</v>
      </c>
      <c r="B1783" s="2">
        <v>72</v>
      </c>
      <c r="C1783" s="2">
        <v>64</v>
      </c>
      <c r="D1783" s="2">
        <v>1.9999999999999999E-7</v>
      </c>
      <c r="E1783" s="2" t="s">
        <v>1783</v>
      </c>
    </row>
    <row r="1784" spans="1:5" x14ac:dyDescent="0.25">
      <c r="A1784" s="1">
        <v>64137</v>
      </c>
      <c r="B1784" s="2">
        <v>73</v>
      </c>
      <c r="C1784" s="2">
        <v>64</v>
      </c>
      <c r="D1784" s="2">
        <v>2.2000000000000002</v>
      </c>
      <c r="E1784" s="2" t="s">
        <v>1784</v>
      </c>
    </row>
    <row r="1785" spans="1:5" x14ac:dyDescent="0.25">
      <c r="A1785" s="1">
        <v>64138</v>
      </c>
      <c r="B1785" s="2">
        <v>74</v>
      </c>
      <c r="C1785" s="2">
        <v>64</v>
      </c>
      <c r="D1785" s="2">
        <v>4.7</v>
      </c>
      <c r="E1785" s="2" t="s">
        <v>1785</v>
      </c>
    </row>
    <row r="1786" spans="1:5" x14ac:dyDescent="0.25">
      <c r="A1786" s="1">
        <v>64139</v>
      </c>
      <c r="B1786" s="2">
        <v>75</v>
      </c>
      <c r="C1786" s="2">
        <v>64</v>
      </c>
      <c r="D1786" s="2">
        <v>5.8</v>
      </c>
      <c r="E1786" s="2" t="s">
        <v>1786</v>
      </c>
    </row>
    <row r="1787" spans="1:5" x14ac:dyDescent="0.25">
      <c r="A1787" s="1">
        <v>64140</v>
      </c>
      <c r="B1787" s="2">
        <v>76</v>
      </c>
      <c r="C1787" s="2">
        <v>64</v>
      </c>
      <c r="D1787" s="2">
        <v>15.8</v>
      </c>
      <c r="E1787" s="2" t="s">
        <v>1787</v>
      </c>
    </row>
    <row r="1788" spans="1:5" x14ac:dyDescent="0.25">
      <c r="A1788" s="1">
        <v>64141</v>
      </c>
      <c r="B1788" s="2">
        <v>77</v>
      </c>
      <c r="C1788" s="2">
        <v>64</v>
      </c>
      <c r="D1788" s="2">
        <v>14</v>
      </c>
      <c r="E1788" s="2" t="s">
        <v>1788</v>
      </c>
    </row>
    <row r="1789" spans="1:5" x14ac:dyDescent="0.25">
      <c r="A1789" s="1">
        <v>64142</v>
      </c>
      <c r="B1789" s="2">
        <v>78</v>
      </c>
      <c r="C1789" s="2">
        <v>64</v>
      </c>
      <c r="D1789" s="2">
        <v>70.2</v>
      </c>
      <c r="E1789" s="2" t="s">
        <v>1789</v>
      </c>
    </row>
    <row r="1790" spans="1:5" x14ac:dyDescent="0.25">
      <c r="A1790" s="1">
        <v>64143</v>
      </c>
      <c r="B1790" s="2">
        <v>79</v>
      </c>
      <c r="C1790" s="2">
        <v>64</v>
      </c>
      <c r="D1790" s="2">
        <v>39</v>
      </c>
      <c r="E1790" s="2" t="s">
        <v>1790</v>
      </c>
    </row>
    <row r="1791" spans="1:5" x14ac:dyDescent="0.25">
      <c r="A1791" s="1">
        <v>64144</v>
      </c>
      <c r="B1791" s="2">
        <v>80</v>
      </c>
      <c r="C1791" s="2">
        <v>64</v>
      </c>
      <c r="D1791" s="2">
        <v>268.2</v>
      </c>
      <c r="E1791" s="2" t="s">
        <v>1791</v>
      </c>
    </row>
    <row r="1792" spans="1:5" x14ac:dyDescent="0.25">
      <c r="A1792" s="1">
        <v>64145</v>
      </c>
      <c r="B1792" s="2">
        <v>81</v>
      </c>
      <c r="C1792" s="2">
        <v>64</v>
      </c>
      <c r="D1792" s="2">
        <v>1380</v>
      </c>
      <c r="E1792" s="2" t="s">
        <v>1792</v>
      </c>
    </row>
    <row r="1793" spans="1:5" x14ac:dyDescent="0.25">
      <c r="A1793" s="1">
        <v>64146</v>
      </c>
      <c r="B1793" s="2">
        <v>82</v>
      </c>
      <c r="C1793" s="2">
        <v>64</v>
      </c>
      <c r="D1793" s="2">
        <v>4170528</v>
      </c>
      <c r="E1793" s="2" t="s">
        <v>1793</v>
      </c>
    </row>
    <row r="1794" spans="1:5" x14ac:dyDescent="0.25">
      <c r="A1794" s="1">
        <v>64147</v>
      </c>
      <c r="B1794" s="2">
        <v>83</v>
      </c>
      <c r="C1794" s="2">
        <v>64</v>
      </c>
      <c r="D1794" s="2">
        <v>137016</v>
      </c>
      <c r="E1794" s="2" t="s">
        <v>1794</v>
      </c>
    </row>
    <row r="1795" spans="1:5" x14ac:dyDescent="0.25">
      <c r="A1795" s="1">
        <v>64148</v>
      </c>
      <c r="B1795" s="2">
        <v>84</v>
      </c>
      <c r="C1795" s="2">
        <v>64</v>
      </c>
      <c r="D1795" s="2">
        <v>2243745360</v>
      </c>
      <c r="E1795" s="2" t="s">
        <v>1795</v>
      </c>
    </row>
    <row r="1796" spans="1:5" x14ac:dyDescent="0.25">
      <c r="A1796" s="1">
        <v>64149</v>
      </c>
      <c r="B1796" s="2">
        <v>85</v>
      </c>
      <c r="C1796" s="2">
        <v>64</v>
      </c>
      <c r="D1796" s="2">
        <v>801792</v>
      </c>
      <c r="E1796" s="2" t="s">
        <v>1796</v>
      </c>
    </row>
    <row r="1797" spans="1:5" x14ac:dyDescent="0.25">
      <c r="A1797" s="1">
        <v>64150</v>
      </c>
      <c r="B1797" s="2">
        <v>86</v>
      </c>
      <c r="C1797" s="2">
        <v>64</v>
      </c>
      <c r="D1797" s="2">
        <v>56488104000000</v>
      </c>
      <c r="E1797" s="2" t="s">
        <v>1797</v>
      </c>
    </row>
    <row r="1798" spans="1:5" x14ac:dyDescent="0.25">
      <c r="A1798" s="1">
        <v>64151</v>
      </c>
      <c r="B1798" s="2">
        <v>87</v>
      </c>
      <c r="C1798" s="2">
        <v>64</v>
      </c>
      <c r="D1798" s="2">
        <v>10704960</v>
      </c>
      <c r="E1798" s="2" t="s">
        <v>1798</v>
      </c>
    </row>
    <row r="1799" spans="1:5" x14ac:dyDescent="0.25">
      <c r="A1799" s="1">
        <v>64152</v>
      </c>
      <c r="B1799" s="2">
        <v>88</v>
      </c>
      <c r="C1799" s="2">
        <v>64</v>
      </c>
      <c r="D1799" s="2">
        <v>3.4082208E+21</v>
      </c>
      <c r="E1799" s="2" t="s">
        <v>1799</v>
      </c>
    </row>
    <row r="1800" spans="1:5" x14ac:dyDescent="0.25">
      <c r="A1800" s="1">
        <v>64153</v>
      </c>
      <c r="B1800" s="2">
        <v>89</v>
      </c>
      <c r="C1800" s="2">
        <v>64</v>
      </c>
      <c r="D1800" s="2">
        <v>20770560</v>
      </c>
      <c r="E1800" s="2" t="s">
        <v>1800</v>
      </c>
    </row>
    <row r="1801" spans="1:5" x14ac:dyDescent="0.25">
      <c r="A1801" s="1">
        <v>64154</v>
      </c>
      <c r="B1801" s="2">
        <v>90</v>
      </c>
      <c r="C1801" s="2">
        <v>64</v>
      </c>
      <c r="D1801" s="2" t="s">
        <v>3</v>
      </c>
      <c r="E1801" s="2" t="s">
        <v>1801</v>
      </c>
    </row>
    <row r="1802" spans="1:5" x14ac:dyDescent="0.25">
      <c r="A1802" s="1">
        <v>64155</v>
      </c>
      <c r="B1802" s="2">
        <v>91</v>
      </c>
      <c r="C1802" s="2">
        <v>64</v>
      </c>
      <c r="D1802" s="2" t="s">
        <v>3</v>
      </c>
      <c r="E1802" s="2" t="s">
        <v>1802</v>
      </c>
    </row>
    <row r="1803" spans="1:5" x14ac:dyDescent="0.25">
      <c r="A1803" s="1">
        <v>64156</v>
      </c>
      <c r="B1803" s="2">
        <v>92</v>
      </c>
      <c r="C1803" s="2">
        <v>64</v>
      </c>
      <c r="D1803" s="2" t="s">
        <v>3</v>
      </c>
      <c r="E1803" s="2" t="s">
        <v>1803</v>
      </c>
    </row>
    <row r="1804" spans="1:5" x14ac:dyDescent="0.25">
      <c r="A1804" s="1">
        <v>64157</v>
      </c>
      <c r="B1804" s="2">
        <v>93</v>
      </c>
      <c r="C1804" s="2">
        <v>64</v>
      </c>
      <c r="D1804" s="2" t="s">
        <v>3</v>
      </c>
      <c r="E1804" s="2" t="s">
        <v>1804</v>
      </c>
    </row>
    <row r="1805" spans="1:5" x14ac:dyDescent="0.25">
      <c r="A1805" s="1">
        <v>64158</v>
      </c>
      <c r="B1805" s="2">
        <v>94</v>
      </c>
      <c r="C1805" s="2">
        <v>64</v>
      </c>
      <c r="D1805" s="2" t="s">
        <v>3</v>
      </c>
      <c r="E1805" s="2" t="s">
        <v>1805</v>
      </c>
    </row>
    <row r="1806" spans="1:5" x14ac:dyDescent="0.25">
      <c r="A1806" s="1">
        <v>64159</v>
      </c>
      <c r="B1806" s="2">
        <v>95</v>
      </c>
      <c r="C1806" s="2">
        <v>64</v>
      </c>
      <c r="D1806" s="2">
        <v>66524.399999999994</v>
      </c>
      <c r="E1806" s="2" t="s">
        <v>1806</v>
      </c>
    </row>
    <row r="1807" spans="1:5" x14ac:dyDescent="0.25">
      <c r="A1807" s="1">
        <v>64160</v>
      </c>
      <c r="B1807" s="2">
        <v>96</v>
      </c>
      <c r="C1807" s="2">
        <v>64</v>
      </c>
      <c r="D1807" s="2">
        <v>9.7828559999999996E+26</v>
      </c>
      <c r="E1807" s="2" t="s">
        <v>1807</v>
      </c>
    </row>
    <row r="1808" spans="1:5" x14ac:dyDescent="0.25">
      <c r="A1808" s="1">
        <v>64161</v>
      </c>
      <c r="B1808" s="2">
        <v>97</v>
      </c>
      <c r="C1808" s="2">
        <v>64</v>
      </c>
      <c r="D1808" s="2">
        <v>219.6</v>
      </c>
      <c r="E1808" s="2" t="s">
        <v>1808</v>
      </c>
    </row>
    <row r="1809" spans="1:5" x14ac:dyDescent="0.25">
      <c r="A1809" s="1">
        <v>64162</v>
      </c>
      <c r="B1809" s="2">
        <v>98</v>
      </c>
      <c r="C1809" s="2">
        <v>64</v>
      </c>
      <c r="D1809" s="2">
        <v>504</v>
      </c>
      <c r="E1809" s="2" t="s">
        <v>1809</v>
      </c>
    </row>
    <row r="1810" spans="1:5" x14ac:dyDescent="0.25">
      <c r="A1810" s="1">
        <v>64163</v>
      </c>
      <c r="B1810" s="2">
        <v>99</v>
      </c>
      <c r="C1810" s="2">
        <v>64</v>
      </c>
      <c r="D1810" s="2">
        <v>68</v>
      </c>
      <c r="E1810" s="2" t="s">
        <v>1810</v>
      </c>
    </row>
    <row r="1811" spans="1:5" x14ac:dyDescent="0.25">
      <c r="A1811" s="1">
        <v>64164</v>
      </c>
      <c r="B1811" s="2">
        <v>100</v>
      </c>
      <c r="C1811" s="2">
        <v>64</v>
      </c>
      <c r="D1811" s="2">
        <v>45</v>
      </c>
      <c r="E1811" s="2" t="s">
        <v>1811</v>
      </c>
    </row>
    <row r="1812" spans="1:5" x14ac:dyDescent="0.25">
      <c r="A1812" s="1">
        <v>64165</v>
      </c>
      <c r="B1812" s="2">
        <v>101</v>
      </c>
      <c r="C1812" s="2">
        <v>64</v>
      </c>
      <c r="D1812" s="2">
        <v>10.3</v>
      </c>
      <c r="E1812" s="2" t="s">
        <v>1812</v>
      </c>
    </row>
    <row r="1813" spans="1:5" x14ac:dyDescent="0.25">
      <c r="A1813" s="1">
        <v>64166</v>
      </c>
      <c r="B1813" s="2">
        <v>102</v>
      </c>
      <c r="C1813" s="2">
        <v>64</v>
      </c>
      <c r="D1813" s="2">
        <v>4.8</v>
      </c>
      <c r="E1813" s="2" t="s">
        <v>1813</v>
      </c>
    </row>
    <row r="1814" spans="1:5" x14ac:dyDescent="0.25">
      <c r="A1814" s="1">
        <v>64167</v>
      </c>
      <c r="B1814" s="2">
        <v>103</v>
      </c>
      <c r="C1814" s="2">
        <v>64</v>
      </c>
      <c r="D1814" s="2">
        <v>1.6E-7</v>
      </c>
      <c r="E1814" s="2" t="s">
        <v>1814</v>
      </c>
    </row>
    <row r="1815" spans="1:5" x14ac:dyDescent="0.25">
      <c r="A1815" s="1">
        <v>64168</v>
      </c>
      <c r="B1815" s="2">
        <v>104</v>
      </c>
      <c r="C1815" s="2">
        <v>64</v>
      </c>
      <c r="D1815" s="2">
        <v>1.6E-7</v>
      </c>
      <c r="E1815" s="2" t="s">
        <v>1815</v>
      </c>
    </row>
    <row r="1816" spans="1:5" x14ac:dyDescent="0.25">
      <c r="A1816" s="1">
        <v>64169</v>
      </c>
      <c r="B1816" s="2">
        <v>105</v>
      </c>
      <c r="C1816" s="2">
        <v>64</v>
      </c>
      <c r="D1816" s="2">
        <v>1.6E-7</v>
      </c>
      <c r="E1816" s="2" t="s">
        <v>1816</v>
      </c>
    </row>
    <row r="1817" spans="1:5" x14ac:dyDescent="0.25">
      <c r="A1817" s="1">
        <v>64170</v>
      </c>
      <c r="B1817" s="2">
        <v>106</v>
      </c>
      <c r="C1817" s="2">
        <v>64</v>
      </c>
      <c r="D1817" s="2">
        <v>1.6E-7</v>
      </c>
      <c r="E1817" s="2" t="s">
        <v>1817</v>
      </c>
    </row>
    <row r="1818" spans="1:5" x14ac:dyDescent="0.25">
      <c r="A1818" s="1">
        <v>65135</v>
      </c>
      <c r="B1818" s="2">
        <v>70</v>
      </c>
      <c r="C1818" s="2">
        <v>65</v>
      </c>
      <c r="D1818" s="2">
        <v>9.3999999999999997E-4</v>
      </c>
      <c r="E1818" s="2" t="s">
        <v>1818</v>
      </c>
    </row>
    <row r="1819" spans="1:5" x14ac:dyDescent="0.25">
      <c r="A1819" s="1">
        <v>65138</v>
      </c>
      <c r="B1819" s="2">
        <v>73</v>
      </c>
      <c r="C1819" s="2">
        <v>65</v>
      </c>
      <c r="D1819" s="2">
        <v>1.9999999999999999E-7</v>
      </c>
      <c r="E1819" s="2" t="s">
        <v>1819</v>
      </c>
    </row>
    <row r="1820" spans="1:5" x14ac:dyDescent="0.25">
      <c r="A1820" s="1">
        <v>65139</v>
      </c>
      <c r="B1820" s="2">
        <v>74</v>
      </c>
      <c r="C1820" s="2">
        <v>65</v>
      </c>
      <c r="D1820" s="2">
        <v>1.6</v>
      </c>
      <c r="E1820" s="2" t="s">
        <v>1820</v>
      </c>
    </row>
    <row r="1821" spans="1:5" x14ac:dyDescent="0.25">
      <c r="A1821" s="1">
        <v>65140</v>
      </c>
      <c r="B1821" s="2">
        <v>75</v>
      </c>
      <c r="C1821" s="2">
        <v>65</v>
      </c>
      <c r="D1821" s="2">
        <v>2</v>
      </c>
      <c r="E1821" s="2" t="s">
        <v>1821</v>
      </c>
    </row>
    <row r="1822" spans="1:5" x14ac:dyDescent="0.25">
      <c r="A1822" s="1">
        <v>65141</v>
      </c>
      <c r="B1822" s="2">
        <v>76</v>
      </c>
      <c r="C1822" s="2">
        <v>65</v>
      </c>
      <c r="D1822" s="2">
        <v>3.5</v>
      </c>
      <c r="E1822" s="2" t="s">
        <v>1822</v>
      </c>
    </row>
    <row r="1823" spans="1:5" x14ac:dyDescent="0.25">
      <c r="A1823" s="1">
        <v>65142</v>
      </c>
      <c r="B1823" s="2">
        <v>77</v>
      </c>
      <c r="C1823" s="2">
        <v>65</v>
      </c>
      <c r="D1823" s="2">
        <v>0.59699999999999998</v>
      </c>
      <c r="E1823" s="2" t="s">
        <v>1823</v>
      </c>
    </row>
    <row r="1824" spans="1:5" x14ac:dyDescent="0.25">
      <c r="A1824" s="1">
        <v>65143</v>
      </c>
      <c r="B1824" s="2">
        <v>78</v>
      </c>
      <c r="C1824" s="2">
        <v>65</v>
      </c>
      <c r="D1824" s="2">
        <v>12</v>
      </c>
      <c r="E1824" s="2" t="s">
        <v>1824</v>
      </c>
    </row>
    <row r="1825" spans="1:5" x14ac:dyDescent="0.25">
      <c r="A1825" s="1">
        <v>65144</v>
      </c>
      <c r="B1825" s="2">
        <v>79</v>
      </c>
      <c r="C1825" s="2">
        <v>65</v>
      </c>
      <c r="D1825" s="2">
        <v>1</v>
      </c>
      <c r="E1825" s="2" t="s">
        <v>1825</v>
      </c>
    </row>
    <row r="1826" spans="1:5" x14ac:dyDescent="0.25">
      <c r="A1826" s="1">
        <v>65145</v>
      </c>
      <c r="B1826" s="2">
        <v>80</v>
      </c>
      <c r="C1826" s="2">
        <v>65</v>
      </c>
      <c r="D1826" s="2">
        <v>30.9</v>
      </c>
      <c r="E1826" s="2" t="s">
        <v>1826</v>
      </c>
    </row>
    <row r="1827" spans="1:5" x14ac:dyDescent="0.25">
      <c r="A1827" s="1">
        <v>65146</v>
      </c>
      <c r="B1827" s="2">
        <v>81</v>
      </c>
      <c r="C1827" s="2">
        <v>65</v>
      </c>
      <c r="D1827" s="2">
        <v>8</v>
      </c>
      <c r="E1827" s="2" t="s">
        <v>1827</v>
      </c>
    </row>
    <row r="1828" spans="1:5" x14ac:dyDescent="0.25">
      <c r="A1828" s="1">
        <v>65147</v>
      </c>
      <c r="B1828" s="2">
        <v>82</v>
      </c>
      <c r="C1828" s="2">
        <v>65</v>
      </c>
      <c r="D1828" s="2">
        <v>5904</v>
      </c>
      <c r="E1828" s="2" t="s">
        <v>1828</v>
      </c>
    </row>
    <row r="1829" spans="1:5" x14ac:dyDescent="0.25">
      <c r="A1829" s="1">
        <v>65148</v>
      </c>
      <c r="B1829" s="2">
        <v>83</v>
      </c>
      <c r="C1829" s="2">
        <v>65</v>
      </c>
      <c r="D1829" s="2">
        <v>3600</v>
      </c>
      <c r="E1829" s="2" t="s">
        <v>1829</v>
      </c>
    </row>
    <row r="1830" spans="1:5" x14ac:dyDescent="0.25">
      <c r="A1830" s="1">
        <v>65149</v>
      </c>
      <c r="B1830" s="2">
        <v>84</v>
      </c>
      <c r="C1830" s="2">
        <v>65</v>
      </c>
      <c r="D1830" s="2">
        <v>14824.8</v>
      </c>
      <c r="E1830" s="2" t="s">
        <v>1830</v>
      </c>
    </row>
    <row r="1831" spans="1:5" x14ac:dyDescent="0.25">
      <c r="A1831" s="1">
        <v>65150</v>
      </c>
      <c r="B1831" s="2">
        <v>85</v>
      </c>
      <c r="C1831" s="2">
        <v>65</v>
      </c>
      <c r="D1831" s="2">
        <v>12528</v>
      </c>
      <c r="E1831" s="2" t="s">
        <v>1831</v>
      </c>
    </row>
    <row r="1832" spans="1:5" x14ac:dyDescent="0.25">
      <c r="A1832" s="1">
        <v>65151</v>
      </c>
      <c r="B1832" s="2">
        <v>86</v>
      </c>
      <c r="C1832" s="2">
        <v>65</v>
      </c>
      <c r="D1832" s="2">
        <v>63392.4</v>
      </c>
      <c r="E1832" s="2" t="s">
        <v>1832</v>
      </c>
    </row>
    <row r="1833" spans="1:5" x14ac:dyDescent="0.25">
      <c r="A1833" s="1">
        <v>65152</v>
      </c>
      <c r="B1833" s="2">
        <v>87</v>
      </c>
      <c r="C1833" s="2">
        <v>65</v>
      </c>
      <c r="D1833" s="2">
        <v>63000</v>
      </c>
      <c r="E1833" s="2" t="s">
        <v>1833</v>
      </c>
    </row>
    <row r="1834" spans="1:5" x14ac:dyDescent="0.25">
      <c r="A1834" s="1">
        <v>65153</v>
      </c>
      <c r="B1834" s="2">
        <v>88</v>
      </c>
      <c r="C1834" s="2">
        <v>65</v>
      </c>
      <c r="D1834" s="2">
        <v>202176</v>
      </c>
      <c r="E1834" s="2" t="s">
        <v>1834</v>
      </c>
    </row>
    <row r="1835" spans="1:5" x14ac:dyDescent="0.25">
      <c r="A1835" s="1">
        <v>65154</v>
      </c>
      <c r="B1835" s="2">
        <v>89</v>
      </c>
      <c r="C1835" s="2">
        <v>65</v>
      </c>
      <c r="D1835" s="2">
        <v>77400</v>
      </c>
      <c r="E1835" s="2" t="s">
        <v>1835</v>
      </c>
    </row>
    <row r="1836" spans="1:5" x14ac:dyDescent="0.25">
      <c r="A1836" s="1">
        <v>65155</v>
      </c>
      <c r="B1836" s="2">
        <v>90</v>
      </c>
      <c r="C1836" s="2">
        <v>65</v>
      </c>
      <c r="D1836" s="2">
        <v>459648</v>
      </c>
      <c r="E1836" s="2" t="s">
        <v>1836</v>
      </c>
    </row>
    <row r="1837" spans="1:5" x14ac:dyDescent="0.25">
      <c r="A1837" s="1">
        <v>65156</v>
      </c>
      <c r="B1837" s="2">
        <v>91</v>
      </c>
      <c r="C1837" s="2">
        <v>65</v>
      </c>
      <c r="D1837" s="2">
        <v>462239.99999999901</v>
      </c>
      <c r="E1837" s="2" t="s">
        <v>1837</v>
      </c>
    </row>
    <row r="1838" spans="1:5" x14ac:dyDescent="0.25">
      <c r="A1838" s="1">
        <v>65157</v>
      </c>
      <c r="B1838" s="2">
        <v>92</v>
      </c>
      <c r="C1838" s="2">
        <v>65</v>
      </c>
      <c r="D1838" s="2">
        <v>2240589600</v>
      </c>
      <c r="E1838" s="2" t="s">
        <v>1838</v>
      </c>
    </row>
    <row r="1839" spans="1:5" x14ac:dyDescent="0.25">
      <c r="A1839" s="1">
        <v>65158</v>
      </c>
      <c r="B1839" s="2">
        <v>93</v>
      </c>
      <c r="C1839" s="2">
        <v>65</v>
      </c>
      <c r="D1839" s="2">
        <v>5680368000</v>
      </c>
      <c r="E1839" s="2" t="s">
        <v>1839</v>
      </c>
    </row>
    <row r="1840" spans="1:5" x14ac:dyDescent="0.25">
      <c r="A1840" s="1">
        <v>65159</v>
      </c>
      <c r="B1840" s="2">
        <v>94</v>
      </c>
      <c r="C1840" s="2">
        <v>65</v>
      </c>
      <c r="D1840" s="2" t="s">
        <v>3</v>
      </c>
      <c r="E1840" s="2" t="s">
        <v>1840</v>
      </c>
    </row>
    <row r="1841" spans="1:5" x14ac:dyDescent="0.25">
      <c r="A1841" s="1">
        <v>65160</v>
      </c>
      <c r="B1841" s="2">
        <v>95</v>
      </c>
      <c r="C1841" s="2">
        <v>65</v>
      </c>
      <c r="D1841" s="2">
        <v>6246720</v>
      </c>
      <c r="E1841" s="2" t="s">
        <v>1841</v>
      </c>
    </row>
    <row r="1842" spans="1:5" x14ac:dyDescent="0.25">
      <c r="A1842" s="1">
        <v>65161</v>
      </c>
      <c r="B1842" s="2">
        <v>96</v>
      </c>
      <c r="C1842" s="2">
        <v>65</v>
      </c>
      <c r="D1842" s="2">
        <v>595296</v>
      </c>
      <c r="E1842" s="2" t="s">
        <v>1842</v>
      </c>
    </row>
    <row r="1843" spans="1:5" x14ac:dyDescent="0.25">
      <c r="A1843" s="1">
        <v>65162</v>
      </c>
      <c r="B1843" s="2">
        <v>97</v>
      </c>
      <c r="C1843" s="2">
        <v>65</v>
      </c>
      <c r="D1843" s="2">
        <v>456</v>
      </c>
      <c r="E1843" s="2" t="s">
        <v>1843</v>
      </c>
    </row>
    <row r="1844" spans="1:5" x14ac:dyDescent="0.25">
      <c r="A1844" s="1">
        <v>65163</v>
      </c>
      <c r="B1844" s="2">
        <v>98</v>
      </c>
      <c r="C1844" s="2">
        <v>65</v>
      </c>
      <c r="D1844" s="2">
        <v>1170</v>
      </c>
      <c r="E1844" s="2" t="s">
        <v>1844</v>
      </c>
    </row>
    <row r="1845" spans="1:5" x14ac:dyDescent="0.25">
      <c r="A1845" s="1">
        <v>65164</v>
      </c>
      <c r="B1845" s="2">
        <v>99</v>
      </c>
      <c r="C1845" s="2">
        <v>65</v>
      </c>
      <c r="D1845" s="2">
        <v>180</v>
      </c>
      <c r="E1845" s="2" t="s">
        <v>1845</v>
      </c>
    </row>
    <row r="1846" spans="1:5" x14ac:dyDescent="0.25">
      <c r="A1846" s="1">
        <v>65165</v>
      </c>
      <c r="B1846" s="2">
        <v>100</v>
      </c>
      <c r="C1846" s="2">
        <v>65</v>
      </c>
      <c r="D1846" s="2">
        <v>126.6</v>
      </c>
      <c r="E1846" s="2" t="s">
        <v>1846</v>
      </c>
    </row>
    <row r="1847" spans="1:5" x14ac:dyDescent="0.25">
      <c r="A1847" s="1">
        <v>65166</v>
      </c>
      <c r="B1847" s="2">
        <v>101</v>
      </c>
      <c r="C1847" s="2">
        <v>65</v>
      </c>
      <c r="D1847" s="2">
        <v>25.1</v>
      </c>
      <c r="E1847" s="2" t="s">
        <v>1847</v>
      </c>
    </row>
    <row r="1848" spans="1:5" x14ac:dyDescent="0.25">
      <c r="A1848" s="1">
        <v>65167</v>
      </c>
      <c r="B1848" s="2">
        <v>102</v>
      </c>
      <c r="C1848" s="2">
        <v>65</v>
      </c>
      <c r="D1848" s="2">
        <v>19.399999999999999</v>
      </c>
      <c r="E1848" s="2" t="s">
        <v>1848</v>
      </c>
    </row>
    <row r="1849" spans="1:5" x14ac:dyDescent="0.25">
      <c r="A1849" s="1">
        <v>65168</v>
      </c>
      <c r="B1849" s="2">
        <v>103</v>
      </c>
      <c r="C1849" s="2">
        <v>65</v>
      </c>
      <c r="D1849" s="2">
        <v>8.1999999999999993</v>
      </c>
      <c r="E1849" s="2" t="s">
        <v>1849</v>
      </c>
    </row>
    <row r="1850" spans="1:5" x14ac:dyDescent="0.25">
      <c r="A1850" s="1">
        <v>65169</v>
      </c>
      <c r="B1850" s="2">
        <v>104</v>
      </c>
      <c r="C1850" s="2">
        <v>65</v>
      </c>
      <c r="D1850" s="2">
        <v>1.6E-7</v>
      </c>
      <c r="E1850" s="2" t="s">
        <v>1850</v>
      </c>
    </row>
    <row r="1851" spans="1:5" x14ac:dyDescent="0.25">
      <c r="A1851" s="1">
        <v>65170</v>
      </c>
      <c r="B1851" s="2">
        <v>105</v>
      </c>
      <c r="C1851" s="2">
        <v>65</v>
      </c>
      <c r="D1851" s="2">
        <v>1.6E-7</v>
      </c>
      <c r="E1851" s="2" t="s">
        <v>1851</v>
      </c>
    </row>
    <row r="1852" spans="1:5" x14ac:dyDescent="0.25">
      <c r="A1852" s="1">
        <v>65171</v>
      </c>
      <c r="B1852" s="2">
        <v>106</v>
      </c>
      <c r="C1852" s="2">
        <v>65</v>
      </c>
      <c r="D1852" s="2">
        <v>1.6E-7</v>
      </c>
      <c r="E1852" s="2" t="s">
        <v>1852</v>
      </c>
    </row>
    <row r="1853" spans="1:5" x14ac:dyDescent="0.25">
      <c r="A1853" s="1">
        <v>65172</v>
      </c>
      <c r="B1853" s="2">
        <v>107</v>
      </c>
      <c r="C1853" s="2">
        <v>65</v>
      </c>
      <c r="D1853" s="2">
        <v>1.6E-7</v>
      </c>
      <c r="E1853" s="2" t="s">
        <v>1853</v>
      </c>
    </row>
    <row r="1854" spans="1:5" x14ac:dyDescent="0.25">
      <c r="A1854" s="1">
        <v>66139</v>
      </c>
      <c r="B1854" s="2">
        <v>73</v>
      </c>
      <c r="C1854" s="2">
        <v>66</v>
      </c>
      <c r="D1854" s="2">
        <v>0.6</v>
      </c>
      <c r="E1854" s="2" t="s">
        <v>1854</v>
      </c>
    </row>
    <row r="1855" spans="1:5" x14ac:dyDescent="0.25">
      <c r="A1855" s="1">
        <v>66141</v>
      </c>
      <c r="B1855" s="2">
        <v>75</v>
      </c>
      <c r="C1855" s="2">
        <v>66</v>
      </c>
      <c r="D1855" s="2">
        <v>0.9</v>
      </c>
      <c r="E1855" s="2" t="s">
        <v>1855</v>
      </c>
    </row>
    <row r="1856" spans="1:5" x14ac:dyDescent="0.25">
      <c r="A1856" s="1">
        <v>66142</v>
      </c>
      <c r="B1856" s="2">
        <v>76</v>
      </c>
      <c r="C1856" s="2">
        <v>66</v>
      </c>
      <c r="D1856" s="2">
        <v>2.2999999999999998</v>
      </c>
      <c r="E1856" s="2" t="s">
        <v>1856</v>
      </c>
    </row>
    <row r="1857" spans="1:5" x14ac:dyDescent="0.25">
      <c r="A1857" s="1">
        <v>66143</v>
      </c>
      <c r="B1857" s="2">
        <v>77</v>
      </c>
      <c r="C1857" s="2">
        <v>66</v>
      </c>
      <c r="D1857" s="2">
        <v>5.6</v>
      </c>
      <c r="E1857" s="2" t="s">
        <v>1857</v>
      </c>
    </row>
    <row r="1858" spans="1:5" x14ac:dyDescent="0.25">
      <c r="A1858" s="1">
        <v>66144</v>
      </c>
      <c r="B1858" s="2">
        <v>78</v>
      </c>
      <c r="C1858" s="2">
        <v>66</v>
      </c>
      <c r="D1858" s="2">
        <v>9.1</v>
      </c>
      <c r="E1858" s="2" t="s">
        <v>1858</v>
      </c>
    </row>
    <row r="1859" spans="1:5" x14ac:dyDescent="0.25">
      <c r="A1859" s="1">
        <v>66145</v>
      </c>
      <c r="B1859" s="2">
        <v>79</v>
      </c>
      <c r="C1859" s="2">
        <v>66</v>
      </c>
      <c r="D1859" s="2">
        <v>6</v>
      </c>
      <c r="E1859" s="2" t="s">
        <v>1859</v>
      </c>
    </row>
    <row r="1860" spans="1:5" x14ac:dyDescent="0.25">
      <c r="A1860" s="1">
        <v>66146</v>
      </c>
      <c r="B1860" s="2">
        <v>80</v>
      </c>
      <c r="C1860" s="2">
        <v>66</v>
      </c>
      <c r="D1860" s="2">
        <v>33.200000000000003</v>
      </c>
      <c r="E1860" s="2" t="s">
        <v>1860</v>
      </c>
    </row>
    <row r="1861" spans="1:5" x14ac:dyDescent="0.25">
      <c r="A1861" s="1">
        <v>66147</v>
      </c>
      <c r="B1861" s="2">
        <v>81</v>
      </c>
      <c r="C1861" s="2">
        <v>66</v>
      </c>
      <c r="D1861" s="2">
        <v>67</v>
      </c>
      <c r="E1861" s="2" t="s">
        <v>1861</v>
      </c>
    </row>
    <row r="1862" spans="1:5" x14ac:dyDescent="0.25">
      <c r="A1862" s="1">
        <v>66148</v>
      </c>
      <c r="B1862" s="2">
        <v>82</v>
      </c>
      <c r="C1862" s="2">
        <v>66</v>
      </c>
      <c r="D1862" s="2">
        <v>198</v>
      </c>
      <c r="E1862" s="2" t="s">
        <v>1862</v>
      </c>
    </row>
    <row r="1863" spans="1:5" x14ac:dyDescent="0.25">
      <c r="A1863" s="1">
        <v>66149</v>
      </c>
      <c r="B1863" s="2">
        <v>83</v>
      </c>
      <c r="C1863" s="2">
        <v>66</v>
      </c>
      <c r="D1863" s="2">
        <v>252</v>
      </c>
      <c r="E1863" s="2" t="s">
        <v>1863</v>
      </c>
    </row>
    <row r="1864" spans="1:5" x14ac:dyDescent="0.25">
      <c r="A1864" s="1">
        <v>66150</v>
      </c>
      <c r="B1864" s="2">
        <v>84</v>
      </c>
      <c r="C1864" s="2">
        <v>66</v>
      </c>
      <c r="D1864" s="2">
        <v>430.2</v>
      </c>
      <c r="E1864" s="2" t="s">
        <v>1864</v>
      </c>
    </row>
    <row r="1865" spans="1:5" x14ac:dyDescent="0.25">
      <c r="A1865" s="1">
        <v>66151</v>
      </c>
      <c r="B1865" s="2">
        <v>85</v>
      </c>
      <c r="C1865" s="2">
        <v>66</v>
      </c>
      <c r="D1865" s="2">
        <v>1074</v>
      </c>
      <c r="E1865" s="2" t="s">
        <v>1865</v>
      </c>
    </row>
    <row r="1866" spans="1:5" x14ac:dyDescent="0.25">
      <c r="A1866" s="1">
        <v>66152</v>
      </c>
      <c r="B1866" s="2">
        <v>86</v>
      </c>
      <c r="C1866" s="2">
        <v>66</v>
      </c>
      <c r="D1866" s="2">
        <v>8568</v>
      </c>
      <c r="E1866" s="2" t="s">
        <v>1866</v>
      </c>
    </row>
    <row r="1867" spans="1:5" x14ac:dyDescent="0.25">
      <c r="A1867" s="1">
        <v>66153</v>
      </c>
      <c r="B1867" s="2">
        <v>87</v>
      </c>
      <c r="C1867" s="2">
        <v>66</v>
      </c>
      <c r="D1867" s="2">
        <v>23040</v>
      </c>
      <c r="E1867" s="2" t="s">
        <v>1867</v>
      </c>
    </row>
    <row r="1868" spans="1:5" x14ac:dyDescent="0.25">
      <c r="A1868" s="1">
        <v>66154</v>
      </c>
      <c r="B1868" s="2">
        <v>88</v>
      </c>
      <c r="C1868" s="2">
        <v>66</v>
      </c>
      <c r="D1868" s="2">
        <v>94672800000000</v>
      </c>
      <c r="E1868" s="2" t="s">
        <v>1868</v>
      </c>
    </row>
    <row r="1869" spans="1:5" x14ac:dyDescent="0.25">
      <c r="A1869" s="1">
        <v>66155</v>
      </c>
      <c r="B1869" s="2">
        <v>89</v>
      </c>
      <c r="C1869" s="2">
        <v>66</v>
      </c>
      <c r="D1869" s="2">
        <v>35640</v>
      </c>
      <c r="E1869" s="2" t="s">
        <v>1869</v>
      </c>
    </row>
    <row r="1870" spans="1:5" x14ac:dyDescent="0.25">
      <c r="A1870" s="1">
        <v>66156</v>
      </c>
      <c r="B1870" s="2">
        <v>90</v>
      </c>
      <c r="C1870" s="2">
        <v>66</v>
      </c>
      <c r="D1870" s="2" t="s">
        <v>3</v>
      </c>
      <c r="E1870" s="2" t="s">
        <v>1870</v>
      </c>
    </row>
    <row r="1871" spans="1:5" x14ac:dyDescent="0.25">
      <c r="A1871" s="1">
        <v>66157</v>
      </c>
      <c r="B1871" s="2">
        <v>91</v>
      </c>
      <c r="C1871" s="2">
        <v>66</v>
      </c>
      <c r="D1871" s="2">
        <v>29304</v>
      </c>
      <c r="E1871" s="2" t="s">
        <v>1871</v>
      </c>
    </row>
    <row r="1872" spans="1:5" x14ac:dyDescent="0.25">
      <c r="A1872" s="1">
        <v>66158</v>
      </c>
      <c r="B1872" s="2">
        <v>92</v>
      </c>
      <c r="C1872" s="2">
        <v>66</v>
      </c>
      <c r="D1872" s="2" t="s">
        <v>3</v>
      </c>
      <c r="E1872" s="2" t="s">
        <v>1872</v>
      </c>
    </row>
    <row r="1873" spans="1:5" x14ac:dyDescent="0.25">
      <c r="A1873" s="1">
        <v>66159</v>
      </c>
      <c r="B1873" s="2">
        <v>93</v>
      </c>
      <c r="C1873" s="2">
        <v>66</v>
      </c>
      <c r="D1873" s="2">
        <v>12476160</v>
      </c>
      <c r="E1873" s="2" t="s">
        <v>1873</v>
      </c>
    </row>
    <row r="1874" spans="1:5" x14ac:dyDescent="0.25">
      <c r="A1874" s="1">
        <v>66160</v>
      </c>
      <c r="B1874" s="2">
        <v>94</v>
      </c>
      <c r="C1874" s="2">
        <v>66</v>
      </c>
      <c r="D1874" s="2" t="s">
        <v>3</v>
      </c>
      <c r="E1874" s="2" t="s">
        <v>1874</v>
      </c>
    </row>
    <row r="1875" spans="1:5" x14ac:dyDescent="0.25">
      <c r="A1875" s="1">
        <v>66161</v>
      </c>
      <c r="B1875" s="2">
        <v>95</v>
      </c>
      <c r="C1875" s="2">
        <v>66</v>
      </c>
      <c r="D1875" s="2" t="s">
        <v>3</v>
      </c>
      <c r="E1875" s="2" t="s">
        <v>1875</v>
      </c>
    </row>
    <row r="1876" spans="1:5" x14ac:dyDescent="0.25">
      <c r="A1876" s="1">
        <v>66162</v>
      </c>
      <c r="B1876" s="2">
        <v>96</v>
      </c>
      <c r="C1876" s="2">
        <v>66</v>
      </c>
      <c r="D1876" s="2" t="s">
        <v>3</v>
      </c>
      <c r="E1876" s="2" t="s">
        <v>1876</v>
      </c>
    </row>
    <row r="1877" spans="1:5" x14ac:dyDescent="0.25">
      <c r="A1877" s="1">
        <v>66163</v>
      </c>
      <c r="B1877" s="2">
        <v>97</v>
      </c>
      <c r="C1877" s="2">
        <v>66</v>
      </c>
      <c r="D1877" s="2" t="s">
        <v>3</v>
      </c>
      <c r="E1877" s="2" t="s">
        <v>1877</v>
      </c>
    </row>
    <row r="1878" spans="1:5" x14ac:dyDescent="0.25">
      <c r="A1878" s="1">
        <v>66164</v>
      </c>
      <c r="B1878" s="2">
        <v>98</v>
      </c>
      <c r="C1878" s="2">
        <v>66</v>
      </c>
      <c r="D1878" s="2" t="s">
        <v>3</v>
      </c>
      <c r="E1878" s="2" t="s">
        <v>1878</v>
      </c>
    </row>
    <row r="1879" spans="1:5" x14ac:dyDescent="0.25">
      <c r="A1879" s="1">
        <v>66165</v>
      </c>
      <c r="B1879" s="2">
        <v>99</v>
      </c>
      <c r="C1879" s="2">
        <v>66</v>
      </c>
      <c r="D1879" s="2">
        <v>8402.4</v>
      </c>
      <c r="E1879" s="2" t="s">
        <v>1879</v>
      </c>
    </row>
    <row r="1880" spans="1:5" x14ac:dyDescent="0.25">
      <c r="A1880" s="1">
        <v>66166</v>
      </c>
      <c r="B1880" s="2">
        <v>100</v>
      </c>
      <c r="C1880" s="2">
        <v>66</v>
      </c>
      <c r="D1880" s="2">
        <v>293760</v>
      </c>
      <c r="E1880" s="2" t="s">
        <v>1880</v>
      </c>
    </row>
    <row r="1881" spans="1:5" x14ac:dyDescent="0.25">
      <c r="A1881" s="1">
        <v>66167</v>
      </c>
      <c r="B1881" s="2">
        <v>101</v>
      </c>
      <c r="C1881" s="2">
        <v>66</v>
      </c>
      <c r="D1881" s="2">
        <v>372</v>
      </c>
      <c r="E1881" s="2" t="s">
        <v>1881</v>
      </c>
    </row>
    <row r="1882" spans="1:5" x14ac:dyDescent="0.25">
      <c r="A1882" s="1">
        <v>66168</v>
      </c>
      <c r="B1882" s="2">
        <v>102</v>
      </c>
      <c r="C1882" s="2">
        <v>66</v>
      </c>
      <c r="D1882" s="2">
        <v>522</v>
      </c>
      <c r="E1882" s="2" t="s">
        <v>1882</v>
      </c>
    </row>
    <row r="1883" spans="1:5" x14ac:dyDescent="0.25">
      <c r="A1883" s="1">
        <v>66169</v>
      </c>
      <c r="B1883" s="2">
        <v>103</v>
      </c>
      <c r="C1883" s="2">
        <v>66</v>
      </c>
      <c r="D1883" s="2">
        <v>39</v>
      </c>
      <c r="E1883" s="2" t="s">
        <v>1883</v>
      </c>
    </row>
    <row r="1884" spans="1:5" x14ac:dyDescent="0.25">
      <c r="A1884" s="1">
        <v>66171</v>
      </c>
      <c r="B1884" s="2">
        <v>105</v>
      </c>
      <c r="C1884" s="2">
        <v>66</v>
      </c>
      <c r="D1884" s="2">
        <v>1.6E-7</v>
      </c>
      <c r="E1884" s="2" t="s">
        <v>1884</v>
      </c>
    </row>
    <row r="1885" spans="1:5" x14ac:dyDescent="0.25">
      <c r="A1885" s="1">
        <v>66172</v>
      </c>
      <c r="B1885" s="2">
        <v>106</v>
      </c>
      <c r="C1885" s="2">
        <v>66</v>
      </c>
      <c r="D1885" s="2">
        <v>1.6E-7</v>
      </c>
      <c r="E1885" s="2" t="s">
        <v>1885</v>
      </c>
    </row>
    <row r="1886" spans="1:5" x14ac:dyDescent="0.25">
      <c r="A1886" s="1">
        <v>66173</v>
      </c>
      <c r="B1886" s="2">
        <v>107</v>
      </c>
      <c r="C1886" s="2">
        <v>66</v>
      </c>
      <c r="D1886" s="2">
        <v>1.6E-7</v>
      </c>
      <c r="E1886" s="2" t="s">
        <v>1886</v>
      </c>
    </row>
    <row r="1887" spans="1:5" x14ac:dyDescent="0.25">
      <c r="A1887" s="1">
        <v>67140</v>
      </c>
      <c r="B1887" s="2">
        <v>73</v>
      </c>
      <c r="C1887" s="2">
        <v>67</v>
      </c>
      <c r="D1887" s="2">
        <v>6.0000000000000001E-3</v>
      </c>
      <c r="E1887" s="2" t="s">
        <v>1887</v>
      </c>
    </row>
    <row r="1888" spans="1:5" x14ac:dyDescent="0.25">
      <c r="A1888" s="1">
        <v>67141</v>
      </c>
      <c r="B1888" s="2">
        <v>74</v>
      </c>
      <c r="C1888" s="2">
        <v>67</v>
      </c>
      <c r="D1888" s="2">
        <v>4.0999999999999899E-3</v>
      </c>
      <c r="E1888" s="2" t="s">
        <v>1888</v>
      </c>
    </row>
    <row r="1889" spans="1:5" x14ac:dyDescent="0.25">
      <c r="A1889" s="1">
        <v>67142</v>
      </c>
      <c r="B1889" s="2">
        <v>75</v>
      </c>
      <c r="C1889" s="2">
        <v>67</v>
      </c>
      <c r="D1889" s="2">
        <v>0.4</v>
      </c>
      <c r="E1889" s="2" t="s">
        <v>1889</v>
      </c>
    </row>
    <row r="1890" spans="1:5" x14ac:dyDescent="0.25">
      <c r="A1890" s="1">
        <v>67144</v>
      </c>
      <c r="B1890" s="2">
        <v>77</v>
      </c>
      <c r="C1890" s="2">
        <v>67</v>
      </c>
      <c r="D1890" s="2">
        <v>0.7</v>
      </c>
      <c r="E1890" s="2" t="s">
        <v>1890</v>
      </c>
    </row>
    <row r="1891" spans="1:5" x14ac:dyDescent="0.25">
      <c r="A1891" s="1">
        <v>67145</v>
      </c>
      <c r="B1891" s="2">
        <v>78</v>
      </c>
      <c r="C1891" s="2">
        <v>67</v>
      </c>
      <c r="D1891" s="2">
        <v>2.4</v>
      </c>
      <c r="E1891" s="2" t="s">
        <v>1891</v>
      </c>
    </row>
    <row r="1892" spans="1:5" x14ac:dyDescent="0.25">
      <c r="A1892" s="1">
        <v>67146</v>
      </c>
      <c r="B1892" s="2">
        <v>79</v>
      </c>
      <c r="C1892" s="2">
        <v>67</v>
      </c>
      <c r="D1892" s="2">
        <v>3.32</v>
      </c>
      <c r="E1892" s="2" t="s">
        <v>1892</v>
      </c>
    </row>
    <row r="1893" spans="1:5" x14ac:dyDescent="0.25">
      <c r="A1893" s="1">
        <v>67147</v>
      </c>
      <c r="B1893" s="2">
        <v>80</v>
      </c>
      <c r="C1893" s="2">
        <v>67</v>
      </c>
      <c r="D1893" s="2">
        <v>5.8</v>
      </c>
      <c r="E1893" s="2" t="s">
        <v>1893</v>
      </c>
    </row>
    <row r="1894" spans="1:5" x14ac:dyDescent="0.25">
      <c r="A1894" s="1">
        <v>67148</v>
      </c>
      <c r="B1894" s="2">
        <v>81</v>
      </c>
      <c r="C1894" s="2">
        <v>67</v>
      </c>
      <c r="D1894" s="2">
        <v>2.2000000000000002</v>
      </c>
      <c r="E1894" s="2" t="s">
        <v>1894</v>
      </c>
    </row>
    <row r="1895" spans="1:5" x14ac:dyDescent="0.25">
      <c r="A1895" s="1">
        <v>67149</v>
      </c>
      <c r="B1895" s="2">
        <v>82</v>
      </c>
      <c r="C1895" s="2">
        <v>67</v>
      </c>
      <c r="D1895" s="2">
        <v>21.1</v>
      </c>
      <c r="E1895" s="2" t="s">
        <v>1895</v>
      </c>
    </row>
    <row r="1896" spans="1:5" x14ac:dyDescent="0.25">
      <c r="A1896" s="1">
        <v>67150</v>
      </c>
      <c r="B1896" s="2">
        <v>83</v>
      </c>
      <c r="C1896" s="2">
        <v>67</v>
      </c>
      <c r="D1896" s="2">
        <v>72</v>
      </c>
      <c r="E1896" s="2" t="s">
        <v>1896</v>
      </c>
    </row>
    <row r="1897" spans="1:5" x14ac:dyDescent="0.25">
      <c r="A1897" s="1">
        <v>67151</v>
      </c>
      <c r="B1897" s="2">
        <v>84</v>
      </c>
      <c r="C1897" s="2">
        <v>67</v>
      </c>
      <c r="D1897" s="2">
        <v>35.200000000000003</v>
      </c>
      <c r="E1897" s="2" t="s">
        <v>1897</v>
      </c>
    </row>
    <row r="1898" spans="1:5" x14ac:dyDescent="0.25">
      <c r="A1898" s="1">
        <v>67152</v>
      </c>
      <c r="B1898" s="2">
        <v>85</v>
      </c>
      <c r="C1898" s="2">
        <v>67</v>
      </c>
      <c r="D1898" s="2">
        <v>161.80000000000001</v>
      </c>
      <c r="E1898" s="2" t="s">
        <v>1898</v>
      </c>
    </row>
    <row r="1899" spans="1:5" x14ac:dyDescent="0.25">
      <c r="A1899" s="1">
        <v>67153</v>
      </c>
      <c r="B1899" s="2">
        <v>86</v>
      </c>
      <c r="C1899" s="2">
        <v>67</v>
      </c>
      <c r="D1899" s="2">
        <v>120.6</v>
      </c>
      <c r="E1899" s="2" t="s">
        <v>1899</v>
      </c>
    </row>
    <row r="1900" spans="1:5" x14ac:dyDescent="0.25">
      <c r="A1900" s="1">
        <v>67154</v>
      </c>
      <c r="B1900" s="2">
        <v>87</v>
      </c>
      <c r="C1900" s="2">
        <v>67</v>
      </c>
      <c r="D1900" s="2">
        <v>705.6</v>
      </c>
      <c r="E1900" s="2" t="s">
        <v>1900</v>
      </c>
    </row>
    <row r="1901" spans="1:5" x14ac:dyDescent="0.25">
      <c r="A1901" s="1">
        <v>67155</v>
      </c>
      <c r="B1901" s="2">
        <v>88</v>
      </c>
      <c r="C1901" s="2">
        <v>67</v>
      </c>
      <c r="D1901" s="2">
        <v>2880</v>
      </c>
      <c r="E1901" s="2" t="s">
        <v>1901</v>
      </c>
    </row>
    <row r="1902" spans="1:5" x14ac:dyDescent="0.25">
      <c r="A1902" s="1">
        <v>67156</v>
      </c>
      <c r="B1902" s="2">
        <v>89</v>
      </c>
      <c r="C1902" s="2">
        <v>67</v>
      </c>
      <c r="D1902" s="2">
        <v>3360</v>
      </c>
      <c r="E1902" s="2" t="s">
        <v>1902</v>
      </c>
    </row>
    <row r="1903" spans="1:5" x14ac:dyDescent="0.25">
      <c r="A1903" s="1">
        <v>67157</v>
      </c>
      <c r="B1903" s="2">
        <v>90</v>
      </c>
      <c r="C1903" s="2">
        <v>67</v>
      </c>
      <c r="D1903" s="2">
        <v>756</v>
      </c>
      <c r="E1903" s="2" t="s">
        <v>1903</v>
      </c>
    </row>
    <row r="1904" spans="1:5" x14ac:dyDescent="0.25">
      <c r="A1904" s="1">
        <v>67158</v>
      </c>
      <c r="B1904" s="2">
        <v>91</v>
      </c>
      <c r="C1904" s="2">
        <v>67</v>
      </c>
      <c r="D1904" s="2">
        <v>678</v>
      </c>
      <c r="E1904" s="2" t="s">
        <v>1904</v>
      </c>
    </row>
    <row r="1905" spans="1:5" x14ac:dyDescent="0.25">
      <c r="A1905" s="1">
        <v>67159</v>
      </c>
      <c r="B1905" s="2">
        <v>92</v>
      </c>
      <c r="C1905" s="2">
        <v>67</v>
      </c>
      <c r="D1905" s="2">
        <v>1982.99999999999</v>
      </c>
      <c r="E1905" s="2" t="s">
        <v>1905</v>
      </c>
    </row>
    <row r="1906" spans="1:5" x14ac:dyDescent="0.25">
      <c r="A1906" s="1">
        <v>67160</v>
      </c>
      <c r="B1906" s="2">
        <v>93</v>
      </c>
      <c r="C1906" s="2">
        <v>67</v>
      </c>
      <c r="D1906" s="2">
        <v>1536</v>
      </c>
      <c r="E1906" s="2" t="s">
        <v>1906</v>
      </c>
    </row>
    <row r="1907" spans="1:5" x14ac:dyDescent="0.25">
      <c r="A1907" s="1">
        <v>67161</v>
      </c>
      <c r="B1907" s="2">
        <v>94</v>
      </c>
      <c r="C1907" s="2">
        <v>67</v>
      </c>
      <c r="D1907" s="2">
        <v>8928</v>
      </c>
      <c r="E1907" s="2" t="s">
        <v>1907</v>
      </c>
    </row>
    <row r="1908" spans="1:5" x14ac:dyDescent="0.25">
      <c r="A1908" s="1">
        <v>67162</v>
      </c>
      <c r="B1908" s="2">
        <v>95</v>
      </c>
      <c r="C1908" s="2">
        <v>67</v>
      </c>
      <c r="D1908" s="2">
        <v>900</v>
      </c>
      <c r="E1908" s="2" t="s">
        <v>1908</v>
      </c>
    </row>
    <row r="1909" spans="1:5" x14ac:dyDescent="0.25">
      <c r="A1909" s="1">
        <v>67163</v>
      </c>
      <c r="B1909" s="2">
        <v>96</v>
      </c>
      <c r="C1909" s="2">
        <v>67</v>
      </c>
      <c r="D1909" s="2">
        <v>144218232000</v>
      </c>
      <c r="E1909" s="2" t="s">
        <v>1909</v>
      </c>
    </row>
    <row r="1910" spans="1:5" x14ac:dyDescent="0.25">
      <c r="A1910" s="1">
        <v>67164</v>
      </c>
      <c r="B1910" s="2">
        <v>97</v>
      </c>
      <c r="C1910" s="2">
        <v>67</v>
      </c>
      <c r="D1910" s="2">
        <v>1740</v>
      </c>
      <c r="E1910" s="2" t="s">
        <v>1910</v>
      </c>
    </row>
    <row r="1911" spans="1:5" x14ac:dyDescent="0.25">
      <c r="A1911" s="1">
        <v>67165</v>
      </c>
      <c r="B1911" s="2">
        <v>98</v>
      </c>
      <c r="C1911" s="2">
        <v>67</v>
      </c>
      <c r="D1911" s="2" t="s">
        <v>3</v>
      </c>
      <c r="E1911" s="2" t="s">
        <v>1911</v>
      </c>
    </row>
    <row r="1912" spans="1:5" x14ac:dyDescent="0.25">
      <c r="A1912" s="1">
        <v>67166</v>
      </c>
      <c r="B1912" s="2">
        <v>99</v>
      </c>
      <c r="C1912" s="2">
        <v>67</v>
      </c>
      <c r="D1912" s="2">
        <v>96566.399999999994</v>
      </c>
      <c r="E1912" s="2" t="s">
        <v>1912</v>
      </c>
    </row>
    <row r="1913" spans="1:5" x14ac:dyDescent="0.25">
      <c r="A1913" s="1">
        <v>67167</v>
      </c>
      <c r="B1913" s="2">
        <v>100</v>
      </c>
      <c r="C1913" s="2">
        <v>67</v>
      </c>
      <c r="D1913" s="2">
        <v>10810.8</v>
      </c>
      <c r="E1913" s="2" t="s">
        <v>1913</v>
      </c>
    </row>
    <row r="1914" spans="1:5" x14ac:dyDescent="0.25">
      <c r="A1914" s="1">
        <v>67168</v>
      </c>
      <c r="B1914" s="2">
        <v>101</v>
      </c>
      <c r="C1914" s="2">
        <v>67</v>
      </c>
      <c r="D1914" s="2">
        <v>179.4</v>
      </c>
      <c r="E1914" s="2" t="s">
        <v>1914</v>
      </c>
    </row>
    <row r="1915" spans="1:5" x14ac:dyDescent="0.25">
      <c r="A1915" s="1">
        <v>67169</v>
      </c>
      <c r="B1915" s="2">
        <v>102</v>
      </c>
      <c r="C1915" s="2">
        <v>67</v>
      </c>
      <c r="D1915" s="2">
        <v>283.2</v>
      </c>
      <c r="E1915" s="2" t="s">
        <v>1915</v>
      </c>
    </row>
    <row r="1916" spans="1:5" x14ac:dyDescent="0.25">
      <c r="A1916" s="1">
        <v>67170</v>
      </c>
      <c r="B1916" s="2">
        <v>103</v>
      </c>
      <c r="C1916" s="2">
        <v>67</v>
      </c>
      <c r="D1916" s="2">
        <v>165.6</v>
      </c>
      <c r="E1916" s="2" t="s">
        <v>1916</v>
      </c>
    </row>
    <row r="1917" spans="1:5" x14ac:dyDescent="0.25">
      <c r="A1917" s="1">
        <v>67171</v>
      </c>
      <c r="B1917" s="2">
        <v>104</v>
      </c>
      <c r="C1917" s="2">
        <v>67</v>
      </c>
      <c r="D1917" s="2">
        <v>53</v>
      </c>
      <c r="E1917" s="2" t="s">
        <v>1917</v>
      </c>
    </row>
    <row r="1918" spans="1:5" x14ac:dyDescent="0.25">
      <c r="A1918" s="1">
        <v>67172</v>
      </c>
      <c r="B1918" s="2">
        <v>105</v>
      </c>
      <c r="C1918" s="2">
        <v>67</v>
      </c>
      <c r="D1918" s="2">
        <v>25</v>
      </c>
      <c r="E1918" s="2" t="s">
        <v>1918</v>
      </c>
    </row>
    <row r="1919" spans="1:5" x14ac:dyDescent="0.25">
      <c r="A1919" s="1">
        <v>67173</v>
      </c>
      <c r="B1919" s="2">
        <v>106</v>
      </c>
      <c r="C1919" s="2">
        <v>67</v>
      </c>
      <c r="D1919" s="2">
        <v>1.6E-7</v>
      </c>
      <c r="E1919" s="2" t="s">
        <v>1919</v>
      </c>
    </row>
    <row r="1920" spans="1:5" x14ac:dyDescent="0.25">
      <c r="A1920" s="1">
        <v>67174</v>
      </c>
      <c r="B1920" s="2">
        <v>107</v>
      </c>
      <c r="C1920" s="2">
        <v>67</v>
      </c>
      <c r="D1920" s="2">
        <v>1.6E-7</v>
      </c>
      <c r="E1920" s="2" t="s">
        <v>1920</v>
      </c>
    </row>
    <row r="1921" spans="1:5" x14ac:dyDescent="0.25">
      <c r="A1921" s="1">
        <v>67175</v>
      </c>
      <c r="B1921" s="2">
        <v>108</v>
      </c>
      <c r="C1921" s="2">
        <v>67</v>
      </c>
      <c r="D1921" s="2">
        <v>1.6E-7</v>
      </c>
      <c r="E1921" s="2" t="s">
        <v>1921</v>
      </c>
    </row>
    <row r="1922" spans="1:5" x14ac:dyDescent="0.25">
      <c r="A1922" s="1">
        <v>67176</v>
      </c>
      <c r="B1922" s="2">
        <v>109</v>
      </c>
      <c r="C1922" s="2">
        <v>67</v>
      </c>
      <c r="D1922" s="2">
        <v>1.6E-7</v>
      </c>
      <c r="E1922" s="2" t="s">
        <v>1922</v>
      </c>
    </row>
    <row r="1923" spans="1:5" x14ac:dyDescent="0.25">
      <c r="A1923" s="1">
        <v>68144</v>
      </c>
      <c r="B1923" s="2">
        <v>76</v>
      </c>
      <c r="C1923" s="2">
        <v>68</v>
      </c>
      <c r="D1923" s="2">
        <v>1.9999999999999999E-7</v>
      </c>
      <c r="E1923" s="2" t="s">
        <v>1923</v>
      </c>
    </row>
    <row r="1924" spans="1:5" x14ac:dyDescent="0.25">
      <c r="A1924" s="1">
        <v>68145</v>
      </c>
      <c r="B1924" s="2">
        <v>77</v>
      </c>
      <c r="C1924" s="2">
        <v>68</v>
      </c>
      <c r="D1924" s="2">
        <v>1</v>
      </c>
      <c r="E1924" s="2" t="s">
        <v>1924</v>
      </c>
    </row>
    <row r="1925" spans="1:5" x14ac:dyDescent="0.25">
      <c r="A1925" s="1">
        <v>68146</v>
      </c>
      <c r="B1925" s="2">
        <v>78</v>
      </c>
      <c r="C1925" s="2">
        <v>68</v>
      </c>
      <c r="D1925" s="2">
        <v>1.7</v>
      </c>
      <c r="E1925" s="2" t="s">
        <v>1925</v>
      </c>
    </row>
    <row r="1926" spans="1:5" x14ac:dyDescent="0.25">
      <c r="A1926" s="1">
        <v>68147</v>
      </c>
      <c r="B1926" s="2">
        <v>79</v>
      </c>
      <c r="C1926" s="2">
        <v>68</v>
      </c>
      <c r="D1926" s="2">
        <v>2.5</v>
      </c>
      <c r="E1926" s="2" t="s">
        <v>1926</v>
      </c>
    </row>
    <row r="1927" spans="1:5" x14ac:dyDescent="0.25">
      <c r="A1927" s="1">
        <v>68148</v>
      </c>
      <c r="B1927" s="2">
        <v>80</v>
      </c>
      <c r="C1927" s="2">
        <v>68</v>
      </c>
      <c r="D1927" s="2">
        <v>4.5999999999999996</v>
      </c>
      <c r="E1927" s="2" t="s">
        <v>1927</v>
      </c>
    </row>
    <row r="1928" spans="1:5" x14ac:dyDescent="0.25">
      <c r="A1928" s="1">
        <v>68149</v>
      </c>
      <c r="B1928" s="2">
        <v>81</v>
      </c>
      <c r="C1928" s="2">
        <v>68</v>
      </c>
      <c r="D1928" s="2">
        <v>4</v>
      </c>
      <c r="E1928" s="2" t="s">
        <v>1928</v>
      </c>
    </row>
    <row r="1929" spans="1:5" x14ac:dyDescent="0.25">
      <c r="A1929" s="1">
        <v>68150</v>
      </c>
      <c r="B1929" s="2">
        <v>82</v>
      </c>
      <c r="C1929" s="2">
        <v>68</v>
      </c>
      <c r="D1929" s="2">
        <v>18.5</v>
      </c>
      <c r="E1929" s="2" t="s">
        <v>1929</v>
      </c>
    </row>
    <row r="1930" spans="1:5" x14ac:dyDescent="0.25">
      <c r="A1930" s="1">
        <v>68151</v>
      </c>
      <c r="B1930" s="2">
        <v>83</v>
      </c>
      <c r="C1930" s="2">
        <v>68</v>
      </c>
      <c r="D1930" s="2">
        <v>23.5</v>
      </c>
      <c r="E1930" s="2" t="s">
        <v>1930</v>
      </c>
    </row>
    <row r="1931" spans="1:5" x14ac:dyDescent="0.25">
      <c r="A1931" s="1">
        <v>68152</v>
      </c>
      <c r="B1931" s="2">
        <v>84</v>
      </c>
      <c r="C1931" s="2">
        <v>68</v>
      </c>
      <c r="D1931" s="2">
        <v>10.3</v>
      </c>
      <c r="E1931" s="2" t="s">
        <v>1931</v>
      </c>
    </row>
    <row r="1932" spans="1:5" x14ac:dyDescent="0.25">
      <c r="A1932" s="1">
        <v>68153</v>
      </c>
      <c r="B1932" s="2">
        <v>85</v>
      </c>
      <c r="C1932" s="2">
        <v>68</v>
      </c>
      <c r="D1932" s="2">
        <v>37.1</v>
      </c>
      <c r="E1932" s="2" t="s">
        <v>1932</v>
      </c>
    </row>
    <row r="1933" spans="1:5" x14ac:dyDescent="0.25">
      <c r="A1933" s="1">
        <v>68154</v>
      </c>
      <c r="B1933" s="2">
        <v>86</v>
      </c>
      <c r="C1933" s="2">
        <v>68</v>
      </c>
      <c r="D1933" s="2">
        <v>223.8</v>
      </c>
      <c r="E1933" s="2" t="s">
        <v>1933</v>
      </c>
    </row>
    <row r="1934" spans="1:5" x14ac:dyDescent="0.25">
      <c r="A1934" s="1">
        <v>68155</v>
      </c>
      <c r="B1934" s="2">
        <v>87</v>
      </c>
      <c r="C1934" s="2">
        <v>68</v>
      </c>
      <c r="D1934" s="2">
        <v>318</v>
      </c>
      <c r="E1934" s="2" t="s">
        <v>1934</v>
      </c>
    </row>
    <row r="1935" spans="1:5" x14ac:dyDescent="0.25">
      <c r="A1935" s="1">
        <v>68156</v>
      </c>
      <c r="B1935" s="2">
        <v>88</v>
      </c>
      <c r="C1935" s="2">
        <v>68</v>
      </c>
      <c r="D1935" s="2">
        <v>1170</v>
      </c>
      <c r="E1935" s="2" t="s">
        <v>1935</v>
      </c>
    </row>
    <row r="1936" spans="1:5" x14ac:dyDescent="0.25">
      <c r="A1936" s="1">
        <v>68157</v>
      </c>
      <c r="B1936" s="2">
        <v>89</v>
      </c>
      <c r="C1936" s="2">
        <v>68</v>
      </c>
      <c r="D1936" s="2">
        <v>1119</v>
      </c>
      <c r="E1936" s="2" t="s">
        <v>1936</v>
      </c>
    </row>
    <row r="1937" spans="1:5" x14ac:dyDescent="0.25">
      <c r="A1937" s="1">
        <v>68158</v>
      </c>
      <c r="B1937" s="2">
        <v>90</v>
      </c>
      <c r="C1937" s="2">
        <v>68</v>
      </c>
      <c r="D1937" s="2">
        <v>8244</v>
      </c>
      <c r="E1937" s="2" t="s">
        <v>1937</v>
      </c>
    </row>
    <row r="1938" spans="1:5" x14ac:dyDescent="0.25">
      <c r="A1938" s="1">
        <v>68159</v>
      </c>
      <c r="B1938" s="2">
        <v>91</v>
      </c>
      <c r="C1938" s="2">
        <v>68</v>
      </c>
      <c r="D1938" s="2">
        <v>2160</v>
      </c>
      <c r="E1938" s="2" t="s">
        <v>1938</v>
      </c>
    </row>
    <row r="1939" spans="1:5" x14ac:dyDescent="0.25">
      <c r="A1939" s="1">
        <v>68160</v>
      </c>
      <c r="B1939" s="2">
        <v>92</v>
      </c>
      <c r="C1939" s="2">
        <v>68</v>
      </c>
      <c r="D1939" s="2">
        <v>102888</v>
      </c>
      <c r="E1939" s="2" t="s">
        <v>1939</v>
      </c>
    </row>
    <row r="1940" spans="1:5" x14ac:dyDescent="0.25">
      <c r="A1940" s="1">
        <v>68161</v>
      </c>
      <c r="B1940" s="2">
        <v>93</v>
      </c>
      <c r="C1940" s="2">
        <v>68</v>
      </c>
      <c r="D1940" s="2">
        <v>11556</v>
      </c>
      <c r="E1940" s="2" t="s">
        <v>1940</v>
      </c>
    </row>
    <row r="1941" spans="1:5" x14ac:dyDescent="0.25">
      <c r="A1941" s="1">
        <v>68162</v>
      </c>
      <c r="B1941" s="2">
        <v>94</v>
      </c>
      <c r="C1941" s="2">
        <v>68</v>
      </c>
      <c r="D1941" s="2" t="s">
        <v>3</v>
      </c>
      <c r="E1941" s="2" t="s">
        <v>1941</v>
      </c>
    </row>
    <row r="1942" spans="1:5" x14ac:dyDescent="0.25">
      <c r="A1942" s="1">
        <v>68163</v>
      </c>
      <c r="B1942" s="2">
        <v>95</v>
      </c>
      <c r="C1942" s="2">
        <v>68</v>
      </c>
      <c r="D1942" s="2">
        <v>4500</v>
      </c>
      <c r="E1942" s="2" t="s">
        <v>1942</v>
      </c>
    </row>
    <row r="1943" spans="1:5" x14ac:dyDescent="0.25">
      <c r="A1943" s="1">
        <v>68164</v>
      </c>
      <c r="B1943" s="2">
        <v>96</v>
      </c>
      <c r="C1943" s="2">
        <v>68</v>
      </c>
      <c r="D1943" s="2" t="s">
        <v>3</v>
      </c>
      <c r="E1943" s="2" t="s">
        <v>1943</v>
      </c>
    </row>
    <row r="1944" spans="1:5" x14ac:dyDescent="0.25">
      <c r="A1944" s="1">
        <v>68165</v>
      </c>
      <c r="B1944" s="2">
        <v>97</v>
      </c>
      <c r="C1944" s="2">
        <v>68</v>
      </c>
      <c r="D1944" s="2">
        <v>37296</v>
      </c>
      <c r="E1944" s="2" t="s">
        <v>1944</v>
      </c>
    </row>
    <row r="1945" spans="1:5" x14ac:dyDescent="0.25">
      <c r="A1945" s="1">
        <v>68166</v>
      </c>
      <c r="B1945" s="2">
        <v>98</v>
      </c>
      <c r="C1945" s="2">
        <v>68</v>
      </c>
      <c r="D1945" s="2" t="s">
        <v>3</v>
      </c>
      <c r="E1945" s="2" t="s">
        <v>1945</v>
      </c>
    </row>
    <row r="1946" spans="1:5" x14ac:dyDescent="0.25">
      <c r="A1946" s="1">
        <v>68167</v>
      </c>
      <c r="B1946" s="2">
        <v>99</v>
      </c>
      <c r="C1946" s="2">
        <v>68</v>
      </c>
      <c r="D1946" s="2" t="s">
        <v>3</v>
      </c>
      <c r="E1946" s="2" t="s">
        <v>1946</v>
      </c>
    </row>
    <row r="1947" spans="1:5" x14ac:dyDescent="0.25">
      <c r="A1947" s="1">
        <v>68168</v>
      </c>
      <c r="B1947" s="2">
        <v>100</v>
      </c>
      <c r="C1947" s="2">
        <v>68</v>
      </c>
      <c r="D1947" s="2" t="s">
        <v>3</v>
      </c>
      <c r="E1947" s="2" t="s">
        <v>1947</v>
      </c>
    </row>
    <row r="1948" spans="1:5" x14ac:dyDescent="0.25">
      <c r="A1948" s="1">
        <v>68169</v>
      </c>
      <c r="B1948" s="2">
        <v>101</v>
      </c>
      <c r="C1948" s="2">
        <v>68</v>
      </c>
      <c r="D1948" s="2">
        <v>811468.799999999</v>
      </c>
      <c r="E1948" s="2" t="s">
        <v>1948</v>
      </c>
    </row>
    <row r="1949" spans="1:5" x14ac:dyDescent="0.25">
      <c r="A1949" s="1">
        <v>68170</v>
      </c>
      <c r="B1949" s="2">
        <v>102</v>
      </c>
      <c r="C1949" s="2">
        <v>68</v>
      </c>
      <c r="D1949" s="2" t="s">
        <v>3</v>
      </c>
      <c r="E1949" s="2" t="s">
        <v>1949</v>
      </c>
    </row>
    <row r="1950" spans="1:5" x14ac:dyDescent="0.25">
      <c r="A1950" s="1">
        <v>68171</v>
      </c>
      <c r="B1950" s="2">
        <v>103</v>
      </c>
      <c r="C1950" s="2">
        <v>68</v>
      </c>
      <c r="D1950" s="2">
        <v>27057.599999999999</v>
      </c>
      <c r="E1950" s="2" t="s">
        <v>1950</v>
      </c>
    </row>
    <row r="1951" spans="1:5" x14ac:dyDescent="0.25">
      <c r="A1951" s="1">
        <v>68172</v>
      </c>
      <c r="B1951" s="2">
        <v>104</v>
      </c>
      <c r="C1951" s="2">
        <v>68</v>
      </c>
      <c r="D1951" s="2">
        <v>177480</v>
      </c>
      <c r="E1951" s="2" t="s">
        <v>1951</v>
      </c>
    </row>
    <row r="1952" spans="1:5" x14ac:dyDescent="0.25">
      <c r="A1952" s="1">
        <v>68173</v>
      </c>
      <c r="B1952" s="2">
        <v>105</v>
      </c>
      <c r="C1952" s="2">
        <v>68</v>
      </c>
      <c r="D1952" s="2">
        <v>84</v>
      </c>
      <c r="E1952" s="2" t="s">
        <v>1952</v>
      </c>
    </row>
    <row r="1953" spans="1:5" x14ac:dyDescent="0.25">
      <c r="A1953" s="1">
        <v>68174</v>
      </c>
      <c r="B1953" s="2">
        <v>106</v>
      </c>
      <c r="C1953" s="2">
        <v>68</v>
      </c>
      <c r="D1953" s="2">
        <v>192</v>
      </c>
      <c r="E1953" s="2" t="s">
        <v>1953</v>
      </c>
    </row>
    <row r="1954" spans="1:5" x14ac:dyDescent="0.25">
      <c r="A1954" s="1">
        <v>68175</v>
      </c>
      <c r="B1954" s="2">
        <v>107</v>
      </c>
      <c r="C1954" s="2">
        <v>68</v>
      </c>
      <c r="D1954" s="2">
        <v>72</v>
      </c>
      <c r="E1954" s="2" t="s">
        <v>1954</v>
      </c>
    </row>
    <row r="1955" spans="1:5" x14ac:dyDescent="0.25">
      <c r="A1955" s="1">
        <v>68176</v>
      </c>
      <c r="B1955" s="2">
        <v>108</v>
      </c>
      <c r="C1955" s="2">
        <v>68</v>
      </c>
      <c r="D1955" s="2">
        <v>1.6E-7</v>
      </c>
      <c r="E1955" s="2" t="s">
        <v>1955</v>
      </c>
    </row>
    <row r="1956" spans="1:5" x14ac:dyDescent="0.25">
      <c r="A1956" s="1">
        <v>68177</v>
      </c>
      <c r="B1956" s="2">
        <v>109</v>
      </c>
      <c r="C1956" s="2">
        <v>68</v>
      </c>
      <c r="D1956" s="2">
        <v>1.6E-7</v>
      </c>
      <c r="E1956" s="2" t="s">
        <v>1956</v>
      </c>
    </row>
    <row r="1957" spans="1:5" x14ac:dyDescent="0.25">
      <c r="A1957" s="1">
        <v>68178</v>
      </c>
      <c r="B1957" s="2">
        <v>110</v>
      </c>
      <c r="C1957" s="2">
        <v>68</v>
      </c>
      <c r="D1957" s="2">
        <v>1.6E-7</v>
      </c>
      <c r="E1957" s="2" t="s">
        <v>1957</v>
      </c>
    </row>
    <row r="1958" spans="1:5" x14ac:dyDescent="0.25">
      <c r="A1958" s="1">
        <v>69144</v>
      </c>
      <c r="B1958" s="2">
        <v>75</v>
      </c>
      <c r="C1958" s="2">
        <v>69</v>
      </c>
      <c r="D1958" s="2">
        <v>1.8999999999999901E-6</v>
      </c>
      <c r="E1958" s="2" t="s">
        <v>1958</v>
      </c>
    </row>
    <row r="1959" spans="1:5" x14ac:dyDescent="0.25">
      <c r="A1959" s="1">
        <v>69145</v>
      </c>
      <c r="B1959" s="2">
        <v>76</v>
      </c>
      <c r="C1959" s="2">
        <v>69</v>
      </c>
      <c r="D1959" s="2">
        <v>3.16999999999999E-6</v>
      </c>
      <c r="E1959" s="2" t="s">
        <v>1959</v>
      </c>
    </row>
    <row r="1960" spans="1:5" x14ac:dyDescent="0.25">
      <c r="A1960" s="1">
        <v>69146</v>
      </c>
      <c r="B1960" s="2">
        <v>77</v>
      </c>
      <c r="C1960" s="2">
        <v>69</v>
      </c>
      <c r="D1960" s="2">
        <v>6.8000000000000005E-2</v>
      </c>
      <c r="E1960" s="2" t="s">
        <v>1960</v>
      </c>
    </row>
    <row r="1961" spans="1:5" x14ac:dyDescent="0.25">
      <c r="A1961" s="1">
        <v>69147</v>
      </c>
      <c r="B1961" s="2">
        <v>78</v>
      </c>
      <c r="C1961" s="2">
        <v>69</v>
      </c>
      <c r="D1961" s="2">
        <v>0.57999999999999996</v>
      </c>
      <c r="E1961" s="2" t="s">
        <v>1961</v>
      </c>
    </row>
    <row r="1962" spans="1:5" x14ac:dyDescent="0.25">
      <c r="A1962" s="1">
        <v>69148</v>
      </c>
      <c r="B1962" s="2">
        <v>79</v>
      </c>
      <c r="C1962" s="2">
        <v>69</v>
      </c>
      <c r="D1962" s="2">
        <v>0.7</v>
      </c>
      <c r="E1962" s="2" t="s">
        <v>1962</v>
      </c>
    </row>
    <row r="1963" spans="1:5" x14ac:dyDescent="0.25">
      <c r="A1963" s="1">
        <v>69149</v>
      </c>
      <c r="B1963" s="2">
        <v>80</v>
      </c>
      <c r="C1963" s="2">
        <v>69</v>
      </c>
      <c r="D1963" s="2">
        <v>0.9</v>
      </c>
      <c r="E1963" s="2" t="s">
        <v>1963</v>
      </c>
    </row>
    <row r="1964" spans="1:5" x14ac:dyDescent="0.25">
      <c r="A1964" s="1">
        <v>69150</v>
      </c>
      <c r="B1964" s="2">
        <v>81</v>
      </c>
      <c r="C1964" s="2">
        <v>69</v>
      </c>
      <c r="D1964" s="2">
        <v>2.2000000000000002</v>
      </c>
      <c r="E1964" s="2" t="s">
        <v>1964</v>
      </c>
    </row>
    <row r="1965" spans="1:5" x14ac:dyDescent="0.25">
      <c r="A1965" s="1">
        <v>69151</v>
      </c>
      <c r="B1965" s="2">
        <v>82</v>
      </c>
      <c r="C1965" s="2">
        <v>69</v>
      </c>
      <c r="D1965" s="2">
        <v>4.17</v>
      </c>
      <c r="E1965" s="2" t="s">
        <v>1965</v>
      </c>
    </row>
    <row r="1966" spans="1:5" x14ac:dyDescent="0.25">
      <c r="A1966" s="1">
        <v>69152</v>
      </c>
      <c r="B1966" s="2">
        <v>83</v>
      </c>
      <c r="C1966" s="2">
        <v>69</v>
      </c>
      <c r="D1966" s="2">
        <v>8</v>
      </c>
      <c r="E1966" s="2" t="s">
        <v>1966</v>
      </c>
    </row>
    <row r="1967" spans="1:5" x14ac:dyDescent="0.25">
      <c r="A1967" s="1">
        <v>69153</v>
      </c>
      <c r="B1967" s="2">
        <v>84</v>
      </c>
      <c r="C1967" s="2">
        <v>69</v>
      </c>
      <c r="D1967" s="2">
        <v>1.48</v>
      </c>
      <c r="E1967" s="2" t="s">
        <v>1967</v>
      </c>
    </row>
    <row r="1968" spans="1:5" x14ac:dyDescent="0.25">
      <c r="A1968" s="1">
        <v>69154</v>
      </c>
      <c r="B1968" s="2">
        <v>85</v>
      </c>
      <c r="C1968" s="2">
        <v>69</v>
      </c>
      <c r="D1968" s="2">
        <v>8.1</v>
      </c>
      <c r="E1968" s="2" t="s">
        <v>1968</v>
      </c>
    </row>
    <row r="1969" spans="1:5" x14ac:dyDescent="0.25">
      <c r="A1969" s="1">
        <v>69155</v>
      </c>
      <c r="B1969" s="2">
        <v>86</v>
      </c>
      <c r="C1969" s="2">
        <v>69</v>
      </c>
      <c r="D1969" s="2">
        <v>21.6</v>
      </c>
      <c r="E1969" s="2" t="s">
        <v>1969</v>
      </c>
    </row>
    <row r="1970" spans="1:5" x14ac:dyDescent="0.25">
      <c r="A1970" s="1">
        <v>69156</v>
      </c>
      <c r="B1970" s="2">
        <v>87</v>
      </c>
      <c r="C1970" s="2">
        <v>69</v>
      </c>
      <c r="D1970" s="2">
        <v>83.8</v>
      </c>
      <c r="E1970" s="2" t="s">
        <v>1970</v>
      </c>
    </row>
    <row r="1971" spans="1:5" x14ac:dyDescent="0.25">
      <c r="A1971" s="1">
        <v>69157</v>
      </c>
      <c r="B1971" s="2">
        <v>88</v>
      </c>
      <c r="C1971" s="2">
        <v>69</v>
      </c>
      <c r="D1971" s="2">
        <v>217.79999999999899</v>
      </c>
      <c r="E1971" s="2" t="s">
        <v>1971</v>
      </c>
    </row>
    <row r="1972" spans="1:5" x14ac:dyDescent="0.25">
      <c r="A1972" s="1">
        <v>69158</v>
      </c>
      <c r="B1972" s="2">
        <v>89</v>
      </c>
      <c r="C1972" s="2">
        <v>69</v>
      </c>
      <c r="D1972" s="2">
        <v>238.8</v>
      </c>
      <c r="E1972" s="2" t="s">
        <v>1972</v>
      </c>
    </row>
    <row r="1973" spans="1:5" x14ac:dyDescent="0.25">
      <c r="A1973" s="1">
        <v>69159</v>
      </c>
      <c r="B1973" s="2">
        <v>90</v>
      </c>
      <c r="C1973" s="2">
        <v>69</v>
      </c>
      <c r="D1973" s="2">
        <v>547.79999999999995</v>
      </c>
      <c r="E1973" s="2" t="s">
        <v>1973</v>
      </c>
    </row>
    <row r="1974" spans="1:5" x14ac:dyDescent="0.25">
      <c r="A1974" s="1">
        <v>69160</v>
      </c>
      <c r="B1974" s="2">
        <v>91</v>
      </c>
      <c r="C1974" s="2">
        <v>69</v>
      </c>
      <c r="D1974" s="2">
        <v>564</v>
      </c>
      <c r="E1974" s="2" t="s">
        <v>1974</v>
      </c>
    </row>
    <row r="1975" spans="1:5" x14ac:dyDescent="0.25">
      <c r="A1975" s="1">
        <v>69161</v>
      </c>
      <c r="B1975" s="2">
        <v>92</v>
      </c>
      <c r="C1975" s="2">
        <v>69</v>
      </c>
      <c r="D1975" s="2">
        <v>1812</v>
      </c>
      <c r="E1975" s="2" t="s">
        <v>1975</v>
      </c>
    </row>
    <row r="1976" spans="1:5" x14ac:dyDescent="0.25">
      <c r="A1976" s="1">
        <v>69162</v>
      </c>
      <c r="B1976" s="2">
        <v>93</v>
      </c>
      <c r="C1976" s="2">
        <v>69</v>
      </c>
      <c r="D1976" s="2">
        <v>1302</v>
      </c>
      <c r="E1976" s="2" t="s">
        <v>1976</v>
      </c>
    </row>
    <row r="1977" spans="1:5" x14ac:dyDescent="0.25">
      <c r="A1977" s="1">
        <v>69163</v>
      </c>
      <c r="B1977" s="2">
        <v>94</v>
      </c>
      <c r="C1977" s="2">
        <v>69</v>
      </c>
      <c r="D1977" s="2">
        <v>6516</v>
      </c>
      <c r="E1977" s="2" t="s">
        <v>1977</v>
      </c>
    </row>
    <row r="1978" spans="1:5" x14ac:dyDescent="0.25">
      <c r="A1978" s="1">
        <v>69164</v>
      </c>
      <c r="B1978" s="2">
        <v>95</v>
      </c>
      <c r="C1978" s="2">
        <v>69</v>
      </c>
      <c r="D1978" s="2">
        <v>120</v>
      </c>
      <c r="E1978" s="2" t="s">
        <v>1978</v>
      </c>
    </row>
    <row r="1979" spans="1:5" x14ac:dyDescent="0.25">
      <c r="A1979" s="1">
        <v>69165</v>
      </c>
      <c r="B1979" s="2">
        <v>96</v>
      </c>
      <c r="C1979" s="2">
        <v>69</v>
      </c>
      <c r="D1979" s="2">
        <v>108216</v>
      </c>
      <c r="E1979" s="2" t="s">
        <v>1979</v>
      </c>
    </row>
    <row r="1980" spans="1:5" x14ac:dyDescent="0.25">
      <c r="A1980" s="1">
        <v>69166</v>
      </c>
      <c r="B1980" s="2">
        <v>97</v>
      </c>
      <c r="C1980" s="2">
        <v>69</v>
      </c>
      <c r="D1980" s="2">
        <v>27720</v>
      </c>
      <c r="E1980" s="2" t="s">
        <v>1980</v>
      </c>
    </row>
    <row r="1981" spans="1:5" x14ac:dyDescent="0.25">
      <c r="A1981" s="1">
        <v>69167</v>
      </c>
      <c r="B1981" s="2">
        <v>98</v>
      </c>
      <c r="C1981" s="2">
        <v>69</v>
      </c>
      <c r="D1981" s="2">
        <v>799200</v>
      </c>
      <c r="E1981" s="2" t="s">
        <v>1981</v>
      </c>
    </row>
    <row r="1982" spans="1:5" x14ac:dyDescent="0.25">
      <c r="A1982" s="1">
        <v>69168</v>
      </c>
      <c r="B1982" s="2">
        <v>99</v>
      </c>
      <c r="C1982" s="2">
        <v>69</v>
      </c>
      <c r="D1982" s="2">
        <v>8043839.9999999898</v>
      </c>
      <c r="E1982" s="2" t="s">
        <v>1982</v>
      </c>
    </row>
    <row r="1983" spans="1:5" x14ac:dyDescent="0.25">
      <c r="A1983" s="1">
        <v>69169</v>
      </c>
      <c r="B1983" s="2">
        <v>100</v>
      </c>
      <c r="C1983" s="2">
        <v>69</v>
      </c>
      <c r="D1983" s="2" t="s">
        <v>3</v>
      </c>
      <c r="E1983" s="2" t="s">
        <v>1983</v>
      </c>
    </row>
    <row r="1984" spans="1:5" x14ac:dyDescent="0.25">
      <c r="A1984" s="1">
        <v>69170</v>
      </c>
      <c r="B1984" s="2">
        <v>101</v>
      </c>
      <c r="C1984" s="2">
        <v>69</v>
      </c>
      <c r="D1984" s="2">
        <v>11111040</v>
      </c>
      <c r="E1984" s="2" t="s">
        <v>1984</v>
      </c>
    </row>
    <row r="1985" spans="1:5" x14ac:dyDescent="0.25">
      <c r="A1985" s="1">
        <v>69171</v>
      </c>
      <c r="B1985" s="2">
        <v>102</v>
      </c>
      <c r="C1985" s="2">
        <v>69</v>
      </c>
      <c r="D1985" s="2">
        <v>60590592</v>
      </c>
      <c r="E1985" s="2" t="s">
        <v>1985</v>
      </c>
    </row>
    <row r="1986" spans="1:5" x14ac:dyDescent="0.25">
      <c r="A1986" s="1">
        <v>69172</v>
      </c>
      <c r="B1986" s="2">
        <v>103</v>
      </c>
      <c r="C1986" s="2">
        <v>69</v>
      </c>
      <c r="D1986" s="2">
        <v>228960</v>
      </c>
      <c r="E1986" s="2" t="s">
        <v>1986</v>
      </c>
    </row>
    <row r="1987" spans="1:5" x14ac:dyDescent="0.25">
      <c r="A1987" s="1">
        <v>69173</v>
      </c>
      <c r="B1987" s="2">
        <v>104</v>
      </c>
      <c r="C1987" s="2">
        <v>69</v>
      </c>
      <c r="D1987" s="2">
        <v>29664</v>
      </c>
      <c r="E1987" s="2" t="s">
        <v>1987</v>
      </c>
    </row>
    <row r="1988" spans="1:5" x14ac:dyDescent="0.25">
      <c r="A1988" s="1">
        <v>69174</v>
      </c>
      <c r="B1988" s="2">
        <v>105</v>
      </c>
      <c r="C1988" s="2">
        <v>69</v>
      </c>
      <c r="D1988" s="2">
        <v>324</v>
      </c>
      <c r="E1988" s="2" t="s">
        <v>1988</v>
      </c>
    </row>
    <row r="1989" spans="1:5" x14ac:dyDescent="0.25">
      <c r="A1989" s="1">
        <v>69175</v>
      </c>
      <c r="B1989" s="2">
        <v>106</v>
      </c>
      <c r="C1989" s="2">
        <v>69</v>
      </c>
      <c r="D1989" s="2">
        <v>912</v>
      </c>
      <c r="E1989" s="2" t="s">
        <v>1989</v>
      </c>
    </row>
    <row r="1990" spans="1:5" x14ac:dyDescent="0.25">
      <c r="A1990" s="1">
        <v>69176</v>
      </c>
      <c r="B1990" s="2">
        <v>107</v>
      </c>
      <c r="C1990" s="2">
        <v>69</v>
      </c>
      <c r="D1990" s="2">
        <v>114</v>
      </c>
      <c r="E1990" s="2" t="s">
        <v>1990</v>
      </c>
    </row>
    <row r="1991" spans="1:5" x14ac:dyDescent="0.25">
      <c r="A1991" s="1">
        <v>69177</v>
      </c>
      <c r="B1991" s="2">
        <v>108</v>
      </c>
      <c r="C1991" s="2">
        <v>69</v>
      </c>
      <c r="D1991" s="2">
        <v>90</v>
      </c>
      <c r="E1991" s="2" t="s">
        <v>1991</v>
      </c>
    </row>
    <row r="1992" spans="1:5" x14ac:dyDescent="0.25">
      <c r="A1992" s="1">
        <v>69178</v>
      </c>
      <c r="B1992" s="2">
        <v>109</v>
      </c>
      <c r="C1992" s="2">
        <v>69</v>
      </c>
      <c r="D1992" s="2">
        <v>2.9999999999999999E-7</v>
      </c>
      <c r="E1992" s="2" t="s">
        <v>1992</v>
      </c>
    </row>
    <row r="1993" spans="1:5" x14ac:dyDescent="0.25">
      <c r="A1993" s="1">
        <v>69179</v>
      </c>
      <c r="B1993" s="2">
        <v>110</v>
      </c>
      <c r="C1993" s="2">
        <v>69</v>
      </c>
      <c r="D1993" s="2">
        <v>1.6E-7</v>
      </c>
      <c r="E1993" s="2" t="s">
        <v>1993</v>
      </c>
    </row>
    <row r="1994" spans="1:5" x14ac:dyDescent="0.25">
      <c r="A1994" s="1">
        <v>69180</v>
      </c>
      <c r="B1994" s="2">
        <v>111</v>
      </c>
      <c r="C1994" s="2">
        <v>69</v>
      </c>
      <c r="D1994" s="2">
        <v>1.6E-7</v>
      </c>
      <c r="E1994" s="2" t="s">
        <v>1994</v>
      </c>
    </row>
    <row r="1995" spans="1:5" x14ac:dyDescent="0.25">
      <c r="A1995" s="1">
        <v>69181</v>
      </c>
      <c r="B1995" s="2">
        <v>112</v>
      </c>
      <c r="C1995" s="2">
        <v>69</v>
      </c>
      <c r="D1995" s="2">
        <v>1.6E-7</v>
      </c>
      <c r="E1995" s="2" t="s">
        <v>1995</v>
      </c>
    </row>
    <row r="1996" spans="1:5" x14ac:dyDescent="0.25">
      <c r="A1996" s="1">
        <v>70149</v>
      </c>
      <c r="B1996" s="2">
        <v>79</v>
      </c>
      <c r="C1996" s="2">
        <v>70</v>
      </c>
      <c r="D1996" s="2">
        <v>0.7</v>
      </c>
      <c r="E1996" s="2" t="s">
        <v>1996</v>
      </c>
    </row>
    <row r="1997" spans="1:5" x14ac:dyDescent="0.25">
      <c r="A1997" s="1">
        <v>70150</v>
      </c>
      <c r="B1997" s="2">
        <v>80</v>
      </c>
      <c r="C1997" s="2">
        <v>70</v>
      </c>
      <c r="D1997" s="2">
        <v>1.9999999999999999E-7</v>
      </c>
      <c r="E1997" s="2" t="s">
        <v>1997</v>
      </c>
    </row>
    <row r="1998" spans="1:5" x14ac:dyDescent="0.25">
      <c r="A1998" s="1">
        <v>70151</v>
      </c>
      <c r="B1998" s="2">
        <v>81</v>
      </c>
      <c r="C1998" s="2">
        <v>70</v>
      </c>
      <c r="D1998" s="2">
        <v>1.6</v>
      </c>
      <c r="E1998" s="2" t="s">
        <v>1998</v>
      </c>
    </row>
    <row r="1999" spans="1:5" x14ac:dyDescent="0.25">
      <c r="A1999" s="1">
        <v>70152</v>
      </c>
      <c r="B1999" s="2">
        <v>82</v>
      </c>
      <c r="C1999" s="2">
        <v>70</v>
      </c>
      <c r="D1999" s="2">
        <v>3.03</v>
      </c>
      <c r="E1999" s="2" t="s">
        <v>1999</v>
      </c>
    </row>
    <row r="2000" spans="1:5" x14ac:dyDescent="0.25">
      <c r="A2000" s="1">
        <v>70153</v>
      </c>
      <c r="B2000" s="2">
        <v>83</v>
      </c>
      <c r="C2000" s="2">
        <v>70</v>
      </c>
      <c r="D2000" s="2">
        <v>4.2</v>
      </c>
      <c r="E2000" s="2" t="s">
        <v>2000</v>
      </c>
    </row>
    <row r="2001" spans="1:5" x14ac:dyDescent="0.25">
      <c r="A2001" s="1">
        <v>70154</v>
      </c>
      <c r="B2001" s="2">
        <v>84</v>
      </c>
      <c r="C2001" s="2">
        <v>70</v>
      </c>
      <c r="D2001" s="2">
        <v>0.40899999999999997</v>
      </c>
      <c r="E2001" s="2" t="s">
        <v>2001</v>
      </c>
    </row>
    <row r="2002" spans="1:5" x14ac:dyDescent="0.25">
      <c r="A2002" s="1">
        <v>70155</v>
      </c>
      <c r="B2002" s="2">
        <v>85</v>
      </c>
      <c r="C2002" s="2">
        <v>70</v>
      </c>
      <c r="D2002" s="2">
        <v>1.7929999999999999</v>
      </c>
      <c r="E2002" s="2" t="s">
        <v>2002</v>
      </c>
    </row>
    <row r="2003" spans="1:5" x14ac:dyDescent="0.25">
      <c r="A2003" s="1">
        <v>70156</v>
      </c>
      <c r="B2003" s="2">
        <v>86</v>
      </c>
      <c r="C2003" s="2">
        <v>70</v>
      </c>
      <c r="D2003" s="2">
        <v>26.1</v>
      </c>
      <c r="E2003" s="2" t="s">
        <v>2003</v>
      </c>
    </row>
    <row r="2004" spans="1:5" x14ac:dyDescent="0.25">
      <c r="A2004" s="1">
        <v>70157</v>
      </c>
      <c r="B2004" s="2">
        <v>87</v>
      </c>
      <c r="C2004" s="2">
        <v>70</v>
      </c>
      <c r="D2004" s="2">
        <v>38.6</v>
      </c>
      <c r="E2004" s="2" t="s">
        <v>2004</v>
      </c>
    </row>
    <row r="2005" spans="1:5" x14ac:dyDescent="0.25">
      <c r="A2005" s="1">
        <v>70158</v>
      </c>
      <c r="B2005" s="2">
        <v>88</v>
      </c>
      <c r="C2005" s="2">
        <v>70</v>
      </c>
      <c r="D2005" s="2">
        <v>89.4</v>
      </c>
      <c r="E2005" s="2" t="s">
        <v>2005</v>
      </c>
    </row>
    <row r="2006" spans="1:5" x14ac:dyDescent="0.25">
      <c r="A2006" s="1">
        <v>70159</v>
      </c>
      <c r="B2006" s="2">
        <v>89</v>
      </c>
      <c r="C2006" s="2">
        <v>70</v>
      </c>
      <c r="D2006" s="2">
        <v>100.19999999999899</v>
      </c>
      <c r="E2006" s="2" t="s">
        <v>2006</v>
      </c>
    </row>
    <row r="2007" spans="1:5" x14ac:dyDescent="0.25">
      <c r="A2007" s="1">
        <v>70160</v>
      </c>
      <c r="B2007" s="2">
        <v>90</v>
      </c>
      <c r="C2007" s="2">
        <v>70</v>
      </c>
      <c r="D2007" s="2">
        <v>288</v>
      </c>
      <c r="E2007" s="2" t="s">
        <v>2007</v>
      </c>
    </row>
    <row r="2008" spans="1:5" x14ac:dyDescent="0.25">
      <c r="A2008" s="1">
        <v>70161</v>
      </c>
      <c r="B2008" s="2">
        <v>91</v>
      </c>
      <c r="C2008" s="2">
        <v>70</v>
      </c>
      <c r="D2008" s="2">
        <v>252</v>
      </c>
      <c r="E2008" s="2" t="s">
        <v>2008</v>
      </c>
    </row>
    <row r="2009" spans="1:5" x14ac:dyDescent="0.25">
      <c r="A2009" s="1">
        <v>70162</v>
      </c>
      <c r="B2009" s="2">
        <v>92</v>
      </c>
      <c r="C2009" s="2">
        <v>70</v>
      </c>
      <c r="D2009" s="2">
        <v>1132.2</v>
      </c>
      <c r="E2009" s="2" t="s">
        <v>2009</v>
      </c>
    </row>
    <row r="2010" spans="1:5" x14ac:dyDescent="0.25">
      <c r="A2010" s="1">
        <v>70163</v>
      </c>
      <c r="B2010" s="2">
        <v>93</v>
      </c>
      <c r="C2010" s="2">
        <v>70</v>
      </c>
      <c r="D2010" s="2">
        <v>663</v>
      </c>
      <c r="E2010" s="2" t="s">
        <v>2010</v>
      </c>
    </row>
    <row r="2011" spans="1:5" x14ac:dyDescent="0.25">
      <c r="A2011" s="1">
        <v>70164</v>
      </c>
      <c r="B2011" s="2">
        <v>94</v>
      </c>
      <c r="C2011" s="2">
        <v>70</v>
      </c>
      <c r="D2011" s="2">
        <v>4548</v>
      </c>
      <c r="E2011" s="2" t="s">
        <v>2011</v>
      </c>
    </row>
    <row r="2012" spans="1:5" x14ac:dyDescent="0.25">
      <c r="A2012" s="1">
        <v>70165</v>
      </c>
      <c r="B2012" s="2">
        <v>95</v>
      </c>
      <c r="C2012" s="2">
        <v>70</v>
      </c>
      <c r="D2012" s="2">
        <v>594</v>
      </c>
      <c r="E2012" s="2" t="s">
        <v>2012</v>
      </c>
    </row>
    <row r="2013" spans="1:5" x14ac:dyDescent="0.25">
      <c r="A2013" s="1">
        <v>70166</v>
      </c>
      <c r="B2013" s="2">
        <v>96</v>
      </c>
      <c r="C2013" s="2">
        <v>70</v>
      </c>
      <c r="D2013" s="2">
        <v>204120</v>
      </c>
      <c r="E2013" s="2" t="s">
        <v>2013</v>
      </c>
    </row>
    <row r="2014" spans="1:5" x14ac:dyDescent="0.25">
      <c r="A2014" s="1">
        <v>70167</v>
      </c>
      <c r="B2014" s="2">
        <v>97</v>
      </c>
      <c r="C2014" s="2">
        <v>70</v>
      </c>
      <c r="D2014" s="2">
        <v>1050</v>
      </c>
      <c r="E2014" s="2" t="s">
        <v>2014</v>
      </c>
    </row>
    <row r="2015" spans="1:5" x14ac:dyDescent="0.25">
      <c r="A2015" s="1">
        <v>70168</v>
      </c>
      <c r="B2015" s="2">
        <v>98</v>
      </c>
      <c r="C2015" s="2">
        <v>70</v>
      </c>
      <c r="D2015" s="2" t="s">
        <v>3</v>
      </c>
      <c r="E2015" s="2" t="s">
        <v>2015</v>
      </c>
    </row>
    <row r="2016" spans="1:5" x14ac:dyDescent="0.25">
      <c r="A2016" s="1">
        <v>70169</v>
      </c>
      <c r="B2016" s="2">
        <v>99</v>
      </c>
      <c r="C2016" s="2">
        <v>70</v>
      </c>
      <c r="D2016" s="2">
        <v>2766355.2</v>
      </c>
      <c r="E2016" s="2" t="s">
        <v>2016</v>
      </c>
    </row>
    <row r="2017" spans="1:5" x14ac:dyDescent="0.25">
      <c r="A2017" s="1">
        <v>70170</v>
      </c>
      <c r="B2017" s="2">
        <v>100</v>
      </c>
      <c r="C2017" s="2">
        <v>70</v>
      </c>
      <c r="D2017" s="2" t="s">
        <v>3</v>
      </c>
      <c r="E2017" s="2" t="s">
        <v>2017</v>
      </c>
    </row>
    <row r="2018" spans="1:5" x14ac:dyDescent="0.25">
      <c r="A2018" s="1">
        <v>70171</v>
      </c>
      <c r="B2018" s="2">
        <v>101</v>
      </c>
      <c r="C2018" s="2">
        <v>70</v>
      </c>
      <c r="D2018" s="2" t="s">
        <v>3</v>
      </c>
      <c r="E2018" s="2" t="s">
        <v>2018</v>
      </c>
    </row>
    <row r="2019" spans="1:5" x14ac:dyDescent="0.25">
      <c r="A2019" s="1">
        <v>70172</v>
      </c>
      <c r="B2019" s="2">
        <v>102</v>
      </c>
      <c r="C2019" s="2">
        <v>70</v>
      </c>
      <c r="D2019" s="2" t="s">
        <v>3</v>
      </c>
      <c r="E2019" s="2" t="s">
        <v>2019</v>
      </c>
    </row>
    <row r="2020" spans="1:5" x14ac:dyDescent="0.25">
      <c r="A2020" s="1">
        <v>70173</v>
      </c>
      <c r="B2020" s="2">
        <v>103</v>
      </c>
      <c r="C2020" s="2">
        <v>70</v>
      </c>
      <c r="D2020" s="2" t="s">
        <v>3</v>
      </c>
      <c r="E2020" s="2" t="s">
        <v>2020</v>
      </c>
    </row>
    <row r="2021" spans="1:5" x14ac:dyDescent="0.25">
      <c r="A2021" s="1">
        <v>70174</v>
      </c>
      <c r="B2021" s="2">
        <v>104</v>
      </c>
      <c r="C2021" s="2">
        <v>70</v>
      </c>
      <c r="D2021" s="2" t="s">
        <v>3</v>
      </c>
      <c r="E2021" s="2" t="s">
        <v>2021</v>
      </c>
    </row>
    <row r="2022" spans="1:5" x14ac:dyDescent="0.25">
      <c r="A2022" s="1">
        <v>70175</v>
      </c>
      <c r="B2022" s="2">
        <v>105</v>
      </c>
      <c r="C2022" s="2">
        <v>70</v>
      </c>
      <c r="D2022" s="2">
        <v>361583.99999999901</v>
      </c>
      <c r="E2022" s="2" t="s">
        <v>2022</v>
      </c>
    </row>
    <row r="2023" spans="1:5" x14ac:dyDescent="0.25">
      <c r="A2023" s="1">
        <v>70176</v>
      </c>
      <c r="B2023" s="2">
        <v>106</v>
      </c>
      <c r="C2023" s="2">
        <v>70</v>
      </c>
      <c r="D2023" s="2" t="s">
        <v>3</v>
      </c>
      <c r="E2023" s="2" t="s">
        <v>2023</v>
      </c>
    </row>
    <row r="2024" spans="1:5" x14ac:dyDescent="0.25">
      <c r="A2024" s="1">
        <v>70177</v>
      </c>
      <c r="B2024" s="2">
        <v>107</v>
      </c>
      <c r="C2024" s="2">
        <v>70</v>
      </c>
      <c r="D2024" s="2">
        <v>6879.6</v>
      </c>
      <c r="E2024" s="2" t="s">
        <v>2024</v>
      </c>
    </row>
    <row r="2025" spans="1:5" x14ac:dyDescent="0.25">
      <c r="A2025" s="1">
        <v>70178</v>
      </c>
      <c r="B2025" s="2">
        <v>108</v>
      </c>
      <c r="C2025" s="2">
        <v>70</v>
      </c>
      <c r="D2025" s="2">
        <v>4440</v>
      </c>
      <c r="E2025" s="2" t="s">
        <v>2025</v>
      </c>
    </row>
    <row r="2026" spans="1:5" x14ac:dyDescent="0.25">
      <c r="A2026" s="1">
        <v>70179</v>
      </c>
      <c r="B2026" s="2">
        <v>109</v>
      </c>
      <c r="C2026" s="2">
        <v>70</v>
      </c>
      <c r="D2026" s="2">
        <v>480</v>
      </c>
      <c r="E2026" s="2" t="s">
        <v>2026</v>
      </c>
    </row>
    <row r="2027" spans="1:5" x14ac:dyDescent="0.25">
      <c r="A2027" s="1">
        <v>70180</v>
      </c>
      <c r="B2027" s="2">
        <v>110</v>
      </c>
      <c r="C2027" s="2">
        <v>70</v>
      </c>
      <c r="D2027" s="2">
        <v>144</v>
      </c>
      <c r="E2027" s="2" t="s">
        <v>2027</v>
      </c>
    </row>
    <row r="2028" spans="1:5" x14ac:dyDescent="0.25">
      <c r="A2028" s="1">
        <v>70181</v>
      </c>
      <c r="B2028" s="2">
        <v>111</v>
      </c>
      <c r="C2028" s="2">
        <v>70</v>
      </c>
      <c r="D2028" s="2">
        <v>1.6E-7</v>
      </c>
      <c r="E2028" s="2" t="s">
        <v>2028</v>
      </c>
    </row>
    <row r="2029" spans="1:5" x14ac:dyDescent="0.25">
      <c r="A2029" s="1">
        <v>70182</v>
      </c>
      <c r="B2029" s="2">
        <v>112</v>
      </c>
      <c r="C2029" s="2">
        <v>70</v>
      </c>
      <c r="D2029" s="2">
        <v>1.6E-7</v>
      </c>
      <c r="E2029" s="2" t="s">
        <v>2029</v>
      </c>
    </row>
    <row r="2030" spans="1:5" x14ac:dyDescent="0.25">
      <c r="A2030" s="1">
        <v>70183</v>
      </c>
      <c r="B2030" s="2">
        <v>113</v>
      </c>
      <c r="C2030" s="2">
        <v>70</v>
      </c>
      <c r="D2030" s="2">
        <v>2.22E-7</v>
      </c>
      <c r="E2030" s="2" t="s">
        <v>2030</v>
      </c>
    </row>
    <row r="2031" spans="1:5" x14ac:dyDescent="0.25">
      <c r="A2031" s="1">
        <v>70184</v>
      </c>
      <c r="B2031" s="2">
        <v>114</v>
      </c>
      <c r="C2031" s="2">
        <v>70</v>
      </c>
      <c r="D2031" s="2">
        <v>1.6E-7</v>
      </c>
      <c r="E2031" s="2" t="s">
        <v>2031</v>
      </c>
    </row>
    <row r="2032" spans="1:5" x14ac:dyDescent="0.25">
      <c r="A2032" s="1">
        <v>70185</v>
      </c>
      <c r="B2032" s="2">
        <v>115</v>
      </c>
      <c r="C2032" s="2">
        <v>70</v>
      </c>
      <c r="D2032" s="2">
        <v>1.6E-7</v>
      </c>
      <c r="E2032" s="2" t="s">
        <v>2032</v>
      </c>
    </row>
    <row r="2033" spans="1:5" x14ac:dyDescent="0.25">
      <c r="A2033" s="1">
        <v>71150</v>
      </c>
      <c r="B2033" s="2">
        <v>79</v>
      </c>
      <c r="C2033" s="2">
        <v>71</v>
      </c>
      <c r="D2033" s="2">
        <v>4.4999999999999998E-2</v>
      </c>
      <c r="E2033" s="2" t="s">
        <v>2033</v>
      </c>
    </row>
    <row r="2034" spans="1:5" x14ac:dyDescent="0.25">
      <c r="A2034" s="1">
        <v>71151</v>
      </c>
      <c r="B2034" s="2">
        <v>80</v>
      </c>
      <c r="C2034" s="2">
        <v>71</v>
      </c>
      <c r="D2034" s="2">
        <v>8.0599999999999894E-2</v>
      </c>
      <c r="E2034" s="2" t="s">
        <v>2034</v>
      </c>
    </row>
    <row r="2035" spans="1:5" x14ac:dyDescent="0.25">
      <c r="A2035" s="1">
        <v>71152</v>
      </c>
      <c r="B2035" s="2">
        <v>81</v>
      </c>
      <c r="C2035" s="2">
        <v>71</v>
      </c>
      <c r="D2035" s="2">
        <v>0.7</v>
      </c>
      <c r="E2035" s="2" t="s">
        <v>2035</v>
      </c>
    </row>
    <row r="2036" spans="1:5" x14ac:dyDescent="0.25">
      <c r="A2036" s="1">
        <v>71153</v>
      </c>
      <c r="B2036" s="2">
        <v>82</v>
      </c>
      <c r="C2036" s="2">
        <v>71</v>
      </c>
      <c r="D2036" s="2">
        <v>0.9</v>
      </c>
      <c r="E2036" s="2" t="s">
        <v>2036</v>
      </c>
    </row>
    <row r="2037" spans="1:5" x14ac:dyDescent="0.25">
      <c r="A2037" s="1">
        <v>71154</v>
      </c>
      <c r="B2037" s="2">
        <v>83</v>
      </c>
      <c r="C2037" s="2">
        <v>71</v>
      </c>
      <c r="D2037" s="2">
        <v>1.1200000000000001</v>
      </c>
      <c r="E2037" s="2" t="s">
        <v>2037</v>
      </c>
    </row>
    <row r="2038" spans="1:5" x14ac:dyDescent="0.25">
      <c r="A2038" s="1">
        <v>71155</v>
      </c>
      <c r="B2038" s="2">
        <v>84</v>
      </c>
      <c r="C2038" s="2">
        <v>71</v>
      </c>
      <c r="D2038" s="2">
        <v>6.8000000000000005E-2</v>
      </c>
      <c r="E2038" s="2" t="s">
        <v>2038</v>
      </c>
    </row>
    <row r="2039" spans="1:5" x14ac:dyDescent="0.25">
      <c r="A2039" s="1">
        <v>71156</v>
      </c>
      <c r="B2039" s="2">
        <v>85</v>
      </c>
      <c r="C2039" s="2">
        <v>71</v>
      </c>
      <c r="D2039" s="2">
        <v>0.49399999999999999</v>
      </c>
      <c r="E2039" s="2" t="s">
        <v>2039</v>
      </c>
    </row>
    <row r="2040" spans="1:5" x14ac:dyDescent="0.25">
      <c r="A2040" s="1">
        <v>71157</v>
      </c>
      <c r="B2040" s="2">
        <v>86</v>
      </c>
      <c r="C2040" s="2">
        <v>71</v>
      </c>
      <c r="D2040" s="2">
        <v>6.8</v>
      </c>
      <c r="E2040" s="2" t="s">
        <v>2040</v>
      </c>
    </row>
    <row r="2041" spans="1:5" x14ac:dyDescent="0.25">
      <c r="A2041" s="1">
        <v>71158</v>
      </c>
      <c r="B2041" s="2">
        <v>87</v>
      </c>
      <c r="C2041" s="2">
        <v>71</v>
      </c>
      <c r="D2041" s="2">
        <v>10.6</v>
      </c>
      <c r="E2041" s="2" t="s">
        <v>2041</v>
      </c>
    </row>
    <row r="2042" spans="1:5" x14ac:dyDescent="0.25">
      <c r="A2042" s="1">
        <v>71159</v>
      </c>
      <c r="B2042" s="2">
        <v>88</v>
      </c>
      <c r="C2042" s="2">
        <v>71</v>
      </c>
      <c r="D2042" s="2">
        <v>12.1</v>
      </c>
      <c r="E2042" s="2" t="s">
        <v>2042</v>
      </c>
    </row>
    <row r="2043" spans="1:5" x14ac:dyDescent="0.25">
      <c r="A2043" s="1">
        <v>71160</v>
      </c>
      <c r="B2043" s="2">
        <v>89</v>
      </c>
      <c r="C2043" s="2">
        <v>71</v>
      </c>
      <c r="D2043" s="2">
        <v>36.1</v>
      </c>
      <c r="E2043" s="2" t="s">
        <v>2043</v>
      </c>
    </row>
    <row r="2044" spans="1:5" x14ac:dyDescent="0.25">
      <c r="A2044" s="1">
        <v>71161</v>
      </c>
      <c r="B2044" s="2">
        <v>90</v>
      </c>
      <c r="C2044" s="2">
        <v>71</v>
      </c>
      <c r="D2044" s="2">
        <v>77</v>
      </c>
      <c r="E2044" s="2" t="s">
        <v>2044</v>
      </c>
    </row>
    <row r="2045" spans="1:5" x14ac:dyDescent="0.25">
      <c r="A2045" s="1">
        <v>71162</v>
      </c>
      <c r="B2045" s="2">
        <v>91</v>
      </c>
      <c r="C2045" s="2">
        <v>71</v>
      </c>
      <c r="D2045" s="2">
        <v>82.2</v>
      </c>
      <c r="E2045" s="2" t="s">
        <v>2045</v>
      </c>
    </row>
    <row r="2046" spans="1:5" x14ac:dyDescent="0.25">
      <c r="A2046" s="1">
        <v>71163</v>
      </c>
      <c r="B2046" s="2">
        <v>92</v>
      </c>
      <c r="C2046" s="2">
        <v>71</v>
      </c>
      <c r="D2046" s="2">
        <v>238.2</v>
      </c>
      <c r="E2046" s="2" t="s">
        <v>2046</v>
      </c>
    </row>
    <row r="2047" spans="1:5" x14ac:dyDescent="0.25">
      <c r="A2047" s="1">
        <v>71164</v>
      </c>
      <c r="B2047" s="2">
        <v>93</v>
      </c>
      <c r="C2047" s="2">
        <v>71</v>
      </c>
      <c r="D2047" s="2">
        <v>188.4</v>
      </c>
      <c r="E2047" s="2" t="s">
        <v>2047</v>
      </c>
    </row>
    <row r="2048" spans="1:5" x14ac:dyDescent="0.25">
      <c r="A2048" s="1">
        <v>71165</v>
      </c>
      <c r="B2048" s="2">
        <v>94</v>
      </c>
      <c r="C2048" s="2">
        <v>71</v>
      </c>
      <c r="D2048" s="2">
        <v>644.4</v>
      </c>
      <c r="E2048" s="2" t="s">
        <v>2048</v>
      </c>
    </row>
    <row r="2049" spans="1:5" x14ac:dyDescent="0.25">
      <c r="A2049" s="1">
        <v>71166</v>
      </c>
      <c r="B2049" s="2">
        <v>95</v>
      </c>
      <c r="C2049" s="2">
        <v>71</v>
      </c>
      <c r="D2049" s="2">
        <v>159</v>
      </c>
      <c r="E2049" s="2" t="s">
        <v>2049</v>
      </c>
    </row>
    <row r="2050" spans="1:5" x14ac:dyDescent="0.25">
      <c r="A2050" s="1">
        <v>71167</v>
      </c>
      <c r="B2050" s="2">
        <v>96</v>
      </c>
      <c r="C2050" s="2">
        <v>71</v>
      </c>
      <c r="D2050" s="2">
        <v>3090</v>
      </c>
      <c r="E2050" s="2" t="s">
        <v>2050</v>
      </c>
    </row>
    <row r="2051" spans="1:5" x14ac:dyDescent="0.25">
      <c r="A2051" s="1">
        <v>71168</v>
      </c>
      <c r="B2051" s="2">
        <v>97</v>
      </c>
      <c r="C2051" s="2">
        <v>71</v>
      </c>
      <c r="D2051" s="2">
        <v>330</v>
      </c>
      <c r="E2051" s="2" t="s">
        <v>2051</v>
      </c>
    </row>
    <row r="2052" spans="1:5" x14ac:dyDescent="0.25">
      <c r="A2052" s="1">
        <v>71169</v>
      </c>
      <c r="B2052" s="2">
        <v>98</v>
      </c>
      <c r="C2052" s="2">
        <v>71</v>
      </c>
      <c r="D2052" s="2">
        <v>122616</v>
      </c>
      <c r="E2052" s="2" t="s">
        <v>2052</v>
      </c>
    </row>
    <row r="2053" spans="1:5" x14ac:dyDescent="0.25">
      <c r="A2053" s="1">
        <v>71170</v>
      </c>
      <c r="B2053" s="2">
        <v>99</v>
      </c>
      <c r="C2053" s="2">
        <v>71</v>
      </c>
      <c r="D2053" s="2">
        <v>173836.79999999999</v>
      </c>
      <c r="E2053" s="2" t="s">
        <v>2053</v>
      </c>
    </row>
    <row r="2054" spans="1:5" x14ac:dyDescent="0.25">
      <c r="A2054" s="1">
        <v>71171</v>
      </c>
      <c r="B2054" s="2">
        <v>100</v>
      </c>
      <c r="C2054" s="2">
        <v>71</v>
      </c>
      <c r="D2054" s="2">
        <v>711936</v>
      </c>
      <c r="E2054" s="2" t="s">
        <v>2054</v>
      </c>
    </row>
    <row r="2055" spans="1:5" x14ac:dyDescent="0.25">
      <c r="A2055" s="1">
        <v>71172</v>
      </c>
      <c r="B2055" s="2">
        <v>101</v>
      </c>
      <c r="C2055" s="2">
        <v>71</v>
      </c>
      <c r="D2055" s="2">
        <v>578880</v>
      </c>
      <c r="E2055" s="2" t="s">
        <v>2055</v>
      </c>
    </row>
    <row r="2056" spans="1:5" x14ac:dyDescent="0.25">
      <c r="A2056" s="1">
        <v>71173</v>
      </c>
      <c r="B2056" s="2">
        <v>102</v>
      </c>
      <c r="C2056" s="2">
        <v>71</v>
      </c>
      <c r="D2056" s="2">
        <v>43233912</v>
      </c>
      <c r="E2056" s="2" t="s">
        <v>2056</v>
      </c>
    </row>
    <row r="2057" spans="1:5" x14ac:dyDescent="0.25">
      <c r="A2057" s="1">
        <v>71174</v>
      </c>
      <c r="B2057" s="2">
        <v>103</v>
      </c>
      <c r="C2057" s="2">
        <v>71</v>
      </c>
      <c r="D2057" s="2">
        <v>104455656</v>
      </c>
      <c r="E2057" s="2" t="s">
        <v>2057</v>
      </c>
    </row>
    <row r="2058" spans="1:5" x14ac:dyDescent="0.25">
      <c r="A2058" s="1">
        <v>71175</v>
      </c>
      <c r="B2058" s="2">
        <v>104</v>
      </c>
      <c r="C2058" s="2">
        <v>71</v>
      </c>
      <c r="D2058" s="2" t="s">
        <v>3</v>
      </c>
      <c r="E2058" s="2" t="s">
        <v>2058</v>
      </c>
    </row>
    <row r="2059" spans="1:5" x14ac:dyDescent="0.25">
      <c r="A2059" s="1">
        <v>71176</v>
      </c>
      <c r="B2059" s="2">
        <v>105</v>
      </c>
      <c r="C2059" s="2">
        <v>71</v>
      </c>
      <c r="D2059" s="2">
        <v>1.18656576E+18</v>
      </c>
      <c r="E2059" s="2" t="s">
        <v>2059</v>
      </c>
    </row>
    <row r="2060" spans="1:5" x14ac:dyDescent="0.25">
      <c r="A2060" s="1">
        <v>71177</v>
      </c>
      <c r="B2060" s="2">
        <v>106</v>
      </c>
      <c r="C2060" s="2">
        <v>71</v>
      </c>
      <c r="D2060" s="2">
        <v>574300.80000000005</v>
      </c>
      <c r="E2060" s="2" t="s">
        <v>2060</v>
      </c>
    </row>
    <row r="2061" spans="1:5" x14ac:dyDescent="0.25">
      <c r="A2061" s="1">
        <v>71178</v>
      </c>
      <c r="B2061" s="2">
        <v>107</v>
      </c>
      <c r="C2061" s="2">
        <v>71</v>
      </c>
      <c r="D2061" s="2">
        <v>1704</v>
      </c>
      <c r="E2061" s="2" t="s">
        <v>2061</v>
      </c>
    </row>
    <row r="2062" spans="1:5" x14ac:dyDescent="0.25">
      <c r="A2062" s="1">
        <v>71179</v>
      </c>
      <c r="B2062" s="2">
        <v>108</v>
      </c>
      <c r="C2062" s="2">
        <v>71</v>
      </c>
      <c r="D2062" s="2">
        <v>16524</v>
      </c>
      <c r="E2062" s="2" t="s">
        <v>2062</v>
      </c>
    </row>
    <row r="2063" spans="1:5" x14ac:dyDescent="0.25">
      <c r="A2063" s="1">
        <v>71180</v>
      </c>
      <c r="B2063" s="2">
        <v>109</v>
      </c>
      <c r="C2063" s="2">
        <v>71</v>
      </c>
      <c r="D2063" s="2">
        <v>342</v>
      </c>
      <c r="E2063" s="2" t="s">
        <v>2063</v>
      </c>
    </row>
    <row r="2064" spans="1:5" x14ac:dyDescent="0.25">
      <c r="A2064" s="1">
        <v>71181</v>
      </c>
      <c r="B2064" s="2">
        <v>110</v>
      </c>
      <c r="C2064" s="2">
        <v>71</v>
      </c>
      <c r="D2064" s="2">
        <v>210</v>
      </c>
      <c r="E2064" s="2" t="s">
        <v>2064</v>
      </c>
    </row>
    <row r="2065" spans="1:5" x14ac:dyDescent="0.25">
      <c r="A2065" s="1">
        <v>71182</v>
      </c>
      <c r="B2065" s="2">
        <v>111</v>
      </c>
      <c r="C2065" s="2">
        <v>71</v>
      </c>
      <c r="D2065" s="2">
        <v>120</v>
      </c>
      <c r="E2065" s="2" t="s">
        <v>2065</v>
      </c>
    </row>
    <row r="2066" spans="1:5" x14ac:dyDescent="0.25">
      <c r="A2066" s="1">
        <v>71183</v>
      </c>
      <c r="B2066" s="2">
        <v>112</v>
      </c>
      <c r="C2066" s="2">
        <v>71</v>
      </c>
      <c r="D2066" s="2">
        <v>58</v>
      </c>
      <c r="E2066" s="2" t="s">
        <v>2066</v>
      </c>
    </row>
    <row r="2067" spans="1:5" x14ac:dyDescent="0.25">
      <c r="A2067" s="1">
        <v>71184</v>
      </c>
      <c r="B2067" s="2">
        <v>113</v>
      </c>
      <c r="C2067" s="2">
        <v>71</v>
      </c>
      <c r="D2067" s="2">
        <v>19</v>
      </c>
      <c r="E2067" s="2" t="s">
        <v>2067</v>
      </c>
    </row>
    <row r="2068" spans="1:5" x14ac:dyDescent="0.25">
      <c r="A2068" s="1">
        <v>71185</v>
      </c>
      <c r="B2068" s="2">
        <v>114</v>
      </c>
      <c r="C2068" s="2">
        <v>71</v>
      </c>
      <c r="D2068" s="2">
        <v>1.6E-7</v>
      </c>
      <c r="E2068" s="2" t="s">
        <v>2068</v>
      </c>
    </row>
    <row r="2069" spans="1:5" x14ac:dyDescent="0.25">
      <c r="A2069" s="1">
        <v>71186</v>
      </c>
      <c r="B2069" s="2">
        <v>115</v>
      </c>
      <c r="C2069" s="2">
        <v>71</v>
      </c>
      <c r="D2069" s="2">
        <v>1.6E-7</v>
      </c>
      <c r="E2069" s="2" t="s">
        <v>2069</v>
      </c>
    </row>
    <row r="2070" spans="1:5" x14ac:dyDescent="0.25">
      <c r="A2070" s="1">
        <v>71187</v>
      </c>
      <c r="B2070" s="2">
        <v>116</v>
      </c>
      <c r="C2070" s="2">
        <v>71</v>
      </c>
      <c r="D2070" s="2">
        <v>1.6E-7</v>
      </c>
      <c r="E2070" s="2" t="s">
        <v>2070</v>
      </c>
    </row>
    <row r="2071" spans="1:5" x14ac:dyDescent="0.25">
      <c r="A2071" s="1">
        <v>71188</v>
      </c>
      <c r="B2071" s="2">
        <v>117</v>
      </c>
      <c r="C2071" s="2">
        <v>71</v>
      </c>
      <c r="D2071" s="2">
        <v>1.6E-7</v>
      </c>
      <c r="E2071" s="2" t="s">
        <v>2071</v>
      </c>
    </row>
    <row r="2072" spans="1:5" x14ac:dyDescent="0.25">
      <c r="A2072" s="1">
        <v>72153</v>
      </c>
      <c r="B2072" s="2">
        <v>81</v>
      </c>
      <c r="C2072" s="2">
        <v>72</v>
      </c>
      <c r="D2072" s="2">
        <v>5.9999999999999995E-8</v>
      </c>
      <c r="E2072" s="2" t="s">
        <v>2072</v>
      </c>
    </row>
    <row r="2073" spans="1:5" x14ac:dyDescent="0.25">
      <c r="A2073" s="1">
        <v>72154</v>
      </c>
      <c r="B2073" s="2">
        <v>82</v>
      </c>
      <c r="C2073" s="2">
        <v>72</v>
      </c>
      <c r="D2073" s="2">
        <v>2</v>
      </c>
      <c r="E2073" s="2" t="s">
        <v>2073</v>
      </c>
    </row>
    <row r="2074" spans="1:5" x14ac:dyDescent="0.25">
      <c r="A2074" s="1">
        <v>72155</v>
      </c>
      <c r="B2074" s="2">
        <v>83</v>
      </c>
      <c r="C2074" s="2">
        <v>72</v>
      </c>
      <c r="D2074" s="2">
        <v>0.84</v>
      </c>
      <c r="E2074" s="2" t="s">
        <v>2074</v>
      </c>
    </row>
    <row r="2075" spans="1:5" x14ac:dyDescent="0.25">
      <c r="A2075" s="1">
        <v>72156</v>
      </c>
      <c r="B2075" s="2">
        <v>84</v>
      </c>
      <c r="C2075" s="2">
        <v>72</v>
      </c>
      <c r="D2075" s="2">
        <v>2.3E-2</v>
      </c>
      <c r="E2075" s="2" t="s">
        <v>2075</v>
      </c>
    </row>
    <row r="2076" spans="1:5" x14ac:dyDescent="0.25">
      <c r="A2076" s="1">
        <v>72157</v>
      </c>
      <c r="B2076" s="2">
        <v>85</v>
      </c>
      <c r="C2076" s="2">
        <v>72</v>
      </c>
      <c r="D2076" s="2">
        <v>0.115</v>
      </c>
      <c r="E2076" s="2" t="s">
        <v>2076</v>
      </c>
    </row>
    <row r="2077" spans="1:5" x14ac:dyDescent="0.25">
      <c r="A2077" s="1">
        <v>72158</v>
      </c>
      <c r="B2077" s="2">
        <v>86</v>
      </c>
      <c r="C2077" s="2">
        <v>72</v>
      </c>
      <c r="D2077" s="2">
        <v>2.85</v>
      </c>
      <c r="E2077" s="2" t="s">
        <v>2077</v>
      </c>
    </row>
    <row r="2078" spans="1:5" x14ac:dyDescent="0.25">
      <c r="A2078" s="1">
        <v>72159</v>
      </c>
      <c r="B2078" s="2">
        <v>87</v>
      </c>
      <c r="C2078" s="2">
        <v>72</v>
      </c>
      <c r="D2078" s="2">
        <v>5.6</v>
      </c>
      <c r="E2078" s="2" t="s">
        <v>2078</v>
      </c>
    </row>
    <row r="2079" spans="1:5" x14ac:dyDescent="0.25">
      <c r="A2079" s="1">
        <v>72160</v>
      </c>
      <c r="B2079" s="2">
        <v>88</v>
      </c>
      <c r="C2079" s="2">
        <v>72</v>
      </c>
      <c r="D2079" s="2">
        <v>13.6</v>
      </c>
      <c r="E2079" s="2" t="s">
        <v>2079</v>
      </c>
    </row>
    <row r="2080" spans="1:5" x14ac:dyDescent="0.25">
      <c r="A2080" s="1">
        <v>72161</v>
      </c>
      <c r="B2080" s="2">
        <v>89</v>
      </c>
      <c r="C2080" s="2">
        <v>72</v>
      </c>
      <c r="D2080" s="2">
        <v>18.399999999999999</v>
      </c>
      <c r="E2080" s="2" t="s">
        <v>2080</v>
      </c>
    </row>
    <row r="2081" spans="1:5" x14ac:dyDescent="0.25">
      <c r="A2081" s="1">
        <v>72162</v>
      </c>
      <c r="B2081" s="2">
        <v>90</v>
      </c>
      <c r="C2081" s="2">
        <v>72</v>
      </c>
      <c r="D2081" s="2">
        <v>39.4</v>
      </c>
      <c r="E2081" s="2" t="s">
        <v>2081</v>
      </c>
    </row>
    <row r="2082" spans="1:5" x14ac:dyDescent="0.25">
      <c r="A2082" s="1">
        <v>72163</v>
      </c>
      <c r="B2082" s="2">
        <v>91</v>
      </c>
      <c r="C2082" s="2">
        <v>72</v>
      </c>
      <c r="D2082" s="2">
        <v>40</v>
      </c>
      <c r="E2082" s="2" t="s">
        <v>2082</v>
      </c>
    </row>
    <row r="2083" spans="1:5" x14ac:dyDescent="0.25">
      <c r="A2083" s="1">
        <v>72164</v>
      </c>
      <c r="B2083" s="2">
        <v>92</v>
      </c>
      <c r="C2083" s="2">
        <v>72</v>
      </c>
      <c r="D2083" s="2">
        <v>111</v>
      </c>
      <c r="E2083" s="2" t="s">
        <v>2083</v>
      </c>
    </row>
    <row r="2084" spans="1:5" x14ac:dyDescent="0.25">
      <c r="A2084" s="1">
        <v>72165</v>
      </c>
      <c r="B2084" s="2">
        <v>93</v>
      </c>
      <c r="C2084" s="2">
        <v>72</v>
      </c>
      <c r="D2084" s="2">
        <v>76</v>
      </c>
      <c r="E2084" s="2" t="s">
        <v>2084</v>
      </c>
    </row>
    <row r="2085" spans="1:5" x14ac:dyDescent="0.25">
      <c r="A2085" s="1">
        <v>72166</v>
      </c>
      <c r="B2085" s="2">
        <v>94</v>
      </c>
      <c r="C2085" s="2">
        <v>72</v>
      </c>
      <c r="D2085" s="2">
        <v>406.2</v>
      </c>
      <c r="E2085" s="2" t="s">
        <v>2085</v>
      </c>
    </row>
    <row r="2086" spans="1:5" x14ac:dyDescent="0.25">
      <c r="A2086" s="1">
        <v>72167</v>
      </c>
      <c r="B2086" s="2">
        <v>95</v>
      </c>
      <c r="C2086" s="2">
        <v>72</v>
      </c>
      <c r="D2086" s="2">
        <v>122.99999999999901</v>
      </c>
      <c r="E2086" s="2" t="s">
        <v>2086</v>
      </c>
    </row>
    <row r="2087" spans="1:5" x14ac:dyDescent="0.25">
      <c r="A2087" s="1">
        <v>72168</v>
      </c>
      <c r="B2087" s="2">
        <v>96</v>
      </c>
      <c r="C2087" s="2">
        <v>72</v>
      </c>
      <c r="D2087" s="2">
        <v>1557</v>
      </c>
      <c r="E2087" s="2" t="s">
        <v>2087</v>
      </c>
    </row>
    <row r="2088" spans="1:5" x14ac:dyDescent="0.25">
      <c r="A2088" s="1">
        <v>72169</v>
      </c>
      <c r="B2088" s="2">
        <v>97</v>
      </c>
      <c r="C2088" s="2">
        <v>72</v>
      </c>
      <c r="D2088" s="2">
        <v>194.4</v>
      </c>
      <c r="E2088" s="2" t="s">
        <v>2088</v>
      </c>
    </row>
    <row r="2089" spans="1:5" x14ac:dyDescent="0.25">
      <c r="A2089" s="1">
        <v>72170</v>
      </c>
      <c r="B2089" s="2">
        <v>98</v>
      </c>
      <c r="C2089" s="2">
        <v>72</v>
      </c>
      <c r="D2089" s="2">
        <v>57636</v>
      </c>
      <c r="E2089" s="2" t="s">
        <v>2089</v>
      </c>
    </row>
    <row r="2090" spans="1:5" x14ac:dyDescent="0.25">
      <c r="A2090" s="1">
        <v>72171</v>
      </c>
      <c r="B2090" s="2">
        <v>99</v>
      </c>
      <c r="C2090" s="2">
        <v>72</v>
      </c>
      <c r="D2090" s="2">
        <v>43560</v>
      </c>
      <c r="E2090" s="2" t="s">
        <v>2090</v>
      </c>
    </row>
    <row r="2091" spans="1:5" x14ac:dyDescent="0.25">
      <c r="A2091" s="1">
        <v>72172</v>
      </c>
      <c r="B2091" s="2">
        <v>100</v>
      </c>
      <c r="C2091" s="2">
        <v>72</v>
      </c>
      <c r="D2091" s="2">
        <v>59012712</v>
      </c>
      <c r="E2091" s="2" t="s">
        <v>2091</v>
      </c>
    </row>
    <row r="2092" spans="1:5" x14ac:dyDescent="0.25">
      <c r="A2092" s="1">
        <v>72173</v>
      </c>
      <c r="B2092" s="2">
        <v>101</v>
      </c>
      <c r="C2092" s="2">
        <v>72</v>
      </c>
      <c r="D2092" s="2">
        <v>84960</v>
      </c>
      <c r="E2092" s="2" t="s">
        <v>2092</v>
      </c>
    </row>
    <row r="2093" spans="1:5" x14ac:dyDescent="0.25">
      <c r="A2093" s="1">
        <v>72174</v>
      </c>
      <c r="B2093" s="2">
        <v>102</v>
      </c>
      <c r="C2093" s="2">
        <v>72</v>
      </c>
      <c r="D2093" s="2">
        <v>6.3115200000000002E+22</v>
      </c>
      <c r="E2093" s="2" t="s">
        <v>2093</v>
      </c>
    </row>
    <row r="2094" spans="1:5" x14ac:dyDescent="0.25">
      <c r="A2094" s="1">
        <v>72175</v>
      </c>
      <c r="B2094" s="2">
        <v>103</v>
      </c>
      <c r="C2094" s="2">
        <v>72</v>
      </c>
      <c r="D2094" s="2">
        <v>6048000</v>
      </c>
      <c r="E2094" s="2" t="s">
        <v>2094</v>
      </c>
    </row>
    <row r="2095" spans="1:5" x14ac:dyDescent="0.25">
      <c r="A2095" s="1">
        <v>72176</v>
      </c>
      <c r="B2095" s="2">
        <v>104</v>
      </c>
      <c r="C2095" s="2">
        <v>72</v>
      </c>
      <c r="D2095" s="2" t="s">
        <v>3</v>
      </c>
      <c r="E2095" s="2" t="s">
        <v>2095</v>
      </c>
    </row>
    <row r="2096" spans="1:5" x14ac:dyDescent="0.25">
      <c r="A2096" s="1">
        <v>72177</v>
      </c>
      <c r="B2096" s="2">
        <v>105</v>
      </c>
      <c r="C2096" s="2">
        <v>72</v>
      </c>
      <c r="D2096" s="2" t="s">
        <v>3</v>
      </c>
      <c r="E2096" s="2" t="s">
        <v>2096</v>
      </c>
    </row>
    <row r="2097" spans="1:5" x14ac:dyDescent="0.25">
      <c r="A2097" s="1">
        <v>72178</v>
      </c>
      <c r="B2097" s="2">
        <v>106</v>
      </c>
      <c r="C2097" s="2">
        <v>72</v>
      </c>
      <c r="D2097" s="2" t="s">
        <v>3</v>
      </c>
      <c r="E2097" s="2" t="s">
        <v>2097</v>
      </c>
    </row>
    <row r="2098" spans="1:5" x14ac:dyDescent="0.25">
      <c r="A2098" s="1">
        <v>72179</v>
      </c>
      <c r="B2098" s="2">
        <v>107</v>
      </c>
      <c r="C2098" s="2">
        <v>72</v>
      </c>
      <c r="D2098" s="2" t="s">
        <v>3</v>
      </c>
      <c r="E2098" s="2" t="s">
        <v>2098</v>
      </c>
    </row>
    <row r="2099" spans="1:5" x14ac:dyDescent="0.25">
      <c r="A2099" s="1">
        <v>72180</v>
      </c>
      <c r="B2099" s="2">
        <v>108</v>
      </c>
      <c r="C2099" s="2">
        <v>72</v>
      </c>
      <c r="D2099" s="2" t="s">
        <v>3</v>
      </c>
      <c r="E2099" s="2" t="s">
        <v>2099</v>
      </c>
    </row>
    <row r="2100" spans="1:5" x14ac:dyDescent="0.25">
      <c r="A2100" s="1">
        <v>72181</v>
      </c>
      <c r="B2100" s="2">
        <v>109</v>
      </c>
      <c r="C2100" s="2">
        <v>72</v>
      </c>
      <c r="D2100" s="2">
        <v>3662496</v>
      </c>
      <c r="E2100" s="2" t="s">
        <v>2100</v>
      </c>
    </row>
    <row r="2101" spans="1:5" x14ac:dyDescent="0.25">
      <c r="A2101" s="1">
        <v>72182</v>
      </c>
      <c r="B2101" s="2">
        <v>110</v>
      </c>
      <c r="C2101" s="2">
        <v>72</v>
      </c>
      <c r="D2101" s="2">
        <v>280862640000000</v>
      </c>
      <c r="E2101" s="2" t="s">
        <v>2101</v>
      </c>
    </row>
    <row r="2102" spans="1:5" x14ac:dyDescent="0.25">
      <c r="A2102" s="1">
        <v>72183</v>
      </c>
      <c r="B2102" s="2">
        <v>111</v>
      </c>
      <c r="C2102" s="2">
        <v>72</v>
      </c>
      <c r="D2102" s="2">
        <v>3664.8</v>
      </c>
      <c r="E2102" s="2" t="s">
        <v>2102</v>
      </c>
    </row>
    <row r="2103" spans="1:5" x14ac:dyDescent="0.25">
      <c r="A2103" s="1">
        <v>72184</v>
      </c>
      <c r="B2103" s="2">
        <v>112</v>
      </c>
      <c r="C2103" s="2">
        <v>72</v>
      </c>
      <c r="D2103" s="2">
        <v>14832</v>
      </c>
      <c r="E2103" s="2" t="s">
        <v>2103</v>
      </c>
    </row>
    <row r="2104" spans="1:5" x14ac:dyDescent="0.25">
      <c r="A2104" s="1">
        <v>72185</v>
      </c>
      <c r="B2104" s="2">
        <v>113</v>
      </c>
      <c r="C2104" s="2">
        <v>72</v>
      </c>
      <c r="D2104" s="2">
        <v>210</v>
      </c>
      <c r="E2104" s="2" t="s">
        <v>2104</v>
      </c>
    </row>
    <row r="2105" spans="1:5" x14ac:dyDescent="0.25">
      <c r="A2105" s="1">
        <v>72186</v>
      </c>
      <c r="B2105" s="2">
        <v>114</v>
      </c>
      <c r="C2105" s="2">
        <v>72</v>
      </c>
      <c r="D2105" s="2">
        <v>156</v>
      </c>
      <c r="E2105" s="2" t="s">
        <v>2105</v>
      </c>
    </row>
    <row r="2106" spans="1:5" x14ac:dyDescent="0.25">
      <c r="A2106" s="1">
        <v>72187</v>
      </c>
      <c r="B2106" s="2">
        <v>115</v>
      </c>
      <c r="C2106" s="2">
        <v>72</v>
      </c>
      <c r="D2106" s="2">
        <v>2.7000000000000001E-7</v>
      </c>
      <c r="E2106" s="2" t="s">
        <v>2106</v>
      </c>
    </row>
    <row r="2107" spans="1:5" x14ac:dyDescent="0.25">
      <c r="A2107" s="1">
        <v>72190</v>
      </c>
      <c r="B2107" s="2">
        <v>118</v>
      </c>
      <c r="C2107" s="2">
        <v>72</v>
      </c>
      <c r="D2107" s="2">
        <v>1.6E-7</v>
      </c>
      <c r="E2107" s="2" t="s">
        <v>2107</v>
      </c>
    </row>
    <row r="2108" spans="1:5" x14ac:dyDescent="0.25">
      <c r="A2108" s="1">
        <v>73155</v>
      </c>
      <c r="B2108" s="2">
        <v>82</v>
      </c>
      <c r="C2108" s="2">
        <v>73</v>
      </c>
      <c r="D2108" s="2">
        <v>2.8999999999999998E-3</v>
      </c>
      <c r="E2108" s="2" t="s">
        <v>2108</v>
      </c>
    </row>
    <row r="2109" spans="1:5" x14ac:dyDescent="0.25">
      <c r="A2109" s="1">
        <v>73156</v>
      </c>
      <c r="B2109" s="2">
        <v>83</v>
      </c>
      <c r="C2109" s="2">
        <v>73</v>
      </c>
      <c r="D2109" s="2">
        <v>0.14399999999999999</v>
      </c>
      <c r="E2109" s="2" t="s">
        <v>2109</v>
      </c>
    </row>
    <row r="2110" spans="1:5" x14ac:dyDescent="0.25">
      <c r="A2110" s="1">
        <v>73157</v>
      </c>
      <c r="B2110" s="2">
        <v>84</v>
      </c>
      <c r="C2110" s="2">
        <v>73</v>
      </c>
      <c r="D2110" s="2">
        <v>1.01E-2</v>
      </c>
      <c r="E2110" s="2" t="s">
        <v>2110</v>
      </c>
    </row>
    <row r="2111" spans="1:5" x14ac:dyDescent="0.25">
      <c r="A2111" s="1">
        <v>73158</v>
      </c>
      <c r="B2111" s="2">
        <v>85</v>
      </c>
      <c r="C2111" s="2">
        <v>73</v>
      </c>
      <c r="D2111" s="2">
        <v>5.5E-2</v>
      </c>
      <c r="E2111" s="2" t="s">
        <v>2111</v>
      </c>
    </row>
    <row r="2112" spans="1:5" x14ac:dyDescent="0.25">
      <c r="A2112" s="1">
        <v>73159</v>
      </c>
      <c r="B2112" s="2">
        <v>86</v>
      </c>
      <c r="C2112" s="2">
        <v>73</v>
      </c>
      <c r="D2112" s="2">
        <v>0.83</v>
      </c>
      <c r="E2112" s="2" t="s">
        <v>2112</v>
      </c>
    </row>
    <row r="2113" spans="1:5" x14ac:dyDescent="0.25">
      <c r="A2113" s="1">
        <v>73160</v>
      </c>
      <c r="B2113" s="2">
        <v>87</v>
      </c>
      <c r="C2113" s="2">
        <v>73</v>
      </c>
      <c r="D2113" s="2">
        <v>1.55</v>
      </c>
      <c r="E2113" s="2" t="s">
        <v>2113</v>
      </c>
    </row>
    <row r="2114" spans="1:5" x14ac:dyDescent="0.25">
      <c r="A2114" s="1">
        <v>73162</v>
      </c>
      <c r="B2114" s="2">
        <v>89</v>
      </c>
      <c r="C2114" s="2">
        <v>73</v>
      </c>
      <c r="D2114" s="2">
        <v>3.57</v>
      </c>
      <c r="E2114" s="2" t="s">
        <v>2114</v>
      </c>
    </row>
    <row r="2115" spans="1:5" x14ac:dyDescent="0.25">
      <c r="A2115" s="1">
        <v>73163</v>
      </c>
      <c r="B2115" s="2">
        <v>90</v>
      </c>
      <c r="C2115" s="2">
        <v>73</v>
      </c>
      <c r="D2115" s="2">
        <v>10.6</v>
      </c>
      <c r="E2115" s="2" t="s">
        <v>2115</v>
      </c>
    </row>
    <row r="2116" spans="1:5" x14ac:dyDescent="0.25">
      <c r="A2116" s="1">
        <v>73164</v>
      </c>
      <c r="B2116" s="2">
        <v>91</v>
      </c>
      <c r="C2116" s="2">
        <v>73</v>
      </c>
      <c r="D2116" s="2">
        <v>14.2</v>
      </c>
      <c r="E2116" s="2" t="s">
        <v>2116</v>
      </c>
    </row>
    <row r="2117" spans="1:5" x14ac:dyDescent="0.25">
      <c r="A2117" s="1">
        <v>73165</v>
      </c>
      <c r="B2117" s="2">
        <v>92</v>
      </c>
      <c r="C2117" s="2">
        <v>73</v>
      </c>
      <c r="D2117" s="2">
        <v>31</v>
      </c>
      <c r="E2117" s="2" t="s">
        <v>2117</v>
      </c>
    </row>
    <row r="2118" spans="1:5" x14ac:dyDescent="0.25">
      <c r="A2118" s="1">
        <v>73166</v>
      </c>
      <c r="B2118" s="2">
        <v>93</v>
      </c>
      <c r="C2118" s="2">
        <v>73</v>
      </c>
      <c r="D2118" s="2">
        <v>34.4</v>
      </c>
      <c r="E2118" s="2" t="s">
        <v>2118</v>
      </c>
    </row>
    <row r="2119" spans="1:5" x14ac:dyDescent="0.25">
      <c r="A2119" s="1">
        <v>73167</v>
      </c>
      <c r="B2119" s="2">
        <v>94</v>
      </c>
      <c r="C2119" s="2">
        <v>73</v>
      </c>
      <c r="D2119" s="2">
        <v>80</v>
      </c>
      <c r="E2119" s="2" t="s">
        <v>2119</v>
      </c>
    </row>
    <row r="2120" spans="1:5" x14ac:dyDescent="0.25">
      <c r="A2120" s="1">
        <v>73168</v>
      </c>
      <c r="B2120" s="2">
        <v>95</v>
      </c>
      <c r="C2120" s="2">
        <v>73</v>
      </c>
      <c r="D2120" s="2">
        <v>120</v>
      </c>
      <c r="E2120" s="2" t="s">
        <v>2120</v>
      </c>
    </row>
    <row r="2121" spans="1:5" x14ac:dyDescent="0.25">
      <c r="A2121" s="1">
        <v>73169</v>
      </c>
      <c r="B2121" s="2">
        <v>96</v>
      </c>
      <c r="C2121" s="2">
        <v>73</v>
      </c>
      <c r="D2121" s="2">
        <v>294</v>
      </c>
      <c r="E2121" s="2" t="s">
        <v>2121</v>
      </c>
    </row>
    <row r="2122" spans="1:5" x14ac:dyDescent="0.25">
      <c r="A2122" s="1">
        <v>73170</v>
      </c>
      <c r="B2122" s="2">
        <v>97</v>
      </c>
      <c r="C2122" s="2">
        <v>73</v>
      </c>
      <c r="D2122" s="2">
        <v>405.599999999999</v>
      </c>
      <c r="E2122" s="2" t="s">
        <v>2122</v>
      </c>
    </row>
    <row r="2123" spans="1:5" x14ac:dyDescent="0.25">
      <c r="A2123" s="1">
        <v>73171</v>
      </c>
      <c r="B2123" s="2">
        <v>98</v>
      </c>
      <c r="C2123" s="2">
        <v>73</v>
      </c>
      <c r="D2123" s="2">
        <v>1398</v>
      </c>
      <c r="E2123" s="2" t="s">
        <v>2123</v>
      </c>
    </row>
    <row r="2124" spans="1:5" x14ac:dyDescent="0.25">
      <c r="A2124" s="1">
        <v>73172</v>
      </c>
      <c r="B2124" s="2">
        <v>99</v>
      </c>
      <c r="C2124" s="2">
        <v>73</v>
      </c>
      <c r="D2124" s="2">
        <v>2208</v>
      </c>
      <c r="E2124" s="2" t="s">
        <v>2124</v>
      </c>
    </row>
    <row r="2125" spans="1:5" x14ac:dyDescent="0.25">
      <c r="A2125" s="1">
        <v>73173</v>
      </c>
      <c r="B2125" s="2">
        <v>100</v>
      </c>
      <c r="C2125" s="2">
        <v>73</v>
      </c>
      <c r="D2125" s="2">
        <v>11304</v>
      </c>
      <c r="E2125" s="2" t="s">
        <v>2125</v>
      </c>
    </row>
    <row r="2126" spans="1:5" x14ac:dyDescent="0.25">
      <c r="A2126" s="1">
        <v>73174</v>
      </c>
      <c r="B2126" s="2">
        <v>101</v>
      </c>
      <c r="C2126" s="2">
        <v>73</v>
      </c>
      <c r="D2126" s="2">
        <v>4104</v>
      </c>
      <c r="E2126" s="2" t="s">
        <v>2126</v>
      </c>
    </row>
    <row r="2127" spans="1:5" x14ac:dyDescent="0.25">
      <c r="A2127" s="1">
        <v>73175</v>
      </c>
      <c r="B2127" s="2">
        <v>102</v>
      </c>
      <c r="C2127" s="2">
        <v>73</v>
      </c>
      <c r="D2127" s="2">
        <v>37800</v>
      </c>
      <c r="E2127" s="2" t="s">
        <v>2127</v>
      </c>
    </row>
    <row r="2128" spans="1:5" x14ac:dyDescent="0.25">
      <c r="A2128" s="1">
        <v>73176</v>
      </c>
      <c r="B2128" s="2">
        <v>103</v>
      </c>
      <c r="C2128" s="2">
        <v>73</v>
      </c>
      <c r="D2128" s="2">
        <v>29124</v>
      </c>
      <c r="E2128" s="2" t="s">
        <v>2128</v>
      </c>
    </row>
    <row r="2129" spans="1:5" x14ac:dyDescent="0.25">
      <c r="A2129" s="1">
        <v>73177</v>
      </c>
      <c r="B2129" s="2">
        <v>104</v>
      </c>
      <c r="C2129" s="2">
        <v>73</v>
      </c>
      <c r="D2129" s="2">
        <v>203616</v>
      </c>
      <c r="E2129" s="2" t="s">
        <v>2129</v>
      </c>
    </row>
    <row r="2130" spans="1:5" x14ac:dyDescent="0.25">
      <c r="A2130" s="1">
        <v>73178</v>
      </c>
      <c r="B2130" s="2">
        <v>105</v>
      </c>
      <c r="C2130" s="2">
        <v>73</v>
      </c>
      <c r="D2130" s="2">
        <v>558.6</v>
      </c>
      <c r="E2130" s="2" t="s">
        <v>2130</v>
      </c>
    </row>
    <row r="2131" spans="1:5" x14ac:dyDescent="0.25">
      <c r="A2131" s="1">
        <v>73179</v>
      </c>
      <c r="B2131" s="2">
        <v>106</v>
      </c>
      <c r="C2131" s="2">
        <v>73</v>
      </c>
      <c r="D2131" s="2">
        <v>57434832</v>
      </c>
      <c r="E2131" s="2" t="s">
        <v>2131</v>
      </c>
    </row>
    <row r="2132" spans="1:5" x14ac:dyDescent="0.25">
      <c r="A2132" s="1">
        <v>73180</v>
      </c>
      <c r="B2132" s="2">
        <v>107</v>
      </c>
      <c r="C2132" s="2">
        <v>73</v>
      </c>
      <c r="D2132" s="2">
        <v>29354.400000000001</v>
      </c>
      <c r="E2132" s="2" t="s">
        <v>2132</v>
      </c>
    </row>
    <row r="2133" spans="1:5" x14ac:dyDescent="0.25">
      <c r="A2133" s="1">
        <v>73181</v>
      </c>
      <c r="B2133" s="2">
        <v>108</v>
      </c>
      <c r="C2133" s="2">
        <v>73</v>
      </c>
      <c r="D2133" s="2" t="s">
        <v>3</v>
      </c>
      <c r="E2133" s="2" t="s">
        <v>2133</v>
      </c>
    </row>
    <row r="2134" spans="1:5" x14ac:dyDescent="0.25">
      <c r="A2134" s="1">
        <v>73182</v>
      </c>
      <c r="B2134" s="2">
        <v>109</v>
      </c>
      <c r="C2134" s="2">
        <v>73</v>
      </c>
      <c r="D2134" s="2">
        <v>9913536</v>
      </c>
      <c r="E2134" s="2" t="s">
        <v>2134</v>
      </c>
    </row>
    <row r="2135" spans="1:5" x14ac:dyDescent="0.25">
      <c r="A2135" s="1">
        <v>73183</v>
      </c>
      <c r="B2135" s="2">
        <v>110</v>
      </c>
      <c r="C2135" s="2">
        <v>73</v>
      </c>
      <c r="D2135" s="2">
        <v>440639.99999999901</v>
      </c>
      <c r="E2135" s="2" t="s">
        <v>2135</v>
      </c>
    </row>
    <row r="2136" spans="1:5" x14ac:dyDescent="0.25">
      <c r="A2136" s="1">
        <v>73184</v>
      </c>
      <c r="B2136" s="2">
        <v>111</v>
      </c>
      <c r="C2136" s="2">
        <v>73</v>
      </c>
      <c r="D2136" s="2">
        <v>31319.999999999902</v>
      </c>
      <c r="E2136" s="2" t="s">
        <v>2136</v>
      </c>
    </row>
    <row r="2137" spans="1:5" x14ac:dyDescent="0.25">
      <c r="A2137" s="1">
        <v>73185</v>
      </c>
      <c r="B2137" s="2">
        <v>112</v>
      </c>
      <c r="C2137" s="2">
        <v>73</v>
      </c>
      <c r="D2137" s="2">
        <v>2964</v>
      </c>
      <c r="E2137" s="2" t="s">
        <v>2137</v>
      </c>
    </row>
    <row r="2138" spans="1:5" x14ac:dyDescent="0.25">
      <c r="A2138" s="1">
        <v>73186</v>
      </c>
      <c r="B2138" s="2">
        <v>113</v>
      </c>
      <c r="C2138" s="2">
        <v>73</v>
      </c>
      <c r="D2138" s="2">
        <v>630</v>
      </c>
      <c r="E2138" s="2" t="s">
        <v>2138</v>
      </c>
    </row>
    <row r="2139" spans="1:5" x14ac:dyDescent="0.25">
      <c r="A2139" s="1">
        <v>73187</v>
      </c>
      <c r="B2139" s="2">
        <v>114</v>
      </c>
      <c r="C2139" s="2">
        <v>73</v>
      </c>
      <c r="D2139" s="2">
        <v>138</v>
      </c>
      <c r="E2139" s="2" t="s">
        <v>2139</v>
      </c>
    </row>
    <row r="2140" spans="1:5" x14ac:dyDescent="0.25">
      <c r="A2140" s="1">
        <v>73188</v>
      </c>
      <c r="B2140" s="2">
        <v>115</v>
      </c>
      <c r="C2140" s="2">
        <v>73</v>
      </c>
      <c r="D2140" s="2">
        <v>19.600000000000001</v>
      </c>
      <c r="E2140" s="2" t="s">
        <v>2140</v>
      </c>
    </row>
    <row r="2141" spans="1:5" x14ac:dyDescent="0.25">
      <c r="A2141" s="1">
        <v>73189</v>
      </c>
      <c r="B2141" s="2">
        <v>116</v>
      </c>
      <c r="C2141" s="2">
        <v>73</v>
      </c>
      <c r="D2141" s="2">
        <v>2.9999999999999999E-7</v>
      </c>
      <c r="E2141" s="2" t="s">
        <v>2141</v>
      </c>
    </row>
    <row r="2142" spans="1:5" x14ac:dyDescent="0.25">
      <c r="A2142" s="1">
        <v>73190</v>
      </c>
      <c r="B2142" s="2">
        <v>117</v>
      </c>
      <c r="C2142" s="2">
        <v>73</v>
      </c>
      <c r="D2142" s="2">
        <v>5.3</v>
      </c>
      <c r="E2142" s="2" t="s">
        <v>2142</v>
      </c>
    </row>
    <row r="2143" spans="1:5" x14ac:dyDescent="0.25">
      <c r="A2143" s="1">
        <v>73191</v>
      </c>
      <c r="B2143" s="2">
        <v>118</v>
      </c>
      <c r="C2143" s="2">
        <v>73</v>
      </c>
      <c r="D2143" s="2">
        <v>2.9999999999999999E-7</v>
      </c>
      <c r="E2143" s="2" t="s">
        <v>2143</v>
      </c>
    </row>
    <row r="2144" spans="1:5" x14ac:dyDescent="0.25">
      <c r="A2144" s="1">
        <v>73192</v>
      </c>
      <c r="B2144" s="2">
        <v>119</v>
      </c>
      <c r="C2144" s="2">
        <v>73</v>
      </c>
      <c r="D2144" s="2">
        <v>2.2000000000000002</v>
      </c>
      <c r="E2144" s="2" t="s">
        <v>2144</v>
      </c>
    </row>
    <row r="2145" spans="1:5" x14ac:dyDescent="0.25">
      <c r="A2145" s="1">
        <v>73193</v>
      </c>
      <c r="B2145" s="2">
        <v>120</v>
      </c>
      <c r="C2145" s="2">
        <v>73</v>
      </c>
      <c r="D2145" s="2">
        <v>1.6E-7</v>
      </c>
      <c r="E2145" s="2" t="s">
        <v>2145</v>
      </c>
    </row>
    <row r="2146" spans="1:5" x14ac:dyDescent="0.25">
      <c r="A2146" s="1">
        <v>73194</v>
      </c>
      <c r="B2146" s="2">
        <v>121</v>
      </c>
      <c r="C2146" s="2">
        <v>73</v>
      </c>
      <c r="D2146" s="2">
        <v>1.6E-7</v>
      </c>
      <c r="E2146" s="2" t="s">
        <v>2146</v>
      </c>
    </row>
    <row r="2147" spans="1:5" x14ac:dyDescent="0.25">
      <c r="A2147" s="1">
        <v>74157</v>
      </c>
      <c r="B2147" s="2">
        <v>83</v>
      </c>
      <c r="C2147" s="2">
        <v>74</v>
      </c>
      <c r="D2147" s="2">
        <v>0.27500000000000002</v>
      </c>
      <c r="E2147" s="2" t="s">
        <v>2147</v>
      </c>
    </row>
    <row r="2148" spans="1:5" x14ac:dyDescent="0.25">
      <c r="A2148" s="1">
        <v>74158</v>
      </c>
      <c r="B2148" s="2">
        <v>84</v>
      </c>
      <c r="C2148" s="2">
        <v>74</v>
      </c>
      <c r="D2148" s="2">
        <v>1.25E-3</v>
      </c>
      <c r="E2148" s="2" t="s">
        <v>2148</v>
      </c>
    </row>
    <row r="2149" spans="1:5" x14ac:dyDescent="0.25">
      <c r="A2149" s="1">
        <v>74159</v>
      </c>
      <c r="B2149" s="2">
        <v>85</v>
      </c>
      <c r="C2149" s="2">
        <v>74</v>
      </c>
      <c r="D2149" s="2">
        <v>7.3000000000000001E-3</v>
      </c>
      <c r="E2149" s="2" t="s">
        <v>2149</v>
      </c>
    </row>
    <row r="2150" spans="1:5" x14ac:dyDescent="0.25">
      <c r="A2150" s="1">
        <v>74160</v>
      </c>
      <c r="B2150" s="2">
        <v>86</v>
      </c>
      <c r="C2150" s="2">
        <v>74</v>
      </c>
      <c r="D2150" s="2">
        <v>9.0999999999999998E-2</v>
      </c>
      <c r="E2150" s="2" t="s">
        <v>2150</v>
      </c>
    </row>
    <row r="2151" spans="1:5" x14ac:dyDescent="0.25">
      <c r="A2151" s="1">
        <v>74161</v>
      </c>
      <c r="B2151" s="2">
        <v>87</v>
      </c>
      <c r="C2151" s="2">
        <v>74</v>
      </c>
      <c r="D2151" s="2">
        <v>0.40899999999999997</v>
      </c>
      <c r="E2151" s="2" t="s">
        <v>2151</v>
      </c>
    </row>
    <row r="2152" spans="1:5" x14ac:dyDescent="0.25">
      <c r="A2152" s="1">
        <v>74162</v>
      </c>
      <c r="B2152" s="2">
        <v>88</v>
      </c>
      <c r="C2152" s="2">
        <v>74</v>
      </c>
      <c r="D2152" s="2">
        <v>1.36</v>
      </c>
      <c r="E2152" s="2" t="s">
        <v>2152</v>
      </c>
    </row>
    <row r="2153" spans="1:5" x14ac:dyDescent="0.25">
      <c r="A2153" s="1">
        <v>74163</v>
      </c>
      <c r="B2153" s="2">
        <v>89</v>
      </c>
      <c r="C2153" s="2">
        <v>74</v>
      </c>
      <c r="D2153" s="2">
        <v>2.67</v>
      </c>
      <c r="E2153" s="2" t="s">
        <v>2153</v>
      </c>
    </row>
    <row r="2154" spans="1:5" x14ac:dyDescent="0.25">
      <c r="A2154" s="1">
        <v>74164</v>
      </c>
      <c r="B2154" s="2">
        <v>90</v>
      </c>
      <c r="C2154" s="2">
        <v>74</v>
      </c>
      <c r="D2154" s="2">
        <v>6.3</v>
      </c>
      <c r="E2154" s="2" t="s">
        <v>2154</v>
      </c>
    </row>
    <row r="2155" spans="1:5" x14ac:dyDescent="0.25">
      <c r="A2155" s="1">
        <v>74165</v>
      </c>
      <c r="B2155" s="2">
        <v>91</v>
      </c>
      <c r="C2155" s="2">
        <v>74</v>
      </c>
      <c r="D2155" s="2">
        <v>5.0999999999999996</v>
      </c>
      <c r="E2155" s="2" t="s">
        <v>2155</v>
      </c>
    </row>
    <row r="2156" spans="1:5" x14ac:dyDescent="0.25">
      <c r="A2156" s="1">
        <v>74166</v>
      </c>
      <c r="B2156" s="2">
        <v>92</v>
      </c>
      <c r="C2156" s="2">
        <v>74</v>
      </c>
      <c r="D2156" s="2">
        <v>19.2</v>
      </c>
      <c r="E2156" s="2" t="s">
        <v>2156</v>
      </c>
    </row>
    <row r="2157" spans="1:5" x14ac:dyDescent="0.25">
      <c r="A2157" s="1">
        <v>74167</v>
      </c>
      <c r="B2157" s="2">
        <v>93</v>
      </c>
      <c r="C2157" s="2">
        <v>74</v>
      </c>
      <c r="D2157" s="2">
        <v>19.899999999999999</v>
      </c>
      <c r="E2157" s="2" t="s">
        <v>2157</v>
      </c>
    </row>
    <row r="2158" spans="1:5" x14ac:dyDescent="0.25">
      <c r="A2158" s="1">
        <v>74168</v>
      </c>
      <c r="B2158" s="2">
        <v>94</v>
      </c>
      <c r="C2158" s="2">
        <v>74</v>
      </c>
      <c r="D2158" s="2">
        <v>50.9</v>
      </c>
      <c r="E2158" s="2" t="s">
        <v>2158</v>
      </c>
    </row>
    <row r="2159" spans="1:5" x14ac:dyDescent="0.25">
      <c r="A2159" s="1">
        <v>74169</v>
      </c>
      <c r="B2159" s="2">
        <v>95</v>
      </c>
      <c r="C2159" s="2">
        <v>74</v>
      </c>
      <c r="D2159" s="2">
        <v>74</v>
      </c>
      <c r="E2159" s="2" t="s">
        <v>2159</v>
      </c>
    </row>
    <row r="2160" spans="1:5" x14ac:dyDescent="0.25">
      <c r="A2160" s="1">
        <v>74170</v>
      </c>
      <c r="B2160" s="2">
        <v>96</v>
      </c>
      <c r="C2160" s="2">
        <v>74</v>
      </c>
      <c r="D2160" s="2">
        <v>145.19999999999999</v>
      </c>
      <c r="E2160" s="2" t="s">
        <v>2160</v>
      </c>
    </row>
    <row r="2161" spans="1:5" x14ac:dyDescent="0.25">
      <c r="A2161" s="1">
        <v>74171</v>
      </c>
      <c r="B2161" s="2">
        <v>97</v>
      </c>
      <c r="C2161" s="2">
        <v>74</v>
      </c>
      <c r="D2161" s="2">
        <v>142.79999999999899</v>
      </c>
      <c r="E2161" s="2" t="s">
        <v>2161</v>
      </c>
    </row>
    <row r="2162" spans="1:5" x14ac:dyDescent="0.25">
      <c r="A2162" s="1">
        <v>74172</v>
      </c>
      <c r="B2162" s="2">
        <v>98</v>
      </c>
      <c r="C2162" s="2">
        <v>74</v>
      </c>
      <c r="D2162" s="2">
        <v>396</v>
      </c>
      <c r="E2162" s="2" t="s">
        <v>2162</v>
      </c>
    </row>
    <row r="2163" spans="1:5" x14ac:dyDescent="0.25">
      <c r="A2163" s="1">
        <v>74173</v>
      </c>
      <c r="B2163" s="2">
        <v>99</v>
      </c>
      <c r="C2163" s="2">
        <v>74</v>
      </c>
      <c r="D2163" s="2">
        <v>456</v>
      </c>
      <c r="E2163" s="2" t="s">
        <v>2163</v>
      </c>
    </row>
    <row r="2164" spans="1:5" x14ac:dyDescent="0.25">
      <c r="A2164" s="1">
        <v>74174</v>
      </c>
      <c r="B2164" s="2">
        <v>100</v>
      </c>
      <c r="C2164" s="2">
        <v>74</v>
      </c>
      <c r="D2164" s="2">
        <v>1992</v>
      </c>
      <c r="E2164" s="2" t="s">
        <v>2164</v>
      </c>
    </row>
    <row r="2165" spans="1:5" x14ac:dyDescent="0.25">
      <c r="A2165" s="1">
        <v>74175</v>
      </c>
      <c r="B2165" s="2">
        <v>101</v>
      </c>
      <c r="C2165" s="2">
        <v>74</v>
      </c>
      <c r="D2165" s="2">
        <v>2112</v>
      </c>
      <c r="E2165" s="2" t="s">
        <v>2165</v>
      </c>
    </row>
    <row r="2166" spans="1:5" x14ac:dyDescent="0.25">
      <c r="A2166" s="1">
        <v>74176</v>
      </c>
      <c r="B2166" s="2">
        <v>102</v>
      </c>
      <c r="C2166" s="2">
        <v>74</v>
      </c>
      <c r="D2166" s="2">
        <v>9000</v>
      </c>
      <c r="E2166" s="2" t="s">
        <v>2166</v>
      </c>
    </row>
    <row r="2167" spans="1:5" x14ac:dyDescent="0.25">
      <c r="A2167" s="1">
        <v>74177</v>
      </c>
      <c r="B2167" s="2">
        <v>103</v>
      </c>
      <c r="C2167" s="2">
        <v>74</v>
      </c>
      <c r="D2167" s="2">
        <v>7920</v>
      </c>
      <c r="E2167" s="2" t="s">
        <v>2167</v>
      </c>
    </row>
    <row r="2168" spans="1:5" x14ac:dyDescent="0.25">
      <c r="A2168" s="1">
        <v>74178</v>
      </c>
      <c r="B2168" s="2">
        <v>104</v>
      </c>
      <c r="C2168" s="2">
        <v>74</v>
      </c>
      <c r="D2168" s="2">
        <v>1866240</v>
      </c>
      <c r="E2168" s="2" t="s">
        <v>2168</v>
      </c>
    </row>
    <row r="2169" spans="1:5" x14ac:dyDescent="0.25">
      <c r="A2169" s="1">
        <v>74179</v>
      </c>
      <c r="B2169" s="2">
        <v>105</v>
      </c>
      <c r="C2169" s="2">
        <v>74</v>
      </c>
      <c r="D2169" s="2">
        <v>2223</v>
      </c>
      <c r="E2169" s="2" t="s">
        <v>2169</v>
      </c>
    </row>
    <row r="2170" spans="1:5" x14ac:dyDescent="0.25">
      <c r="A2170" s="1">
        <v>74180</v>
      </c>
      <c r="B2170" s="2">
        <v>106</v>
      </c>
      <c r="C2170" s="2">
        <v>74</v>
      </c>
      <c r="D2170" s="2">
        <v>2.0828016E+25</v>
      </c>
      <c r="E2170" s="2" t="s">
        <v>2170</v>
      </c>
    </row>
    <row r="2171" spans="1:5" x14ac:dyDescent="0.25">
      <c r="A2171" s="1">
        <v>74181</v>
      </c>
      <c r="B2171" s="2">
        <v>107</v>
      </c>
      <c r="C2171" s="2">
        <v>74</v>
      </c>
      <c r="D2171" s="2">
        <v>10471680</v>
      </c>
      <c r="E2171" s="2" t="s">
        <v>2171</v>
      </c>
    </row>
    <row r="2172" spans="1:5" x14ac:dyDescent="0.25">
      <c r="A2172" s="1">
        <v>74182</v>
      </c>
      <c r="B2172" s="2">
        <v>108</v>
      </c>
      <c r="C2172" s="2">
        <v>74</v>
      </c>
      <c r="D2172" s="2" t="s">
        <v>3</v>
      </c>
      <c r="E2172" s="2" t="s">
        <v>2172</v>
      </c>
    </row>
    <row r="2173" spans="1:5" x14ac:dyDescent="0.25">
      <c r="A2173" s="1">
        <v>74183</v>
      </c>
      <c r="B2173" s="2">
        <v>109</v>
      </c>
      <c r="C2173" s="2">
        <v>74</v>
      </c>
      <c r="D2173" s="2">
        <v>2.1143592000000001E+28</v>
      </c>
      <c r="E2173" s="2" t="s">
        <v>2173</v>
      </c>
    </row>
    <row r="2174" spans="1:5" x14ac:dyDescent="0.25">
      <c r="A2174" s="1">
        <v>74184</v>
      </c>
      <c r="B2174" s="2">
        <v>110</v>
      </c>
      <c r="C2174" s="2">
        <v>74</v>
      </c>
      <c r="D2174" s="2" t="s">
        <v>3</v>
      </c>
      <c r="E2174" s="2" t="s">
        <v>2174</v>
      </c>
    </row>
    <row r="2175" spans="1:5" x14ac:dyDescent="0.25">
      <c r="A2175" s="1">
        <v>74185</v>
      </c>
      <c r="B2175" s="2">
        <v>111</v>
      </c>
      <c r="C2175" s="2">
        <v>74</v>
      </c>
      <c r="D2175" s="2">
        <v>6488639.9999999898</v>
      </c>
      <c r="E2175" s="2" t="s">
        <v>2175</v>
      </c>
    </row>
    <row r="2176" spans="1:5" x14ac:dyDescent="0.25">
      <c r="A2176" s="1">
        <v>74186</v>
      </c>
      <c r="B2176" s="2">
        <v>112</v>
      </c>
      <c r="C2176" s="2">
        <v>74</v>
      </c>
      <c r="D2176" s="2">
        <v>7.2582479999999996E+26</v>
      </c>
      <c r="E2176" s="2" t="s">
        <v>2176</v>
      </c>
    </row>
    <row r="2177" spans="1:5" x14ac:dyDescent="0.25">
      <c r="A2177" s="1">
        <v>74187</v>
      </c>
      <c r="B2177" s="2">
        <v>113</v>
      </c>
      <c r="C2177" s="2">
        <v>74</v>
      </c>
      <c r="D2177" s="2">
        <v>86400</v>
      </c>
      <c r="E2177" s="2" t="s">
        <v>2177</v>
      </c>
    </row>
    <row r="2178" spans="1:5" x14ac:dyDescent="0.25">
      <c r="A2178" s="1">
        <v>74188</v>
      </c>
      <c r="B2178" s="2">
        <v>114</v>
      </c>
      <c r="C2178" s="2">
        <v>74</v>
      </c>
      <c r="D2178" s="2">
        <v>6028992</v>
      </c>
      <c r="E2178" s="2" t="s">
        <v>2178</v>
      </c>
    </row>
    <row r="2179" spans="1:5" x14ac:dyDescent="0.25">
      <c r="A2179" s="1">
        <v>74189</v>
      </c>
      <c r="B2179" s="2">
        <v>115</v>
      </c>
      <c r="C2179" s="2">
        <v>74</v>
      </c>
      <c r="D2179" s="2">
        <v>642</v>
      </c>
      <c r="E2179" s="2" t="s">
        <v>2179</v>
      </c>
    </row>
    <row r="2180" spans="1:5" x14ac:dyDescent="0.25">
      <c r="A2180" s="1">
        <v>74190</v>
      </c>
      <c r="B2180" s="2">
        <v>116</v>
      </c>
      <c r="C2180" s="2">
        <v>74</v>
      </c>
      <c r="D2180" s="2">
        <v>1800</v>
      </c>
      <c r="E2180" s="2" t="s">
        <v>2180</v>
      </c>
    </row>
    <row r="2181" spans="1:5" x14ac:dyDescent="0.25">
      <c r="A2181" s="1">
        <v>74191</v>
      </c>
      <c r="B2181" s="2">
        <v>117</v>
      </c>
      <c r="C2181" s="2">
        <v>74</v>
      </c>
      <c r="D2181" s="2">
        <v>2.9999999999999999E-7</v>
      </c>
      <c r="E2181" s="2" t="s">
        <v>2181</v>
      </c>
    </row>
    <row r="2182" spans="1:5" x14ac:dyDescent="0.25">
      <c r="A2182" s="1">
        <v>74193</v>
      </c>
      <c r="B2182" s="2">
        <v>119</v>
      </c>
      <c r="C2182" s="2">
        <v>74</v>
      </c>
      <c r="D2182" s="2">
        <v>2.9999999999999999E-7</v>
      </c>
      <c r="E2182" s="2" t="s">
        <v>2182</v>
      </c>
    </row>
    <row r="2183" spans="1:5" x14ac:dyDescent="0.25">
      <c r="A2183" s="1">
        <v>74194</v>
      </c>
      <c r="B2183" s="2">
        <v>120</v>
      </c>
      <c r="C2183" s="2">
        <v>74</v>
      </c>
      <c r="D2183" s="2">
        <v>2.9999999999999999E-7</v>
      </c>
      <c r="E2183" s="2" t="s">
        <v>2183</v>
      </c>
    </row>
    <row r="2184" spans="1:5" x14ac:dyDescent="0.25">
      <c r="A2184" s="1">
        <v>74195</v>
      </c>
      <c r="B2184" s="2">
        <v>121</v>
      </c>
      <c r="C2184" s="2">
        <v>74</v>
      </c>
      <c r="D2184" s="2">
        <v>1.6E-7</v>
      </c>
      <c r="E2184" s="2" t="s">
        <v>2184</v>
      </c>
    </row>
    <row r="2185" spans="1:5" x14ac:dyDescent="0.25">
      <c r="A2185" s="1">
        <v>74196</v>
      </c>
      <c r="B2185" s="2">
        <v>122</v>
      </c>
      <c r="C2185" s="2">
        <v>74</v>
      </c>
      <c r="D2185" s="2">
        <v>1.6E-7</v>
      </c>
      <c r="E2185" s="2" t="s">
        <v>2185</v>
      </c>
    </row>
    <row r="2186" spans="1:5" x14ac:dyDescent="0.25">
      <c r="A2186" s="1">
        <v>74197</v>
      </c>
      <c r="B2186" s="2">
        <v>123</v>
      </c>
      <c r="C2186" s="2">
        <v>74</v>
      </c>
      <c r="D2186" s="2">
        <v>1.6E-7</v>
      </c>
      <c r="E2186" s="2" t="s">
        <v>2186</v>
      </c>
    </row>
    <row r="2187" spans="1:5" x14ac:dyDescent="0.25">
      <c r="A2187" s="1">
        <v>75160</v>
      </c>
      <c r="B2187" s="2">
        <v>85</v>
      </c>
      <c r="C2187" s="2">
        <v>75</v>
      </c>
      <c r="D2187" s="2">
        <v>8.1999999999999998E-4</v>
      </c>
      <c r="E2187" s="2" t="s">
        <v>2187</v>
      </c>
    </row>
    <row r="2188" spans="1:5" x14ac:dyDescent="0.25">
      <c r="A2188" s="1">
        <v>75161</v>
      </c>
      <c r="B2188" s="2">
        <v>86</v>
      </c>
      <c r="C2188" s="2">
        <v>75</v>
      </c>
      <c r="D2188" s="2">
        <v>4.4000000000000002E-4</v>
      </c>
      <c r="E2188" s="2" t="s">
        <v>2188</v>
      </c>
    </row>
    <row r="2189" spans="1:5" x14ac:dyDescent="0.25">
      <c r="A2189" s="1">
        <v>75162</v>
      </c>
      <c r="B2189" s="2">
        <v>87</v>
      </c>
      <c r="C2189" s="2">
        <v>75</v>
      </c>
      <c r="D2189" s="2">
        <v>0.107</v>
      </c>
      <c r="E2189" s="2" t="s">
        <v>2189</v>
      </c>
    </row>
    <row r="2190" spans="1:5" x14ac:dyDescent="0.25">
      <c r="A2190" s="1">
        <v>75163</v>
      </c>
      <c r="B2190" s="2">
        <v>88</v>
      </c>
      <c r="C2190" s="2">
        <v>75</v>
      </c>
      <c r="D2190" s="2">
        <v>0.39</v>
      </c>
      <c r="E2190" s="2" t="s">
        <v>2190</v>
      </c>
    </row>
    <row r="2191" spans="1:5" x14ac:dyDescent="0.25">
      <c r="A2191" s="1">
        <v>75164</v>
      </c>
      <c r="B2191" s="2">
        <v>89</v>
      </c>
      <c r="C2191" s="2">
        <v>75</v>
      </c>
      <c r="D2191" s="2">
        <v>0.85</v>
      </c>
      <c r="E2191" s="2" t="s">
        <v>2191</v>
      </c>
    </row>
    <row r="2192" spans="1:5" x14ac:dyDescent="0.25">
      <c r="A2192" s="1">
        <v>75165</v>
      </c>
      <c r="B2192" s="2">
        <v>90</v>
      </c>
      <c r="C2192" s="2">
        <v>75</v>
      </c>
      <c r="D2192" s="2">
        <v>1.6</v>
      </c>
      <c r="E2192" s="2" t="s">
        <v>2192</v>
      </c>
    </row>
    <row r="2193" spans="1:5" x14ac:dyDescent="0.25">
      <c r="A2193" s="1">
        <v>75166</v>
      </c>
      <c r="B2193" s="2">
        <v>91</v>
      </c>
      <c r="C2193" s="2">
        <v>75</v>
      </c>
      <c r="D2193" s="2">
        <v>2.25</v>
      </c>
      <c r="E2193" s="2" t="s">
        <v>2193</v>
      </c>
    </row>
    <row r="2194" spans="1:5" x14ac:dyDescent="0.25">
      <c r="A2194" s="1">
        <v>75167</v>
      </c>
      <c r="B2194" s="2">
        <v>92</v>
      </c>
      <c r="C2194" s="2">
        <v>75</v>
      </c>
      <c r="D2194" s="2">
        <v>5.9</v>
      </c>
      <c r="E2194" s="2" t="s">
        <v>2194</v>
      </c>
    </row>
    <row r="2195" spans="1:5" x14ac:dyDescent="0.25">
      <c r="A2195" s="1">
        <v>75168</v>
      </c>
      <c r="B2195" s="2">
        <v>93</v>
      </c>
      <c r="C2195" s="2">
        <v>75</v>
      </c>
      <c r="D2195" s="2">
        <v>4.4000000000000004</v>
      </c>
      <c r="E2195" s="2" t="s">
        <v>2195</v>
      </c>
    </row>
    <row r="2196" spans="1:5" x14ac:dyDescent="0.25">
      <c r="A2196" s="1">
        <v>75169</v>
      </c>
      <c r="B2196" s="2">
        <v>94</v>
      </c>
      <c r="C2196" s="2">
        <v>75</v>
      </c>
      <c r="D2196" s="2">
        <v>8.1</v>
      </c>
      <c r="E2196" s="2" t="s">
        <v>2196</v>
      </c>
    </row>
    <row r="2197" spans="1:5" x14ac:dyDescent="0.25">
      <c r="A2197" s="1">
        <v>75170</v>
      </c>
      <c r="B2197" s="2">
        <v>95</v>
      </c>
      <c r="C2197" s="2">
        <v>75</v>
      </c>
      <c r="D2197" s="2">
        <v>9.1999999999999993</v>
      </c>
      <c r="E2197" s="2" t="s">
        <v>2197</v>
      </c>
    </row>
    <row r="2198" spans="1:5" x14ac:dyDescent="0.25">
      <c r="A2198" s="1">
        <v>75171</v>
      </c>
      <c r="B2198" s="2">
        <v>96</v>
      </c>
      <c r="C2198" s="2">
        <v>75</v>
      </c>
      <c r="D2198" s="2">
        <v>15.2</v>
      </c>
      <c r="E2198" s="2" t="s">
        <v>2198</v>
      </c>
    </row>
    <row r="2199" spans="1:5" x14ac:dyDescent="0.25">
      <c r="A2199" s="1">
        <v>75172</v>
      </c>
      <c r="B2199" s="2">
        <v>97</v>
      </c>
      <c r="C2199" s="2">
        <v>75</v>
      </c>
      <c r="D2199" s="2">
        <v>55</v>
      </c>
      <c r="E2199" s="2" t="s">
        <v>2199</v>
      </c>
    </row>
    <row r="2200" spans="1:5" x14ac:dyDescent="0.25">
      <c r="A2200" s="1">
        <v>75173</v>
      </c>
      <c r="B2200" s="2">
        <v>98</v>
      </c>
      <c r="C2200" s="2">
        <v>75</v>
      </c>
      <c r="D2200" s="2">
        <v>118.8</v>
      </c>
      <c r="E2200" s="2" t="s">
        <v>2200</v>
      </c>
    </row>
    <row r="2201" spans="1:5" x14ac:dyDescent="0.25">
      <c r="A2201" s="1">
        <v>75174</v>
      </c>
      <c r="B2201" s="2">
        <v>99</v>
      </c>
      <c r="C2201" s="2">
        <v>75</v>
      </c>
      <c r="D2201" s="2">
        <v>144</v>
      </c>
      <c r="E2201" s="2" t="s">
        <v>2201</v>
      </c>
    </row>
    <row r="2202" spans="1:5" x14ac:dyDescent="0.25">
      <c r="A2202" s="1">
        <v>75175</v>
      </c>
      <c r="B2202" s="2">
        <v>100</v>
      </c>
      <c r="C2202" s="2">
        <v>75</v>
      </c>
      <c r="D2202" s="2">
        <v>353.4</v>
      </c>
      <c r="E2202" s="2" t="s">
        <v>2202</v>
      </c>
    </row>
    <row r="2203" spans="1:5" x14ac:dyDescent="0.25">
      <c r="A2203" s="1">
        <v>75176</v>
      </c>
      <c r="B2203" s="2">
        <v>101</v>
      </c>
      <c r="C2203" s="2">
        <v>75</v>
      </c>
      <c r="D2203" s="2">
        <v>318</v>
      </c>
      <c r="E2203" s="2" t="s">
        <v>2203</v>
      </c>
    </row>
    <row r="2204" spans="1:5" x14ac:dyDescent="0.25">
      <c r="A2204" s="1">
        <v>75177</v>
      </c>
      <c r="B2204" s="2">
        <v>102</v>
      </c>
      <c r="C2204" s="2">
        <v>75</v>
      </c>
      <c r="D2204" s="2">
        <v>840</v>
      </c>
      <c r="E2204" s="2" t="s">
        <v>2204</v>
      </c>
    </row>
    <row r="2205" spans="1:5" x14ac:dyDescent="0.25">
      <c r="A2205" s="1">
        <v>75178</v>
      </c>
      <c r="B2205" s="2">
        <v>103</v>
      </c>
      <c r="C2205" s="2">
        <v>75</v>
      </c>
      <c r="D2205" s="2">
        <v>792</v>
      </c>
      <c r="E2205" s="2" t="s">
        <v>2205</v>
      </c>
    </row>
    <row r="2206" spans="1:5" x14ac:dyDescent="0.25">
      <c r="A2206" s="1">
        <v>75179</v>
      </c>
      <c r="B2206" s="2">
        <v>104</v>
      </c>
      <c r="C2206" s="2">
        <v>75</v>
      </c>
      <c r="D2206" s="2">
        <v>1170</v>
      </c>
      <c r="E2206" s="2" t="s">
        <v>2206</v>
      </c>
    </row>
    <row r="2207" spans="1:5" x14ac:dyDescent="0.25">
      <c r="A2207" s="1">
        <v>75180</v>
      </c>
      <c r="B2207" s="2">
        <v>105</v>
      </c>
      <c r="C2207" s="2">
        <v>75</v>
      </c>
      <c r="D2207" s="2">
        <v>147.6</v>
      </c>
      <c r="E2207" s="2" t="s">
        <v>2207</v>
      </c>
    </row>
    <row r="2208" spans="1:5" x14ac:dyDescent="0.25">
      <c r="A2208" s="1">
        <v>75181</v>
      </c>
      <c r="B2208" s="2">
        <v>106</v>
      </c>
      <c r="C2208" s="2">
        <v>75</v>
      </c>
      <c r="D2208" s="2">
        <v>71640</v>
      </c>
      <c r="E2208" s="2" t="s">
        <v>2208</v>
      </c>
    </row>
    <row r="2209" spans="1:5" x14ac:dyDescent="0.25">
      <c r="A2209" s="1">
        <v>75182</v>
      </c>
      <c r="B2209" s="2">
        <v>107</v>
      </c>
      <c r="C2209" s="2">
        <v>75</v>
      </c>
      <c r="D2209" s="2">
        <v>231120</v>
      </c>
      <c r="E2209" s="2" t="s">
        <v>2209</v>
      </c>
    </row>
    <row r="2210" spans="1:5" x14ac:dyDescent="0.25">
      <c r="A2210" s="1">
        <v>75183</v>
      </c>
      <c r="B2210" s="2">
        <v>108</v>
      </c>
      <c r="C2210" s="2">
        <v>75</v>
      </c>
      <c r="D2210" s="2">
        <v>6048000</v>
      </c>
      <c r="E2210" s="2" t="s">
        <v>2210</v>
      </c>
    </row>
    <row r="2211" spans="1:5" x14ac:dyDescent="0.25">
      <c r="A2211" s="1">
        <v>75184</v>
      </c>
      <c r="B2211" s="2">
        <v>109</v>
      </c>
      <c r="C2211" s="2">
        <v>75</v>
      </c>
      <c r="D2211" s="2">
        <v>3058560</v>
      </c>
      <c r="E2211" s="2" t="s">
        <v>2211</v>
      </c>
    </row>
    <row r="2212" spans="1:5" x14ac:dyDescent="0.25">
      <c r="A2212" s="1">
        <v>75185</v>
      </c>
      <c r="B2212" s="2">
        <v>110</v>
      </c>
      <c r="C2212" s="2">
        <v>75</v>
      </c>
      <c r="D2212" s="2" t="s">
        <v>3</v>
      </c>
      <c r="E2212" s="2" t="s">
        <v>2212</v>
      </c>
    </row>
    <row r="2213" spans="1:5" x14ac:dyDescent="0.25">
      <c r="A2213" s="1">
        <v>75186</v>
      </c>
      <c r="B2213" s="2">
        <v>111</v>
      </c>
      <c r="C2213" s="2">
        <v>75</v>
      </c>
      <c r="D2213" s="2">
        <v>321287.03999999998</v>
      </c>
      <c r="E2213" s="2" t="s">
        <v>2213</v>
      </c>
    </row>
    <row r="2214" spans="1:5" x14ac:dyDescent="0.25">
      <c r="A2214" s="1">
        <v>75187</v>
      </c>
      <c r="B2214" s="2">
        <v>112</v>
      </c>
      <c r="C2214" s="2">
        <v>75</v>
      </c>
      <c r="D2214" s="2">
        <v>1.36644408E+18</v>
      </c>
      <c r="E2214" s="2" t="s">
        <v>2214</v>
      </c>
    </row>
    <row r="2215" spans="1:5" x14ac:dyDescent="0.25">
      <c r="A2215" s="1">
        <v>75188</v>
      </c>
      <c r="B2215" s="2">
        <v>113</v>
      </c>
      <c r="C2215" s="2">
        <v>75</v>
      </c>
      <c r="D2215" s="2">
        <v>61210.8</v>
      </c>
      <c r="E2215" s="2" t="s">
        <v>2215</v>
      </c>
    </row>
    <row r="2216" spans="1:5" x14ac:dyDescent="0.25">
      <c r="A2216" s="1">
        <v>75189</v>
      </c>
      <c r="B2216" s="2">
        <v>114</v>
      </c>
      <c r="C2216" s="2">
        <v>75</v>
      </c>
      <c r="D2216" s="2">
        <v>87480</v>
      </c>
      <c r="E2216" s="2" t="s">
        <v>2216</v>
      </c>
    </row>
    <row r="2217" spans="1:5" x14ac:dyDescent="0.25">
      <c r="A2217" s="1">
        <v>75190</v>
      </c>
      <c r="B2217" s="2">
        <v>115</v>
      </c>
      <c r="C2217" s="2">
        <v>75</v>
      </c>
      <c r="D2217" s="2">
        <v>186</v>
      </c>
      <c r="E2217" s="2" t="s">
        <v>2217</v>
      </c>
    </row>
    <row r="2218" spans="1:5" x14ac:dyDescent="0.25">
      <c r="A2218" s="1">
        <v>75191</v>
      </c>
      <c r="B2218" s="2">
        <v>116</v>
      </c>
      <c r="C2218" s="2">
        <v>75</v>
      </c>
      <c r="D2218" s="2">
        <v>588</v>
      </c>
      <c r="E2218" s="2" t="s">
        <v>2218</v>
      </c>
    </row>
    <row r="2219" spans="1:5" x14ac:dyDescent="0.25">
      <c r="A2219" s="1">
        <v>75192</v>
      </c>
      <c r="B2219" s="2">
        <v>117</v>
      </c>
      <c r="C2219" s="2">
        <v>75</v>
      </c>
      <c r="D2219" s="2">
        <v>16</v>
      </c>
      <c r="E2219" s="2" t="s">
        <v>2219</v>
      </c>
    </row>
    <row r="2220" spans="1:5" x14ac:dyDescent="0.25">
      <c r="A2220" s="1">
        <v>75194</v>
      </c>
      <c r="B2220" s="2">
        <v>119</v>
      </c>
      <c r="C2220" s="2">
        <v>75</v>
      </c>
      <c r="D2220" s="2">
        <v>5</v>
      </c>
      <c r="E2220" s="2" t="s">
        <v>2220</v>
      </c>
    </row>
    <row r="2221" spans="1:5" x14ac:dyDescent="0.25">
      <c r="A2221" s="1">
        <v>75195</v>
      </c>
      <c r="B2221" s="2">
        <v>120</v>
      </c>
      <c r="C2221" s="2">
        <v>75</v>
      </c>
      <c r="D2221" s="2">
        <v>6</v>
      </c>
      <c r="E2221" s="2" t="s">
        <v>2221</v>
      </c>
    </row>
    <row r="2222" spans="1:5" x14ac:dyDescent="0.25">
      <c r="A2222" s="1">
        <v>75196</v>
      </c>
      <c r="B2222" s="2">
        <v>121</v>
      </c>
      <c r="C2222" s="2">
        <v>75</v>
      </c>
      <c r="D2222" s="2">
        <v>3</v>
      </c>
      <c r="E2222" s="2" t="s">
        <v>2222</v>
      </c>
    </row>
    <row r="2223" spans="1:5" x14ac:dyDescent="0.25">
      <c r="A2223" s="1">
        <v>75197</v>
      </c>
      <c r="B2223" s="2">
        <v>122</v>
      </c>
      <c r="C2223" s="2">
        <v>75</v>
      </c>
      <c r="D2223" s="2">
        <v>1.6E-7</v>
      </c>
      <c r="E2223" s="2" t="s">
        <v>2223</v>
      </c>
    </row>
    <row r="2224" spans="1:5" x14ac:dyDescent="0.25">
      <c r="A2224" s="1">
        <v>75198</v>
      </c>
      <c r="B2224" s="2">
        <v>123</v>
      </c>
      <c r="C2224" s="2">
        <v>75</v>
      </c>
      <c r="D2224" s="2">
        <v>1.6E-7</v>
      </c>
      <c r="E2224" s="2" t="s">
        <v>2224</v>
      </c>
    </row>
    <row r="2225" spans="1:5" x14ac:dyDescent="0.25">
      <c r="A2225" s="1">
        <v>75199</v>
      </c>
      <c r="B2225" s="2">
        <v>124</v>
      </c>
      <c r="C2225" s="2">
        <v>75</v>
      </c>
      <c r="D2225" s="2">
        <v>1.6E-7</v>
      </c>
      <c r="E2225" s="2" t="s">
        <v>2225</v>
      </c>
    </row>
    <row r="2226" spans="1:5" x14ac:dyDescent="0.25">
      <c r="A2226" s="1">
        <v>76161</v>
      </c>
      <c r="B2226" s="2">
        <v>85</v>
      </c>
      <c r="C2226" s="2">
        <v>76</v>
      </c>
      <c r="D2226" s="2">
        <v>6.3999999999999897E-4</v>
      </c>
      <c r="E2226" s="2" t="s">
        <v>2226</v>
      </c>
    </row>
    <row r="2227" spans="1:5" x14ac:dyDescent="0.25">
      <c r="A2227" s="1">
        <v>76162</v>
      </c>
      <c r="B2227" s="2">
        <v>86</v>
      </c>
      <c r="C2227" s="2">
        <v>76</v>
      </c>
      <c r="D2227" s="2">
        <v>2.0999999999999999E-3</v>
      </c>
      <c r="E2227" s="2" t="s">
        <v>2227</v>
      </c>
    </row>
    <row r="2228" spans="1:5" x14ac:dyDescent="0.25">
      <c r="A2228" s="1">
        <v>76163</v>
      </c>
      <c r="B2228" s="2">
        <v>87</v>
      </c>
      <c r="C2228" s="2">
        <v>76</v>
      </c>
      <c r="D2228" s="2">
        <v>5.4999999999999997E-3</v>
      </c>
      <c r="E2228" s="2" t="s">
        <v>2228</v>
      </c>
    </row>
    <row r="2229" spans="1:5" x14ac:dyDescent="0.25">
      <c r="A2229" s="1">
        <v>76164</v>
      </c>
      <c r="B2229" s="2">
        <v>88</v>
      </c>
      <c r="C2229" s="2">
        <v>76</v>
      </c>
      <c r="D2229" s="2">
        <v>2.1000000000000001E-2</v>
      </c>
      <c r="E2229" s="2" t="s">
        <v>2229</v>
      </c>
    </row>
    <row r="2230" spans="1:5" x14ac:dyDescent="0.25">
      <c r="A2230" s="1">
        <v>76165</v>
      </c>
      <c r="B2230" s="2">
        <v>89</v>
      </c>
      <c r="C2230" s="2">
        <v>76</v>
      </c>
      <c r="D2230" s="2">
        <v>7.0999999999999994E-2</v>
      </c>
      <c r="E2230" s="2" t="s">
        <v>2230</v>
      </c>
    </row>
    <row r="2231" spans="1:5" x14ac:dyDescent="0.25">
      <c r="A2231" s="1">
        <v>76166</v>
      </c>
      <c r="B2231" s="2">
        <v>90</v>
      </c>
      <c r="C2231" s="2">
        <v>76</v>
      </c>
      <c r="D2231" s="2">
        <v>0.20799999999999999</v>
      </c>
      <c r="E2231" s="2" t="s">
        <v>2231</v>
      </c>
    </row>
    <row r="2232" spans="1:5" x14ac:dyDescent="0.25">
      <c r="A2232" s="1">
        <v>76167</v>
      </c>
      <c r="B2232" s="2">
        <v>91</v>
      </c>
      <c r="C2232" s="2">
        <v>76</v>
      </c>
      <c r="D2232" s="2">
        <v>0.81</v>
      </c>
      <c r="E2232" s="2" t="s">
        <v>2232</v>
      </c>
    </row>
    <row r="2233" spans="1:5" x14ac:dyDescent="0.25">
      <c r="A2233" s="1">
        <v>76168</v>
      </c>
      <c r="B2233" s="2">
        <v>92</v>
      </c>
      <c r="C2233" s="2">
        <v>76</v>
      </c>
      <c r="D2233" s="2">
        <v>2.1</v>
      </c>
      <c r="E2233" s="2" t="s">
        <v>2233</v>
      </c>
    </row>
    <row r="2234" spans="1:5" x14ac:dyDescent="0.25">
      <c r="A2234" s="1">
        <v>76169</v>
      </c>
      <c r="B2234" s="2">
        <v>93</v>
      </c>
      <c r="C2234" s="2">
        <v>76</v>
      </c>
      <c r="D2234" s="2">
        <v>3.43</v>
      </c>
      <c r="E2234" s="2" t="s">
        <v>2234</v>
      </c>
    </row>
    <row r="2235" spans="1:5" x14ac:dyDescent="0.25">
      <c r="A2235" s="1">
        <v>76170</v>
      </c>
      <c r="B2235" s="2">
        <v>94</v>
      </c>
      <c r="C2235" s="2">
        <v>76</v>
      </c>
      <c r="D2235" s="2">
        <v>7.37</v>
      </c>
      <c r="E2235" s="2" t="s">
        <v>2235</v>
      </c>
    </row>
    <row r="2236" spans="1:5" x14ac:dyDescent="0.25">
      <c r="A2236" s="1">
        <v>76171</v>
      </c>
      <c r="B2236" s="2">
        <v>95</v>
      </c>
      <c r="C2236" s="2">
        <v>76</v>
      </c>
      <c r="D2236" s="2">
        <v>8.3000000000000007</v>
      </c>
      <c r="E2236" s="2" t="s">
        <v>2236</v>
      </c>
    </row>
    <row r="2237" spans="1:5" x14ac:dyDescent="0.25">
      <c r="A2237" s="1">
        <v>76172</v>
      </c>
      <c r="B2237" s="2">
        <v>96</v>
      </c>
      <c r="C2237" s="2">
        <v>76</v>
      </c>
      <c r="D2237" s="2">
        <v>19.2</v>
      </c>
      <c r="E2237" s="2" t="s">
        <v>2237</v>
      </c>
    </row>
    <row r="2238" spans="1:5" x14ac:dyDescent="0.25">
      <c r="A2238" s="1">
        <v>76173</v>
      </c>
      <c r="B2238" s="2">
        <v>97</v>
      </c>
      <c r="C2238" s="2">
        <v>76</v>
      </c>
      <c r="D2238" s="2">
        <v>22.4</v>
      </c>
      <c r="E2238" s="2" t="s">
        <v>2238</v>
      </c>
    </row>
    <row r="2239" spans="1:5" x14ac:dyDescent="0.25">
      <c r="A2239" s="1">
        <v>76174</v>
      </c>
      <c r="B2239" s="2">
        <v>98</v>
      </c>
      <c r="C2239" s="2">
        <v>76</v>
      </c>
      <c r="D2239" s="2">
        <v>44</v>
      </c>
      <c r="E2239" s="2" t="s">
        <v>2239</v>
      </c>
    </row>
    <row r="2240" spans="1:5" x14ac:dyDescent="0.25">
      <c r="A2240" s="1">
        <v>76175</v>
      </c>
      <c r="B2240" s="2">
        <v>99</v>
      </c>
      <c r="C2240" s="2">
        <v>76</v>
      </c>
      <c r="D2240" s="2">
        <v>84</v>
      </c>
      <c r="E2240" s="2" t="s">
        <v>2240</v>
      </c>
    </row>
    <row r="2241" spans="1:5" x14ac:dyDescent="0.25">
      <c r="A2241" s="1">
        <v>76176</v>
      </c>
      <c r="B2241" s="2">
        <v>100</v>
      </c>
      <c r="C2241" s="2">
        <v>76</v>
      </c>
      <c r="D2241" s="2">
        <v>216</v>
      </c>
      <c r="E2241" s="2" t="s">
        <v>2241</v>
      </c>
    </row>
    <row r="2242" spans="1:5" x14ac:dyDescent="0.25">
      <c r="A2242" s="1">
        <v>76177</v>
      </c>
      <c r="B2242" s="2">
        <v>101</v>
      </c>
      <c r="C2242" s="2">
        <v>76</v>
      </c>
      <c r="D2242" s="2">
        <v>180</v>
      </c>
      <c r="E2242" s="2" t="s">
        <v>2242</v>
      </c>
    </row>
    <row r="2243" spans="1:5" x14ac:dyDescent="0.25">
      <c r="A2243" s="1">
        <v>76178</v>
      </c>
      <c r="B2243" s="2">
        <v>102</v>
      </c>
      <c r="C2243" s="2">
        <v>76</v>
      </c>
      <c r="D2243" s="2">
        <v>300</v>
      </c>
      <c r="E2243" s="2" t="s">
        <v>2243</v>
      </c>
    </row>
    <row r="2244" spans="1:5" x14ac:dyDescent="0.25">
      <c r="A2244" s="1">
        <v>76179</v>
      </c>
      <c r="B2244" s="2">
        <v>103</v>
      </c>
      <c r="C2244" s="2">
        <v>76</v>
      </c>
      <c r="D2244" s="2">
        <v>390</v>
      </c>
      <c r="E2244" s="2" t="s">
        <v>2244</v>
      </c>
    </row>
    <row r="2245" spans="1:5" x14ac:dyDescent="0.25">
      <c r="A2245" s="1">
        <v>76180</v>
      </c>
      <c r="B2245" s="2">
        <v>104</v>
      </c>
      <c r="C2245" s="2">
        <v>76</v>
      </c>
      <c r="D2245" s="2">
        <v>1290</v>
      </c>
      <c r="E2245" s="2" t="s">
        <v>2245</v>
      </c>
    </row>
    <row r="2246" spans="1:5" x14ac:dyDescent="0.25">
      <c r="A2246" s="1">
        <v>76181</v>
      </c>
      <c r="B2246" s="2">
        <v>105</v>
      </c>
      <c r="C2246" s="2">
        <v>76</v>
      </c>
      <c r="D2246" s="2">
        <v>6300</v>
      </c>
      <c r="E2246" s="2" t="s">
        <v>2246</v>
      </c>
    </row>
    <row r="2247" spans="1:5" x14ac:dyDescent="0.25">
      <c r="A2247" s="1">
        <v>76182</v>
      </c>
      <c r="B2247" s="2">
        <v>106</v>
      </c>
      <c r="C2247" s="2">
        <v>76</v>
      </c>
      <c r="D2247" s="2">
        <v>78624</v>
      </c>
      <c r="E2247" s="2" t="s">
        <v>2247</v>
      </c>
    </row>
    <row r="2248" spans="1:5" x14ac:dyDescent="0.25">
      <c r="A2248" s="1">
        <v>76183</v>
      </c>
      <c r="B2248" s="2">
        <v>107</v>
      </c>
      <c r="C2248" s="2">
        <v>76</v>
      </c>
      <c r="D2248" s="2">
        <v>46800</v>
      </c>
      <c r="E2248" s="2" t="s">
        <v>2248</v>
      </c>
    </row>
    <row r="2249" spans="1:5" x14ac:dyDescent="0.25">
      <c r="A2249" s="1">
        <v>76184</v>
      </c>
      <c r="B2249" s="2">
        <v>108</v>
      </c>
      <c r="C2249" s="2">
        <v>76</v>
      </c>
      <c r="D2249" s="2">
        <v>1.7672256E+21</v>
      </c>
      <c r="E2249" s="2" t="s">
        <v>2249</v>
      </c>
    </row>
    <row r="2250" spans="1:5" x14ac:dyDescent="0.25">
      <c r="A2250" s="1">
        <v>76185</v>
      </c>
      <c r="B2250" s="2">
        <v>109</v>
      </c>
      <c r="C2250" s="2">
        <v>76</v>
      </c>
      <c r="D2250" s="2">
        <v>8087039.9999999898</v>
      </c>
      <c r="E2250" s="2" t="s">
        <v>2250</v>
      </c>
    </row>
    <row r="2251" spans="1:5" x14ac:dyDescent="0.25">
      <c r="A2251" s="1">
        <v>76186</v>
      </c>
      <c r="B2251" s="2">
        <v>110</v>
      </c>
      <c r="C2251" s="2">
        <v>76</v>
      </c>
      <c r="D2251" s="2">
        <v>6.3115200000000002E+22</v>
      </c>
      <c r="E2251" s="2" t="s">
        <v>2251</v>
      </c>
    </row>
    <row r="2252" spans="1:5" x14ac:dyDescent="0.25">
      <c r="A2252" s="1">
        <v>76187</v>
      </c>
      <c r="B2252" s="2">
        <v>111</v>
      </c>
      <c r="C2252" s="2">
        <v>76</v>
      </c>
      <c r="D2252" s="2" t="s">
        <v>3</v>
      </c>
      <c r="E2252" s="2" t="s">
        <v>2252</v>
      </c>
    </row>
    <row r="2253" spans="1:5" x14ac:dyDescent="0.25">
      <c r="A2253" s="1">
        <v>76188</v>
      </c>
      <c r="B2253" s="2">
        <v>112</v>
      </c>
      <c r="C2253" s="2">
        <v>76</v>
      </c>
      <c r="D2253" s="2" t="s">
        <v>3</v>
      </c>
      <c r="E2253" s="2" t="s">
        <v>2253</v>
      </c>
    </row>
    <row r="2254" spans="1:5" x14ac:dyDescent="0.25">
      <c r="A2254" s="1">
        <v>76189</v>
      </c>
      <c r="B2254" s="2">
        <v>113</v>
      </c>
      <c r="C2254" s="2">
        <v>76</v>
      </c>
      <c r="D2254" s="2" t="s">
        <v>3</v>
      </c>
      <c r="E2254" s="2" t="s">
        <v>2254</v>
      </c>
    </row>
    <row r="2255" spans="1:5" x14ac:dyDescent="0.25">
      <c r="A2255" s="1">
        <v>76190</v>
      </c>
      <c r="B2255" s="2">
        <v>114</v>
      </c>
      <c r="C2255" s="2">
        <v>76</v>
      </c>
      <c r="D2255" s="2" t="s">
        <v>3</v>
      </c>
      <c r="E2255" s="2" t="s">
        <v>2255</v>
      </c>
    </row>
    <row r="2256" spans="1:5" x14ac:dyDescent="0.25">
      <c r="A2256" s="1">
        <v>76191</v>
      </c>
      <c r="B2256" s="2">
        <v>115</v>
      </c>
      <c r="C2256" s="2">
        <v>76</v>
      </c>
      <c r="D2256" s="2">
        <v>1330560</v>
      </c>
      <c r="E2256" s="2" t="s">
        <v>2256</v>
      </c>
    </row>
    <row r="2257" spans="1:5" x14ac:dyDescent="0.25">
      <c r="A2257" s="1">
        <v>76192</v>
      </c>
      <c r="B2257" s="2">
        <v>116</v>
      </c>
      <c r="C2257" s="2">
        <v>76</v>
      </c>
      <c r="D2257" s="2" t="s">
        <v>3</v>
      </c>
      <c r="E2257" s="2" t="s">
        <v>2257</v>
      </c>
    </row>
    <row r="2258" spans="1:5" x14ac:dyDescent="0.25">
      <c r="A2258" s="1">
        <v>76193</v>
      </c>
      <c r="B2258" s="2">
        <v>117</v>
      </c>
      <c r="C2258" s="2">
        <v>76</v>
      </c>
      <c r="D2258" s="2">
        <v>108396</v>
      </c>
      <c r="E2258" s="2" t="s">
        <v>2258</v>
      </c>
    </row>
    <row r="2259" spans="1:5" x14ac:dyDescent="0.25">
      <c r="A2259" s="1">
        <v>76194</v>
      </c>
      <c r="B2259" s="2">
        <v>118</v>
      </c>
      <c r="C2259" s="2">
        <v>76</v>
      </c>
      <c r="D2259" s="2">
        <v>189345600</v>
      </c>
      <c r="E2259" s="2" t="s">
        <v>2259</v>
      </c>
    </row>
    <row r="2260" spans="1:5" x14ac:dyDescent="0.25">
      <c r="A2260" s="1">
        <v>76195</v>
      </c>
      <c r="B2260" s="2">
        <v>119</v>
      </c>
      <c r="C2260" s="2">
        <v>76</v>
      </c>
      <c r="D2260" s="2">
        <v>540</v>
      </c>
      <c r="E2260" s="2" t="s">
        <v>2260</v>
      </c>
    </row>
    <row r="2261" spans="1:5" x14ac:dyDescent="0.25">
      <c r="A2261" s="1">
        <v>76196</v>
      </c>
      <c r="B2261" s="2">
        <v>120</v>
      </c>
      <c r="C2261" s="2">
        <v>76</v>
      </c>
      <c r="D2261" s="2">
        <v>2094</v>
      </c>
      <c r="E2261" s="2" t="s">
        <v>2261</v>
      </c>
    </row>
    <row r="2262" spans="1:5" x14ac:dyDescent="0.25">
      <c r="A2262" s="1">
        <v>76197</v>
      </c>
      <c r="B2262" s="2">
        <v>121</v>
      </c>
      <c r="C2262" s="2">
        <v>76</v>
      </c>
      <c r="D2262" s="2">
        <v>168</v>
      </c>
      <c r="E2262" s="2" t="s">
        <v>2262</v>
      </c>
    </row>
    <row r="2263" spans="1:5" x14ac:dyDescent="0.25">
      <c r="A2263" s="1">
        <v>76199</v>
      </c>
      <c r="B2263" s="2">
        <v>123</v>
      </c>
      <c r="C2263" s="2">
        <v>76</v>
      </c>
      <c r="D2263" s="2">
        <v>5</v>
      </c>
      <c r="E2263" s="2" t="s">
        <v>2263</v>
      </c>
    </row>
    <row r="2264" spans="1:5" x14ac:dyDescent="0.25">
      <c r="A2264" s="1">
        <v>76200</v>
      </c>
      <c r="B2264" s="2">
        <v>124</v>
      </c>
      <c r="C2264" s="2">
        <v>76</v>
      </c>
      <c r="D2264" s="2">
        <v>6</v>
      </c>
      <c r="E2264" s="2" t="s">
        <v>2264</v>
      </c>
    </row>
    <row r="2265" spans="1:5" x14ac:dyDescent="0.25">
      <c r="A2265" s="1">
        <v>76201</v>
      </c>
      <c r="B2265" s="2">
        <v>125</v>
      </c>
      <c r="C2265" s="2">
        <v>76</v>
      </c>
      <c r="D2265" s="2">
        <v>1.6E-7</v>
      </c>
      <c r="E2265" s="2" t="s">
        <v>2265</v>
      </c>
    </row>
    <row r="2266" spans="1:5" x14ac:dyDescent="0.25">
      <c r="A2266" s="1">
        <v>76202</v>
      </c>
      <c r="B2266" s="2">
        <v>126</v>
      </c>
      <c r="C2266" s="2">
        <v>76</v>
      </c>
      <c r="D2266" s="2">
        <v>1.6E-7</v>
      </c>
      <c r="E2266" s="2" t="s">
        <v>2266</v>
      </c>
    </row>
    <row r="2267" spans="1:5" x14ac:dyDescent="0.25">
      <c r="A2267" s="1">
        <v>76203</v>
      </c>
      <c r="B2267" s="2">
        <v>127</v>
      </c>
      <c r="C2267" s="2">
        <v>76</v>
      </c>
      <c r="D2267" s="2">
        <v>1.6E-7</v>
      </c>
      <c r="E2267" s="2" t="s">
        <v>2267</v>
      </c>
    </row>
    <row r="2268" spans="1:5" x14ac:dyDescent="0.25">
      <c r="A2268" s="1">
        <v>77164</v>
      </c>
      <c r="B2268" s="2">
        <v>87</v>
      </c>
      <c r="C2268" s="2">
        <v>77</v>
      </c>
      <c r="D2268" s="2">
        <v>6.9999999999999994E-5</v>
      </c>
      <c r="E2268" s="2" t="s">
        <v>2268</v>
      </c>
    </row>
    <row r="2269" spans="1:5" x14ac:dyDescent="0.25">
      <c r="A2269" s="1">
        <v>77166</v>
      </c>
      <c r="B2269" s="2">
        <v>89</v>
      </c>
      <c r="C2269" s="2">
        <v>77</v>
      </c>
      <c r="D2269" s="2">
        <v>1.0500000000000001E-2</v>
      </c>
      <c r="E2269" s="2" t="s">
        <v>2269</v>
      </c>
    </row>
    <row r="2270" spans="1:5" x14ac:dyDescent="0.25">
      <c r="A2270" s="1">
        <v>77167</v>
      </c>
      <c r="B2270" s="2">
        <v>90</v>
      </c>
      <c r="C2270" s="2">
        <v>77</v>
      </c>
      <c r="D2270" s="2">
        <v>0.03</v>
      </c>
      <c r="E2270" s="2" t="s">
        <v>2270</v>
      </c>
    </row>
    <row r="2271" spans="1:5" x14ac:dyDescent="0.25">
      <c r="A2271" s="1">
        <v>77168</v>
      </c>
      <c r="B2271" s="2">
        <v>91</v>
      </c>
      <c r="C2271" s="2">
        <v>77</v>
      </c>
      <c r="D2271" s="2">
        <v>0.222</v>
      </c>
      <c r="E2271" s="2" t="s">
        <v>2271</v>
      </c>
    </row>
    <row r="2272" spans="1:5" x14ac:dyDescent="0.25">
      <c r="A2272" s="1">
        <v>77169</v>
      </c>
      <c r="B2272" s="2">
        <v>92</v>
      </c>
      <c r="C2272" s="2">
        <v>77</v>
      </c>
      <c r="D2272" s="2">
        <v>0.56999999999999995</v>
      </c>
      <c r="E2272" s="2" t="s">
        <v>2272</v>
      </c>
    </row>
    <row r="2273" spans="1:5" x14ac:dyDescent="0.25">
      <c r="A2273" s="1">
        <v>77170</v>
      </c>
      <c r="B2273" s="2">
        <v>93</v>
      </c>
      <c r="C2273" s="2">
        <v>77</v>
      </c>
      <c r="D2273" s="2">
        <v>0.87</v>
      </c>
      <c r="E2273" s="2" t="s">
        <v>2273</v>
      </c>
    </row>
    <row r="2274" spans="1:5" x14ac:dyDescent="0.25">
      <c r="A2274" s="1">
        <v>77171</v>
      </c>
      <c r="B2274" s="2">
        <v>94</v>
      </c>
      <c r="C2274" s="2">
        <v>77</v>
      </c>
      <c r="D2274" s="2">
        <v>3.2</v>
      </c>
      <c r="E2274" s="2" t="s">
        <v>2274</v>
      </c>
    </row>
    <row r="2275" spans="1:5" x14ac:dyDescent="0.25">
      <c r="A2275" s="1">
        <v>77172</v>
      </c>
      <c r="B2275" s="2">
        <v>95</v>
      </c>
      <c r="C2275" s="2">
        <v>77</v>
      </c>
      <c r="D2275" s="2">
        <v>4.4000000000000004</v>
      </c>
      <c r="E2275" s="2" t="s">
        <v>2275</v>
      </c>
    </row>
    <row r="2276" spans="1:5" x14ac:dyDescent="0.25">
      <c r="A2276" s="1">
        <v>77173</v>
      </c>
      <c r="B2276" s="2">
        <v>96</v>
      </c>
      <c r="C2276" s="2">
        <v>77</v>
      </c>
      <c r="D2276" s="2">
        <v>9</v>
      </c>
      <c r="E2276" s="2" t="s">
        <v>2276</v>
      </c>
    </row>
    <row r="2277" spans="1:5" x14ac:dyDescent="0.25">
      <c r="A2277" s="1">
        <v>77174</v>
      </c>
      <c r="B2277" s="2">
        <v>97</v>
      </c>
      <c r="C2277" s="2">
        <v>77</v>
      </c>
      <c r="D2277" s="2">
        <v>7.9</v>
      </c>
      <c r="E2277" s="2" t="s">
        <v>2277</v>
      </c>
    </row>
    <row r="2278" spans="1:5" x14ac:dyDescent="0.25">
      <c r="A2278" s="1">
        <v>77175</v>
      </c>
      <c r="B2278" s="2">
        <v>98</v>
      </c>
      <c r="C2278" s="2">
        <v>77</v>
      </c>
      <c r="D2278" s="2">
        <v>9</v>
      </c>
      <c r="E2278" s="2" t="s">
        <v>2278</v>
      </c>
    </row>
    <row r="2279" spans="1:5" x14ac:dyDescent="0.25">
      <c r="A2279" s="1">
        <v>77176</v>
      </c>
      <c r="B2279" s="2">
        <v>99</v>
      </c>
      <c r="C2279" s="2">
        <v>77</v>
      </c>
      <c r="D2279" s="2">
        <v>8.6</v>
      </c>
      <c r="E2279" s="2" t="s">
        <v>2279</v>
      </c>
    </row>
    <row r="2280" spans="1:5" x14ac:dyDescent="0.25">
      <c r="A2280" s="1">
        <v>77177</v>
      </c>
      <c r="B2280" s="2">
        <v>100</v>
      </c>
      <c r="C2280" s="2">
        <v>77</v>
      </c>
      <c r="D2280" s="2">
        <v>30</v>
      </c>
      <c r="E2280" s="2" t="s">
        <v>2280</v>
      </c>
    </row>
    <row r="2281" spans="1:5" x14ac:dyDescent="0.25">
      <c r="A2281" s="1">
        <v>77178</v>
      </c>
      <c r="B2281" s="2">
        <v>101</v>
      </c>
      <c r="C2281" s="2">
        <v>77</v>
      </c>
      <c r="D2281" s="2">
        <v>12</v>
      </c>
      <c r="E2281" s="2" t="s">
        <v>2281</v>
      </c>
    </row>
    <row r="2282" spans="1:5" x14ac:dyDescent="0.25">
      <c r="A2282" s="1">
        <v>77179</v>
      </c>
      <c r="B2282" s="2">
        <v>102</v>
      </c>
      <c r="C2282" s="2">
        <v>77</v>
      </c>
      <c r="D2282" s="2">
        <v>79</v>
      </c>
      <c r="E2282" s="2" t="s">
        <v>2282</v>
      </c>
    </row>
    <row r="2283" spans="1:5" x14ac:dyDescent="0.25">
      <c r="A2283" s="1">
        <v>77180</v>
      </c>
      <c r="B2283" s="2">
        <v>103</v>
      </c>
      <c r="C2283" s="2">
        <v>77</v>
      </c>
      <c r="D2283" s="2">
        <v>90</v>
      </c>
      <c r="E2283" s="2" t="s">
        <v>2283</v>
      </c>
    </row>
    <row r="2284" spans="1:5" x14ac:dyDescent="0.25">
      <c r="A2284" s="1">
        <v>77181</v>
      </c>
      <c r="B2284" s="2">
        <v>104</v>
      </c>
      <c r="C2284" s="2">
        <v>77</v>
      </c>
      <c r="D2284" s="2">
        <v>294</v>
      </c>
      <c r="E2284" s="2" t="s">
        <v>2284</v>
      </c>
    </row>
    <row r="2285" spans="1:5" x14ac:dyDescent="0.25">
      <c r="A2285" s="1">
        <v>77182</v>
      </c>
      <c r="B2285" s="2">
        <v>105</v>
      </c>
      <c r="C2285" s="2">
        <v>77</v>
      </c>
      <c r="D2285" s="2">
        <v>900</v>
      </c>
      <c r="E2285" s="2" t="s">
        <v>2285</v>
      </c>
    </row>
    <row r="2286" spans="1:5" x14ac:dyDescent="0.25">
      <c r="A2286" s="1">
        <v>77183</v>
      </c>
      <c r="B2286" s="2">
        <v>106</v>
      </c>
      <c r="C2286" s="2">
        <v>77</v>
      </c>
      <c r="D2286" s="2">
        <v>3480</v>
      </c>
      <c r="E2286" s="2" t="s">
        <v>2286</v>
      </c>
    </row>
    <row r="2287" spans="1:5" x14ac:dyDescent="0.25">
      <c r="A2287" s="1">
        <v>77184</v>
      </c>
      <c r="B2287" s="2">
        <v>107</v>
      </c>
      <c r="C2287" s="2">
        <v>77</v>
      </c>
      <c r="D2287" s="2">
        <v>11124</v>
      </c>
      <c r="E2287" s="2" t="s">
        <v>2287</v>
      </c>
    </row>
    <row r="2288" spans="1:5" x14ac:dyDescent="0.25">
      <c r="A2288" s="1">
        <v>77185</v>
      </c>
      <c r="B2288" s="2">
        <v>108</v>
      </c>
      <c r="C2288" s="2">
        <v>77</v>
      </c>
      <c r="D2288" s="2">
        <v>51840</v>
      </c>
      <c r="E2288" s="2" t="s">
        <v>2288</v>
      </c>
    </row>
    <row r="2289" spans="1:5" x14ac:dyDescent="0.25">
      <c r="A2289" s="1">
        <v>77186</v>
      </c>
      <c r="B2289" s="2">
        <v>109</v>
      </c>
      <c r="C2289" s="2">
        <v>77</v>
      </c>
      <c r="D2289" s="2">
        <v>59904</v>
      </c>
      <c r="E2289" s="2" t="s">
        <v>2289</v>
      </c>
    </row>
    <row r="2290" spans="1:5" x14ac:dyDescent="0.25">
      <c r="A2290" s="1">
        <v>77187</v>
      </c>
      <c r="B2290" s="2">
        <v>110</v>
      </c>
      <c r="C2290" s="2">
        <v>77</v>
      </c>
      <c r="D2290" s="2">
        <v>37800</v>
      </c>
      <c r="E2290" s="2" t="s">
        <v>2290</v>
      </c>
    </row>
    <row r="2291" spans="1:5" x14ac:dyDescent="0.25">
      <c r="A2291" s="1">
        <v>77188</v>
      </c>
      <c r="B2291" s="2">
        <v>111</v>
      </c>
      <c r="C2291" s="2">
        <v>77</v>
      </c>
      <c r="D2291" s="2">
        <v>149400</v>
      </c>
      <c r="E2291" s="2" t="s">
        <v>2291</v>
      </c>
    </row>
    <row r="2292" spans="1:5" x14ac:dyDescent="0.25">
      <c r="A2292" s="1">
        <v>77189</v>
      </c>
      <c r="B2292" s="2">
        <v>112</v>
      </c>
      <c r="C2292" s="2">
        <v>77</v>
      </c>
      <c r="D2292" s="2">
        <v>1140480</v>
      </c>
      <c r="E2292" s="2" t="s">
        <v>2292</v>
      </c>
    </row>
    <row r="2293" spans="1:5" x14ac:dyDescent="0.25">
      <c r="A2293" s="1">
        <v>77190</v>
      </c>
      <c r="B2293" s="2">
        <v>113</v>
      </c>
      <c r="C2293" s="2">
        <v>77</v>
      </c>
      <c r="D2293" s="2">
        <v>1017792</v>
      </c>
      <c r="E2293" s="2" t="s">
        <v>2293</v>
      </c>
    </row>
    <row r="2294" spans="1:5" x14ac:dyDescent="0.25">
      <c r="A2294" s="1">
        <v>77191</v>
      </c>
      <c r="B2294" s="2">
        <v>114</v>
      </c>
      <c r="C2294" s="2">
        <v>77</v>
      </c>
      <c r="D2294" s="2" t="s">
        <v>3</v>
      </c>
      <c r="E2294" s="2" t="s">
        <v>2294</v>
      </c>
    </row>
    <row r="2295" spans="1:5" x14ac:dyDescent="0.25">
      <c r="A2295" s="1">
        <v>77192</v>
      </c>
      <c r="B2295" s="2">
        <v>115</v>
      </c>
      <c r="C2295" s="2">
        <v>77</v>
      </c>
      <c r="D2295" s="2">
        <v>6378825.5999999996</v>
      </c>
      <c r="E2295" s="2" t="s">
        <v>2295</v>
      </c>
    </row>
    <row r="2296" spans="1:5" x14ac:dyDescent="0.25">
      <c r="A2296" s="1">
        <v>77193</v>
      </c>
      <c r="B2296" s="2">
        <v>116</v>
      </c>
      <c r="C2296" s="2">
        <v>77</v>
      </c>
      <c r="D2296" s="2" t="s">
        <v>3</v>
      </c>
      <c r="E2296" s="2" t="s">
        <v>2296</v>
      </c>
    </row>
    <row r="2297" spans="1:5" x14ac:dyDescent="0.25">
      <c r="A2297" s="1">
        <v>77194</v>
      </c>
      <c r="B2297" s="2">
        <v>117</v>
      </c>
      <c r="C2297" s="2">
        <v>77</v>
      </c>
      <c r="D2297" s="2">
        <v>69408</v>
      </c>
      <c r="E2297" s="2" t="s">
        <v>2297</v>
      </c>
    </row>
    <row r="2298" spans="1:5" x14ac:dyDescent="0.25">
      <c r="A2298" s="1">
        <v>77195</v>
      </c>
      <c r="B2298" s="2">
        <v>118</v>
      </c>
      <c r="C2298" s="2">
        <v>77</v>
      </c>
      <c r="D2298" s="2">
        <v>8244</v>
      </c>
      <c r="E2298" s="2" t="s">
        <v>2298</v>
      </c>
    </row>
    <row r="2299" spans="1:5" x14ac:dyDescent="0.25">
      <c r="A2299" s="1">
        <v>77196</v>
      </c>
      <c r="B2299" s="2">
        <v>119</v>
      </c>
      <c r="C2299" s="2">
        <v>77</v>
      </c>
      <c r="D2299" s="2">
        <v>52</v>
      </c>
      <c r="E2299" s="2" t="s">
        <v>2299</v>
      </c>
    </row>
    <row r="2300" spans="1:5" x14ac:dyDescent="0.25">
      <c r="A2300" s="1">
        <v>77197</v>
      </c>
      <c r="B2300" s="2">
        <v>120</v>
      </c>
      <c r="C2300" s="2">
        <v>77</v>
      </c>
      <c r="D2300" s="2">
        <v>348</v>
      </c>
      <c r="E2300" s="2" t="s">
        <v>2300</v>
      </c>
    </row>
    <row r="2301" spans="1:5" x14ac:dyDescent="0.25">
      <c r="A2301" s="1">
        <v>77198</v>
      </c>
      <c r="B2301" s="2">
        <v>121</v>
      </c>
      <c r="C2301" s="2">
        <v>77</v>
      </c>
      <c r="D2301" s="2">
        <v>8</v>
      </c>
      <c r="E2301" s="2" t="s">
        <v>2301</v>
      </c>
    </row>
    <row r="2302" spans="1:5" x14ac:dyDescent="0.25">
      <c r="A2302" s="1">
        <v>77199</v>
      </c>
      <c r="B2302" s="2">
        <v>122</v>
      </c>
      <c r="C2302" s="2">
        <v>77</v>
      </c>
      <c r="D2302" s="2">
        <v>6</v>
      </c>
      <c r="E2302" s="2" t="s">
        <v>2302</v>
      </c>
    </row>
    <row r="2303" spans="1:5" x14ac:dyDescent="0.25">
      <c r="A2303" s="1">
        <v>77200</v>
      </c>
      <c r="B2303" s="2">
        <v>123</v>
      </c>
      <c r="C2303" s="2">
        <v>77</v>
      </c>
      <c r="D2303" s="2">
        <v>2.9999999999999999E-7</v>
      </c>
      <c r="E2303" s="2" t="s">
        <v>2303</v>
      </c>
    </row>
    <row r="2304" spans="1:5" x14ac:dyDescent="0.25">
      <c r="A2304" s="1">
        <v>77201</v>
      </c>
      <c r="B2304" s="2">
        <v>124</v>
      </c>
      <c r="C2304" s="2">
        <v>77</v>
      </c>
      <c r="D2304" s="2">
        <v>2.9999999999999999E-7</v>
      </c>
      <c r="E2304" s="2" t="s">
        <v>2304</v>
      </c>
    </row>
    <row r="2305" spans="1:5" x14ac:dyDescent="0.25">
      <c r="A2305" s="1">
        <v>77202</v>
      </c>
      <c r="B2305" s="2">
        <v>125</v>
      </c>
      <c r="C2305" s="2">
        <v>77</v>
      </c>
      <c r="D2305" s="2">
        <v>11</v>
      </c>
      <c r="E2305" s="2" t="s">
        <v>2305</v>
      </c>
    </row>
    <row r="2306" spans="1:5" x14ac:dyDescent="0.25">
      <c r="A2306" s="1">
        <v>77203</v>
      </c>
      <c r="B2306" s="2">
        <v>126</v>
      </c>
      <c r="C2306" s="2">
        <v>77</v>
      </c>
      <c r="D2306" s="2">
        <v>1.6E-7</v>
      </c>
      <c r="E2306" s="2" t="s">
        <v>2306</v>
      </c>
    </row>
    <row r="2307" spans="1:5" x14ac:dyDescent="0.25">
      <c r="A2307" s="1">
        <v>77204</v>
      </c>
      <c r="B2307" s="2">
        <v>127</v>
      </c>
      <c r="C2307" s="2">
        <v>77</v>
      </c>
      <c r="D2307" s="2">
        <v>1.6E-7</v>
      </c>
      <c r="E2307" s="2" t="s">
        <v>2307</v>
      </c>
    </row>
    <row r="2308" spans="1:5" x14ac:dyDescent="0.25">
      <c r="A2308" s="1">
        <v>77205</v>
      </c>
      <c r="B2308" s="2">
        <v>128</v>
      </c>
      <c r="C2308" s="2">
        <v>77</v>
      </c>
      <c r="D2308" s="2">
        <v>1.6E-7</v>
      </c>
      <c r="E2308" s="2" t="s">
        <v>2308</v>
      </c>
    </row>
    <row r="2309" spans="1:5" x14ac:dyDescent="0.25">
      <c r="A2309" s="1">
        <v>78166</v>
      </c>
      <c r="B2309" s="2">
        <v>88</v>
      </c>
      <c r="C2309" s="2">
        <v>78</v>
      </c>
      <c r="D2309" s="2">
        <v>2.9999999999999997E-4</v>
      </c>
      <c r="E2309" s="2" t="s">
        <v>2309</v>
      </c>
    </row>
    <row r="2310" spans="1:5" x14ac:dyDescent="0.25">
      <c r="A2310" s="1">
        <v>78167</v>
      </c>
      <c r="B2310" s="2">
        <v>89</v>
      </c>
      <c r="C2310" s="2">
        <v>78</v>
      </c>
      <c r="D2310" s="2">
        <v>7.7999999999999999E-4</v>
      </c>
      <c r="E2310" s="2" t="s">
        <v>2310</v>
      </c>
    </row>
    <row r="2311" spans="1:5" x14ac:dyDescent="0.25">
      <c r="A2311" s="1">
        <v>78168</v>
      </c>
      <c r="B2311" s="2">
        <v>90</v>
      </c>
      <c r="C2311" s="2">
        <v>78</v>
      </c>
      <c r="D2311" s="2">
        <v>2.0200000000000001E-3</v>
      </c>
      <c r="E2311" s="2" t="s">
        <v>2311</v>
      </c>
    </row>
    <row r="2312" spans="1:5" x14ac:dyDescent="0.25">
      <c r="A2312" s="1">
        <v>78169</v>
      </c>
      <c r="B2312" s="2">
        <v>91</v>
      </c>
      <c r="C2312" s="2">
        <v>78</v>
      </c>
      <c r="D2312" s="2">
        <v>6.9899999999999997E-3</v>
      </c>
      <c r="E2312" s="2" t="s">
        <v>2312</v>
      </c>
    </row>
    <row r="2313" spans="1:5" x14ac:dyDescent="0.25">
      <c r="A2313" s="1">
        <v>78170</v>
      </c>
      <c r="B2313" s="2">
        <v>92</v>
      </c>
      <c r="C2313" s="2">
        <v>78</v>
      </c>
      <c r="D2313" s="2">
        <v>1.38E-2</v>
      </c>
      <c r="E2313" s="2" t="s">
        <v>2313</v>
      </c>
    </row>
    <row r="2314" spans="1:5" x14ac:dyDescent="0.25">
      <c r="A2314" s="1">
        <v>78171</v>
      </c>
      <c r="B2314" s="2">
        <v>93</v>
      </c>
      <c r="C2314" s="2">
        <v>78</v>
      </c>
      <c r="D2314" s="2">
        <v>4.5499999999999999E-2</v>
      </c>
      <c r="E2314" s="2" t="s">
        <v>2314</v>
      </c>
    </row>
    <row r="2315" spans="1:5" x14ac:dyDescent="0.25">
      <c r="A2315" s="1">
        <v>78172</v>
      </c>
      <c r="B2315" s="2">
        <v>94</v>
      </c>
      <c r="C2315" s="2">
        <v>78</v>
      </c>
      <c r="D2315" s="2">
        <v>9.7599999999999895E-2</v>
      </c>
      <c r="E2315" s="2" t="s">
        <v>2315</v>
      </c>
    </row>
    <row r="2316" spans="1:5" x14ac:dyDescent="0.25">
      <c r="A2316" s="1">
        <v>78173</v>
      </c>
      <c r="B2316" s="2">
        <v>95</v>
      </c>
      <c r="C2316" s="2">
        <v>78</v>
      </c>
      <c r="D2316" s="2">
        <v>0.38200000000000001</v>
      </c>
      <c r="E2316" s="2" t="s">
        <v>2316</v>
      </c>
    </row>
    <row r="2317" spans="1:5" x14ac:dyDescent="0.25">
      <c r="A2317" s="1">
        <v>78174</v>
      </c>
      <c r="B2317" s="2">
        <v>96</v>
      </c>
      <c r="C2317" s="2">
        <v>78</v>
      </c>
      <c r="D2317" s="2">
        <v>0.88900000000000001</v>
      </c>
      <c r="E2317" s="2" t="s">
        <v>2317</v>
      </c>
    </row>
    <row r="2318" spans="1:5" x14ac:dyDescent="0.25">
      <c r="A2318" s="1">
        <v>78175</v>
      </c>
      <c r="B2318" s="2">
        <v>97</v>
      </c>
      <c r="C2318" s="2">
        <v>78</v>
      </c>
      <c r="D2318" s="2">
        <v>2.5299999999999998</v>
      </c>
      <c r="E2318" s="2" t="s">
        <v>2318</v>
      </c>
    </row>
    <row r="2319" spans="1:5" x14ac:dyDescent="0.25">
      <c r="A2319" s="1">
        <v>78176</v>
      </c>
      <c r="B2319" s="2">
        <v>98</v>
      </c>
      <c r="C2319" s="2">
        <v>78</v>
      </c>
      <c r="D2319" s="2">
        <v>6.33</v>
      </c>
      <c r="E2319" s="2" t="s">
        <v>2319</v>
      </c>
    </row>
    <row r="2320" spans="1:5" x14ac:dyDescent="0.25">
      <c r="A2320" s="1">
        <v>78177</v>
      </c>
      <c r="B2320" s="2">
        <v>99</v>
      </c>
      <c r="C2320" s="2">
        <v>78</v>
      </c>
      <c r="D2320" s="2">
        <v>10.6</v>
      </c>
      <c r="E2320" s="2" t="s">
        <v>2320</v>
      </c>
    </row>
    <row r="2321" spans="1:5" x14ac:dyDescent="0.25">
      <c r="A2321" s="1">
        <v>78178</v>
      </c>
      <c r="B2321" s="2">
        <v>100</v>
      </c>
      <c r="C2321" s="2">
        <v>78</v>
      </c>
      <c r="D2321" s="2">
        <v>20.7</v>
      </c>
      <c r="E2321" s="2" t="s">
        <v>2321</v>
      </c>
    </row>
    <row r="2322" spans="1:5" x14ac:dyDescent="0.25">
      <c r="A2322" s="1">
        <v>78179</v>
      </c>
      <c r="B2322" s="2">
        <v>101</v>
      </c>
      <c r="C2322" s="2">
        <v>78</v>
      </c>
      <c r="D2322" s="2">
        <v>21.2</v>
      </c>
      <c r="E2322" s="2" t="s">
        <v>2322</v>
      </c>
    </row>
    <row r="2323" spans="1:5" x14ac:dyDescent="0.25">
      <c r="A2323" s="1">
        <v>78180</v>
      </c>
      <c r="B2323" s="2">
        <v>102</v>
      </c>
      <c r="C2323" s="2">
        <v>78</v>
      </c>
      <c r="D2323" s="2">
        <v>56</v>
      </c>
      <c r="E2323" s="2" t="s">
        <v>2323</v>
      </c>
    </row>
    <row r="2324" spans="1:5" x14ac:dyDescent="0.25">
      <c r="A2324" s="1">
        <v>78181</v>
      </c>
      <c r="B2324" s="2">
        <v>103</v>
      </c>
      <c r="C2324" s="2">
        <v>78</v>
      </c>
      <c r="D2324" s="2">
        <v>52</v>
      </c>
      <c r="E2324" s="2" t="s">
        <v>2324</v>
      </c>
    </row>
    <row r="2325" spans="1:5" x14ac:dyDescent="0.25">
      <c r="A2325" s="1">
        <v>78182</v>
      </c>
      <c r="B2325" s="2">
        <v>104</v>
      </c>
      <c r="C2325" s="2">
        <v>78</v>
      </c>
      <c r="D2325" s="2">
        <v>160.19999999999999</v>
      </c>
      <c r="E2325" s="2" t="s">
        <v>2325</v>
      </c>
    </row>
    <row r="2326" spans="1:5" x14ac:dyDescent="0.25">
      <c r="A2326" s="1">
        <v>78183</v>
      </c>
      <c r="B2326" s="2">
        <v>105</v>
      </c>
      <c r="C2326" s="2">
        <v>78</v>
      </c>
      <c r="D2326" s="2">
        <v>43</v>
      </c>
      <c r="E2326" s="2" t="s">
        <v>2326</v>
      </c>
    </row>
    <row r="2327" spans="1:5" x14ac:dyDescent="0.25">
      <c r="A2327" s="1">
        <v>78184</v>
      </c>
      <c r="B2327" s="2">
        <v>106</v>
      </c>
      <c r="C2327" s="2">
        <v>78</v>
      </c>
      <c r="D2327" s="2">
        <v>1038</v>
      </c>
      <c r="E2327" s="2" t="s">
        <v>2327</v>
      </c>
    </row>
    <row r="2328" spans="1:5" x14ac:dyDescent="0.25">
      <c r="A2328" s="1">
        <v>78185</v>
      </c>
      <c r="B2328" s="2">
        <v>107</v>
      </c>
      <c r="C2328" s="2">
        <v>78</v>
      </c>
      <c r="D2328" s="2">
        <v>4254</v>
      </c>
      <c r="E2328" s="2" t="s">
        <v>2328</v>
      </c>
    </row>
    <row r="2329" spans="1:5" x14ac:dyDescent="0.25">
      <c r="A2329" s="1">
        <v>78186</v>
      </c>
      <c r="B2329" s="2">
        <v>108</v>
      </c>
      <c r="C2329" s="2">
        <v>78</v>
      </c>
      <c r="D2329" s="2">
        <v>7488</v>
      </c>
      <c r="E2329" s="2" t="s">
        <v>2329</v>
      </c>
    </row>
    <row r="2330" spans="1:5" x14ac:dyDescent="0.25">
      <c r="A2330" s="1">
        <v>78187</v>
      </c>
      <c r="B2330" s="2">
        <v>109</v>
      </c>
      <c r="C2330" s="2">
        <v>78</v>
      </c>
      <c r="D2330" s="2">
        <v>8460</v>
      </c>
      <c r="E2330" s="2" t="s">
        <v>2330</v>
      </c>
    </row>
    <row r="2331" spans="1:5" x14ac:dyDescent="0.25">
      <c r="A2331" s="1">
        <v>78188</v>
      </c>
      <c r="B2331" s="2">
        <v>110</v>
      </c>
      <c r="C2331" s="2">
        <v>78</v>
      </c>
      <c r="D2331" s="2">
        <v>881279.99999999895</v>
      </c>
      <c r="E2331" s="2" t="s">
        <v>2331</v>
      </c>
    </row>
    <row r="2332" spans="1:5" x14ac:dyDescent="0.25">
      <c r="A2332" s="1">
        <v>78189</v>
      </c>
      <c r="B2332" s="2">
        <v>111</v>
      </c>
      <c r="C2332" s="2">
        <v>78</v>
      </c>
      <c r="D2332" s="2">
        <v>39132</v>
      </c>
      <c r="E2332" s="2" t="s">
        <v>2332</v>
      </c>
    </row>
    <row r="2333" spans="1:5" x14ac:dyDescent="0.25">
      <c r="A2333" s="1">
        <v>78190</v>
      </c>
      <c r="B2333" s="2">
        <v>112</v>
      </c>
      <c r="C2333" s="2">
        <v>78</v>
      </c>
      <c r="D2333" s="2">
        <v>2.051244E+19</v>
      </c>
      <c r="E2333" s="2" t="s">
        <v>2333</v>
      </c>
    </row>
    <row r="2334" spans="1:5" x14ac:dyDescent="0.25">
      <c r="A2334" s="1">
        <v>78191</v>
      </c>
      <c r="B2334" s="2">
        <v>113</v>
      </c>
      <c r="C2334" s="2">
        <v>78</v>
      </c>
      <c r="D2334" s="2">
        <v>244512</v>
      </c>
      <c r="E2334" s="2" t="s">
        <v>2334</v>
      </c>
    </row>
    <row r="2335" spans="1:5" x14ac:dyDescent="0.25">
      <c r="A2335" s="1">
        <v>78192</v>
      </c>
      <c r="B2335" s="2">
        <v>114</v>
      </c>
      <c r="C2335" s="2">
        <v>78</v>
      </c>
      <c r="D2335" s="2" t="s">
        <v>3</v>
      </c>
      <c r="E2335" s="2" t="s">
        <v>2335</v>
      </c>
    </row>
    <row r="2336" spans="1:5" x14ac:dyDescent="0.25">
      <c r="A2336" s="1">
        <v>78193</v>
      </c>
      <c r="B2336" s="2">
        <v>115</v>
      </c>
      <c r="C2336" s="2">
        <v>78</v>
      </c>
      <c r="D2336" s="2">
        <v>1577880000</v>
      </c>
      <c r="E2336" s="2" t="s">
        <v>2336</v>
      </c>
    </row>
    <row r="2337" spans="1:5" x14ac:dyDescent="0.25">
      <c r="A2337" s="1">
        <v>78194</v>
      </c>
      <c r="B2337" s="2">
        <v>116</v>
      </c>
      <c r="C2337" s="2">
        <v>78</v>
      </c>
      <c r="D2337" s="2" t="s">
        <v>3</v>
      </c>
      <c r="E2337" s="2" t="s">
        <v>2337</v>
      </c>
    </row>
    <row r="2338" spans="1:5" x14ac:dyDescent="0.25">
      <c r="A2338" s="1">
        <v>78195</v>
      </c>
      <c r="B2338" s="2">
        <v>117</v>
      </c>
      <c r="C2338" s="2">
        <v>78</v>
      </c>
      <c r="D2338" s="2" t="s">
        <v>3</v>
      </c>
      <c r="E2338" s="2" t="s">
        <v>2338</v>
      </c>
    </row>
    <row r="2339" spans="1:5" x14ac:dyDescent="0.25">
      <c r="A2339" s="1">
        <v>78196</v>
      </c>
      <c r="B2339" s="2">
        <v>118</v>
      </c>
      <c r="C2339" s="2">
        <v>78</v>
      </c>
      <c r="D2339" s="2" t="s">
        <v>3</v>
      </c>
      <c r="E2339" s="2" t="s">
        <v>2339</v>
      </c>
    </row>
    <row r="2340" spans="1:5" x14ac:dyDescent="0.25">
      <c r="A2340" s="1">
        <v>78197</v>
      </c>
      <c r="B2340" s="2">
        <v>119</v>
      </c>
      <c r="C2340" s="2">
        <v>78</v>
      </c>
      <c r="D2340" s="2">
        <v>71609.399999999994</v>
      </c>
      <c r="E2340" s="2" t="s">
        <v>2340</v>
      </c>
    </row>
    <row r="2341" spans="1:5" x14ac:dyDescent="0.25">
      <c r="A2341" s="1">
        <v>78198</v>
      </c>
      <c r="B2341" s="2">
        <v>120</v>
      </c>
      <c r="C2341" s="2">
        <v>78</v>
      </c>
      <c r="D2341" s="2" t="s">
        <v>3</v>
      </c>
      <c r="E2341" s="2" t="s">
        <v>2341</v>
      </c>
    </row>
    <row r="2342" spans="1:5" x14ac:dyDescent="0.25">
      <c r="A2342" s="1">
        <v>78199</v>
      </c>
      <c r="B2342" s="2">
        <v>121</v>
      </c>
      <c r="C2342" s="2">
        <v>78</v>
      </c>
      <c r="D2342" s="2">
        <v>1848</v>
      </c>
      <c r="E2342" s="2" t="s">
        <v>2342</v>
      </c>
    </row>
    <row r="2343" spans="1:5" x14ac:dyDescent="0.25">
      <c r="A2343" s="1">
        <v>78200</v>
      </c>
      <c r="B2343" s="2">
        <v>122</v>
      </c>
      <c r="C2343" s="2">
        <v>78</v>
      </c>
      <c r="D2343" s="2">
        <v>45360</v>
      </c>
      <c r="E2343" s="2" t="s">
        <v>2343</v>
      </c>
    </row>
    <row r="2344" spans="1:5" x14ac:dyDescent="0.25">
      <c r="A2344" s="1">
        <v>78201</v>
      </c>
      <c r="B2344" s="2">
        <v>123</v>
      </c>
      <c r="C2344" s="2">
        <v>78</v>
      </c>
      <c r="D2344" s="2">
        <v>150</v>
      </c>
      <c r="E2344" s="2" t="s">
        <v>2344</v>
      </c>
    </row>
    <row r="2345" spans="1:5" x14ac:dyDescent="0.25">
      <c r="A2345" s="1">
        <v>78202</v>
      </c>
      <c r="B2345" s="2">
        <v>124</v>
      </c>
      <c r="C2345" s="2">
        <v>78</v>
      </c>
      <c r="D2345" s="2">
        <v>158400</v>
      </c>
      <c r="E2345" s="2" t="s">
        <v>2345</v>
      </c>
    </row>
    <row r="2346" spans="1:5" x14ac:dyDescent="0.25">
      <c r="A2346" s="1">
        <v>78203</v>
      </c>
      <c r="B2346" s="2">
        <v>125</v>
      </c>
      <c r="C2346" s="2">
        <v>78</v>
      </c>
      <c r="D2346" s="2">
        <v>10</v>
      </c>
      <c r="E2346" s="2" t="s">
        <v>2346</v>
      </c>
    </row>
    <row r="2347" spans="1:5" x14ac:dyDescent="0.25">
      <c r="A2347" s="1">
        <v>78204</v>
      </c>
      <c r="B2347" s="2">
        <v>126</v>
      </c>
      <c r="C2347" s="2">
        <v>78</v>
      </c>
      <c r="D2347" s="2">
        <v>10.3</v>
      </c>
      <c r="E2347" s="2" t="s">
        <v>2347</v>
      </c>
    </row>
    <row r="2348" spans="1:5" x14ac:dyDescent="0.25">
      <c r="A2348" s="1">
        <v>78205</v>
      </c>
      <c r="B2348" s="2">
        <v>127</v>
      </c>
      <c r="C2348" s="2">
        <v>78</v>
      </c>
      <c r="D2348" s="2">
        <v>2.9999999999999999E-7</v>
      </c>
      <c r="E2348" s="2" t="s">
        <v>2348</v>
      </c>
    </row>
    <row r="2349" spans="1:5" x14ac:dyDescent="0.25">
      <c r="A2349" s="1">
        <v>78206</v>
      </c>
      <c r="B2349" s="2">
        <v>128</v>
      </c>
      <c r="C2349" s="2">
        <v>78</v>
      </c>
      <c r="D2349" s="2">
        <v>1.6E-7</v>
      </c>
      <c r="E2349" s="2" t="s">
        <v>2349</v>
      </c>
    </row>
    <row r="2350" spans="1:5" x14ac:dyDescent="0.25">
      <c r="A2350" s="1">
        <v>78207</v>
      </c>
      <c r="B2350" s="2">
        <v>129</v>
      </c>
      <c r="C2350" s="2">
        <v>78</v>
      </c>
      <c r="D2350" s="2">
        <v>1.6E-7</v>
      </c>
      <c r="E2350" s="2" t="s">
        <v>2350</v>
      </c>
    </row>
    <row r="2351" spans="1:5" x14ac:dyDescent="0.25">
      <c r="A2351" s="1">
        <v>78208</v>
      </c>
      <c r="B2351" s="2">
        <v>130</v>
      </c>
      <c r="C2351" s="2">
        <v>78</v>
      </c>
      <c r="D2351" s="2">
        <v>1.6E-7</v>
      </c>
      <c r="E2351" s="2" t="s">
        <v>2351</v>
      </c>
    </row>
    <row r="2352" spans="1:5" x14ac:dyDescent="0.25">
      <c r="A2352" s="1">
        <v>79170</v>
      </c>
      <c r="B2352" s="2">
        <v>91</v>
      </c>
      <c r="C2352" s="2">
        <v>79</v>
      </c>
      <c r="D2352" s="2">
        <v>2.8600000000000001E-4</v>
      </c>
      <c r="E2352" s="2" t="s">
        <v>2352</v>
      </c>
    </row>
    <row r="2353" spans="1:5" x14ac:dyDescent="0.25">
      <c r="A2353" s="1">
        <v>79171</v>
      </c>
      <c r="B2353" s="2">
        <v>92</v>
      </c>
      <c r="C2353" s="2">
        <v>79</v>
      </c>
      <c r="D2353" s="2">
        <v>1.7E-5</v>
      </c>
      <c r="E2353" s="2" t="s">
        <v>2353</v>
      </c>
    </row>
    <row r="2354" spans="1:5" x14ac:dyDescent="0.25">
      <c r="A2354" s="1">
        <v>79172</v>
      </c>
      <c r="B2354" s="2">
        <v>93</v>
      </c>
      <c r="C2354" s="2">
        <v>79</v>
      </c>
      <c r="D2354" s="2">
        <v>2.1999999999999999E-2</v>
      </c>
      <c r="E2354" s="2" t="s">
        <v>2354</v>
      </c>
    </row>
    <row r="2355" spans="1:5" x14ac:dyDescent="0.25">
      <c r="A2355" s="1">
        <v>79173</v>
      </c>
      <c r="B2355" s="2">
        <v>94</v>
      </c>
      <c r="C2355" s="2">
        <v>79</v>
      </c>
      <c r="D2355" s="2">
        <v>2.63E-2</v>
      </c>
      <c r="E2355" s="2" t="s">
        <v>2355</v>
      </c>
    </row>
    <row r="2356" spans="1:5" x14ac:dyDescent="0.25">
      <c r="A2356" s="1">
        <v>79174</v>
      </c>
      <c r="B2356" s="2">
        <v>95</v>
      </c>
      <c r="C2356" s="2">
        <v>79</v>
      </c>
      <c r="D2356" s="2">
        <v>0.13900000000000001</v>
      </c>
      <c r="E2356" s="2" t="s">
        <v>2356</v>
      </c>
    </row>
    <row r="2357" spans="1:5" x14ac:dyDescent="0.25">
      <c r="A2357" s="1">
        <v>79176</v>
      </c>
      <c r="B2357" s="2">
        <v>97</v>
      </c>
      <c r="C2357" s="2">
        <v>79</v>
      </c>
      <c r="D2357" s="2">
        <v>1.05</v>
      </c>
      <c r="E2357" s="2" t="s">
        <v>2357</v>
      </c>
    </row>
    <row r="2358" spans="1:5" x14ac:dyDescent="0.25">
      <c r="A2358" s="1">
        <v>79177</v>
      </c>
      <c r="B2358" s="2">
        <v>98</v>
      </c>
      <c r="C2358" s="2">
        <v>79</v>
      </c>
      <c r="D2358" s="2">
        <v>1.53</v>
      </c>
      <c r="E2358" s="2" t="s">
        <v>2358</v>
      </c>
    </row>
    <row r="2359" spans="1:5" x14ac:dyDescent="0.25">
      <c r="A2359" s="1">
        <v>79178</v>
      </c>
      <c r="B2359" s="2">
        <v>99</v>
      </c>
      <c r="C2359" s="2">
        <v>79</v>
      </c>
      <c r="D2359" s="2">
        <v>2.6</v>
      </c>
      <c r="E2359" s="2" t="s">
        <v>2359</v>
      </c>
    </row>
    <row r="2360" spans="1:5" x14ac:dyDescent="0.25">
      <c r="A2360" s="1">
        <v>79179</v>
      </c>
      <c r="B2360" s="2">
        <v>100</v>
      </c>
      <c r="C2360" s="2">
        <v>79</v>
      </c>
      <c r="D2360" s="2">
        <v>7.1</v>
      </c>
      <c r="E2360" s="2" t="s">
        <v>2360</v>
      </c>
    </row>
    <row r="2361" spans="1:5" x14ac:dyDescent="0.25">
      <c r="A2361" s="1">
        <v>79180</v>
      </c>
      <c r="B2361" s="2">
        <v>101</v>
      </c>
      <c r="C2361" s="2">
        <v>79</v>
      </c>
      <c r="D2361" s="2">
        <v>8.4</v>
      </c>
      <c r="E2361" s="2" t="s">
        <v>2361</v>
      </c>
    </row>
    <row r="2362" spans="1:5" x14ac:dyDescent="0.25">
      <c r="A2362" s="1">
        <v>79181</v>
      </c>
      <c r="B2362" s="2">
        <v>102</v>
      </c>
      <c r="C2362" s="2">
        <v>79</v>
      </c>
      <c r="D2362" s="2">
        <v>13.7</v>
      </c>
      <c r="E2362" s="2" t="s">
        <v>2362</v>
      </c>
    </row>
    <row r="2363" spans="1:5" x14ac:dyDescent="0.25">
      <c r="A2363" s="1">
        <v>79182</v>
      </c>
      <c r="B2363" s="2">
        <v>103</v>
      </c>
      <c r="C2363" s="2">
        <v>79</v>
      </c>
      <c r="D2363" s="2">
        <v>15.5</v>
      </c>
      <c r="E2363" s="2" t="s">
        <v>2363</v>
      </c>
    </row>
    <row r="2364" spans="1:5" x14ac:dyDescent="0.25">
      <c r="A2364" s="1">
        <v>79183</v>
      </c>
      <c r="B2364" s="2">
        <v>104</v>
      </c>
      <c r="C2364" s="2">
        <v>79</v>
      </c>
      <c r="D2364" s="2">
        <v>42.8</v>
      </c>
      <c r="E2364" s="2" t="s">
        <v>2364</v>
      </c>
    </row>
    <row r="2365" spans="1:5" x14ac:dyDescent="0.25">
      <c r="A2365" s="1">
        <v>79184</v>
      </c>
      <c r="B2365" s="2">
        <v>105</v>
      </c>
      <c r="C2365" s="2">
        <v>79</v>
      </c>
      <c r="D2365" s="2">
        <v>20.6</v>
      </c>
      <c r="E2365" s="2" t="s">
        <v>2365</v>
      </c>
    </row>
    <row r="2366" spans="1:5" x14ac:dyDescent="0.25">
      <c r="A2366" s="1">
        <v>79185</v>
      </c>
      <c r="B2366" s="2">
        <v>106</v>
      </c>
      <c r="C2366" s="2">
        <v>79</v>
      </c>
      <c r="D2366" s="2">
        <v>255</v>
      </c>
      <c r="E2366" s="2" t="s">
        <v>2366</v>
      </c>
    </row>
    <row r="2367" spans="1:5" x14ac:dyDescent="0.25">
      <c r="A2367" s="1">
        <v>79186</v>
      </c>
      <c r="B2367" s="2">
        <v>107</v>
      </c>
      <c r="C2367" s="2">
        <v>79</v>
      </c>
      <c r="D2367" s="2">
        <v>642</v>
      </c>
      <c r="E2367" s="2" t="s">
        <v>2367</v>
      </c>
    </row>
    <row r="2368" spans="1:5" x14ac:dyDescent="0.25">
      <c r="A2368" s="1">
        <v>79187</v>
      </c>
      <c r="B2368" s="2">
        <v>108</v>
      </c>
      <c r="C2368" s="2">
        <v>79</v>
      </c>
      <c r="D2368" s="2">
        <v>504</v>
      </c>
      <c r="E2368" s="2" t="s">
        <v>2368</v>
      </c>
    </row>
    <row r="2369" spans="1:5" x14ac:dyDescent="0.25">
      <c r="A2369" s="1">
        <v>79188</v>
      </c>
      <c r="B2369" s="2">
        <v>109</v>
      </c>
      <c r="C2369" s="2">
        <v>79</v>
      </c>
      <c r="D2369" s="2">
        <v>530.4</v>
      </c>
      <c r="E2369" s="2" t="s">
        <v>2369</v>
      </c>
    </row>
    <row r="2370" spans="1:5" x14ac:dyDescent="0.25">
      <c r="A2370" s="1">
        <v>79189</v>
      </c>
      <c r="B2370" s="2">
        <v>110</v>
      </c>
      <c r="C2370" s="2">
        <v>79</v>
      </c>
      <c r="D2370" s="2">
        <v>1722</v>
      </c>
      <c r="E2370" s="2" t="s">
        <v>2370</v>
      </c>
    </row>
    <row r="2371" spans="1:5" x14ac:dyDescent="0.25">
      <c r="A2371" s="1">
        <v>79190</v>
      </c>
      <c r="B2371" s="2">
        <v>111</v>
      </c>
      <c r="C2371" s="2">
        <v>79</v>
      </c>
      <c r="D2371" s="2">
        <v>2568</v>
      </c>
      <c r="E2371" s="2" t="s">
        <v>2371</v>
      </c>
    </row>
    <row r="2372" spans="1:5" x14ac:dyDescent="0.25">
      <c r="A2372" s="1">
        <v>79191</v>
      </c>
      <c r="B2372" s="2">
        <v>112</v>
      </c>
      <c r="C2372" s="2">
        <v>79</v>
      </c>
      <c r="D2372" s="2">
        <v>11448</v>
      </c>
      <c r="E2372" s="2" t="s">
        <v>2372</v>
      </c>
    </row>
    <row r="2373" spans="1:5" x14ac:dyDescent="0.25">
      <c r="A2373" s="1">
        <v>79192</v>
      </c>
      <c r="B2373" s="2">
        <v>113</v>
      </c>
      <c r="C2373" s="2">
        <v>79</v>
      </c>
      <c r="D2373" s="2">
        <v>17784</v>
      </c>
      <c r="E2373" s="2" t="s">
        <v>2373</v>
      </c>
    </row>
    <row r="2374" spans="1:5" x14ac:dyDescent="0.25">
      <c r="A2374" s="1">
        <v>79193</v>
      </c>
      <c r="B2374" s="2">
        <v>114</v>
      </c>
      <c r="C2374" s="2">
        <v>79</v>
      </c>
      <c r="D2374" s="2">
        <v>63539.999999999898</v>
      </c>
      <c r="E2374" s="2" t="s">
        <v>2374</v>
      </c>
    </row>
    <row r="2375" spans="1:5" x14ac:dyDescent="0.25">
      <c r="A2375" s="1">
        <v>79194</v>
      </c>
      <c r="B2375" s="2">
        <v>115</v>
      </c>
      <c r="C2375" s="2">
        <v>79</v>
      </c>
      <c r="D2375" s="2">
        <v>136872</v>
      </c>
      <c r="E2375" s="2" t="s">
        <v>2375</v>
      </c>
    </row>
    <row r="2376" spans="1:5" x14ac:dyDescent="0.25">
      <c r="A2376" s="1">
        <v>79195</v>
      </c>
      <c r="B2376" s="2">
        <v>116</v>
      </c>
      <c r="C2376" s="2">
        <v>79</v>
      </c>
      <c r="D2376" s="2">
        <v>16071264</v>
      </c>
      <c r="E2376" s="2" t="s">
        <v>2376</v>
      </c>
    </row>
    <row r="2377" spans="1:5" x14ac:dyDescent="0.25">
      <c r="A2377" s="1">
        <v>79196</v>
      </c>
      <c r="B2377" s="2">
        <v>117</v>
      </c>
      <c r="C2377" s="2">
        <v>79</v>
      </c>
      <c r="D2377" s="2">
        <v>532820.16</v>
      </c>
      <c r="E2377" s="2" t="s">
        <v>2377</v>
      </c>
    </row>
    <row r="2378" spans="1:5" x14ac:dyDescent="0.25">
      <c r="A2378" s="1">
        <v>79197</v>
      </c>
      <c r="B2378" s="2">
        <v>118</v>
      </c>
      <c r="C2378" s="2">
        <v>79</v>
      </c>
      <c r="D2378" s="2" t="s">
        <v>3</v>
      </c>
      <c r="E2378" s="2" t="s">
        <v>2378</v>
      </c>
    </row>
    <row r="2379" spans="1:5" x14ac:dyDescent="0.25">
      <c r="A2379" s="1">
        <v>79198</v>
      </c>
      <c r="B2379" s="2">
        <v>119</v>
      </c>
      <c r="C2379" s="2">
        <v>79</v>
      </c>
      <c r="D2379" s="2">
        <v>232770.24</v>
      </c>
      <c r="E2379" s="2" t="s">
        <v>2379</v>
      </c>
    </row>
    <row r="2380" spans="1:5" x14ac:dyDescent="0.25">
      <c r="A2380" s="1">
        <v>79199</v>
      </c>
      <c r="B2380" s="2">
        <v>120</v>
      </c>
      <c r="C2380" s="2">
        <v>79</v>
      </c>
      <c r="D2380" s="2">
        <v>271209.59999999998</v>
      </c>
      <c r="E2380" s="2" t="s">
        <v>2380</v>
      </c>
    </row>
    <row r="2381" spans="1:5" x14ac:dyDescent="0.25">
      <c r="A2381" s="1">
        <v>79200</v>
      </c>
      <c r="B2381" s="2">
        <v>121</v>
      </c>
      <c r="C2381" s="2">
        <v>79</v>
      </c>
      <c r="D2381" s="2">
        <v>2904</v>
      </c>
      <c r="E2381" s="2" t="s">
        <v>2381</v>
      </c>
    </row>
    <row r="2382" spans="1:5" x14ac:dyDescent="0.25">
      <c r="A2382" s="1">
        <v>79201</v>
      </c>
      <c r="B2382" s="2">
        <v>122</v>
      </c>
      <c r="C2382" s="2">
        <v>79</v>
      </c>
      <c r="D2382" s="2">
        <v>1560</v>
      </c>
      <c r="E2382" s="2" t="s">
        <v>2382</v>
      </c>
    </row>
    <row r="2383" spans="1:5" x14ac:dyDescent="0.25">
      <c r="A2383" s="1">
        <v>79202</v>
      </c>
      <c r="B2383" s="2">
        <v>123</v>
      </c>
      <c r="C2383" s="2">
        <v>79</v>
      </c>
      <c r="D2383" s="2">
        <v>28.4</v>
      </c>
      <c r="E2383" s="2" t="s">
        <v>2383</v>
      </c>
    </row>
    <row r="2384" spans="1:5" x14ac:dyDescent="0.25">
      <c r="A2384" s="1">
        <v>79203</v>
      </c>
      <c r="B2384" s="2">
        <v>124</v>
      </c>
      <c r="C2384" s="2">
        <v>79</v>
      </c>
      <c r="D2384" s="2">
        <v>60</v>
      </c>
      <c r="E2384" s="2" t="s">
        <v>2384</v>
      </c>
    </row>
    <row r="2385" spans="1:5" x14ac:dyDescent="0.25">
      <c r="A2385" s="1">
        <v>79204</v>
      </c>
      <c r="B2385" s="2">
        <v>125</v>
      </c>
      <c r="C2385" s="2">
        <v>79</v>
      </c>
      <c r="D2385" s="2">
        <v>39.799999999999997</v>
      </c>
      <c r="E2385" s="2" t="s">
        <v>2385</v>
      </c>
    </row>
    <row r="2386" spans="1:5" x14ac:dyDescent="0.25">
      <c r="A2386" s="1">
        <v>79205</v>
      </c>
      <c r="B2386" s="2">
        <v>126</v>
      </c>
      <c r="C2386" s="2">
        <v>79</v>
      </c>
      <c r="D2386" s="2">
        <v>32.5</v>
      </c>
      <c r="E2386" s="2" t="s">
        <v>2386</v>
      </c>
    </row>
    <row r="2387" spans="1:5" x14ac:dyDescent="0.25">
      <c r="A2387" s="1">
        <v>79206</v>
      </c>
      <c r="B2387" s="2">
        <v>127</v>
      </c>
      <c r="C2387" s="2">
        <v>79</v>
      </c>
      <c r="D2387" s="2">
        <v>40</v>
      </c>
      <c r="E2387" s="2" t="s">
        <v>2387</v>
      </c>
    </row>
    <row r="2388" spans="1:5" x14ac:dyDescent="0.25">
      <c r="A2388" s="1">
        <v>79207</v>
      </c>
      <c r="B2388" s="2">
        <v>128</v>
      </c>
      <c r="C2388" s="2">
        <v>79</v>
      </c>
      <c r="D2388" s="2">
        <v>2.9999999999999999E-7</v>
      </c>
      <c r="E2388" s="2" t="s">
        <v>2388</v>
      </c>
    </row>
    <row r="2389" spans="1:5" x14ac:dyDescent="0.25">
      <c r="A2389" s="1">
        <v>79208</v>
      </c>
      <c r="B2389" s="2">
        <v>129</v>
      </c>
      <c r="C2389" s="2">
        <v>79</v>
      </c>
      <c r="D2389" s="2">
        <v>2.9999999999999999E-7</v>
      </c>
      <c r="E2389" s="2" t="s">
        <v>2389</v>
      </c>
    </row>
    <row r="2390" spans="1:5" x14ac:dyDescent="0.25">
      <c r="A2390" s="1">
        <v>79209</v>
      </c>
      <c r="B2390" s="2">
        <v>130</v>
      </c>
      <c r="C2390" s="2">
        <v>79</v>
      </c>
      <c r="D2390" s="2">
        <v>2.9999999999999999E-7</v>
      </c>
      <c r="E2390" s="2" t="s">
        <v>2390</v>
      </c>
    </row>
    <row r="2391" spans="1:5" x14ac:dyDescent="0.25">
      <c r="A2391" s="1">
        <v>79210</v>
      </c>
      <c r="B2391" s="2">
        <v>131</v>
      </c>
      <c r="C2391" s="2">
        <v>79</v>
      </c>
      <c r="D2391" s="2">
        <v>2.9999999999999999E-7</v>
      </c>
      <c r="E2391" s="2" t="s">
        <v>2391</v>
      </c>
    </row>
    <row r="2392" spans="1:5" x14ac:dyDescent="0.25">
      <c r="A2392" s="1">
        <v>80171</v>
      </c>
      <c r="B2392" s="2">
        <v>91</v>
      </c>
      <c r="C2392" s="2">
        <v>80</v>
      </c>
      <c r="D2392" s="2">
        <v>5.8999999999999998E-5</v>
      </c>
      <c r="E2392" s="2" t="s">
        <v>2392</v>
      </c>
    </row>
    <row r="2393" spans="1:5" x14ac:dyDescent="0.25">
      <c r="A2393" s="1">
        <v>80172</v>
      </c>
      <c r="B2393" s="2">
        <v>92</v>
      </c>
      <c r="C2393" s="2">
        <v>80</v>
      </c>
      <c r="D2393" s="2">
        <v>2.30999999999999E-4</v>
      </c>
      <c r="E2393" s="2" t="s">
        <v>2393</v>
      </c>
    </row>
    <row r="2394" spans="1:5" x14ac:dyDescent="0.25">
      <c r="A2394" s="1">
        <v>80173</v>
      </c>
      <c r="B2394" s="2">
        <v>93</v>
      </c>
      <c r="C2394" s="2">
        <v>80</v>
      </c>
      <c r="D2394" s="2">
        <v>8.0000000000000004E-4</v>
      </c>
      <c r="E2394" s="2" t="s">
        <v>2394</v>
      </c>
    </row>
    <row r="2395" spans="1:5" x14ac:dyDescent="0.25">
      <c r="A2395" s="1">
        <v>80174</v>
      </c>
      <c r="B2395" s="2">
        <v>94</v>
      </c>
      <c r="C2395" s="2">
        <v>80</v>
      </c>
      <c r="D2395" s="2">
        <v>2.0999999999999999E-3</v>
      </c>
      <c r="E2395" s="2" t="s">
        <v>2395</v>
      </c>
    </row>
    <row r="2396" spans="1:5" x14ac:dyDescent="0.25">
      <c r="A2396" s="1">
        <v>80175</v>
      </c>
      <c r="B2396" s="2">
        <v>95</v>
      </c>
      <c r="C2396" s="2">
        <v>80</v>
      </c>
      <c r="D2396" s="2">
        <v>1.06E-2</v>
      </c>
      <c r="E2396" s="2" t="s">
        <v>2396</v>
      </c>
    </row>
    <row r="2397" spans="1:5" x14ac:dyDescent="0.25">
      <c r="A2397" s="1">
        <v>80176</v>
      </c>
      <c r="B2397" s="2">
        <v>96</v>
      </c>
      <c r="C2397" s="2">
        <v>80</v>
      </c>
      <c r="D2397" s="2">
        <v>2.0299999999999999E-2</v>
      </c>
      <c r="E2397" s="2" t="s">
        <v>2397</v>
      </c>
    </row>
    <row r="2398" spans="1:5" x14ac:dyDescent="0.25">
      <c r="A2398" s="1">
        <v>80177</v>
      </c>
      <c r="B2398" s="2">
        <v>97</v>
      </c>
      <c r="C2398" s="2">
        <v>80</v>
      </c>
      <c r="D2398" s="2">
        <v>0.11799999999999999</v>
      </c>
      <c r="E2398" s="2" t="s">
        <v>2398</v>
      </c>
    </row>
    <row r="2399" spans="1:5" x14ac:dyDescent="0.25">
      <c r="A2399" s="1">
        <v>80178</v>
      </c>
      <c r="B2399" s="2">
        <v>98</v>
      </c>
      <c r="C2399" s="2">
        <v>80</v>
      </c>
      <c r="D2399" s="2">
        <v>0.26650000000000001</v>
      </c>
      <c r="E2399" s="2" t="s">
        <v>2399</v>
      </c>
    </row>
    <row r="2400" spans="1:5" x14ac:dyDescent="0.25">
      <c r="A2400" s="1">
        <v>80179</v>
      </c>
      <c r="B2400" s="2">
        <v>99</v>
      </c>
      <c r="C2400" s="2">
        <v>80</v>
      </c>
      <c r="D2400" s="2">
        <v>1.05</v>
      </c>
      <c r="E2400" s="2" t="s">
        <v>2400</v>
      </c>
    </row>
    <row r="2401" spans="1:5" x14ac:dyDescent="0.25">
      <c r="A2401" s="1">
        <v>80180</v>
      </c>
      <c r="B2401" s="2">
        <v>100</v>
      </c>
      <c r="C2401" s="2">
        <v>80</v>
      </c>
      <c r="D2401" s="2">
        <v>2.59</v>
      </c>
      <c r="E2401" s="2" t="s">
        <v>2401</v>
      </c>
    </row>
    <row r="2402" spans="1:5" x14ac:dyDescent="0.25">
      <c r="A2402" s="1">
        <v>80181</v>
      </c>
      <c r="B2402" s="2">
        <v>101</v>
      </c>
      <c r="C2402" s="2">
        <v>80</v>
      </c>
      <c r="D2402" s="2">
        <v>3.6</v>
      </c>
      <c r="E2402" s="2" t="s">
        <v>2402</v>
      </c>
    </row>
    <row r="2403" spans="1:5" x14ac:dyDescent="0.25">
      <c r="A2403" s="1">
        <v>80182</v>
      </c>
      <c r="B2403" s="2">
        <v>102</v>
      </c>
      <c r="C2403" s="2">
        <v>80</v>
      </c>
      <c r="D2403" s="2">
        <v>10.83</v>
      </c>
      <c r="E2403" s="2" t="s">
        <v>2403</v>
      </c>
    </row>
    <row r="2404" spans="1:5" x14ac:dyDescent="0.25">
      <c r="A2404" s="1">
        <v>80183</v>
      </c>
      <c r="B2404" s="2">
        <v>103</v>
      </c>
      <c r="C2404" s="2">
        <v>80</v>
      </c>
      <c r="D2404" s="2">
        <v>9.4</v>
      </c>
      <c r="E2404" s="2" t="s">
        <v>2404</v>
      </c>
    </row>
    <row r="2405" spans="1:5" x14ac:dyDescent="0.25">
      <c r="A2405" s="1">
        <v>80184</v>
      </c>
      <c r="B2405" s="2">
        <v>104</v>
      </c>
      <c r="C2405" s="2">
        <v>80</v>
      </c>
      <c r="D2405" s="2">
        <v>30.87</v>
      </c>
      <c r="E2405" s="2" t="s">
        <v>2405</v>
      </c>
    </row>
    <row r="2406" spans="1:5" x14ac:dyDescent="0.25">
      <c r="A2406" s="1">
        <v>80185</v>
      </c>
      <c r="B2406" s="2">
        <v>105</v>
      </c>
      <c r="C2406" s="2">
        <v>80</v>
      </c>
      <c r="D2406" s="2">
        <v>49.1</v>
      </c>
      <c r="E2406" s="2" t="s">
        <v>2406</v>
      </c>
    </row>
    <row r="2407" spans="1:5" x14ac:dyDescent="0.25">
      <c r="A2407" s="1">
        <v>80186</v>
      </c>
      <c r="B2407" s="2">
        <v>106</v>
      </c>
      <c r="C2407" s="2">
        <v>80</v>
      </c>
      <c r="D2407" s="2">
        <v>82.8</v>
      </c>
      <c r="E2407" s="2" t="s">
        <v>2407</v>
      </c>
    </row>
    <row r="2408" spans="1:5" x14ac:dyDescent="0.25">
      <c r="A2408" s="1">
        <v>80187</v>
      </c>
      <c r="B2408" s="2">
        <v>107</v>
      </c>
      <c r="C2408" s="2">
        <v>80</v>
      </c>
      <c r="D2408" s="2">
        <v>114</v>
      </c>
      <c r="E2408" s="2" t="s">
        <v>2408</v>
      </c>
    </row>
    <row r="2409" spans="1:5" x14ac:dyDescent="0.25">
      <c r="A2409" s="1">
        <v>80188</v>
      </c>
      <c r="B2409" s="2">
        <v>108</v>
      </c>
      <c r="C2409" s="2">
        <v>80</v>
      </c>
      <c r="D2409" s="2">
        <v>195</v>
      </c>
      <c r="E2409" s="2" t="s">
        <v>2409</v>
      </c>
    </row>
    <row r="2410" spans="1:5" x14ac:dyDescent="0.25">
      <c r="A2410" s="1">
        <v>80189</v>
      </c>
      <c r="B2410" s="2">
        <v>109</v>
      </c>
      <c r="C2410" s="2">
        <v>80</v>
      </c>
      <c r="D2410" s="2">
        <v>456</v>
      </c>
      <c r="E2410" s="2" t="s">
        <v>2410</v>
      </c>
    </row>
    <row r="2411" spans="1:5" x14ac:dyDescent="0.25">
      <c r="A2411" s="1">
        <v>80190</v>
      </c>
      <c r="B2411" s="2">
        <v>110</v>
      </c>
      <c r="C2411" s="2">
        <v>80</v>
      </c>
      <c r="D2411" s="2">
        <v>1200</v>
      </c>
      <c r="E2411" s="2" t="s">
        <v>2411</v>
      </c>
    </row>
    <row r="2412" spans="1:5" x14ac:dyDescent="0.25">
      <c r="A2412" s="1">
        <v>80191</v>
      </c>
      <c r="B2412" s="2">
        <v>111</v>
      </c>
      <c r="C2412" s="2">
        <v>80</v>
      </c>
      <c r="D2412" s="2">
        <v>2940</v>
      </c>
      <c r="E2412" s="2" t="s">
        <v>2412</v>
      </c>
    </row>
    <row r="2413" spans="1:5" x14ac:dyDescent="0.25">
      <c r="A2413" s="1">
        <v>80192</v>
      </c>
      <c r="B2413" s="2">
        <v>112</v>
      </c>
      <c r="C2413" s="2">
        <v>80</v>
      </c>
      <c r="D2413" s="2">
        <v>17460</v>
      </c>
      <c r="E2413" s="2" t="s">
        <v>2413</v>
      </c>
    </row>
    <row r="2414" spans="1:5" x14ac:dyDescent="0.25">
      <c r="A2414" s="1">
        <v>80193</v>
      </c>
      <c r="B2414" s="2">
        <v>113</v>
      </c>
      <c r="C2414" s="2">
        <v>80</v>
      </c>
      <c r="D2414" s="2">
        <v>13680</v>
      </c>
      <c r="E2414" s="2" t="s">
        <v>2414</v>
      </c>
    </row>
    <row r="2415" spans="1:5" x14ac:dyDescent="0.25">
      <c r="A2415" s="1">
        <v>80194</v>
      </c>
      <c r="B2415" s="2">
        <v>114</v>
      </c>
      <c r="C2415" s="2">
        <v>80</v>
      </c>
      <c r="D2415" s="2">
        <v>14011574400</v>
      </c>
      <c r="E2415" s="2" t="s">
        <v>2415</v>
      </c>
    </row>
    <row r="2416" spans="1:5" x14ac:dyDescent="0.25">
      <c r="A2416" s="1">
        <v>80195</v>
      </c>
      <c r="B2416" s="2">
        <v>115</v>
      </c>
      <c r="C2416" s="2">
        <v>80</v>
      </c>
      <c r="D2416" s="2">
        <v>37908</v>
      </c>
      <c r="E2416" s="2" t="s">
        <v>2416</v>
      </c>
    </row>
    <row r="2417" spans="1:5" x14ac:dyDescent="0.25">
      <c r="A2417" s="1">
        <v>80196</v>
      </c>
      <c r="B2417" s="2">
        <v>116</v>
      </c>
      <c r="C2417" s="2">
        <v>80</v>
      </c>
      <c r="D2417" s="2" t="s">
        <v>3</v>
      </c>
      <c r="E2417" s="2" t="s">
        <v>2417</v>
      </c>
    </row>
    <row r="2418" spans="1:5" x14ac:dyDescent="0.25">
      <c r="A2418" s="1">
        <v>80197</v>
      </c>
      <c r="B2418" s="2">
        <v>117</v>
      </c>
      <c r="C2418" s="2">
        <v>80</v>
      </c>
      <c r="D2418" s="2">
        <v>230904</v>
      </c>
      <c r="E2418" s="2" t="s">
        <v>2418</v>
      </c>
    </row>
    <row r="2419" spans="1:5" x14ac:dyDescent="0.25">
      <c r="A2419" s="1">
        <v>80198</v>
      </c>
      <c r="B2419" s="2">
        <v>118</v>
      </c>
      <c r="C2419" s="2">
        <v>80</v>
      </c>
      <c r="D2419" s="2" t="s">
        <v>3</v>
      </c>
      <c r="E2419" s="2" t="s">
        <v>2419</v>
      </c>
    </row>
    <row r="2420" spans="1:5" x14ac:dyDescent="0.25">
      <c r="A2420" s="1">
        <v>80199</v>
      </c>
      <c r="B2420" s="2">
        <v>119</v>
      </c>
      <c r="C2420" s="2">
        <v>80</v>
      </c>
      <c r="D2420" s="2" t="s">
        <v>3</v>
      </c>
      <c r="E2420" s="2" t="s">
        <v>2420</v>
      </c>
    </row>
    <row r="2421" spans="1:5" x14ac:dyDescent="0.25">
      <c r="A2421" s="1">
        <v>80200</v>
      </c>
      <c r="B2421" s="2">
        <v>120</v>
      </c>
      <c r="C2421" s="2">
        <v>80</v>
      </c>
      <c r="D2421" s="2" t="s">
        <v>3</v>
      </c>
      <c r="E2421" s="2" t="s">
        <v>2421</v>
      </c>
    </row>
    <row r="2422" spans="1:5" x14ac:dyDescent="0.25">
      <c r="A2422" s="1">
        <v>80201</v>
      </c>
      <c r="B2422" s="2">
        <v>121</v>
      </c>
      <c r="C2422" s="2">
        <v>80</v>
      </c>
      <c r="D2422" s="2" t="s">
        <v>3</v>
      </c>
      <c r="E2422" s="2" t="s">
        <v>2422</v>
      </c>
    </row>
    <row r="2423" spans="1:5" x14ac:dyDescent="0.25">
      <c r="A2423" s="1">
        <v>80202</v>
      </c>
      <c r="B2423" s="2">
        <v>122</v>
      </c>
      <c r="C2423" s="2">
        <v>80</v>
      </c>
      <c r="D2423" s="2" t="s">
        <v>3</v>
      </c>
      <c r="E2423" s="2" t="s">
        <v>2423</v>
      </c>
    </row>
    <row r="2424" spans="1:5" x14ac:dyDescent="0.25">
      <c r="A2424" s="1">
        <v>80203</v>
      </c>
      <c r="B2424" s="2">
        <v>123</v>
      </c>
      <c r="C2424" s="2">
        <v>80</v>
      </c>
      <c r="D2424" s="2">
        <v>4025721.6</v>
      </c>
      <c r="E2424" s="2" t="s">
        <v>2424</v>
      </c>
    </row>
    <row r="2425" spans="1:5" x14ac:dyDescent="0.25">
      <c r="A2425" s="1">
        <v>80204</v>
      </c>
      <c r="B2425" s="2">
        <v>124</v>
      </c>
      <c r="C2425" s="2">
        <v>80</v>
      </c>
      <c r="D2425" s="2" t="s">
        <v>3</v>
      </c>
      <c r="E2425" s="2" t="s">
        <v>2425</v>
      </c>
    </row>
    <row r="2426" spans="1:5" x14ac:dyDescent="0.25">
      <c r="A2426" s="1">
        <v>80205</v>
      </c>
      <c r="B2426" s="2">
        <v>125</v>
      </c>
      <c r="C2426" s="2">
        <v>80</v>
      </c>
      <c r="D2426" s="2">
        <v>308.39999999999998</v>
      </c>
      <c r="E2426" s="2" t="s">
        <v>2426</v>
      </c>
    </row>
    <row r="2427" spans="1:5" x14ac:dyDescent="0.25">
      <c r="A2427" s="1">
        <v>80206</v>
      </c>
      <c r="B2427" s="2">
        <v>126</v>
      </c>
      <c r="C2427" s="2">
        <v>80</v>
      </c>
      <c r="D2427" s="2">
        <v>499.2</v>
      </c>
      <c r="E2427" s="2" t="s">
        <v>2427</v>
      </c>
    </row>
    <row r="2428" spans="1:5" x14ac:dyDescent="0.25">
      <c r="A2428" s="1">
        <v>80207</v>
      </c>
      <c r="B2428" s="2">
        <v>127</v>
      </c>
      <c r="C2428" s="2">
        <v>80</v>
      </c>
      <c r="D2428" s="2">
        <v>174</v>
      </c>
      <c r="E2428" s="2" t="s">
        <v>2428</v>
      </c>
    </row>
    <row r="2429" spans="1:5" x14ac:dyDescent="0.25">
      <c r="A2429" s="1">
        <v>80208</v>
      </c>
      <c r="B2429" s="2">
        <v>128</v>
      </c>
      <c r="C2429" s="2">
        <v>80</v>
      </c>
      <c r="D2429" s="2">
        <v>2460</v>
      </c>
      <c r="E2429" s="2" t="s">
        <v>2429</v>
      </c>
    </row>
    <row r="2430" spans="1:5" x14ac:dyDescent="0.25">
      <c r="A2430" s="1">
        <v>80209</v>
      </c>
      <c r="B2430" s="2">
        <v>129</v>
      </c>
      <c r="C2430" s="2">
        <v>80</v>
      </c>
      <c r="D2430" s="2">
        <v>36</v>
      </c>
      <c r="E2430" s="2" t="s">
        <v>2430</v>
      </c>
    </row>
    <row r="2431" spans="1:5" x14ac:dyDescent="0.25">
      <c r="A2431" s="1">
        <v>80210</v>
      </c>
      <c r="B2431" s="2">
        <v>130</v>
      </c>
      <c r="C2431" s="2">
        <v>80</v>
      </c>
      <c r="D2431" s="2">
        <v>2.9999999999999999E-7</v>
      </c>
      <c r="E2431" s="2" t="s">
        <v>2431</v>
      </c>
    </row>
    <row r="2432" spans="1:5" x14ac:dyDescent="0.25">
      <c r="A2432" s="1">
        <v>80211</v>
      </c>
      <c r="B2432" s="2">
        <v>131</v>
      </c>
      <c r="C2432" s="2">
        <v>80</v>
      </c>
      <c r="D2432" s="2">
        <v>2.9999999999999999E-7</v>
      </c>
      <c r="E2432" s="2" t="s">
        <v>2432</v>
      </c>
    </row>
    <row r="2433" spans="1:5" x14ac:dyDescent="0.25">
      <c r="A2433" s="1">
        <v>80212</v>
      </c>
      <c r="B2433" s="2">
        <v>132</v>
      </c>
      <c r="C2433" s="2">
        <v>80</v>
      </c>
      <c r="D2433" s="2">
        <v>2.9999999999999999E-7</v>
      </c>
      <c r="E2433" s="2" t="s">
        <v>2433</v>
      </c>
    </row>
    <row r="2434" spans="1:5" x14ac:dyDescent="0.25">
      <c r="A2434" s="1">
        <v>80213</v>
      </c>
      <c r="B2434" s="2">
        <v>133</v>
      </c>
      <c r="C2434" s="2">
        <v>80</v>
      </c>
      <c r="D2434" s="2">
        <v>2.9999999999999999E-7</v>
      </c>
      <c r="E2434" s="2" t="s">
        <v>2434</v>
      </c>
    </row>
    <row r="2435" spans="1:5" x14ac:dyDescent="0.25">
      <c r="A2435" s="1">
        <v>80214</v>
      </c>
      <c r="B2435" s="2">
        <v>134</v>
      </c>
      <c r="C2435" s="2">
        <v>80</v>
      </c>
      <c r="D2435" s="2">
        <v>2.9999999999999999E-7</v>
      </c>
      <c r="E2435" s="2" t="s">
        <v>2435</v>
      </c>
    </row>
    <row r="2436" spans="1:5" x14ac:dyDescent="0.25">
      <c r="A2436" s="1">
        <v>80215</v>
      </c>
      <c r="B2436" s="2">
        <v>135</v>
      </c>
      <c r="C2436" s="2">
        <v>80</v>
      </c>
      <c r="D2436" s="2">
        <v>2.9999999999999999E-7</v>
      </c>
      <c r="E2436" s="2" t="s">
        <v>2436</v>
      </c>
    </row>
    <row r="2437" spans="1:5" x14ac:dyDescent="0.25">
      <c r="A2437" s="1">
        <v>80216</v>
      </c>
      <c r="B2437" s="2">
        <v>136</v>
      </c>
      <c r="C2437" s="2">
        <v>80</v>
      </c>
      <c r="D2437" s="2">
        <v>2.9999999999999999E-7</v>
      </c>
      <c r="E2437" s="2" t="s">
        <v>2437</v>
      </c>
    </row>
    <row r="2438" spans="1:5" x14ac:dyDescent="0.25">
      <c r="A2438" s="1">
        <v>81176</v>
      </c>
      <c r="B2438" s="2">
        <v>95</v>
      </c>
      <c r="C2438" s="2">
        <v>81</v>
      </c>
      <c r="D2438" s="2">
        <v>5.1999999999999998E-3</v>
      </c>
      <c r="E2438" s="2" t="s">
        <v>2438</v>
      </c>
    </row>
    <row r="2439" spans="1:5" x14ac:dyDescent="0.25">
      <c r="A2439" s="1">
        <v>81177</v>
      </c>
      <c r="B2439" s="2">
        <v>96</v>
      </c>
      <c r="C2439" s="2">
        <v>81</v>
      </c>
      <c r="D2439" s="2">
        <v>1.7999999999999999E-2</v>
      </c>
      <c r="E2439" s="2" t="s">
        <v>2439</v>
      </c>
    </row>
    <row r="2440" spans="1:5" x14ac:dyDescent="0.25">
      <c r="A2440" s="1">
        <v>81178</v>
      </c>
      <c r="B2440" s="2">
        <v>97</v>
      </c>
      <c r="C2440" s="2">
        <v>81</v>
      </c>
      <c r="D2440" s="2">
        <v>0.254</v>
      </c>
      <c r="E2440" s="2" t="s">
        <v>2440</v>
      </c>
    </row>
    <row r="2441" spans="1:5" x14ac:dyDescent="0.25">
      <c r="A2441" s="1">
        <v>81179</v>
      </c>
      <c r="B2441" s="2">
        <v>98</v>
      </c>
      <c r="C2441" s="2">
        <v>81</v>
      </c>
      <c r="D2441" s="2">
        <v>0.23</v>
      </c>
      <c r="E2441" s="2" t="s">
        <v>2441</v>
      </c>
    </row>
    <row r="2442" spans="1:5" x14ac:dyDescent="0.25">
      <c r="A2442" s="1">
        <v>81180</v>
      </c>
      <c r="B2442" s="2">
        <v>99</v>
      </c>
      <c r="C2442" s="2">
        <v>81</v>
      </c>
      <c r="D2442" s="2">
        <v>1.0900000000000001</v>
      </c>
      <c r="E2442" s="2" t="s">
        <v>2442</v>
      </c>
    </row>
    <row r="2443" spans="1:5" x14ac:dyDescent="0.25">
      <c r="A2443" s="1">
        <v>81181</v>
      </c>
      <c r="B2443" s="2">
        <v>100</v>
      </c>
      <c r="C2443" s="2">
        <v>81</v>
      </c>
      <c r="D2443" s="2">
        <v>3.2</v>
      </c>
      <c r="E2443" s="2" t="s">
        <v>2443</v>
      </c>
    </row>
    <row r="2444" spans="1:5" x14ac:dyDescent="0.25">
      <c r="A2444" s="1">
        <v>81182</v>
      </c>
      <c r="B2444" s="2">
        <v>101</v>
      </c>
      <c r="C2444" s="2">
        <v>81</v>
      </c>
      <c r="D2444" s="2">
        <v>3.1</v>
      </c>
      <c r="E2444" s="2" t="s">
        <v>2444</v>
      </c>
    </row>
    <row r="2445" spans="1:5" x14ac:dyDescent="0.25">
      <c r="A2445" s="1">
        <v>81183</v>
      </c>
      <c r="B2445" s="2">
        <v>102</v>
      </c>
      <c r="C2445" s="2">
        <v>81</v>
      </c>
      <c r="D2445" s="2">
        <v>6.9</v>
      </c>
      <c r="E2445" s="2" t="s">
        <v>2445</v>
      </c>
    </row>
    <row r="2446" spans="1:5" x14ac:dyDescent="0.25">
      <c r="A2446" s="1">
        <v>81184</v>
      </c>
      <c r="B2446" s="2">
        <v>103</v>
      </c>
      <c r="C2446" s="2">
        <v>81</v>
      </c>
      <c r="D2446" s="2">
        <v>10.1</v>
      </c>
      <c r="E2446" s="2" t="s">
        <v>2446</v>
      </c>
    </row>
    <row r="2447" spans="1:5" x14ac:dyDescent="0.25">
      <c r="A2447" s="1">
        <v>81185</v>
      </c>
      <c r="B2447" s="2">
        <v>104</v>
      </c>
      <c r="C2447" s="2">
        <v>81</v>
      </c>
      <c r="D2447" s="2">
        <v>19.5</v>
      </c>
      <c r="E2447" s="2" t="s">
        <v>2447</v>
      </c>
    </row>
    <row r="2448" spans="1:5" x14ac:dyDescent="0.25">
      <c r="A2448" s="1">
        <v>81186</v>
      </c>
      <c r="B2448" s="2">
        <v>105</v>
      </c>
      <c r="C2448" s="2">
        <v>81</v>
      </c>
      <c r="D2448" s="2">
        <v>27.5</v>
      </c>
      <c r="E2448" s="2" t="s">
        <v>2448</v>
      </c>
    </row>
    <row r="2449" spans="1:5" x14ac:dyDescent="0.25">
      <c r="A2449" s="1">
        <v>81187</v>
      </c>
      <c r="B2449" s="2">
        <v>106</v>
      </c>
      <c r="C2449" s="2">
        <v>81</v>
      </c>
      <c r="D2449" s="2">
        <v>51</v>
      </c>
      <c r="E2449" s="2" t="s">
        <v>2449</v>
      </c>
    </row>
    <row r="2450" spans="1:5" x14ac:dyDescent="0.25">
      <c r="A2450" s="1">
        <v>81188</v>
      </c>
      <c r="B2450" s="2">
        <v>107</v>
      </c>
      <c r="C2450" s="2">
        <v>81</v>
      </c>
      <c r="D2450" s="2">
        <v>71</v>
      </c>
      <c r="E2450" s="2" t="s">
        <v>2450</v>
      </c>
    </row>
    <row r="2451" spans="1:5" x14ac:dyDescent="0.25">
      <c r="A2451" s="1">
        <v>81189</v>
      </c>
      <c r="B2451" s="2">
        <v>108</v>
      </c>
      <c r="C2451" s="2">
        <v>81</v>
      </c>
      <c r="D2451" s="2">
        <v>138</v>
      </c>
      <c r="E2451" s="2" t="s">
        <v>2451</v>
      </c>
    </row>
    <row r="2452" spans="1:5" x14ac:dyDescent="0.25">
      <c r="A2452" s="1">
        <v>81190</v>
      </c>
      <c r="B2452" s="2">
        <v>109</v>
      </c>
      <c r="C2452" s="2">
        <v>81</v>
      </c>
      <c r="D2452" s="2">
        <v>156</v>
      </c>
      <c r="E2452" s="2" t="s">
        <v>2452</v>
      </c>
    </row>
    <row r="2453" spans="1:5" x14ac:dyDescent="0.25">
      <c r="A2453" s="1">
        <v>81191</v>
      </c>
      <c r="B2453" s="2">
        <v>110</v>
      </c>
      <c r="C2453" s="2">
        <v>81</v>
      </c>
      <c r="D2453" s="2">
        <v>313.2</v>
      </c>
      <c r="E2453" s="2" t="s">
        <v>2453</v>
      </c>
    </row>
    <row r="2454" spans="1:5" x14ac:dyDescent="0.25">
      <c r="A2454" s="1">
        <v>81192</v>
      </c>
      <c r="B2454" s="2">
        <v>111</v>
      </c>
      <c r="C2454" s="2">
        <v>81</v>
      </c>
      <c r="D2454" s="2">
        <v>576</v>
      </c>
      <c r="E2454" s="2" t="s">
        <v>2454</v>
      </c>
    </row>
    <row r="2455" spans="1:5" x14ac:dyDescent="0.25">
      <c r="A2455" s="1">
        <v>81193</v>
      </c>
      <c r="B2455" s="2">
        <v>112</v>
      </c>
      <c r="C2455" s="2">
        <v>81</v>
      </c>
      <c r="D2455" s="2">
        <v>1296</v>
      </c>
      <c r="E2455" s="2" t="s">
        <v>2455</v>
      </c>
    </row>
    <row r="2456" spans="1:5" x14ac:dyDescent="0.25">
      <c r="A2456" s="1">
        <v>81194</v>
      </c>
      <c r="B2456" s="2">
        <v>113</v>
      </c>
      <c r="C2456" s="2">
        <v>81</v>
      </c>
      <c r="D2456" s="2">
        <v>1980</v>
      </c>
      <c r="E2456" s="2" t="s">
        <v>2456</v>
      </c>
    </row>
    <row r="2457" spans="1:5" x14ac:dyDescent="0.25">
      <c r="A2457" s="1">
        <v>81195</v>
      </c>
      <c r="B2457" s="2">
        <v>114</v>
      </c>
      <c r="C2457" s="2">
        <v>81</v>
      </c>
      <c r="D2457" s="2">
        <v>4176</v>
      </c>
      <c r="E2457" s="2" t="s">
        <v>2457</v>
      </c>
    </row>
    <row r="2458" spans="1:5" x14ac:dyDescent="0.25">
      <c r="A2458" s="1">
        <v>81196</v>
      </c>
      <c r="B2458" s="2">
        <v>115</v>
      </c>
      <c r="C2458" s="2">
        <v>81</v>
      </c>
      <c r="D2458" s="2">
        <v>6624</v>
      </c>
      <c r="E2458" s="2" t="s">
        <v>2458</v>
      </c>
    </row>
    <row r="2459" spans="1:5" x14ac:dyDescent="0.25">
      <c r="A2459" s="1">
        <v>81197</v>
      </c>
      <c r="B2459" s="2">
        <v>116</v>
      </c>
      <c r="C2459" s="2">
        <v>81</v>
      </c>
      <c r="D2459" s="2">
        <v>10224</v>
      </c>
      <c r="E2459" s="2" t="s">
        <v>2459</v>
      </c>
    </row>
    <row r="2460" spans="1:5" x14ac:dyDescent="0.25">
      <c r="A2460" s="1">
        <v>81198</v>
      </c>
      <c r="B2460" s="2">
        <v>117</v>
      </c>
      <c r="C2460" s="2">
        <v>81</v>
      </c>
      <c r="D2460" s="2">
        <v>19080</v>
      </c>
      <c r="E2460" s="2" t="s">
        <v>2460</v>
      </c>
    </row>
    <row r="2461" spans="1:5" x14ac:dyDescent="0.25">
      <c r="A2461" s="1">
        <v>81199</v>
      </c>
      <c r="B2461" s="2">
        <v>118</v>
      </c>
      <c r="C2461" s="2">
        <v>81</v>
      </c>
      <c r="D2461" s="2">
        <v>26712</v>
      </c>
      <c r="E2461" s="2" t="s">
        <v>2461</v>
      </c>
    </row>
    <row r="2462" spans="1:5" x14ac:dyDescent="0.25">
      <c r="A2462" s="1">
        <v>81200</v>
      </c>
      <c r="B2462" s="2">
        <v>119</v>
      </c>
      <c r="C2462" s="2">
        <v>81</v>
      </c>
      <c r="D2462" s="2">
        <v>93960</v>
      </c>
      <c r="E2462" s="2" t="s">
        <v>2462</v>
      </c>
    </row>
    <row r="2463" spans="1:5" x14ac:dyDescent="0.25">
      <c r="A2463" s="1">
        <v>81201</v>
      </c>
      <c r="B2463" s="2">
        <v>120</v>
      </c>
      <c r="C2463" s="2">
        <v>81</v>
      </c>
      <c r="D2463" s="2">
        <v>262837.44</v>
      </c>
      <c r="E2463" s="2" t="s">
        <v>2463</v>
      </c>
    </row>
    <row r="2464" spans="1:5" x14ac:dyDescent="0.25">
      <c r="A2464" s="1">
        <v>81202</v>
      </c>
      <c r="B2464" s="2">
        <v>121</v>
      </c>
      <c r="C2464" s="2">
        <v>81</v>
      </c>
      <c r="D2464" s="2">
        <v>1063584</v>
      </c>
      <c r="E2464" s="2" t="s">
        <v>2464</v>
      </c>
    </row>
    <row r="2465" spans="1:5" x14ac:dyDescent="0.25">
      <c r="A2465" s="1">
        <v>81203</v>
      </c>
      <c r="B2465" s="2">
        <v>122</v>
      </c>
      <c r="C2465" s="2">
        <v>81</v>
      </c>
      <c r="D2465" s="2" t="s">
        <v>3</v>
      </c>
      <c r="E2465" s="2" t="s">
        <v>2465</v>
      </c>
    </row>
    <row r="2466" spans="1:5" x14ac:dyDescent="0.25">
      <c r="A2466" s="1">
        <v>81204</v>
      </c>
      <c r="B2466" s="2">
        <v>123</v>
      </c>
      <c r="C2466" s="2">
        <v>81</v>
      </c>
      <c r="D2466" s="2">
        <v>119382400.8</v>
      </c>
      <c r="E2466" s="2" t="s">
        <v>2466</v>
      </c>
    </row>
    <row r="2467" spans="1:5" x14ac:dyDescent="0.25">
      <c r="A2467" s="1">
        <v>81205</v>
      </c>
      <c r="B2467" s="2">
        <v>124</v>
      </c>
      <c r="C2467" s="2">
        <v>81</v>
      </c>
      <c r="D2467" s="2" t="s">
        <v>3</v>
      </c>
      <c r="E2467" s="2" t="s">
        <v>2467</v>
      </c>
    </row>
    <row r="2468" spans="1:5" x14ac:dyDescent="0.25">
      <c r="A2468" s="1">
        <v>81206</v>
      </c>
      <c r="B2468" s="2">
        <v>125</v>
      </c>
      <c r="C2468" s="2">
        <v>81</v>
      </c>
      <c r="D2468" s="2">
        <v>252.12</v>
      </c>
      <c r="E2468" s="2" t="s">
        <v>2468</v>
      </c>
    </row>
    <row r="2469" spans="1:5" x14ac:dyDescent="0.25">
      <c r="A2469" s="1">
        <v>81207</v>
      </c>
      <c r="B2469" s="2">
        <v>126</v>
      </c>
      <c r="C2469" s="2">
        <v>81</v>
      </c>
      <c r="D2469" s="2">
        <v>286.2</v>
      </c>
      <c r="E2469" s="2" t="s">
        <v>2469</v>
      </c>
    </row>
    <row r="2470" spans="1:5" x14ac:dyDescent="0.25">
      <c r="A2470" s="1">
        <v>81208</v>
      </c>
      <c r="B2470" s="2">
        <v>127</v>
      </c>
      <c r="C2470" s="2">
        <v>81</v>
      </c>
      <c r="D2470" s="2">
        <v>183.18</v>
      </c>
      <c r="E2470" s="2" t="s">
        <v>2470</v>
      </c>
    </row>
    <row r="2471" spans="1:5" x14ac:dyDescent="0.25">
      <c r="A2471" s="1">
        <v>81209</v>
      </c>
      <c r="B2471" s="2">
        <v>128</v>
      </c>
      <c r="C2471" s="2">
        <v>81</v>
      </c>
      <c r="D2471" s="2">
        <v>129.72</v>
      </c>
      <c r="E2471" s="2" t="s">
        <v>2471</v>
      </c>
    </row>
    <row r="2472" spans="1:5" x14ac:dyDescent="0.25">
      <c r="A2472" s="1">
        <v>81210</v>
      </c>
      <c r="B2472" s="2">
        <v>129</v>
      </c>
      <c r="C2472" s="2">
        <v>81</v>
      </c>
      <c r="D2472" s="2">
        <v>78</v>
      </c>
      <c r="E2472" s="2" t="s">
        <v>2472</v>
      </c>
    </row>
    <row r="2473" spans="1:5" x14ac:dyDescent="0.25">
      <c r="A2473" s="1">
        <v>81211</v>
      </c>
      <c r="B2473" s="2">
        <v>130</v>
      </c>
      <c r="C2473" s="2">
        <v>81</v>
      </c>
      <c r="D2473" s="2">
        <v>88</v>
      </c>
      <c r="E2473" s="2" t="s">
        <v>2473</v>
      </c>
    </row>
    <row r="2474" spans="1:5" x14ac:dyDescent="0.25">
      <c r="A2474" s="1">
        <v>81212</v>
      </c>
      <c r="B2474" s="2">
        <v>131</v>
      </c>
      <c r="C2474" s="2">
        <v>81</v>
      </c>
      <c r="D2474" s="2">
        <v>2.9999999999999999E-7</v>
      </c>
      <c r="E2474" s="2" t="s">
        <v>2474</v>
      </c>
    </row>
    <row r="2475" spans="1:5" x14ac:dyDescent="0.25">
      <c r="A2475" s="1">
        <v>81213</v>
      </c>
      <c r="B2475" s="2">
        <v>132</v>
      </c>
      <c r="C2475" s="2">
        <v>81</v>
      </c>
      <c r="D2475" s="2">
        <v>101</v>
      </c>
      <c r="E2475" s="2" t="s">
        <v>2475</v>
      </c>
    </row>
    <row r="2476" spans="1:5" x14ac:dyDescent="0.25">
      <c r="A2476" s="1">
        <v>81214</v>
      </c>
      <c r="B2476" s="2">
        <v>133</v>
      </c>
      <c r="C2476" s="2">
        <v>81</v>
      </c>
      <c r="D2476" s="2">
        <v>2.9999999999999999E-7</v>
      </c>
      <c r="E2476" s="2" t="s">
        <v>2476</v>
      </c>
    </row>
    <row r="2477" spans="1:5" x14ac:dyDescent="0.25">
      <c r="A2477" s="1">
        <v>81215</v>
      </c>
      <c r="B2477" s="2">
        <v>134</v>
      </c>
      <c r="C2477" s="2">
        <v>81</v>
      </c>
      <c r="D2477" s="2">
        <v>2.9999999999999999E-7</v>
      </c>
      <c r="E2477" s="2" t="s">
        <v>2477</v>
      </c>
    </row>
    <row r="2478" spans="1:5" x14ac:dyDescent="0.25">
      <c r="A2478" s="1">
        <v>81216</v>
      </c>
      <c r="B2478" s="2">
        <v>135</v>
      </c>
      <c r="C2478" s="2">
        <v>81</v>
      </c>
      <c r="D2478" s="2">
        <v>2.9999999999999999E-7</v>
      </c>
      <c r="E2478" s="2" t="s">
        <v>2478</v>
      </c>
    </row>
    <row r="2479" spans="1:5" x14ac:dyDescent="0.25">
      <c r="A2479" s="1">
        <v>81217</v>
      </c>
      <c r="B2479" s="2">
        <v>136</v>
      </c>
      <c r="C2479" s="2">
        <v>81</v>
      </c>
      <c r="D2479" s="2">
        <v>2.9999999999999999E-7</v>
      </c>
      <c r="E2479" s="2" t="s">
        <v>2479</v>
      </c>
    </row>
    <row r="2480" spans="1:5" x14ac:dyDescent="0.25">
      <c r="A2480" s="1">
        <v>82178</v>
      </c>
      <c r="B2480" s="2">
        <v>96</v>
      </c>
      <c r="C2480" s="2">
        <v>82</v>
      </c>
      <c r="D2480" s="2">
        <v>1.2E-4</v>
      </c>
      <c r="E2480" s="2" t="s">
        <v>2480</v>
      </c>
    </row>
    <row r="2481" spans="1:5" x14ac:dyDescent="0.25">
      <c r="A2481" s="1">
        <v>82179</v>
      </c>
      <c r="B2481" s="2">
        <v>97</v>
      </c>
      <c r="C2481" s="2">
        <v>82</v>
      </c>
      <c r="D2481" s="2">
        <v>3.5000000000000001E-3</v>
      </c>
      <c r="E2481" s="2" t="s">
        <v>2481</v>
      </c>
    </row>
    <row r="2482" spans="1:5" x14ac:dyDescent="0.25">
      <c r="A2482" s="1">
        <v>82180</v>
      </c>
      <c r="B2482" s="2">
        <v>98</v>
      </c>
      <c r="C2482" s="2">
        <v>82</v>
      </c>
      <c r="D2482" s="2">
        <v>4.0999999999999899E-3</v>
      </c>
      <c r="E2482" s="2" t="s">
        <v>2482</v>
      </c>
    </row>
    <row r="2483" spans="1:5" x14ac:dyDescent="0.25">
      <c r="A2483" s="1">
        <v>82181</v>
      </c>
      <c r="B2483" s="2">
        <v>99</v>
      </c>
      <c r="C2483" s="2">
        <v>82</v>
      </c>
      <c r="D2483" s="2">
        <v>3.5999999999999997E-2</v>
      </c>
      <c r="E2483" s="2" t="s">
        <v>2483</v>
      </c>
    </row>
    <row r="2484" spans="1:5" x14ac:dyDescent="0.25">
      <c r="A2484" s="1">
        <v>82182</v>
      </c>
      <c r="B2484" s="2">
        <v>100</v>
      </c>
      <c r="C2484" s="2">
        <v>82</v>
      </c>
      <c r="D2484" s="2">
        <v>5.5E-2</v>
      </c>
      <c r="E2484" s="2" t="s">
        <v>2484</v>
      </c>
    </row>
    <row r="2485" spans="1:5" x14ac:dyDescent="0.25">
      <c r="A2485" s="1">
        <v>82183</v>
      </c>
      <c r="B2485" s="2">
        <v>101</v>
      </c>
      <c r="C2485" s="2">
        <v>82</v>
      </c>
      <c r="D2485" s="2">
        <v>0.53500000000000003</v>
      </c>
      <c r="E2485" s="2" t="s">
        <v>2485</v>
      </c>
    </row>
    <row r="2486" spans="1:5" x14ac:dyDescent="0.25">
      <c r="A2486" s="1">
        <v>82184</v>
      </c>
      <c r="B2486" s="2">
        <v>102</v>
      </c>
      <c r="C2486" s="2">
        <v>82</v>
      </c>
      <c r="D2486" s="2">
        <v>0.49</v>
      </c>
      <c r="E2486" s="2" t="s">
        <v>2486</v>
      </c>
    </row>
    <row r="2487" spans="1:5" x14ac:dyDescent="0.25">
      <c r="A2487" s="1">
        <v>82185</v>
      </c>
      <c r="B2487" s="2">
        <v>103</v>
      </c>
      <c r="C2487" s="2">
        <v>82</v>
      </c>
      <c r="D2487" s="2">
        <v>6.3</v>
      </c>
      <c r="E2487" s="2" t="s">
        <v>2487</v>
      </c>
    </row>
    <row r="2488" spans="1:5" x14ac:dyDescent="0.25">
      <c r="A2488" s="1">
        <v>82186</v>
      </c>
      <c r="B2488" s="2">
        <v>104</v>
      </c>
      <c r="C2488" s="2">
        <v>82</v>
      </c>
      <c r="D2488" s="2">
        <v>4.82</v>
      </c>
      <c r="E2488" s="2" t="s">
        <v>2488</v>
      </c>
    </row>
    <row r="2489" spans="1:5" x14ac:dyDescent="0.25">
      <c r="A2489" s="1">
        <v>82187</v>
      </c>
      <c r="B2489" s="2">
        <v>105</v>
      </c>
      <c r="C2489" s="2">
        <v>82</v>
      </c>
      <c r="D2489" s="2">
        <v>15.2</v>
      </c>
      <c r="E2489" s="2" t="s">
        <v>2489</v>
      </c>
    </row>
    <row r="2490" spans="1:5" x14ac:dyDescent="0.25">
      <c r="A2490" s="1">
        <v>82188</v>
      </c>
      <c r="B2490" s="2">
        <v>106</v>
      </c>
      <c r="C2490" s="2">
        <v>82</v>
      </c>
      <c r="D2490" s="2">
        <v>25.1</v>
      </c>
      <c r="E2490" s="2" t="s">
        <v>2490</v>
      </c>
    </row>
    <row r="2491" spans="1:5" x14ac:dyDescent="0.25">
      <c r="A2491" s="1">
        <v>82189</v>
      </c>
      <c r="B2491" s="2">
        <v>107</v>
      </c>
      <c r="C2491" s="2">
        <v>82</v>
      </c>
      <c r="D2491" s="2">
        <v>39</v>
      </c>
      <c r="E2491" s="2" t="s">
        <v>2491</v>
      </c>
    </row>
    <row r="2492" spans="1:5" x14ac:dyDescent="0.25">
      <c r="A2492" s="1">
        <v>82190</v>
      </c>
      <c r="B2492" s="2">
        <v>108</v>
      </c>
      <c r="C2492" s="2">
        <v>82</v>
      </c>
      <c r="D2492" s="2">
        <v>71</v>
      </c>
      <c r="E2492" s="2" t="s">
        <v>2492</v>
      </c>
    </row>
    <row r="2493" spans="1:5" x14ac:dyDescent="0.25">
      <c r="A2493" s="1">
        <v>82191</v>
      </c>
      <c r="B2493" s="2">
        <v>109</v>
      </c>
      <c r="C2493" s="2">
        <v>82</v>
      </c>
      <c r="D2493" s="2">
        <v>79.8</v>
      </c>
      <c r="E2493" s="2" t="s">
        <v>2493</v>
      </c>
    </row>
    <row r="2494" spans="1:5" x14ac:dyDescent="0.25">
      <c r="A2494" s="1">
        <v>82192</v>
      </c>
      <c r="B2494" s="2">
        <v>110</v>
      </c>
      <c r="C2494" s="2">
        <v>82</v>
      </c>
      <c r="D2494" s="2">
        <v>210</v>
      </c>
      <c r="E2494" s="2" t="s">
        <v>2494</v>
      </c>
    </row>
    <row r="2495" spans="1:5" x14ac:dyDescent="0.25">
      <c r="A2495" s="1">
        <v>82193</v>
      </c>
      <c r="B2495" s="2">
        <v>111</v>
      </c>
      <c r="C2495" s="2">
        <v>82</v>
      </c>
      <c r="D2495" s="2">
        <v>348</v>
      </c>
      <c r="E2495" s="2" t="s">
        <v>2495</v>
      </c>
    </row>
    <row r="2496" spans="1:5" x14ac:dyDescent="0.25">
      <c r="A2496" s="1">
        <v>82194</v>
      </c>
      <c r="B2496" s="2">
        <v>112</v>
      </c>
      <c r="C2496" s="2">
        <v>82</v>
      </c>
      <c r="D2496" s="2">
        <v>642</v>
      </c>
      <c r="E2496" s="2" t="s">
        <v>2496</v>
      </c>
    </row>
    <row r="2497" spans="1:5" x14ac:dyDescent="0.25">
      <c r="A2497" s="1">
        <v>82195</v>
      </c>
      <c r="B2497" s="2">
        <v>113</v>
      </c>
      <c r="C2497" s="2">
        <v>82</v>
      </c>
      <c r="D2497" s="2">
        <v>900</v>
      </c>
      <c r="E2497" s="2" t="s">
        <v>2497</v>
      </c>
    </row>
    <row r="2498" spans="1:5" x14ac:dyDescent="0.25">
      <c r="A2498" s="1">
        <v>82196</v>
      </c>
      <c r="B2498" s="2">
        <v>114</v>
      </c>
      <c r="C2498" s="2">
        <v>82</v>
      </c>
      <c r="D2498" s="2">
        <v>2220</v>
      </c>
      <c r="E2498" s="2" t="s">
        <v>2498</v>
      </c>
    </row>
    <row r="2499" spans="1:5" x14ac:dyDescent="0.25">
      <c r="A2499" s="1">
        <v>82197</v>
      </c>
      <c r="B2499" s="2">
        <v>115</v>
      </c>
      <c r="C2499" s="2">
        <v>82</v>
      </c>
      <c r="D2499" s="2">
        <v>486</v>
      </c>
      <c r="E2499" s="2" t="s">
        <v>2499</v>
      </c>
    </row>
    <row r="2500" spans="1:5" x14ac:dyDescent="0.25">
      <c r="A2500" s="1">
        <v>82198</v>
      </c>
      <c r="B2500" s="2">
        <v>116</v>
      </c>
      <c r="C2500" s="2">
        <v>82</v>
      </c>
      <c r="D2500" s="2">
        <v>8640</v>
      </c>
      <c r="E2500" s="2" t="s">
        <v>2500</v>
      </c>
    </row>
    <row r="2501" spans="1:5" x14ac:dyDescent="0.25">
      <c r="A2501" s="1">
        <v>82199</v>
      </c>
      <c r="B2501" s="2">
        <v>117</v>
      </c>
      <c r="C2501" s="2">
        <v>82</v>
      </c>
      <c r="D2501" s="2">
        <v>5400</v>
      </c>
      <c r="E2501" s="2" t="s">
        <v>2501</v>
      </c>
    </row>
    <row r="2502" spans="1:5" x14ac:dyDescent="0.25">
      <c r="A2502" s="1">
        <v>82200</v>
      </c>
      <c r="B2502" s="2">
        <v>118</v>
      </c>
      <c r="C2502" s="2">
        <v>82</v>
      </c>
      <c r="D2502" s="2">
        <v>77400</v>
      </c>
      <c r="E2502" s="2" t="s">
        <v>2502</v>
      </c>
    </row>
    <row r="2503" spans="1:5" x14ac:dyDescent="0.25">
      <c r="A2503" s="1">
        <v>82201</v>
      </c>
      <c r="B2503" s="2">
        <v>119</v>
      </c>
      <c r="C2503" s="2">
        <v>82</v>
      </c>
      <c r="D2503" s="2">
        <v>33588</v>
      </c>
      <c r="E2503" s="2" t="s">
        <v>2503</v>
      </c>
    </row>
    <row r="2504" spans="1:5" x14ac:dyDescent="0.25">
      <c r="A2504" s="1">
        <v>82202</v>
      </c>
      <c r="B2504" s="2">
        <v>120</v>
      </c>
      <c r="C2504" s="2">
        <v>82</v>
      </c>
      <c r="D2504" s="2">
        <v>1656774000000</v>
      </c>
      <c r="E2504" s="2" t="s">
        <v>2504</v>
      </c>
    </row>
    <row r="2505" spans="1:5" x14ac:dyDescent="0.25">
      <c r="A2505" s="1">
        <v>82203</v>
      </c>
      <c r="B2505" s="2">
        <v>121</v>
      </c>
      <c r="C2505" s="2">
        <v>82</v>
      </c>
      <c r="D2505" s="2">
        <v>186912</v>
      </c>
      <c r="E2505" s="2" t="s">
        <v>2505</v>
      </c>
    </row>
    <row r="2506" spans="1:5" x14ac:dyDescent="0.25">
      <c r="A2506" s="1">
        <v>82204</v>
      </c>
      <c r="B2506" s="2">
        <v>122</v>
      </c>
      <c r="C2506" s="2">
        <v>82</v>
      </c>
      <c r="D2506" s="2">
        <v>4.418064E+24</v>
      </c>
      <c r="E2506" s="2" t="s">
        <v>2506</v>
      </c>
    </row>
    <row r="2507" spans="1:5" x14ac:dyDescent="0.25">
      <c r="A2507" s="1">
        <v>82205</v>
      </c>
      <c r="B2507" s="2">
        <v>123</v>
      </c>
      <c r="C2507" s="2">
        <v>82</v>
      </c>
      <c r="D2507" s="2">
        <v>545946480000000</v>
      </c>
      <c r="E2507" s="2" t="s">
        <v>2507</v>
      </c>
    </row>
    <row r="2508" spans="1:5" x14ac:dyDescent="0.25">
      <c r="A2508" s="1">
        <v>82206</v>
      </c>
      <c r="B2508" s="2">
        <v>124</v>
      </c>
      <c r="C2508" s="2">
        <v>82</v>
      </c>
      <c r="D2508" s="2" t="s">
        <v>3</v>
      </c>
      <c r="E2508" s="2" t="s">
        <v>2508</v>
      </c>
    </row>
    <row r="2509" spans="1:5" x14ac:dyDescent="0.25">
      <c r="A2509" s="1">
        <v>82207</v>
      </c>
      <c r="B2509" s="2">
        <v>125</v>
      </c>
      <c r="C2509" s="2">
        <v>82</v>
      </c>
      <c r="D2509" s="2" t="s">
        <v>3</v>
      </c>
      <c r="E2509" s="2" t="s">
        <v>2509</v>
      </c>
    </row>
    <row r="2510" spans="1:5" x14ac:dyDescent="0.25">
      <c r="A2510" s="1">
        <v>82208</v>
      </c>
      <c r="B2510" s="2">
        <v>126</v>
      </c>
      <c r="C2510" s="2">
        <v>82</v>
      </c>
      <c r="D2510" s="2" t="s">
        <v>3</v>
      </c>
      <c r="E2510" s="2" t="s">
        <v>2510</v>
      </c>
    </row>
    <row r="2511" spans="1:5" x14ac:dyDescent="0.25">
      <c r="A2511" s="1">
        <v>82209</v>
      </c>
      <c r="B2511" s="2">
        <v>127</v>
      </c>
      <c r="C2511" s="2">
        <v>82</v>
      </c>
      <c r="D2511" s="2">
        <v>11642.4</v>
      </c>
      <c r="E2511" s="2" t="s">
        <v>2511</v>
      </c>
    </row>
    <row r="2512" spans="1:5" x14ac:dyDescent="0.25">
      <c r="A2512" s="1">
        <v>82210</v>
      </c>
      <c r="B2512" s="2">
        <v>128</v>
      </c>
      <c r="C2512" s="2">
        <v>82</v>
      </c>
      <c r="D2512" s="2">
        <v>700578720</v>
      </c>
      <c r="E2512" s="2" t="s">
        <v>2512</v>
      </c>
    </row>
    <row r="2513" spans="1:5" x14ac:dyDescent="0.25">
      <c r="A2513" s="1">
        <v>82211</v>
      </c>
      <c r="B2513" s="2">
        <v>129</v>
      </c>
      <c r="C2513" s="2">
        <v>82</v>
      </c>
      <c r="D2513" s="2">
        <v>2166</v>
      </c>
      <c r="E2513" s="2" t="s">
        <v>2513</v>
      </c>
    </row>
    <row r="2514" spans="1:5" x14ac:dyDescent="0.25">
      <c r="A2514" s="1">
        <v>82212</v>
      </c>
      <c r="B2514" s="2">
        <v>130</v>
      </c>
      <c r="C2514" s="2">
        <v>82</v>
      </c>
      <c r="D2514" s="2">
        <v>38304</v>
      </c>
      <c r="E2514" s="2" t="s">
        <v>2514</v>
      </c>
    </row>
    <row r="2515" spans="1:5" x14ac:dyDescent="0.25">
      <c r="A2515" s="1">
        <v>82213</v>
      </c>
      <c r="B2515" s="2">
        <v>131</v>
      </c>
      <c r="C2515" s="2">
        <v>82</v>
      </c>
      <c r="D2515" s="2">
        <v>612</v>
      </c>
      <c r="E2515" s="2" t="s">
        <v>2515</v>
      </c>
    </row>
    <row r="2516" spans="1:5" x14ac:dyDescent="0.25">
      <c r="A2516" s="1">
        <v>82214</v>
      </c>
      <c r="B2516" s="2">
        <v>132</v>
      </c>
      <c r="C2516" s="2">
        <v>82</v>
      </c>
      <c r="D2516" s="2">
        <v>1623.6</v>
      </c>
      <c r="E2516" s="2" t="s">
        <v>2516</v>
      </c>
    </row>
    <row r="2517" spans="1:5" x14ac:dyDescent="0.25">
      <c r="A2517" s="1">
        <v>82215</v>
      </c>
      <c r="B2517" s="2">
        <v>133</v>
      </c>
      <c r="C2517" s="2">
        <v>82</v>
      </c>
      <c r="D2517" s="2">
        <v>147</v>
      </c>
      <c r="E2517" s="2" t="s">
        <v>2517</v>
      </c>
    </row>
    <row r="2518" spans="1:5" x14ac:dyDescent="0.25">
      <c r="A2518" s="1">
        <v>82216</v>
      </c>
      <c r="B2518" s="2">
        <v>134</v>
      </c>
      <c r="C2518" s="2">
        <v>82</v>
      </c>
      <c r="D2518" s="2">
        <v>2.9999999999999999E-7</v>
      </c>
      <c r="E2518" s="2" t="s">
        <v>2518</v>
      </c>
    </row>
    <row r="2519" spans="1:5" x14ac:dyDescent="0.25">
      <c r="A2519" s="1">
        <v>82217</v>
      </c>
      <c r="B2519" s="2">
        <v>135</v>
      </c>
      <c r="C2519" s="2">
        <v>82</v>
      </c>
      <c r="D2519" s="2">
        <v>2.9999999999999999E-7</v>
      </c>
      <c r="E2519" s="2" t="s">
        <v>2519</v>
      </c>
    </row>
    <row r="2520" spans="1:5" x14ac:dyDescent="0.25">
      <c r="A2520" s="1">
        <v>82218</v>
      </c>
      <c r="B2520" s="2">
        <v>136</v>
      </c>
      <c r="C2520" s="2">
        <v>82</v>
      </c>
      <c r="D2520" s="2">
        <v>2.9999999999999999E-7</v>
      </c>
      <c r="E2520" s="2" t="s">
        <v>2520</v>
      </c>
    </row>
    <row r="2521" spans="1:5" x14ac:dyDescent="0.25">
      <c r="A2521" s="1">
        <v>82219</v>
      </c>
      <c r="B2521" s="2">
        <v>137</v>
      </c>
      <c r="C2521" s="2">
        <v>82</v>
      </c>
      <c r="D2521" s="2">
        <v>2.9999999999999999E-7</v>
      </c>
      <c r="E2521" s="2" t="s">
        <v>2521</v>
      </c>
    </row>
    <row r="2522" spans="1:5" x14ac:dyDescent="0.25">
      <c r="A2522" s="1">
        <v>82220</v>
      </c>
      <c r="B2522" s="2">
        <v>138</v>
      </c>
      <c r="C2522" s="2">
        <v>82</v>
      </c>
      <c r="D2522" s="2">
        <v>2.9999999999999999E-7</v>
      </c>
      <c r="E2522" s="2" t="s">
        <v>2522</v>
      </c>
    </row>
    <row r="2523" spans="1:5" x14ac:dyDescent="0.25">
      <c r="A2523" s="1">
        <v>83184</v>
      </c>
      <c r="B2523" s="2">
        <v>101</v>
      </c>
      <c r="C2523" s="2">
        <v>83</v>
      </c>
      <c r="D2523" s="2">
        <v>1.2999999999999999E-2</v>
      </c>
      <c r="E2523" s="2" t="s">
        <v>2523</v>
      </c>
    </row>
    <row r="2524" spans="1:5" x14ac:dyDescent="0.25">
      <c r="A2524" s="1">
        <v>83185</v>
      </c>
      <c r="B2524" s="2">
        <v>102</v>
      </c>
      <c r="C2524" s="2">
        <v>83</v>
      </c>
      <c r="D2524" s="2">
        <v>5.8E-5</v>
      </c>
      <c r="E2524" s="2" t="s">
        <v>2524</v>
      </c>
    </row>
    <row r="2525" spans="1:5" x14ac:dyDescent="0.25">
      <c r="A2525" s="1">
        <v>83186</v>
      </c>
      <c r="B2525" s="2">
        <v>103</v>
      </c>
      <c r="C2525" s="2">
        <v>83</v>
      </c>
      <c r="D2525" s="2">
        <v>1.4800000000000001E-2</v>
      </c>
      <c r="E2525" s="2" t="s">
        <v>2525</v>
      </c>
    </row>
    <row r="2526" spans="1:5" x14ac:dyDescent="0.25">
      <c r="A2526" s="1">
        <v>83187</v>
      </c>
      <c r="B2526" s="2">
        <v>104</v>
      </c>
      <c r="C2526" s="2">
        <v>83</v>
      </c>
      <c r="D2526" s="2">
        <v>3.6999999999999998E-2</v>
      </c>
      <c r="E2526" s="2" t="s">
        <v>2526</v>
      </c>
    </row>
    <row r="2527" spans="1:5" x14ac:dyDescent="0.25">
      <c r="A2527" s="1">
        <v>83188</v>
      </c>
      <c r="B2527" s="2">
        <v>105</v>
      </c>
      <c r="C2527" s="2">
        <v>83</v>
      </c>
      <c r="D2527" s="2">
        <v>0.26500000000000001</v>
      </c>
      <c r="E2527" s="2" t="s">
        <v>2527</v>
      </c>
    </row>
    <row r="2528" spans="1:5" x14ac:dyDescent="0.25">
      <c r="A2528" s="1">
        <v>83189</v>
      </c>
      <c r="B2528" s="2">
        <v>106</v>
      </c>
      <c r="C2528" s="2">
        <v>83</v>
      </c>
      <c r="D2528" s="2">
        <v>0.67400000000000004</v>
      </c>
      <c r="E2528" s="2" t="s">
        <v>2528</v>
      </c>
    </row>
    <row r="2529" spans="1:5" x14ac:dyDescent="0.25">
      <c r="A2529" s="1">
        <v>83190</v>
      </c>
      <c r="B2529" s="2">
        <v>107</v>
      </c>
      <c r="C2529" s="2">
        <v>83</v>
      </c>
      <c r="D2529" s="2">
        <v>6.3</v>
      </c>
      <c r="E2529" s="2" t="s">
        <v>2529</v>
      </c>
    </row>
    <row r="2530" spans="1:5" x14ac:dyDescent="0.25">
      <c r="A2530" s="1">
        <v>83191</v>
      </c>
      <c r="B2530" s="2">
        <v>108</v>
      </c>
      <c r="C2530" s="2">
        <v>83</v>
      </c>
      <c r="D2530" s="2">
        <v>12.4</v>
      </c>
      <c r="E2530" s="2" t="s">
        <v>2530</v>
      </c>
    </row>
    <row r="2531" spans="1:5" x14ac:dyDescent="0.25">
      <c r="A2531" s="1">
        <v>83192</v>
      </c>
      <c r="B2531" s="2">
        <v>109</v>
      </c>
      <c r="C2531" s="2">
        <v>83</v>
      </c>
      <c r="D2531" s="2">
        <v>34.6</v>
      </c>
      <c r="E2531" s="2" t="s">
        <v>2531</v>
      </c>
    </row>
    <row r="2532" spans="1:5" x14ac:dyDescent="0.25">
      <c r="A2532" s="1">
        <v>83193</v>
      </c>
      <c r="B2532" s="2">
        <v>110</v>
      </c>
      <c r="C2532" s="2">
        <v>83</v>
      </c>
      <c r="D2532" s="2">
        <v>63.6</v>
      </c>
      <c r="E2532" s="2" t="s">
        <v>2532</v>
      </c>
    </row>
    <row r="2533" spans="1:5" x14ac:dyDescent="0.25">
      <c r="A2533" s="1">
        <v>83194</v>
      </c>
      <c r="B2533" s="2">
        <v>111</v>
      </c>
      <c r="C2533" s="2">
        <v>83</v>
      </c>
      <c r="D2533" s="2">
        <v>95</v>
      </c>
      <c r="E2533" s="2" t="s">
        <v>2533</v>
      </c>
    </row>
    <row r="2534" spans="1:5" x14ac:dyDescent="0.25">
      <c r="A2534" s="1">
        <v>83195</v>
      </c>
      <c r="B2534" s="2">
        <v>112</v>
      </c>
      <c r="C2534" s="2">
        <v>83</v>
      </c>
      <c r="D2534" s="2">
        <v>183</v>
      </c>
      <c r="E2534" s="2" t="s">
        <v>2534</v>
      </c>
    </row>
    <row r="2535" spans="1:5" x14ac:dyDescent="0.25">
      <c r="A2535" s="1">
        <v>83196</v>
      </c>
      <c r="B2535" s="2">
        <v>113</v>
      </c>
      <c r="C2535" s="2">
        <v>83</v>
      </c>
      <c r="D2535" s="2">
        <v>308</v>
      </c>
      <c r="E2535" s="2" t="s">
        <v>2535</v>
      </c>
    </row>
    <row r="2536" spans="1:5" x14ac:dyDescent="0.25">
      <c r="A2536" s="1">
        <v>83197</v>
      </c>
      <c r="B2536" s="2">
        <v>114</v>
      </c>
      <c r="C2536" s="2">
        <v>83</v>
      </c>
      <c r="D2536" s="2">
        <v>559.79999999999995</v>
      </c>
      <c r="E2536" s="2" t="s">
        <v>2536</v>
      </c>
    </row>
    <row r="2537" spans="1:5" x14ac:dyDescent="0.25">
      <c r="A2537" s="1">
        <v>83198</v>
      </c>
      <c r="B2537" s="2">
        <v>115</v>
      </c>
      <c r="C2537" s="2">
        <v>83</v>
      </c>
      <c r="D2537" s="2">
        <v>618</v>
      </c>
      <c r="E2537" s="2" t="s">
        <v>2537</v>
      </c>
    </row>
    <row r="2538" spans="1:5" x14ac:dyDescent="0.25">
      <c r="A2538" s="1">
        <v>83199</v>
      </c>
      <c r="B2538" s="2">
        <v>116</v>
      </c>
      <c r="C2538" s="2">
        <v>83</v>
      </c>
      <c r="D2538" s="2">
        <v>1620</v>
      </c>
      <c r="E2538" s="2" t="s">
        <v>2538</v>
      </c>
    </row>
    <row r="2539" spans="1:5" x14ac:dyDescent="0.25">
      <c r="A2539" s="1">
        <v>83200</v>
      </c>
      <c r="B2539" s="2">
        <v>117</v>
      </c>
      <c r="C2539" s="2">
        <v>83</v>
      </c>
      <c r="D2539" s="2">
        <v>2184</v>
      </c>
      <c r="E2539" s="2" t="s">
        <v>2539</v>
      </c>
    </row>
    <row r="2540" spans="1:5" x14ac:dyDescent="0.25">
      <c r="A2540" s="1">
        <v>83201</v>
      </c>
      <c r="B2540" s="2">
        <v>118</v>
      </c>
      <c r="C2540" s="2">
        <v>83</v>
      </c>
      <c r="D2540" s="2">
        <v>6180</v>
      </c>
      <c r="E2540" s="2" t="s">
        <v>2540</v>
      </c>
    </row>
    <row r="2541" spans="1:5" x14ac:dyDescent="0.25">
      <c r="A2541" s="1">
        <v>83202</v>
      </c>
      <c r="B2541" s="2">
        <v>119</v>
      </c>
      <c r="C2541" s="2">
        <v>83</v>
      </c>
      <c r="D2541" s="2">
        <v>6156</v>
      </c>
      <c r="E2541" s="2" t="s">
        <v>2541</v>
      </c>
    </row>
    <row r="2542" spans="1:5" x14ac:dyDescent="0.25">
      <c r="A2542" s="1">
        <v>83203</v>
      </c>
      <c r="B2542" s="2">
        <v>120</v>
      </c>
      <c r="C2542" s="2">
        <v>83</v>
      </c>
      <c r="D2542" s="2">
        <v>42336</v>
      </c>
      <c r="E2542" s="2" t="s">
        <v>2542</v>
      </c>
    </row>
    <row r="2543" spans="1:5" x14ac:dyDescent="0.25">
      <c r="A2543" s="1">
        <v>83204</v>
      </c>
      <c r="B2543" s="2">
        <v>121</v>
      </c>
      <c r="C2543" s="2">
        <v>83</v>
      </c>
      <c r="D2543" s="2">
        <v>40392</v>
      </c>
      <c r="E2543" s="2" t="s">
        <v>2543</v>
      </c>
    </row>
    <row r="2544" spans="1:5" x14ac:dyDescent="0.25">
      <c r="A2544" s="1">
        <v>83205</v>
      </c>
      <c r="B2544" s="2">
        <v>122</v>
      </c>
      <c r="C2544" s="2">
        <v>83</v>
      </c>
      <c r="D2544" s="2">
        <v>1322784</v>
      </c>
      <c r="E2544" s="2" t="s">
        <v>2544</v>
      </c>
    </row>
    <row r="2545" spans="1:5" x14ac:dyDescent="0.25">
      <c r="A2545" s="1">
        <v>83206</v>
      </c>
      <c r="B2545" s="2">
        <v>123</v>
      </c>
      <c r="C2545" s="2">
        <v>83</v>
      </c>
      <c r="D2545" s="2">
        <v>539395.19999999995</v>
      </c>
      <c r="E2545" s="2" t="s">
        <v>2545</v>
      </c>
    </row>
    <row r="2546" spans="1:5" x14ac:dyDescent="0.25">
      <c r="A2546" s="1">
        <v>83207</v>
      </c>
      <c r="B2546" s="2">
        <v>124</v>
      </c>
      <c r="C2546" s="2">
        <v>83</v>
      </c>
      <c r="D2546" s="2">
        <v>995642280</v>
      </c>
      <c r="E2546" s="2" t="s">
        <v>2546</v>
      </c>
    </row>
    <row r="2547" spans="1:5" x14ac:dyDescent="0.25">
      <c r="A2547" s="1">
        <v>83208</v>
      </c>
      <c r="B2547" s="2">
        <v>125</v>
      </c>
      <c r="C2547" s="2">
        <v>83</v>
      </c>
      <c r="D2547" s="2">
        <v>11613196800000</v>
      </c>
      <c r="E2547" s="2" t="s">
        <v>2547</v>
      </c>
    </row>
    <row r="2548" spans="1:5" x14ac:dyDescent="0.25">
      <c r="A2548" s="1">
        <v>83209</v>
      </c>
      <c r="B2548" s="2">
        <v>126</v>
      </c>
      <c r="C2548" s="2">
        <v>83</v>
      </c>
      <c r="D2548" s="2">
        <v>6.3430775999999998E+26</v>
      </c>
      <c r="E2548" s="2" t="s">
        <v>2548</v>
      </c>
    </row>
    <row r="2549" spans="1:5" x14ac:dyDescent="0.25">
      <c r="A2549" s="1">
        <v>83210</v>
      </c>
      <c r="B2549" s="2">
        <v>127</v>
      </c>
      <c r="C2549" s="2">
        <v>83</v>
      </c>
      <c r="D2549" s="2">
        <v>433036.79999999999</v>
      </c>
      <c r="E2549" s="2" t="s">
        <v>2549</v>
      </c>
    </row>
    <row r="2550" spans="1:5" x14ac:dyDescent="0.25">
      <c r="A2550" s="1">
        <v>83211</v>
      </c>
      <c r="B2550" s="2">
        <v>128</v>
      </c>
      <c r="C2550" s="2">
        <v>83</v>
      </c>
      <c r="D2550" s="2">
        <v>128.4</v>
      </c>
      <c r="E2550" s="2" t="s">
        <v>2550</v>
      </c>
    </row>
    <row r="2551" spans="1:5" x14ac:dyDescent="0.25">
      <c r="A2551" s="1">
        <v>83212</v>
      </c>
      <c r="B2551" s="2">
        <v>129</v>
      </c>
      <c r="C2551" s="2">
        <v>83</v>
      </c>
      <c r="D2551" s="2">
        <v>3633</v>
      </c>
      <c r="E2551" s="2" t="s">
        <v>2551</v>
      </c>
    </row>
    <row r="2552" spans="1:5" x14ac:dyDescent="0.25">
      <c r="A2552" s="1">
        <v>83213</v>
      </c>
      <c r="B2552" s="2">
        <v>130</v>
      </c>
      <c r="C2552" s="2">
        <v>83</v>
      </c>
      <c r="D2552" s="2">
        <v>2736.6</v>
      </c>
      <c r="E2552" s="2" t="s">
        <v>2552</v>
      </c>
    </row>
    <row r="2553" spans="1:5" x14ac:dyDescent="0.25">
      <c r="A2553" s="1">
        <v>83214</v>
      </c>
      <c r="B2553" s="2">
        <v>131</v>
      </c>
      <c r="C2553" s="2">
        <v>83</v>
      </c>
      <c r="D2553" s="2">
        <v>1194</v>
      </c>
      <c r="E2553" s="2" t="s">
        <v>2553</v>
      </c>
    </row>
    <row r="2554" spans="1:5" x14ac:dyDescent="0.25">
      <c r="A2554" s="1">
        <v>83215</v>
      </c>
      <c r="B2554" s="2">
        <v>132</v>
      </c>
      <c r="C2554" s="2">
        <v>83</v>
      </c>
      <c r="D2554" s="2">
        <v>456</v>
      </c>
      <c r="E2554" s="2" t="s">
        <v>2554</v>
      </c>
    </row>
    <row r="2555" spans="1:5" x14ac:dyDescent="0.25">
      <c r="A2555" s="1">
        <v>83216</v>
      </c>
      <c r="B2555" s="2">
        <v>133</v>
      </c>
      <c r="C2555" s="2">
        <v>83</v>
      </c>
      <c r="D2555" s="2">
        <v>135</v>
      </c>
      <c r="E2555" s="2" t="s">
        <v>2555</v>
      </c>
    </row>
    <row r="2556" spans="1:5" x14ac:dyDescent="0.25">
      <c r="A2556" s="1">
        <v>83217</v>
      </c>
      <c r="B2556" s="2">
        <v>134</v>
      </c>
      <c r="C2556" s="2">
        <v>83</v>
      </c>
      <c r="D2556" s="2">
        <v>98.5</v>
      </c>
      <c r="E2556" s="2" t="s">
        <v>2556</v>
      </c>
    </row>
    <row r="2557" spans="1:5" x14ac:dyDescent="0.25">
      <c r="A2557" s="1">
        <v>83218</v>
      </c>
      <c r="B2557" s="2">
        <v>135</v>
      </c>
      <c r="C2557" s="2">
        <v>83</v>
      </c>
      <c r="D2557" s="2">
        <v>33</v>
      </c>
      <c r="E2557" s="2" t="s">
        <v>2557</v>
      </c>
    </row>
    <row r="2558" spans="1:5" x14ac:dyDescent="0.25">
      <c r="A2558" s="1">
        <v>83219</v>
      </c>
      <c r="B2558" s="2">
        <v>136</v>
      </c>
      <c r="C2558" s="2">
        <v>83</v>
      </c>
      <c r="D2558" s="2">
        <v>22</v>
      </c>
      <c r="E2558" s="2" t="s">
        <v>2558</v>
      </c>
    </row>
    <row r="2559" spans="1:5" x14ac:dyDescent="0.25">
      <c r="A2559" s="1">
        <v>83220</v>
      </c>
      <c r="B2559" s="2">
        <v>137</v>
      </c>
      <c r="C2559" s="2">
        <v>83</v>
      </c>
      <c r="D2559" s="2">
        <v>2.9999999999999999E-7</v>
      </c>
      <c r="E2559" s="2" t="s">
        <v>2559</v>
      </c>
    </row>
    <row r="2560" spans="1:5" x14ac:dyDescent="0.25">
      <c r="A2560" s="1">
        <v>83221</v>
      </c>
      <c r="B2560" s="2">
        <v>138</v>
      </c>
      <c r="C2560" s="2">
        <v>83</v>
      </c>
      <c r="D2560" s="2">
        <v>2.9999999999999999E-7</v>
      </c>
      <c r="E2560" s="2" t="s">
        <v>2560</v>
      </c>
    </row>
    <row r="2561" spans="1:5" x14ac:dyDescent="0.25">
      <c r="A2561" s="1">
        <v>83222</v>
      </c>
      <c r="B2561" s="2">
        <v>139</v>
      </c>
      <c r="C2561" s="2">
        <v>83</v>
      </c>
      <c r="D2561" s="2">
        <v>2.9999999999999999E-7</v>
      </c>
      <c r="E2561" s="2" t="s">
        <v>2561</v>
      </c>
    </row>
    <row r="2562" spans="1:5" x14ac:dyDescent="0.25">
      <c r="A2562" s="1">
        <v>83223</v>
      </c>
      <c r="B2562" s="2">
        <v>140</v>
      </c>
      <c r="C2562" s="2">
        <v>83</v>
      </c>
      <c r="D2562" s="2">
        <v>2.9999999999999999E-7</v>
      </c>
      <c r="E2562" s="2" t="s">
        <v>2562</v>
      </c>
    </row>
    <row r="2563" spans="1:5" x14ac:dyDescent="0.25">
      <c r="A2563" s="1">
        <v>83224</v>
      </c>
      <c r="B2563" s="2">
        <v>141</v>
      </c>
      <c r="C2563" s="2">
        <v>83</v>
      </c>
      <c r="D2563" s="2">
        <v>2.9999999999999999E-7</v>
      </c>
      <c r="E2563" s="2" t="s">
        <v>2563</v>
      </c>
    </row>
    <row r="2564" spans="1:5" x14ac:dyDescent="0.25">
      <c r="A2564" s="1">
        <v>84186</v>
      </c>
      <c r="B2564" s="2">
        <v>102</v>
      </c>
      <c r="C2564" s="2">
        <v>84</v>
      </c>
      <c r="D2564" s="2">
        <v>2.8E-5</v>
      </c>
      <c r="E2564" s="2" t="s">
        <v>2564</v>
      </c>
    </row>
    <row r="2565" spans="1:5" x14ac:dyDescent="0.25">
      <c r="A2565" s="1">
        <v>84187</v>
      </c>
      <c r="B2565" s="2">
        <v>103</v>
      </c>
      <c r="C2565" s="2">
        <v>84</v>
      </c>
      <c r="D2565" s="2">
        <v>1.4E-3</v>
      </c>
      <c r="E2565" s="2" t="s">
        <v>2565</v>
      </c>
    </row>
    <row r="2566" spans="1:5" x14ac:dyDescent="0.25">
      <c r="A2566" s="1">
        <v>84188</v>
      </c>
      <c r="B2566" s="2">
        <v>104</v>
      </c>
      <c r="C2566" s="2">
        <v>84</v>
      </c>
      <c r="D2566" s="2">
        <v>2.7500000000000002E-4</v>
      </c>
      <c r="E2566" s="2" t="s">
        <v>2566</v>
      </c>
    </row>
    <row r="2567" spans="1:5" x14ac:dyDescent="0.25">
      <c r="A2567" s="1">
        <v>84189</v>
      </c>
      <c r="B2567" s="2">
        <v>105</v>
      </c>
      <c r="C2567" s="2">
        <v>84</v>
      </c>
      <c r="D2567" s="2">
        <v>3.5000000000000001E-3</v>
      </c>
      <c r="E2567" s="2" t="s">
        <v>2567</v>
      </c>
    </row>
    <row r="2568" spans="1:5" x14ac:dyDescent="0.25">
      <c r="A2568" s="1">
        <v>84190</v>
      </c>
      <c r="B2568" s="2">
        <v>106</v>
      </c>
      <c r="C2568" s="2">
        <v>84</v>
      </c>
      <c r="D2568" s="2">
        <v>2.4599999999999999E-3</v>
      </c>
      <c r="E2568" s="2" t="s">
        <v>2568</v>
      </c>
    </row>
    <row r="2569" spans="1:5" x14ac:dyDescent="0.25">
      <c r="A2569" s="1">
        <v>84191</v>
      </c>
      <c r="B2569" s="2">
        <v>107</v>
      </c>
      <c r="C2569" s="2">
        <v>84</v>
      </c>
      <c r="D2569" s="2">
        <v>2.1999999999999999E-2</v>
      </c>
      <c r="E2569" s="2" t="s">
        <v>2569</v>
      </c>
    </row>
    <row r="2570" spans="1:5" x14ac:dyDescent="0.25">
      <c r="A2570" s="1">
        <v>84192</v>
      </c>
      <c r="B2570" s="2">
        <v>108</v>
      </c>
      <c r="C2570" s="2">
        <v>84</v>
      </c>
      <c r="D2570" s="2">
        <v>3.2199999999999999E-2</v>
      </c>
      <c r="E2570" s="2" t="s">
        <v>2570</v>
      </c>
    </row>
    <row r="2571" spans="1:5" x14ac:dyDescent="0.25">
      <c r="A2571" s="1">
        <v>84193</v>
      </c>
      <c r="B2571" s="2">
        <v>109</v>
      </c>
      <c r="C2571" s="2">
        <v>84</v>
      </c>
      <c r="D2571" s="2">
        <v>0.245</v>
      </c>
      <c r="E2571" s="2" t="s">
        <v>2571</v>
      </c>
    </row>
    <row r="2572" spans="1:5" x14ac:dyDescent="0.25">
      <c r="A2572" s="1">
        <v>84194</v>
      </c>
      <c r="B2572" s="2">
        <v>110</v>
      </c>
      <c r="C2572" s="2">
        <v>84</v>
      </c>
      <c r="D2572" s="2">
        <v>0.39200000000000002</v>
      </c>
      <c r="E2572" s="2" t="s">
        <v>2572</v>
      </c>
    </row>
    <row r="2573" spans="1:5" x14ac:dyDescent="0.25">
      <c r="A2573" s="1">
        <v>84195</v>
      </c>
      <c r="B2573" s="2">
        <v>111</v>
      </c>
      <c r="C2573" s="2">
        <v>84</v>
      </c>
      <c r="D2573" s="2">
        <v>4.6399999999999997</v>
      </c>
      <c r="E2573" s="2" t="s">
        <v>2573</v>
      </c>
    </row>
    <row r="2574" spans="1:5" x14ac:dyDescent="0.25">
      <c r="A2574" s="1">
        <v>84196</v>
      </c>
      <c r="B2574" s="2">
        <v>112</v>
      </c>
      <c r="C2574" s="2">
        <v>84</v>
      </c>
      <c r="D2574" s="2">
        <v>5.8</v>
      </c>
      <c r="E2574" s="2" t="s">
        <v>2574</v>
      </c>
    </row>
    <row r="2575" spans="1:5" x14ac:dyDescent="0.25">
      <c r="A2575" s="1">
        <v>84197</v>
      </c>
      <c r="B2575" s="2">
        <v>113</v>
      </c>
      <c r="C2575" s="2">
        <v>84</v>
      </c>
      <c r="D2575" s="2">
        <v>84</v>
      </c>
      <c r="E2575" s="2" t="s">
        <v>2575</v>
      </c>
    </row>
    <row r="2576" spans="1:5" x14ac:dyDescent="0.25">
      <c r="A2576" s="1">
        <v>84198</v>
      </c>
      <c r="B2576" s="2">
        <v>114</v>
      </c>
      <c r="C2576" s="2">
        <v>84</v>
      </c>
      <c r="D2576" s="2">
        <v>105.6</v>
      </c>
      <c r="E2576" s="2" t="s">
        <v>2576</v>
      </c>
    </row>
    <row r="2577" spans="1:5" x14ac:dyDescent="0.25">
      <c r="A2577" s="1">
        <v>84199</v>
      </c>
      <c r="B2577" s="2">
        <v>115</v>
      </c>
      <c r="C2577" s="2">
        <v>84</v>
      </c>
      <c r="D2577" s="2">
        <v>328.2</v>
      </c>
      <c r="E2577" s="2" t="s">
        <v>2577</v>
      </c>
    </row>
    <row r="2578" spans="1:5" x14ac:dyDescent="0.25">
      <c r="A2578" s="1">
        <v>84200</v>
      </c>
      <c r="B2578" s="2">
        <v>116</v>
      </c>
      <c r="C2578" s="2">
        <v>84</v>
      </c>
      <c r="D2578" s="2">
        <v>690.6</v>
      </c>
      <c r="E2578" s="2" t="s">
        <v>2578</v>
      </c>
    </row>
    <row r="2579" spans="1:5" x14ac:dyDescent="0.25">
      <c r="A2579" s="1">
        <v>84201</v>
      </c>
      <c r="B2579" s="2">
        <v>117</v>
      </c>
      <c r="C2579" s="2">
        <v>84</v>
      </c>
      <c r="D2579" s="2">
        <v>936</v>
      </c>
      <c r="E2579" s="2" t="s">
        <v>2579</v>
      </c>
    </row>
    <row r="2580" spans="1:5" x14ac:dyDescent="0.25">
      <c r="A2580" s="1">
        <v>84202</v>
      </c>
      <c r="B2580" s="2">
        <v>118</v>
      </c>
      <c r="C2580" s="2">
        <v>84</v>
      </c>
      <c r="D2580" s="2">
        <v>2676</v>
      </c>
      <c r="E2580" s="2" t="s">
        <v>2580</v>
      </c>
    </row>
    <row r="2581" spans="1:5" x14ac:dyDescent="0.25">
      <c r="A2581" s="1">
        <v>84203</v>
      </c>
      <c r="B2581" s="2">
        <v>119</v>
      </c>
      <c r="C2581" s="2">
        <v>84</v>
      </c>
      <c r="D2581" s="2">
        <v>2202</v>
      </c>
      <c r="E2581" s="2" t="s">
        <v>2581</v>
      </c>
    </row>
    <row r="2582" spans="1:5" x14ac:dyDescent="0.25">
      <c r="A2582" s="1">
        <v>84204</v>
      </c>
      <c r="B2582" s="2">
        <v>120</v>
      </c>
      <c r="C2582" s="2">
        <v>84</v>
      </c>
      <c r="D2582" s="2">
        <v>12668.4</v>
      </c>
      <c r="E2582" s="2" t="s">
        <v>2582</v>
      </c>
    </row>
    <row r="2583" spans="1:5" x14ac:dyDescent="0.25">
      <c r="A2583" s="1">
        <v>84205</v>
      </c>
      <c r="B2583" s="2">
        <v>121</v>
      </c>
      <c r="C2583" s="2">
        <v>84</v>
      </c>
      <c r="D2583" s="2">
        <v>6264</v>
      </c>
      <c r="E2583" s="2" t="s">
        <v>2583</v>
      </c>
    </row>
    <row r="2584" spans="1:5" x14ac:dyDescent="0.25">
      <c r="A2584" s="1">
        <v>84206</v>
      </c>
      <c r="B2584" s="2">
        <v>122</v>
      </c>
      <c r="C2584" s="2">
        <v>84</v>
      </c>
      <c r="D2584" s="2">
        <v>760320</v>
      </c>
      <c r="E2584" s="2" t="s">
        <v>2584</v>
      </c>
    </row>
    <row r="2585" spans="1:5" x14ac:dyDescent="0.25">
      <c r="A2585" s="1">
        <v>84207</v>
      </c>
      <c r="B2585" s="2">
        <v>123</v>
      </c>
      <c r="C2585" s="2">
        <v>84</v>
      </c>
      <c r="D2585" s="2">
        <v>20880</v>
      </c>
      <c r="E2585" s="2" t="s">
        <v>2585</v>
      </c>
    </row>
    <row r="2586" spans="1:5" x14ac:dyDescent="0.25">
      <c r="A2586" s="1">
        <v>84208</v>
      </c>
      <c r="B2586" s="2">
        <v>124</v>
      </c>
      <c r="C2586" s="2">
        <v>84</v>
      </c>
      <c r="D2586" s="2">
        <v>91453924.799999997</v>
      </c>
      <c r="E2586" s="2" t="s">
        <v>2586</v>
      </c>
    </row>
    <row r="2587" spans="1:5" x14ac:dyDescent="0.25">
      <c r="A2587" s="1">
        <v>84209</v>
      </c>
      <c r="B2587" s="2">
        <v>125</v>
      </c>
      <c r="C2587" s="2">
        <v>84</v>
      </c>
      <c r="D2587" s="2">
        <v>3913142400</v>
      </c>
      <c r="E2587" s="2" t="s">
        <v>2587</v>
      </c>
    </row>
    <row r="2588" spans="1:5" x14ac:dyDescent="0.25">
      <c r="A2588" s="1">
        <v>84210</v>
      </c>
      <c r="B2588" s="2">
        <v>126</v>
      </c>
      <c r="C2588" s="2">
        <v>84</v>
      </c>
      <c r="D2588" s="2">
        <v>11955686.4</v>
      </c>
      <c r="E2588" s="2" t="s">
        <v>2588</v>
      </c>
    </row>
    <row r="2589" spans="1:5" x14ac:dyDescent="0.25">
      <c r="A2589" s="1">
        <v>84211</v>
      </c>
      <c r="B2589" s="2">
        <v>127</v>
      </c>
      <c r="C2589" s="2">
        <v>84</v>
      </c>
      <c r="D2589" s="2">
        <v>0.51600000000000001</v>
      </c>
      <c r="E2589" s="2" t="s">
        <v>2589</v>
      </c>
    </row>
    <row r="2590" spans="1:5" x14ac:dyDescent="0.25">
      <c r="A2590" s="1">
        <v>84212</v>
      </c>
      <c r="B2590" s="2">
        <v>128</v>
      </c>
      <c r="C2590" s="2">
        <v>84</v>
      </c>
      <c r="D2590" s="2">
        <v>2.9899999999999901E-7</v>
      </c>
      <c r="E2590" s="2" t="s">
        <v>2590</v>
      </c>
    </row>
    <row r="2591" spans="1:5" x14ac:dyDescent="0.25">
      <c r="A2591" s="1">
        <v>84213</v>
      </c>
      <c r="B2591" s="2">
        <v>129</v>
      </c>
      <c r="C2591" s="2">
        <v>84</v>
      </c>
      <c r="D2591" s="2">
        <v>3.72E-6</v>
      </c>
      <c r="E2591" s="2" t="s">
        <v>2591</v>
      </c>
    </row>
    <row r="2592" spans="1:5" x14ac:dyDescent="0.25">
      <c r="A2592" s="1">
        <v>84214</v>
      </c>
      <c r="B2592" s="2">
        <v>130</v>
      </c>
      <c r="C2592" s="2">
        <v>84</v>
      </c>
      <c r="D2592" s="2">
        <v>1.6359999999999999E-4</v>
      </c>
      <c r="E2592" s="2" t="s">
        <v>2592</v>
      </c>
    </row>
    <row r="2593" spans="1:5" x14ac:dyDescent="0.25">
      <c r="A2593" s="1">
        <v>84215</v>
      </c>
      <c r="B2593" s="2">
        <v>131</v>
      </c>
      <c r="C2593" s="2">
        <v>84</v>
      </c>
      <c r="D2593" s="2">
        <v>1.781E-3</v>
      </c>
      <c r="E2593" s="2" t="s">
        <v>2593</v>
      </c>
    </row>
    <row r="2594" spans="1:5" x14ac:dyDescent="0.25">
      <c r="A2594" s="1">
        <v>84216</v>
      </c>
      <c r="B2594" s="2">
        <v>132</v>
      </c>
      <c r="C2594" s="2">
        <v>84</v>
      </c>
      <c r="D2594" s="2">
        <v>0.14499999999999999</v>
      </c>
      <c r="E2594" s="2" t="s">
        <v>2594</v>
      </c>
    </row>
    <row r="2595" spans="1:5" x14ac:dyDescent="0.25">
      <c r="A2595" s="1">
        <v>84217</v>
      </c>
      <c r="B2595" s="2">
        <v>133</v>
      </c>
      <c r="C2595" s="2">
        <v>84</v>
      </c>
      <c r="D2595" s="2">
        <v>1.53</v>
      </c>
      <c r="E2595" s="2" t="s">
        <v>2595</v>
      </c>
    </row>
    <row r="2596" spans="1:5" x14ac:dyDescent="0.25">
      <c r="A2596" s="1">
        <v>84218</v>
      </c>
      <c r="B2596" s="2">
        <v>134</v>
      </c>
      <c r="C2596" s="2">
        <v>84</v>
      </c>
      <c r="D2596" s="2">
        <v>185.88</v>
      </c>
      <c r="E2596" s="2" t="s">
        <v>2596</v>
      </c>
    </row>
    <row r="2597" spans="1:5" x14ac:dyDescent="0.25">
      <c r="A2597" s="1">
        <v>84219</v>
      </c>
      <c r="B2597" s="2">
        <v>135</v>
      </c>
      <c r="C2597" s="2">
        <v>84</v>
      </c>
      <c r="D2597" s="2">
        <v>620</v>
      </c>
      <c r="E2597" s="2" t="s">
        <v>2597</v>
      </c>
    </row>
    <row r="2598" spans="1:5" x14ac:dyDescent="0.25">
      <c r="A2598" s="1">
        <v>84220</v>
      </c>
      <c r="B2598" s="2">
        <v>136</v>
      </c>
      <c r="C2598" s="2">
        <v>84</v>
      </c>
      <c r="D2598" s="2">
        <v>2.9999999999999999E-7</v>
      </c>
      <c r="E2598" s="2" t="s">
        <v>2598</v>
      </c>
    </row>
    <row r="2599" spans="1:5" x14ac:dyDescent="0.25">
      <c r="A2599" s="1">
        <v>84221</v>
      </c>
      <c r="B2599" s="2">
        <v>137</v>
      </c>
      <c r="C2599" s="2">
        <v>84</v>
      </c>
      <c r="D2599" s="2">
        <v>112</v>
      </c>
      <c r="E2599" s="2" t="s">
        <v>2599</v>
      </c>
    </row>
    <row r="2600" spans="1:5" x14ac:dyDescent="0.25">
      <c r="A2600" s="1">
        <v>84222</v>
      </c>
      <c r="B2600" s="2">
        <v>138</v>
      </c>
      <c r="C2600" s="2">
        <v>84</v>
      </c>
      <c r="D2600" s="2">
        <v>550</v>
      </c>
      <c r="E2600" s="2" t="s">
        <v>2600</v>
      </c>
    </row>
    <row r="2601" spans="1:5" x14ac:dyDescent="0.25">
      <c r="A2601" s="1">
        <v>84223</v>
      </c>
      <c r="B2601" s="2">
        <v>139</v>
      </c>
      <c r="C2601" s="2">
        <v>84</v>
      </c>
      <c r="D2601" s="2">
        <v>2.9999999999999999E-7</v>
      </c>
      <c r="E2601" s="2" t="s">
        <v>2601</v>
      </c>
    </row>
    <row r="2602" spans="1:5" x14ac:dyDescent="0.25">
      <c r="A2602" s="1">
        <v>84224</v>
      </c>
      <c r="B2602" s="2">
        <v>140</v>
      </c>
      <c r="C2602" s="2">
        <v>84</v>
      </c>
      <c r="D2602" s="2">
        <v>2.9999999999999999E-7</v>
      </c>
      <c r="E2602" s="2" t="s">
        <v>2602</v>
      </c>
    </row>
    <row r="2603" spans="1:5" x14ac:dyDescent="0.25">
      <c r="A2603" s="1">
        <v>84225</v>
      </c>
      <c r="B2603" s="2">
        <v>141</v>
      </c>
      <c r="C2603" s="2">
        <v>84</v>
      </c>
      <c r="D2603" s="2">
        <v>2.9999999999999999E-7</v>
      </c>
      <c r="E2603" s="2" t="s">
        <v>2603</v>
      </c>
    </row>
    <row r="2604" spans="1:5" x14ac:dyDescent="0.25">
      <c r="A2604" s="1">
        <v>84226</v>
      </c>
      <c r="B2604" s="2">
        <v>142</v>
      </c>
      <c r="C2604" s="2">
        <v>84</v>
      </c>
      <c r="D2604" s="2">
        <v>2.9999999999999999E-7</v>
      </c>
      <c r="E2604" s="2" t="s">
        <v>2604</v>
      </c>
    </row>
    <row r="2605" spans="1:5" x14ac:dyDescent="0.25">
      <c r="A2605" s="1">
        <v>84227</v>
      </c>
      <c r="B2605" s="2">
        <v>143</v>
      </c>
      <c r="C2605" s="2">
        <v>84</v>
      </c>
      <c r="D2605" s="2">
        <v>2.9999999999999999E-7</v>
      </c>
      <c r="E2605" s="2" t="s">
        <v>2605</v>
      </c>
    </row>
    <row r="2606" spans="1:5" x14ac:dyDescent="0.25">
      <c r="A2606" s="1">
        <v>85191</v>
      </c>
      <c r="B2606" s="2">
        <v>106</v>
      </c>
      <c r="C2606" s="2">
        <v>85</v>
      </c>
      <c r="D2606" s="2">
        <v>1.6999999999999999E-3</v>
      </c>
      <c r="E2606" s="2" t="s">
        <v>2606</v>
      </c>
    </row>
    <row r="2607" spans="1:5" x14ac:dyDescent="0.25">
      <c r="A2607" s="1">
        <v>85192</v>
      </c>
      <c r="B2607" s="2">
        <v>107</v>
      </c>
      <c r="C2607" s="2">
        <v>85</v>
      </c>
      <c r="D2607" s="2">
        <v>1.15E-2</v>
      </c>
      <c r="E2607" s="2" t="s">
        <v>2607</v>
      </c>
    </row>
    <row r="2608" spans="1:5" x14ac:dyDescent="0.25">
      <c r="A2608" s="1">
        <v>85193</v>
      </c>
      <c r="B2608" s="2">
        <v>108</v>
      </c>
      <c r="C2608" s="2">
        <v>85</v>
      </c>
      <c r="D2608" s="2">
        <v>2.8000000000000001E-2</v>
      </c>
      <c r="E2608" s="2" t="s">
        <v>2608</v>
      </c>
    </row>
    <row r="2609" spans="1:5" x14ac:dyDescent="0.25">
      <c r="A2609" s="1">
        <v>85194</v>
      </c>
      <c r="B2609" s="2">
        <v>109</v>
      </c>
      <c r="C2609" s="2">
        <v>85</v>
      </c>
      <c r="D2609" s="2">
        <v>0.31</v>
      </c>
      <c r="E2609" s="2" t="s">
        <v>2609</v>
      </c>
    </row>
    <row r="2610" spans="1:5" x14ac:dyDescent="0.25">
      <c r="A2610" s="1">
        <v>85195</v>
      </c>
      <c r="B2610" s="2">
        <v>110</v>
      </c>
      <c r="C2610" s="2">
        <v>85</v>
      </c>
      <c r="D2610" s="2">
        <v>0.28999999999999998</v>
      </c>
      <c r="E2610" s="2" t="s">
        <v>2610</v>
      </c>
    </row>
    <row r="2611" spans="1:5" x14ac:dyDescent="0.25">
      <c r="A2611" s="1">
        <v>85196</v>
      </c>
      <c r="B2611" s="2">
        <v>111</v>
      </c>
      <c r="C2611" s="2">
        <v>85</v>
      </c>
      <c r="D2611" s="2">
        <v>0.38800000000000001</v>
      </c>
      <c r="E2611" s="2" t="s">
        <v>2611</v>
      </c>
    </row>
    <row r="2612" spans="1:5" x14ac:dyDescent="0.25">
      <c r="A2612" s="1">
        <v>85197</v>
      </c>
      <c r="B2612" s="2">
        <v>112</v>
      </c>
      <c r="C2612" s="2">
        <v>85</v>
      </c>
      <c r="D2612" s="2">
        <v>0.38800000000000001</v>
      </c>
      <c r="E2612" s="2" t="s">
        <v>2612</v>
      </c>
    </row>
    <row r="2613" spans="1:5" x14ac:dyDescent="0.25">
      <c r="A2613" s="1">
        <v>85198</v>
      </c>
      <c r="B2613" s="2">
        <v>113</v>
      </c>
      <c r="C2613" s="2">
        <v>85</v>
      </c>
      <c r="D2613" s="2">
        <v>4.2</v>
      </c>
      <c r="E2613" s="2" t="s">
        <v>2613</v>
      </c>
    </row>
    <row r="2614" spans="1:5" x14ac:dyDescent="0.25">
      <c r="A2614" s="1">
        <v>85199</v>
      </c>
      <c r="B2614" s="2">
        <v>114</v>
      </c>
      <c r="C2614" s="2">
        <v>85</v>
      </c>
      <c r="D2614" s="2">
        <v>6.92</v>
      </c>
      <c r="E2614" s="2" t="s">
        <v>2614</v>
      </c>
    </row>
    <row r="2615" spans="1:5" x14ac:dyDescent="0.25">
      <c r="A2615" s="1">
        <v>85200</v>
      </c>
      <c r="B2615" s="2">
        <v>115</v>
      </c>
      <c r="C2615" s="2">
        <v>85</v>
      </c>
      <c r="D2615" s="2">
        <v>43</v>
      </c>
      <c r="E2615" s="2" t="s">
        <v>2615</v>
      </c>
    </row>
    <row r="2616" spans="1:5" x14ac:dyDescent="0.25">
      <c r="A2616" s="1">
        <v>85201</v>
      </c>
      <c r="B2616" s="2">
        <v>116</v>
      </c>
      <c r="C2616" s="2">
        <v>85</v>
      </c>
      <c r="D2616" s="2">
        <v>85.2</v>
      </c>
      <c r="E2616" s="2" t="s">
        <v>2616</v>
      </c>
    </row>
    <row r="2617" spans="1:5" x14ac:dyDescent="0.25">
      <c r="A2617" s="1">
        <v>85202</v>
      </c>
      <c r="B2617" s="2">
        <v>117</v>
      </c>
      <c r="C2617" s="2">
        <v>85</v>
      </c>
      <c r="D2617" s="2">
        <v>184</v>
      </c>
      <c r="E2617" s="2" t="s">
        <v>2617</v>
      </c>
    </row>
    <row r="2618" spans="1:5" x14ac:dyDescent="0.25">
      <c r="A2618" s="1">
        <v>85203</v>
      </c>
      <c r="B2618" s="2">
        <v>118</v>
      </c>
      <c r="C2618" s="2">
        <v>85</v>
      </c>
      <c r="D2618" s="2">
        <v>444</v>
      </c>
      <c r="E2618" s="2" t="s">
        <v>2618</v>
      </c>
    </row>
    <row r="2619" spans="1:5" x14ac:dyDescent="0.25">
      <c r="A2619" s="1">
        <v>85204</v>
      </c>
      <c r="B2619" s="2">
        <v>119</v>
      </c>
      <c r="C2619" s="2">
        <v>85</v>
      </c>
      <c r="D2619" s="2">
        <v>547.19999999999902</v>
      </c>
      <c r="E2619" s="2" t="s">
        <v>2619</v>
      </c>
    </row>
    <row r="2620" spans="1:5" x14ac:dyDescent="0.25">
      <c r="A2620" s="1">
        <v>85205</v>
      </c>
      <c r="B2620" s="2">
        <v>120</v>
      </c>
      <c r="C2620" s="2">
        <v>85</v>
      </c>
      <c r="D2620" s="2">
        <v>1614</v>
      </c>
      <c r="E2620" s="2" t="s">
        <v>2620</v>
      </c>
    </row>
    <row r="2621" spans="1:5" x14ac:dyDescent="0.25">
      <c r="A2621" s="1">
        <v>85206</v>
      </c>
      <c r="B2621" s="2">
        <v>121</v>
      </c>
      <c r="C2621" s="2">
        <v>85</v>
      </c>
      <c r="D2621" s="2">
        <v>1836</v>
      </c>
      <c r="E2621" s="2" t="s">
        <v>2621</v>
      </c>
    </row>
    <row r="2622" spans="1:5" x14ac:dyDescent="0.25">
      <c r="A2622" s="1">
        <v>85207</v>
      </c>
      <c r="B2622" s="2">
        <v>122</v>
      </c>
      <c r="C2622" s="2">
        <v>85</v>
      </c>
      <c r="D2622" s="2">
        <v>6516</v>
      </c>
      <c r="E2622" s="2" t="s">
        <v>2622</v>
      </c>
    </row>
    <row r="2623" spans="1:5" x14ac:dyDescent="0.25">
      <c r="A2623" s="1">
        <v>85208</v>
      </c>
      <c r="B2623" s="2">
        <v>123</v>
      </c>
      <c r="C2623" s="2">
        <v>85</v>
      </c>
      <c r="D2623" s="2">
        <v>5868</v>
      </c>
      <c r="E2623" s="2" t="s">
        <v>2623</v>
      </c>
    </row>
    <row r="2624" spans="1:5" x14ac:dyDescent="0.25">
      <c r="A2624" s="1">
        <v>85209</v>
      </c>
      <c r="B2624" s="2">
        <v>124</v>
      </c>
      <c r="C2624" s="2">
        <v>85</v>
      </c>
      <c r="D2624" s="2">
        <v>19512</v>
      </c>
      <c r="E2624" s="2" t="s">
        <v>2624</v>
      </c>
    </row>
    <row r="2625" spans="1:5" x14ac:dyDescent="0.25">
      <c r="A2625" s="1">
        <v>85210</v>
      </c>
      <c r="B2625" s="2">
        <v>125</v>
      </c>
      <c r="C2625" s="2">
        <v>85</v>
      </c>
      <c r="D2625" s="2">
        <v>29160</v>
      </c>
      <c r="E2625" s="2" t="s">
        <v>2625</v>
      </c>
    </row>
    <row r="2626" spans="1:5" x14ac:dyDescent="0.25">
      <c r="A2626" s="1">
        <v>85211</v>
      </c>
      <c r="B2626" s="2">
        <v>126</v>
      </c>
      <c r="C2626" s="2">
        <v>85</v>
      </c>
      <c r="D2626" s="2">
        <v>25970.400000000001</v>
      </c>
      <c r="E2626" s="2" t="s">
        <v>2626</v>
      </c>
    </row>
    <row r="2627" spans="1:5" x14ac:dyDescent="0.25">
      <c r="A2627" s="1">
        <v>85212</v>
      </c>
      <c r="B2627" s="2">
        <v>127</v>
      </c>
      <c r="C2627" s="2">
        <v>85</v>
      </c>
      <c r="D2627" s="2">
        <v>0.314</v>
      </c>
      <c r="E2627" s="2" t="s">
        <v>2627</v>
      </c>
    </row>
    <row r="2628" spans="1:5" x14ac:dyDescent="0.25">
      <c r="A2628" s="1">
        <v>85213</v>
      </c>
      <c r="B2628" s="2">
        <v>128</v>
      </c>
      <c r="C2628" s="2">
        <v>85</v>
      </c>
      <c r="D2628" s="2">
        <v>1.2499999999999999E-7</v>
      </c>
      <c r="E2628" s="2" t="s">
        <v>2628</v>
      </c>
    </row>
    <row r="2629" spans="1:5" x14ac:dyDescent="0.25">
      <c r="A2629" s="1">
        <v>85214</v>
      </c>
      <c r="B2629" s="2">
        <v>129</v>
      </c>
      <c r="C2629" s="2">
        <v>85</v>
      </c>
      <c r="D2629" s="2">
        <v>5.5799999999999999E-7</v>
      </c>
      <c r="E2629" s="2" t="s">
        <v>2629</v>
      </c>
    </row>
    <row r="2630" spans="1:5" x14ac:dyDescent="0.25">
      <c r="A2630" s="1">
        <v>85215</v>
      </c>
      <c r="B2630" s="2">
        <v>130</v>
      </c>
      <c r="C2630" s="2">
        <v>85</v>
      </c>
      <c r="D2630" s="2">
        <v>1E-4</v>
      </c>
      <c r="E2630" s="2" t="s">
        <v>2630</v>
      </c>
    </row>
    <row r="2631" spans="1:5" x14ac:dyDescent="0.25">
      <c r="A2631" s="1">
        <v>85216</v>
      </c>
      <c r="B2631" s="2">
        <v>131</v>
      </c>
      <c r="C2631" s="2">
        <v>85</v>
      </c>
      <c r="D2631" s="2">
        <v>2.9999999999999997E-4</v>
      </c>
      <c r="E2631" s="2" t="s">
        <v>2631</v>
      </c>
    </row>
    <row r="2632" spans="1:5" x14ac:dyDescent="0.25">
      <c r="A2632" s="1">
        <v>85217</v>
      </c>
      <c r="B2632" s="2">
        <v>132</v>
      </c>
      <c r="C2632" s="2">
        <v>85</v>
      </c>
      <c r="D2632" s="2">
        <v>3.2299999999999898E-2</v>
      </c>
      <c r="E2632" s="2" t="s">
        <v>2632</v>
      </c>
    </row>
    <row r="2633" spans="1:5" x14ac:dyDescent="0.25">
      <c r="A2633" s="1">
        <v>85218</v>
      </c>
      <c r="B2633" s="2">
        <v>133</v>
      </c>
      <c r="C2633" s="2">
        <v>85</v>
      </c>
      <c r="D2633" s="2">
        <v>1.5</v>
      </c>
      <c r="E2633" s="2" t="s">
        <v>2633</v>
      </c>
    </row>
    <row r="2634" spans="1:5" x14ac:dyDescent="0.25">
      <c r="A2634" s="1">
        <v>85219</v>
      </c>
      <c r="B2634" s="2">
        <v>134</v>
      </c>
      <c r="C2634" s="2">
        <v>85</v>
      </c>
      <c r="D2634" s="2">
        <v>56</v>
      </c>
      <c r="E2634" s="2" t="s">
        <v>2634</v>
      </c>
    </row>
    <row r="2635" spans="1:5" x14ac:dyDescent="0.25">
      <c r="A2635" s="1">
        <v>85220</v>
      </c>
      <c r="B2635" s="2">
        <v>135</v>
      </c>
      <c r="C2635" s="2">
        <v>85</v>
      </c>
      <c r="D2635" s="2">
        <v>222.6</v>
      </c>
      <c r="E2635" s="2" t="s">
        <v>2635</v>
      </c>
    </row>
    <row r="2636" spans="1:5" x14ac:dyDescent="0.25">
      <c r="A2636" s="1">
        <v>85221</v>
      </c>
      <c r="B2636" s="2">
        <v>136</v>
      </c>
      <c r="C2636" s="2">
        <v>85</v>
      </c>
      <c r="D2636" s="2">
        <v>138</v>
      </c>
      <c r="E2636" s="2" t="s">
        <v>2636</v>
      </c>
    </row>
    <row r="2637" spans="1:5" x14ac:dyDescent="0.25">
      <c r="A2637" s="1">
        <v>85222</v>
      </c>
      <c r="B2637" s="2">
        <v>137</v>
      </c>
      <c r="C2637" s="2">
        <v>85</v>
      </c>
      <c r="D2637" s="2">
        <v>54</v>
      </c>
      <c r="E2637" s="2" t="s">
        <v>2637</v>
      </c>
    </row>
    <row r="2638" spans="1:5" x14ac:dyDescent="0.25">
      <c r="A2638" s="1">
        <v>85223</v>
      </c>
      <c r="B2638" s="2">
        <v>138</v>
      </c>
      <c r="C2638" s="2">
        <v>85</v>
      </c>
      <c r="D2638" s="2">
        <v>50</v>
      </c>
      <c r="E2638" s="2" t="s">
        <v>2638</v>
      </c>
    </row>
    <row r="2639" spans="1:5" x14ac:dyDescent="0.25">
      <c r="A2639" s="1">
        <v>85224</v>
      </c>
      <c r="B2639" s="2">
        <v>139</v>
      </c>
      <c r="C2639" s="2">
        <v>85</v>
      </c>
      <c r="D2639" s="2">
        <v>78</v>
      </c>
      <c r="E2639" s="2" t="s">
        <v>2639</v>
      </c>
    </row>
    <row r="2640" spans="1:5" x14ac:dyDescent="0.25">
      <c r="A2640" s="1">
        <v>85225</v>
      </c>
      <c r="B2640" s="2">
        <v>140</v>
      </c>
      <c r="C2640" s="2">
        <v>85</v>
      </c>
      <c r="D2640" s="2">
        <v>2.9999999999999999E-7</v>
      </c>
      <c r="E2640" s="2" t="s">
        <v>2640</v>
      </c>
    </row>
    <row r="2641" spans="1:5" x14ac:dyDescent="0.25">
      <c r="A2641" s="1">
        <v>85226</v>
      </c>
      <c r="B2641" s="2">
        <v>141</v>
      </c>
      <c r="C2641" s="2">
        <v>85</v>
      </c>
      <c r="D2641" s="2">
        <v>2.9999999999999999E-7</v>
      </c>
      <c r="E2641" s="2" t="s">
        <v>2641</v>
      </c>
    </row>
    <row r="2642" spans="1:5" x14ac:dyDescent="0.25">
      <c r="A2642" s="1">
        <v>85227</v>
      </c>
      <c r="B2642" s="2">
        <v>142</v>
      </c>
      <c r="C2642" s="2">
        <v>85</v>
      </c>
      <c r="D2642" s="2">
        <v>2.9999999999999999E-7</v>
      </c>
      <c r="E2642" s="2" t="s">
        <v>2642</v>
      </c>
    </row>
    <row r="2643" spans="1:5" x14ac:dyDescent="0.25">
      <c r="A2643" s="1">
        <v>85228</v>
      </c>
      <c r="B2643" s="2">
        <v>143</v>
      </c>
      <c r="C2643" s="2">
        <v>85</v>
      </c>
      <c r="D2643" s="2">
        <v>2.9999999999999999E-7</v>
      </c>
      <c r="E2643" s="2" t="s">
        <v>2643</v>
      </c>
    </row>
    <row r="2644" spans="1:5" x14ac:dyDescent="0.25">
      <c r="A2644" s="1">
        <v>85229</v>
      </c>
      <c r="B2644" s="2">
        <v>144</v>
      </c>
      <c r="C2644" s="2">
        <v>85</v>
      </c>
      <c r="D2644" s="2">
        <v>2.9999999999999999E-7</v>
      </c>
      <c r="E2644" s="2" t="s">
        <v>2644</v>
      </c>
    </row>
    <row r="2645" spans="1:5" x14ac:dyDescent="0.25">
      <c r="A2645" s="1">
        <v>86193</v>
      </c>
      <c r="B2645" s="2">
        <v>107</v>
      </c>
      <c r="C2645" s="2">
        <v>86</v>
      </c>
      <c r="D2645" s="2">
        <v>1.15E-3</v>
      </c>
      <c r="E2645" s="2" t="s">
        <v>2645</v>
      </c>
    </row>
    <row r="2646" spans="1:5" x14ac:dyDescent="0.25">
      <c r="A2646" s="1">
        <v>86194</v>
      </c>
      <c r="B2646" s="2">
        <v>108</v>
      </c>
      <c r="C2646" s="2">
        <v>86</v>
      </c>
      <c r="D2646" s="2">
        <v>7.7999999999999999E-4</v>
      </c>
      <c r="E2646" s="2" t="s">
        <v>2646</v>
      </c>
    </row>
    <row r="2647" spans="1:5" x14ac:dyDescent="0.25">
      <c r="A2647" s="1">
        <v>86195</v>
      </c>
      <c r="B2647" s="2">
        <v>109</v>
      </c>
      <c r="C2647" s="2">
        <v>86</v>
      </c>
      <c r="D2647" s="2">
        <v>6.0000000000000001E-3</v>
      </c>
      <c r="E2647" s="2" t="s">
        <v>2647</v>
      </c>
    </row>
    <row r="2648" spans="1:5" x14ac:dyDescent="0.25">
      <c r="A2648" s="1">
        <v>86196</v>
      </c>
      <c r="B2648" s="2">
        <v>110</v>
      </c>
      <c r="C2648" s="2">
        <v>86</v>
      </c>
      <c r="D2648" s="2">
        <v>4.4000000000000003E-3</v>
      </c>
      <c r="E2648" s="2" t="s">
        <v>2648</v>
      </c>
    </row>
    <row r="2649" spans="1:5" x14ac:dyDescent="0.25">
      <c r="A2649" s="1">
        <v>86197</v>
      </c>
      <c r="B2649" s="2">
        <v>111</v>
      </c>
      <c r="C2649" s="2">
        <v>86</v>
      </c>
      <c r="D2649" s="2">
        <v>5.3999999999999999E-2</v>
      </c>
      <c r="E2649" s="2" t="s">
        <v>2649</v>
      </c>
    </row>
    <row r="2650" spans="1:5" x14ac:dyDescent="0.25">
      <c r="A2650" s="1">
        <v>86198</v>
      </c>
      <c r="B2650" s="2">
        <v>112</v>
      </c>
      <c r="C2650" s="2">
        <v>86</v>
      </c>
      <c r="D2650" s="2">
        <v>6.5000000000000002E-2</v>
      </c>
      <c r="E2650" s="2" t="s">
        <v>2650</v>
      </c>
    </row>
    <row r="2651" spans="1:5" x14ac:dyDescent="0.25">
      <c r="A2651" s="1">
        <v>86199</v>
      </c>
      <c r="B2651" s="2">
        <v>113</v>
      </c>
      <c r="C2651" s="2">
        <v>86</v>
      </c>
      <c r="D2651" s="2">
        <v>0.59</v>
      </c>
      <c r="E2651" s="2" t="s">
        <v>2651</v>
      </c>
    </row>
    <row r="2652" spans="1:5" x14ac:dyDescent="0.25">
      <c r="A2652" s="1">
        <v>86200</v>
      </c>
      <c r="B2652" s="2">
        <v>114</v>
      </c>
      <c r="C2652" s="2">
        <v>86</v>
      </c>
      <c r="D2652" s="2">
        <v>1.03</v>
      </c>
      <c r="E2652" s="2" t="s">
        <v>2652</v>
      </c>
    </row>
    <row r="2653" spans="1:5" x14ac:dyDescent="0.25">
      <c r="A2653" s="1">
        <v>86201</v>
      </c>
      <c r="B2653" s="2">
        <v>115</v>
      </c>
      <c r="C2653" s="2">
        <v>86</v>
      </c>
      <c r="D2653" s="2">
        <v>7</v>
      </c>
      <c r="E2653" s="2" t="s">
        <v>2653</v>
      </c>
    </row>
    <row r="2654" spans="1:5" x14ac:dyDescent="0.25">
      <c r="A2654" s="1">
        <v>86202</v>
      </c>
      <c r="B2654" s="2">
        <v>116</v>
      </c>
      <c r="C2654" s="2">
        <v>86</v>
      </c>
      <c r="D2654" s="2">
        <v>9.6999999999999993</v>
      </c>
      <c r="E2654" s="2" t="s">
        <v>2654</v>
      </c>
    </row>
    <row r="2655" spans="1:5" x14ac:dyDescent="0.25">
      <c r="A2655" s="1">
        <v>86203</v>
      </c>
      <c r="B2655" s="2">
        <v>117</v>
      </c>
      <c r="C2655" s="2">
        <v>86</v>
      </c>
      <c r="D2655" s="2">
        <v>44</v>
      </c>
      <c r="E2655" s="2" t="s">
        <v>2655</v>
      </c>
    </row>
    <row r="2656" spans="1:5" x14ac:dyDescent="0.25">
      <c r="A2656" s="1">
        <v>86204</v>
      </c>
      <c r="B2656" s="2">
        <v>118</v>
      </c>
      <c r="C2656" s="2">
        <v>86</v>
      </c>
      <c r="D2656" s="2">
        <v>74.5</v>
      </c>
      <c r="E2656" s="2" t="s">
        <v>2656</v>
      </c>
    </row>
    <row r="2657" spans="1:5" x14ac:dyDescent="0.25">
      <c r="A2657" s="1">
        <v>86205</v>
      </c>
      <c r="B2657" s="2">
        <v>119</v>
      </c>
      <c r="C2657" s="2">
        <v>86</v>
      </c>
      <c r="D2657" s="2">
        <v>170</v>
      </c>
      <c r="E2657" s="2" t="s">
        <v>2657</v>
      </c>
    </row>
    <row r="2658" spans="1:5" x14ac:dyDescent="0.25">
      <c r="A2658" s="1">
        <v>86206</v>
      </c>
      <c r="B2658" s="2">
        <v>120</v>
      </c>
      <c r="C2658" s="2">
        <v>86</v>
      </c>
      <c r="D2658" s="2">
        <v>340.2</v>
      </c>
      <c r="E2658" s="2" t="s">
        <v>2658</v>
      </c>
    </row>
    <row r="2659" spans="1:5" x14ac:dyDescent="0.25">
      <c r="A2659" s="1">
        <v>86207</v>
      </c>
      <c r="B2659" s="2">
        <v>121</v>
      </c>
      <c r="C2659" s="2">
        <v>86</v>
      </c>
      <c r="D2659" s="2">
        <v>555</v>
      </c>
      <c r="E2659" s="2" t="s">
        <v>2659</v>
      </c>
    </row>
    <row r="2660" spans="1:5" x14ac:dyDescent="0.25">
      <c r="A2660" s="1">
        <v>86208</v>
      </c>
      <c r="B2660" s="2">
        <v>122</v>
      </c>
      <c r="C2660" s="2">
        <v>86</v>
      </c>
      <c r="D2660" s="2">
        <v>1461</v>
      </c>
      <c r="E2660" s="2" t="s">
        <v>2660</v>
      </c>
    </row>
    <row r="2661" spans="1:5" x14ac:dyDescent="0.25">
      <c r="A2661" s="1">
        <v>86209</v>
      </c>
      <c r="B2661" s="2">
        <v>123</v>
      </c>
      <c r="C2661" s="2">
        <v>86</v>
      </c>
      <c r="D2661" s="2">
        <v>1728</v>
      </c>
      <c r="E2661" s="2" t="s">
        <v>2661</v>
      </c>
    </row>
    <row r="2662" spans="1:5" x14ac:dyDescent="0.25">
      <c r="A2662" s="1">
        <v>86210</v>
      </c>
      <c r="B2662" s="2">
        <v>124</v>
      </c>
      <c r="C2662" s="2">
        <v>86</v>
      </c>
      <c r="D2662" s="2">
        <v>8640</v>
      </c>
      <c r="E2662" s="2" t="s">
        <v>2662</v>
      </c>
    </row>
    <row r="2663" spans="1:5" x14ac:dyDescent="0.25">
      <c r="A2663" s="1">
        <v>86211</v>
      </c>
      <c r="B2663" s="2">
        <v>125</v>
      </c>
      <c r="C2663" s="2">
        <v>86</v>
      </c>
      <c r="D2663" s="2">
        <v>52560</v>
      </c>
      <c r="E2663" s="2" t="s">
        <v>2663</v>
      </c>
    </row>
    <row r="2664" spans="1:5" x14ac:dyDescent="0.25">
      <c r="A2664" s="1">
        <v>86212</v>
      </c>
      <c r="B2664" s="2">
        <v>126</v>
      </c>
      <c r="C2664" s="2">
        <v>86</v>
      </c>
      <c r="D2664" s="2">
        <v>1434</v>
      </c>
      <c r="E2664" s="2" t="s">
        <v>2664</v>
      </c>
    </row>
    <row r="2665" spans="1:5" x14ac:dyDescent="0.25">
      <c r="A2665" s="1">
        <v>86213</v>
      </c>
      <c r="B2665" s="2">
        <v>127</v>
      </c>
      <c r="C2665" s="2">
        <v>86</v>
      </c>
      <c r="D2665" s="2">
        <v>1.95E-2</v>
      </c>
      <c r="E2665" s="2" t="s">
        <v>2665</v>
      </c>
    </row>
    <row r="2666" spans="1:5" x14ac:dyDescent="0.25">
      <c r="A2666" s="1">
        <v>86214</v>
      </c>
      <c r="B2666" s="2">
        <v>128</v>
      </c>
      <c r="C2666" s="2">
        <v>86</v>
      </c>
      <c r="D2666" s="2">
        <v>2.7000000000000001E-7</v>
      </c>
      <c r="E2666" s="2" t="s">
        <v>2666</v>
      </c>
    </row>
    <row r="2667" spans="1:5" x14ac:dyDescent="0.25">
      <c r="A2667" s="1">
        <v>86215</v>
      </c>
      <c r="B2667" s="2">
        <v>129</v>
      </c>
      <c r="C2667" s="2">
        <v>86</v>
      </c>
      <c r="D2667" s="2">
        <v>2.2999999999999898E-6</v>
      </c>
      <c r="E2667" s="2" t="s">
        <v>2667</v>
      </c>
    </row>
    <row r="2668" spans="1:5" x14ac:dyDescent="0.25">
      <c r="A2668" s="1">
        <v>86216</v>
      </c>
      <c r="B2668" s="2">
        <v>130</v>
      </c>
      <c r="C2668" s="2">
        <v>86</v>
      </c>
      <c r="D2668" s="2">
        <v>4.4999999999999901E-5</v>
      </c>
      <c r="E2668" s="2" t="s">
        <v>2668</v>
      </c>
    </row>
    <row r="2669" spans="1:5" x14ac:dyDescent="0.25">
      <c r="A2669" s="1">
        <v>86217</v>
      </c>
      <c r="B2669" s="2">
        <v>131</v>
      </c>
      <c r="C2669" s="2">
        <v>86</v>
      </c>
      <c r="D2669" s="2">
        <v>5.4000000000000001E-4</v>
      </c>
      <c r="E2669" s="2" t="s">
        <v>2669</v>
      </c>
    </row>
    <row r="2670" spans="1:5" x14ac:dyDescent="0.25">
      <c r="A2670" s="1">
        <v>86218</v>
      </c>
      <c r="B2670" s="2">
        <v>132</v>
      </c>
      <c r="C2670" s="2">
        <v>86</v>
      </c>
      <c r="D2670" s="2">
        <v>3.5000000000000003E-2</v>
      </c>
      <c r="E2670" s="2" t="s">
        <v>2670</v>
      </c>
    </row>
    <row r="2671" spans="1:5" x14ac:dyDescent="0.25">
      <c r="A2671" s="1">
        <v>86219</v>
      </c>
      <c r="B2671" s="2">
        <v>133</v>
      </c>
      <c r="C2671" s="2">
        <v>86</v>
      </c>
      <c r="D2671" s="2">
        <v>3.96</v>
      </c>
      <c r="E2671" s="2" t="s">
        <v>2671</v>
      </c>
    </row>
    <row r="2672" spans="1:5" x14ac:dyDescent="0.25">
      <c r="A2672" s="1">
        <v>86220</v>
      </c>
      <c r="B2672" s="2">
        <v>134</v>
      </c>
      <c r="C2672" s="2">
        <v>86</v>
      </c>
      <c r="D2672" s="2">
        <v>55.6</v>
      </c>
      <c r="E2672" s="2" t="s">
        <v>2672</v>
      </c>
    </row>
    <row r="2673" spans="1:5" x14ac:dyDescent="0.25">
      <c r="A2673" s="1">
        <v>86221</v>
      </c>
      <c r="B2673" s="2">
        <v>135</v>
      </c>
      <c r="C2673" s="2">
        <v>86</v>
      </c>
      <c r="D2673" s="2">
        <v>1500</v>
      </c>
      <c r="E2673" s="2" t="s">
        <v>2673</v>
      </c>
    </row>
    <row r="2674" spans="1:5" x14ac:dyDescent="0.25">
      <c r="A2674" s="1">
        <v>86222</v>
      </c>
      <c r="B2674" s="2">
        <v>136</v>
      </c>
      <c r="C2674" s="2">
        <v>86</v>
      </c>
      <c r="D2674" s="2">
        <v>330350.40000000002</v>
      </c>
      <c r="E2674" s="2" t="s">
        <v>2674</v>
      </c>
    </row>
    <row r="2675" spans="1:5" x14ac:dyDescent="0.25">
      <c r="A2675" s="1">
        <v>86223</v>
      </c>
      <c r="B2675" s="2">
        <v>137</v>
      </c>
      <c r="C2675" s="2">
        <v>86</v>
      </c>
      <c r="D2675" s="2">
        <v>1458</v>
      </c>
      <c r="E2675" s="2" t="s">
        <v>2675</v>
      </c>
    </row>
    <row r="2676" spans="1:5" x14ac:dyDescent="0.25">
      <c r="A2676" s="1">
        <v>86224</v>
      </c>
      <c r="B2676" s="2">
        <v>138</v>
      </c>
      <c r="C2676" s="2">
        <v>86</v>
      </c>
      <c r="D2676" s="2">
        <v>6420</v>
      </c>
      <c r="E2676" s="2" t="s">
        <v>2676</v>
      </c>
    </row>
    <row r="2677" spans="1:5" x14ac:dyDescent="0.25">
      <c r="A2677" s="1">
        <v>86225</v>
      </c>
      <c r="B2677" s="2">
        <v>139</v>
      </c>
      <c r="C2677" s="2">
        <v>86</v>
      </c>
      <c r="D2677" s="2">
        <v>279.60000000000002</v>
      </c>
      <c r="E2677" s="2" t="s">
        <v>2677</v>
      </c>
    </row>
    <row r="2678" spans="1:5" x14ac:dyDescent="0.25">
      <c r="A2678" s="1">
        <v>86226</v>
      </c>
      <c r="B2678" s="2">
        <v>140</v>
      </c>
      <c r="C2678" s="2">
        <v>86</v>
      </c>
      <c r="D2678" s="2">
        <v>444</v>
      </c>
      <c r="E2678" s="2" t="s">
        <v>2678</v>
      </c>
    </row>
    <row r="2679" spans="1:5" x14ac:dyDescent="0.25">
      <c r="A2679" s="1">
        <v>86227</v>
      </c>
      <c r="B2679" s="2">
        <v>141</v>
      </c>
      <c r="C2679" s="2">
        <v>86</v>
      </c>
      <c r="D2679" s="2">
        <v>20.2</v>
      </c>
      <c r="E2679" s="2" t="s">
        <v>2679</v>
      </c>
    </row>
    <row r="2680" spans="1:5" x14ac:dyDescent="0.25">
      <c r="A2680" s="1">
        <v>86228</v>
      </c>
      <c r="B2680" s="2">
        <v>142</v>
      </c>
      <c r="C2680" s="2">
        <v>86</v>
      </c>
      <c r="D2680" s="2">
        <v>65</v>
      </c>
      <c r="E2680" s="2" t="s">
        <v>2680</v>
      </c>
    </row>
    <row r="2681" spans="1:5" x14ac:dyDescent="0.25">
      <c r="A2681" s="1">
        <v>86229</v>
      </c>
      <c r="B2681" s="2">
        <v>143</v>
      </c>
      <c r="C2681" s="2">
        <v>86</v>
      </c>
      <c r="D2681" s="2">
        <v>12</v>
      </c>
      <c r="E2681" s="2" t="s">
        <v>2681</v>
      </c>
    </row>
    <row r="2682" spans="1:5" x14ac:dyDescent="0.25">
      <c r="A2682" s="1">
        <v>86230</v>
      </c>
      <c r="B2682" s="2">
        <v>144</v>
      </c>
      <c r="C2682" s="2">
        <v>86</v>
      </c>
      <c r="D2682" s="2">
        <v>2.9999999999999999E-7</v>
      </c>
      <c r="E2682" s="2" t="s">
        <v>2682</v>
      </c>
    </row>
    <row r="2683" spans="1:5" x14ac:dyDescent="0.25">
      <c r="A2683" s="1">
        <v>86231</v>
      </c>
      <c r="B2683" s="2">
        <v>145</v>
      </c>
      <c r="C2683" s="2">
        <v>86</v>
      </c>
      <c r="D2683" s="2">
        <v>2.9999999999999999E-7</v>
      </c>
      <c r="E2683" s="2" t="s">
        <v>2683</v>
      </c>
    </row>
    <row r="2684" spans="1:5" x14ac:dyDescent="0.25">
      <c r="A2684" s="1">
        <v>87197</v>
      </c>
      <c r="B2684" s="2">
        <v>110</v>
      </c>
      <c r="C2684" s="2">
        <v>87</v>
      </c>
      <c r="D2684" s="2">
        <v>5.9999999999999995E-4</v>
      </c>
      <c r="E2684" s="2" t="s">
        <v>2684</v>
      </c>
    </row>
    <row r="2685" spans="1:5" x14ac:dyDescent="0.25">
      <c r="A2685" s="1">
        <v>87198</v>
      </c>
      <c r="B2685" s="2">
        <v>111</v>
      </c>
      <c r="C2685" s="2">
        <v>87</v>
      </c>
      <c r="D2685" s="2">
        <v>1.4999999999999999E-2</v>
      </c>
      <c r="E2685" s="2" t="s">
        <v>2685</v>
      </c>
    </row>
    <row r="2686" spans="1:5" x14ac:dyDescent="0.25">
      <c r="A2686" s="1">
        <v>87199</v>
      </c>
      <c r="B2686" s="2">
        <v>112</v>
      </c>
      <c r="C2686" s="2">
        <v>87</v>
      </c>
      <c r="D2686" s="2">
        <v>4.4999999999999997E-3</v>
      </c>
      <c r="E2686" s="2" t="s">
        <v>2686</v>
      </c>
    </row>
    <row r="2687" spans="1:5" x14ac:dyDescent="0.25">
      <c r="A2687" s="1">
        <v>87200</v>
      </c>
      <c r="B2687" s="2">
        <v>113</v>
      </c>
      <c r="C2687" s="2">
        <v>87</v>
      </c>
      <c r="D2687" s="2">
        <v>4.9000000000000002E-2</v>
      </c>
      <c r="E2687" s="2" t="s">
        <v>2687</v>
      </c>
    </row>
    <row r="2688" spans="1:5" x14ac:dyDescent="0.25">
      <c r="A2688" s="1">
        <v>87201</v>
      </c>
      <c r="B2688" s="2">
        <v>114</v>
      </c>
      <c r="C2688" s="2">
        <v>87</v>
      </c>
      <c r="D2688" s="2">
        <v>6.2E-2</v>
      </c>
      <c r="E2688" s="2" t="s">
        <v>2688</v>
      </c>
    </row>
    <row r="2689" spans="1:5" x14ac:dyDescent="0.25">
      <c r="A2689" s="1">
        <v>87202</v>
      </c>
      <c r="B2689" s="2">
        <v>115</v>
      </c>
      <c r="C2689" s="2">
        <v>87</v>
      </c>
      <c r="D2689" s="2">
        <v>0.372</v>
      </c>
      <c r="E2689" s="2" t="s">
        <v>2689</v>
      </c>
    </row>
    <row r="2690" spans="1:5" x14ac:dyDescent="0.25">
      <c r="A2690" s="1">
        <v>87203</v>
      </c>
      <c r="B2690" s="2">
        <v>116</v>
      </c>
      <c r="C2690" s="2">
        <v>87</v>
      </c>
      <c r="D2690" s="2">
        <v>0.55000000000000004</v>
      </c>
      <c r="E2690" s="2" t="s">
        <v>2690</v>
      </c>
    </row>
    <row r="2691" spans="1:5" x14ac:dyDescent="0.25">
      <c r="A2691" s="1">
        <v>87204</v>
      </c>
      <c r="B2691" s="2">
        <v>117</v>
      </c>
      <c r="C2691" s="2">
        <v>87</v>
      </c>
      <c r="D2691" s="2">
        <v>1.8</v>
      </c>
      <c r="E2691" s="2" t="s">
        <v>2691</v>
      </c>
    </row>
    <row r="2692" spans="1:5" x14ac:dyDescent="0.25">
      <c r="A2692" s="1">
        <v>87205</v>
      </c>
      <c r="B2692" s="2">
        <v>118</v>
      </c>
      <c r="C2692" s="2">
        <v>87</v>
      </c>
      <c r="D2692" s="2">
        <v>3.97</v>
      </c>
      <c r="E2692" s="2" t="s">
        <v>2692</v>
      </c>
    </row>
    <row r="2693" spans="1:5" x14ac:dyDescent="0.25">
      <c r="A2693" s="1">
        <v>87206</v>
      </c>
      <c r="B2693" s="2">
        <v>119</v>
      </c>
      <c r="C2693" s="2">
        <v>87</v>
      </c>
      <c r="D2693" s="2">
        <v>16</v>
      </c>
      <c r="E2693" s="2" t="s">
        <v>2693</v>
      </c>
    </row>
    <row r="2694" spans="1:5" x14ac:dyDescent="0.25">
      <c r="A2694" s="1">
        <v>87207</v>
      </c>
      <c r="B2694" s="2">
        <v>120</v>
      </c>
      <c r="C2694" s="2">
        <v>87</v>
      </c>
      <c r="D2694" s="2">
        <v>14.8</v>
      </c>
      <c r="E2694" s="2" t="s">
        <v>2694</v>
      </c>
    </row>
    <row r="2695" spans="1:5" x14ac:dyDescent="0.25">
      <c r="A2695" s="1">
        <v>87208</v>
      </c>
      <c r="B2695" s="2">
        <v>121</v>
      </c>
      <c r="C2695" s="2">
        <v>87</v>
      </c>
      <c r="D2695" s="2">
        <v>59.1</v>
      </c>
      <c r="E2695" s="2" t="s">
        <v>2695</v>
      </c>
    </row>
    <row r="2696" spans="1:5" x14ac:dyDescent="0.25">
      <c r="A2696" s="1">
        <v>87209</v>
      </c>
      <c r="B2696" s="2">
        <v>122</v>
      </c>
      <c r="C2696" s="2">
        <v>87</v>
      </c>
      <c r="D2696" s="2">
        <v>50.5</v>
      </c>
      <c r="E2696" s="2" t="s">
        <v>2696</v>
      </c>
    </row>
    <row r="2697" spans="1:5" x14ac:dyDescent="0.25">
      <c r="A2697" s="1">
        <v>87210</v>
      </c>
      <c r="B2697" s="2">
        <v>123</v>
      </c>
      <c r="C2697" s="2">
        <v>87</v>
      </c>
      <c r="D2697" s="2">
        <v>190.8</v>
      </c>
      <c r="E2697" s="2" t="s">
        <v>2697</v>
      </c>
    </row>
    <row r="2698" spans="1:5" x14ac:dyDescent="0.25">
      <c r="A2698" s="1">
        <v>87211</v>
      </c>
      <c r="B2698" s="2">
        <v>124</v>
      </c>
      <c r="C2698" s="2">
        <v>87</v>
      </c>
      <c r="D2698" s="2">
        <v>186</v>
      </c>
      <c r="E2698" s="2" t="s">
        <v>2698</v>
      </c>
    </row>
    <row r="2699" spans="1:5" x14ac:dyDescent="0.25">
      <c r="A2699" s="1">
        <v>87212</v>
      </c>
      <c r="B2699" s="2">
        <v>125</v>
      </c>
      <c r="C2699" s="2">
        <v>87</v>
      </c>
      <c r="D2699" s="2">
        <v>1200</v>
      </c>
      <c r="E2699" s="2" t="s">
        <v>2699</v>
      </c>
    </row>
    <row r="2700" spans="1:5" x14ac:dyDescent="0.25">
      <c r="A2700" s="1">
        <v>87213</v>
      </c>
      <c r="B2700" s="2">
        <v>126</v>
      </c>
      <c r="C2700" s="2">
        <v>87</v>
      </c>
      <c r="D2700" s="2">
        <v>34.82</v>
      </c>
      <c r="E2700" s="2" t="s">
        <v>2700</v>
      </c>
    </row>
    <row r="2701" spans="1:5" x14ac:dyDescent="0.25">
      <c r="A2701" s="1">
        <v>87214</v>
      </c>
      <c r="B2701" s="2">
        <v>127</v>
      </c>
      <c r="C2701" s="2">
        <v>87</v>
      </c>
      <c r="D2701" s="2">
        <v>5.0000000000000001E-3</v>
      </c>
      <c r="E2701" s="2" t="s">
        <v>2701</v>
      </c>
    </row>
    <row r="2702" spans="1:5" x14ac:dyDescent="0.25">
      <c r="A2702" s="1">
        <v>87215</v>
      </c>
      <c r="B2702" s="2">
        <v>128</v>
      </c>
      <c r="C2702" s="2">
        <v>87</v>
      </c>
      <c r="D2702" s="2">
        <v>8.6000000000000002E-8</v>
      </c>
      <c r="E2702" s="2" t="s">
        <v>2702</v>
      </c>
    </row>
    <row r="2703" spans="1:5" x14ac:dyDescent="0.25">
      <c r="A2703" s="1">
        <v>87216</v>
      </c>
      <c r="B2703" s="2">
        <v>129</v>
      </c>
      <c r="C2703" s="2">
        <v>87</v>
      </c>
      <c r="D2703" s="2">
        <v>6.9999999999999997E-7</v>
      </c>
      <c r="E2703" s="2" t="s">
        <v>2703</v>
      </c>
    </row>
    <row r="2704" spans="1:5" x14ac:dyDescent="0.25">
      <c r="A2704" s="1">
        <v>87217</v>
      </c>
      <c r="B2704" s="2">
        <v>130</v>
      </c>
      <c r="C2704" s="2">
        <v>87</v>
      </c>
      <c r="D2704" s="2">
        <v>1.8999999999999899E-5</v>
      </c>
      <c r="E2704" s="2" t="s">
        <v>2704</v>
      </c>
    </row>
    <row r="2705" spans="1:5" x14ac:dyDescent="0.25">
      <c r="A2705" s="1">
        <v>87218</v>
      </c>
      <c r="B2705" s="2">
        <v>131</v>
      </c>
      <c r="C2705" s="2">
        <v>87</v>
      </c>
      <c r="D2705" s="2">
        <v>1E-3</v>
      </c>
      <c r="E2705" s="2" t="s">
        <v>2705</v>
      </c>
    </row>
    <row r="2706" spans="1:5" x14ac:dyDescent="0.25">
      <c r="A2706" s="1">
        <v>87219</v>
      </c>
      <c r="B2706" s="2">
        <v>132</v>
      </c>
      <c r="C2706" s="2">
        <v>87</v>
      </c>
      <c r="D2706" s="2">
        <v>0.02</v>
      </c>
      <c r="E2706" s="2" t="s">
        <v>2706</v>
      </c>
    </row>
    <row r="2707" spans="1:5" x14ac:dyDescent="0.25">
      <c r="A2707" s="1">
        <v>87220</v>
      </c>
      <c r="B2707" s="2">
        <v>133</v>
      </c>
      <c r="C2707" s="2">
        <v>87</v>
      </c>
      <c r="D2707" s="2">
        <v>27.4</v>
      </c>
      <c r="E2707" s="2" t="s">
        <v>2707</v>
      </c>
    </row>
    <row r="2708" spans="1:5" x14ac:dyDescent="0.25">
      <c r="A2708" s="1">
        <v>87221</v>
      </c>
      <c r="B2708" s="2">
        <v>134</v>
      </c>
      <c r="C2708" s="2">
        <v>87</v>
      </c>
      <c r="D2708" s="2">
        <v>286.10000000000002</v>
      </c>
      <c r="E2708" s="2" t="s">
        <v>2708</v>
      </c>
    </row>
    <row r="2709" spans="1:5" x14ac:dyDescent="0.25">
      <c r="A2709" s="1">
        <v>87222</v>
      </c>
      <c r="B2709" s="2">
        <v>135</v>
      </c>
      <c r="C2709" s="2">
        <v>87</v>
      </c>
      <c r="D2709" s="2">
        <v>852</v>
      </c>
      <c r="E2709" s="2" t="s">
        <v>2709</v>
      </c>
    </row>
    <row r="2710" spans="1:5" x14ac:dyDescent="0.25">
      <c r="A2710" s="1">
        <v>87223</v>
      </c>
      <c r="B2710" s="2">
        <v>136</v>
      </c>
      <c r="C2710" s="2">
        <v>87</v>
      </c>
      <c r="D2710" s="2">
        <v>1320</v>
      </c>
      <c r="E2710" s="2" t="s">
        <v>2710</v>
      </c>
    </row>
    <row r="2711" spans="1:5" x14ac:dyDescent="0.25">
      <c r="A2711" s="1">
        <v>87224</v>
      </c>
      <c r="B2711" s="2">
        <v>137</v>
      </c>
      <c r="C2711" s="2">
        <v>87</v>
      </c>
      <c r="D2711" s="2">
        <v>199.8</v>
      </c>
      <c r="E2711" s="2" t="s">
        <v>2711</v>
      </c>
    </row>
    <row r="2712" spans="1:5" x14ac:dyDescent="0.25">
      <c r="A2712" s="1">
        <v>87225</v>
      </c>
      <c r="B2712" s="2">
        <v>138</v>
      </c>
      <c r="C2712" s="2">
        <v>87</v>
      </c>
      <c r="D2712" s="2">
        <v>237</v>
      </c>
      <c r="E2712" s="2" t="s">
        <v>2712</v>
      </c>
    </row>
    <row r="2713" spans="1:5" x14ac:dyDescent="0.25">
      <c r="A2713" s="1">
        <v>87226</v>
      </c>
      <c r="B2713" s="2">
        <v>139</v>
      </c>
      <c r="C2713" s="2">
        <v>87</v>
      </c>
      <c r="D2713" s="2">
        <v>49</v>
      </c>
      <c r="E2713" s="2" t="s">
        <v>2713</v>
      </c>
    </row>
    <row r="2714" spans="1:5" x14ac:dyDescent="0.25">
      <c r="A2714" s="1">
        <v>87227</v>
      </c>
      <c r="B2714" s="2">
        <v>140</v>
      </c>
      <c r="C2714" s="2">
        <v>87</v>
      </c>
      <c r="D2714" s="2">
        <v>148.19999999999999</v>
      </c>
      <c r="E2714" s="2" t="s">
        <v>2714</v>
      </c>
    </row>
    <row r="2715" spans="1:5" x14ac:dyDescent="0.25">
      <c r="A2715" s="1">
        <v>87228</v>
      </c>
      <c r="B2715" s="2">
        <v>141</v>
      </c>
      <c r="C2715" s="2">
        <v>87</v>
      </c>
      <c r="D2715" s="2">
        <v>38</v>
      </c>
      <c r="E2715" s="2" t="s">
        <v>2715</v>
      </c>
    </row>
    <row r="2716" spans="1:5" x14ac:dyDescent="0.25">
      <c r="A2716" s="1">
        <v>87229</v>
      </c>
      <c r="B2716" s="2">
        <v>142</v>
      </c>
      <c r="C2716" s="2">
        <v>87</v>
      </c>
      <c r="D2716" s="2">
        <v>50.2</v>
      </c>
      <c r="E2716" s="2" t="s">
        <v>2716</v>
      </c>
    </row>
    <row r="2717" spans="1:5" x14ac:dyDescent="0.25">
      <c r="A2717" s="1">
        <v>87230</v>
      </c>
      <c r="B2717" s="2">
        <v>143</v>
      </c>
      <c r="C2717" s="2">
        <v>87</v>
      </c>
      <c r="D2717" s="2">
        <v>19.100000000000001</v>
      </c>
      <c r="E2717" s="2" t="s">
        <v>2717</v>
      </c>
    </row>
    <row r="2718" spans="1:5" x14ac:dyDescent="0.25">
      <c r="A2718" s="1">
        <v>87231</v>
      </c>
      <c r="B2718" s="2">
        <v>144</v>
      </c>
      <c r="C2718" s="2">
        <v>87</v>
      </c>
      <c r="D2718" s="2">
        <v>17.600000000000001</v>
      </c>
      <c r="E2718" s="2" t="s">
        <v>2718</v>
      </c>
    </row>
    <row r="2719" spans="1:5" x14ac:dyDescent="0.25">
      <c r="A2719" s="1">
        <v>87232</v>
      </c>
      <c r="B2719" s="2">
        <v>145</v>
      </c>
      <c r="C2719" s="2">
        <v>87</v>
      </c>
      <c r="D2719" s="2">
        <v>5.5</v>
      </c>
      <c r="E2719" s="2" t="s">
        <v>2719</v>
      </c>
    </row>
    <row r="2720" spans="1:5" x14ac:dyDescent="0.25">
      <c r="A2720" s="1">
        <v>87233</v>
      </c>
      <c r="B2720" s="2">
        <v>146</v>
      </c>
      <c r="C2720" s="2">
        <v>87</v>
      </c>
      <c r="D2720" s="2">
        <v>0.9</v>
      </c>
      <c r="E2720" s="2" t="s">
        <v>2720</v>
      </c>
    </row>
    <row r="2721" spans="1:5" x14ac:dyDescent="0.25">
      <c r="A2721" s="1">
        <v>88201</v>
      </c>
      <c r="B2721" s="2">
        <v>113</v>
      </c>
      <c r="C2721" s="2">
        <v>88</v>
      </c>
      <c r="D2721" s="2">
        <v>1.6000000000000001E-3</v>
      </c>
      <c r="E2721" s="2" t="s">
        <v>2721</v>
      </c>
    </row>
    <row r="2722" spans="1:5" x14ac:dyDescent="0.25">
      <c r="A2722" s="1">
        <v>88202</v>
      </c>
      <c r="B2722" s="2">
        <v>114</v>
      </c>
      <c r="C2722" s="2">
        <v>88</v>
      </c>
      <c r="D2722" s="2">
        <v>3.8E-3</v>
      </c>
      <c r="E2722" s="2" t="s">
        <v>2722</v>
      </c>
    </row>
    <row r="2723" spans="1:5" x14ac:dyDescent="0.25">
      <c r="A2723" s="1">
        <v>88203</v>
      </c>
      <c r="B2723" s="2">
        <v>115</v>
      </c>
      <c r="C2723" s="2">
        <v>88</v>
      </c>
      <c r="D2723" s="2">
        <v>3.1E-2</v>
      </c>
      <c r="E2723" s="2" t="s">
        <v>2723</v>
      </c>
    </row>
    <row r="2724" spans="1:5" x14ac:dyDescent="0.25">
      <c r="A2724" s="1">
        <v>88204</v>
      </c>
      <c r="B2724" s="2">
        <v>116</v>
      </c>
      <c r="C2724" s="2">
        <v>88</v>
      </c>
      <c r="D2724" s="2">
        <v>5.7000000000000002E-2</v>
      </c>
      <c r="E2724" s="2" t="s">
        <v>2724</v>
      </c>
    </row>
    <row r="2725" spans="1:5" x14ac:dyDescent="0.25">
      <c r="A2725" s="1">
        <v>88205</v>
      </c>
      <c r="B2725" s="2">
        <v>117</v>
      </c>
      <c r="C2725" s="2">
        <v>88</v>
      </c>
      <c r="D2725" s="2">
        <v>0.21</v>
      </c>
      <c r="E2725" s="2" t="s">
        <v>2725</v>
      </c>
    </row>
    <row r="2726" spans="1:5" x14ac:dyDescent="0.25">
      <c r="A2726" s="1">
        <v>88206</v>
      </c>
      <c r="B2726" s="2">
        <v>118</v>
      </c>
      <c r="C2726" s="2">
        <v>88</v>
      </c>
      <c r="D2726" s="2">
        <v>0.24</v>
      </c>
      <c r="E2726" s="2" t="s">
        <v>2726</v>
      </c>
    </row>
    <row r="2727" spans="1:5" x14ac:dyDescent="0.25">
      <c r="A2727" s="1">
        <v>88207</v>
      </c>
      <c r="B2727" s="2">
        <v>119</v>
      </c>
      <c r="C2727" s="2">
        <v>88</v>
      </c>
      <c r="D2727" s="2">
        <v>1.35</v>
      </c>
      <c r="E2727" s="2" t="s">
        <v>2727</v>
      </c>
    </row>
    <row r="2728" spans="1:5" x14ac:dyDescent="0.25">
      <c r="A2728" s="1">
        <v>88208</v>
      </c>
      <c r="B2728" s="2">
        <v>120</v>
      </c>
      <c r="C2728" s="2">
        <v>88</v>
      </c>
      <c r="D2728" s="2">
        <v>1.3</v>
      </c>
      <c r="E2728" s="2" t="s">
        <v>2728</v>
      </c>
    </row>
    <row r="2729" spans="1:5" x14ac:dyDescent="0.25">
      <c r="A2729" s="1">
        <v>88209</v>
      </c>
      <c r="B2729" s="2">
        <v>121</v>
      </c>
      <c r="C2729" s="2">
        <v>88</v>
      </c>
      <c r="D2729" s="2">
        <v>4.5999999999999996</v>
      </c>
      <c r="E2729" s="2" t="s">
        <v>2729</v>
      </c>
    </row>
    <row r="2730" spans="1:5" x14ac:dyDescent="0.25">
      <c r="A2730" s="1">
        <v>88210</v>
      </c>
      <c r="B2730" s="2">
        <v>122</v>
      </c>
      <c r="C2730" s="2">
        <v>88</v>
      </c>
      <c r="D2730" s="2">
        <v>3.7</v>
      </c>
      <c r="E2730" s="2" t="s">
        <v>2730</v>
      </c>
    </row>
    <row r="2731" spans="1:5" x14ac:dyDescent="0.25">
      <c r="A2731" s="1">
        <v>88211</v>
      </c>
      <c r="B2731" s="2">
        <v>123</v>
      </c>
      <c r="C2731" s="2">
        <v>88</v>
      </c>
      <c r="D2731" s="2">
        <v>13</v>
      </c>
      <c r="E2731" s="2" t="s">
        <v>2731</v>
      </c>
    </row>
    <row r="2732" spans="1:5" x14ac:dyDescent="0.25">
      <c r="A2732" s="1">
        <v>88212</v>
      </c>
      <c r="B2732" s="2">
        <v>124</v>
      </c>
      <c r="C2732" s="2">
        <v>88</v>
      </c>
      <c r="D2732" s="2">
        <v>13</v>
      </c>
      <c r="E2732" s="2" t="s">
        <v>2732</v>
      </c>
    </row>
    <row r="2733" spans="1:5" x14ac:dyDescent="0.25">
      <c r="A2733" s="1">
        <v>88213</v>
      </c>
      <c r="B2733" s="2">
        <v>125</v>
      </c>
      <c r="C2733" s="2">
        <v>88</v>
      </c>
      <c r="D2733" s="2">
        <v>163.80000000000001</v>
      </c>
      <c r="E2733" s="2" t="s">
        <v>2733</v>
      </c>
    </row>
    <row r="2734" spans="1:5" x14ac:dyDescent="0.25">
      <c r="A2734" s="1">
        <v>88214</v>
      </c>
      <c r="B2734" s="2">
        <v>126</v>
      </c>
      <c r="C2734" s="2">
        <v>88</v>
      </c>
      <c r="D2734" s="2">
        <v>2.46</v>
      </c>
      <c r="E2734" s="2" t="s">
        <v>2734</v>
      </c>
    </row>
    <row r="2735" spans="1:5" x14ac:dyDescent="0.25">
      <c r="A2735" s="1">
        <v>88215</v>
      </c>
      <c r="B2735" s="2">
        <v>127</v>
      </c>
      <c r="C2735" s="2">
        <v>88</v>
      </c>
      <c r="D2735" s="2">
        <v>1.66E-3</v>
      </c>
      <c r="E2735" s="2" t="s">
        <v>2735</v>
      </c>
    </row>
    <row r="2736" spans="1:5" x14ac:dyDescent="0.25">
      <c r="A2736" s="1">
        <v>88216</v>
      </c>
      <c r="B2736" s="2">
        <v>128</v>
      </c>
      <c r="C2736" s="2">
        <v>88</v>
      </c>
      <c r="D2736" s="2">
        <v>1.8199999999999999E-7</v>
      </c>
      <c r="E2736" s="2" t="s">
        <v>2736</v>
      </c>
    </row>
    <row r="2737" spans="1:5" x14ac:dyDescent="0.25">
      <c r="A2737" s="1">
        <v>88217</v>
      </c>
      <c r="B2737" s="2">
        <v>129</v>
      </c>
      <c r="C2737" s="2">
        <v>88</v>
      </c>
      <c r="D2737" s="2">
        <v>1.5999999999999999E-6</v>
      </c>
      <c r="E2737" s="2" t="s">
        <v>2737</v>
      </c>
    </row>
    <row r="2738" spans="1:5" x14ac:dyDescent="0.25">
      <c r="A2738" s="1">
        <v>88218</v>
      </c>
      <c r="B2738" s="2">
        <v>130</v>
      </c>
      <c r="C2738" s="2">
        <v>88</v>
      </c>
      <c r="D2738" s="2">
        <v>2.5199999999999999E-5</v>
      </c>
      <c r="E2738" s="2" t="s">
        <v>2738</v>
      </c>
    </row>
    <row r="2739" spans="1:5" x14ac:dyDescent="0.25">
      <c r="A2739" s="1">
        <v>88219</v>
      </c>
      <c r="B2739" s="2">
        <v>131</v>
      </c>
      <c r="C2739" s="2">
        <v>88</v>
      </c>
      <c r="D2739" s="2">
        <v>0.01</v>
      </c>
      <c r="E2739" s="2" t="s">
        <v>2739</v>
      </c>
    </row>
    <row r="2740" spans="1:5" x14ac:dyDescent="0.25">
      <c r="A2740" s="1">
        <v>88220</v>
      </c>
      <c r="B2740" s="2">
        <v>132</v>
      </c>
      <c r="C2740" s="2">
        <v>88</v>
      </c>
      <c r="D2740" s="2">
        <v>1.7999999999999999E-2</v>
      </c>
      <c r="E2740" s="2" t="s">
        <v>2740</v>
      </c>
    </row>
    <row r="2741" spans="1:5" x14ac:dyDescent="0.25">
      <c r="A2741" s="1">
        <v>88221</v>
      </c>
      <c r="B2741" s="2">
        <v>133</v>
      </c>
      <c r="C2741" s="2">
        <v>88</v>
      </c>
      <c r="D2741" s="2">
        <v>28</v>
      </c>
      <c r="E2741" s="2" t="s">
        <v>2741</v>
      </c>
    </row>
    <row r="2742" spans="1:5" x14ac:dyDescent="0.25">
      <c r="A2742" s="1">
        <v>88222</v>
      </c>
      <c r="B2742" s="2">
        <v>134</v>
      </c>
      <c r="C2742" s="2">
        <v>88</v>
      </c>
      <c r="D2742" s="2">
        <v>38</v>
      </c>
      <c r="E2742" s="2" t="s">
        <v>2742</v>
      </c>
    </row>
    <row r="2743" spans="1:5" x14ac:dyDescent="0.25">
      <c r="A2743" s="1">
        <v>88223</v>
      </c>
      <c r="B2743" s="2">
        <v>135</v>
      </c>
      <c r="C2743" s="2">
        <v>88</v>
      </c>
      <c r="D2743" s="2">
        <v>987552</v>
      </c>
      <c r="E2743" s="2" t="s">
        <v>2743</v>
      </c>
    </row>
    <row r="2744" spans="1:5" x14ac:dyDescent="0.25">
      <c r="A2744" s="1">
        <v>88224</v>
      </c>
      <c r="B2744" s="2">
        <v>136</v>
      </c>
      <c r="C2744" s="2">
        <v>88</v>
      </c>
      <c r="D2744" s="2">
        <v>313796.15999999997</v>
      </c>
      <c r="E2744" s="2" t="s">
        <v>2744</v>
      </c>
    </row>
    <row r="2745" spans="1:5" x14ac:dyDescent="0.25">
      <c r="A2745" s="1">
        <v>88225</v>
      </c>
      <c r="B2745" s="2">
        <v>137</v>
      </c>
      <c r="C2745" s="2">
        <v>88</v>
      </c>
      <c r="D2745" s="2">
        <v>1287360</v>
      </c>
      <c r="E2745" s="2" t="s">
        <v>2745</v>
      </c>
    </row>
    <row r="2746" spans="1:5" x14ac:dyDescent="0.25">
      <c r="A2746" s="1">
        <v>88226</v>
      </c>
      <c r="B2746" s="2">
        <v>138</v>
      </c>
      <c r="C2746" s="2">
        <v>88</v>
      </c>
      <c r="D2746" s="2">
        <v>50492160000</v>
      </c>
      <c r="E2746" s="2" t="s">
        <v>2746</v>
      </c>
    </row>
    <row r="2747" spans="1:5" x14ac:dyDescent="0.25">
      <c r="A2747" s="1">
        <v>88227</v>
      </c>
      <c r="B2747" s="2">
        <v>139</v>
      </c>
      <c r="C2747" s="2">
        <v>88</v>
      </c>
      <c r="D2747" s="2">
        <v>2532</v>
      </c>
      <c r="E2747" s="2" t="s">
        <v>2747</v>
      </c>
    </row>
    <row r="2748" spans="1:5" x14ac:dyDescent="0.25">
      <c r="A2748" s="1">
        <v>88228</v>
      </c>
      <c r="B2748" s="2">
        <v>140</v>
      </c>
      <c r="C2748" s="2">
        <v>88</v>
      </c>
      <c r="D2748" s="2">
        <v>181456200</v>
      </c>
      <c r="E2748" s="2" t="s">
        <v>2748</v>
      </c>
    </row>
    <row r="2749" spans="1:5" x14ac:dyDescent="0.25">
      <c r="A2749" s="1">
        <v>88229</v>
      </c>
      <c r="B2749" s="2">
        <v>141</v>
      </c>
      <c r="C2749" s="2">
        <v>88</v>
      </c>
      <c r="D2749" s="2">
        <v>240</v>
      </c>
      <c r="E2749" s="2" t="s">
        <v>2749</v>
      </c>
    </row>
    <row r="2750" spans="1:5" x14ac:dyDescent="0.25">
      <c r="A2750" s="1">
        <v>88230</v>
      </c>
      <c r="B2750" s="2">
        <v>142</v>
      </c>
      <c r="C2750" s="2">
        <v>88</v>
      </c>
      <c r="D2750" s="2">
        <v>5580</v>
      </c>
      <c r="E2750" s="2" t="s">
        <v>2750</v>
      </c>
    </row>
    <row r="2751" spans="1:5" x14ac:dyDescent="0.25">
      <c r="A2751" s="1">
        <v>88231</v>
      </c>
      <c r="B2751" s="2">
        <v>143</v>
      </c>
      <c r="C2751" s="2">
        <v>88</v>
      </c>
      <c r="D2751" s="2">
        <v>104</v>
      </c>
      <c r="E2751" s="2" t="s">
        <v>2751</v>
      </c>
    </row>
    <row r="2752" spans="1:5" x14ac:dyDescent="0.25">
      <c r="A2752" s="1">
        <v>88232</v>
      </c>
      <c r="B2752" s="2">
        <v>144</v>
      </c>
      <c r="C2752" s="2">
        <v>88</v>
      </c>
      <c r="D2752" s="2">
        <v>252</v>
      </c>
      <c r="E2752" s="2" t="s">
        <v>2752</v>
      </c>
    </row>
    <row r="2753" spans="1:5" x14ac:dyDescent="0.25">
      <c r="A2753" s="1">
        <v>88233</v>
      </c>
      <c r="B2753" s="2">
        <v>145</v>
      </c>
      <c r="C2753" s="2">
        <v>88</v>
      </c>
      <c r="D2753" s="2">
        <v>30</v>
      </c>
      <c r="E2753" s="2" t="s">
        <v>2753</v>
      </c>
    </row>
    <row r="2754" spans="1:5" x14ac:dyDescent="0.25">
      <c r="A2754" s="1">
        <v>88234</v>
      </c>
      <c r="B2754" s="2">
        <v>146</v>
      </c>
      <c r="C2754" s="2">
        <v>88</v>
      </c>
      <c r="D2754" s="2">
        <v>30</v>
      </c>
      <c r="E2754" s="2" t="s">
        <v>2754</v>
      </c>
    </row>
    <row r="2755" spans="1:5" x14ac:dyDescent="0.25">
      <c r="A2755" s="1">
        <v>89205</v>
      </c>
      <c r="B2755" s="2">
        <v>116</v>
      </c>
      <c r="C2755" s="2">
        <v>89</v>
      </c>
      <c r="D2755" s="2">
        <v>0.02</v>
      </c>
      <c r="E2755" s="2" t="s">
        <v>2755</v>
      </c>
    </row>
    <row r="2756" spans="1:5" x14ac:dyDescent="0.25">
      <c r="A2756" s="1">
        <v>89206</v>
      </c>
      <c r="B2756" s="2">
        <v>117</v>
      </c>
      <c r="C2756" s="2">
        <v>89</v>
      </c>
      <c r="D2756" s="2">
        <v>2.1999999999999999E-2</v>
      </c>
      <c r="E2756" s="2" t="s">
        <v>2756</v>
      </c>
    </row>
    <row r="2757" spans="1:5" x14ac:dyDescent="0.25">
      <c r="A2757" s="1">
        <v>89207</v>
      </c>
      <c r="B2757" s="2">
        <v>118</v>
      </c>
      <c r="C2757" s="2">
        <v>89</v>
      </c>
      <c r="D2757" s="2">
        <v>2.7E-2</v>
      </c>
      <c r="E2757" s="2" t="s">
        <v>2757</v>
      </c>
    </row>
    <row r="2758" spans="1:5" x14ac:dyDescent="0.25">
      <c r="A2758" s="1">
        <v>89208</v>
      </c>
      <c r="B2758" s="2">
        <v>119</v>
      </c>
      <c r="C2758" s="2">
        <v>89</v>
      </c>
      <c r="D2758" s="2">
        <v>9.5000000000000001E-2</v>
      </c>
      <c r="E2758" s="2" t="s">
        <v>2758</v>
      </c>
    </row>
    <row r="2759" spans="1:5" x14ac:dyDescent="0.25">
      <c r="A2759" s="1">
        <v>89209</v>
      </c>
      <c r="B2759" s="2">
        <v>120</v>
      </c>
      <c r="C2759" s="2">
        <v>89</v>
      </c>
      <c r="D2759" s="2">
        <v>8.6999999999999994E-2</v>
      </c>
      <c r="E2759" s="2" t="s">
        <v>2759</v>
      </c>
    </row>
    <row r="2760" spans="1:5" x14ac:dyDescent="0.25">
      <c r="A2760" s="1">
        <v>89210</v>
      </c>
      <c r="B2760" s="2">
        <v>121</v>
      </c>
      <c r="C2760" s="2">
        <v>89</v>
      </c>
      <c r="D2760" s="2">
        <v>0.35</v>
      </c>
      <c r="E2760" s="2" t="s">
        <v>2760</v>
      </c>
    </row>
    <row r="2761" spans="1:5" x14ac:dyDescent="0.25">
      <c r="A2761" s="1">
        <v>89211</v>
      </c>
      <c r="B2761" s="2">
        <v>122</v>
      </c>
      <c r="C2761" s="2">
        <v>89</v>
      </c>
      <c r="D2761" s="2">
        <v>0.21</v>
      </c>
      <c r="E2761" s="2" t="s">
        <v>2761</v>
      </c>
    </row>
    <row r="2762" spans="1:5" x14ac:dyDescent="0.25">
      <c r="A2762" s="1">
        <v>89212</v>
      </c>
      <c r="B2762" s="2">
        <v>123</v>
      </c>
      <c r="C2762" s="2">
        <v>89</v>
      </c>
      <c r="D2762" s="2">
        <v>0.93</v>
      </c>
      <c r="E2762" s="2" t="s">
        <v>2762</v>
      </c>
    </row>
    <row r="2763" spans="1:5" x14ac:dyDescent="0.25">
      <c r="A2763" s="1">
        <v>89213</v>
      </c>
      <c r="B2763" s="2">
        <v>124</v>
      </c>
      <c r="C2763" s="2">
        <v>89</v>
      </c>
      <c r="D2763" s="2">
        <v>0.73799999999999999</v>
      </c>
      <c r="E2763" s="2" t="s">
        <v>2763</v>
      </c>
    </row>
    <row r="2764" spans="1:5" x14ac:dyDescent="0.25">
      <c r="A2764" s="1">
        <v>89214</v>
      </c>
      <c r="B2764" s="2">
        <v>125</v>
      </c>
      <c r="C2764" s="2">
        <v>89</v>
      </c>
      <c r="D2764" s="2">
        <v>8.1999999999999993</v>
      </c>
      <c r="E2764" s="2" t="s">
        <v>2764</v>
      </c>
    </row>
    <row r="2765" spans="1:5" x14ac:dyDescent="0.25">
      <c r="A2765" s="1">
        <v>89215</v>
      </c>
      <c r="B2765" s="2">
        <v>126</v>
      </c>
      <c r="C2765" s="2">
        <v>89</v>
      </c>
      <c r="D2765" s="2">
        <v>0.17</v>
      </c>
      <c r="E2765" s="2" t="s">
        <v>2765</v>
      </c>
    </row>
    <row r="2766" spans="1:5" x14ac:dyDescent="0.25">
      <c r="A2766" s="1">
        <v>89216</v>
      </c>
      <c r="B2766" s="2">
        <v>127</v>
      </c>
      <c r="C2766" s="2">
        <v>89</v>
      </c>
      <c r="D2766" s="2">
        <v>4.3999999999999899E-4</v>
      </c>
      <c r="E2766" s="2" t="s">
        <v>2766</v>
      </c>
    </row>
    <row r="2767" spans="1:5" x14ac:dyDescent="0.25">
      <c r="A2767" s="1">
        <v>89217</v>
      </c>
      <c r="B2767" s="2">
        <v>128</v>
      </c>
      <c r="C2767" s="2">
        <v>89</v>
      </c>
      <c r="D2767" s="2">
        <v>6.8999999999999996E-8</v>
      </c>
      <c r="E2767" s="2" t="s">
        <v>2767</v>
      </c>
    </row>
    <row r="2768" spans="1:5" x14ac:dyDescent="0.25">
      <c r="A2768" s="1">
        <v>89218</v>
      </c>
      <c r="B2768" s="2">
        <v>129</v>
      </c>
      <c r="C2768" s="2">
        <v>89</v>
      </c>
      <c r="D2768" s="2">
        <v>1.08E-6</v>
      </c>
      <c r="E2768" s="2" t="s">
        <v>2768</v>
      </c>
    </row>
    <row r="2769" spans="1:5" x14ac:dyDescent="0.25">
      <c r="A2769" s="1">
        <v>89219</v>
      </c>
      <c r="B2769" s="2">
        <v>130</v>
      </c>
      <c r="C2769" s="2">
        <v>89</v>
      </c>
      <c r="D2769" s="2">
        <v>1.1800000000000001E-5</v>
      </c>
      <c r="E2769" s="2" t="s">
        <v>2769</v>
      </c>
    </row>
    <row r="2770" spans="1:5" x14ac:dyDescent="0.25">
      <c r="A2770" s="1">
        <v>89220</v>
      </c>
      <c r="B2770" s="2">
        <v>131</v>
      </c>
      <c r="C2770" s="2">
        <v>89</v>
      </c>
      <c r="D2770" s="2">
        <v>2.64E-2</v>
      </c>
      <c r="E2770" s="2" t="s">
        <v>2770</v>
      </c>
    </row>
    <row r="2771" spans="1:5" x14ac:dyDescent="0.25">
      <c r="A2771" s="1">
        <v>89221</v>
      </c>
      <c r="B2771" s="2">
        <v>132</v>
      </c>
      <c r="C2771" s="2">
        <v>89</v>
      </c>
      <c r="D2771" s="2">
        <v>5.1999999999999998E-2</v>
      </c>
      <c r="E2771" s="2" t="s">
        <v>2771</v>
      </c>
    </row>
    <row r="2772" spans="1:5" x14ac:dyDescent="0.25">
      <c r="A2772" s="1">
        <v>89222</v>
      </c>
      <c r="B2772" s="2">
        <v>133</v>
      </c>
      <c r="C2772" s="2">
        <v>89</v>
      </c>
      <c r="D2772" s="2">
        <v>5</v>
      </c>
      <c r="E2772" s="2" t="s">
        <v>2772</v>
      </c>
    </row>
    <row r="2773" spans="1:5" x14ac:dyDescent="0.25">
      <c r="A2773" s="1">
        <v>89223</v>
      </c>
      <c r="B2773" s="2">
        <v>134</v>
      </c>
      <c r="C2773" s="2">
        <v>89</v>
      </c>
      <c r="D2773" s="2">
        <v>126</v>
      </c>
      <c r="E2773" s="2" t="s">
        <v>2773</v>
      </c>
    </row>
    <row r="2774" spans="1:5" x14ac:dyDescent="0.25">
      <c r="A2774" s="1">
        <v>89224</v>
      </c>
      <c r="B2774" s="2">
        <v>135</v>
      </c>
      <c r="C2774" s="2">
        <v>89</v>
      </c>
      <c r="D2774" s="2">
        <v>10008</v>
      </c>
      <c r="E2774" s="2" t="s">
        <v>2774</v>
      </c>
    </row>
    <row r="2775" spans="1:5" x14ac:dyDescent="0.25">
      <c r="A2775" s="1">
        <v>89225</v>
      </c>
      <c r="B2775" s="2">
        <v>136</v>
      </c>
      <c r="C2775" s="2">
        <v>89</v>
      </c>
      <c r="D2775" s="2">
        <v>857088</v>
      </c>
      <c r="E2775" s="2" t="s">
        <v>2775</v>
      </c>
    </row>
    <row r="2776" spans="1:5" x14ac:dyDescent="0.25">
      <c r="A2776" s="1">
        <v>89226</v>
      </c>
      <c r="B2776" s="2">
        <v>137</v>
      </c>
      <c r="C2776" s="2">
        <v>89</v>
      </c>
      <c r="D2776" s="2">
        <v>105732</v>
      </c>
      <c r="E2776" s="2" t="s">
        <v>2776</v>
      </c>
    </row>
    <row r="2777" spans="1:5" x14ac:dyDescent="0.25">
      <c r="A2777" s="1">
        <v>89227</v>
      </c>
      <c r="B2777" s="2">
        <v>138</v>
      </c>
      <c r="C2777" s="2">
        <v>89</v>
      </c>
      <c r="D2777" s="2">
        <v>687072067.19999897</v>
      </c>
      <c r="E2777" s="2" t="s">
        <v>2777</v>
      </c>
    </row>
    <row r="2778" spans="1:5" x14ac:dyDescent="0.25">
      <c r="A2778" s="1">
        <v>89228</v>
      </c>
      <c r="B2778" s="2">
        <v>139</v>
      </c>
      <c r="C2778" s="2">
        <v>89</v>
      </c>
      <c r="D2778" s="2">
        <v>22140</v>
      </c>
      <c r="E2778" s="2" t="s">
        <v>2778</v>
      </c>
    </row>
    <row r="2779" spans="1:5" x14ac:dyDescent="0.25">
      <c r="A2779" s="1">
        <v>89229</v>
      </c>
      <c r="B2779" s="2">
        <v>140</v>
      </c>
      <c r="C2779" s="2">
        <v>89</v>
      </c>
      <c r="D2779" s="2">
        <v>3762</v>
      </c>
      <c r="E2779" s="2" t="s">
        <v>2779</v>
      </c>
    </row>
    <row r="2780" spans="1:5" x14ac:dyDescent="0.25">
      <c r="A2780" s="1">
        <v>89230</v>
      </c>
      <c r="B2780" s="2">
        <v>141</v>
      </c>
      <c r="C2780" s="2">
        <v>89</v>
      </c>
      <c r="D2780" s="2">
        <v>122</v>
      </c>
      <c r="E2780" s="2" t="s">
        <v>2780</v>
      </c>
    </row>
    <row r="2781" spans="1:5" x14ac:dyDescent="0.25">
      <c r="A2781" s="1">
        <v>89231</v>
      </c>
      <c r="B2781" s="2">
        <v>142</v>
      </c>
      <c r="C2781" s="2">
        <v>89</v>
      </c>
      <c r="D2781" s="2">
        <v>450</v>
      </c>
      <c r="E2781" s="2" t="s">
        <v>2781</v>
      </c>
    </row>
    <row r="2782" spans="1:5" x14ac:dyDescent="0.25">
      <c r="A2782" s="1">
        <v>89232</v>
      </c>
      <c r="B2782" s="2">
        <v>143</v>
      </c>
      <c r="C2782" s="2">
        <v>89</v>
      </c>
      <c r="D2782" s="2">
        <v>119</v>
      </c>
      <c r="E2782" s="2" t="s">
        <v>2782</v>
      </c>
    </row>
    <row r="2783" spans="1:5" x14ac:dyDescent="0.25">
      <c r="A2783" s="1">
        <v>89233</v>
      </c>
      <c r="B2783" s="2">
        <v>144</v>
      </c>
      <c r="C2783" s="2">
        <v>89</v>
      </c>
      <c r="D2783" s="2">
        <v>145</v>
      </c>
      <c r="E2783" s="2" t="s">
        <v>2783</v>
      </c>
    </row>
    <row r="2784" spans="1:5" x14ac:dyDescent="0.25">
      <c r="A2784" s="1">
        <v>89234</v>
      </c>
      <c r="B2784" s="2">
        <v>145</v>
      </c>
      <c r="C2784" s="2">
        <v>89</v>
      </c>
      <c r="D2784" s="2">
        <v>44</v>
      </c>
      <c r="E2784" s="2" t="s">
        <v>2784</v>
      </c>
    </row>
    <row r="2785" spans="1:5" x14ac:dyDescent="0.25">
      <c r="A2785" s="1">
        <v>89235</v>
      </c>
      <c r="B2785" s="2">
        <v>146</v>
      </c>
      <c r="C2785" s="2">
        <v>89</v>
      </c>
      <c r="D2785" s="2">
        <v>62</v>
      </c>
      <c r="E2785" s="2" t="s">
        <v>2785</v>
      </c>
    </row>
    <row r="2786" spans="1:5" x14ac:dyDescent="0.25">
      <c r="A2786" s="1">
        <v>89236</v>
      </c>
      <c r="B2786" s="2">
        <v>147</v>
      </c>
      <c r="C2786" s="2">
        <v>89</v>
      </c>
      <c r="D2786" s="2">
        <v>72</v>
      </c>
      <c r="E2786" s="2" t="s">
        <v>2786</v>
      </c>
    </row>
    <row r="2787" spans="1:5" x14ac:dyDescent="0.25">
      <c r="A2787" s="1">
        <v>90208</v>
      </c>
      <c r="B2787" s="2">
        <v>118</v>
      </c>
      <c r="C2787" s="2">
        <v>90</v>
      </c>
      <c r="D2787" s="2">
        <v>1.6999999999999999E-3</v>
      </c>
      <c r="E2787" s="2" t="s">
        <v>2787</v>
      </c>
    </row>
    <row r="2788" spans="1:5" x14ac:dyDescent="0.25">
      <c r="A2788" s="1">
        <v>90209</v>
      </c>
      <c r="B2788" s="2">
        <v>119</v>
      </c>
      <c r="C2788" s="2">
        <v>90</v>
      </c>
      <c r="D2788" s="2">
        <v>2.5000000000000001E-3</v>
      </c>
      <c r="E2788" s="2" t="s">
        <v>2788</v>
      </c>
    </row>
    <row r="2789" spans="1:5" x14ac:dyDescent="0.25">
      <c r="A2789" s="1">
        <v>90210</v>
      </c>
      <c r="B2789" s="2">
        <v>120</v>
      </c>
      <c r="C2789" s="2">
        <v>90</v>
      </c>
      <c r="D2789" s="2">
        <v>1.6E-2</v>
      </c>
      <c r="E2789" s="2" t="s">
        <v>2789</v>
      </c>
    </row>
    <row r="2790" spans="1:5" x14ac:dyDescent="0.25">
      <c r="A2790" s="1">
        <v>90211</v>
      </c>
      <c r="B2790" s="2">
        <v>121</v>
      </c>
      <c r="C2790" s="2">
        <v>90</v>
      </c>
      <c r="D2790" s="2">
        <v>3.6999999999999998E-2</v>
      </c>
      <c r="E2790" s="2" t="s">
        <v>2790</v>
      </c>
    </row>
    <row r="2791" spans="1:5" x14ac:dyDescent="0.25">
      <c r="A2791" s="1">
        <v>90212</v>
      </c>
      <c r="B2791" s="2">
        <v>122</v>
      </c>
      <c r="C2791" s="2">
        <v>90</v>
      </c>
      <c r="D2791" s="2">
        <v>3.1699999999999999E-2</v>
      </c>
      <c r="E2791" s="2" t="s">
        <v>2791</v>
      </c>
    </row>
    <row r="2792" spans="1:5" x14ac:dyDescent="0.25">
      <c r="A2792" s="1">
        <v>90213</v>
      </c>
      <c r="B2792" s="2">
        <v>123</v>
      </c>
      <c r="C2792" s="2">
        <v>90</v>
      </c>
      <c r="D2792" s="2">
        <v>0.14399999999999999</v>
      </c>
      <c r="E2792" s="2" t="s">
        <v>2792</v>
      </c>
    </row>
    <row r="2793" spans="1:5" x14ac:dyDescent="0.25">
      <c r="A2793" s="1">
        <v>90214</v>
      </c>
      <c r="B2793" s="2">
        <v>124</v>
      </c>
      <c r="C2793" s="2">
        <v>90</v>
      </c>
      <c r="D2793" s="2">
        <v>8.6999999999999994E-2</v>
      </c>
      <c r="E2793" s="2" t="s">
        <v>2793</v>
      </c>
    </row>
    <row r="2794" spans="1:5" x14ac:dyDescent="0.25">
      <c r="A2794" s="1">
        <v>90215</v>
      </c>
      <c r="B2794" s="2">
        <v>125</v>
      </c>
      <c r="C2794" s="2">
        <v>90</v>
      </c>
      <c r="D2794" s="2">
        <v>1.2</v>
      </c>
      <c r="E2794" s="2" t="s">
        <v>2794</v>
      </c>
    </row>
    <row r="2795" spans="1:5" x14ac:dyDescent="0.25">
      <c r="A2795" s="1">
        <v>90216</v>
      </c>
      <c r="B2795" s="2">
        <v>126</v>
      </c>
      <c r="C2795" s="2">
        <v>90</v>
      </c>
      <c r="D2795" s="2">
        <v>2.5999999999999999E-2</v>
      </c>
      <c r="E2795" s="2" t="s">
        <v>2795</v>
      </c>
    </row>
    <row r="2796" spans="1:5" x14ac:dyDescent="0.25">
      <c r="A2796" s="1">
        <v>90217</v>
      </c>
      <c r="B2796" s="2">
        <v>127</v>
      </c>
      <c r="C2796" s="2">
        <v>90</v>
      </c>
      <c r="D2796" s="2">
        <v>2.41E-4</v>
      </c>
      <c r="E2796" s="2" t="s">
        <v>2796</v>
      </c>
    </row>
    <row r="2797" spans="1:5" x14ac:dyDescent="0.25">
      <c r="A2797" s="1">
        <v>90218</v>
      </c>
      <c r="B2797" s="2">
        <v>128</v>
      </c>
      <c r="C2797" s="2">
        <v>90</v>
      </c>
      <c r="D2797" s="2">
        <v>1.17E-7</v>
      </c>
      <c r="E2797" s="2" t="s">
        <v>2797</v>
      </c>
    </row>
    <row r="2798" spans="1:5" x14ac:dyDescent="0.25">
      <c r="A2798" s="1">
        <v>90219</v>
      </c>
      <c r="B2798" s="2">
        <v>129</v>
      </c>
      <c r="C2798" s="2">
        <v>90</v>
      </c>
      <c r="D2798" s="2">
        <v>1.0499999999999999E-6</v>
      </c>
      <c r="E2798" s="2" t="s">
        <v>2798</v>
      </c>
    </row>
    <row r="2799" spans="1:5" x14ac:dyDescent="0.25">
      <c r="A2799" s="1">
        <v>90220</v>
      </c>
      <c r="B2799" s="2">
        <v>130</v>
      </c>
      <c r="C2799" s="2">
        <v>90</v>
      </c>
      <c r="D2799" s="2">
        <v>9.6999999999999901E-6</v>
      </c>
      <c r="E2799" s="2" t="s">
        <v>2799</v>
      </c>
    </row>
    <row r="2800" spans="1:5" x14ac:dyDescent="0.25">
      <c r="A2800" s="1">
        <v>90221</v>
      </c>
      <c r="B2800" s="2">
        <v>131</v>
      </c>
      <c r="C2800" s="2">
        <v>90</v>
      </c>
      <c r="D2800" s="2">
        <v>1.6800000000000001E-3</v>
      </c>
      <c r="E2800" s="2" t="s">
        <v>2800</v>
      </c>
    </row>
    <row r="2801" spans="1:5" x14ac:dyDescent="0.25">
      <c r="A2801" s="1">
        <v>90222</v>
      </c>
      <c r="B2801" s="2">
        <v>132</v>
      </c>
      <c r="C2801" s="2">
        <v>90</v>
      </c>
      <c r="D2801" s="2">
        <v>2.8E-3</v>
      </c>
      <c r="E2801" s="2" t="s">
        <v>2801</v>
      </c>
    </row>
    <row r="2802" spans="1:5" x14ac:dyDescent="0.25">
      <c r="A2802" s="1">
        <v>90223</v>
      </c>
      <c r="B2802" s="2">
        <v>133</v>
      </c>
      <c r="C2802" s="2">
        <v>90</v>
      </c>
      <c r="D2802" s="2">
        <v>0.6</v>
      </c>
      <c r="E2802" s="2" t="s">
        <v>2802</v>
      </c>
    </row>
    <row r="2803" spans="1:5" x14ac:dyDescent="0.25">
      <c r="A2803" s="1">
        <v>90224</v>
      </c>
      <c r="B2803" s="2">
        <v>134</v>
      </c>
      <c r="C2803" s="2">
        <v>90</v>
      </c>
      <c r="D2803" s="2">
        <v>1.04</v>
      </c>
      <c r="E2803" s="2" t="s">
        <v>2803</v>
      </c>
    </row>
    <row r="2804" spans="1:5" x14ac:dyDescent="0.25">
      <c r="A2804" s="1">
        <v>90225</v>
      </c>
      <c r="B2804" s="2">
        <v>135</v>
      </c>
      <c r="C2804" s="2">
        <v>90</v>
      </c>
      <c r="D2804" s="2">
        <v>525</v>
      </c>
      <c r="E2804" s="2" t="s">
        <v>2804</v>
      </c>
    </row>
    <row r="2805" spans="1:5" x14ac:dyDescent="0.25">
      <c r="A2805" s="1">
        <v>90226</v>
      </c>
      <c r="B2805" s="2">
        <v>136</v>
      </c>
      <c r="C2805" s="2">
        <v>90</v>
      </c>
      <c r="D2805" s="2">
        <v>1834.2</v>
      </c>
      <c r="E2805" s="2" t="s">
        <v>2805</v>
      </c>
    </row>
    <row r="2806" spans="1:5" x14ac:dyDescent="0.25">
      <c r="A2806" s="1">
        <v>90227</v>
      </c>
      <c r="B2806" s="2">
        <v>137</v>
      </c>
      <c r="C2806" s="2">
        <v>90</v>
      </c>
      <c r="D2806" s="2">
        <v>1615420.79999999</v>
      </c>
      <c r="E2806" s="2" t="s">
        <v>2806</v>
      </c>
    </row>
    <row r="2807" spans="1:5" x14ac:dyDescent="0.25">
      <c r="A2807" s="1">
        <v>90228</v>
      </c>
      <c r="B2807" s="2">
        <v>138</v>
      </c>
      <c r="C2807" s="2">
        <v>90</v>
      </c>
      <c r="D2807" s="2">
        <v>60353910</v>
      </c>
      <c r="E2807" s="2" t="s">
        <v>2807</v>
      </c>
    </row>
    <row r="2808" spans="1:5" x14ac:dyDescent="0.25">
      <c r="A2808" s="1">
        <v>90229</v>
      </c>
      <c r="B2808" s="2">
        <v>139</v>
      </c>
      <c r="C2808" s="2">
        <v>90</v>
      </c>
      <c r="D2808" s="2">
        <v>250314883200</v>
      </c>
      <c r="E2808" s="2" t="s">
        <v>2808</v>
      </c>
    </row>
    <row r="2809" spans="1:5" x14ac:dyDescent="0.25">
      <c r="A2809" s="1">
        <v>90230</v>
      </c>
      <c r="B2809" s="2">
        <v>140</v>
      </c>
      <c r="C2809" s="2">
        <v>90</v>
      </c>
      <c r="D2809" s="2">
        <v>2379443040000</v>
      </c>
      <c r="E2809" s="2" t="s">
        <v>2809</v>
      </c>
    </row>
    <row r="2810" spans="1:5" x14ac:dyDescent="0.25">
      <c r="A2810" s="1">
        <v>90231</v>
      </c>
      <c r="B2810" s="2">
        <v>141</v>
      </c>
      <c r="C2810" s="2">
        <v>90</v>
      </c>
      <c r="D2810" s="2">
        <v>91872</v>
      </c>
      <c r="E2810" s="2" t="s">
        <v>2810</v>
      </c>
    </row>
    <row r="2811" spans="1:5" x14ac:dyDescent="0.25">
      <c r="A2811" s="1">
        <v>90232</v>
      </c>
      <c r="B2811" s="2">
        <v>142</v>
      </c>
      <c r="C2811" s="2">
        <v>90</v>
      </c>
      <c r="D2811" s="2">
        <v>4.418064E+17</v>
      </c>
      <c r="E2811" s="2" t="s">
        <v>2811</v>
      </c>
    </row>
    <row r="2812" spans="1:5" x14ac:dyDescent="0.25">
      <c r="A2812" s="1">
        <v>90233</v>
      </c>
      <c r="B2812" s="2">
        <v>143</v>
      </c>
      <c r="C2812" s="2">
        <v>90</v>
      </c>
      <c r="D2812" s="2">
        <v>1309.8</v>
      </c>
      <c r="E2812" s="2" t="s">
        <v>2812</v>
      </c>
    </row>
    <row r="2813" spans="1:5" x14ac:dyDescent="0.25">
      <c r="A2813" s="1">
        <v>90234</v>
      </c>
      <c r="B2813" s="2">
        <v>144</v>
      </c>
      <c r="C2813" s="2">
        <v>90</v>
      </c>
      <c r="D2813" s="2">
        <v>2082240</v>
      </c>
      <c r="E2813" s="2" t="s">
        <v>2813</v>
      </c>
    </row>
    <row r="2814" spans="1:5" x14ac:dyDescent="0.25">
      <c r="A2814" s="1">
        <v>90235</v>
      </c>
      <c r="B2814" s="2">
        <v>145</v>
      </c>
      <c r="C2814" s="2">
        <v>90</v>
      </c>
      <c r="D2814" s="2">
        <v>426</v>
      </c>
      <c r="E2814" s="2" t="s">
        <v>2814</v>
      </c>
    </row>
    <row r="2815" spans="1:5" x14ac:dyDescent="0.25">
      <c r="A2815" s="1">
        <v>90236</v>
      </c>
      <c r="B2815" s="2">
        <v>146</v>
      </c>
      <c r="C2815" s="2">
        <v>90</v>
      </c>
      <c r="D2815" s="2">
        <v>2238</v>
      </c>
      <c r="E2815" s="2" t="s">
        <v>2815</v>
      </c>
    </row>
    <row r="2816" spans="1:5" x14ac:dyDescent="0.25">
      <c r="A2816" s="1">
        <v>90237</v>
      </c>
      <c r="B2816" s="2">
        <v>147</v>
      </c>
      <c r="C2816" s="2">
        <v>90</v>
      </c>
      <c r="D2816" s="2">
        <v>282</v>
      </c>
      <c r="E2816" s="2" t="s">
        <v>2816</v>
      </c>
    </row>
    <row r="2817" spans="1:5" x14ac:dyDescent="0.25">
      <c r="A2817" s="1">
        <v>90238</v>
      </c>
      <c r="B2817" s="2">
        <v>148</v>
      </c>
      <c r="C2817" s="2">
        <v>90</v>
      </c>
      <c r="D2817" s="2">
        <v>564</v>
      </c>
      <c r="E2817" s="2" t="s">
        <v>2817</v>
      </c>
    </row>
    <row r="2818" spans="1:5" x14ac:dyDescent="0.25">
      <c r="A2818" s="1">
        <v>91211</v>
      </c>
      <c r="B2818" s="2">
        <v>120</v>
      </c>
      <c r="C2818" s="2">
        <v>91</v>
      </c>
      <c r="D2818" s="2">
        <v>2.9999999999999999E-7</v>
      </c>
      <c r="E2818" s="2" t="s">
        <v>2818</v>
      </c>
    </row>
    <row r="2819" spans="1:5" x14ac:dyDescent="0.25">
      <c r="A2819" s="1">
        <v>91212</v>
      </c>
      <c r="B2819" s="2">
        <v>121</v>
      </c>
      <c r="C2819" s="2">
        <v>91</v>
      </c>
      <c r="D2819" s="2">
        <v>5.09999999999999E-3</v>
      </c>
      <c r="E2819" s="2" t="s">
        <v>2819</v>
      </c>
    </row>
    <row r="2820" spans="1:5" x14ac:dyDescent="0.25">
      <c r="A2820" s="1">
        <v>91213</v>
      </c>
      <c r="B2820" s="2">
        <v>122</v>
      </c>
      <c r="C2820" s="2">
        <v>91</v>
      </c>
      <c r="D2820" s="2">
        <v>5.3E-3</v>
      </c>
      <c r="E2820" s="2" t="s">
        <v>2820</v>
      </c>
    </row>
    <row r="2821" spans="1:5" x14ac:dyDescent="0.25">
      <c r="A2821" s="1">
        <v>91214</v>
      </c>
      <c r="B2821" s="2">
        <v>123</v>
      </c>
      <c r="C2821" s="2">
        <v>91</v>
      </c>
      <c r="D2821" s="2">
        <v>1.7000000000000001E-2</v>
      </c>
      <c r="E2821" s="2" t="s">
        <v>2821</v>
      </c>
    </row>
    <row r="2822" spans="1:5" x14ac:dyDescent="0.25">
      <c r="A2822" s="1">
        <v>91215</v>
      </c>
      <c r="B2822" s="2">
        <v>124</v>
      </c>
      <c r="C2822" s="2">
        <v>91</v>
      </c>
      <c r="D2822" s="2">
        <v>1.4E-2</v>
      </c>
      <c r="E2822" s="2" t="s">
        <v>2822</v>
      </c>
    </row>
    <row r="2823" spans="1:5" x14ac:dyDescent="0.25">
      <c r="A2823" s="1">
        <v>91216</v>
      </c>
      <c r="B2823" s="2">
        <v>125</v>
      </c>
      <c r="C2823" s="2">
        <v>91</v>
      </c>
      <c r="D2823" s="2">
        <v>0.15</v>
      </c>
      <c r="E2823" s="2" t="s">
        <v>2823</v>
      </c>
    </row>
    <row r="2824" spans="1:5" x14ac:dyDescent="0.25">
      <c r="A2824" s="1">
        <v>91217</v>
      </c>
      <c r="B2824" s="2">
        <v>126</v>
      </c>
      <c r="C2824" s="2">
        <v>91</v>
      </c>
      <c r="D2824" s="2">
        <v>3.5999999999999999E-3</v>
      </c>
      <c r="E2824" s="2" t="s">
        <v>2824</v>
      </c>
    </row>
    <row r="2825" spans="1:5" x14ac:dyDescent="0.25">
      <c r="A2825" s="1">
        <v>91218</v>
      </c>
      <c r="B2825" s="2">
        <v>127</v>
      </c>
      <c r="C2825" s="2">
        <v>91</v>
      </c>
      <c r="D2825" s="2">
        <v>1.13E-4</v>
      </c>
      <c r="E2825" s="2" t="s">
        <v>2825</v>
      </c>
    </row>
    <row r="2826" spans="1:5" x14ac:dyDescent="0.25">
      <c r="A2826" s="1">
        <v>91219</v>
      </c>
      <c r="B2826" s="2">
        <v>128</v>
      </c>
      <c r="C2826" s="2">
        <v>91</v>
      </c>
      <c r="D2826" s="2">
        <v>5.2999999999999998E-8</v>
      </c>
      <c r="E2826" s="2" t="s">
        <v>2826</v>
      </c>
    </row>
    <row r="2827" spans="1:5" x14ac:dyDescent="0.25">
      <c r="A2827" s="1">
        <v>91220</v>
      </c>
      <c r="B2827" s="2">
        <v>129</v>
      </c>
      <c r="C2827" s="2">
        <v>91</v>
      </c>
      <c r="D2827" s="2">
        <v>7.7999999999999899E-7</v>
      </c>
      <c r="E2827" s="2" t="s">
        <v>2827</v>
      </c>
    </row>
    <row r="2828" spans="1:5" x14ac:dyDescent="0.25">
      <c r="A2828" s="1">
        <v>91221</v>
      </c>
      <c r="B2828" s="2">
        <v>130</v>
      </c>
      <c r="C2828" s="2">
        <v>91</v>
      </c>
      <c r="D2828" s="2">
        <v>5.9000000000000003E-6</v>
      </c>
      <c r="E2828" s="2" t="s">
        <v>2828</v>
      </c>
    </row>
    <row r="2829" spans="1:5" x14ac:dyDescent="0.25">
      <c r="A2829" s="1">
        <v>91222</v>
      </c>
      <c r="B2829" s="2">
        <v>131</v>
      </c>
      <c r="C2829" s="2">
        <v>91</v>
      </c>
      <c r="D2829" s="2">
        <v>2.8999999999999998E-3</v>
      </c>
      <c r="E2829" s="2" t="s">
        <v>2829</v>
      </c>
    </row>
    <row r="2830" spans="1:5" x14ac:dyDescent="0.25">
      <c r="A2830" s="1">
        <v>91223</v>
      </c>
      <c r="B2830" s="2">
        <v>132</v>
      </c>
      <c r="C2830" s="2">
        <v>91</v>
      </c>
      <c r="D2830" s="2">
        <v>5.09999999999999E-3</v>
      </c>
      <c r="E2830" s="2" t="s">
        <v>2830</v>
      </c>
    </row>
    <row r="2831" spans="1:5" x14ac:dyDescent="0.25">
      <c r="A2831" s="1">
        <v>91224</v>
      </c>
      <c r="B2831" s="2">
        <v>133</v>
      </c>
      <c r="C2831" s="2">
        <v>91</v>
      </c>
      <c r="D2831" s="2">
        <v>0.84599999999999997</v>
      </c>
      <c r="E2831" s="2" t="s">
        <v>2831</v>
      </c>
    </row>
    <row r="2832" spans="1:5" x14ac:dyDescent="0.25">
      <c r="A2832" s="1">
        <v>91225</v>
      </c>
      <c r="B2832" s="2">
        <v>134</v>
      </c>
      <c r="C2832" s="2">
        <v>91</v>
      </c>
      <c r="D2832" s="2">
        <v>1.7</v>
      </c>
      <c r="E2832" s="2" t="s">
        <v>2832</v>
      </c>
    </row>
    <row r="2833" spans="1:5" x14ac:dyDescent="0.25">
      <c r="A2833" s="1">
        <v>91226</v>
      </c>
      <c r="B2833" s="2">
        <v>135</v>
      </c>
      <c r="C2833" s="2">
        <v>91</v>
      </c>
      <c r="D2833" s="2">
        <v>108</v>
      </c>
      <c r="E2833" s="2" t="s">
        <v>2833</v>
      </c>
    </row>
    <row r="2834" spans="1:5" x14ac:dyDescent="0.25">
      <c r="A2834" s="1">
        <v>91227</v>
      </c>
      <c r="B2834" s="2">
        <v>136</v>
      </c>
      <c r="C2834" s="2">
        <v>91</v>
      </c>
      <c r="D2834" s="2">
        <v>2298</v>
      </c>
      <c r="E2834" s="2" t="s">
        <v>2834</v>
      </c>
    </row>
    <row r="2835" spans="1:5" x14ac:dyDescent="0.25">
      <c r="A2835" s="1">
        <v>91228</v>
      </c>
      <c r="B2835" s="2">
        <v>137</v>
      </c>
      <c r="C2835" s="2">
        <v>91</v>
      </c>
      <c r="D2835" s="2">
        <v>79200</v>
      </c>
      <c r="E2835" s="2" t="s">
        <v>2835</v>
      </c>
    </row>
    <row r="2836" spans="1:5" x14ac:dyDescent="0.25">
      <c r="A2836" s="1">
        <v>91229</v>
      </c>
      <c r="B2836" s="2">
        <v>138</v>
      </c>
      <c r="C2836" s="2">
        <v>91</v>
      </c>
      <c r="D2836" s="2">
        <v>129600</v>
      </c>
      <c r="E2836" s="2" t="s">
        <v>2836</v>
      </c>
    </row>
    <row r="2837" spans="1:5" x14ac:dyDescent="0.25">
      <c r="A2837" s="1">
        <v>91230</v>
      </c>
      <c r="B2837" s="2">
        <v>139</v>
      </c>
      <c r="C2837" s="2">
        <v>91</v>
      </c>
      <c r="D2837" s="2">
        <v>1503359.99999999</v>
      </c>
      <c r="E2837" s="2" t="s">
        <v>2837</v>
      </c>
    </row>
    <row r="2838" spans="1:5" x14ac:dyDescent="0.25">
      <c r="A2838" s="1">
        <v>91231</v>
      </c>
      <c r="B2838" s="2">
        <v>140</v>
      </c>
      <c r="C2838" s="2">
        <v>91</v>
      </c>
      <c r="D2838" s="2">
        <v>1033826976000</v>
      </c>
      <c r="E2838" s="2" t="s">
        <v>2838</v>
      </c>
    </row>
    <row r="2839" spans="1:5" x14ac:dyDescent="0.25">
      <c r="A2839" s="1">
        <v>91232</v>
      </c>
      <c r="B2839" s="2">
        <v>141</v>
      </c>
      <c r="C2839" s="2">
        <v>91</v>
      </c>
      <c r="D2839" s="2">
        <v>114048</v>
      </c>
      <c r="E2839" s="2" t="s">
        <v>2839</v>
      </c>
    </row>
    <row r="2840" spans="1:5" x14ac:dyDescent="0.25">
      <c r="A2840" s="1">
        <v>91233</v>
      </c>
      <c r="B2840" s="2">
        <v>142</v>
      </c>
      <c r="C2840" s="2">
        <v>91</v>
      </c>
      <c r="D2840" s="2">
        <v>2330640</v>
      </c>
      <c r="E2840" s="2" t="s">
        <v>2840</v>
      </c>
    </row>
    <row r="2841" spans="1:5" x14ac:dyDescent="0.25">
      <c r="A2841" s="1">
        <v>91234</v>
      </c>
      <c r="B2841" s="2">
        <v>143</v>
      </c>
      <c r="C2841" s="2">
        <v>91</v>
      </c>
      <c r="D2841" s="2">
        <v>24120</v>
      </c>
      <c r="E2841" s="2" t="s">
        <v>2841</v>
      </c>
    </row>
    <row r="2842" spans="1:5" x14ac:dyDescent="0.25">
      <c r="A2842" s="1">
        <v>91235</v>
      </c>
      <c r="B2842" s="2">
        <v>144</v>
      </c>
      <c r="C2842" s="2">
        <v>91</v>
      </c>
      <c r="D2842" s="2">
        <v>1464</v>
      </c>
      <c r="E2842" s="2" t="s">
        <v>2842</v>
      </c>
    </row>
    <row r="2843" spans="1:5" x14ac:dyDescent="0.25">
      <c r="A2843" s="1">
        <v>91236</v>
      </c>
      <c r="B2843" s="2">
        <v>145</v>
      </c>
      <c r="C2843" s="2">
        <v>91</v>
      </c>
      <c r="D2843" s="2">
        <v>546</v>
      </c>
      <c r="E2843" s="2" t="s">
        <v>2843</v>
      </c>
    </row>
    <row r="2844" spans="1:5" x14ac:dyDescent="0.25">
      <c r="A2844" s="1">
        <v>91237</v>
      </c>
      <c r="B2844" s="2">
        <v>146</v>
      </c>
      <c r="C2844" s="2">
        <v>91</v>
      </c>
      <c r="D2844" s="2">
        <v>522</v>
      </c>
      <c r="E2844" s="2" t="s">
        <v>2844</v>
      </c>
    </row>
    <row r="2845" spans="1:5" x14ac:dyDescent="0.25">
      <c r="A2845" s="1">
        <v>91238</v>
      </c>
      <c r="B2845" s="2">
        <v>147</v>
      </c>
      <c r="C2845" s="2">
        <v>91</v>
      </c>
      <c r="D2845" s="2">
        <v>136.79999999999899</v>
      </c>
      <c r="E2845" s="2" t="s">
        <v>2845</v>
      </c>
    </row>
    <row r="2846" spans="1:5" x14ac:dyDescent="0.25">
      <c r="A2846" s="1">
        <v>91239</v>
      </c>
      <c r="B2846" s="2">
        <v>148</v>
      </c>
      <c r="C2846" s="2">
        <v>91</v>
      </c>
      <c r="D2846" s="2">
        <v>6480</v>
      </c>
      <c r="E2846" s="2" t="s">
        <v>2846</v>
      </c>
    </row>
    <row r="2847" spans="1:5" x14ac:dyDescent="0.25">
      <c r="A2847" s="1">
        <v>92216</v>
      </c>
      <c r="B2847" s="2">
        <v>124</v>
      </c>
      <c r="C2847" s="2">
        <v>92</v>
      </c>
      <c r="D2847" s="2">
        <v>4.4999999999999997E-3</v>
      </c>
      <c r="E2847" s="2" t="s">
        <v>2847</v>
      </c>
    </row>
    <row r="2848" spans="1:5" x14ac:dyDescent="0.25">
      <c r="A2848" s="1">
        <v>92217</v>
      </c>
      <c r="B2848" s="2">
        <v>125</v>
      </c>
      <c r="C2848" s="2">
        <v>92</v>
      </c>
      <c r="D2848" s="2">
        <v>1.6E-2</v>
      </c>
      <c r="E2848" s="2" t="s">
        <v>2848</v>
      </c>
    </row>
    <row r="2849" spans="1:5" x14ac:dyDescent="0.25">
      <c r="A2849" s="1">
        <v>92218</v>
      </c>
      <c r="B2849" s="2">
        <v>126</v>
      </c>
      <c r="C2849" s="2">
        <v>92</v>
      </c>
      <c r="D2849" s="2">
        <v>5.1000000000000004E-4</v>
      </c>
      <c r="E2849" s="2" t="s">
        <v>2849</v>
      </c>
    </row>
    <row r="2850" spans="1:5" x14ac:dyDescent="0.25">
      <c r="A2850" s="1">
        <v>92219</v>
      </c>
      <c r="B2850" s="2">
        <v>127</v>
      </c>
      <c r="C2850" s="2">
        <v>92</v>
      </c>
      <c r="D2850" s="2">
        <v>4.1999999999999998E-5</v>
      </c>
      <c r="E2850" s="2" t="s">
        <v>2850</v>
      </c>
    </row>
    <row r="2851" spans="1:5" x14ac:dyDescent="0.25">
      <c r="A2851" s="1">
        <v>92221</v>
      </c>
      <c r="B2851" s="2">
        <v>129</v>
      </c>
      <c r="C2851" s="2">
        <v>92</v>
      </c>
      <c r="D2851" s="2">
        <v>6.6000000000000003E-7</v>
      </c>
      <c r="E2851" s="2" t="s">
        <v>2851</v>
      </c>
    </row>
    <row r="2852" spans="1:5" x14ac:dyDescent="0.25">
      <c r="A2852" s="1">
        <v>92222</v>
      </c>
      <c r="B2852" s="2">
        <v>130</v>
      </c>
      <c r="C2852" s="2">
        <v>92</v>
      </c>
      <c r="D2852" s="2">
        <v>4.6999999999999999E-6</v>
      </c>
      <c r="E2852" s="2" t="s">
        <v>2852</v>
      </c>
    </row>
    <row r="2853" spans="1:5" x14ac:dyDescent="0.25">
      <c r="A2853" s="1">
        <v>92223</v>
      </c>
      <c r="B2853" s="2">
        <v>131</v>
      </c>
      <c r="C2853" s="2">
        <v>92</v>
      </c>
      <c r="D2853" s="2">
        <v>1.8E-5</v>
      </c>
      <c r="E2853" s="2" t="s">
        <v>2853</v>
      </c>
    </row>
    <row r="2854" spans="1:5" x14ac:dyDescent="0.25">
      <c r="A2854" s="1">
        <v>92224</v>
      </c>
      <c r="B2854" s="2">
        <v>132</v>
      </c>
      <c r="C2854" s="2">
        <v>92</v>
      </c>
      <c r="D2854" s="2">
        <v>8.4000000000000003E-4</v>
      </c>
      <c r="E2854" s="2" t="s">
        <v>2854</v>
      </c>
    </row>
    <row r="2855" spans="1:5" x14ac:dyDescent="0.25">
      <c r="A2855" s="1">
        <v>92225</v>
      </c>
      <c r="B2855" s="2">
        <v>133</v>
      </c>
      <c r="C2855" s="2">
        <v>92</v>
      </c>
      <c r="D2855" s="2">
        <v>9.5000000000000001E-2</v>
      </c>
      <c r="E2855" s="2" t="s">
        <v>2855</v>
      </c>
    </row>
    <row r="2856" spans="1:5" x14ac:dyDescent="0.25">
      <c r="A2856" s="1">
        <v>92226</v>
      </c>
      <c r="B2856" s="2">
        <v>134</v>
      </c>
      <c r="C2856" s="2">
        <v>92</v>
      </c>
      <c r="D2856" s="2">
        <v>0.26800000000000002</v>
      </c>
      <c r="E2856" s="2" t="s">
        <v>2856</v>
      </c>
    </row>
    <row r="2857" spans="1:5" x14ac:dyDescent="0.25">
      <c r="A2857" s="1">
        <v>92227</v>
      </c>
      <c r="B2857" s="2">
        <v>135</v>
      </c>
      <c r="C2857" s="2">
        <v>92</v>
      </c>
      <c r="D2857" s="2">
        <v>66</v>
      </c>
      <c r="E2857" s="2" t="s">
        <v>2857</v>
      </c>
    </row>
    <row r="2858" spans="1:5" x14ac:dyDescent="0.25">
      <c r="A2858" s="1">
        <v>92228</v>
      </c>
      <c r="B2858" s="2">
        <v>136</v>
      </c>
      <c r="C2858" s="2">
        <v>92</v>
      </c>
      <c r="D2858" s="2">
        <v>546</v>
      </c>
      <c r="E2858" s="2" t="s">
        <v>2858</v>
      </c>
    </row>
    <row r="2859" spans="1:5" x14ac:dyDescent="0.25">
      <c r="A2859" s="1">
        <v>92229</v>
      </c>
      <c r="B2859" s="2">
        <v>137</v>
      </c>
      <c r="C2859" s="2">
        <v>92</v>
      </c>
      <c r="D2859" s="2">
        <v>3480</v>
      </c>
      <c r="E2859" s="2" t="s">
        <v>2859</v>
      </c>
    </row>
    <row r="2860" spans="1:5" x14ac:dyDescent="0.25">
      <c r="A2860" s="1">
        <v>92230</v>
      </c>
      <c r="B2860" s="2">
        <v>138</v>
      </c>
      <c r="C2860" s="2">
        <v>92</v>
      </c>
      <c r="D2860" s="2">
        <v>1797120</v>
      </c>
      <c r="E2860" s="2" t="s">
        <v>2860</v>
      </c>
    </row>
    <row r="2861" spans="1:5" x14ac:dyDescent="0.25">
      <c r="A2861" s="1">
        <v>92231</v>
      </c>
      <c r="B2861" s="2">
        <v>139</v>
      </c>
      <c r="C2861" s="2">
        <v>92</v>
      </c>
      <c r="D2861" s="2">
        <v>362880</v>
      </c>
      <c r="E2861" s="2" t="s">
        <v>2861</v>
      </c>
    </row>
    <row r="2862" spans="1:5" x14ac:dyDescent="0.25">
      <c r="A2862" s="1">
        <v>92232</v>
      </c>
      <c r="B2862" s="2">
        <v>140</v>
      </c>
      <c r="C2862" s="2">
        <v>92</v>
      </c>
      <c r="D2862" s="2">
        <v>2174318640</v>
      </c>
      <c r="E2862" s="2" t="s">
        <v>2862</v>
      </c>
    </row>
    <row r="2863" spans="1:5" x14ac:dyDescent="0.25">
      <c r="A2863" s="1">
        <v>92233</v>
      </c>
      <c r="B2863" s="2">
        <v>141</v>
      </c>
      <c r="C2863" s="2">
        <v>92</v>
      </c>
      <c r="D2863" s="2">
        <v>5023969920000</v>
      </c>
      <c r="E2863" s="2" t="s">
        <v>2863</v>
      </c>
    </row>
    <row r="2864" spans="1:5" x14ac:dyDescent="0.25">
      <c r="A2864" s="1">
        <v>92234</v>
      </c>
      <c r="B2864" s="2">
        <v>142</v>
      </c>
      <c r="C2864" s="2">
        <v>92</v>
      </c>
      <c r="D2864" s="2">
        <v>7747390800000</v>
      </c>
      <c r="E2864" s="2" t="s">
        <v>2864</v>
      </c>
    </row>
    <row r="2865" spans="1:5" x14ac:dyDescent="0.25">
      <c r="A2865" s="1">
        <v>92235</v>
      </c>
      <c r="B2865" s="2">
        <v>143</v>
      </c>
      <c r="C2865" s="2">
        <v>92</v>
      </c>
      <c r="D2865" s="2">
        <v>2.22165504E+16</v>
      </c>
      <c r="E2865" s="2" t="s">
        <v>2865</v>
      </c>
    </row>
    <row r="2866" spans="1:5" x14ac:dyDescent="0.25">
      <c r="A2866" s="1">
        <v>92236</v>
      </c>
      <c r="B2866" s="2">
        <v>144</v>
      </c>
      <c r="C2866" s="2">
        <v>92</v>
      </c>
      <c r="D2866" s="2">
        <v>739078992000000</v>
      </c>
      <c r="E2866" s="2" t="s">
        <v>2866</v>
      </c>
    </row>
    <row r="2867" spans="1:5" x14ac:dyDescent="0.25">
      <c r="A2867" s="1">
        <v>92237</v>
      </c>
      <c r="B2867" s="2">
        <v>145</v>
      </c>
      <c r="C2867" s="2">
        <v>92</v>
      </c>
      <c r="D2867" s="2">
        <v>583200</v>
      </c>
      <c r="E2867" s="2" t="s">
        <v>2867</v>
      </c>
    </row>
    <row r="2868" spans="1:5" x14ac:dyDescent="0.25">
      <c r="A2868" s="1">
        <v>92238</v>
      </c>
      <c r="B2868" s="2">
        <v>146</v>
      </c>
      <c r="C2868" s="2">
        <v>92</v>
      </c>
      <c r="D2868" s="2">
        <v>1.409993568E+17</v>
      </c>
      <c r="E2868" s="2" t="s">
        <v>2868</v>
      </c>
    </row>
    <row r="2869" spans="1:5" x14ac:dyDescent="0.25">
      <c r="A2869" s="1">
        <v>92239</v>
      </c>
      <c r="B2869" s="2">
        <v>147</v>
      </c>
      <c r="C2869" s="2">
        <v>92</v>
      </c>
      <c r="D2869" s="2">
        <v>1407</v>
      </c>
      <c r="E2869" s="2" t="s">
        <v>2869</v>
      </c>
    </row>
    <row r="2870" spans="1:5" x14ac:dyDescent="0.25">
      <c r="A2870" s="1">
        <v>92240</v>
      </c>
      <c r="B2870" s="2">
        <v>148</v>
      </c>
      <c r="C2870" s="2">
        <v>92</v>
      </c>
      <c r="D2870" s="2">
        <v>50760</v>
      </c>
      <c r="E2870" s="2" t="s">
        <v>2870</v>
      </c>
    </row>
    <row r="2871" spans="1:5" x14ac:dyDescent="0.25">
      <c r="A2871" s="1">
        <v>92242</v>
      </c>
      <c r="B2871" s="2">
        <v>150</v>
      </c>
      <c r="C2871" s="2">
        <v>92</v>
      </c>
      <c r="D2871" s="2">
        <v>1008</v>
      </c>
      <c r="E2871" s="2" t="s">
        <v>2871</v>
      </c>
    </row>
    <row r="2872" spans="1:5" x14ac:dyDescent="0.25">
      <c r="A2872" s="1">
        <v>93225</v>
      </c>
      <c r="B2872" s="2">
        <v>132</v>
      </c>
      <c r="C2872" s="2">
        <v>93</v>
      </c>
      <c r="D2872" s="2">
        <v>3.5999999999999999E-3</v>
      </c>
      <c r="E2872" s="2" t="s">
        <v>2872</v>
      </c>
    </row>
    <row r="2873" spans="1:5" x14ac:dyDescent="0.25">
      <c r="A2873" s="1">
        <v>93226</v>
      </c>
      <c r="B2873" s="2">
        <v>133</v>
      </c>
      <c r="C2873" s="2">
        <v>93</v>
      </c>
      <c r="D2873" s="2">
        <v>3.5000000000000003E-2</v>
      </c>
      <c r="E2873" s="2" t="s">
        <v>2873</v>
      </c>
    </row>
    <row r="2874" spans="1:5" x14ac:dyDescent="0.25">
      <c r="A2874" s="1">
        <v>93227</v>
      </c>
      <c r="B2874" s="2">
        <v>134</v>
      </c>
      <c r="C2874" s="2">
        <v>93</v>
      </c>
      <c r="D2874" s="2">
        <v>0.51</v>
      </c>
      <c r="E2874" s="2" t="s">
        <v>2874</v>
      </c>
    </row>
    <row r="2875" spans="1:5" x14ac:dyDescent="0.25">
      <c r="A2875" s="1">
        <v>93228</v>
      </c>
      <c r="B2875" s="2">
        <v>135</v>
      </c>
      <c r="C2875" s="2">
        <v>93</v>
      </c>
      <c r="D2875" s="2">
        <v>61.4</v>
      </c>
      <c r="E2875" s="2" t="s">
        <v>2875</v>
      </c>
    </row>
    <row r="2876" spans="1:5" x14ac:dyDescent="0.25">
      <c r="A2876" s="1">
        <v>93229</v>
      </c>
      <c r="B2876" s="2">
        <v>136</v>
      </c>
      <c r="C2876" s="2">
        <v>93</v>
      </c>
      <c r="D2876" s="2">
        <v>240</v>
      </c>
      <c r="E2876" s="2" t="s">
        <v>2876</v>
      </c>
    </row>
    <row r="2877" spans="1:5" x14ac:dyDescent="0.25">
      <c r="A2877" s="1">
        <v>93230</v>
      </c>
      <c r="B2877" s="2">
        <v>137</v>
      </c>
      <c r="C2877" s="2">
        <v>93</v>
      </c>
      <c r="D2877" s="2">
        <v>276</v>
      </c>
      <c r="E2877" s="2" t="s">
        <v>2877</v>
      </c>
    </row>
    <row r="2878" spans="1:5" x14ac:dyDescent="0.25">
      <c r="A2878" s="1">
        <v>93231</v>
      </c>
      <c r="B2878" s="2">
        <v>138</v>
      </c>
      <c r="C2878" s="2">
        <v>93</v>
      </c>
      <c r="D2878" s="2">
        <v>2928</v>
      </c>
      <c r="E2878" s="2" t="s">
        <v>2878</v>
      </c>
    </row>
    <row r="2879" spans="1:5" x14ac:dyDescent="0.25">
      <c r="A2879" s="1">
        <v>93232</v>
      </c>
      <c r="B2879" s="2">
        <v>139</v>
      </c>
      <c r="C2879" s="2">
        <v>93</v>
      </c>
      <c r="D2879" s="2">
        <v>882</v>
      </c>
      <c r="E2879" s="2" t="s">
        <v>2879</v>
      </c>
    </row>
    <row r="2880" spans="1:5" x14ac:dyDescent="0.25">
      <c r="A2880" s="1">
        <v>93233</v>
      </c>
      <c r="B2880" s="2">
        <v>140</v>
      </c>
      <c r="C2880" s="2">
        <v>93</v>
      </c>
      <c r="D2880" s="2">
        <v>2172</v>
      </c>
      <c r="E2880" s="2" t="s">
        <v>2880</v>
      </c>
    </row>
    <row r="2881" spans="1:5" x14ac:dyDescent="0.25">
      <c r="A2881" s="1">
        <v>93234</v>
      </c>
      <c r="B2881" s="2">
        <v>141</v>
      </c>
      <c r="C2881" s="2">
        <v>93</v>
      </c>
      <c r="D2881" s="2">
        <v>380160</v>
      </c>
      <c r="E2881" s="2" t="s">
        <v>2881</v>
      </c>
    </row>
    <row r="2882" spans="1:5" x14ac:dyDescent="0.25">
      <c r="A2882" s="1">
        <v>93235</v>
      </c>
      <c r="B2882" s="2">
        <v>142</v>
      </c>
      <c r="C2882" s="2">
        <v>93</v>
      </c>
      <c r="D2882" s="2">
        <v>34223040</v>
      </c>
      <c r="E2882" s="2" t="s">
        <v>2882</v>
      </c>
    </row>
    <row r="2883" spans="1:5" x14ac:dyDescent="0.25">
      <c r="A2883" s="1">
        <v>93236</v>
      </c>
      <c r="B2883" s="2">
        <v>143</v>
      </c>
      <c r="C2883" s="2">
        <v>93</v>
      </c>
      <c r="D2883" s="2">
        <v>4828312800000</v>
      </c>
      <c r="E2883" s="2" t="s">
        <v>2883</v>
      </c>
    </row>
    <row r="2884" spans="1:5" x14ac:dyDescent="0.25">
      <c r="A2884" s="1">
        <v>93237</v>
      </c>
      <c r="B2884" s="2">
        <v>144</v>
      </c>
      <c r="C2884" s="2">
        <v>93</v>
      </c>
      <c r="D2884" s="2">
        <v>67659494400000</v>
      </c>
      <c r="E2884" s="2" t="s">
        <v>2884</v>
      </c>
    </row>
    <row r="2885" spans="1:5" x14ac:dyDescent="0.25">
      <c r="A2885" s="1">
        <v>93238</v>
      </c>
      <c r="B2885" s="2">
        <v>145</v>
      </c>
      <c r="C2885" s="2">
        <v>93</v>
      </c>
      <c r="D2885" s="2">
        <v>182908.79999999999</v>
      </c>
      <c r="E2885" s="2" t="s">
        <v>2885</v>
      </c>
    </row>
    <row r="2886" spans="1:5" x14ac:dyDescent="0.25">
      <c r="A2886" s="1">
        <v>93239</v>
      </c>
      <c r="B2886" s="2">
        <v>146</v>
      </c>
      <c r="C2886" s="2">
        <v>93</v>
      </c>
      <c r="D2886" s="2">
        <v>203558.39999999999</v>
      </c>
      <c r="E2886" s="2" t="s">
        <v>2886</v>
      </c>
    </row>
    <row r="2887" spans="1:5" x14ac:dyDescent="0.25">
      <c r="A2887" s="1">
        <v>93240</v>
      </c>
      <c r="B2887" s="2">
        <v>147</v>
      </c>
      <c r="C2887" s="2">
        <v>93</v>
      </c>
      <c r="D2887" s="2">
        <v>3714</v>
      </c>
      <c r="E2887" s="2" t="s">
        <v>2887</v>
      </c>
    </row>
    <row r="2888" spans="1:5" x14ac:dyDescent="0.25">
      <c r="A2888" s="1">
        <v>93241</v>
      </c>
      <c r="B2888" s="2">
        <v>148</v>
      </c>
      <c r="C2888" s="2">
        <v>93</v>
      </c>
      <c r="D2888" s="2">
        <v>834</v>
      </c>
      <c r="E2888" s="2" t="s">
        <v>2888</v>
      </c>
    </row>
    <row r="2889" spans="1:5" x14ac:dyDescent="0.25">
      <c r="A2889" s="1">
        <v>93242</v>
      </c>
      <c r="B2889" s="2">
        <v>149</v>
      </c>
      <c r="C2889" s="2">
        <v>93</v>
      </c>
      <c r="D2889" s="2">
        <v>132</v>
      </c>
      <c r="E2889" s="2" t="s">
        <v>2889</v>
      </c>
    </row>
    <row r="2890" spans="1:5" x14ac:dyDescent="0.25">
      <c r="A2890" s="1">
        <v>93243</v>
      </c>
      <c r="B2890" s="2">
        <v>150</v>
      </c>
      <c r="C2890" s="2">
        <v>93</v>
      </c>
      <c r="D2890" s="2">
        <v>111</v>
      </c>
      <c r="E2890" s="2" t="s">
        <v>2890</v>
      </c>
    </row>
    <row r="2891" spans="1:5" x14ac:dyDescent="0.25">
      <c r="A2891" s="1">
        <v>93244</v>
      </c>
      <c r="B2891" s="2">
        <v>151</v>
      </c>
      <c r="C2891" s="2">
        <v>93</v>
      </c>
      <c r="D2891" s="2">
        <v>137.4</v>
      </c>
      <c r="E2891" s="2" t="s">
        <v>2891</v>
      </c>
    </row>
    <row r="2892" spans="1:5" x14ac:dyDescent="0.25">
      <c r="A2892" s="1">
        <v>94228</v>
      </c>
      <c r="B2892" s="2">
        <v>134</v>
      </c>
      <c r="C2892" s="2">
        <v>94</v>
      </c>
      <c r="D2892" s="2">
        <v>1.1000000000000001</v>
      </c>
      <c r="E2892" s="2" t="s">
        <v>2892</v>
      </c>
    </row>
    <row r="2893" spans="1:5" x14ac:dyDescent="0.25">
      <c r="A2893" s="1">
        <v>94229</v>
      </c>
      <c r="B2893" s="2">
        <v>135</v>
      </c>
      <c r="C2893" s="2">
        <v>94</v>
      </c>
      <c r="D2893" s="2">
        <v>67</v>
      </c>
      <c r="E2893" s="2" t="s">
        <v>2893</v>
      </c>
    </row>
    <row r="2894" spans="1:5" x14ac:dyDescent="0.25">
      <c r="A2894" s="1">
        <v>94230</v>
      </c>
      <c r="B2894" s="2">
        <v>136</v>
      </c>
      <c r="C2894" s="2">
        <v>94</v>
      </c>
      <c r="D2894" s="2">
        <v>102</v>
      </c>
      <c r="E2894" s="2" t="s">
        <v>2894</v>
      </c>
    </row>
    <row r="2895" spans="1:5" x14ac:dyDescent="0.25">
      <c r="A2895" s="1">
        <v>94231</v>
      </c>
      <c r="B2895" s="2">
        <v>137</v>
      </c>
      <c r="C2895" s="2">
        <v>94</v>
      </c>
      <c r="D2895" s="2">
        <v>516</v>
      </c>
      <c r="E2895" s="2" t="s">
        <v>2895</v>
      </c>
    </row>
    <row r="2896" spans="1:5" x14ac:dyDescent="0.25">
      <c r="A2896" s="1">
        <v>94232</v>
      </c>
      <c r="B2896" s="2">
        <v>138</v>
      </c>
      <c r="C2896" s="2">
        <v>94</v>
      </c>
      <c r="D2896" s="2">
        <v>2027.99999999999</v>
      </c>
      <c r="E2896" s="2" t="s">
        <v>2896</v>
      </c>
    </row>
    <row r="2897" spans="1:5" x14ac:dyDescent="0.25">
      <c r="A2897" s="1">
        <v>94233</v>
      </c>
      <c r="B2897" s="2">
        <v>139</v>
      </c>
      <c r="C2897" s="2">
        <v>94</v>
      </c>
      <c r="D2897" s="2">
        <v>1254</v>
      </c>
      <c r="E2897" s="2" t="s">
        <v>2897</v>
      </c>
    </row>
    <row r="2898" spans="1:5" x14ac:dyDescent="0.25">
      <c r="A2898" s="1">
        <v>94234</v>
      </c>
      <c r="B2898" s="2">
        <v>140</v>
      </c>
      <c r="C2898" s="2">
        <v>94</v>
      </c>
      <c r="D2898" s="2">
        <v>31680</v>
      </c>
      <c r="E2898" s="2" t="s">
        <v>2898</v>
      </c>
    </row>
    <row r="2899" spans="1:5" x14ac:dyDescent="0.25">
      <c r="A2899" s="1">
        <v>94235</v>
      </c>
      <c r="B2899" s="2">
        <v>141</v>
      </c>
      <c r="C2899" s="2">
        <v>94</v>
      </c>
      <c r="D2899" s="2">
        <v>1518</v>
      </c>
      <c r="E2899" s="2" t="s">
        <v>2899</v>
      </c>
    </row>
    <row r="2900" spans="1:5" x14ac:dyDescent="0.25">
      <c r="A2900" s="1">
        <v>94236</v>
      </c>
      <c r="B2900" s="2">
        <v>142</v>
      </c>
      <c r="C2900" s="2">
        <v>94</v>
      </c>
      <c r="D2900" s="2">
        <v>90191620.799999997</v>
      </c>
      <c r="E2900" s="2" t="s">
        <v>2900</v>
      </c>
    </row>
    <row r="2901" spans="1:5" x14ac:dyDescent="0.25">
      <c r="A2901" s="1">
        <v>94237</v>
      </c>
      <c r="B2901" s="2">
        <v>143</v>
      </c>
      <c r="C2901" s="2">
        <v>94</v>
      </c>
      <c r="D2901" s="2">
        <v>3943296</v>
      </c>
      <c r="E2901" s="2" t="s">
        <v>2901</v>
      </c>
    </row>
    <row r="2902" spans="1:5" x14ac:dyDescent="0.25">
      <c r="A2902" s="1">
        <v>94238</v>
      </c>
      <c r="B2902" s="2">
        <v>144</v>
      </c>
      <c r="C2902" s="2">
        <v>94</v>
      </c>
      <c r="D2902" s="2">
        <v>2767601520</v>
      </c>
      <c r="E2902" s="2" t="s">
        <v>2902</v>
      </c>
    </row>
    <row r="2903" spans="1:5" x14ac:dyDescent="0.25">
      <c r="A2903" s="1">
        <v>94239</v>
      </c>
      <c r="B2903" s="2">
        <v>145</v>
      </c>
      <c r="C2903" s="2">
        <v>94</v>
      </c>
      <c r="D2903" s="2">
        <v>760853736000</v>
      </c>
      <c r="E2903" s="2" t="s">
        <v>2903</v>
      </c>
    </row>
    <row r="2904" spans="1:5" x14ac:dyDescent="0.25">
      <c r="A2904" s="1">
        <v>94240</v>
      </c>
      <c r="B2904" s="2">
        <v>146</v>
      </c>
      <c r="C2904" s="2">
        <v>94</v>
      </c>
      <c r="D2904" s="2">
        <v>207049413600</v>
      </c>
      <c r="E2904" s="2" t="s">
        <v>2904</v>
      </c>
    </row>
    <row r="2905" spans="1:5" x14ac:dyDescent="0.25">
      <c r="A2905" s="1">
        <v>94241</v>
      </c>
      <c r="B2905" s="2">
        <v>147</v>
      </c>
      <c r="C2905" s="2">
        <v>94</v>
      </c>
      <c r="D2905" s="2">
        <v>452188850.39999998</v>
      </c>
      <c r="E2905" s="2" t="s">
        <v>2905</v>
      </c>
    </row>
    <row r="2906" spans="1:5" x14ac:dyDescent="0.25">
      <c r="A2906" s="1">
        <v>94242</v>
      </c>
      <c r="B2906" s="2">
        <v>148</v>
      </c>
      <c r="C2906" s="2">
        <v>94</v>
      </c>
      <c r="D2906" s="2">
        <v>11834100000000</v>
      </c>
      <c r="E2906" s="2" t="s">
        <v>2906</v>
      </c>
    </row>
    <row r="2907" spans="1:5" x14ac:dyDescent="0.25">
      <c r="A2907" s="1">
        <v>94243</v>
      </c>
      <c r="B2907" s="2">
        <v>149</v>
      </c>
      <c r="C2907" s="2">
        <v>94</v>
      </c>
      <c r="D2907" s="2">
        <v>17841.599999999999</v>
      </c>
      <c r="E2907" s="2" t="s">
        <v>2907</v>
      </c>
    </row>
    <row r="2908" spans="1:5" x14ac:dyDescent="0.25">
      <c r="A2908" s="1">
        <v>94244</v>
      </c>
      <c r="B2908" s="2">
        <v>150</v>
      </c>
      <c r="C2908" s="2">
        <v>94</v>
      </c>
      <c r="D2908" s="2">
        <v>2524608000000000</v>
      </c>
      <c r="E2908" s="2" t="s">
        <v>2908</v>
      </c>
    </row>
    <row r="2909" spans="1:5" x14ac:dyDescent="0.25">
      <c r="A2909" s="1">
        <v>94245</v>
      </c>
      <c r="B2909" s="2">
        <v>151</v>
      </c>
      <c r="C2909" s="2">
        <v>94</v>
      </c>
      <c r="D2909" s="2">
        <v>37800</v>
      </c>
      <c r="E2909" s="2" t="s">
        <v>2909</v>
      </c>
    </row>
    <row r="2910" spans="1:5" x14ac:dyDescent="0.25">
      <c r="A2910" s="1">
        <v>94246</v>
      </c>
      <c r="B2910" s="2">
        <v>152</v>
      </c>
      <c r="C2910" s="2">
        <v>94</v>
      </c>
      <c r="D2910" s="2">
        <v>936576</v>
      </c>
      <c r="E2910" s="2" t="s">
        <v>2910</v>
      </c>
    </row>
    <row r="2911" spans="1:5" x14ac:dyDescent="0.25">
      <c r="A2911" s="1">
        <v>94247</v>
      </c>
      <c r="B2911" s="2">
        <v>153</v>
      </c>
      <c r="C2911" s="2">
        <v>94</v>
      </c>
      <c r="D2911" s="2">
        <v>196128</v>
      </c>
      <c r="E2911" s="2" t="s">
        <v>2911</v>
      </c>
    </row>
    <row r="2912" spans="1:5" x14ac:dyDescent="0.25">
      <c r="A2912" s="1">
        <v>95230</v>
      </c>
      <c r="B2912" s="2">
        <v>135</v>
      </c>
      <c r="C2912" s="2">
        <v>95</v>
      </c>
      <c r="D2912" s="2">
        <v>17</v>
      </c>
      <c r="E2912" s="2" t="s">
        <v>2912</v>
      </c>
    </row>
    <row r="2913" spans="1:5" x14ac:dyDescent="0.25">
      <c r="A2913" s="1">
        <v>95232</v>
      </c>
      <c r="B2913" s="2">
        <v>137</v>
      </c>
      <c r="C2913" s="2">
        <v>95</v>
      </c>
      <c r="D2913" s="2">
        <v>79</v>
      </c>
      <c r="E2913" s="2" t="s">
        <v>2913</v>
      </c>
    </row>
    <row r="2914" spans="1:5" x14ac:dyDescent="0.25">
      <c r="A2914" s="1">
        <v>95233</v>
      </c>
      <c r="B2914" s="2">
        <v>138</v>
      </c>
      <c r="C2914" s="2">
        <v>95</v>
      </c>
      <c r="D2914" s="2">
        <v>192</v>
      </c>
      <c r="E2914" s="2" t="s">
        <v>2914</v>
      </c>
    </row>
    <row r="2915" spans="1:5" x14ac:dyDescent="0.25">
      <c r="A2915" s="1">
        <v>95234</v>
      </c>
      <c r="B2915" s="2">
        <v>139</v>
      </c>
      <c r="C2915" s="2">
        <v>95</v>
      </c>
      <c r="D2915" s="2">
        <v>139.19999999999999</v>
      </c>
      <c r="E2915" s="2" t="s">
        <v>2915</v>
      </c>
    </row>
    <row r="2916" spans="1:5" x14ac:dyDescent="0.25">
      <c r="A2916" s="1">
        <v>95235</v>
      </c>
      <c r="B2916" s="2">
        <v>140</v>
      </c>
      <c r="C2916" s="2">
        <v>95</v>
      </c>
      <c r="D2916" s="2">
        <v>618</v>
      </c>
      <c r="E2916" s="2" t="s">
        <v>2916</v>
      </c>
    </row>
    <row r="2917" spans="1:5" x14ac:dyDescent="0.25">
      <c r="A2917" s="1">
        <v>95236</v>
      </c>
      <c r="B2917" s="2">
        <v>141</v>
      </c>
      <c r="C2917" s="2">
        <v>95</v>
      </c>
      <c r="D2917" s="2">
        <v>216</v>
      </c>
      <c r="E2917" s="2" t="s">
        <v>2917</v>
      </c>
    </row>
    <row r="2918" spans="1:5" x14ac:dyDescent="0.25">
      <c r="A2918" s="1">
        <v>95237</v>
      </c>
      <c r="B2918" s="2">
        <v>142</v>
      </c>
      <c r="C2918" s="2">
        <v>95</v>
      </c>
      <c r="D2918" s="2">
        <v>4416</v>
      </c>
      <c r="E2918" s="2" t="s">
        <v>2918</v>
      </c>
    </row>
    <row r="2919" spans="1:5" x14ac:dyDescent="0.25">
      <c r="A2919" s="1">
        <v>95238</v>
      </c>
      <c r="B2919" s="2">
        <v>143</v>
      </c>
      <c r="C2919" s="2">
        <v>95</v>
      </c>
      <c r="D2919" s="2">
        <v>5880</v>
      </c>
      <c r="E2919" s="2" t="s">
        <v>2919</v>
      </c>
    </row>
    <row r="2920" spans="1:5" x14ac:dyDescent="0.25">
      <c r="A2920" s="1">
        <v>95239</v>
      </c>
      <c r="B2920" s="2">
        <v>144</v>
      </c>
      <c r="C2920" s="2">
        <v>95</v>
      </c>
      <c r="D2920" s="2">
        <v>42840</v>
      </c>
      <c r="E2920" s="2" t="s">
        <v>2920</v>
      </c>
    </row>
    <row r="2921" spans="1:5" x14ac:dyDescent="0.25">
      <c r="A2921" s="1">
        <v>95240</v>
      </c>
      <c r="B2921" s="2">
        <v>145</v>
      </c>
      <c r="C2921" s="2">
        <v>95</v>
      </c>
      <c r="D2921" s="2">
        <v>182880</v>
      </c>
      <c r="E2921" s="2" t="s">
        <v>2921</v>
      </c>
    </row>
    <row r="2922" spans="1:5" x14ac:dyDescent="0.25">
      <c r="A2922" s="1">
        <v>95241</v>
      </c>
      <c r="B2922" s="2">
        <v>146</v>
      </c>
      <c r="C2922" s="2">
        <v>95</v>
      </c>
      <c r="D2922" s="2">
        <v>13651817760</v>
      </c>
      <c r="E2922" s="2" t="s">
        <v>2922</v>
      </c>
    </row>
    <row r="2923" spans="1:5" x14ac:dyDescent="0.25">
      <c r="A2923" s="1">
        <v>95242</v>
      </c>
      <c r="B2923" s="2">
        <v>147</v>
      </c>
      <c r="C2923" s="2">
        <v>95</v>
      </c>
      <c r="D2923" s="2">
        <v>57672</v>
      </c>
      <c r="E2923" s="2" t="s">
        <v>2923</v>
      </c>
    </row>
    <row r="2924" spans="1:5" x14ac:dyDescent="0.25">
      <c r="A2924" s="1">
        <v>95243</v>
      </c>
      <c r="B2924" s="2">
        <v>148</v>
      </c>
      <c r="C2924" s="2">
        <v>95</v>
      </c>
      <c r="D2924" s="2">
        <v>232390166400</v>
      </c>
      <c r="E2924" s="2" t="s">
        <v>2924</v>
      </c>
    </row>
    <row r="2925" spans="1:5" x14ac:dyDescent="0.25">
      <c r="A2925" s="1">
        <v>95244</v>
      </c>
      <c r="B2925" s="2">
        <v>149</v>
      </c>
      <c r="C2925" s="2">
        <v>95</v>
      </c>
      <c r="D2925" s="2">
        <v>36360</v>
      </c>
      <c r="E2925" s="2" t="s">
        <v>2925</v>
      </c>
    </row>
    <row r="2926" spans="1:5" x14ac:dyDescent="0.25">
      <c r="A2926" s="1">
        <v>95245</v>
      </c>
      <c r="B2926" s="2">
        <v>150</v>
      </c>
      <c r="C2926" s="2">
        <v>95</v>
      </c>
      <c r="D2926" s="2">
        <v>7379.99999999999</v>
      </c>
      <c r="E2926" s="2" t="s">
        <v>2926</v>
      </c>
    </row>
    <row r="2927" spans="1:5" x14ac:dyDescent="0.25">
      <c r="A2927" s="1">
        <v>95246</v>
      </c>
      <c r="B2927" s="2">
        <v>151</v>
      </c>
      <c r="C2927" s="2">
        <v>95</v>
      </c>
      <c r="D2927" s="2">
        <v>2340</v>
      </c>
      <c r="E2927" s="2" t="s">
        <v>2927</v>
      </c>
    </row>
    <row r="2928" spans="1:5" x14ac:dyDescent="0.25">
      <c r="A2928" s="1">
        <v>95247</v>
      </c>
      <c r="B2928" s="2">
        <v>152</v>
      </c>
      <c r="C2928" s="2">
        <v>95</v>
      </c>
      <c r="D2928" s="2">
        <v>1380</v>
      </c>
      <c r="E2928" s="2" t="s">
        <v>2928</v>
      </c>
    </row>
    <row r="2929" spans="1:5" x14ac:dyDescent="0.25">
      <c r="A2929" s="1">
        <v>95248</v>
      </c>
      <c r="B2929" s="2">
        <v>153</v>
      </c>
      <c r="C2929" s="2">
        <v>95</v>
      </c>
      <c r="D2929" s="2">
        <v>600</v>
      </c>
      <c r="E2929" s="2" t="s">
        <v>2929</v>
      </c>
    </row>
    <row r="2930" spans="1:5" x14ac:dyDescent="0.25">
      <c r="A2930" s="1">
        <v>96233</v>
      </c>
      <c r="B2930" s="2">
        <v>137</v>
      </c>
      <c r="C2930" s="2">
        <v>96</v>
      </c>
      <c r="D2930" s="2">
        <v>23</v>
      </c>
      <c r="E2930" s="2" t="s">
        <v>2930</v>
      </c>
    </row>
    <row r="2931" spans="1:5" x14ac:dyDescent="0.25">
      <c r="A2931" s="1">
        <v>96234</v>
      </c>
      <c r="B2931" s="2">
        <v>138</v>
      </c>
      <c r="C2931" s="2">
        <v>96</v>
      </c>
      <c r="D2931" s="2">
        <v>51</v>
      </c>
      <c r="E2931" s="2" t="s">
        <v>2931</v>
      </c>
    </row>
    <row r="2932" spans="1:5" x14ac:dyDescent="0.25">
      <c r="A2932" s="1">
        <v>96238</v>
      </c>
      <c r="B2932" s="2">
        <v>142</v>
      </c>
      <c r="C2932" s="2">
        <v>96</v>
      </c>
      <c r="D2932" s="2">
        <v>7920</v>
      </c>
      <c r="E2932" s="2" t="s">
        <v>2932</v>
      </c>
    </row>
    <row r="2933" spans="1:5" x14ac:dyDescent="0.25">
      <c r="A2933" s="1">
        <v>96239</v>
      </c>
      <c r="B2933" s="2">
        <v>143</v>
      </c>
      <c r="C2933" s="2">
        <v>96</v>
      </c>
      <c r="D2933" s="2">
        <v>9720</v>
      </c>
      <c r="E2933" s="2" t="s">
        <v>2933</v>
      </c>
    </row>
    <row r="2934" spans="1:5" x14ac:dyDescent="0.25">
      <c r="A2934" s="1">
        <v>96240</v>
      </c>
      <c r="B2934" s="2">
        <v>144</v>
      </c>
      <c r="C2934" s="2">
        <v>96</v>
      </c>
      <c r="D2934" s="2">
        <v>2332800</v>
      </c>
      <c r="E2934" s="2" t="s">
        <v>2934</v>
      </c>
    </row>
    <row r="2935" spans="1:5" x14ac:dyDescent="0.25">
      <c r="A2935" s="1">
        <v>96241</v>
      </c>
      <c r="B2935" s="2">
        <v>145</v>
      </c>
      <c r="C2935" s="2">
        <v>96</v>
      </c>
      <c r="D2935" s="2">
        <v>2833919.9999999902</v>
      </c>
      <c r="E2935" s="2" t="s">
        <v>2935</v>
      </c>
    </row>
    <row r="2936" spans="1:5" x14ac:dyDescent="0.25">
      <c r="A2936" s="1">
        <v>96242</v>
      </c>
      <c r="B2936" s="2">
        <v>146</v>
      </c>
      <c r="C2936" s="2">
        <v>96</v>
      </c>
      <c r="D2936" s="2">
        <v>14065920</v>
      </c>
      <c r="E2936" s="2" t="s">
        <v>2936</v>
      </c>
    </row>
    <row r="2937" spans="1:5" x14ac:dyDescent="0.25">
      <c r="A2937" s="1">
        <v>96243</v>
      </c>
      <c r="B2937" s="2">
        <v>147</v>
      </c>
      <c r="C2937" s="2">
        <v>96</v>
      </c>
      <c r="D2937" s="2">
        <v>918326160</v>
      </c>
      <c r="E2937" s="2" t="s">
        <v>2937</v>
      </c>
    </row>
    <row r="2938" spans="1:5" x14ac:dyDescent="0.25">
      <c r="A2938" s="1">
        <v>96244</v>
      </c>
      <c r="B2938" s="2">
        <v>148</v>
      </c>
      <c r="C2938" s="2">
        <v>96</v>
      </c>
      <c r="D2938" s="2">
        <v>571192560</v>
      </c>
      <c r="E2938" s="2" t="s">
        <v>2938</v>
      </c>
    </row>
    <row r="2939" spans="1:5" x14ac:dyDescent="0.25">
      <c r="A2939" s="1">
        <v>96245</v>
      </c>
      <c r="B2939" s="2">
        <v>149</v>
      </c>
      <c r="C2939" s="2">
        <v>96</v>
      </c>
      <c r="D2939" s="2">
        <v>265809664800</v>
      </c>
      <c r="E2939" s="2" t="s">
        <v>2939</v>
      </c>
    </row>
    <row r="2940" spans="1:5" x14ac:dyDescent="0.25">
      <c r="A2940" s="1">
        <v>96246</v>
      </c>
      <c r="B2940" s="2">
        <v>150</v>
      </c>
      <c r="C2940" s="2">
        <v>96</v>
      </c>
      <c r="D2940" s="2">
        <v>148510065600</v>
      </c>
      <c r="E2940" s="2" t="s">
        <v>2940</v>
      </c>
    </row>
    <row r="2941" spans="1:5" x14ac:dyDescent="0.25">
      <c r="A2941" s="1">
        <v>96247</v>
      </c>
      <c r="B2941" s="2">
        <v>151</v>
      </c>
      <c r="C2941" s="2">
        <v>96</v>
      </c>
      <c r="D2941" s="2">
        <v>492298560000000</v>
      </c>
      <c r="E2941" s="2" t="s">
        <v>2941</v>
      </c>
    </row>
    <row r="2942" spans="1:5" x14ac:dyDescent="0.25">
      <c r="A2942" s="1">
        <v>96248</v>
      </c>
      <c r="B2942" s="2">
        <v>152</v>
      </c>
      <c r="C2942" s="2">
        <v>96</v>
      </c>
      <c r="D2942" s="2">
        <v>10982044800000</v>
      </c>
      <c r="E2942" s="2" t="s">
        <v>2942</v>
      </c>
    </row>
    <row r="2943" spans="1:5" x14ac:dyDescent="0.25">
      <c r="A2943" s="1">
        <v>96249</v>
      </c>
      <c r="B2943" s="2">
        <v>153</v>
      </c>
      <c r="C2943" s="2">
        <v>96</v>
      </c>
      <c r="D2943" s="2">
        <v>3849</v>
      </c>
      <c r="E2943" s="2" t="s">
        <v>2943</v>
      </c>
    </row>
    <row r="2944" spans="1:5" x14ac:dyDescent="0.25">
      <c r="A2944" s="1">
        <v>96250</v>
      </c>
      <c r="B2944" s="2">
        <v>154</v>
      </c>
      <c r="C2944" s="2">
        <v>96</v>
      </c>
      <c r="D2944" s="2">
        <v>261928080000</v>
      </c>
      <c r="E2944" s="2" t="s">
        <v>2944</v>
      </c>
    </row>
    <row r="2945" spans="1:5" x14ac:dyDescent="0.25">
      <c r="A2945" s="1">
        <v>96251</v>
      </c>
      <c r="B2945" s="2">
        <v>155</v>
      </c>
      <c r="C2945" s="2">
        <v>96</v>
      </c>
      <c r="D2945" s="2">
        <v>1008</v>
      </c>
      <c r="E2945" s="2" t="s">
        <v>2945</v>
      </c>
    </row>
    <row r="2946" spans="1:5" x14ac:dyDescent="0.25">
      <c r="A2946" s="1">
        <v>97234</v>
      </c>
      <c r="B2946" s="2">
        <v>137</v>
      </c>
      <c r="C2946" s="2">
        <v>97</v>
      </c>
      <c r="D2946" s="2">
        <v>140</v>
      </c>
      <c r="E2946" s="2" t="s">
        <v>2946</v>
      </c>
    </row>
    <row r="2947" spans="1:5" x14ac:dyDescent="0.25">
      <c r="A2947" s="1">
        <v>97237</v>
      </c>
      <c r="B2947" s="2">
        <v>140</v>
      </c>
      <c r="C2947" s="2">
        <v>97</v>
      </c>
      <c r="D2947" s="2">
        <v>60</v>
      </c>
      <c r="E2947" s="2" t="s">
        <v>2947</v>
      </c>
    </row>
    <row r="2948" spans="1:5" x14ac:dyDescent="0.25">
      <c r="A2948" s="1">
        <v>97238</v>
      </c>
      <c r="B2948" s="2">
        <v>141</v>
      </c>
      <c r="C2948" s="2">
        <v>97</v>
      </c>
      <c r="D2948" s="2">
        <v>144</v>
      </c>
      <c r="E2948" s="2" t="s">
        <v>2948</v>
      </c>
    </row>
    <row r="2949" spans="1:5" x14ac:dyDescent="0.25">
      <c r="A2949" s="1">
        <v>97240</v>
      </c>
      <c r="B2949" s="2">
        <v>143</v>
      </c>
      <c r="C2949" s="2">
        <v>97</v>
      </c>
      <c r="D2949" s="2">
        <v>288</v>
      </c>
      <c r="E2949" s="2" t="s">
        <v>2949</v>
      </c>
    </row>
    <row r="2950" spans="1:5" x14ac:dyDescent="0.25">
      <c r="A2950" s="1">
        <v>97241</v>
      </c>
      <c r="B2950" s="2">
        <v>144</v>
      </c>
      <c r="C2950" s="2">
        <v>97</v>
      </c>
      <c r="D2950" s="2">
        <v>276</v>
      </c>
      <c r="E2950" s="2" t="s">
        <v>2950</v>
      </c>
    </row>
    <row r="2951" spans="1:5" x14ac:dyDescent="0.25">
      <c r="A2951" s="1">
        <v>97242</v>
      </c>
      <c r="B2951" s="2">
        <v>145</v>
      </c>
      <c r="C2951" s="2">
        <v>97</v>
      </c>
      <c r="D2951" s="2">
        <v>420</v>
      </c>
      <c r="E2951" s="2" t="s">
        <v>2951</v>
      </c>
    </row>
    <row r="2952" spans="1:5" x14ac:dyDescent="0.25">
      <c r="A2952" s="1">
        <v>97243</v>
      </c>
      <c r="B2952" s="2">
        <v>146</v>
      </c>
      <c r="C2952" s="2">
        <v>97</v>
      </c>
      <c r="D2952" s="2">
        <v>16200</v>
      </c>
      <c r="E2952" s="2" t="s">
        <v>2952</v>
      </c>
    </row>
    <row r="2953" spans="1:5" x14ac:dyDescent="0.25">
      <c r="A2953" s="1">
        <v>97244</v>
      </c>
      <c r="B2953" s="2">
        <v>147</v>
      </c>
      <c r="C2953" s="2">
        <v>97</v>
      </c>
      <c r="D2953" s="2">
        <v>15659.9999999999</v>
      </c>
      <c r="E2953" s="2" t="s">
        <v>2953</v>
      </c>
    </row>
    <row r="2954" spans="1:5" x14ac:dyDescent="0.25">
      <c r="A2954" s="1">
        <v>97245</v>
      </c>
      <c r="B2954" s="2">
        <v>148</v>
      </c>
      <c r="C2954" s="2">
        <v>97</v>
      </c>
      <c r="D2954" s="2">
        <v>427680</v>
      </c>
      <c r="E2954" s="2" t="s">
        <v>2954</v>
      </c>
    </row>
    <row r="2955" spans="1:5" x14ac:dyDescent="0.25">
      <c r="A2955" s="1">
        <v>97246</v>
      </c>
      <c r="B2955" s="2">
        <v>149</v>
      </c>
      <c r="C2955" s="2">
        <v>97</v>
      </c>
      <c r="D2955" s="2">
        <v>155520</v>
      </c>
      <c r="E2955" s="2" t="s">
        <v>2955</v>
      </c>
    </row>
    <row r="2956" spans="1:5" x14ac:dyDescent="0.25">
      <c r="A2956" s="1">
        <v>97247</v>
      </c>
      <c r="B2956" s="2">
        <v>150</v>
      </c>
      <c r="C2956" s="2">
        <v>97</v>
      </c>
      <c r="D2956" s="2">
        <v>43549488000</v>
      </c>
      <c r="E2956" s="2" t="s">
        <v>2956</v>
      </c>
    </row>
    <row r="2957" spans="1:5" x14ac:dyDescent="0.25">
      <c r="A2957" s="1">
        <v>97248</v>
      </c>
      <c r="B2957" s="2">
        <v>151</v>
      </c>
      <c r="C2957" s="2">
        <v>97</v>
      </c>
      <c r="D2957" s="2">
        <v>284018400</v>
      </c>
      <c r="E2957" s="2" t="s">
        <v>2957</v>
      </c>
    </row>
    <row r="2958" spans="1:5" x14ac:dyDescent="0.25">
      <c r="A2958" s="1">
        <v>97249</v>
      </c>
      <c r="B2958" s="2">
        <v>152</v>
      </c>
      <c r="C2958" s="2">
        <v>97</v>
      </c>
      <c r="D2958" s="2">
        <v>28512000</v>
      </c>
      <c r="E2958" s="2" t="s">
        <v>2958</v>
      </c>
    </row>
    <row r="2959" spans="1:5" x14ac:dyDescent="0.25">
      <c r="A2959" s="1">
        <v>97250</v>
      </c>
      <c r="B2959" s="2">
        <v>153</v>
      </c>
      <c r="C2959" s="2">
        <v>97</v>
      </c>
      <c r="D2959" s="2">
        <v>11563.2</v>
      </c>
      <c r="E2959" s="2" t="s">
        <v>2959</v>
      </c>
    </row>
    <row r="2960" spans="1:5" x14ac:dyDescent="0.25">
      <c r="A2960" s="1">
        <v>97251</v>
      </c>
      <c r="B2960" s="2">
        <v>154</v>
      </c>
      <c r="C2960" s="2">
        <v>97</v>
      </c>
      <c r="D2960" s="2">
        <v>3336</v>
      </c>
      <c r="E2960" s="2" t="s">
        <v>2960</v>
      </c>
    </row>
    <row r="2961" spans="1:5" x14ac:dyDescent="0.25">
      <c r="A2961" s="1">
        <v>97253</v>
      </c>
      <c r="B2961" s="2">
        <v>156</v>
      </c>
      <c r="C2961" s="2">
        <v>97</v>
      </c>
      <c r="D2961" s="2">
        <v>600</v>
      </c>
      <c r="E2961" s="2" t="s">
        <v>2961</v>
      </c>
    </row>
    <row r="2962" spans="1:5" x14ac:dyDescent="0.25">
      <c r="A2962" s="1">
        <v>98237</v>
      </c>
      <c r="B2962" s="2">
        <v>139</v>
      </c>
      <c r="C2962" s="2">
        <v>98</v>
      </c>
      <c r="D2962" s="2">
        <v>0.8</v>
      </c>
      <c r="E2962" s="2" t="s">
        <v>2962</v>
      </c>
    </row>
    <row r="2963" spans="1:5" x14ac:dyDescent="0.25">
      <c r="A2963" s="1">
        <v>98238</v>
      </c>
      <c r="B2963" s="2">
        <v>140</v>
      </c>
      <c r="C2963" s="2">
        <v>98</v>
      </c>
      <c r="D2963" s="2">
        <v>2.1100000000000001E-2</v>
      </c>
      <c r="E2963" s="2" t="s">
        <v>2963</v>
      </c>
    </row>
    <row r="2964" spans="1:5" x14ac:dyDescent="0.25">
      <c r="A2964" s="1">
        <v>98239</v>
      </c>
      <c r="B2964" s="2">
        <v>141</v>
      </c>
      <c r="C2964" s="2">
        <v>98</v>
      </c>
      <c r="D2964" s="2">
        <v>39</v>
      </c>
      <c r="E2964" s="2" t="s">
        <v>2964</v>
      </c>
    </row>
    <row r="2965" spans="1:5" x14ac:dyDescent="0.25">
      <c r="A2965" s="1">
        <v>98240</v>
      </c>
      <c r="B2965" s="2">
        <v>142</v>
      </c>
      <c r="C2965" s="2">
        <v>98</v>
      </c>
      <c r="D2965" s="2">
        <v>64</v>
      </c>
      <c r="E2965" s="2" t="s">
        <v>2965</v>
      </c>
    </row>
    <row r="2966" spans="1:5" x14ac:dyDescent="0.25">
      <c r="A2966" s="1">
        <v>98241</v>
      </c>
      <c r="B2966" s="2">
        <v>143</v>
      </c>
      <c r="C2966" s="2">
        <v>98</v>
      </c>
      <c r="D2966" s="2">
        <v>226.79999999999899</v>
      </c>
      <c r="E2966" s="2" t="s">
        <v>2966</v>
      </c>
    </row>
    <row r="2967" spans="1:5" x14ac:dyDescent="0.25">
      <c r="A2967" s="1">
        <v>98242</v>
      </c>
      <c r="B2967" s="2">
        <v>144</v>
      </c>
      <c r="C2967" s="2">
        <v>98</v>
      </c>
      <c r="D2967" s="2">
        <v>209.4</v>
      </c>
      <c r="E2967" s="2" t="s">
        <v>2967</v>
      </c>
    </row>
    <row r="2968" spans="1:5" x14ac:dyDescent="0.25">
      <c r="A2968" s="1">
        <v>98243</v>
      </c>
      <c r="B2968" s="2">
        <v>145</v>
      </c>
      <c r="C2968" s="2">
        <v>98</v>
      </c>
      <c r="D2968" s="2">
        <v>642</v>
      </c>
      <c r="E2968" s="2" t="s">
        <v>2968</v>
      </c>
    </row>
    <row r="2969" spans="1:5" x14ac:dyDescent="0.25">
      <c r="A2969" s="1">
        <v>98244</v>
      </c>
      <c r="B2969" s="2">
        <v>146</v>
      </c>
      <c r="C2969" s="2">
        <v>98</v>
      </c>
      <c r="D2969" s="2">
        <v>1164</v>
      </c>
      <c r="E2969" s="2" t="s">
        <v>2969</v>
      </c>
    </row>
    <row r="2970" spans="1:5" x14ac:dyDescent="0.25">
      <c r="A2970" s="1">
        <v>98245</v>
      </c>
      <c r="B2970" s="2">
        <v>147</v>
      </c>
      <c r="C2970" s="2">
        <v>98</v>
      </c>
      <c r="D2970" s="2">
        <v>2700</v>
      </c>
      <c r="E2970" s="2" t="s">
        <v>2970</v>
      </c>
    </row>
    <row r="2971" spans="1:5" x14ac:dyDescent="0.25">
      <c r="A2971" s="1">
        <v>98246</v>
      </c>
      <c r="B2971" s="2">
        <v>148</v>
      </c>
      <c r="C2971" s="2">
        <v>98</v>
      </c>
      <c r="D2971" s="2">
        <v>128520</v>
      </c>
      <c r="E2971" s="2" t="s">
        <v>2971</v>
      </c>
    </row>
    <row r="2972" spans="1:5" x14ac:dyDescent="0.25">
      <c r="A2972" s="1">
        <v>98247</v>
      </c>
      <c r="B2972" s="2">
        <v>149</v>
      </c>
      <c r="C2972" s="2">
        <v>98</v>
      </c>
      <c r="D2972" s="2">
        <v>11196</v>
      </c>
      <c r="E2972" s="2" t="s">
        <v>2972</v>
      </c>
    </row>
    <row r="2973" spans="1:5" x14ac:dyDescent="0.25">
      <c r="A2973" s="1">
        <v>98248</v>
      </c>
      <c r="B2973" s="2">
        <v>150</v>
      </c>
      <c r="C2973" s="2">
        <v>98</v>
      </c>
      <c r="D2973" s="2">
        <v>28814400</v>
      </c>
      <c r="E2973" s="2" t="s">
        <v>2973</v>
      </c>
    </row>
    <row r="2974" spans="1:5" x14ac:dyDescent="0.25">
      <c r="A2974" s="1">
        <v>98249</v>
      </c>
      <c r="B2974" s="2">
        <v>151</v>
      </c>
      <c r="C2974" s="2">
        <v>98</v>
      </c>
      <c r="D2974" s="2">
        <v>11076717600</v>
      </c>
      <c r="E2974" s="2" t="s">
        <v>2974</v>
      </c>
    </row>
    <row r="2975" spans="1:5" x14ac:dyDescent="0.25">
      <c r="A2975" s="1">
        <v>98250</v>
      </c>
      <c r="B2975" s="2">
        <v>152</v>
      </c>
      <c r="C2975" s="2">
        <v>98</v>
      </c>
      <c r="D2975" s="2">
        <v>412773408</v>
      </c>
      <c r="E2975" s="2" t="s">
        <v>2975</v>
      </c>
    </row>
    <row r="2976" spans="1:5" x14ac:dyDescent="0.25">
      <c r="A2976" s="1">
        <v>98251</v>
      </c>
      <c r="B2976" s="2">
        <v>153</v>
      </c>
      <c r="C2976" s="2">
        <v>98</v>
      </c>
      <c r="D2976" s="2">
        <v>28338724800</v>
      </c>
      <c r="E2976" s="2" t="s">
        <v>2976</v>
      </c>
    </row>
    <row r="2977" spans="1:5" x14ac:dyDescent="0.25">
      <c r="A2977" s="1">
        <v>98252</v>
      </c>
      <c r="B2977" s="2">
        <v>154</v>
      </c>
      <c r="C2977" s="2">
        <v>98</v>
      </c>
      <c r="D2977" s="2">
        <v>83469852</v>
      </c>
      <c r="E2977" s="2" t="s">
        <v>2977</v>
      </c>
    </row>
    <row r="2978" spans="1:5" x14ac:dyDescent="0.25">
      <c r="A2978" s="1">
        <v>98253</v>
      </c>
      <c r="B2978" s="2">
        <v>155</v>
      </c>
      <c r="C2978" s="2">
        <v>98</v>
      </c>
      <c r="D2978" s="2">
        <v>1538784</v>
      </c>
      <c r="E2978" s="2" t="s">
        <v>2978</v>
      </c>
    </row>
    <row r="2979" spans="1:5" x14ac:dyDescent="0.25">
      <c r="A2979" s="1">
        <v>98254</v>
      </c>
      <c r="B2979" s="2">
        <v>156</v>
      </c>
      <c r="C2979" s="2">
        <v>98</v>
      </c>
      <c r="D2979" s="2">
        <v>5227200</v>
      </c>
      <c r="E2979" s="2" t="s">
        <v>2979</v>
      </c>
    </row>
    <row r="2980" spans="1:5" x14ac:dyDescent="0.25">
      <c r="A2980" s="1">
        <v>98255</v>
      </c>
      <c r="B2980" s="2">
        <v>157</v>
      </c>
      <c r="C2980" s="2">
        <v>98</v>
      </c>
      <c r="D2980" s="2">
        <v>5100</v>
      </c>
      <c r="E2980" s="2" t="s">
        <v>2980</v>
      </c>
    </row>
    <row r="2981" spans="1:5" x14ac:dyDescent="0.25">
      <c r="A2981" s="1">
        <v>98256</v>
      </c>
      <c r="B2981" s="2">
        <v>158</v>
      </c>
      <c r="C2981" s="2">
        <v>98</v>
      </c>
      <c r="D2981" s="2">
        <v>738</v>
      </c>
      <c r="E2981" s="2" t="s">
        <v>2981</v>
      </c>
    </row>
    <row r="2982" spans="1:5" x14ac:dyDescent="0.25">
      <c r="A2982" s="1">
        <v>99241</v>
      </c>
      <c r="B2982" s="2">
        <v>142</v>
      </c>
      <c r="C2982" s="2">
        <v>99</v>
      </c>
      <c r="D2982" s="2">
        <v>8</v>
      </c>
      <c r="E2982" s="2" t="s">
        <v>2982</v>
      </c>
    </row>
    <row r="2983" spans="1:5" x14ac:dyDescent="0.25">
      <c r="A2983" s="1">
        <v>99242</v>
      </c>
      <c r="B2983" s="2">
        <v>143</v>
      </c>
      <c r="C2983" s="2">
        <v>99</v>
      </c>
      <c r="D2983" s="2">
        <v>17.8</v>
      </c>
      <c r="E2983" s="2" t="s">
        <v>2983</v>
      </c>
    </row>
    <row r="2984" spans="1:5" x14ac:dyDescent="0.25">
      <c r="A2984" s="1">
        <v>99243</v>
      </c>
      <c r="B2984" s="2">
        <v>144</v>
      </c>
      <c r="C2984" s="2">
        <v>99</v>
      </c>
      <c r="D2984" s="2">
        <v>21</v>
      </c>
      <c r="E2984" s="2" t="s">
        <v>2984</v>
      </c>
    </row>
    <row r="2985" spans="1:5" x14ac:dyDescent="0.25">
      <c r="A2985" s="1">
        <v>99244</v>
      </c>
      <c r="B2985" s="2">
        <v>145</v>
      </c>
      <c r="C2985" s="2">
        <v>99</v>
      </c>
      <c r="D2985" s="2">
        <v>37</v>
      </c>
      <c r="E2985" s="2" t="s">
        <v>2985</v>
      </c>
    </row>
    <row r="2986" spans="1:5" x14ac:dyDescent="0.25">
      <c r="A2986" s="1">
        <v>99245</v>
      </c>
      <c r="B2986" s="2">
        <v>146</v>
      </c>
      <c r="C2986" s="2">
        <v>99</v>
      </c>
      <c r="D2986" s="2">
        <v>66</v>
      </c>
      <c r="E2986" s="2" t="s">
        <v>2986</v>
      </c>
    </row>
    <row r="2987" spans="1:5" x14ac:dyDescent="0.25">
      <c r="A2987" s="1">
        <v>99246</v>
      </c>
      <c r="B2987" s="2">
        <v>147</v>
      </c>
      <c r="C2987" s="2">
        <v>99</v>
      </c>
      <c r="D2987" s="2">
        <v>450</v>
      </c>
      <c r="E2987" s="2" t="s">
        <v>2987</v>
      </c>
    </row>
    <row r="2988" spans="1:5" x14ac:dyDescent="0.25">
      <c r="A2988" s="1">
        <v>99247</v>
      </c>
      <c r="B2988" s="2">
        <v>148</v>
      </c>
      <c r="C2988" s="2">
        <v>99</v>
      </c>
      <c r="D2988" s="2">
        <v>273</v>
      </c>
      <c r="E2988" s="2" t="s">
        <v>2988</v>
      </c>
    </row>
    <row r="2989" spans="1:5" x14ac:dyDescent="0.25">
      <c r="A2989" s="1">
        <v>99248</v>
      </c>
      <c r="B2989" s="2">
        <v>149</v>
      </c>
      <c r="C2989" s="2">
        <v>99</v>
      </c>
      <c r="D2989" s="2">
        <v>1440</v>
      </c>
      <c r="E2989" s="2" t="s">
        <v>2989</v>
      </c>
    </row>
    <row r="2990" spans="1:5" x14ac:dyDescent="0.25">
      <c r="A2990" s="1">
        <v>99249</v>
      </c>
      <c r="B2990" s="2">
        <v>150</v>
      </c>
      <c r="C2990" s="2">
        <v>99</v>
      </c>
      <c r="D2990" s="2">
        <v>6132</v>
      </c>
      <c r="E2990" s="2" t="s">
        <v>2990</v>
      </c>
    </row>
    <row r="2991" spans="1:5" x14ac:dyDescent="0.25">
      <c r="A2991" s="1">
        <v>99250</v>
      </c>
      <c r="B2991" s="2">
        <v>151</v>
      </c>
      <c r="C2991" s="2">
        <v>99</v>
      </c>
      <c r="D2991" s="2">
        <v>30960</v>
      </c>
      <c r="E2991" s="2" t="s">
        <v>2991</v>
      </c>
    </row>
    <row r="2992" spans="1:5" x14ac:dyDescent="0.25">
      <c r="A2992" s="1">
        <v>99251</v>
      </c>
      <c r="B2992" s="2">
        <v>152</v>
      </c>
      <c r="C2992" s="2">
        <v>99</v>
      </c>
      <c r="D2992" s="2">
        <v>118800</v>
      </c>
      <c r="E2992" s="2" t="s">
        <v>2992</v>
      </c>
    </row>
    <row r="2993" spans="1:5" x14ac:dyDescent="0.25">
      <c r="A2993" s="1">
        <v>99252</v>
      </c>
      <c r="B2993" s="2">
        <v>153</v>
      </c>
      <c r="C2993" s="2">
        <v>99</v>
      </c>
      <c r="D2993" s="2">
        <v>40754880</v>
      </c>
      <c r="E2993" s="2" t="s">
        <v>2993</v>
      </c>
    </row>
    <row r="2994" spans="1:5" x14ac:dyDescent="0.25">
      <c r="A2994" s="1">
        <v>99253</v>
      </c>
      <c r="B2994" s="2">
        <v>154</v>
      </c>
      <c r="C2994" s="2">
        <v>99</v>
      </c>
      <c r="D2994" s="2">
        <v>1768608</v>
      </c>
      <c r="E2994" s="2" t="s">
        <v>2994</v>
      </c>
    </row>
    <row r="2995" spans="1:5" x14ac:dyDescent="0.25">
      <c r="A2995" s="1">
        <v>99254</v>
      </c>
      <c r="B2995" s="2">
        <v>155</v>
      </c>
      <c r="C2995" s="2">
        <v>99</v>
      </c>
      <c r="D2995" s="2">
        <v>23820480</v>
      </c>
      <c r="E2995" s="2" t="s">
        <v>2995</v>
      </c>
    </row>
    <row r="2996" spans="1:5" x14ac:dyDescent="0.25">
      <c r="A2996" s="1">
        <v>99255</v>
      </c>
      <c r="B2996" s="2">
        <v>156</v>
      </c>
      <c r="C2996" s="2">
        <v>99</v>
      </c>
      <c r="D2996" s="2">
        <v>3438719.9999999902</v>
      </c>
      <c r="E2996" s="2" t="s">
        <v>2996</v>
      </c>
    </row>
    <row r="2997" spans="1:5" x14ac:dyDescent="0.25">
      <c r="A2997" s="1">
        <v>99256</v>
      </c>
      <c r="B2997" s="2">
        <v>157</v>
      </c>
      <c r="C2997" s="2">
        <v>99</v>
      </c>
      <c r="D2997" s="2">
        <v>1524</v>
      </c>
      <c r="E2997" s="2" t="s">
        <v>2997</v>
      </c>
    </row>
    <row r="2998" spans="1:5" x14ac:dyDescent="0.25">
      <c r="A2998" s="1">
        <v>99257</v>
      </c>
      <c r="B2998" s="2">
        <v>158</v>
      </c>
      <c r="C2998" s="2">
        <v>99</v>
      </c>
      <c r="D2998" s="2">
        <v>665280</v>
      </c>
      <c r="E2998" s="2" t="s">
        <v>2998</v>
      </c>
    </row>
    <row r="2999" spans="1:5" x14ac:dyDescent="0.25">
      <c r="A2999" s="1">
        <v>100241</v>
      </c>
      <c r="B2999" s="2">
        <v>141</v>
      </c>
      <c r="C2999" s="2">
        <v>100</v>
      </c>
      <c r="D2999" s="2">
        <v>7.2999999999999996E-4</v>
      </c>
      <c r="E2999" s="2" t="s">
        <v>2999</v>
      </c>
    </row>
    <row r="3000" spans="1:5" x14ac:dyDescent="0.25">
      <c r="A3000" s="1">
        <v>100243</v>
      </c>
      <c r="B3000" s="2">
        <v>143</v>
      </c>
      <c r="C3000" s="2">
        <v>100</v>
      </c>
      <c r="D3000" s="2">
        <v>0.23100000000000001</v>
      </c>
      <c r="E3000" s="2" t="s">
        <v>3000</v>
      </c>
    </row>
    <row r="3001" spans="1:5" x14ac:dyDescent="0.25">
      <c r="A3001" s="1">
        <v>100244</v>
      </c>
      <c r="B3001" s="2">
        <v>144</v>
      </c>
      <c r="C3001" s="2">
        <v>100</v>
      </c>
      <c r="D3001" s="2">
        <v>3.1199999999999999E-3</v>
      </c>
      <c r="E3001" s="2" t="s">
        <v>3001</v>
      </c>
    </row>
    <row r="3002" spans="1:5" x14ac:dyDescent="0.25">
      <c r="A3002" s="1">
        <v>100245</v>
      </c>
      <c r="B3002" s="2">
        <v>145</v>
      </c>
      <c r="C3002" s="2">
        <v>100</v>
      </c>
      <c r="D3002" s="2">
        <v>4.2</v>
      </c>
      <c r="E3002" s="2" t="s">
        <v>3002</v>
      </c>
    </row>
    <row r="3003" spans="1:5" x14ac:dyDescent="0.25">
      <c r="A3003" s="1">
        <v>100246</v>
      </c>
      <c r="B3003" s="2">
        <v>146</v>
      </c>
      <c r="C3003" s="2">
        <v>100</v>
      </c>
      <c r="D3003" s="2">
        <v>1.54</v>
      </c>
      <c r="E3003" s="2" t="s">
        <v>3003</v>
      </c>
    </row>
    <row r="3004" spans="1:5" x14ac:dyDescent="0.25">
      <c r="A3004" s="1">
        <v>100247</v>
      </c>
      <c r="B3004" s="2">
        <v>147</v>
      </c>
      <c r="C3004" s="2">
        <v>100</v>
      </c>
      <c r="D3004" s="2">
        <v>31</v>
      </c>
      <c r="E3004" s="2" t="s">
        <v>3004</v>
      </c>
    </row>
    <row r="3005" spans="1:5" x14ac:dyDescent="0.25">
      <c r="A3005" s="1">
        <v>100248</v>
      </c>
      <c r="B3005" s="2">
        <v>148</v>
      </c>
      <c r="C3005" s="2">
        <v>100</v>
      </c>
      <c r="D3005" s="2">
        <v>34.5</v>
      </c>
      <c r="E3005" s="2" t="s">
        <v>3005</v>
      </c>
    </row>
    <row r="3006" spans="1:5" x14ac:dyDescent="0.25">
      <c r="A3006" s="1">
        <v>100249</v>
      </c>
      <c r="B3006" s="2">
        <v>149</v>
      </c>
      <c r="C3006" s="2">
        <v>100</v>
      </c>
      <c r="D3006" s="2">
        <v>156</v>
      </c>
      <c r="E3006" s="2" t="s">
        <v>3006</v>
      </c>
    </row>
    <row r="3007" spans="1:5" x14ac:dyDescent="0.25">
      <c r="A3007" s="1">
        <v>100250</v>
      </c>
      <c r="B3007" s="2">
        <v>150</v>
      </c>
      <c r="C3007" s="2">
        <v>100</v>
      </c>
      <c r="D3007" s="2">
        <v>1800</v>
      </c>
      <c r="E3007" s="2" t="s">
        <v>3007</v>
      </c>
    </row>
    <row r="3008" spans="1:5" x14ac:dyDescent="0.25">
      <c r="A3008" s="1">
        <v>100251</v>
      </c>
      <c r="B3008" s="2">
        <v>151</v>
      </c>
      <c r="C3008" s="2">
        <v>100</v>
      </c>
      <c r="D3008" s="2">
        <v>19080</v>
      </c>
      <c r="E3008" s="2" t="s">
        <v>3008</v>
      </c>
    </row>
    <row r="3009" spans="1:5" x14ac:dyDescent="0.25">
      <c r="A3009" s="1">
        <v>100252</v>
      </c>
      <c r="B3009" s="2">
        <v>152</v>
      </c>
      <c r="C3009" s="2">
        <v>100</v>
      </c>
      <c r="D3009" s="2">
        <v>91404</v>
      </c>
      <c r="E3009" s="2" t="s">
        <v>3009</v>
      </c>
    </row>
    <row r="3010" spans="1:5" x14ac:dyDescent="0.25">
      <c r="A3010" s="1">
        <v>100253</v>
      </c>
      <c r="B3010" s="2">
        <v>153</v>
      </c>
      <c r="C3010" s="2">
        <v>100</v>
      </c>
      <c r="D3010" s="2">
        <v>259200</v>
      </c>
      <c r="E3010" s="2" t="s">
        <v>3010</v>
      </c>
    </row>
    <row r="3011" spans="1:5" x14ac:dyDescent="0.25">
      <c r="A3011" s="1">
        <v>100254</v>
      </c>
      <c r="B3011" s="2">
        <v>154</v>
      </c>
      <c r="C3011" s="2">
        <v>100</v>
      </c>
      <c r="D3011" s="2">
        <v>11664</v>
      </c>
      <c r="E3011" s="2" t="s">
        <v>3011</v>
      </c>
    </row>
    <row r="3012" spans="1:5" x14ac:dyDescent="0.25">
      <c r="A3012" s="1">
        <v>100255</v>
      </c>
      <c r="B3012" s="2">
        <v>155</v>
      </c>
      <c r="C3012" s="2">
        <v>100</v>
      </c>
      <c r="D3012" s="2">
        <v>72252</v>
      </c>
      <c r="E3012" s="2" t="s">
        <v>3012</v>
      </c>
    </row>
    <row r="3013" spans="1:5" x14ac:dyDescent="0.25">
      <c r="A3013" s="1">
        <v>100256</v>
      </c>
      <c r="B3013" s="2">
        <v>156</v>
      </c>
      <c r="C3013" s="2">
        <v>100</v>
      </c>
      <c r="D3013" s="2">
        <v>9456</v>
      </c>
      <c r="E3013" s="2" t="s">
        <v>3013</v>
      </c>
    </row>
    <row r="3014" spans="1:5" x14ac:dyDescent="0.25">
      <c r="A3014" s="1">
        <v>100257</v>
      </c>
      <c r="B3014" s="2">
        <v>157</v>
      </c>
      <c r="C3014" s="2">
        <v>100</v>
      </c>
      <c r="D3014" s="2">
        <v>8683200</v>
      </c>
      <c r="E3014" s="2" t="s">
        <v>3014</v>
      </c>
    </row>
    <row r="3015" spans="1:5" x14ac:dyDescent="0.25">
      <c r="A3015" s="1">
        <v>100258</v>
      </c>
      <c r="B3015" s="2">
        <v>158</v>
      </c>
      <c r="C3015" s="2">
        <v>100</v>
      </c>
      <c r="D3015" s="2">
        <v>3.6999999999999999E-4</v>
      </c>
      <c r="E3015" s="2" t="s">
        <v>3015</v>
      </c>
    </row>
    <row r="3016" spans="1:5" x14ac:dyDescent="0.25">
      <c r="A3016" s="1">
        <v>100259</v>
      </c>
      <c r="B3016" s="2">
        <v>159</v>
      </c>
      <c r="C3016" s="2">
        <v>100</v>
      </c>
      <c r="D3016" s="2">
        <v>1.5</v>
      </c>
      <c r="E3016" s="2" t="s">
        <v>3016</v>
      </c>
    </row>
    <row r="3017" spans="1:5" x14ac:dyDescent="0.25">
      <c r="A3017" s="1">
        <v>100260</v>
      </c>
      <c r="B3017" s="2">
        <v>160</v>
      </c>
      <c r="C3017" s="2">
        <v>100</v>
      </c>
      <c r="D3017" s="2">
        <v>4.0000000000000001E-3</v>
      </c>
      <c r="E3017" s="2" t="s">
        <v>3017</v>
      </c>
    </row>
    <row r="3018" spans="1:5" x14ac:dyDescent="0.25">
      <c r="A3018" s="1">
        <v>101245</v>
      </c>
      <c r="B3018" s="2">
        <v>144</v>
      </c>
      <c r="C3018" s="2">
        <v>101</v>
      </c>
      <c r="D3018" s="2">
        <v>8.9999999999999998E-4</v>
      </c>
      <c r="E3018" s="2" t="s">
        <v>3018</v>
      </c>
    </row>
    <row r="3019" spans="1:5" x14ac:dyDescent="0.25">
      <c r="A3019" s="1">
        <v>101246</v>
      </c>
      <c r="B3019" s="2">
        <v>145</v>
      </c>
      <c r="C3019" s="2">
        <v>101</v>
      </c>
      <c r="D3019" s="2">
        <v>0.9</v>
      </c>
      <c r="E3019" s="2" t="s">
        <v>3019</v>
      </c>
    </row>
    <row r="3020" spans="1:5" x14ac:dyDescent="0.25">
      <c r="A3020" s="1">
        <v>101247</v>
      </c>
      <c r="B3020" s="2">
        <v>146</v>
      </c>
      <c r="C3020" s="2">
        <v>101</v>
      </c>
      <c r="D3020" s="2">
        <v>1.2</v>
      </c>
      <c r="E3020" s="2" t="s">
        <v>3020</v>
      </c>
    </row>
    <row r="3021" spans="1:5" x14ac:dyDescent="0.25">
      <c r="A3021" s="1">
        <v>101248</v>
      </c>
      <c r="B3021" s="2">
        <v>147</v>
      </c>
      <c r="C3021" s="2">
        <v>101</v>
      </c>
      <c r="D3021" s="2">
        <v>13</v>
      </c>
      <c r="E3021" s="2" t="s">
        <v>3021</v>
      </c>
    </row>
    <row r="3022" spans="1:5" x14ac:dyDescent="0.25">
      <c r="A3022" s="1">
        <v>101249</v>
      </c>
      <c r="B3022" s="2">
        <v>148</v>
      </c>
      <c r="C3022" s="2">
        <v>101</v>
      </c>
      <c r="D3022" s="2">
        <v>21.7</v>
      </c>
      <c r="E3022" s="2" t="s">
        <v>3022</v>
      </c>
    </row>
    <row r="3023" spans="1:5" x14ac:dyDescent="0.25">
      <c r="A3023" s="1">
        <v>101250</v>
      </c>
      <c r="B3023" s="2">
        <v>149</v>
      </c>
      <c r="C3023" s="2">
        <v>101</v>
      </c>
      <c r="D3023" s="2">
        <v>25</v>
      </c>
      <c r="E3023" s="2" t="s">
        <v>3023</v>
      </c>
    </row>
    <row r="3024" spans="1:5" x14ac:dyDescent="0.25">
      <c r="A3024" s="1">
        <v>101251</v>
      </c>
      <c r="B3024" s="2">
        <v>150</v>
      </c>
      <c r="C3024" s="2">
        <v>101</v>
      </c>
      <c r="D3024" s="2">
        <v>256.2</v>
      </c>
      <c r="E3024" s="2" t="s">
        <v>3024</v>
      </c>
    </row>
    <row r="3025" spans="1:5" x14ac:dyDescent="0.25">
      <c r="A3025" s="1">
        <v>101252</v>
      </c>
      <c r="B3025" s="2">
        <v>151</v>
      </c>
      <c r="C3025" s="2">
        <v>101</v>
      </c>
      <c r="D3025" s="2">
        <v>138</v>
      </c>
      <c r="E3025" s="2" t="s">
        <v>3025</v>
      </c>
    </row>
    <row r="3026" spans="1:5" x14ac:dyDescent="0.25">
      <c r="A3026" s="1">
        <v>101253</v>
      </c>
      <c r="B3026" s="2">
        <v>152</v>
      </c>
      <c r="C3026" s="2">
        <v>101</v>
      </c>
      <c r="D3026" s="2">
        <v>360</v>
      </c>
      <c r="E3026" s="2" t="s">
        <v>3026</v>
      </c>
    </row>
    <row r="3027" spans="1:5" x14ac:dyDescent="0.25">
      <c r="A3027" s="1">
        <v>101254</v>
      </c>
      <c r="B3027" s="2">
        <v>153</v>
      </c>
      <c r="C3027" s="2">
        <v>101</v>
      </c>
      <c r="D3027" s="2">
        <v>1680</v>
      </c>
      <c r="E3027" s="2" t="s">
        <v>3027</v>
      </c>
    </row>
    <row r="3028" spans="1:5" x14ac:dyDescent="0.25">
      <c r="A3028" s="1">
        <v>101255</v>
      </c>
      <c r="B3028" s="2">
        <v>154</v>
      </c>
      <c r="C3028" s="2">
        <v>101</v>
      </c>
      <c r="D3028" s="2">
        <v>1620</v>
      </c>
      <c r="E3028" s="2" t="s">
        <v>3028</v>
      </c>
    </row>
    <row r="3029" spans="1:5" x14ac:dyDescent="0.25">
      <c r="A3029" s="1">
        <v>101256</v>
      </c>
      <c r="B3029" s="2">
        <v>155</v>
      </c>
      <c r="C3029" s="2">
        <v>101</v>
      </c>
      <c r="D3029" s="2">
        <v>4620</v>
      </c>
      <c r="E3029" s="2" t="s">
        <v>3029</v>
      </c>
    </row>
    <row r="3030" spans="1:5" x14ac:dyDescent="0.25">
      <c r="A3030" s="1">
        <v>101257</v>
      </c>
      <c r="B3030" s="2">
        <v>156</v>
      </c>
      <c r="C3030" s="2">
        <v>101</v>
      </c>
      <c r="D3030" s="2">
        <v>19872</v>
      </c>
      <c r="E3030" s="2" t="s">
        <v>3030</v>
      </c>
    </row>
    <row r="3031" spans="1:5" x14ac:dyDescent="0.25">
      <c r="A3031" s="1">
        <v>101258</v>
      </c>
      <c r="B3031" s="2">
        <v>157</v>
      </c>
      <c r="C3031" s="2">
        <v>101</v>
      </c>
      <c r="D3031" s="2">
        <v>4449600</v>
      </c>
      <c r="E3031" s="2" t="s">
        <v>3031</v>
      </c>
    </row>
    <row r="3032" spans="1:5" x14ac:dyDescent="0.25">
      <c r="A3032" s="1">
        <v>101259</v>
      </c>
      <c r="B3032" s="2">
        <v>158</v>
      </c>
      <c r="C3032" s="2">
        <v>101</v>
      </c>
      <c r="D3032" s="2">
        <v>5760</v>
      </c>
      <c r="E3032" s="2" t="s">
        <v>3032</v>
      </c>
    </row>
    <row r="3033" spans="1:5" x14ac:dyDescent="0.25">
      <c r="A3033" s="1">
        <v>101260</v>
      </c>
      <c r="B3033" s="2">
        <v>159</v>
      </c>
      <c r="C3033" s="2">
        <v>101</v>
      </c>
      <c r="D3033" s="2">
        <v>2747520</v>
      </c>
      <c r="E3033" s="2" t="s">
        <v>3033</v>
      </c>
    </row>
    <row r="3034" spans="1:5" x14ac:dyDescent="0.25">
      <c r="A3034" s="1">
        <v>102250</v>
      </c>
      <c r="B3034" s="2">
        <v>148</v>
      </c>
      <c r="C3034" s="2">
        <v>102</v>
      </c>
      <c r="D3034" s="2">
        <v>4.1999999999999996E-6</v>
      </c>
      <c r="E3034" s="2" t="s">
        <v>3034</v>
      </c>
    </row>
    <row r="3035" spans="1:5" x14ac:dyDescent="0.25">
      <c r="A3035" s="1">
        <v>102251</v>
      </c>
      <c r="B3035" s="2">
        <v>149</v>
      </c>
      <c r="C3035" s="2">
        <v>102</v>
      </c>
      <c r="D3035" s="2">
        <v>0.8</v>
      </c>
      <c r="E3035" s="2" t="s">
        <v>3035</v>
      </c>
    </row>
    <row r="3036" spans="1:5" x14ac:dyDescent="0.25">
      <c r="A3036" s="1">
        <v>102252</v>
      </c>
      <c r="B3036" s="2">
        <v>150</v>
      </c>
      <c r="C3036" s="2">
        <v>102</v>
      </c>
      <c r="D3036" s="2">
        <v>2.44</v>
      </c>
      <c r="E3036" s="2" t="s">
        <v>3036</v>
      </c>
    </row>
    <row r="3037" spans="1:5" x14ac:dyDescent="0.25">
      <c r="A3037" s="1">
        <v>102253</v>
      </c>
      <c r="B3037" s="2">
        <v>151</v>
      </c>
      <c r="C3037" s="2">
        <v>102</v>
      </c>
      <c r="D3037" s="2">
        <v>97.2</v>
      </c>
      <c r="E3037" s="2" t="s">
        <v>3037</v>
      </c>
    </row>
    <row r="3038" spans="1:5" x14ac:dyDescent="0.25">
      <c r="A3038" s="1">
        <v>102254</v>
      </c>
      <c r="B3038" s="2">
        <v>152</v>
      </c>
      <c r="C3038" s="2">
        <v>102</v>
      </c>
      <c r="D3038" s="2">
        <v>51</v>
      </c>
      <c r="E3038" s="2" t="s">
        <v>3038</v>
      </c>
    </row>
    <row r="3039" spans="1:5" x14ac:dyDescent="0.25">
      <c r="A3039" s="1">
        <v>102255</v>
      </c>
      <c r="B3039" s="2">
        <v>153</v>
      </c>
      <c r="C3039" s="2">
        <v>102</v>
      </c>
      <c r="D3039" s="2">
        <v>211.2</v>
      </c>
      <c r="E3039" s="2" t="s">
        <v>3039</v>
      </c>
    </row>
    <row r="3040" spans="1:5" x14ac:dyDescent="0.25">
      <c r="A3040" s="1">
        <v>102256</v>
      </c>
      <c r="B3040" s="2">
        <v>154</v>
      </c>
      <c r="C3040" s="2">
        <v>102</v>
      </c>
      <c r="D3040" s="2">
        <v>2.91</v>
      </c>
      <c r="E3040" s="2" t="s">
        <v>3040</v>
      </c>
    </row>
    <row r="3041" spans="1:5" x14ac:dyDescent="0.25">
      <c r="A3041" s="1">
        <v>102257</v>
      </c>
      <c r="B3041" s="2">
        <v>155</v>
      </c>
      <c r="C3041" s="2">
        <v>102</v>
      </c>
      <c r="D3041" s="2">
        <v>24.5</v>
      </c>
      <c r="E3041" s="2" t="s">
        <v>3041</v>
      </c>
    </row>
    <row r="3042" spans="1:5" x14ac:dyDescent="0.25">
      <c r="A3042" s="1">
        <v>102258</v>
      </c>
      <c r="B3042" s="2">
        <v>156</v>
      </c>
      <c r="C3042" s="2">
        <v>102</v>
      </c>
      <c r="D3042" s="2">
        <v>1.1999999999999999E-3</v>
      </c>
      <c r="E3042" s="2" t="s">
        <v>3042</v>
      </c>
    </row>
    <row r="3043" spans="1:5" x14ac:dyDescent="0.25">
      <c r="A3043" s="1">
        <v>102259</v>
      </c>
      <c r="B3043" s="2">
        <v>157</v>
      </c>
      <c r="C3043" s="2">
        <v>102</v>
      </c>
      <c r="D3043" s="2">
        <v>3480</v>
      </c>
      <c r="E3043" s="2" t="s">
        <v>3043</v>
      </c>
    </row>
    <row r="3044" spans="1:5" x14ac:dyDescent="0.25">
      <c r="A3044" s="1">
        <v>102260</v>
      </c>
      <c r="B3044" s="2">
        <v>158</v>
      </c>
      <c r="C3044" s="2">
        <v>102</v>
      </c>
      <c r="D3044" s="2">
        <v>0.106</v>
      </c>
      <c r="E3044" s="2" t="s">
        <v>3044</v>
      </c>
    </row>
    <row r="3045" spans="1:5" x14ac:dyDescent="0.25">
      <c r="A3045" s="1">
        <v>102262</v>
      </c>
      <c r="B3045" s="2">
        <v>160</v>
      </c>
      <c r="C3045" s="2">
        <v>102</v>
      </c>
      <c r="D3045" s="2">
        <v>5.0000000000000001E-3</v>
      </c>
      <c r="E3045" s="2" t="s">
        <v>3045</v>
      </c>
    </row>
    <row r="3046" spans="1:5" x14ac:dyDescent="0.25">
      <c r="A3046" s="1">
        <v>103252</v>
      </c>
      <c r="B3046" s="2">
        <v>149</v>
      </c>
      <c r="C3046" s="2">
        <v>103</v>
      </c>
      <c r="D3046" s="2">
        <v>0.36</v>
      </c>
      <c r="E3046" s="2" t="s">
        <v>3046</v>
      </c>
    </row>
    <row r="3047" spans="1:5" x14ac:dyDescent="0.25">
      <c r="A3047" s="1">
        <v>103253</v>
      </c>
      <c r="B3047" s="2">
        <v>150</v>
      </c>
      <c r="C3047" s="2">
        <v>103</v>
      </c>
      <c r="D3047" s="2">
        <v>0.56999999999999995</v>
      </c>
      <c r="E3047" s="2" t="s">
        <v>3047</v>
      </c>
    </row>
    <row r="3048" spans="1:5" x14ac:dyDescent="0.25">
      <c r="A3048" s="1">
        <v>103254</v>
      </c>
      <c r="B3048" s="2">
        <v>151</v>
      </c>
      <c r="C3048" s="2">
        <v>103</v>
      </c>
      <c r="D3048" s="2">
        <v>18.399999999999999</v>
      </c>
      <c r="E3048" s="2" t="s">
        <v>3048</v>
      </c>
    </row>
    <row r="3049" spans="1:5" x14ac:dyDescent="0.25">
      <c r="A3049" s="1">
        <v>103255</v>
      </c>
      <c r="B3049" s="2">
        <v>152</v>
      </c>
      <c r="C3049" s="2">
        <v>103</v>
      </c>
      <c r="D3049" s="2">
        <v>31.1</v>
      </c>
      <c r="E3049" s="2" t="s">
        <v>3049</v>
      </c>
    </row>
    <row r="3050" spans="1:5" x14ac:dyDescent="0.25">
      <c r="A3050" s="1">
        <v>103256</v>
      </c>
      <c r="B3050" s="2">
        <v>153</v>
      </c>
      <c r="C3050" s="2">
        <v>103</v>
      </c>
      <c r="D3050" s="2">
        <v>27</v>
      </c>
      <c r="E3050" s="2" t="s">
        <v>3050</v>
      </c>
    </row>
    <row r="3051" spans="1:5" x14ac:dyDescent="0.25">
      <c r="A3051" s="1">
        <v>103257</v>
      </c>
      <c r="B3051" s="2">
        <v>154</v>
      </c>
      <c r="C3051" s="2">
        <v>103</v>
      </c>
      <c r="D3051" s="2">
        <v>4</v>
      </c>
      <c r="E3051" s="2" t="s">
        <v>3051</v>
      </c>
    </row>
    <row r="3052" spans="1:5" x14ac:dyDescent="0.25">
      <c r="A3052" s="1">
        <v>103258</v>
      </c>
      <c r="B3052" s="2">
        <v>155</v>
      </c>
      <c r="C3052" s="2">
        <v>103</v>
      </c>
      <c r="D3052" s="2">
        <v>4.0999999999999996</v>
      </c>
      <c r="E3052" s="2" t="s">
        <v>3052</v>
      </c>
    </row>
    <row r="3053" spans="1:5" x14ac:dyDescent="0.25">
      <c r="A3053" s="1">
        <v>103259</v>
      </c>
      <c r="B3053" s="2">
        <v>156</v>
      </c>
      <c r="C3053" s="2">
        <v>103</v>
      </c>
      <c r="D3053" s="2">
        <v>6.2</v>
      </c>
      <c r="E3053" s="2" t="s">
        <v>3053</v>
      </c>
    </row>
    <row r="3054" spans="1:5" x14ac:dyDescent="0.25">
      <c r="A3054" s="1">
        <v>103260</v>
      </c>
      <c r="B3054" s="2">
        <v>157</v>
      </c>
      <c r="C3054" s="2">
        <v>103</v>
      </c>
      <c r="D3054" s="2">
        <v>180</v>
      </c>
      <c r="E3054" s="2" t="s">
        <v>3054</v>
      </c>
    </row>
    <row r="3055" spans="1:5" x14ac:dyDescent="0.25">
      <c r="A3055" s="1">
        <v>103261</v>
      </c>
      <c r="B3055" s="2">
        <v>158</v>
      </c>
      <c r="C3055" s="2">
        <v>103</v>
      </c>
      <c r="D3055" s="2">
        <v>2340</v>
      </c>
      <c r="E3055" s="2" t="s">
        <v>3055</v>
      </c>
    </row>
    <row r="3056" spans="1:5" x14ac:dyDescent="0.25">
      <c r="A3056" s="1">
        <v>103262</v>
      </c>
      <c r="B3056" s="2">
        <v>159</v>
      </c>
      <c r="C3056" s="2">
        <v>103</v>
      </c>
      <c r="D3056" s="2">
        <v>14400</v>
      </c>
      <c r="E3056" s="2" t="s">
        <v>3056</v>
      </c>
    </row>
    <row r="3057" spans="1:5" x14ac:dyDescent="0.25">
      <c r="A3057" s="1">
        <v>103266</v>
      </c>
      <c r="B3057" s="2">
        <v>163</v>
      </c>
      <c r="C3057" s="2">
        <v>103</v>
      </c>
      <c r="D3057" s="2">
        <v>39600</v>
      </c>
      <c r="E3057" s="2" t="s">
        <v>3057</v>
      </c>
    </row>
    <row r="3058" spans="1:5" x14ac:dyDescent="0.25">
      <c r="A3058" s="1">
        <v>104253</v>
      </c>
      <c r="B3058" s="2">
        <v>149</v>
      </c>
      <c r="C3058" s="2">
        <v>104</v>
      </c>
      <c r="D3058" s="2">
        <v>4.8000000000000001E-5</v>
      </c>
      <c r="E3058" s="2" t="s">
        <v>3058</v>
      </c>
    </row>
    <row r="3059" spans="1:5" x14ac:dyDescent="0.25">
      <c r="A3059" s="1">
        <v>104254</v>
      </c>
      <c r="B3059" s="2">
        <v>150</v>
      </c>
      <c r="C3059" s="2">
        <v>104</v>
      </c>
      <c r="D3059" s="2">
        <v>2.3E-5</v>
      </c>
      <c r="E3059" s="2" t="s">
        <v>3059</v>
      </c>
    </row>
    <row r="3060" spans="1:5" x14ac:dyDescent="0.25">
      <c r="A3060" s="1">
        <v>104255</v>
      </c>
      <c r="B3060" s="2">
        <v>151</v>
      </c>
      <c r="C3060" s="2">
        <v>104</v>
      </c>
      <c r="D3060" s="2">
        <v>1.68</v>
      </c>
      <c r="E3060" s="2" t="s">
        <v>3060</v>
      </c>
    </row>
    <row r="3061" spans="1:5" x14ac:dyDescent="0.25">
      <c r="A3061" s="1">
        <v>104256</v>
      </c>
      <c r="B3061" s="2">
        <v>152</v>
      </c>
      <c r="C3061" s="2">
        <v>104</v>
      </c>
      <c r="D3061" s="2">
        <v>6.6699999999999997E-3</v>
      </c>
      <c r="E3061" s="2" t="s">
        <v>3061</v>
      </c>
    </row>
    <row r="3062" spans="1:5" x14ac:dyDescent="0.25">
      <c r="A3062" s="1">
        <v>104257</v>
      </c>
      <c r="B3062" s="2">
        <v>153</v>
      </c>
      <c r="C3062" s="2">
        <v>104</v>
      </c>
      <c r="D3062" s="2">
        <v>4.4000000000000004</v>
      </c>
      <c r="E3062" s="2" t="s">
        <v>3062</v>
      </c>
    </row>
    <row r="3063" spans="1:5" x14ac:dyDescent="0.25">
      <c r="A3063" s="1">
        <v>104258</v>
      </c>
      <c r="B3063" s="2">
        <v>154</v>
      </c>
      <c r="C3063" s="2">
        <v>104</v>
      </c>
      <c r="D3063" s="2">
        <v>1.47E-2</v>
      </c>
      <c r="E3063" s="2" t="s">
        <v>3063</v>
      </c>
    </row>
    <row r="3064" spans="1:5" x14ac:dyDescent="0.25">
      <c r="A3064" s="1">
        <v>104259</v>
      </c>
      <c r="B3064" s="2">
        <v>155</v>
      </c>
      <c r="C3064" s="2">
        <v>104</v>
      </c>
      <c r="D3064" s="2">
        <v>2.4</v>
      </c>
      <c r="E3064" s="2" t="s">
        <v>3064</v>
      </c>
    </row>
    <row r="3065" spans="1:5" x14ac:dyDescent="0.25">
      <c r="A3065" s="1">
        <v>104260</v>
      </c>
      <c r="B3065" s="2">
        <v>156</v>
      </c>
      <c r="C3065" s="2">
        <v>104</v>
      </c>
      <c r="D3065" s="2">
        <v>2.1000000000000001E-2</v>
      </c>
      <c r="E3065" s="2" t="s">
        <v>3065</v>
      </c>
    </row>
    <row r="3066" spans="1:5" x14ac:dyDescent="0.25">
      <c r="A3066" s="1">
        <v>104261</v>
      </c>
      <c r="B3066" s="2">
        <v>157</v>
      </c>
      <c r="C3066" s="2">
        <v>104</v>
      </c>
      <c r="D3066" s="2">
        <v>68</v>
      </c>
      <c r="E3066" s="2" t="s">
        <v>3066</v>
      </c>
    </row>
    <row r="3067" spans="1:5" x14ac:dyDescent="0.25">
      <c r="A3067" s="1">
        <v>104262</v>
      </c>
      <c r="B3067" s="2">
        <v>158</v>
      </c>
      <c r="C3067" s="2">
        <v>104</v>
      </c>
      <c r="D3067" s="2">
        <v>2.2999999999999998</v>
      </c>
      <c r="E3067" s="2" t="s">
        <v>3067</v>
      </c>
    </row>
    <row r="3068" spans="1:5" x14ac:dyDescent="0.25">
      <c r="A3068" s="1">
        <v>104263</v>
      </c>
      <c r="B3068" s="2">
        <v>159</v>
      </c>
      <c r="C3068" s="2">
        <v>104</v>
      </c>
      <c r="D3068" s="2">
        <v>600</v>
      </c>
      <c r="E3068" s="2" t="s">
        <v>3068</v>
      </c>
    </row>
    <row r="3069" spans="1:5" x14ac:dyDescent="0.25">
      <c r="A3069" s="1">
        <v>104265</v>
      </c>
      <c r="B3069" s="2">
        <v>161</v>
      </c>
      <c r="C3069" s="2">
        <v>104</v>
      </c>
      <c r="D3069" s="2">
        <v>60</v>
      </c>
      <c r="E3069" s="2" t="s">
        <v>3069</v>
      </c>
    </row>
    <row r="3070" spans="1:5" x14ac:dyDescent="0.25">
      <c r="A3070" s="1">
        <v>105255</v>
      </c>
      <c r="B3070" s="2">
        <v>150</v>
      </c>
      <c r="C3070" s="2">
        <v>105</v>
      </c>
      <c r="D3070" s="2">
        <v>1.6</v>
      </c>
      <c r="E3070" s="2" t="s">
        <v>3070</v>
      </c>
    </row>
    <row r="3071" spans="1:5" x14ac:dyDescent="0.25">
      <c r="A3071" s="1">
        <v>105256</v>
      </c>
      <c r="B3071" s="2">
        <v>151</v>
      </c>
      <c r="C3071" s="2">
        <v>105</v>
      </c>
      <c r="D3071" s="2">
        <v>1.6</v>
      </c>
      <c r="E3071" s="2" t="s">
        <v>3071</v>
      </c>
    </row>
    <row r="3072" spans="1:5" x14ac:dyDescent="0.25">
      <c r="A3072" s="1">
        <v>105257</v>
      </c>
      <c r="B3072" s="2">
        <v>152</v>
      </c>
      <c r="C3072" s="2">
        <v>105</v>
      </c>
      <c r="D3072" s="2">
        <v>2.2999999999999998</v>
      </c>
      <c r="E3072" s="2" t="s">
        <v>3072</v>
      </c>
    </row>
    <row r="3073" spans="1:5" x14ac:dyDescent="0.25">
      <c r="A3073" s="1">
        <v>105258</v>
      </c>
      <c r="B3073" s="2">
        <v>153</v>
      </c>
      <c r="C3073" s="2">
        <v>105</v>
      </c>
      <c r="D3073" s="2">
        <v>4.2</v>
      </c>
      <c r="E3073" s="2" t="s">
        <v>3073</v>
      </c>
    </row>
    <row r="3074" spans="1:5" x14ac:dyDescent="0.25">
      <c r="A3074" s="1">
        <v>105259</v>
      </c>
      <c r="B3074" s="2">
        <v>154</v>
      </c>
      <c r="C3074" s="2">
        <v>105</v>
      </c>
      <c r="D3074" s="2">
        <v>0.51</v>
      </c>
      <c r="E3074" s="2" t="s">
        <v>3074</v>
      </c>
    </row>
    <row r="3075" spans="1:5" x14ac:dyDescent="0.25">
      <c r="A3075" s="1">
        <v>105260</v>
      </c>
      <c r="B3075" s="2">
        <v>155</v>
      </c>
      <c r="C3075" s="2">
        <v>105</v>
      </c>
      <c r="D3075" s="2">
        <v>1.52</v>
      </c>
      <c r="E3075" s="2" t="s">
        <v>3075</v>
      </c>
    </row>
    <row r="3076" spans="1:5" x14ac:dyDescent="0.25">
      <c r="A3076" s="1">
        <v>105261</v>
      </c>
      <c r="B3076" s="2">
        <v>156</v>
      </c>
      <c r="C3076" s="2">
        <v>105</v>
      </c>
      <c r="D3076" s="2">
        <v>1.8</v>
      </c>
      <c r="E3076" s="2" t="s">
        <v>3076</v>
      </c>
    </row>
    <row r="3077" spans="1:5" x14ac:dyDescent="0.25">
      <c r="A3077" s="1">
        <v>105262</v>
      </c>
      <c r="B3077" s="2">
        <v>157</v>
      </c>
      <c r="C3077" s="2">
        <v>105</v>
      </c>
      <c r="D3077" s="2">
        <v>35</v>
      </c>
      <c r="E3077" s="2" t="s">
        <v>3077</v>
      </c>
    </row>
    <row r="3078" spans="1:5" x14ac:dyDescent="0.25">
      <c r="A3078" s="1">
        <v>105263</v>
      </c>
      <c r="B3078" s="2">
        <v>158</v>
      </c>
      <c r="C3078" s="2">
        <v>105</v>
      </c>
      <c r="D3078" s="2">
        <v>27</v>
      </c>
      <c r="E3078" s="2" t="s">
        <v>3078</v>
      </c>
    </row>
    <row r="3079" spans="1:5" x14ac:dyDescent="0.25">
      <c r="A3079" s="1">
        <v>105267</v>
      </c>
      <c r="B3079" s="2">
        <v>162</v>
      </c>
      <c r="C3079" s="2">
        <v>105</v>
      </c>
      <c r="D3079" s="2">
        <v>4380</v>
      </c>
      <c r="E3079" s="2" t="s">
        <v>3079</v>
      </c>
    </row>
    <row r="3080" spans="1:5" x14ac:dyDescent="0.25">
      <c r="A3080" s="1">
        <v>105268</v>
      </c>
      <c r="B3080" s="2">
        <v>163</v>
      </c>
      <c r="C3080" s="2">
        <v>105</v>
      </c>
      <c r="D3080" s="2">
        <v>115200</v>
      </c>
      <c r="E3080" s="2" t="s">
        <v>3080</v>
      </c>
    </row>
    <row r="3081" spans="1:5" x14ac:dyDescent="0.25">
      <c r="A3081" s="1">
        <v>105270</v>
      </c>
      <c r="B3081" s="2">
        <v>165</v>
      </c>
      <c r="C3081" s="2">
        <v>105</v>
      </c>
      <c r="D3081" s="2">
        <v>3600</v>
      </c>
      <c r="E3081" s="2" t="s">
        <v>3081</v>
      </c>
    </row>
    <row r="3082" spans="1:5" x14ac:dyDescent="0.25">
      <c r="A3082" s="1">
        <v>106258</v>
      </c>
      <c r="B3082" s="2">
        <v>152</v>
      </c>
      <c r="C3082" s="2">
        <v>106</v>
      </c>
      <c r="D3082" s="2">
        <v>2.8999999999999998E-3</v>
      </c>
      <c r="E3082" s="2" t="s">
        <v>3082</v>
      </c>
    </row>
    <row r="3083" spans="1:5" x14ac:dyDescent="0.25">
      <c r="A3083" s="1">
        <v>106259</v>
      </c>
      <c r="B3083" s="2">
        <v>153</v>
      </c>
      <c r="C3083" s="2">
        <v>106</v>
      </c>
      <c r="D3083" s="2">
        <v>0.28999999999999998</v>
      </c>
      <c r="E3083" s="2" t="s">
        <v>3083</v>
      </c>
    </row>
    <row r="3084" spans="1:5" x14ac:dyDescent="0.25">
      <c r="A3084" s="1">
        <v>106260</v>
      </c>
      <c r="B3084" s="2">
        <v>154</v>
      </c>
      <c r="C3084" s="2">
        <v>106</v>
      </c>
      <c r="D3084" s="2">
        <v>4.9500000000000004E-3</v>
      </c>
      <c r="E3084" s="2" t="s">
        <v>3084</v>
      </c>
    </row>
    <row r="3085" spans="1:5" x14ac:dyDescent="0.25">
      <c r="A3085" s="1">
        <v>106261</v>
      </c>
      <c r="B3085" s="2">
        <v>155</v>
      </c>
      <c r="C3085" s="2">
        <v>106</v>
      </c>
      <c r="D3085" s="2">
        <v>0.17799999999999999</v>
      </c>
      <c r="E3085" s="2" t="s">
        <v>3085</v>
      </c>
    </row>
    <row r="3086" spans="1:5" x14ac:dyDescent="0.25">
      <c r="A3086" s="1">
        <v>106262</v>
      </c>
      <c r="B3086" s="2">
        <v>156</v>
      </c>
      <c r="C3086" s="2">
        <v>106</v>
      </c>
      <c r="D3086" s="2">
        <v>6.8999999999999999E-3</v>
      </c>
      <c r="E3086" s="2" t="s">
        <v>3086</v>
      </c>
    </row>
    <row r="3087" spans="1:5" x14ac:dyDescent="0.25">
      <c r="A3087" s="1">
        <v>106263</v>
      </c>
      <c r="B3087" s="2">
        <v>157</v>
      </c>
      <c r="C3087" s="2">
        <v>106</v>
      </c>
      <c r="D3087" s="2">
        <v>1</v>
      </c>
      <c r="E3087" s="2" t="s">
        <v>3087</v>
      </c>
    </row>
    <row r="3088" spans="1:5" x14ac:dyDescent="0.25">
      <c r="A3088" s="1">
        <v>106264</v>
      </c>
      <c r="B3088" s="2">
        <v>158</v>
      </c>
      <c r="C3088" s="2">
        <v>106</v>
      </c>
      <c r="D3088" s="2">
        <v>3.6999999999999998E-2</v>
      </c>
      <c r="E3088" s="2" t="s">
        <v>3088</v>
      </c>
    </row>
    <row r="3089" spans="1:5" x14ac:dyDescent="0.25">
      <c r="A3089" s="1">
        <v>106265</v>
      </c>
      <c r="B3089" s="2">
        <v>159</v>
      </c>
      <c r="C3089" s="2">
        <v>106</v>
      </c>
      <c r="D3089" s="2">
        <v>14.4</v>
      </c>
      <c r="E3089" s="2" t="s">
        <v>3089</v>
      </c>
    </row>
    <row r="3090" spans="1:5" x14ac:dyDescent="0.25">
      <c r="A3090" s="1">
        <v>106266</v>
      </c>
      <c r="B3090" s="2">
        <v>160</v>
      </c>
      <c r="C3090" s="2">
        <v>106</v>
      </c>
      <c r="D3090" s="2">
        <v>21</v>
      </c>
      <c r="E3090" s="2" t="s">
        <v>3090</v>
      </c>
    </row>
    <row r="3091" spans="1:5" x14ac:dyDescent="0.25">
      <c r="A3091" s="1">
        <v>106269</v>
      </c>
      <c r="B3091" s="2">
        <v>163</v>
      </c>
      <c r="C3091" s="2">
        <v>106</v>
      </c>
      <c r="D3091" s="2">
        <v>186</v>
      </c>
      <c r="E3091" s="2" t="s">
        <v>3091</v>
      </c>
    </row>
    <row r="3092" spans="1:5" x14ac:dyDescent="0.25">
      <c r="A3092" s="1">
        <v>106271</v>
      </c>
      <c r="B3092" s="2">
        <v>165</v>
      </c>
      <c r="C3092" s="2">
        <v>106</v>
      </c>
      <c r="D3092" s="2">
        <v>144</v>
      </c>
      <c r="E3092" s="2" t="s">
        <v>3092</v>
      </c>
    </row>
    <row r="3093" spans="1:5" x14ac:dyDescent="0.25">
      <c r="A3093" s="1">
        <v>107260</v>
      </c>
      <c r="B3093" s="2">
        <v>153</v>
      </c>
      <c r="C3093" s="2">
        <v>107</v>
      </c>
      <c r="D3093" s="2">
        <v>3.5000000000000003E-2</v>
      </c>
      <c r="E3093" s="2" t="s">
        <v>3093</v>
      </c>
    </row>
    <row r="3094" spans="1:5" x14ac:dyDescent="0.25">
      <c r="A3094" s="1">
        <v>107261</v>
      </c>
      <c r="B3094" s="2">
        <v>154</v>
      </c>
      <c r="C3094" s="2">
        <v>107</v>
      </c>
      <c r="D3094" s="2">
        <v>1.18E-2</v>
      </c>
      <c r="E3094" s="2" t="s">
        <v>3094</v>
      </c>
    </row>
    <row r="3095" spans="1:5" x14ac:dyDescent="0.25">
      <c r="A3095" s="1">
        <v>107262</v>
      </c>
      <c r="B3095" s="2">
        <v>155</v>
      </c>
      <c r="C3095" s="2">
        <v>107</v>
      </c>
      <c r="D3095" s="2">
        <v>2.1999999999999999E-2</v>
      </c>
      <c r="E3095" s="2" t="s">
        <v>3095</v>
      </c>
    </row>
    <row r="3096" spans="1:5" x14ac:dyDescent="0.25">
      <c r="A3096" s="1">
        <v>107264</v>
      </c>
      <c r="B3096" s="2">
        <v>157</v>
      </c>
      <c r="C3096" s="2">
        <v>107</v>
      </c>
      <c r="D3096" s="2">
        <v>0.44</v>
      </c>
      <c r="E3096" s="2" t="s">
        <v>3096</v>
      </c>
    </row>
    <row r="3097" spans="1:5" x14ac:dyDescent="0.25">
      <c r="A3097" s="1">
        <v>107265</v>
      </c>
      <c r="B3097" s="2">
        <v>158</v>
      </c>
      <c r="C3097" s="2">
        <v>107</v>
      </c>
      <c r="D3097" s="2">
        <v>0.9</v>
      </c>
      <c r="E3097" s="2" t="s">
        <v>3097</v>
      </c>
    </row>
    <row r="3098" spans="1:5" x14ac:dyDescent="0.25">
      <c r="A3098" s="1">
        <v>107266</v>
      </c>
      <c r="B3098" s="2">
        <v>159</v>
      </c>
      <c r="C3098" s="2">
        <v>107</v>
      </c>
      <c r="D3098" s="2">
        <v>1.7</v>
      </c>
      <c r="E3098" s="2" t="s">
        <v>3098</v>
      </c>
    </row>
    <row r="3099" spans="1:5" x14ac:dyDescent="0.25">
      <c r="A3099" s="1">
        <v>107267</v>
      </c>
      <c r="B3099" s="2">
        <v>160</v>
      </c>
      <c r="C3099" s="2">
        <v>107</v>
      </c>
      <c r="D3099" s="2">
        <v>17</v>
      </c>
      <c r="E3099" s="2" t="s">
        <v>3099</v>
      </c>
    </row>
    <row r="3100" spans="1:5" x14ac:dyDescent="0.25">
      <c r="A3100" s="1">
        <v>107270</v>
      </c>
      <c r="B3100" s="2">
        <v>163</v>
      </c>
      <c r="C3100" s="2">
        <v>107</v>
      </c>
      <c r="D3100" s="2">
        <v>60</v>
      </c>
      <c r="E3100" s="2" t="s">
        <v>3100</v>
      </c>
    </row>
    <row r="3101" spans="1:5" x14ac:dyDescent="0.25">
      <c r="A3101" s="1">
        <v>107272</v>
      </c>
      <c r="B3101" s="2">
        <v>165</v>
      </c>
      <c r="C3101" s="2">
        <v>107</v>
      </c>
      <c r="D3101" s="2">
        <v>10</v>
      </c>
      <c r="E3101" s="2" t="s">
        <v>3101</v>
      </c>
    </row>
    <row r="3102" spans="1:5" x14ac:dyDescent="0.25">
      <c r="A3102" s="1">
        <v>107274</v>
      </c>
      <c r="B3102" s="2">
        <v>167</v>
      </c>
      <c r="C3102" s="2">
        <v>107</v>
      </c>
      <c r="D3102" s="2">
        <v>54</v>
      </c>
      <c r="E3102" s="2" t="s">
        <v>3102</v>
      </c>
    </row>
    <row r="3103" spans="1:5" x14ac:dyDescent="0.25">
      <c r="A3103" s="1">
        <v>108263</v>
      </c>
      <c r="B3103" s="2">
        <v>155</v>
      </c>
      <c r="C3103" s="2">
        <v>108</v>
      </c>
      <c r="D3103" s="2">
        <v>7.3999999999999999E-4</v>
      </c>
      <c r="E3103" s="2" t="s">
        <v>3103</v>
      </c>
    </row>
    <row r="3104" spans="1:5" x14ac:dyDescent="0.25">
      <c r="A3104" s="1">
        <v>108264</v>
      </c>
      <c r="B3104" s="2">
        <v>156</v>
      </c>
      <c r="C3104" s="2">
        <v>108</v>
      </c>
      <c r="D3104" s="2">
        <v>8.0000000000000004E-4</v>
      </c>
      <c r="E3104" s="2" t="s">
        <v>3104</v>
      </c>
    </row>
    <row r="3105" spans="1:5" x14ac:dyDescent="0.25">
      <c r="A3105" s="1">
        <v>108265</v>
      </c>
      <c r="B3105" s="2">
        <v>157</v>
      </c>
      <c r="C3105" s="2">
        <v>108</v>
      </c>
      <c r="D3105" s="2">
        <v>1.9E-3</v>
      </c>
      <c r="E3105" s="2" t="s">
        <v>3105</v>
      </c>
    </row>
    <row r="3106" spans="1:5" x14ac:dyDescent="0.25">
      <c r="A3106" s="1">
        <v>108266</v>
      </c>
      <c r="B3106" s="2">
        <v>158</v>
      </c>
      <c r="C3106" s="2">
        <v>108</v>
      </c>
      <c r="D3106" s="2">
        <v>2.3E-3</v>
      </c>
      <c r="E3106" s="2" t="s">
        <v>3106</v>
      </c>
    </row>
    <row r="3107" spans="1:5" x14ac:dyDescent="0.25">
      <c r="A3107" s="1">
        <v>108267</v>
      </c>
      <c r="B3107" s="2">
        <v>159</v>
      </c>
      <c r="C3107" s="2">
        <v>108</v>
      </c>
      <c r="D3107" s="2">
        <v>5.1999999999999998E-2</v>
      </c>
      <c r="E3107" s="2" t="s">
        <v>3107</v>
      </c>
    </row>
    <row r="3108" spans="1:5" x14ac:dyDescent="0.25">
      <c r="A3108" s="1">
        <v>108268</v>
      </c>
      <c r="B3108" s="2">
        <v>160</v>
      </c>
      <c r="C3108" s="2">
        <v>108</v>
      </c>
      <c r="D3108" s="2">
        <v>0.4</v>
      </c>
      <c r="E3108" s="2" t="s">
        <v>3108</v>
      </c>
    </row>
    <row r="3109" spans="1:5" x14ac:dyDescent="0.25">
      <c r="A3109" s="1">
        <v>108269</v>
      </c>
      <c r="B3109" s="2">
        <v>161</v>
      </c>
      <c r="C3109" s="2">
        <v>108</v>
      </c>
      <c r="D3109" s="2">
        <v>9.6999999999999993</v>
      </c>
      <c r="E3109" s="2" t="s">
        <v>3109</v>
      </c>
    </row>
    <row r="3110" spans="1:5" x14ac:dyDescent="0.25">
      <c r="A3110" s="1">
        <v>108270</v>
      </c>
      <c r="B3110" s="2">
        <v>162</v>
      </c>
      <c r="C3110" s="2">
        <v>108</v>
      </c>
      <c r="D3110" s="2">
        <v>22</v>
      </c>
      <c r="E3110" s="2" t="s">
        <v>3110</v>
      </c>
    </row>
    <row r="3111" spans="1:5" x14ac:dyDescent="0.25">
      <c r="A3111" s="1">
        <v>108273</v>
      </c>
      <c r="B3111" s="2">
        <v>165</v>
      </c>
      <c r="C3111" s="2">
        <v>108</v>
      </c>
      <c r="D3111" s="2">
        <v>0.76</v>
      </c>
      <c r="E3111" s="2" t="s">
        <v>3111</v>
      </c>
    </row>
    <row r="3112" spans="1:5" x14ac:dyDescent="0.25">
      <c r="A3112" s="1">
        <v>108275</v>
      </c>
      <c r="B3112" s="2">
        <v>167</v>
      </c>
      <c r="C3112" s="2">
        <v>108</v>
      </c>
      <c r="D3112" s="2">
        <v>0.15</v>
      </c>
      <c r="E3112" s="2" t="s">
        <v>3112</v>
      </c>
    </row>
    <row r="3113" spans="1:5" x14ac:dyDescent="0.25">
      <c r="A3113" s="1">
        <v>108277</v>
      </c>
      <c r="B3113" s="2">
        <v>169</v>
      </c>
      <c r="C3113" s="2">
        <v>108</v>
      </c>
      <c r="D3113" s="2">
        <v>3.0000000000000001E-3</v>
      </c>
      <c r="E3113" s="2" t="s">
        <v>3113</v>
      </c>
    </row>
    <row r="3114" spans="1:5" x14ac:dyDescent="0.25">
      <c r="A3114" s="1">
        <v>109266</v>
      </c>
      <c r="B3114" s="2">
        <v>157</v>
      </c>
      <c r="C3114" s="2">
        <v>109</v>
      </c>
      <c r="D3114" s="2">
        <v>1.6999999999999999E-3</v>
      </c>
      <c r="E3114" s="2" t="s">
        <v>3114</v>
      </c>
    </row>
    <row r="3115" spans="1:5" x14ac:dyDescent="0.25">
      <c r="A3115" s="1">
        <v>109268</v>
      </c>
      <c r="B3115" s="2">
        <v>159</v>
      </c>
      <c r="C3115" s="2">
        <v>109</v>
      </c>
      <c r="D3115" s="2">
        <v>2.1000000000000001E-2</v>
      </c>
      <c r="E3115" s="2" t="s">
        <v>3115</v>
      </c>
    </row>
    <row r="3116" spans="1:5" x14ac:dyDescent="0.25">
      <c r="A3116" s="1">
        <v>109270</v>
      </c>
      <c r="B3116" s="2">
        <v>161</v>
      </c>
      <c r="C3116" s="2">
        <v>109</v>
      </c>
      <c r="D3116" s="2">
        <v>5.0000000000000001E-3</v>
      </c>
      <c r="E3116" s="2" t="s">
        <v>3116</v>
      </c>
    </row>
    <row r="3117" spans="1:5" x14ac:dyDescent="0.25">
      <c r="A3117" s="1">
        <v>109274</v>
      </c>
      <c r="B3117" s="2">
        <v>165</v>
      </c>
      <c r="C3117" s="2">
        <v>109</v>
      </c>
      <c r="D3117" s="2">
        <v>0.44</v>
      </c>
      <c r="E3117" s="2" t="s">
        <v>3117</v>
      </c>
    </row>
    <row r="3118" spans="1:5" x14ac:dyDescent="0.25">
      <c r="A3118" s="1">
        <v>109275</v>
      </c>
      <c r="B3118" s="2">
        <v>166</v>
      </c>
      <c r="C3118" s="2">
        <v>109</v>
      </c>
      <c r="D3118" s="2">
        <v>9.7000000000000003E-3</v>
      </c>
      <c r="E3118" s="2" t="s">
        <v>3118</v>
      </c>
    </row>
    <row r="3119" spans="1:5" x14ac:dyDescent="0.25">
      <c r="A3119" s="1">
        <v>109276</v>
      </c>
      <c r="B3119" s="2">
        <v>167</v>
      </c>
      <c r="C3119" s="2">
        <v>109</v>
      </c>
      <c r="D3119" s="2">
        <v>0.72</v>
      </c>
      <c r="E3119" s="2" t="s">
        <v>3119</v>
      </c>
    </row>
    <row r="3120" spans="1:5" x14ac:dyDescent="0.25">
      <c r="A3120" s="1">
        <v>109277</v>
      </c>
      <c r="B3120" s="2">
        <v>168</v>
      </c>
      <c r="C3120" s="2">
        <v>109</v>
      </c>
      <c r="D3120" s="2">
        <v>5</v>
      </c>
      <c r="E3120" s="2" t="s">
        <v>3120</v>
      </c>
    </row>
    <row r="3121" spans="1:5" x14ac:dyDescent="0.25">
      <c r="A3121" s="1">
        <v>109278</v>
      </c>
      <c r="B3121" s="2">
        <v>169</v>
      </c>
      <c r="C3121" s="2">
        <v>109</v>
      </c>
      <c r="D3121" s="2">
        <v>8</v>
      </c>
      <c r="E3121" s="2" t="s">
        <v>3121</v>
      </c>
    </row>
    <row r="3122" spans="1:5" x14ac:dyDescent="0.25">
      <c r="A3122" s="1">
        <v>110267</v>
      </c>
      <c r="B3122" s="2">
        <v>157</v>
      </c>
      <c r="C3122" s="2">
        <v>110</v>
      </c>
      <c r="D3122" s="2">
        <v>2.7999999999999999E-6</v>
      </c>
      <c r="E3122" s="2" t="s">
        <v>3122</v>
      </c>
    </row>
    <row r="3123" spans="1:5" x14ac:dyDescent="0.25">
      <c r="A3123" s="1">
        <v>110269</v>
      </c>
      <c r="B3123" s="2">
        <v>159</v>
      </c>
      <c r="C3123" s="2">
        <v>110</v>
      </c>
      <c r="D3123" s="2">
        <v>1.7899999999999999E-4</v>
      </c>
      <c r="E3123" s="2" t="s">
        <v>3123</v>
      </c>
    </row>
    <row r="3124" spans="1:5" x14ac:dyDescent="0.25">
      <c r="A3124" s="1">
        <v>110270</v>
      </c>
      <c r="B3124" s="2">
        <v>160</v>
      </c>
      <c r="C3124" s="2">
        <v>110</v>
      </c>
      <c r="D3124" s="2">
        <v>1E-4</v>
      </c>
      <c r="E3124" s="2" t="s">
        <v>3124</v>
      </c>
    </row>
    <row r="3125" spans="1:5" x14ac:dyDescent="0.25">
      <c r="A3125" s="1">
        <v>110271</v>
      </c>
      <c r="B3125" s="2">
        <v>161</v>
      </c>
      <c r="C3125" s="2">
        <v>110</v>
      </c>
      <c r="D3125" s="2">
        <v>1.6299999999999999E-3</v>
      </c>
      <c r="E3125" s="2" t="s">
        <v>3125</v>
      </c>
    </row>
    <row r="3126" spans="1:5" x14ac:dyDescent="0.25">
      <c r="A3126" s="1">
        <v>110273</v>
      </c>
      <c r="B3126" s="2">
        <v>163</v>
      </c>
      <c r="C3126" s="2">
        <v>110</v>
      </c>
      <c r="D3126" s="2">
        <v>1.7000000000000001E-4</v>
      </c>
      <c r="E3126" s="2" t="s">
        <v>3126</v>
      </c>
    </row>
    <row r="3127" spans="1:5" x14ac:dyDescent="0.25">
      <c r="A3127" s="1">
        <v>110277</v>
      </c>
      <c r="B3127" s="2">
        <v>167</v>
      </c>
      <c r="C3127" s="2">
        <v>110</v>
      </c>
      <c r="D3127" s="2">
        <v>4.0999999999999899E-3</v>
      </c>
      <c r="E3127" s="2" t="s">
        <v>3127</v>
      </c>
    </row>
    <row r="3128" spans="1:5" x14ac:dyDescent="0.25">
      <c r="A3128" s="1">
        <v>110279</v>
      </c>
      <c r="B3128" s="2">
        <v>169</v>
      </c>
      <c r="C3128" s="2">
        <v>110</v>
      </c>
      <c r="D3128" s="2">
        <v>0.18</v>
      </c>
      <c r="E3128" s="2" t="s">
        <v>3128</v>
      </c>
    </row>
    <row r="3129" spans="1:5" x14ac:dyDescent="0.25">
      <c r="A3129" s="1">
        <v>110281</v>
      </c>
      <c r="B3129" s="2">
        <v>171</v>
      </c>
      <c r="C3129" s="2">
        <v>110</v>
      </c>
      <c r="D3129" s="2">
        <v>13</v>
      </c>
      <c r="E3129" s="2" t="s">
        <v>3129</v>
      </c>
    </row>
    <row r="3130" spans="1:5" x14ac:dyDescent="0.25">
      <c r="A3130" s="1">
        <v>111272</v>
      </c>
      <c r="B3130" s="2">
        <v>161</v>
      </c>
      <c r="C3130" s="2">
        <v>111</v>
      </c>
      <c r="D3130" s="2">
        <v>3.8E-3</v>
      </c>
      <c r="E3130" s="2" t="s">
        <v>3130</v>
      </c>
    </row>
    <row r="3131" spans="1:5" x14ac:dyDescent="0.25">
      <c r="A3131" s="1">
        <v>111274</v>
      </c>
      <c r="B3131" s="2">
        <v>163</v>
      </c>
      <c r="C3131" s="2">
        <v>111</v>
      </c>
      <c r="D3131" s="2">
        <v>6.4000000000000003E-3</v>
      </c>
      <c r="E3131" s="2" t="s">
        <v>3131</v>
      </c>
    </row>
    <row r="3132" spans="1:5" x14ac:dyDescent="0.25">
      <c r="A3132" s="1">
        <v>111278</v>
      </c>
      <c r="B3132" s="2">
        <v>167</v>
      </c>
      <c r="C3132" s="2">
        <v>111</v>
      </c>
      <c r="D3132" s="2">
        <v>4.1999999999999997E-3</v>
      </c>
      <c r="E3132" s="2" t="s">
        <v>3132</v>
      </c>
    </row>
    <row r="3133" spans="1:5" x14ac:dyDescent="0.25">
      <c r="A3133" s="1">
        <v>111279</v>
      </c>
      <c r="B3133" s="2">
        <v>168</v>
      </c>
      <c r="C3133" s="2">
        <v>111</v>
      </c>
      <c r="D3133" s="2">
        <v>0.17</v>
      </c>
      <c r="E3133" s="2" t="s">
        <v>3133</v>
      </c>
    </row>
    <row r="3134" spans="1:5" x14ac:dyDescent="0.25">
      <c r="A3134" s="1">
        <v>111280</v>
      </c>
      <c r="B3134" s="2">
        <v>169</v>
      </c>
      <c r="C3134" s="2">
        <v>111</v>
      </c>
      <c r="D3134" s="2">
        <v>3.6</v>
      </c>
      <c r="E3134" s="2" t="s">
        <v>3134</v>
      </c>
    </row>
    <row r="3135" spans="1:5" x14ac:dyDescent="0.25">
      <c r="A3135" s="1">
        <v>111281</v>
      </c>
      <c r="B3135" s="2">
        <v>170</v>
      </c>
      <c r="C3135" s="2">
        <v>111</v>
      </c>
      <c r="D3135" s="2">
        <v>17</v>
      </c>
      <c r="E3135" s="2" t="s">
        <v>3135</v>
      </c>
    </row>
    <row r="3136" spans="1:5" x14ac:dyDescent="0.25">
      <c r="A3136" s="1">
        <v>111282</v>
      </c>
      <c r="B3136" s="2">
        <v>171</v>
      </c>
      <c r="C3136" s="2">
        <v>111</v>
      </c>
      <c r="D3136" s="2">
        <v>0.5</v>
      </c>
      <c r="E3136" s="2" t="s">
        <v>3136</v>
      </c>
    </row>
    <row r="3137" spans="1:5" x14ac:dyDescent="0.25">
      <c r="A3137" s="1">
        <v>112281</v>
      </c>
      <c r="B3137" s="2">
        <v>169</v>
      </c>
      <c r="C3137" s="2">
        <v>112</v>
      </c>
      <c r="D3137" s="2">
        <v>0.13</v>
      </c>
      <c r="E3137" s="2" t="s">
        <v>3137</v>
      </c>
    </row>
    <row r="3138" spans="1:5" x14ac:dyDescent="0.25">
      <c r="A3138" s="1">
        <v>112282</v>
      </c>
      <c r="B3138" s="2">
        <v>170</v>
      </c>
      <c r="C3138" s="2">
        <v>112</v>
      </c>
      <c r="D3138" s="2">
        <v>5.0000000000000001E-4</v>
      </c>
      <c r="E3138" s="2" t="s">
        <v>3138</v>
      </c>
    </row>
    <row r="3139" spans="1:5" x14ac:dyDescent="0.25">
      <c r="A3139" s="1">
        <v>112283</v>
      </c>
      <c r="B3139" s="2">
        <v>171</v>
      </c>
      <c r="C3139" s="2">
        <v>112</v>
      </c>
      <c r="D3139" s="2">
        <v>4</v>
      </c>
      <c r="E3139" s="2" t="s">
        <v>3139</v>
      </c>
    </row>
    <row r="3140" spans="1:5" x14ac:dyDescent="0.25">
      <c r="A3140" s="1">
        <v>112284</v>
      </c>
      <c r="B3140" s="2">
        <v>172</v>
      </c>
      <c r="C3140" s="2">
        <v>112</v>
      </c>
      <c r="D3140" s="2">
        <v>0.10100000000000001</v>
      </c>
      <c r="E3140" s="2" t="s">
        <v>3140</v>
      </c>
    </row>
    <row r="3141" spans="1:5" x14ac:dyDescent="0.25">
      <c r="A3141" s="1">
        <v>112285</v>
      </c>
      <c r="B3141" s="2">
        <v>173</v>
      </c>
      <c r="C3141" s="2">
        <v>112</v>
      </c>
      <c r="D3141" s="2">
        <v>30</v>
      </c>
      <c r="E3141" s="2" t="s">
        <v>3141</v>
      </c>
    </row>
    <row r="3142" spans="1:5" x14ac:dyDescent="0.25">
      <c r="A3142" s="1">
        <v>113278</v>
      </c>
      <c r="B3142" s="2">
        <v>165</v>
      </c>
      <c r="C3142" s="2">
        <v>113</v>
      </c>
      <c r="D3142" s="2">
        <v>2.4000000000000001E-4</v>
      </c>
      <c r="E3142" s="2" t="s">
        <v>3142</v>
      </c>
    </row>
    <row r="3143" spans="1:5" x14ac:dyDescent="0.25">
      <c r="A3143" s="1">
        <v>113282</v>
      </c>
      <c r="B3143" s="2">
        <v>169</v>
      </c>
      <c r="C3143" s="2">
        <v>113</v>
      </c>
      <c r="D3143" s="2">
        <v>7.0000000000000007E-2</v>
      </c>
      <c r="E3143" s="2" t="s">
        <v>3143</v>
      </c>
    </row>
    <row r="3144" spans="1:5" x14ac:dyDescent="0.25">
      <c r="A3144" s="1">
        <v>113283</v>
      </c>
      <c r="B3144" s="2">
        <v>170</v>
      </c>
      <c r="C3144" s="2">
        <v>113</v>
      </c>
      <c r="D3144" s="2">
        <v>0.1</v>
      </c>
      <c r="E3144" s="2" t="s">
        <v>3144</v>
      </c>
    </row>
    <row r="3145" spans="1:5" x14ac:dyDescent="0.25">
      <c r="A3145" s="1">
        <v>113284</v>
      </c>
      <c r="B3145" s="2">
        <v>171</v>
      </c>
      <c r="C3145" s="2">
        <v>113</v>
      </c>
      <c r="D3145" s="2">
        <v>0.48</v>
      </c>
      <c r="E3145" s="2" t="s">
        <v>3145</v>
      </c>
    </row>
    <row r="3146" spans="1:5" x14ac:dyDescent="0.25">
      <c r="A3146" s="1">
        <v>113285</v>
      </c>
      <c r="B3146" s="2">
        <v>172</v>
      </c>
      <c r="C3146" s="2">
        <v>113</v>
      </c>
      <c r="D3146" s="2">
        <v>5.5</v>
      </c>
      <c r="E3146" s="2" t="s">
        <v>3146</v>
      </c>
    </row>
    <row r="3147" spans="1:5" x14ac:dyDescent="0.25">
      <c r="A3147" s="1">
        <v>113286</v>
      </c>
      <c r="B3147" s="2">
        <v>173</v>
      </c>
      <c r="C3147" s="2">
        <v>113</v>
      </c>
      <c r="D3147" s="2">
        <v>20</v>
      </c>
      <c r="E3147" s="2" t="s">
        <v>3147</v>
      </c>
    </row>
    <row r="3148" spans="1:5" x14ac:dyDescent="0.25">
      <c r="A3148" s="1">
        <v>114284</v>
      </c>
      <c r="B3148" s="2">
        <v>170</v>
      </c>
      <c r="C3148" s="2">
        <v>114</v>
      </c>
      <c r="D3148" s="2">
        <v>2.5000000000000001E-3</v>
      </c>
      <c r="E3148" s="2" t="s">
        <v>3148</v>
      </c>
    </row>
    <row r="3149" spans="1:5" x14ac:dyDescent="0.25">
      <c r="A3149" s="1">
        <v>114285</v>
      </c>
      <c r="B3149" s="2">
        <v>171</v>
      </c>
      <c r="C3149" s="2">
        <v>114</v>
      </c>
      <c r="D3149" s="2">
        <v>0.15</v>
      </c>
      <c r="E3149" s="2" t="s">
        <v>3149</v>
      </c>
    </row>
    <row r="3150" spans="1:5" x14ac:dyDescent="0.25">
      <c r="A3150" s="1">
        <v>114286</v>
      </c>
      <c r="B3150" s="2">
        <v>172</v>
      </c>
      <c r="C3150" s="2">
        <v>114</v>
      </c>
      <c r="D3150" s="2">
        <v>0.16</v>
      </c>
      <c r="E3150" s="2" t="s">
        <v>3150</v>
      </c>
    </row>
    <row r="3151" spans="1:5" x14ac:dyDescent="0.25">
      <c r="A3151" s="1">
        <v>114287</v>
      </c>
      <c r="B3151" s="2">
        <v>173</v>
      </c>
      <c r="C3151" s="2">
        <v>114</v>
      </c>
      <c r="D3151" s="2">
        <v>0.51</v>
      </c>
      <c r="E3151" s="2" t="s">
        <v>3151</v>
      </c>
    </row>
    <row r="3152" spans="1:5" x14ac:dyDescent="0.25">
      <c r="A3152" s="1">
        <v>114288</v>
      </c>
      <c r="B3152" s="2">
        <v>174</v>
      </c>
      <c r="C3152" s="2">
        <v>114</v>
      </c>
      <c r="D3152" s="2">
        <v>0.52</v>
      </c>
      <c r="E3152" s="2" t="s">
        <v>3152</v>
      </c>
    </row>
    <row r="3153" spans="1:5" x14ac:dyDescent="0.25">
      <c r="A3153" s="1">
        <v>114289</v>
      </c>
      <c r="B3153" s="2">
        <v>175</v>
      </c>
      <c r="C3153" s="2">
        <v>114</v>
      </c>
      <c r="D3153" s="2">
        <v>0.97</v>
      </c>
      <c r="E3153" s="2" t="s">
        <v>3153</v>
      </c>
    </row>
    <row r="3154" spans="1:5" x14ac:dyDescent="0.25">
      <c r="A3154" s="1">
        <v>115287</v>
      </c>
      <c r="B3154" s="2">
        <v>172</v>
      </c>
      <c r="C3154" s="2">
        <v>115</v>
      </c>
      <c r="D3154" s="2">
        <v>3.2000000000000001E-2</v>
      </c>
      <c r="E3154" s="2" t="s">
        <v>3154</v>
      </c>
    </row>
    <row r="3155" spans="1:5" x14ac:dyDescent="0.25">
      <c r="A3155" s="1">
        <v>115288</v>
      </c>
      <c r="B3155" s="2">
        <v>173</v>
      </c>
      <c r="C3155" s="2">
        <v>115</v>
      </c>
      <c r="D3155" s="2">
        <v>8.6999999999999994E-2</v>
      </c>
      <c r="E3155" s="2" t="s">
        <v>3155</v>
      </c>
    </row>
    <row r="3156" spans="1:5" x14ac:dyDescent="0.25">
      <c r="A3156" s="1">
        <v>115289</v>
      </c>
      <c r="B3156" s="2">
        <v>174</v>
      </c>
      <c r="C3156" s="2">
        <v>115</v>
      </c>
      <c r="D3156" s="2">
        <v>0.22</v>
      </c>
      <c r="E3156" s="2" t="s">
        <v>3156</v>
      </c>
    </row>
    <row r="3157" spans="1:5" x14ac:dyDescent="0.25">
      <c r="A3157" s="1">
        <v>115290</v>
      </c>
      <c r="B3157" s="2">
        <v>175</v>
      </c>
      <c r="C3157" s="2">
        <v>115</v>
      </c>
      <c r="D3157" s="2">
        <v>1.6E-2</v>
      </c>
      <c r="E3157" s="2" t="s">
        <v>3157</v>
      </c>
    </row>
    <row r="3158" spans="1:5" x14ac:dyDescent="0.25">
      <c r="A3158" s="1">
        <v>116290</v>
      </c>
      <c r="B3158" s="2">
        <v>174</v>
      </c>
      <c r="C3158" s="2">
        <v>116</v>
      </c>
      <c r="D3158" s="2">
        <v>1.4999999999999999E-2</v>
      </c>
      <c r="E3158" s="2" t="s">
        <v>3158</v>
      </c>
    </row>
    <row r="3159" spans="1:5" x14ac:dyDescent="0.25">
      <c r="A3159" s="1">
        <v>116291</v>
      </c>
      <c r="B3159" s="2">
        <v>175</v>
      </c>
      <c r="C3159" s="2">
        <v>116</v>
      </c>
      <c r="D3159" s="2">
        <v>6.3E-3</v>
      </c>
      <c r="E3159" s="2" t="s">
        <v>3159</v>
      </c>
    </row>
    <row r="3160" spans="1:5" x14ac:dyDescent="0.25">
      <c r="A3160" s="1">
        <v>116292</v>
      </c>
      <c r="B3160" s="2">
        <v>176</v>
      </c>
      <c r="C3160" s="2">
        <v>116</v>
      </c>
      <c r="D3160" s="2">
        <v>1.7999999999999999E-2</v>
      </c>
      <c r="E3160" s="2" t="s">
        <v>3160</v>
      </c>
    </row>
    <row r="3161" spans="1:5" x14ac:dyDescent="0.25">
      <c r="A3161" s="1">
        <v>116293</v>
      </c>
      <c r="B3161" s="2">
        <v>177</v>
      </c>
      <c r="C3161" s="2">
        <v>116</v>
      </c>
      <c r="D3161" s="2">
        <v>5.2999999999999999E-2</v>
      </c>
      <c r="E3161" s="2" t="s">
        <v>3161</v>
      </c>
    </row>
    <row r="3162" spans="1:5" x14ac:dyDescent="0.25">
      <c r="A3162" s="1">
        <v>117293</v>
      </c>
      <c r="B3162" s="2">
        <v>176</v>
      </c>
      <c r="C3162" s="2">
        <v>117</v>
      </c>
      <c r="D3162" s="2">
        <v>1.4E-2</v>
      </c>
      <c r="E3162" s="2" t="s">
        <v>3162</v>
      </c>
    </row>
    <row r="3163" spans="1:5" x14ac:dyDescent="0.25">
      <c r="A3163" s="1">
        <v>117294</v>
      </c>
      <c r="B3163" s="2">
        <v>177</v>
      </c>
      <c r="C3163" s="2">
        <v>117</v>
      </c>
      <c r="D3163" s="2">
        <v>0.08</v>
      </c>
      <c r="E3163" s="2" t="s">
        <v>3163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E5F-F5AA-462D-891F-48BAF0FE7197}">
  <sheetPr filterMode="1"/>
  <dimension ref="B1:V67"/>
  <sheetViews>
    <sheetView tabSelected="1" topLeftCell="F1" workbookViewId="0">
      <selection activeCell="T6" sqref="T6:V40"/>
    </sheetView>
  </sheetViews>
  <sheetFormatPr defaultRowHeight="14.25" x14ac:dyDescent="0.2"/>
  <sheetData>
    <row r="1" spans="2:22" x14ac:dyDescent="0.2">
      <c r="B1" s="3" t="s">
        <v>3164</v>
      </c>
      <c r="C1" s="3" t="s">
        <v>3165</v>
      </c>
      <c r="D1" s="3" t="s">
        <v>3166</v>
      </c>
      <c r="E1" s="3" t="s">
        <v>3164</v>
      </c>
      <c r="F1" s="4" t="s">
        <v>3167</v>
      </c>
      <c r="G1" s="4" t="s">
        <v>3167</v>
      </c>
      <c r="H1" s="3" t="s">
        <v>3168</v>
      </c>
      <c r="I1" s="3" t="s">
        <v>3169</v>
      </c>
      <c r="J1" s="3" t="s">
        <v>3170</v>
      </c>
      <c r="K1" s="3" t="s">
        <v>3171</v>
      </c>
      <c r="L1" s="5">
        <v>21</v>
      </c>
      <c r="M1" s="5">
        <v>63</v>
      </c>
      <c r="N1" s="5">
        <v>105</v>
      </c>
    </row>
    <row r="2" spans="2:22" hidden="1" x14ac:dyDescent="0.2"/>
    <row r="3" spans="2:22" x14ac:dyDescent="0.2">
      <c r="B3">
        <v>1001</v>
      </c>
      <c r="C3" s="9">
        <v>9.9999999999999995E-8</v>
      </c>
      <c r="D3">
        <v>10</v>
      </c>
      <c r="E3" s="7" t="str">
        <f>VLOOKUP(B3,Nuclides!A:F,5,FALSE)</f>
        <v>H</v>
      </c>
      <c r="F3" s="7">
        <f>VLOOKUP(B3,Nuclides!A:F,4,FALSE)</f>
        <v>613.9</v>
      </c>
      <c r="G3" s="8" t="str">
        <f t="shared" ref="G3" si="0">IF(F3="STABLE", "STABLE", IF(F3&lt;60, F3&amp;"s", IF(F3&lt;3600, ROUND(F3/60,2)&amp;"min", IF(F3&lt;86400, ROUND(F3/3600,2)&amp;"h", IF(F3&lt;31536000, ROUND(F3/86400,2)&amp;"d", ROUND(F3/31536000,2)&amp;"y")))))</f>
        <v>10.23min</v>
      </c>
      <c r="H3" s="4">
        <f t="shared" ref="H3" si="1">LN(2)/F3</f>
        <v>1.1290880934353238E-3</v>
      </c>
      <c r="I3" s="4">
        <f>500*6240000000000*C3*(1-EXP(-H3*1*24*3600))</f>
        <v>312000000</v>
      </c>
      <c r="J3" s="6">
        <f>I3*EXP(-H3*10)</f>
        <v>308497058.01293641</v>
      </c>
      <c r="K3" s="7" t="str">
        <f t="shared" ref="K3" si="2">E3</f>
        <v>H</v>
      </c>
      <c r="L3" s="6" cm="1">
        <f t="array" ref="L3">SUM(($J3*EXP(-$H3*17*24*3600*_xlfn.SEQUENCE(L$1-1))))+$J3</f>
        <v>308497058.01293641</v>
      </c>
      <c r="M3" s="6" cm="1">
        <f t="array" ref="M3">SUM(($J3*EXP(-$H3*17*24*3600*_xlfn.SEQUENCE(M$1-1))))+$J3</f>
        <v>308497058.01293641</v>
      </c>
      <c r="N3" s="6" cm="1">
        <f t="array" ref="N3">SUM(($J3*EXP(-$H3*17*24*3600*_xlfn.SEQUENCE(N$1-1))))+$J3</f>
        <v>308497058.01293641</v>
      </c>
    </row>
    <row r="4" spans="2:22" hidden="1" x14ac:dyDescent="0.2">
      <c r="B4">
        <v>1002</v>
      </c>
      <c r="C4" s="9">
        <v>2.9999999999999999E-7</v>
      </c>
      <c r="D4">
        <v>11</v>
      </c>
      <c r="E4" s="7" t="str">
        <f>VLOOKUP(B4,Nuclides!A:F,5,FALSE)</f>
        <v>H2</v>
      </c>
      <c r="F4" s="7" t="str">
        <f>VLOOKUP(B4,Nuclides!A:F,4,FALSE)</f>
        <v>STABLE</v>
      </c>
      <c r="G4" s="8" t="str">
        <f t="shared" ref="G4:G40" si="3">IF(F4="STABLE", "STABLE", IF(F4&lt;60, F4&amp;"s", IF(F4&lt;3600, ROUND(F4/60,2)&amp;"min", IF(F4&lt;86400, ROUND(F4/3600,2)&amp;"h", IF(F4&lt;31536000, ROUND(F4/86400,2)&amp;"d", ROUND(F4/31536000,2)&amp;"y")))))</f>
        <v>STABLE</v>
      </c>
      <c r="H4" s="4" t="e">
        <f t="shared" ref="H4:H40" si="4">LN(2)/F4</f>
        <v>#VALUE!</v>
      </c>
      <c r="I4" s="4" t="e">
        <f t="shared" ref="I4:I39" si="5">500*6240000000000*C4*(1-EXP(-H4*10*24*3600))</f>
        <v>#VALUE!</v>
      </c>
      <c r="J4" s="6" t="e">
        <f t="shared" ref="J4:J36" si="6">I4*EXP(-H4*10*24*3600)</f>
        <v>#VALUE!</v>
      </c>
      <c r="K4" s="7" t="str">
        <f t="shared" ref="K4:K40" si="7">E4</f>
        <v>H2</v>
      </c>
      <c r="L4" s="6" t="e" cm="1">
        <f t="array" ref="L4">SUM(($J4*EXP(-$H4*17*24*3600*_xlfn.SEQUENCE(L$1-1))))+$J4</f>
        <v>#VALUE!</v>
      </c>
      <c r="M4" s="6" t="e" cm="1">
        <f t="array" ref="M4">SUM(($J4*EXP(-$H4*17*24*3600*_xlfn.SEQUENCE(M$1-1))))+$J4</f>
        <v>#VALUE!</v>
      </c>
      <c r="N4" s="6" t="e" cm="1">
        <f t="array" ref="N4">SUM(($J4*EXP(-$H4*17*24*3600*_xlfn.SEQUENCE(N$1-1))))+$J4</f>
        <v>#VALUE!</v>
      </c>
    </row>
    <row r="5" spans="2:22" hidden="1" x14ac:dyDescent="0.2">
      <c r="B5">
        <v>2004</v>
      </c>
      <c r="C5" s="9">
        <v>3.1999999999999999E-6</v>
      </c>
      <c r="D5">
        <v>12</v>
      </c>
      <c r="E5" s="7" t="str">
        <f>VLOOKUP(B5,Nuclides!A:F,5,FALSE)</f>
        <v>He4</v>
      </c>
      <c r="F5" s="7" t="str">
        <f>VLOOKUP(B5,Nuclides!A:F,4,FALSE)</f>
        <v>STABLE</v>
      </c>
      <c r="G5" s="8" t="str">
        <f t="shared" si="3"/>
        <v>STABLE</v>
      </c>
      <c r="H5" s="4" t="e">
        <f t="shared" si="4"/>
        <v>#VALUE!</v>
      </c>
      <c r="I5" s="4" t="e">
        <f t="shared" si="5"/>
        <v>#VALUE!</v>
      </c>
      <c r="J5" s="6" t="e">
        <f t="shared" si="6"/>
        <v>#VALUE!</v>
      </c>
      <c r="K5" s="7" t="str">
        <f t="shared" si="7"/>
        <v>He4</v>
      </c>
      <c r="L5" s="6" t="e" cm="1">
        <f t="array" ref="L5">SUM(($J5*EXP(-$H5*17*24*3600*_xlfn.SEQUENCE(L$1-1))))+$J5</f>
        <v>#VALUE!</v>
      </c>
      <c r="M5" s="6" t="e" cm="1">
        <f t="array" ref="M5">SUM(($J5*EXP(-$H5*17*24*3600*_xlfn.SEQUENCE(M$1-1))))+$J5</f>
        <v>#VALUE!</v>
      </c>
      <c r="N5" s="6" t="e" cm="1">
        <f t="array" ref="N5">SUM(($J5*EXP(-$H5*17*24*3600*_xlfn.SEQUENCE(N$1-1))))+$J5</f>
        <v>#VALUE!</v>
      </c>
    </row>
    <row r="6" spans="2:22" x14ac:dyDescent="0.2">
      <c r="B6">
        <v>2006</v>
      </c>
      <c r="C6" s="9">
        <v>1.1999999999999999E-6</v>
      </c>
      <c r="D6">
        <v>13</v>
      </c>
      <c r="E6" s="7" t="str">
        <f>VLOOKUP(B6,Nuclides!A:F,5,FALSE)</f>
        <v>He6</v>
      </c>
      <c r="F6" s="7">
        <f>VLOOKUP(B6,Nuclides!A:F,4,FALSE)</f>
        <v>0.80669999999999997</v>
      </c>
      <c r="G6" s="8" t="str">
        <f t="shared" si="3"/>
        <v>0.8067s</v>
      </c>
      <c r="H6" s="4">
        <f t="shared" si="4"/>
        <v>0.85923785863387292</v>
      </c>
      <c r="I6" s="4">
        <f>500*6240000000000*C6*(1-EXP(-H6*1*24*3600))</f>
        <v>3744000000</v>
      </c>
      <c r="J6" s="6">
        <f>I6*EXP(-H6*10)</f>
        <v>694565.54170076153</v>
      </c>
      <c r="K6" s="7" t="str">
        <f t="shared" si="7"/>
        <v>He6</v>
      </c>
      <c r="L6" s="6" cm="1">
        <f t="array" ref="L6">SUM(($J6*EXP(-$H6*17*24*3600*_xlfn.SEQUENCE(L$1-1))))+$J6</f>
        <v>694565.54170076153</v>
      </c>
      <c r="M6" s="6" cm="1">
        <f t="array" ref="M6">SUM(($J6*EXP(-$H6*17*24*3600*_xlfn.SEQUENCE(M$1-1))))+$J6</f>
        <v>694565.54170076153</v>
      </c>
      <c r="N6" s="6" cm="1">
        <f t="array" ref="N6">SUM(($J6*EXP(-$H6*17*24*3600*_xlfn.SEQUENCE(N$1-1))))+$J6</f>
        <v>694565.54170076153</v>
      </c>
      <c r="P6" t="str">
        <f>E6</f>
        <v>He6</v>
      </c>
      <c r="Q6" s="9">
        <f>J6</f>
        <v>694565.54170076153</v>
      </c>
      <c r="R6" s="9" t="str">
        <f>G6</f>
        <v>0.8067s</v>
      </c>
      <c r="T6" t="str">
        <f>P6</f>
        <v>He6</v>
      </c>
      <c r="U6" s="9">
        <f>Q6*0.72/100</f>
        <v>5000.8719002454827</v>
      </c>
      <c r="V6">
        <f>0</f>
        <v>0</v>
      </c>
    </row>
    <row r="7" spans="2:22" hidden="1" x14ac:dyDescent="0.2">
      <c r="B7">
        <v>3006</v>
      </c>
      <c r="C7" s="9">
        <v>1.3129999999999999E-4</v>
      </c>
      <c r="D7">
        <v>14</v>
      </c>
      <c r="E7" s="7" t="str">
        <f>VLOOKUP(B7,Nuclides!A:F,5,FALSE)</f>
        <v>Li6</v>
      </c>
      <c r="F7" s="7" t="str">
        <f>VLOOKUP(B7,Nuclides!A:F,4,FALSE)</f>
        <v>STABLE</v>
      </c>
      <c r="G7" s="8" t="str">
        <f t="shared" si="3"/>
        <v>STABLE</v>
      </c>
      <c r="H7" s="4" t="e">
        <f t="shared" si="4"/>
        <v>#VALUE!</v>
      </c>
      <c r="I7" s="4" t="e">
        <f t="shared" si="5"/>
        <v>#VALUE!</v>
      </c>
      <c r="J7" s="6" t="e">
        <f t="shared" si="6"/>
        <v>#VALUE!</v>
      </c>
      <c r="K7" s="7" t="str">
        <f t="shared" si="7"/>
        <v>Li6</v>
      </c>
      <c r="L7" s="6" t="e" cm="1">
        <f t="array" ref="L7">SUM(($J7*EXP(-$H7*17*24*3600*_xlfn.SEQUENCE(L$1-1))))+$J7</f>
        <v>#VALUE!</v>
      </c>
      <c r="M7" s="6" t="e" cm="1">
        <f t="array" ref="M7">SUM(($J7*EXP(-$H7*17*24*3600*_xlfn.SEQUENCE(M$1-1))))+$J7</f>
        <v>#VALUE!</v>
      </c>
      <c r="N7" s="6" t="e" cm="1">
        <f t="array" ref="N7">SUM(($J7*EXP(-$H7*17*24*3600*_xlfn.SEQUENCE(N$1-1))))+$J7</f>
        <v>#VALUE!</v>
      </c>
    </row>
    <row r="8" spans="2:22" hidden="1" x14ac:dyDescent="0.2">
      <c r="B8">
        <v>3007</v>
      </c>
      <c r="C8" s="9">
        <v>4.1499999999999999E-5</v>
      </c>
      <c r="D8">
        <v>15</v>
      </c>
      <c r="E8" s="7" t="str">
        <f>VLOOKUP(B8,Nuclides!A:F,5,FALSE)</f>
        <v>Li7</v>
      </c>
      <c r="F8" s="7" t="str">
        <f>VLOOKUP(B8,Nuclides!A:F,4,FALSE)</f>
        <v>STABLE</v>
      </c>
      <c r="G8" s="8" t="str">
        <f t="shared" si="3"/>
        <v>STABLE</v>
      </c>
      <c r="H8" s="4" t="e">
        <f t="shared" si="4"/>
        <v>#VALUE!</v>
      </c>
      <c r="I8" s="4" t="e">
        <f t="shared" si="5"/>
        <v>#VALUE!</v>
      </c>
      <c r="J8" s="6" t="e">
        <f t="shared" si="6"/>
        <v>#VALUE!</v>
      </c>
      <c r="K8" s="7" t="str">
        <f t="shared" si="7"/>
        <v>Li7</v>
      </c>
      <c r="L8" s="6" t="e" cm="1">
        <f t="array" ref="L8">SUM(($J8*EXP(-$H8*17*24*3600*_xlfn.SEQUENCE(L$1-1))))+$J8</f>
        <v>#VALUE!</v>
      </c>
      <c r="M8" s="6" t="e" cm="1">
        <f t="array" ref="M8">SUM(($J8*EXP(-$H8*17*24*3600*_xlfn.SEQUENCE(M$1-1))))+$J8</f>
        <v>#VALUE!</v>
      </c>
      <c r="N8" s="6" t="e" cm="1">
        <f t="array" ref="N8">SUM(($J8*EXP(-$H8*17*24*3600*_xlfn.SEQUENCE(N$1-1))))+$J8</f>
        <v>#VALUE!</v>
      </c>
    </row>
    <row r="9" spans="2:22" x14ac:dyDescent="0.2">
      <c r="B9">
        <v>3008</v>
      </c>
      <c r="C9" s="9">
        <v>1.9999999999999999E-6</v>
      </c>
      <c r="D9">
        <v>16</v>
      </c>
      <c r="E9" s="7" t="str">
        <f>VLOOKUP(B9,Nuclides!A:F,5,FALSE)</f>
        <v>Li8</v>
      </c>
      <c r="F9" s="7">
        <f>VLOOKUP(B9,Nuclides!A:F,4,FALSE)</f>
        <v>0.83989999999999998</v>
      </c>
      <c r="G9" s="8" t="str">
        <f t="shared" si="3"/>
        <v>0.8399s</v>
      </c>
      <c r="H9" s="4">
        <f t="shared" si="4"/>
        <v>0.82527346179300543</v>
      </c>
      <c r="I9" s="4">
        <f t="shared" ref="I9:I10" si="8">500*6240000000000*C9*(1-EXP(-H9*1*24*3600))</f>
        <v>6240000000</v>
      </c>
      <c r="J9" s="6">
        <f t="shared" ref="J9:J10" si="9">I9*EXP(-H9*10)</f>
        <v>1625801.3674659696</v>
      </c>
      <c r="K9" s="7" t="str">
        <f t="shared" si="7"/>
        <v>Li8</v>
      </c>
      <c r="L9" s="6" cm="1">
        <f t="array" ref="L9">SUM(($J9*EXP(-$H9*17*24*3600*_xlfn.SEQUENCE(L$1-1))))+$J9</f>
        <v>1625801.3674659696</v>
      </c>
      <c r="M9" s="6" cm="1">
        <f t="array" ref="M9">SUM(($J9*EXP(-$H9*17*24*3600*_xlfn.SEQUENCE(M$1-1))))+$J9</f>
        <v>1625801.3674659696</v>
      </c>
      <c r="N9" s="6" cm="1">
        <f t="array" ref="N9">SUM(($J9*EXP(-$H9*17*24*3600*_xlfn.SEQUENCE(N$1-1))))+$J9</f>
        <v>1625801.3674659696</v>
      </c>
      <c r="P9" t="str">
        <f t="shared" ref="P9:P10" si="10">E9</f>
        <v>Li8</v>
      </c>
      <c r="Q9" s="9">
        <f t="shared" ref="Q9:Q10" si="11">J9</f>
        <v>1625801.3674659696</v>
      </c>
      <c r="R9" s="9" t="str">
        <f t="shared" ref="R9:R10" si="12">G9</f>
        <v>0.8399s</v>
      </c>
      <c r="T9" t="str">
        <f t="shared" ref="T9:T10" si="13">P9</f>
        <v>Li8</v>
      </c>
      <c r="U9" s="9">
        <f t="shared" ref="U9:U10" si="14">Q9*0.72/100</f>
        <v>11705.769845754981</v>
      </c>
      <c r="V9">
        <f>0</f>
        <v>0</v>
      </c>
    </row>
    <row r="10" spans="2:22" x14ac:dyDescent="0.2">
      <c r="B10">
        <v>4007</v>
      </c>
      <c r="C10" s="9">
        <v>9.5099999999999994E-5</v>
      </c>
      <c r="D10">
        <v>17</v>
      </c>
      <c r="E10" s="7" t="str">
        <f>VLOOKUP(B10,Nuclides!A:F,5,FALSE)</f>
        <v>Be7</v>
      </c>
      <c r="F10" s="7">
        <f>VLOOKUP(B10,Nuclides!A:F,4,FALSE)</f>
        <v>4598208</v>
      </c>
      <c r="G10" s="8" t="str">
        <f t="shared" si="3"/>
        <v>53.22d</v>
      </c>
      <c r="H10" s="4">
        <f t="shared" si="4"/>
        <v>1.507428938751673E-7</v>
      </c>
      <c r="I10" s="4">
        <f t="shared" si="8"/>
        <v>3839375641.8385382</v>
      </c>
      <c r="J10" s="6">
        <f t="shared" si="9"/>
        <v>3839369854.2569513</v>
      </c>
      <c r="K10" s="7" t="str">
        <f t="shared" si="7"/>
        <v>Be7</v>
      </c>
      <c r="L10" s="6" cm="1">
        <f t="array" ref="L10">SUM(($J10*EXP(-$H10*17*24*3600*_xlfn.SEQUENCE(L$1-1))))+$J10</f>
        <v>19146017897.990772</v>
      </c>
      <c r="M10" s="6" cm="1">
        <f t="array" ref="M10">SUM(($J10*EXP(-$H10*17*24*3600*_xlfn.SEQUENCE(M$1-1))))+$J10</f>
        <v>19330903128.985733</v>
      </c>
      <c r="N10" s="6" cm="1">
        <f t="array" ref="N10">SUM(($J10*EXP(-$H10*17*24*3600*_xlfn.SEQUENCE(N$1-1))))+$J10</f>
        <v>19330920044.339432</v>
      </c>
      <c r="P10" t="str">
        <f t="shared" si="10"/>
        <v>Be7</v>
      </c>
      <c r="Q10" s="9">
        <f t="shared" si="11"/>
        <v>3839369854.2569513</v>
      </c>
      <c r="R10" s="9" t="str">
        <f t="shared" si="12"/>
        <v>53.22d</v>
      </c>
      <c r="T10" t="str">
        <f t="shared" si="13"/>
        <v>Be7</v>
      </c>
      <c r="U10" s="9">
        <f t="shared" si="14"/>
        <v>27643462.950650048</v>
      </c>
      <c r="V10">
        <f>0</f>
        <v>0</v>
      </c>
    </row>
    <row r="11" spans="2:22" hidden="1" x14ac:dyDescent="0.2">
      <c r="B11">
        <v>4009</v>
      </c>
      <c r="C11" s="9">
        <v>2.0299999999999999E-5</v>
      </c>
      <c r="D11">
        <v>18</v>
      </c>
      <c r="E11" s="7" t="str">
        <f>VLOOKUP(B11,Nuclides!A:F,5,FALSE)</f>
        <v>Be9</v>
      </c>
      <c r="F11" s="7" t="str">
        <f>VLOOKUP(B11,Nuclides!A:F,4,FALSE)</f>
        <v>STABLE</v>
      </c>
      <c r="G11" s="8" t="str">
        <f t="shared" si="3"/>
        <v>STABLE</v>
      </c>
      <c r="H11" s="4" t="e">
        <f t="shared" si="4"/>
        <v>#VALUE!</v>
      </c>
      <c r="I11" s="4" t="e">
        <f t="shared" si="5"/>
        <v>#VALUE!</v>
      </c>
      <c r="J11" s="6" t="e">
        <f t="shared" si="6"/>
        <v>#VALUE!</v>
      </c>
      <c r="K11" s="7" t="str">
        <f t="shared" si="7"/>
        <v>Be9</v>
      </c>
      <c r="L11" s="6" t="e" cm="1">
        <f t="array" ref="L11">SUM(($J11*EXP(-$H11*17*24*3600*_xlfn.SEQUENCE(L$1-1))))+$J11</f>
        <v>#VALUE!</v>
      </c>
      <c r="M11" s="6" t="e" cm="1">
        <f t="array" ref="M11">SUM(($J11*EXP(-$H11*17*24*3600*_xlfn.SEQUENCE(M$1-1))))+$J11</f>
        <v>#VALUE!</v>
      </c>
      <c r="N11" s="6" t="e" cm="1">
        <f t="array" ref="N11">SUM(($J11*EXP(-$H11*17*24*3600*_xlfn.SEQUENCE(N$1-1))))+$J11</f>
        <v>#VALUE!</v>
      </c>
    </row>
    <row r="12" spans="2:22" x14ac:dyDescent="0.2">
      <c r="B12">
        <v>4010</v>
      </c>
      <c r="C12" s="9">
        <v>6.9999999999999999E-6</v>
      </c>
      <c r="D12">
        <v>19</v>
      </c>
      <c r="E12" s="7" t="str">
        <f>VLOOKUP(B12,Nuclides!A:F,5,FALSE)</f>
        <v>Be10</v>
      </c>
      <c r="F12" s="7">
        <f>VLOOKUP(B12,Nuclides!A:F,4,FALSE)</f>
        <v>47651976000000</v>
      </c>
      <c r="G12" s="8" t="str">
        <f t="shared" si="3"/>
        <v>1511034.25y</v>
      </c>
      <c r="H12" s="4">
        <f t="shared" si="4"/>
        <v>1.4546032268629223E-14</v>
      </c>
      <c r="I12" s="4">
        <f t="shared" ref="I12:I13" si="15">500*6240000000000*C12*(1-EXP(-H12*1*24*3600))</f>
        <v>27.448014874309479</v>
      </c>
      <c r="J12" s="6">
        <f t="shared" ref="J12:J13" si="16">I12*EXP(-H12*10)</f>
        <v>27.448014874305485</v>
      </c>
      <c r="K12" s="7" t="str">
        <f t="shared" si="7"/>
        <v>Be10</v>
      </c>
      <c r="L12" s="6" cm="1">
        <f t="array" ref="L12">SUM(($J12*EXP(-$H12*17*24*3600*_xlfn.SEQUENCE(L$1-1))))+$J12</f>
        <v>576.40818920957406</v>
      </c>
      <c r="M12" s="6" cm="1">
        <f t="array" ref="M12">SUM(($J12*EXP(-$H12*17*24*3600*_xlfn.SEQUENCE(M$1-1))))+$J12</f>
        <v>1729.2237917787659</v>
      </c>
      <c r="N12" s="6" cm="1">
        <f t="array" ref="N12">SUM(($J12*EXP(-$H12*17*24*3600*_xlfn.SEQUENCE(N$1-1))))+$J12</f>
        <v>2882.038359882124</v>
      </c>
      <c r="P12" t="str">
        <f t="shared" ref="P12:P13" si="17">E12</f>
        <v>Be10</v>
      </c>
      <c r="Q12" s="9">
        <f t="shared" ref="Q12:Q13" si="18">J12</f>
        <v>27.448014874305485</v>
      </c>
      <c r="R12" s="9" t="str">
        <f t="shared" ref="R12:R13" si="19">G12</f>
        <v>1511034.25y</v>
      </c>
      <c r="T12" t="str">
        <f t="shared" ref="T12:T13" si="20">P12</f>
        <v>Be10</v>
      </c>
      <c r="U12" s="9">
        <f t="shared" ref="U12:U13" si="21">Q12*0.72/100</f>
        <v>0.19762570709499949</v>
      </c>
      <c r="V12">
        <f>0</f>
        <v>0</v>
      </c>
    </row>
    <row r="13" spans="2:22" x14ac:dyDescent="0.2">
      <c r="B13">
        <v>5008</v>
      </c>
      <c r="C13" s="9">
        <v>8.8000000000000004E-6</v>
      </c>
      <c r="D13">
        <v>20</v>
      </c>
      <c r="E13" s="7" t="str">
        <f>VLOOKUP(B13,Nuclides!A:F,5,FALSE)</f>
        <v>B8</v>
      </c>
      <c r="F13" s="7">
        <f>VLOOKUP(B13,Nuclides!A:F,4,FALSE)</f>
        <v>0.77</v>
      </c>
      <c r="G13" s="8" t="str">
        <f t="shared" si="3"/>
        <v>0.77s</v>
      </c>
      <c r="H13" s="4">
        <f t="shared" si="4"/>
        <v>0.90019114358434449</v>
      </c>
      <c r="I13" s="4">
        <f t="shared" si="15"/>
        <v>27456000000</v>
      </c>
      <c r="J13" s="6">
        <f t="shared" si="16"/>
        <v>3381869.1731337598</v>
      </c>
      <c r="K13" s="7" t="str">
        <f t="shared" si="7"/>
        <v>B8</v>
      </c>
      <c r="L13" s="6" cm="1">
        <f t="array" ref="L13">SUM(($J13*EXP(-$H13*17*24*3600*_xlfn.SEQUENCE(L$1-1))))+$J13</f>
        <v>3381869.1731337598</v>
      </c>
      <c r="M13" s="6" cm="1">
        <f t="array" ref="M13">SUM(($J13*EXP(-$H13*17*24*3600*_xlfn.SEQUENCE(M$1-1))))+$J13</f>
        <v>3381869.1731337598</v>
      </c>
      <c r="N13" s="6" cm="1">
        <f t="array" ref="N13">SUM(($J13*EXP(-$H13*17*24*3600*_xlfn.SEQUENCE(N$1-1))))+$J13</f>
        <v>3381869.1731337598</v>
      </c>
      <c r="P13" t="str">
        <f t="shared" si="17"/>
        <v>B8</v>
      </c>
      <c r="Q13" s="9">
        <f t="shared" si="18"/>
        <v>3381869.1731337598</v>
      </c>
      <c r="R13" s="9" t="str">
        <f t="shared" si="19"/>
        <v>0.77s</v>
      </c>
      <c r="T13" t="str">
        <f t="shared" si="20"/>
        <v>B8</v>
      </c>
      <c r="U13" s="9">
        <f t="shared" si="21"/>
        <v>24349.458046563068</v>
      </c>
      <c r="V13">
        <f>0</f>
        <v>0</v>
      </c>
    </row>
    <row r="14" spans="2:22" hidden="1" x14ac:dyDescent="0.2">
      <c r="B14">
        <v>5010</v>
      </c>
      <c r="C14" s="9">
        <v>1.2970000000000001E-4</v>
      </c>
      <c r="D14">
        <v>21</v>
      </c>
      <c r="E14" s="7" t="str">
        <f>VLOOKUP(B14,Nuclides!A:F,5,FALSE)</f>
        <v>B10</v>
      </c>
      <c r="F14" s="7" t="str">
        <f>VLOOKUP(B14,Nuclides!A:F,4,FALSE)</f>
        <v>STABLE</v>
      </c>
      <c r="G14" s="8" t="str">
        <f t="shared" si="3"/>
        <v>STABLE</v>
      </c>
      <c r="H14" s="4" t="e">
        <f t="shared" si="4"/>
        <v>#VALUE!</v>
      </c>
      <c r="I14" s="4" t="e">
        <f t="shared" si="5"/>
        <v>#VALUE!</v>
      </c>
      <c r="J14" s="6" t="e">
        <f t="shared" si="6"/>
        <v>#VALUE!</v>
      </c>
      <c r="K14" s="7" t="str">
        <f t="shared" si="7"/>
        <v>B10</v>
      </c>
      <c r="L14" s="6" t="e" cm="1">
        <f t="array" ref="L14">SUM(($J14*EXP(-$H14*17*24*3600*_xlfn.SEQUENCE(L$1-1))))+$J14</f>
        <v>#VALUE!</v>
      </c>
      <c r="M14" s="6" t="e" cm="1">
        <f t="array" ref="M14">SUM(($J14*EXP(-$H14*17*24*3600*_xlfn.SEQUENCE(M$1-1))))+$J14</f>
        <v>#VALUE!</v>
      </c>
      <c r="N14" s="6" t="e" cm="1">
        <f t="array" ref="N14">SUM(($J14*EXP(-$H14*17*24*3600*_xlfn.SEQUENCE(N$1-1))))+$J14</f>
        <v>#VALUE!</v>
      </c>
    </row>
    <row r="15" spans="2:22" hidden="1" x14ac:dyDescent="0.2">
      <c r="B15">
        <v>5011</v>
      </c>
      <c r="C15" s="9">
        <v>1.7699999999999999E-4</v>
      </c>
      <c r="D15">
        <v>22</v>
      </c>
      <c r="E15" s="7" t="str">
        <f>VLOOKUP(B15,Nuclides!A:F,5,FALSE)</f>
        <v>B11</v>
      </c>
      <c r="F15" s="7" t="str">
        <f>VLOOKUP(B15,Nuclides!A:F,4,FALSE)</f>
        <v>STABLE</v>
      </c>
      <c r="G15" s="8" t="str">
        <f t="shared" si="3"/>
        <v>STABLE</v>
      </c>
      <c r="H15" s="4" t="e">
        <f t="shared" si="4"/>
        <v>#VALUE!</v>
      </c>
      <c r="I15" s="4" t="e">
        <f t="shared" si="5"/>
        <v>#VALUE!</v>
      </c>
      <c r="J15" s="6" t="e">
        <f t="shared" si="6"/>
        <v>#VALUE!</v>
      </c>
      <c r="K15" s="7" t="str">
        <f t="shared" si="7"/>
        <v>B11</v>
      </c>
      <c r="L15" s="6" t="e" cm="1">
        <f t="array" ref="L15">SUM(($J15*EXP(-$H15*17*24*3600*_xlfn.SEQUENCE(L$1-1))))+$J15</f>
        <v>#VALUE!</v>
      </c>
      <c r="M15" s="6" t="e" cm="1">
        <f t="array" ref="M15">SUM(($J15*EXP(-$H15*17*24*3600*_xlfn.SEQUENCE(M$1-1))))+$J15</f>
        <v>#VALUE!</v>
      </c>
      <c r="N15" s="6" t="e" cm="1">
        <f t="array" ref="N15">SUM(($J15*EXP(-$H15*17*24*3600*_xlfn.SEQUENCE(N$1-1))))+$J15</f>
        <v>#VALUE!</v>
      </c>
    </row>
    <row r="16" spans="2:22" hidden="1" x14ac:dyDescent="0.2">
      <c r="B16">
        <v>5012</v>
      </c>
      <c r="C16" s="9">
        <v>1.1000000000000001E-6</v>
      </c>
      <c r="D16">
        <v>23</v>
      </c>
      <c r="E16" s="7" t="str">
        <f>VLOOKUP(B16,Nuclides!A:F,5,FALSE)</f>
        <v>B12</v>
      </c>
      <c r="F16" s="7">
        <f>VLOOKUP(B16,Nuclides!A:F,4,FALSE)</f>
        <v>2.0199999999999999E-2</v>
      </c>
      <c r="G16" s="8" t="str">
        <f t="shared" si="3"/>
        <v>0.0202s</v>
      </c>
      <c r="H16" s="4">
        <f t="shared" si="4"/>
        <v>34.314216859403231</v>
      </c>
      <c r="I16" s="4">
        <f t="shared" si="5"/>
        <v>3432000000</v>
      </c>
      <c r="J16" s="6">
        <f t="shared" ref="J16:J20" si="22">I16*EXP(-H16*10)</f>
        <v>3.2418801143298E-140</v>
      </c>
      <c r="K16" s="7" t="str">
        <f t="shared" si="7"/>
        <v>B12</v>
      </c>
      <c r="L16" s="6" cm="1">
        <f t="array" ref="L16">SUM(($J16*EXP(-$H16*17*24*3600*_xlfn.SEQUENCE(L$1-1))))+$J16</f>
        <v>3.2418801143298E-140</v>
      </c>
      <c r="M16" s="6" cm="1">
        <f t="array" ref="M16">SUM(($J16*EXP(-$H16*17*24*3600*_xlfn.SEQUENCE(M$1-1))))+$J16</f>
        <v>3.2418801143298E-140</v>
      </c>
      <c r="N16" s="6" cm="1">
        <f t="array" ref="N16">SUM(($J16*EXP(-$H16*17*24*3600*_xlfn.SEQUENCE(N$1-1))))+$J16</f>
        <v>3.2418801143298E-140</v>
      </c>
    </row>
    <row r="17" spans="2:22" hidden="1" x14ac:dyDescent="0.2">
      <c r="B17">
        <v>5013</v>
      </c>
      <c r="C17" s="9">
        <v>2.9999999999999999E-7</v>
      </c>
      <c r="D17">
        <v>24</v>
      </c>
      <c r="E17" s="7" t="str">
        <f>VLOOKUP(B17,Nuclides!A:F,5,FALSE)</f>
        <v>B13</v>
      </c>
      <c r="F17" s="7">
        <f>VLOOKUP(B17,Nuclides!A:F,4,FALSE)</f>
        <v>1.7329999999999901E-2</v>
      </c>
      <c r="G17" s="8" t="str">
        <f t="shared" si="3"/>
        <v>0.0173299999999999s</v>
      </c>
      <c r="H17" s="4">
        <f t="shared" si="4"/>
        <v>39.996952138485241</v>
      </c>
      <c r="I17" s="4">
        <f t="shared" si="5"/>
        <v>936000000</v>
      </c>
      <c r="J17" s="6">
        <f t="shared" si="22"/>
        <v>1.8480758072308546E-165</v>
      </c>
      <c r="K17" s="7" t="str">
        <f t="shared" si="7"/>
        <v>B13</v>
      </c>
      <c r="L17" s="6" cm="1">
        <f t="array" ref="L17">SUM(($J17*EXP(-$H17*17*24*3600*_xlfn.SEQUENCE(L$1-1))))+$J17</f>
        <v>1.8480758072308546E-165</v>
      </c>
      <c r="M17" s="6" cm="1">
        <f t="array" ref="M17">SUM(($J17*EXP(-$H17*17*24*3600*_xlfn.SEQUENCE(M$1-1))))+$J17</f>
        <v>1.8480758072308546E-165</v>
      </c>
      <c r="N17" s="6" cm="1">
        <f t="array" ref="N17">SUM(($J17*EXP(-$H17*17*24*3600*_xlfn.SEQUENCE(N$1-1))))+$J17</f>
        <v>1.8480758072308546E-165</v>
      </c>
    </row>
    <row r="18" spans="2:22" hidden="1" x14ac:dyDescent="0.2">
      <c r="B18">
        <v>6009</v>
      </c>
      <c r="C18" s="9">
        <v>5.9999999999999997E-7</v>
      </c>
      <c r="D18">
        <v>25</v>
      </c>
      <c r="E18" s="7" t="str">
        <f>VLOOKUP(B18,Nuclides!A:F,5,FALSE)</f>
        <v>C9</v>
      </c>
      <c r="F18" s="7">
        <f>VLOOKUP(B18,Nuclides!A:F,4,FALSE)</f>
        <v>0.1265</v>
      </c>
      <c r="G18" s="8" t="str">
        <f t="shared" si="3"/>
        <v>0.1265s</v>
      </c>
      <c r="H18" s="4">
        <f t="shared" si="4"/>
        <v>5.4794243522525319</v>
      </c>
      <c r="I18" s="4">
        <f t="shared" si="5"/>
        <v>1872000000</v>
      </c>
      <c r="J18" s="6">
        <f t="shared" si="22"/>
        <v>2.9886030993651613E-15</v>
      </c>
      <c r="K18" s="7" t="str">
        <f t="shared" si="7"/>
        <v>C9</v>
      </c>
      <c r="L18" s="6" cm="1">
        <f t="array" ref="L18">SUM(($J18*EXP(-$H18*17*24*3600*_xlfn.SEQUENCE(L$1-1))))+$J18</f>
        <v>2.9886030993651613E-15</v>
      </c>
      <c r="M18" s="6" cm="1">
        <f t="array" ref="M18">SUM(($J18*EXP(-$H18*17*24*3600*_xlfn.SEQUENCE(M$1-1))))+$J18</f>
        <v>2.9886030993651613E-15</v>
      </c>
      <c r="N18" s="6" cm="1">
        <f t="array" ref="N18">SUM(($J18*EXP(-$H18*17*24*3600*_xlfn.SEQUENCE(N$1-1))))+$J18</f>
        <v>2.9886030993651613E-15</v>
      </c>
    </row>
    <row r="19" spans="2:22" x14ac:dyDescent="0.2">
      <c r="B19">
        <v>6010</v>
      </c>
      <c r="C19" s="9">
        <v>7.7999999999999999E-6</v>
      </c>
      <c r="D19">
        <v>26</v>
      </c>
      <c r="E19" s="7" t="str">
        <f>VLOOKUP(B19,Nuclides!A:F,5,FALSE)</f>
        <v>C10</v>
      </c>
      <c r="F19" s="7">
        <f>VLOOKUP(B19,Nuclides!A:F,4,FALSE)</f>
        <v>19.308</v>
      </c>
      <c r="G19" s="8" t="str">
        <f t="shared" si="3"/>
        <v>19.308s</v>
      </c>
      <c r="H19" s="4">
        <f t="shared" si="4"/>
        <v>3.5899481073127473E-2</v>
      </c>
      <c r="I19" s="4">
        <f t="shared" ref="I19:I20" si="23">500*6240000000000*C19*(1-EXP(-H19*1*24*3600))</f>
        <v>24336000000</v>
      </c>
      <c r="J19" s="6">
        <f t="shared" si="22"/>
        <v>16995726409.654581</v>
      </c>
      <c r="K19" s="7" t="str">
        <f t="shared" si="7"/>
        <v>C10</v>
      </c>
      <c r="L19" s="6" cm="1">
        <f t="array" ref="L19">SUM(($J19*EXP(-$H19*17*24*3600*_xlfn.SEQUENCE(L$1-1))))+$J19</f>
        <v>16995726409.654581</v>
      </c>
      <c r="M19" s="6" cm="1">
        <f t="array" ref="M19">SUM(($J19*EXP(-$H19*17*24*3600*_xlfn.SEQUENCE(M$1-1))))+$J19</f>
        <v>16995726409.654581</v>
      </c>
      <c r="N19" s="6" cm="1">
        <f t="array" ref="N19">SUM(($J19*EXP(-$H19*17*24*3600*_xlfn.SEQUENCE(N$1-1))))+$J19</f>
        <v>16995726409.654581</v>
      </c>
      <c r="P19" t="str">
        <f t="shared" ref="P19:P20" si="24">E19</f>
        <v>C10</v>
      </c>
      <c r="Q19" s="9">
        <f t="shared" ref="Q19:Q20" si="25">J19</f>
        <v>16995726409.654581</v>
      </c>
      <c r="R19" s="9" t="str">
        <f t="shared" ref="R19:R20" si="26">G19</f>
        <v>19.308s</v>
      </c>
      <c r="T19" t="str">
        <f t="shared" ref="T19:T20" si="27">P19</f>
        <v>C10</v>
      </c>
      <c r="U19" s="9">
        <f t="shared" ref="U19:U20" si="28">Q19*0.72/100</f>
        <v>122369230.14951298</v>
      </c>
      <c r="V19">
        <f>0</f>
        <v>0</v>
      </c>
    </row>
    <row r="20" spans="2:22" x14ac:dyDescent="0.2">
      <c r="B20">
        <v>6011</v>
      </c>
      <c r="C20" s="9">
        <v>1.4780000000000001E-4</v>
      </c>
      <c r="D20">
        <v>27</v>
      </c>
      <c r="E20" s="7" t="str">
        <f>VLOOKUP(B20,Nuclides!A:F,5,FALSE)</f>
        <v>C11</v>
      </c>
      <c r="F20" s="7">
        <f>VLOOKUP(B20,Nuclides!A:F,4,FALSE)</f>
        <v>1221.8399999999999</v>
      </c>
      <c r="G20" s="8" t="str">
        <f t="shared" si="3"/>
        <v>20.36min</v>
      </c>
      <c r="H20" s="4">
        <f t="shared" si="4"/>
        <v>5.6729782996132495E-4</v>
      </c>
      <c r="I20" s="4">
        <f t="shared" si="23"/>
        <v>461136000000.00006</v>
      </c>
      <c r="J20" s="6">
        <f t="shared" si="22"/>
        <v>458527391763.78491</v>
      </c>
      <c r="K20" s="7" t="str">
        <f t="shared" si="7"/>
        <v>C11</v>
      </c>
      <c r="L20" s="6" cm="1">
        <f t="array" ref="L20">SUM(($J20*EXP(-$H20*17*24*3600*_xlfn.SEQUENCE(L$1-1))))+$J20</f>
        <v>458527391763.78491</v>
      </c>
      <c r="M20" s="6" cm="1">
        <f t="array" ref="M20">SUM(($J20*EXP(-$H20*17*24*3600*_xlfn.SEQUENCE(M$1-1))))+$J20</f>
        <v>458527391763.78491</v>
      </c>
      <c r="N20" s="6" cm="1">
        <f t="array" ref="N20">SUM(($J20*EXP(-$H20*17*24*3600*_xlfn.SEQUENCE(N$1-1))))+$J20</f>
        <v>458527391763.78491</v>
      </c>
      <c r="P20" t="str">
        <f t="shared" si="24"/>
        <v>C11</v>
      </c>
      <c r="Q20" s="9">
        <f t="shared" si="25"/>
        <v>458527391763.78491</v>
      </c>
      <c r="R20" s="9" t="str">
        <f t="shared" si="26"/>
        <v>20.36min</v>
      </c>
      <c r="T20" t="str">
        <f t="shared" si="27"/>
        <v>C11</v>
      </c>
      <c r="U20" s="9">
        <f t="shared" si="28"/>
        <v>3301397220.6992512</v>
      </c>
      <c r="V20">
        <f>0</f>
        <v>0</v>
      </c>
    </row>
    <row r="21" spans="2:22" hidden="1" x14ac:dyDescent="0.2">
      <c r="B21">
        <v>6012</v>
      </c>
      <c r="C21" s="9">
        <v>1.8458000000000001E-3</v>
      </c>
      <c r="D21">
        <v>28</v>
      </c>
      <c r="E21" s="7" t="str">
        <f>VLOOKUP(B21,Nuclides!A:F,5,FALSE)</f>
        <v>C12</v>
      </c>
      <c r="F21" s="7" t="str">
        <f>VLOOKUP(B21,Nuclides!A:F,4,FALSE)</f>
        <v>STABLE</v>
      </c>
      <c r="G21" s="8" t="str">
        <f t="shared" si="3"/>
        <v>STABLE</v>
      </c>
      <c r="H21" s="4" t="e">
        <f t="shared" si="4"/>
        <v>#VALUE!</v>
      </c>
      <c r="I21" s="4" t="e">
        <f t="shared" si="5"/>
        <v>#VALUE!</v>
      </c>
      <c r="J21" s="6" t="e">
        <f t="shared" si="6"/>
        <v>#VALUE!</v>
      </c>
      <c r="K21" s="7" t="str">
        <f t="shared" si="7"/>
        <v>C12</v>
      </c>
      <c r="L21" s="6" t="e" cm="1">
        <f t="array" ref="L21">SUM(($J21*EXP(-$H21*17*24*3600*_xlfn.SEQUENCE(L$1-1))))+$J21</f>
        <v>#VALUE!</v>
      </c>
      <c r="M21" s="6" t="e" cm="1">
        <f t="array" ref="M21">SUM(($J21*EXP(-$H21*17*24*3600*_xlfn.SEQUENCE(M$1-1))))+$J21</f>
        <v>#VALUE!</v>
      </c>
      <c r="N21" s="6" t="e" cm="1">
        <f t="array" ref="N21">SUM(($J21*EXP(-$H21*17*24*3600*_xlfn.SEQUENCE(N$1-1))))+$J21</f>
        <v>#VALUE!</v>
      </c>
    </row>
    <row r="22" spans="2:22" hidden="1" x14ac:dyDescent="0.2">
      <c r="B22">
        <v>6013</v>
      </c>
      <c r="C22" s="9">
        <v>4.2300000000000004E-4</v>
      </c>
      <c r="D22">
        <v>29</v>
      </c>
      <c r="E22" s="7" t="str">
        <f>VLOOKUP(B22,Nuclides!A:F,5,FALSE)</f>
        <v>C13</v>
      </c>
      <c r="F22" s="7" t="str">
        <f>VLOOKUP(B22,Nuclides!A:F,4,FALSE)</f>
        <v>STABLE</v>
      </c>
      <c r="G22" s="8" t="str">
        <f t="shared" si="3"/>
        <v>STABLE</v>
      </c>
      <c r="H22" s="4" t="e">
        <f t="shared" si="4"/>
        <v>#VALUE!</v>
      </c>
      <c r="I22" s="4" t="e">
        <f t="shared" si="5"/>
        <v>#VALUE!</v>
      </c>
      <c r="J22" s="6" t="e">
        <f t="shared" si="6"/>
        <v>#VALUE!</v>
      </c>
      <c r="K22" s="7" t="str">
        <f t="shared" si="7"/>
        <v>C13</v>
      </c>
      <c r="L22" s="6" t="e" cm="1">
        <f t="array" ref="L22">SUM(($J22*EXP(-$H22*17*24*3600*_xlfn.SEQUENCE(L$1-1))))+$J22</f>
        <v>#VALUE!</v>
      </c>
      <c r="M22" s="6" t="e" cm="1">
        <f t="array" ref="M22">SUM(($J22*EXP(-$H22*17*24*3600*_xlfn.SEQUENCE(M$1-1))))+$J22</f>
        <v>#VALUE!</v>
      </c>
      <c r="N22" s="6" t="e" cm="1">
        <f t="array" ref="N22">SUM(($J22*EXP(-$H22*17*24*3600*_xlfn.SEQUENCE(N$1-1))))+$J22</f>
        <v>#VALUE!</v>
      </c>
    </row>
    <row r="23" spans="2:22" x14ac:dyDescent="0.2">
      <c r="B23">
        <v>6014</v>
      </c>
      <c r="C23" s="9">
        <v>6.1299999999999999E-5</v>
      </c>
      <c r="D23">
        <v>30</v>
      </c>
      <c r="E23" s="7" t="str">
        <f>VLOOKUP(B23,Nuclides!A:F,5,FALSE)</f>
        <v>C14</v>
      </c>
      <c r="F23" s="7">
        <f>VLOOKUP(B23,Nuclides!A:F,4,FALSE)</f>
        <v>179878320000</v>
      </c>
      <c r="G23" s="8" t="str">
        <f t="shared" si="3"/>
        <v>5703.9y</v>
      </c>
      <c r="H23" s="4">
        <f t="shared" si="4"/>
        <v>3.8534225834438821E-12</v>
      </c>
      <c r="I23" s="4">
        <f t="shared" ref="I23:I24" si="29">500*6240000000000*C23*(1-EXP(-H23*1*24*3600))</f>
        <v>63675.941789964163</v>
      </c>
      <c r="J23" s="6">
        <f t="shared" ref="J23:J26" si="30">I23*EXP(-H23*10)</f>
        <v>63675.941787510463</v>
      </c>
      <c r="K23" s="7" t="str">
        <f t="shared" si="7"/>
        <v>C14</v>
      </c>
      <c r="L23" s="6" cm="1">
        <f t="array" ref="L23">SUM(($J23*EXP(-$H23*17*24*3600*_xlfn.SEQUENCE(L$1-1))))+$J23</f>
        <v>1337119.0964827624</v>
      </c>
      <c r="M23" s="6" cm="1">
        <f t="array" ref="M23">SUM(($J23*EXP(-$H23*17*24*3600*_xlfn.SEQUENCE(M$1-1))))+$J23</f>
        <v>4010880.5545685403</v>
      </c>
      <c r="N23" s="6" cm="1">
        <f t="array" ref="N23">SUM(($J23*EXP(-$H23*17*24*3600*_xlfn.SEQUENCE(N$1-1))))+$J23</f>
        <v>6684006.4920537723</v>
      </c>
      <c r="P23" t="str">
        <f t="shared" ref="P23:P24" si="31">E23</f>
        <v>C14</v>
      </c>
      <c r="Q23" s="9">
        <f t="shared" ref="Q23:Q24" si="32">J23</f>
        <v>63675.941787510463</v>
      </c>
      <c r="R23" s="9" t="str">
        <f t="shared" ref="R23:R24" si="33">G23</f>
        <v>5703.9y</v>
      </c>
      <c r="T23" t="str">
        <f t="shared" ref="T23:T24" si="34">P23</f>
        <v>C14</v>
      </c>
      <c r="U23" s="9">
        <f t="shared" ref="U23:U24" si="35">Q23*0.72/100</f>
        <v>458.4667808700753</v>
      </c>
      <c r="V23">
        <f>0</f>
        <v>0</v>
      </c>
    </row>
    <row r="24" spans="2:22" x14ac:dyDescent="0.2">
      <c r="B24">
        <v>6016</v>
      </c>
      <c r="C24" s="9">
        <v>9.9999999999999995E-8</v>
      </c>
      <c r="D24">
        <v>31</v>
      </c>
      <c r="E24" s="7" t="str">
        <f>VLOOKUP(B24,Nuclides!A:F,5,FALSE)</f>
        <v>C16</v>
      </c>
      <c r="F24" s="7">
        <f>VLOOKUP(B24,Nuclides!A:F,4,FALSE)</f>
        <v>0.747</v>
      </c>
      <c r="G24" s="8" t="str">
        <f t="shared" si="3"/>
        <v>0.747s</v>
      </c>
      <c r="H24" s="4">
        <f t="shared" si="4"/>
        <v>0.92790787223553584</v>
      </c>
      <c r="I24" s="4">
        <f t="shared" si="29"/>
        <v>312000000</v>
      </c>
      <c r="J24" s="6">
        <f t="shared" si="30"/>
        <v>29127.412597949748</v>
      </c>
      <c r="K24" s="7" t="str">
        <f t="shared" si="7"/>
        <v>C16</v>
      </c>
      <c r="L24" s="6" cm="1">
        <f t="array" ref="L24">SUM(($J24*EXP(-$H24*17*24*3600*_xlfn.SEQUENCE(L$1-1))))+$J24</f>
        <v>29127.412597949748</v>
      </c>
      <c r="M24" s="6" cm="1">
        <f t="array" ref="M24">SUM(($J24*EXP(-$H24*17*24*3600*_xlfn.SEQUENCE(M$1-1))))+$J24</f>
        <v>29127.412597949748</v>
      </c>
      <c r="N24" s="6" cm="1">
        <f t="array" ref="N24">SUM(($J24*EXP(-$H24*17*24*3600*_xlfn.SEQUENCE(N$1-1))))+$J24</f>
        <v>29127.412597949748</v>
      </c>
      <c r="P24" t="str">
        <f t="shared" si="31"/>
        <v>C16</v>
      </c>
      <c r="Q24" s="9">
        <f t="shared" si="32"/>
        <v>29127.412597949748</v>
      </c>
      <c r="R24" s="9" t="str">
        <f t="shared" si="33"/>
        <v>0.747s</v>
      </c>
      <c r="T24" t="str">
        <f t="shared" si="34"/>
        <v>C16</v>
      </c>
      <c r="U24" s="9">
        <f t="shared" si="35"/>
        <v>209.71737070523818</v>
      </c>
      <c r="V24">
        <f>0</f>
        <v>0</v>
      </c>
    </row>
    <row r="25" spans="2:22" hidden="1" x14ac:dyDescent="0.2">
      <c r="B25">
        <v>7012</v>
      </c>
      <c r="C25" s="9">
        <v>2.5999999999999997E-6</v>
      </c>
      <c r="D25">
        <v>32</v>
      </c>
      <c r="E25" s="7" t="str">
        <f>VLOOKUP(B25,Nuclides!A:F,5,FALSE)</f>
        <v>N12</v>
      </c>
      <c r="F25" s="7">
        <f>VLOOKUP(B25,Nuclides!A:F,4,FALSE)</f>
        <v>1.0999999999999999E-2</v>
      </c>
      <c r="G25" s="8" t="str">
        <f t="shared" si="3"/>
        <v>0.011s</v>
      </c>
      <c r="H25" s="4">
        <f t="shared" si="4"/>
        <v>63.013380050904118</v>
      </c>
      <c r="I25" s="4">
        <f t="shared" si="5"/>
        <v>8111999999.999999</v>
      </c>
      <c r="J25" s="6">
        <f t="shared" si="30"/>
        <v>1.7599305097643041E-264</v>
      </c>
      <c r="K25" s="7" t="str">
        <f t="shared" si="7"/>
        <v>N12</v>
      </c>
      <c r="L25" s="6" cm="1">
        <f t="array" ref="L25">SUM(($J25*EXP(-$H25*17*24*3600*_xlfn.SEQUENCE(L$1-1))))+$J25</f>
        <v>1.7599305097643041E-264</v>
      </c>
      <c r="M25" s="6" cm="1">
        <f t="array" ref="M25">SUM(($J25*EXP(-$H25*17*24*3600*_xlfn.SEQUENCE(M$1-1))))+$J25</f>
        <v>1.7599305097643041E-264</v>
      </c>
      <c r="N25" s="6" cm="1">
        <f t="array" ref="N25">SUM(($J25*EXP(-$H25*17*24*3600*_xlfn.SEQUENCE(N$1-1))))+$J25</f>
        <v>1.7599305097643041E-264</v>
      </c>
    </row>
    <row r="26" spans="2:22" x14ac:dyDescent="0.2">
      <c r="B26">
        <v>7013</v>
      </c>
      <c r="C26" s="9">
        <v>1.6679999999999999E-4</v>
      </c>
      <c r="D26">
        <v>33</v>
      </c>
      <c r="E26" s="7" t="str">
        <f>VLOOKUP(B26,Nuclides!A:F,5,FALSE)</f>
        <v>N13</v>
      </c>
      <c r="F26" s="7">
        <f>VLOOKUP(B26,Nuclides!A:F,4,FALSE)</f>
        <v>597.9</v>
      </c>
      <c r="G26" s="8" t="str">
        <f t="shared" si="3"/>
        <v>9.97min</v>
      </c>
      <c r="H26" s="4">
        <f t="shared" si="4"/>
        <v>1.1593028609465552E-3</v>
      </c>
      <c r="I26" s="4">
        <f>500*6240000000000*C26*(1-EXP(-H26*1*24*3600))</f>
        <v>520415999999.99994</v>
      </c>
      <c r="J26" s="6">
        <f t="shared" si="30"/>
        <v>514417639188.07458</v>
      </c>
      <c r="K26" s="7" t="str">
        <f t="shared" si="7"/>
        <v>N13</v>
      </c>
      <c r="L26" s="6" cm="1">
        <f t="array" ref="L26">SUM(($J26*EXP(-$H26*17*24*3600*_xlfn.SEQUENCE(L$1-1))))+$J26</f>
        <v>514417639188.07458</v>
      </c>
      <c r="M26" s="6" cm="1">
        <f t="array" ref="M26">SUM(($J26*EXP(-$H26*17*24*3600*_xlfn.SEQUENCE(M$1-1))))+$J26</f>
        <v>514417639188.07458</v>
      </c>
      <c r="N26" s="6" cm="1">
        <f t="array" ref="N26">SUM(($J26*EXP(-$H26*17*24*3600*_xlfn.SEQUENCE(N$1-1))))+$J26</f>
        <v>514417639188.07458</v>
      </c>
      <c r="P26" t="str">
        <f>E26</f>
        <v>N13</v>
      </c>
      <c r="Q26" s="9">
        <f>J26</f>
        <v>514417639188.07458</v>
      </c>
      <c r="R26" s="9" t="str">
        <f>G26</f>
        <v>9.97min</v>
      </c>
      <c r="T26" t="str">
        <f>P26</f>
        <v>N13</v>
      </c>
      <c r="U26" s="9">
        <f>Q26*0.72/100</f>
        <v>3703807002.1541371</v>
      </c>
      <c r="V26">
        <f>0</f>
        <v>0</v>
      </c>
    </row>
    <row r="27" spans="2:22" hidden="1" x14ac:dyDescent="0.2">
      <c r="B27">
        <v>7014</v>
      </c>
      <c r="C27" s="9">
        <v>1.4421000000000002E-3</v>
      </c>
      <c r="D27">
        <v>34</v>
      </c>
      <c r="E27" s="7" t="str">
        <f>VLOOKUP(B27,Nuclides!A:F,5,FALSE)</f>
        <v>N14</v>
      </c>
      <c r="F27" s="7" t="str">
        <f>VLOOKUP(B27,Nuclides!A:F,4,FALSE)</f>
        <v>STABLE</v>
      </c>
      <c r="G27" s="8" t="str">
        <f t="shared" si="3"/>
        <v>STABLE</v>
      </c>
      <c r="H27" s="4" t="e">
        <f t="shared" si="4"/>
        <v>#VALUE!</v>
      </c>
      <c r="I27" s="4" t="e">
        <f t="shared" si="5"/>
        <v>#VALUE!</v>
      </c>
      <c r="J27" s="6" t="e">
        <f t="shared" si="6"/>
        <v>#VALUE!</v>
      </c>
      <c r="K27" s="7" t="str">
        <f t="shared" si="7"/>
        <v>N14</v>
      </c>
      <c r="L27" s="6" t="e" cm="1">
        <f t="array" ref="L27">SUM(($J27*EXP(-$H27*17*24*3600*_xlfn.SEQUENCE(L$1-1))))+$J27</f>
        <v>#VALUE!</v>
      </c>
      <c r="M27" s="6" t="e" cm="1">
        <f t="array" ref="M27">SUM(($J27*EXP(-$H27*17*24*3600*_xlfn.SEQUENCE(M$1-1))))+$J27</f>
        <v>#VALUE!</v>
      </c>
      <c r="N27" s="6" t="e" cm="1">
        <f t="array" ref="N27">SUM(($J27*EXP(-$H27*17*24*3600*_xlfn.SEQUENCE(N$1-1))))+$J27</f>
        <v>#VALUE!</v>
      </c>
    </row>
    <row r="28" spans="2:22" hidden="1" x14ac:dyDescent="0.2">
      <c r="B28">
        <v>7015</v>
      </c>
      <c r="C28" s="9">
        <v>1.3425000000000002E-3</v>
      </c>
      <c r="D28">
        <v>35</v>
      </c>
      <c r="E28" s="7" t="str">
        <f>VLOOKUP(B28,Nuclides!A:F,5,FALSE)</f>
        <v>N15</v>
      </c>
      <c r="F28" s="7" t="str">
        <f>VLOOKUP(B28,Nuclides!A:F,4,FALSE)</f>
        <v>STABLE</v>
      </c>
      <c r="G28" s="8" t="str">
        <f t="shared" si="3"/>
        <v>STABLE</v>
      </c>
      <c r="H28" s="4" t="e">
        <f t="shared" si="4"/>
        <v>#VALUE!</v>
      </c>
      <c r="I28" s="4" t="e">
        <f t="shared" si="5"/>
        <v>#VALUE!</v>
      </c>
      <c r="J28" s="6" t="e">
        <f t="shared" si="6"/>
        <v>#VALUE!</v>
      </c>
      <c r="K28" s="7" t="str">
        <f t="shared" si="7"/>
        <v>N15</v>
      </c>
      <c r="L28" s="6" t="e" cm="1">
        <f t="array" ref="L28">SUM(($J28*EXP(-$H28*17*24*3600*_xlfn.SEQUENCE(L$1-1))))+$J28</f>
        <v>#VALUE!</v>
      </c>
      <c r="M28" s="6" t="e" cm="1">
        <f t="array" ref="M28">SUM(($J28*EXP(-$H28*17*24*3600*_xlfn.SEQUENCE(M$1-1))))+$J28</f>
        <v>#VALUE!</v>
      </c>
      <c r="N28" s="6" t="e" cm="1">
        <f t="array" ref="N28">SUM(($J28*EXP(-$H28*17*24*3600*_xlfn.SEQUENCE(N$1-1))))+$J28</f>
        <v>#VALUE!</v>
      </c>
    </row>
    <row r="29" spans="2:22" x14ac:dyDescent="0.2">
      <c r="B29">
        <v>7016</v>
      </c>
      <c r="C29" s="9">
        <v>7.0000000000000007E-6</v>
      </c>
      <c r="D29">
        <v>36</v>
      </c>
      <c r="E29" s="7" t="str">
        <f>VLOOKUP(B29,Nuclides!A:F,5,FALSE)</f>
        <v>N16</v>
      </c>
      <c r="F29" s="7">
        <f>VLOOKUP(B29,Nuclides!A:F,4,FALSE)</f>
        <v>7.13</v>
      </c>
      <c r="G29" s="8" t="str">
        <f t="shared" si="3"/>
        <v>7.13s</v>
      </c>
      <c r="H29" s="4">
        <f t="shared" si="4"/>
        <v>9.7215593346415885E-2</v>
      </c>
      <c r="I29" s="4">
        <f t="shared" ref="I29:I30" si="36">500*6240000000000*C29*(1-EXP(-H29*1*24*3600))</f>
        <v>21840000000.000004</v>
      </c>
      <c r="J29" s="6">
        <f t="shared" ref="J29:J33" si="37">I29*EXP(-H29*10)</f>
        <v>8261343432.044117</v>
      </c>
      <c r="K29" s="7" t="str">
        <f t="shared" si="7"/>
        <v>N16</v>
      </c>
      <c r="L29" s="6" cm="1">
        <f t="array" ref="L29">SUM(($J29*EXP(-$H29*17*24*3600*_xlfn.SEQUENCE(L$1-1))))+$J29</f>
        <v>8261343432.044117</v>
      </c>
      <c r="M29" s="6" cm="1">
        <f t="array" ref="M29">SUM(($J29*EXP(-$H29*17*24*3600*_xlfn.SEQUENCE(M$1-1))))+$J29</f>
        <v>8261343432.044117</v>
      </c>
      <c r="N29" s="6" cm="1">
        <f t="array" ref="N29">SUM(($J29*EXP(-$H29*17*24*3600*_xlfn.SEQUENCE(N$1-1))))+$J29</f>
        <v>8261343432.044117</v>
      </c>
      <c r="P29" t="str">
        <f t="shared" ref="P29:P30" si="38">E29</f>
        <v>N16</v>
      </c>
      <c r="Q29" s="9">
        <f t="shared" ref="Q29:Q30" si="39">J29</f>
        <v>8261343432.044117</v>
      </c>
      <c r="R29" s="9" t="str">
        <f t="shared" ref="R29:R30" si="40">G29</f>
        <v>7.13s</v>
      </c>
      <c r="T29" t="str">
        <f t="shared" ref="T29:T30" si="41">P29</f>
        <v>N16</v>
      </c>
      <c r="U29" s="9">
        <f t="shared" ref="U29:U30" si="42">Q29*0.72/100</f>
        <v>59481672.710717641</v>
      </c>
      <c r="V29">
        <f>0</f>
        <v>0</v>
      </c>
    </row>
    <row r="30" spans="2:22" x14ac:dyDescent="0.2">
      <c r="B30">
        <v>7017</v>
      </c>
      <c r="C30" s="9">
        <v>2.3E-6</v>
      </c>
      <c r="D30">
        <v>37</v>
      </c>
      <c r="E30" s="7" t="str">
        <f>VLOOKUP(B30,Nuclides!A:F,5,FALSE)</f>
        <v>N17</v>
      </c>
      <c r="F30" s="7">
        <f>VLOOKUP(B30,Nuclides!A:F,4,FALSE)</f>
        <v>4.1710000000000003</v>
      </c>
      <c r="G30" s="8" t="str">
        <f t="shared" si="3"/>
        <v>4.171s</v>
      </c>
      <c r="H30" s="4">
        <f t="shared" si="4"/>
        <v>0.16618249354110412</v>
      </c>
      <c r="I30" s="4">
        <f t="shared" si="36"/>
        <v>7176000000</v>
      </c>
      <c r="J30" s="6">
        <f t="shared" si="37"/>
        <v>1361949581.8971014</v>
      </c>
      <c r="K30" s="7" t="str">
        <f t="shared" si="7"/>
        <v>N17</v>
      </c>
      <c r="L30" s="6" cm="1">
        <f t="array" ref="L30">SUM(($J30*EXP(-$H30*17*24*3600*_xlfn.SEQUENCE(L$1-1))))+$J30</f>
        <v>1361949581.8971014</v>
      </c>
      <c r="M30" s="6" cm="1">
        <f t="array" ref="M30">SUM(($J30*EXP(-$H30*17*24*3600*_xlfn.SEQUENCE(M$1-1))))+$J30</f>
        <v>1361949581.8971014</v>
      </c>
      <c r="N30" s="6" cm="1">
        <f t="array" ref="N30">SUM(($J30*EXP(-$H30*17*24*3600*_xlfn.SEQUENCE(N$1-1))))+$J30</f>
        <v>1361949581.8971014</v>
      </c>
      <c r="P30" t="str">
        <f t="shared" si="38"/>
        <v>N17</v>
      </c>
      <c r="Q30" s="9">
        <f t="shared" si="39"/>
        <v>1361949581.8971014</v>
      </c>
      <c r="R30" s="9" t="str">
        <f t="shared" si="40"/>
        <v>4.171s</v>
      </c>
      <c r="T30" t="str">
        <f t="shared" si="41"/>
        <v>N17</v>
      </c>
      <c r="U30" s="9">
        <f t="shared" si="42"/>
        <v>9806036.9896591287</v>
      </c>
      <c r="V30">
        <f>0</f>
        <v>0</v>
      </c>
    </row>
    <row r="31" spans="2:22" hidden="1" x14ac:dyDescent="0.2">
      <c r="B31">
        <v>8013</v>
      </c>
      <c r="C31" s="9">
        <v>8.9999999999999996E-7</v>
      </c>
      <c r="D31">
        <v>38</v>
      </c>
      <c r="E31" s="7" t="str">
        <f>VLOOKUP(B31,Nuclides!A:F,5,FALSE)</f>
        <v>O13</v>
      </c>
      <c r="F31" s="7">
        <f>VLOOKUP(B31,Nuclides!A:F,4,FALSE)</f>
        <v>8.5800000000000008E-3</v>
      </c>
      <c r="G31" s="8" t="str">
        <f t="shared" si="3"/>
        <v>0.00858s</v>
      </c>
      <c r="H31" s="4">
        <f t="shared" si="4"/>
        <v>80.786384680646293</v>
      </c>
      <c r="I31" s="4">
        <f t="shared" si="5"/>
        <v>2808000000</v>
      </c>
      <c r="J31" s="6">
        <f t="shared" si="37"/>
        <v>0</v>
      </c>
      <c r="K31" s="7" t="str">
        <f t="shared" si="7"/>
        <v>O13</v>
      </c>
      <c r="L31" s="6" cm="1">
        <f t="array" ref="L31">SUM(($J31*EXP(-$H31*17*24*3600*_xlfn.SEQUENCE(L$1-1))))+$J31</f>
        <v>0</v>
      </c>
      <c r="M31" s="6" cm="1">
        <f t="array" ref="M31">SUM(($J31*EXP(-$H31*17*24*3600*_xlfn.SEQUENCE(M$1-1))))+$J31</f>
        <v>0</v>
      </c>
      <c r="N31" s="6" cm="1">
        <f t="array" ref="N31">SUM(($J31*EXP(-$H31*17*24*3600*_xlfn.SEQUENCE(N$1-1))))+$J31</f>
        <v>0</v>
      </c>
    </row>
    <row r="32" spans="2:22" x14ac:dyDescent="0.2">
      <c r="B32">
        <v>8014</v>
      </c>
      <c r="C32" s="9">
        <v>9.9199999999999999E-5</v>
      </c>
      <c r="D32">
        <v>39</v>
      </c>
      <c r="E32" s="7" t="str">
        <f>VLOOKUP(B32,Nuclides!A:F,5,FALSE)</f>
        <v>O14</v>
      </c>
      <c r="F32" s="7">
        <f>VLOOKUP(B32,Nuclides!A:F,4,FALSE)</f>
        <v>70.62</v>
      </c>
      <c r="G32" s="8" t="str">
        <f t="shared" si="3"/>
        <v>1.18min</v>
      </c>
      <c r="H32" s="4">
        <f t="shared" si="4"/>
        <v>9.8151682322280553E-3</v>
      </c>
      <c r="I32" s="4">
        <f t="shared" ref="I32:I33" si="43">500*6240000000000*C32*(1-EXP(-H32*1*24*3600))</f>
        <v>309504000000</v>
      </c>
      <c r="J32" s="6">
        <f t="shared" si="37"/>
        <v>280568901737.11688</v>
      </c>
      <c r="K32" s="7" t="str">
        <f t="shared" si="7"/>
        <v>O14</v>
      </c>
      <c r="L32" s="6" cm="1">
        <f t="array" ref="L32">SUM(($J32*EXP(-$H32*17*24*3600*_xlfn.SEQUENCE(L$1-1))))+$J32</f>
        <v>280568901737.11688</v>
      </c>
      <c r="M32" s="6" cm="1">
        <f t="array" ref="M32">SUM(($J32*EXP(-$H32*17*24*3600*_xlfn.SEQUENCE(M$1-1))))+$J32</f>
        <v>280568901737.11688</v>
      </c>
      <c r="N32" s="6" cm="1">
        <f t="array" ref="N32">SUM(($J32*EXP(-$H32*17*24*3600*_xlfn.SEQUENCE(N$1-1))))+$J32</f>
        <v>280568901737.11688</v>
      </c>
      <c r="P32" t="str">
        <f t="shared" ref="P32:P33" si="44">E32</f>
        <v>O14</v>
      </c>
      <c r="Q32" s="9">
        <f t="shared" ref="Q32:Q33" si="45">J32</f>
        <v>280568901737.11688</v>
      </c>
      <c r="R32" s="9" t="str">
        <f t="shared" ref="R32:R33" si="46">G32</f>
        <v>1.18min</v>
      </c>
      <c r="T32" t="str">
        <f t="shared" ref="T32:T33" si="47">P32</f>
        <v>O14</v>
      </c>
      <c r="U32" s="9">
        <f t="shared" ref="U32:U33" si="48">Q32*0.72/100</f>
        <v>2020096092.5072415</v>
      </c>
      <c r="V32">
        <f>0</f>
        <v>0</v>
      </c>
    </row>
    <row r="33" spans="2:22" x14ac:dyDescent="0.2">
      <c r="B33">
        <v>8015</v>
      </c>
      <c r="C33" s="9">
        <v>1.6352000000000001E-3</v>
      </c>
      <c r="D33">
        <v>40</v>
      </c>
      <c r="E33" s="7" t="str">
        <f>VLOOKUP(B33,Nuclides!A:F,5,FALSE)</f>
        <v>O15</v>
      </c>
      <c r="F33" s="7">
        <f>VLOOKUP(B33,Nuclides!A:F,4,FALSE)</f>
        <v>122.24</v>
      </c>
      <c r="G33" s="8" t="str">
        <f t="shared" si="3"/>
        <v>2.04min</v>
      </c>
      <c r="H33" s="4">
        <f t="shared" si="4"/>
        <v>5.6703794221199715E-3</v>
      </c>
      <c r="I33" s="4">
        <f t="shared" si="43"/>
        <v>5101824000000</v>
      </c>
      <c r="J33" s="6">
        <f t="shared" si="37"/>
        <v>4820580365660.4414</v>
      </c>
      <c r="K33" s="7" t="str">
        <f t="shared" si="7"/>
        <v>O15</v>
      </c>
      <c r="L33" s="6" cm="1">
        <f t="array" ref="L33">SUM(($J33*EXP(-$H33*17*24*3600*_xlfn.SEQUENCE(L$1-1))))+$J33</f>
        <v>4820580365660.4414</v>
      </c>
      <c r="M33" s="6" cm="1">
        <f t="array" ref="M33">SUM(($J33*EXP(-$H33*17*24*3600*_xlfn.SEQUENCE(M$1-1))))+$J33</f>
        <v>4820580365660.4414</v>
      </c>
      <c r="N33" s="6" cm="1">
        <f t="array" ref="N33">SUM(($J33*EXP(-$H33*17*24*3600*_xlfn.SEQUENCE(N$1-1))))+$J33</f>
        <v>4820580365660.4414</v>
      </c>
      <c r="P33" t="str">
        <f t="shared" si="44"/>
        <v>O15</v>
      </c>
      <c r="Q33" s="9">
        <f t="shared" si="45"/>
        <v>4820580365660.4414</v>
      </c>
      <c r="R33" s="9" t="str">
        <f t="shared" si="46"/>
        <v>2.04min</v>
      </c>
      <c r="T33" t="str">
        <f t="shared" si="47"/>
        <v>O15</v>
      </c>
      <c r="U33" s="9">
        <f t="shared" si="48"/>
        <v>34708178632.755173</v>
      </c>
      <c r="V33">
        <f>0</f>
        <v>0</v>
      </c>
    </row>
    <row r="34" spans="2:22" hidden="1" x14ac:dyDescent="0.2">
      <c r="B34">
        <v>8016</v>
      </c>
      <c r="C34" s="9">
        <v>2.0458399999999998E-2</v>
      </c>
      <c r="D34">
        <v>41</v>
      </c>
      <c r="E34" s="7" t="str">
        <f>VLOOKUP(B34,Nuclides!A:F,5,FALSE)</f>
        <v>O16</v>
      </c>
      <c r="F34" s="7" t="str">
        <f>VLOOKUP(B34,Nuclides!A:F,4,FALSE)</f>
        <v>STABLE</v>
      </c>
      <c r="G34" s="8" t="str">
        <f t="shared" si="3"/>
        <v>STABLE</v>
      </c>
      <c r="H34" s="4" t="e">
        <f t="shared" si="4"/>
        <v>#VALUE!</v>
      </c>
      <c r="I34" s="4" t="e">
        <f t="shared" si="5"/>
        <v>#VALUE!</v>
      </c>
      <c r="J34" s="6" t="e">
        <f t="shared" si="6"/>
        <v>#VALUE!</v>
      </c>
      <c r="K34" s="7" t="str">
        <f t="shared" si="7"/>
        <v>O16</v>
      </c>
      <c r="L34" s="6" t="e" cm="1">
        <f t="array" ref="L34">SUM(($J34*EXP(-$H34*17*24*3600*_xlfn.SEQUENCE(L$1-1))))+$J34</f>
        <v>#VALUE!</v>
      </c>
      <c r="M34" s="6" t="e" cm="1">
        <f t="array" ref="M34">SUM(($J34*EXP(-$H34*17*24*3600*_xlfn.SEQUENCE(M$1-1))))+$J34</f>
        <v>#VALUE!</v>
      </c>
      <c r="N34" s="6" t="e" cm="1">
        <f t="array" ref="N34">SUM(($J34*EXP(-$H34*17*24*3600*_xlfn.SEQUENCE(N$1-1))))+$J34</f>
        <v>#VALUE!</v>
      </c>
    </row>
    <row r="35" spans="2:22" hidden="1" x14ac:dyDescent="0.2">
      <c r="B35">
        <v>8017</v>
      </c>
      <c r="C35" s="9">
        <v>1.1900000000000001E-5</v>
      </c>
      <c r="D35">
        <v>42</v>
      </c>
      <c r="E35" s="7" t="str">
        <f>VLOOKUP(B35,Nuclides!A:F,5,FALSE)</f>
        <v>O17</v>
      </c>
      <c r="F35" s="7" t="str">
        <f>VLOOKUP(B35,Nuclides!A:F,4,FALSE)</f>
        <v>STABLE</v>
      </c>
      <c r="G35" s="8" t="str">
        <f t="shared" si="3"/>
        <v>STABLE</v>
      </c>
      <c r="H35" s="4" t="e">
        <f t="shared" si="4"/>
        <v>#VALUE!</v>
      </c>
      <c r="I35" s="4" t="e">
        <f t="shared" si="5"/>
        <v>#VALUE!</v>
      </c>
      <c r="J35" s="6" t="e">
        <f t="shared" si="6"/>
        <v>#VALUE!</v>
      </c>
      <c r="K35" s="7" t="str">
        <f t="shared" si="7"/>
        <v>O17</v>
      </c>
      <c r="L35" s="6" t="e" cm="1">
        <f t="array" ref="L35">SUM(($J35*EXP(-$H35*17*24*3600*_xlfn.SEQUENCE(L$1-1))))+$J35</f>
        <v>#VALUE!</v>
      </c>
      <c r="M35" s="6" t="e" cm="1">
        <f t="array" ref="M35">SUM(($J35*EXP(-$H35*17*24*3600*_xlfn.SEQUENCE(M$1-1))))+$J35</f>
        <v>#VALUE!</v>
      </c>
      <c r="N35" s="6" t="e" cm="1">
        <f t="array" ref="N35">SUM(($J35*EXP(-$H35*17*24*3600*_xlfn.SEQUENCE(N$1-1))))+$J35</f>
        <v>#VALUE!</v>
      </c>
    </row>
    <row r="36" spans="2:22" hidden="1" x14ac:dyDescent="0.2">
      <c r="B36">
        <v>8018</v>
      </c>
      <c r="C36" s="9">
        <v>4.18E-5</v>
      </c>
      <c r="D36">
        <v>43</v>
      </c>
      <c r="E36" s="7" t="str">
        <f>VLOOKUP(B36,Nuclides!A:F,5,FALSE)</f>
        <v>O18</v>
      </c>
      <c r="F36" s="7" t="str">
        <f>VLOOKUP(B36,Nuclides!A:F,4,FALSE)</f>
        <v>STABLE</v>
      </c>
      <c r="G36" s="8" t="str">
        <f t="shared" si="3"/>
        <v>STABLE</v>
      </c>
      <c r="H36" s="4" t="e">
        <f t="shared" si="4"/>
        <v>#VALUE!</v>
      </c>
      <c r="I36" s="4" t="e">
        <f t="shared" si="5"/>
        <v>#VALUE!</v>
      </c>
      <c r="J36" s="6" t="e">
        <f t="shared" si="6"/>
        <v>#VALUE!</v>
      </c>
      <c r="K36" s="7" t="str">
        <f t="shared" si="7"/>
        <v>O18</v>
      </c>
      <c r="L36" s="6" t="e" cm="1">
        <f t="array" ref="L36">SUM(($J36*EXP(-$H36*17*24*3600*_xlfn.SEQUENCE(L$1-1))))+$J36</f>
        <v>#VALUE!</v>
      </c>
      <c r="M36" s="6" t="e" cm="1">
        <f t="array" ref="M36">SUM(($J36*EXP(-$H36*17*24*3600*_xlfn.SEQUENCE(M$1-1))))+$J36</f>
        <v>#VALUE!</v>
      </c>
      <c r="N36" s="6" t="e" cm="1">
        <f t="array" ref="N36">SUM(($J36*EXP(-$H36*17*24*3600*_xlfn.SEQUENCE(N$1-1))))+$J36</f>
        <v>#VALUE!</v>
      </c>
    </row>
    <row r="37" spans="2:22" hidden="1" x14ac:dyDescent="0.2">
      <c r="B37">
        <v>8024</v>
      </c>
      <c r="C37" s="9">
        <v>2.9999999999999999E-7</v>
      </c>
      <c r="D37">
        <v>44</v>
      </c>
      <c r="E37" s="7" t="str">
        <f>VLOOKUP(B37,Nuclides!A:F,5,FALSE)</f>
        <v>O24</v>
      </c>
      <c r="F37" s="7">
        <f>VLOOKUP(B37,Nuclides!A:F,4,FALSE)</f>
        <v>7.1999999999999995E-2</v>
      </c>
      <c r="G37" s="8" t="str">
        <f t="shared" si="3"/>
        <v>0.072s</v>
      </c>
      <c r="H37" s="4">
        <f t="shared" si="4"/>
        <v>9.6270441744436859</v>
      </c>
      <c r="I37" s="4">
        <f t="shared" si="5"/>
        <v>936000000</v>
      </c>
      <c r="J37" s="6">
        <f t="shared" ref="J37:J40" si="49">I37*EXP(-H37*10)</f>
        <v>1.4506218967711341E-33</v>
      </c>
      <c r="K37" s="7" t="str">
        <f t="shared" si="7"/>
        <v>O24</v>
      </c>
      <c r="L37" s="6" cm="1">
        <f t="array" ref="L37">SUM(($J37*EXP(-$H37*17*24*3600*_xlfn.SEQUENCE(L$1-1))))+$J37</f>
        <v>1.4506218967711341E-33</v>
      </c>
      <c r="M37" s="6" cm="1">
        <f t="array" ref="M37">SUM(($J37*EXP(-$H37*17*24*3600*_xlfn.SEQUENCE(M$1-1))))+$J37</f>
        <v>1.4506218967711341E-33</v>
      </c>
      <c r="N37" s="6" cm="1">
        <f t="array" ref="N37">SUM(($J37*EXP(-$H37*17*24*3600*_xlfn.SEQUENCE(N$1-1))))+$J37</f>
        <v>1.4506218967711341E-33</v>
      </c>
    </row>
    <row r="38" spans="2:22" hidden="1" x14ac:dyDescent="0.2">
      <c r="B38">
        <v>9015</v>
      </c>
      <c r="C38" s="9">
        <v>9.100000000000001E-6</v>
      </c>
      <c r="D38">
        <v>45</v>
      </c>
      <c r="E38" s="7" t="str">
        <f>VLOOKUP(B38,Nuclides!A:F,5,FALSE)</f>
        <v>F15</v>
      </c>
      <c r="F38" s="7">
        <f>VLOOKUP(B38,Nuclides!A:F,4,FALSE)</f>
        <v>6.9045454545454504E-22</v>
      </c>
      <c r="G38" s="8" t="str">
        <f t="shared" si="3"/>
        <v>6.90454545454545E-22s</v>
      </c>
      <c r="H38" s="4">
        <f t="shared" si="4"/>
        <v>1.0038998006793157E+21</v>
      </c>
      <c r="I38" s="4">
        <f t="shared" si="5"/>
        <v>28392000000.000004</v>
      </c>
      <c r="J38" s="6">
        <f t="shared" si="49"/>
        <v>0</v>
      </c>
      <c r="K38" s="7" t="str">
        <f t="shared" si="7"/>
        <v>F15</v>
      </c>
      <c r="L38" s="6" cm="1">
        <f t="array" ref="L38">SUM(($J38*EXP(-$H38*17*24*3600*_xlfn.SEQUENCE(L$1-1))))+$J38</f>
        <v>0</v>
      </c>
      <c r="M38" s="6" cm="1">
        <f t="array" ref="M38">SUM(($J38*EXP(-$H38*17*24*3600*_xlfn.SEQUENCE(M$1-1))))+$J38</f>
        <v>0</v>
      </c>
      <c r="N38" s="6" cm="1">
        <f t="array" ref="N38">SUM(($J38*EXP(-$H38*17*24*3600*_xlfn.SEQUENCE(N$1-1))))+$J38</f>
        <v>0</v>
      </c>
    </row>
    <row r="39" spans="2:22" hidden="1" x14ac:dyDescent="0.2">
      <c r="B39">
        <v>9016</v>
      </c>
      <c r="C39" s="9">
        <v>2.0699999999999999E-4</v>
      </c>
      <c r="D39">
        <v>46</v>
      </c>
      <c r="E39" s="7" t="str">
        <f>VLOOKUP(B39,Nuclides!A:F,5,FALSE)</f>
        <v>F16</v>
      </c>
      <c r="F39" s="7">
        <f>VLOOKUP(B39,Nuclides!A:F,4,FALSE)</f>
        <v>1.13925E-20</v>
      </c>
      <c r="G39" s="8" t="str">
        <f t="shared" si="3"/>
        <v>1.13925E-20s</v>
      </c>
      <c r="H39" s="4">
        <f t="shared" si="4"/>
        <v>6.0842412162382733E+19</v>
      </c>
      <c r="I39" s="4">
        <f t="shared" si="5"/>
        <v>645840000000</v>
      </c>
      <c r="J39" s="6">
        <f t="shared" si="49"/>
        <v>0</v>
      </c>
      <c r="K39" s="7" t="str">
        <f t="shared" si="7"/>
        <v>F16</v>
      </c>
      <c r="L39" s="6" cm="1">
        <f t="array" ref="L39">SUM(($J39*EXP(-$H39*17*24*3600*_xlfn.SEQUENCE(L$1-1))))+$J39</f>
        <v>0</v>
      </c>
      <c r="M39" s="6" cm="1">
        <f t="array" ref="M39">SUM(($J39*EXP(-$H39*17*24*3600*_xlfn.SEQUENCE(M$1-1))))+$J39</f>
        <v>0</v>
      </c>
      <c r="N39" s="6" cm="1">
        <f t="array" ref="N39">SUM(($J39*EXP(-$H39*17*24*3600*_xlfn.SEQUENCE(N$1-1))))+$J39</f>
        <v>0</v>
      </c>
    </row>
    <row r="40" spans="2:22" x14ac:dyDescent="0.2">
      <c r="B40">
        <v>9018</v>
      </c>
      <c r="C40" s="9">
        <v>1.3999999999999999E-6</v>
      </c>
      <c r="D40">
        <v>47</v>
      </c>
      <c r="E40" s="7" t="str">
        <f>VLOOKUP(B40,Nuclides!A:F,5,FALSE)</f>
        <v>F18</v>
      </c>
      <c r="F40" s="7">
        <f>VLOOKUP(B40,Nuclides!A:F,4,FALSE)</f>
        <v>6586.2</v>
      </c>
      <c r="G40" s="8" t="str">
        <f t="shared" si="3"/>
        <v>1.83h</v>
      </c>
      <c r="H40" s="4">
        <f t="shared" si="4"/>
        <v>1.0524235227596267E-4</v>
      </c>
      <c r="I40" s="4">
        <f>500*6240000000000*C40*(1-EXP(-H40*1*24*3600))</f>
        <v>4367508787.6299887</v>
      </c>
      <c r="J40" s="6">
        <f t="shared" si="49"/>
        <v>4362914736.5137863</v>
      </c>
      <c r="K40" s="7" t="str">
        <f t="shared" si="7"/>
        <v>F18</v>
      </c>
      <c r="L40" s="6" cm="1">
        <f t="array" ref="L40">SUM(($J40*EXP(-$H40*17*24*3600*_xlfn.SEQUENCE(L$1-1))))+$J40</f>
        <v>4362914736.5137863</v>
      </c>
      <c r="M40" s="6" cm="1">
        <f t="array" ref="M40">SUM(($J40*EXP(-$H40*17*24*3600*_xlfn.SEQUENCE(M$1-1))))+$J40</f>
        <v>4362914736.5137863</v>
      </c>
      <c r="N40" s="6" cm="1">
        <f t="array" ref="N40">SUM(($J40*EXP(-$H40*17*24*3600*_xlfn.SEQUENCE(N$1-1))))+$J40</f>
        <v>4362914736.5137863</v>
      </c>
      <c r="P40" t="str">
        <f>E40</f>
        <v>F18</v>
      </c>
      <c r="Q40" s="9">
        <f>J40</f>
        <v>4362914736.5137863</v>
      </c>
      <c r="R40" s="9" t="str">
        <f>G40</f>
        <v>1.83h</v>
      </c>
      <c r="T40" t="str">
        <f>P40</f>
        <v>F18</v>
      </c>
      <c r="U40" s="9">
        <f>Q40*0.72/100</f>
        <v>31412986.102899261</v>
      </c>
      <c r="V40">
        <f>0</f>
        <v>0</v>
      </c>
    </row>
    <row r="41" spans="2:22" hidden="1" x14ac:dyDescent="0.2">
      <c r="C41" s="9"/>
      <c r="E41" s="7"/>
      <c r="F41" s="7"/>
      <c r="G41" s="8"/>
      <c r="H41" s="4"/>
      <c r="I41" s="4"/>
      <c r="J41" s="6"/>
      <c r="K41" s="7"/>
      <c r="L41" s="6"/>
      <c r="M41" s="6"/>
      <c r="N41" s="6"/>
    </row>
    <row r="42" spans="2:22" hidden="1" x14ac:dyDescent="0.2">
      <c r="E42" s="7"/>
      <c r="F42" s="7"/>
      <c r="G42" s="8"/>
      <c r="H42" s="4"/>
      <c r="I42" s="4"/>
      <c r="J42" s="6"/>
      <c r="K42" s="7"/>
      <c r="L42" s="6"/>
      <c r="M42" s="6"/>
      <c r="N42" s="6"/>
    </row>
    <row r="43" spans="2:22" hidden="1" x14ac:dyDescent="0.2">
      <c r="E43" s="7"/>
      <c r="F43" s="7"/>
      <c r="G43" s="8"/>
      <c r="H43" s="4"/>
      <c r="I43" s="4"/>
      <c r="J43" s="6"/>
      <c r="K43" s="7"/>
      <c r="L43" s="6"/>
      <c r="M43" s="6"/>
      <c r="N43" s="6"/>
    </row>
    <row r="44" spans="2:22" hidden="1" x14ac:dyDescent="0.2">
      <c r="E44" s="7"/>
      <c r="F44" s="7"/>
      <c r="G44" s="8"/>
      <c r="H44" s="4"/>
      <c r="I44" s="4"/>
      <c r="J44" s="6"/>
      <c r="K44" s="7"/>
      <c r="L44" s="6"/>
      <c r="M44" s="6"/>
      <c r="N44" s="6"/>
    </row>
    <row r="45" spans="2:22" hidden="1" x14ac:dyDescent="0.2">
      <c r="E45" s="7"/>
      <c r="F45" s="7"/>
      <c r="G45" s="8"/>
      <c r="H45" s="4"/>
      <c r="I45" s="4"/>
      <c r="J45" s="6"/>
      <c r="K45" s="7"/>
      <c r="L45" s="6"/>
      <c r="M45" s="6"/>
      <c r="N45" s="6"/>
    </row>
    <row r="46" spans="2:22" hidden="1" x14ac:dyDescent="0.2"/>
    <row r="47" spans="2:22" hidden="1" x14ac:dyDescent="0.2"/>
    <row r="48" spans="2:22" hidden="1" x14ac:dyDescent="0.2"/>
    <row r="49" hidden="1" x14ac:dyDescent="0.2"/>
    <row r="50" hidden="1" x14ac:dyDescent="0.2"/>
    <row r="51" hidden="1" x14ac:dyDescent="0.2"/>
    <row r="52" hidden="1" x14ac:dyDescent="0.2"/>
    <row r="53" hidden="1" x14ac:dyDescent="0.2"/>
    <row r="54" hidden="1" x14ac:dyDescent="0.2"/>
    <row r="55" hidden="1" x14ac:dyDescent="0.2"/>
    <row r="56" hidden="1" x14ac:dyDescent="0.2"/>
    <row r="57" hidden="1" x14ac:dyDescent="0.2"/>
    <row r="58" hidden="1" x14ac:dyDescent="0.2"/>
    <row r="59" hidden="1" x14ac:dyDescent="0.2"/>
    <row r="60" hidden="1" x14ac:dyDescent="0.2"/>
    <row r="61" hidden="1" x14ac:dyDescent="0.2"/>
    <row r="62" hidden="1" x14ac:dyDescent="0.2"/>
    <row r="63" hidden="1" x14ac:dyDescent="0.2"/>
    <row r="64" hidden="1" x14ac:dyDescent="0.2"/>
    <row r="65" hidden="1" x14ac:dyDescent="0.2"/>
    <row r="66" hidden="1" x14ac:dyDescent="0.2"/>
    <row r="67" hidden="1" x14ac:dyDescent="0.2"/>
  </sheetData>
  <autoFilter ref="I1:J67" xr:uid="{F4E4CE5F-F5AA-462D-891F-48BAF0FE7197}">
    <filterColumn colId="1">
      <customFilters>
        <customFilter operator="greaterThan" val="1"/>
      </customFilters>
    </filterColumn>
  </autoFilter>
  <phoneticPr fontId="1" type="noConversion"/>
  <conditionalFormatting sqref="J3:J4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DA8-1955-4552-9A59-5FA845CCBB69}">
  <sheetPr filterMode="1"/>
  <dimension ref="B2:G254"/>
  <sheetViews>
    <sheetView workbookViewId="0">
      <selection activeCell="F4" sqref="F4:G68"/>
    </sheetView>
  </sheetViews>
  <sheetFormatPr defaultRowHeight="14.25" x14ac:dyDescent="0.2"/>
  <sheetData>
    <row r="2" spans="2:7" x14ac:dyDescent="0.2">
      <c r="B2" s="9">
        <v>1001</v>
      </c>
      <c r="C2" s="9">
        <v>0</v>
      </c>
    </row>
    <row r="3" spans="2:7" x14ac:dyDescent="0.2">
      <c r="B3" s="9">
        <v>1002</v>
      </c>
      <c r="C3" s="9">
        <v>0</v>
      </c>
      <c r="F3">
        <v>1001</v>
      </c>
      <c r="G3" s="9">
        <v>0</v>
      </c>
    </row>
    <row r="4" spans="2:7" x14ac:dyDescent="0.2">
      <c r="B4" s="9">
        <v>1003</v>
      </c>
      <c r="C4" s="9">
        <v>0</v>
      </c>
      <c r="F4">
        <v>1002</v>
      </c>
      <c r="G4" s="9">
        <v>2.9999999999999999E-7</v>
      </c>
    </row>
    <row r="5" spans="2:7" hidden="1" x14ac:dyDescent="0.2">
      <c r="B5" s="9">
        <v>2003</v>
      </c>
      <c r="C5" s="9">
        <v>0</v>
      </c>
      <c r="F5">
        <v>1003</v>
      </c>
      <c r="G5" s="9">
        <v>0</v>
      </c>
    </row>
    <row r="6" spans="2:7" hidden="1" x14ac:dyDescent="0.2">
      <c r="B6" s="9">
        <v>2004</v>
      </c>
      <c r="C6" s="9">
        <v>9.9999999999999995E-8</v>
      </c>
      <c r="F6">
        <v>2003</v>
      </c>
      <c r="G6" s="9">
        <v>0</v>
      </c>
    </row>
    <row r="7" spans="2:7" x14ac:dyDescent="0.2">
      <c r="B7" s="9">
        <v>2005</v>
      </c>
      <c r="C7" s="9">
        <v>0</v>
      </c>
      <c r="F7">
        <v>2004</v>
      </c>
      <c r="G7" s="9">
        <v>1.8000000000000001E-6</v>
      </c>
    </row>
    <row r="8" spans="2:7" hidden="1" x14ac:dyDescent="0.2">
      <c r="B8" s="9">
        <v>2006</v>
      </c>
      <c r="C8" s="9">
        <v>0</v>
      </c>
      <c r="F8">
        <v>2005</v>
      </c>
      <c r="G8" s="9">
        <v>0</v>
      </c>
    </row>
    <row r="9" spans="2:7" hidden="1" x14ac:dyDescent="0.2">
      <c r="B9" s="9">
        <v>2007</v>
      </c>
      <c r="C9" s="9">
        <v>0</v>
      </c>
      <c r="F9">
        <v>2006</v>
      </c>
      <c r="G9" s="9">
        <v>0</v>
      </c>
    </row>
    <row r="10" spans="2:7" hidden="1" x14ac:dyDescent="0.2">
      <c r="B10" s="9">
        <v>2008</v>
      </c>
      <c r="C10" s="9">
        <v>0</v>
      </c>
      <c r="F10">
        <v>2007</v>
      </c>
      <c r="G10" s="9">
        <v>0</v>
      </c>
    </row>
    <row r="11" spans="2:7" hidden="1" x14ac:dyDescent="0.2">
      <c r="B11" s="9">
        <v>3005</v>
      </c>
      <c r="C11" s="9">
        <v>0</v>
      </c>
      <c r="F11">
        <v>2008</v>
      </c>
      <c r="G11" s="9">
        <v>0</v>
      </c>
    </row>
    <row r="12" spans="2:7" hidden="1" x14ac:dyDescent="0.2">
      <c r="B12" s="9">
        <v>3006</v>
      </c>
      <c r="C12" s="9">
        <v>0</v>
      </c>
      <c r="F12">
        <v>3005</v>
      </c>
      <c r="G12" s="9">
        <v>0</v>
      </c>
    </row>
    <row r="13" spans="2:7" hidden="1" x14ac:dyDescent="0.2">
      <c r="B13" s="9">
        <v>3007</v>
      </c>
      <c r="C13" s="9">
        <v>0</v>
      </c>
      <c r="F13">
        <v>3006</v>
      </c>
      <c r="G13" s="9">
        <v>0</v>
      </c>
    </row>
    <row r="14" spans="2:7" hidden="1" x14ac:dyDescent="0.2">
      <c r="B14" s="9">
        <v>3008</v>
      </c>
      <c r="C14" s="9">
        <v>0</v>
      </c>
      <c r="F14">
        <v>3007</v>
      </c>
      <c r="G14" s="9">
        <v>0</v>
      </c>
    </row>
    <row r="15" spans="2:7" hidden="1" x14ac:dyDescent="0.2">
      <c r="B15" s="9">
        <v>3009</v>
      </c>
      <c r="C15" s="9">
        <v>0</v>
      </c>
      <c r="F15">
        <v>3008</v>
      </c>
      <c r="G15" s="9">
        <v>0</v>
      </c>
    </row>
    <row r="16" spans="2:7" hidden="1" x14ac:dyDescent="0.2">
      <c r="B16" s="9">
        <v>3010</v>
      </c>
      <c r="C16" s="9">
        <v>0</v>
      </c>
      <c r="F16">
        <v>3009</v>
      </c>
      <c r="G16" s="9">
        <v>0</v>
      </c>
    </row>
    <row r="17" spans="2:7" hidden="1" x14ac:dyDescent="0.2">
      <c r="B17" s="9">
        <v>3011</v>
      </c>
      <c r="C17" s="9">
        <v>0</v>
      </c>
      <c r="F17">
        <v>3010</v>
      </c>
      <c r="G17" s="9">
        <v>0</v>
      </c>
    </row>
    <row r="18" spans="2:7" hidden="1" x14ac:dyDescent="0.2">
      <c r="B18" s="9">
        <v>4006</v>
      </c>
      <c r="C18" s="9">
        <v>0</v>
      </c>
      <c r="F18">
        <v>3011</v>
      </c>
      <c r="G18" s="9">
        <v>0</v>
      </c>
    </row>
    <row r="19" spans="2:7" hidden="1" x14ac:dyDescent="0.2">
      <c r="B19" s="9">
        <v>4007</v>
      </c>
      <c r="C19" s="9">
        <v>0</v>
      </c>
      <c r="F19">
        <v>4006</v>
      </c>
      <c r="G19" s="9">
        <v>0</v>
      </c>
    </row>
    <row r="20" spans="2:7" hidden="1" x14ac:dyDescent="0.2">
      <c r="B20" s="9">
        <v>4008</v>
      </c>
      <c r="C20" s="9">
        <v>0</v>
      </c>
      <c r="F20">
        <v>4007</v>
      </c>
      <c r="G20" s="9">
        <v>0</v>
      </c>
    </row>
    <row r="21" spans="2:7" hidden="1" x14ac:dyDescent="0.2">
      <c r="B21" s="9">
        <v>4009</v>
      </c>
      <c r="C21" s="9">
        <v>9.9999999999999995E-8</v>
      </c>
      <c r="F21">
        <v>4008</v>
      </c>
      <c r="G21" s="9">
        <v>0</v>
      </c>
    </row>
    <row r="22" spans="2:7" x14ac:dyDescent="0.2">
      <c r="B22" s="9">
        <v>4010</v>
      </c>
      <c r="C22" s="9">
        <v>0</v>
      </c>
      <c r="F22">
        <v>4009</v>
      </c>
      <c r="G22" s="9">
        <v>1.9999999999999999E-7</v>
      </c>
    </row>
    <row r="23" spans="2:7" hidden="1" x14ac:dyDescent="0.2">
      <c r="B23" s="9">
        <v>4011</v>
      </c>
      <c r="C23" s="9">
        <v>0</v>
      </c>
      <c r="F23">
        <v>4010</v>
      </c>
      <c r="G23" s="9">
        <v>0</v>
      </c>
    </row>
    <row r="24" spans="2:7" hidden="1" x14ac:dyDescent="0.2">
      <c r="B24" s="9">
        <v>4012</v>
      </c>
      <c r="C24" s="9">
        <v>0</v>
      </c>
      <c r="F24">
        <v>4011</v>
      </c>
      <c r="G24" s="9">
        <v>0</v>
      </c>
    </row>
    <row r="25" spans="2:7" hidden="1" x14ac:dyDescent="0.2">
      <c r="B25" s="9">
        <v>4013</v>
      </c>
      <c r="C25" s="9">
        <v>0</v>
      </c>
      <c r="F25">
        <v>4012</v>
      </c>
      <c r="G25" s="9">
        <v>0</v>
      </c>
    </row>
    <row r="26" spans="2:7" hidden="1" x14ac:dyDescent="0.2">
      <c r="B26" s="9">
        <v>4014</v>
      </c>
      <c r="C26" s="9">
        <v>0</v>
      </c>
      <c r="F26">
        <v>4013</v>
      </c>
      <c r="G26" s="9">
        <v>0</v>
      </c>
    </row>
    <row r="27" spans="2:7" hidden="1" x14ac:dyDescent="0.2">
      <c r="B27" s="9">
        <v>5008</v>
      </c>
      <c r="C27" s="9">
        <v>0</v>
      </c>
      <c r="F27">
        <v>4014</v>
      </c>
      <c r="G27" s="9">
        <v>0</v>
      </c>
    </row>
    <row r="28" spans="2:7" hidden="1" x14ac:dyDescent="0.2">
      <c r="B28" s="9">
        <v>5009</v>
      </c>
      <c r="C28" s="9">
        <v>0</v>
      </c>
      <c r="F28">
        <v>5008</v>
      </c>
      <c r="G28" s="9">
        <v>0</v>
      </c>
    </row>
    <row r="29" spans="2:7" hidden="1" x14ac:dyDescent="0.2">
      <c r="B29" s="9">
        <v>5010</v>
      </c>
      <c r="C29" s="9">
        <v>0</v>
      </c>
      <c r="F29">
        <v>5009</v>
      </c>
      <c r="G29" s="9">
        <v>0</v>
      </c>
    </row>
    <row r="30" spans="2:7" hidden="1" x14ac:dyDescent="0.2">
      <c r="B30" s="9">
        <v>5011</v>
      </c>
      <c r="C30" s="9">
        <v>0</v>
      </c>
      <c r="F30">
        <v>5010</v>
      </c>
      <c r="G30" s="9">
        <v>0</v>
      </c>
    </row>
    <row r="31" spans="2:7" hidden="1" x14ac:dyDescent="0.2">
      <c r="B31" s="9">
        <v>5012</v>
      </c>
      <c r="C31" s="9">
        <v>0</v>
      </c>
      <c r="F31">
        <v>5011</v>
      </c>
      <c r="G31" s="9">
        <v>0</v>
      </c>
    </row>
    <row r="32" spans="2:7" hidden="1" x14ac:dyDescent="0.2">
      <c r="B32" s="9">
        <v>5013</v>
      </c>
      <c r="C32" s="9">
        <v>0</v>
      </c>
      <c r="F32">
        <v>5012</v>
      </c>
      <c r="G32" s="9">
        <v>0</v>
      </c>
    </row>
    <row r="33" spans="2:7" hidden="1" x14ac:dyDescent="0.2">
      <c r="B33" s="9">
        <v>5014</v>
      </c>
      <c r="C33" s="9">
        <v>0</v>
      </c>
      <c r="F33">
        <v>5013</v>
      </c>
      <c r="G33" s="9">
        <v>0</v>
      </c>
    </row>
    <row r="34" spans="2:7" hidden="1" x14ac:dyDescent="0.2">
      <c r="B34" s="9">
        <v>5015</v>
      </c>
      <c r="C34" s="9">
        <v>0</v>
      </c>
      <c r="F34">
        <v>5014</v>
      </c>
      <c r="G34" s="9">
        <v>0</v>
      </c>
    </row>
    <row r="35" spans="2:7" hidden="1" x14ac:dyDescent="0.2">
      <c r="B35" s="9">
        <v>5016</v>
      </c>
      <c r="C35" s="9">
        <v>0</v>
      </c>
      <c r="F35">
        <v>5015</v>
      </c>
      <c r="G35" s="9">
        <v>0</v>
      </c>
    </row>
    <row r="36" spans="2:7" hidden="1" x14ac:dyDescent="0.2">
      <c r="B36" s="9">
        <v>5017</v>
      </c>
      <c r="C36" s="9">
        <v>0</v>
      </c>
      <c r="F36">
        <v>5016</v>
      </c>
      <c r="G36" s="9">
        <v>0</v>
      </c>
    </row>
    <row r="37" spans="2:7" hidden="1" x14ac:dyDescent="0.2">
      <c r="B37" s="9">
        <v>6008</v>
      </c>
      <c r="C37" s="9">
        <v>0</v>
      </c>
      <c r="F37">
        <v>5017</v>
      </c>
      <c r="G37" s="9">
        <v>0</v>
      </c>
    </row>
    <row r="38" spans="2:7" hidden="1" x14ac:dyDescent="0.2">
      <c r="B38" s="9">
        <v>6009</v>
      </c>
      <c r="C38" s="9">
        <v>0</v>
      </c>
      <c r="F38">
        <v>6008</v>
      </c>
      <c r="G38" s="9">
        <v>0</v>
      </c>
    </row>
    <row r="39" spans="2:7" hidden="1" x14ac:dyDescent="0.2">
      <c r="B39" s="9">
        <v>6010</v>
      </c>
      <c r="C39" s="9">
        <v>0</v>
      </c>
      <c r="F39">
        <v>6009</v>
      </c>
      <c r="G39" s="9">
        <v>0</v>
      </c>
    </row>
    <row r="40" spans="2:7" hidden="1" x14ac:dyDescent="0.2">
      <c r="B40" s="9">
        <v>6011</v>
      </c>
      <c r="C40" s="9">
        <v>0</v>
      </c>
      <c r="F40">
        <v>6010</v>
      </c>
      <c r="G40" s="9">
        <v>0</v>
      </c>
    </row>
    <row r="41" spans="2:7" hidden="1" x14ac:dyDescent="0.2">
      <c r="B41" s="9">
        <v>6012</v>
      </c>
      <c r="C41" s="9">
        <v>5.2000000000000002E-6</v>
      </c>
      <c r="F41">
        <v>6011</v>
      </c>
      <c r="G41" s="9">
        <v>0</v>
      </c>
    </row>
    <row r="42" spans="2:7" x14ac:dyDescent="0.2">
      <c r="B42" s="9">
        <v>6013</v>
      </c>
      <c r="C42" s="9">
        <v>5.9000000000000003E-6</v>
      </c>
      <c r="F42">
        <v>6012</v>
      </c>
      <c r="G42" s="9">
        <v>3.2999999999999996E-5</v>
      </c>
    </row>
    <row r="43" spans="2:7" x14ac:dyDescent="0.2">
      <c r="B43" s="9">
        <v>6014</v>
      </c>
      <c r="C43" s="9">
        <v>0</v>
      </c>
      <c r="F43">
        <v>6013</v>
      </c>
      <c r="G43" s="9">
        <v>8.1700000000000007E-5</v>
      </c>
    </row>
    <row r="44" spans="2:7" hidden="1" x14ac:dyDescent="0.2">
      <c r="B44" s="9">
        <v>6015</v>
      </c>
      <c r="C44" s="9">
        <v>0</v>
      </c>
      <c r="F44">
        <v>6014</v>
      </c>
      <c r="G44" s="9">
        <v>0</v>
      </c>
    </row>
    <row r="45" spans="2:7" hidden="1" x14ac:dyDescent="0.2">
      <c r="B45" s="9">
        <v>6016</v>
      </c>
      <c r="C45" s="9">
        <v>0</v>
      </c>
      <c r="F45">
        <v>6015</v>
      </c>
      <c r="G45" s="9">
        <v>0</v>
      </c>
    </row>
    <row r="46" spans="2:7" hidden="1" x14ac:dyDescent="0.2">
      <c r="B46" s="9">
        <v>6017</v>
      </c>
      <c r="C46" s="9">
        <v>0</v>
      </c>
      <c r="F46">
        <v>6016</v>
      </c>
      <c r="G46" s="9">
        <v>0</v>
      </c>
    </row>
    <row r="47" spans="2:7" hidden="1" x14ac:dyDescent="0.2">
      <c r="B47" s="9">
        <v>6018</v>
      </c>
      <c r="C47" s="9">
        <v>0</v>
      </c>
      <c r="F47">
        <v>6017</v>
      </c>
      <c r="G47" s="9">
        <v>0</v>
      </c>
    </row>
    <row r="48" spans="2:7" hidden="1" x14ac:dyDescent="0.2">
      <c r="B48" s="9">
        <v>6019</v>
      </c>
      <c r="C48" s="9">
        <v>0</v>
      </c>
      <c r="F48">
        <v>6018</v>
      </c>
      <c r="G48" s="9">
        <v>0</v>
      </c>
    </row>
    <row r="49" spans="2:7" hidden="1" x14ac:dyDescent="0.2">
      <c r="B49" s="9">
        <v>6020</v>
      </c>
      <c r="C49" s="9">
        <v>0</v>
      </c>
      <c r="F49">
        <v>6019</v>
      </c>
      <c r="G49" s="9">
        <v>0</v>
      </c>
    </row>
    <row r="50" spans="2:7" hidden="1" x14ac:dyDescent="0.2">
      <c r="B50" s="9">
        <v>7011</v>
      </c>
      <c r="C50" s="9">
        <v>0</v>
      </c>
      <c r="F50">
        <v>6020</v>
      </c>
      <c r="G50" s="9">
        <v>0</v>
      </c>
    </row>
    <row r="51" spans="2:7" hidden="1" x14ac:dyDescent="0.2">
      <c r="B51" s="9">
        <v>7012</v>
      </c>
      <c r="C51" s="9">
        <v>0</v>
      </c>
      <c r="F51">
        <v>7011</v>
      </c>
      <c r="G51" s="9">
        <v>0</v>
      </c>
    </row>
    <row r="52" spans="2:7" hidden="1" x14ac:dyDescent="0.2">
      <c r="B52" s="9">
        <v>7013</v>
      </c>
      <c r="C52" s="9">
        <v>0</v>
      </c>
      <c r="F52">
        <v>7012</v>
      </c>
      <c r="G52" s="9">
        <v>0</v>
      </c>
    </row>
    <row r="53" spans="2:7" hidden="1" x14ac:dyDescent="0.2">
      <c r="B53" s="9">
        <v>7014</v>
      </c>
      <c r="C53" s="9">
        <v>9.9999999999999995E-8</v>
      </c>
      <c r="F53">
        <v>7013</v>
      </c>
      <c r="G53" s="9">
        <v>0</v>
      </c>
    </row>
    <row r="54" spans="2:7" x14ac:dyDescent="0.2">
      <c r="B54" s="9">
        <v>7015</v>
      </c>
      <c r="C54" s="9">
        <v>3.5999999999999998E-6</v>
      </c>
      <c r="F54">
        <v>7014</v>
      </c>
      <c r="G54" s="9">
        <v>1.1000000000000001E-6</v>
      </c>
    </row>
    <row r="55" spans="2:7" x14ac:dyDescent="0.2">
      <c r="B55" s="9">
        <v>7016</v>
      </c>
      <c r="C55" s="9">
        <v>9.9999999999999995E-7</v>
      </c>
      <c r="F55">
        <v>7015</v>
      </c>
      <c r="G55" s="9">
        <v>1.98E-5</v>
      </c>
    </row>
    <row r="56" spans="2:7" x14ac:dyDescent="0.2">
      <c r="B56" s="9">
        <v>7017</v>
      </c>
      <c r="C56" s="9">
        <v>0</v>
      </c>
      <c r="F56">
        <v>7016</v>
      </c>
      <c r="G56" s="9">
        <v>5.4E-6</v>
      </c>
    </row>
    <row r="57" spans="2:7" hidden="1" x14ac:dyDescent="0.2">
      <c r="B57" s="9">
        <v>7018</v>
      </c>
      <c r="C57" s="9">
        <v>0</v>
      </c>
      <c r="F57">
        <v>7017</v>
      </c>
      <c r="G57" s="9">
        <v>0</v>
      </c>
    </row>
    <row r="58" spans="2:7" hidden="1" x14ac:dyDescent="0.2">
      <c r="B58" s="9">
        <v>7019</v>
      </c>
      <c r="C58" s="9">
        <v>0</v>
      </c>
      <c r="F58">
        <v>7018</v>
      </c>
      <c r="G58" s="9">
        <v>0</v>
      </c>
    </row>
    <row r="59" spans="2:7" hidden="1" x14ac:dyDescent="0.2">
      <c r="B59" s="9">
        <v>7020</v>
      </c>
      <c r="C59" s="9">
        <v>0</v>
      </c>
      <c r="F59">
        <v>7019</v>
      </c>
      <c r="G59" s="9">
        <v>0</v>
      </c>
    </row>
    <row r="60" spans="2:7" hidden="1" x14ac:dyDescent="0.2">
      <c r="B60" s="9">
        <v>7021</v>
      </c>
      <c r="C60" s="9">
        <v>0</v>
      </c>
      <c r="F60">
        <v>7020</v>
      </c>
      <c r="G60" s="9">
        <v>0</v>
      </c>
    </row>
    <row r="61" spans="2:7" hidden="1" x14ac:dyDescent="0.2">
      <c r="B61" s="9">
        <v>7022</v>
      </c>
      <c r="C61" s="9">
        <v>0</v>
      </c>
      <c r="F61">
        <v>7021</v>
      </c>
      <c r="G61" s="9">
        <v>0</v>
      </c>
    </row>
    <row r="62" spans="2:7" hidden="1" x14ac:dyDescent="0.2">
      <c r="B62" s="9">
        <v>7023</v>
      </c>
      <c r="C62" s="9">
        <v>0</v>
      </c>
      <c r="F62">
        <v>7022</v>
      </c>
      <c r="G62" s="9">
        <v>0</v>
      </c>
    </row>
    <row r="63" spans="2:7" hidden="1" x14ac:dyDescent="0.2">
      <c r="B63" s="9">
        <v>8013</v>
      </c>
      <c r="C63" s="9">
        <v>0</v>
      </c>
      <c r="F63">
        <v>7023</v>
      </c>
      <c r="G63" s="9">
        <v>0</v>
      </c>
    </row>
    <row r="64" spans="2:7" hidden="1" x14ac:dyDescent="0.2">
      <c r="B64" s="9">
        <v>8014</v>
      </c>
      <c r="C64" s="9">
        <v>0</v>
      </c>
      <c r="F64">
        <v>8013</v>
      </c>
      <c r="G64" s="9">
        <v>0</v>
      </c>
    </row>
    <row r="65" spans="2:7" hidden="1" x14ac:dyDescent="0.2">
      <c r="B65" s="9">
        <v>8015</v>
      </c>
      <c r="C65" s="9">
        <v>4.9999999999999998E-7</v>
      </c>
      <c r="F65">
        <v>8014</v>
      </c>
      <c r="G65" s="9">
        <v>0</v>
      </c>
    </row>
    <row r="66" spans="2:7" x14ac:dyDescent="0.2">
      <c r="B66" s="9">
        <v>1001</v>
      </c>
      <c r="C66" s="9">
        <v>0</v>
      </c>
      <c r="F66">
        <v>8015</v>
      </c>
      <c r="G66" s="9">
        <v>1.1000000000000001E-6</v>
      </c>
    </row>
    <row r="67" spans="2:7" hidden="1" x14ac:dyDescent="0.2">
      <c r="B67" s="9">
        <v>1002</v>
      </c>
      <c r="C67" s="9">
        <v>9.9999999999999995E-8</v>
      </c>
      <c r="F67">
        <v>8016</v>
      </c>
      <c r="G67" s="9">
        <v>0</v>
      </c>
    </row>
    <row r="68" spans="2:7" x14ac:dyDescent="0.2">
      <c r="B68" s="9">
        <v>1003</v>
      </c>
      <c r="C68" s="9">
        <v>0</v>
      </c>
      <c r="F68">
        <v>8017</v>
      </c>
      <c r="G68" s="9">
        <v>9.9999999999999995E-8</v>
      </c>
    </row>
    <row r="69" spans="2:7" x14ac:dyDescent="0.2">
      <c r="B69" s="9">
        <v>2003</v>
      </c>
      <c r="C69" s="9">
        <v>0</v>
      </c>
    </row>
    <row r="70" spans="2:7" x14ac:dyDescent="0.2">
      <c r="B70" s="9">
        <v>2004</v>
      </c>
      <c r="C70" s="9">
        <v>5.9999999999999997E-7</v>
      </c>
    </row>
    <row r="71" spans="2:7" x14ac:dyDescent="0.2">
      <c r="B71" s="9">
        <v>2005</v>
      </c>
      <c r="C71" s="9">
        <v>0</v>
      </c>
    </row>
    <row r="72" spans="2:7" x14ac:dyDescent="0.2">
      <c r="B72" s="9">
        <v>2006</v>
      </c>
      <c r="C72" s="9">
        <v>0</v>
      </c>
    </row>
    <row r="73" spans="2:7" x14ac:dyDescent="0.2">
      <c r="B73" s="9">
        <v>2007</v>
      </c>
      <c r="C73" s="9">
        <v>0</v>
      </c>
    </row>
    <row r="74" spans="2:7" x14ac:dyDescent="0.2">
      <c r="B74" s="9">
        <v>2008</v>
      </c>
      <c r="C74" s="9">
        <v>0</v>
      </c>
    </row>
    <row r="75" spans="2:7" x14ac:dyDescent="0.2">
      <c r="B75" s="9">
        <v>3005</v>
      </c>
      <c r="C75" s="9">
        <v>0</v>
      </c>
    </row>
    <row r="76" spans="2:7" x14ac:dyDescent="0.2">
      <c r="B76" s="9">
        <v>3006</v>
      </c>
      <c r="C76" s="9">
        <v>0</v>
      </c>
    </row>
    <row r="77" spans="2:7" x14ac:dyDescent="0.2">
      <c r="B77" s="9">
        <v>3007</v>
      </c>
      <c r="C77" s="9">
        <v>0</v>
      </c>
    </row>
    <row r="78" spans="2:7" x14ac:dyDescent="0.2">
      <c r="B78" s="9">
        <v>3008</v>
      </c>
      <c r="C78" s="9">
        <v>0</v>
      </c>
    </row>
    <row r="79" spans="2:7" x14ac:dyDescent="0.2">
      <c r="B79" s="9">
        <v>3009</v>
      </c>
      <c r="C79" s="9">
        <v>0</v>
      </c>
    </row>
    <row r="80" spans="2:7" x14ac:dyDescent="0.2">
      <c r="B80" s="9">
        <v>3010</v>
      </c>
      <c r="C80" s="9">
        <v>0</v>
      </c>
    </row>
    <row r="81" spans="2:3" x14ac:dyDescent="0.2">
      <c r="B81" s="9">
        <v>3011</v>
      </c>
      <c r="C81" s="9">
        <v>0</v>
      </c>
    </row>
    <row r="82" spans="2:3" x14ac:dyDescent="0.2">
      <c r="B82" s="9">
        <v>4006</v>
      </c>
      <c r="C82" s="9">
        <v>0</v>
      </c>
    </row>
    <row r="83" spans="2:3" x14ac:dyDescent="0.2">
      <c r="B83" s="9">
        <v>4007</v>
      </c>
      <c r="C83" s="9">
        <v>0</v>
      </c>
    </row>
    <row r="84" spans="2:3" x14ac:dyDescent="0.2">
      <c r="B84" s="9">
        <v>4008</v>
      </c>
      <c r="C84" s="9">
        <v>0</v>
      </c>
    </row>
    <row r="85" spans="2:3" x14ac:dyDescent="0.2">
      <c r="B85" s="9">
        <v>4009</v>
      </c>
      <c r="C85" s="9">
        <v>0</v>
      </c>
    </row>
    <row r="86" spans="2:3" x14ac:dyDescent="0.2">
      <c r="B86" s="9">
        <v>4010</v>
      </c>
      <c r="C86" s="9">
        <v>0</v>
      </c>
    </row>
    <row r="87" spans="2:3" x14ac:dyDescent="0.2">
      <c r="B87" s="9">
        <v>4011</v>
      </c>
      <c r="C87" s="9">
        <v>0</v>
      </c>
    </row>
    <row r="88" spans="2:3" x14ac:dyDescent="0.2">
      <c r="B88" s="9">
        <v>4012</v>
      </c>
      <c r="C88" s="9">
        <v>0</v>
      </c>
    </row>
    <row r="89" spans="2:3" x14ac:dyDescent="0.2">
      <c r="B89" s="9">
        <v>4013</v>
      </c>
      <c r="C89" s="9">
        <v>0</v>
      </c>
    </row>
    <row r="90" spans="2:3" x14ac:dyDescent="0.2">
      <c r="B90" s="9">
        <v>4014</v>
      </c>
      <c r="C90" s="9">
        <v>0</v>
      </c>
    </row>
    <row r="91" spans="2:3" x14ac:dyDescent="0.2">
      <c r="B91" s="9">
        <v>5008</v>
      </c>
      <c r="C91" s="9">
        <v>0</v>
      </c>
    </row>
    <row r="92" spans="2:3" x14ac:dyDescent="0.2">
      <c r="B92" s="9">
        <v>5009</v>
      </c>
      <c r="C92" s="9">
        <v>0</v>
      </c>
    </row>
    <row r="93" spans="2:3" x14ac:dyDescent="0.2">
      <c r="B93" s="9">
        <v>5010</v>
      </c>
      <c r="C93" s="9">
        <v>0</v>
      </c>
    </row>
    <row r="94" spans="2:3" x14ac:dyDescent="0.2">
      <c r="B94" s="9">
        <v>5011</v>
      </c>
      <c r="C94" s="9">
        <v>0</v>
      </c>
    </row>
    <row r="95" spans="2:3" x14ac:dyDescent="0.2">
      <c r="B95" s="9">
        <v>5012</v>
      </c>
      <c r="C95" s="9">
        <v>0</v>
      </c>
    </row>
    <row r="96" spans="2:3" x14ac:dyDescent="0.2">
      <c r="B96" s="9">
        <v>5013</v>
      </c>
      <c r="C96" s="9">
        <v>0</v>
      </c>
    </row>
    <row r="97" spans="2:3" x14ac:dyDescent="0.2">
      <c r="B97" s="9">
        <v>5014</v>
      </c>
      <c r="C97" s="9">
        <v>0</v>
      </c>
    </row>
    <row r="98" spans="2:3" x14ac:dyDescent="0.2">
      <c r="B98" s="9">
        <v>5015</v>
      </c>
      <c r="C98" s="9">
        <v>0</v>
      </c>
    </row>
    <row r="99" spans="2:3" x14ac:dyDescent="0.2">
      <c r="B99" s="9">
        <v>5016</v>
      </c>
      <c r="C99" s="9">
        <v>0</v>
      </c>
    </row>
    <row r="100" spans="2:3" x14ac:dyDescent="0.2">
      <c r="B100" s="9">
        <v>5017</v>
      </c>
      <c r="C100" s="9">
        <v>0</v>
      </c>
    </row>
    <row r="101" spans="2:3" x14ac:dyDescent="0.2">
      <c r="B101" s="9">
        <v>6008</v>
      </c>
      <c r="C101" s="9">
        <v>0</v>
      </c>
    </row>
    <row r="102" spans="2:3" x14ac:dyDescent="0.2">
      <c r="B102" s="9">
        <v>6009</v>
      </c>
      <c r="C102" s="9">
        <v>0</v>
      </c>
    </row>
    <row r="103" spans="2:3" x14ac:dyDescent="0.2">
      <c r="B103" s="9">
        <v>6010</v>
      </c>
      <c r="C103" s="9">
        <v>0</v>
      </c>
    </row>
    <row r="104" spans="2:3" x14ac:dyDescent="0.2">
      <c r="B104" s="9">
        <v>6011</v>
      </c>
      <c r="C104" s="9">
        <v>0</v>
      </c>
    </row>
    <row r="105" spans="2:3" x14ac:dyDescent="0.2">
      <c r="B105" s="9">
        <v>6012</v>
      </c>
      <c r="C105" s="9">
        <v>9.5999999999999996E-6</v>
      </c>
    </row>
    <row r="106" spans="2:3" x14ac:dyDescent="0.2">
      <c r="B106" s="9">
        <v>6013</v>
      </c>
      <c r="C106" s="9">
        <v>1.6200000000000001E-5</v>
      </c>
    </row>
    <row r="107" spans="2:3" x14ac:dyDescent="0.2">
      <c r="B107" s="9">
        <v>6014</v>
      </c>
      <c r="C107" s="9">
        <v>0</v>
      </c>
    </row>
    <row r="108" spans="2:3" x14ac:dyDescent="0.2">
      <c r="B108" s="9">
        <v>6015</v>
      </c>
      <c r="C108" s="9">
        <v>0</v>
      </c>
    </row>
    <row r="109" spans="2:3" x14ac:dyDescent="0.2">
      <c r="B109" s="9">
        <v>6016</v>
      </c>
      <c r="C109" s="9">
        <v>0</v>
      </c>
    </row>
    <row r="110" spans="2:3" x14ac:dyDescent="0.2">
      <c r="B110" s="9">
        <v>6017</v>
      </c>
      <c r="C110" s="9">
        <v>0</v>
      </c>
    </row>
    <row r="111" spans="2:3" x14ac:dyDescent="0.2">
      <c r="B111" s="9">
        <v>6018</v>
      </c>
      <c r="C111" s="9">
        <v>0</v>
      </c>
    </row>
    <row r="112" spans="2:3" x14ac:dyDescent="0.2">
      <c r="B112" s="9">
        <v>6019</v>
      </c>
      <c r="C112" s="9">
        <v>0</v>
      </c>
    </row>
    <row r="113" spans="2:3" x14ac:dyDescent="0.2">
      <c r="B113" s="9">
        <v>6020</v>
      </c>
      <c r="C113" s="9">
        <v>0</v>
      </c>
    </row>
    <row r="114" spans="2:3" x14ac:dyDescent="0.2">
      <c r="B114" s="9">
        <v>7011</v>
      </c>
      <c r="C114" s="9">
        <v>0</v>
      </c>
    </row>
    <row r="115" spans="2:3" x14ac:dyDescent="0.2">
      <c r="B115" s="9">
        <v>7012</v>
      </c>
      <c r="C115" s="9">
        <v>0</v>
      </c>
    </row>
    <row r="116" spans="2:3" x14ac:dyDescent="0.2">
      <c r="B116" s="9">
        <v>7013</v>
      </c>
      <c r="C116" s="9">
        <v>0</v>
      </c>
    </row>
    <row r="117" spans="2:3" x14ac:dyDescent="0.2">
      <c r="B117" s="9">
        <v>7014</v>
      </c>
      <c r="C117" s="9">
        <v>2.9999999999999999E-7</v>
      </c>
    </row>
    <row r="118" spans="2:3" x14ac:dyDescent="0.2">
      <c r="B118" s="9">
        <v>7015</v>
      </c>
      <c r="C118" s="9">
        <v>3.9999999999999998E-6</v>
      </c>
    </row>
    <row r="119" spans="2:3" x14ac:dyDescent="0.2">
      <c r="B119" s="9">
        <v>7016</v>
      </c>
      <c r="C119" s="9">
        <v>8.9999999999999996E-7</v>
      </c>
    </row>
    <row r="120" spans="2:3" x14ac:dyDescent="0.2">
      <c r="B120" s="9">
        <v>7017</v>
      </c>
      <c r="C120" s="9">
        <v>0</v>
      </c>
    </row>
    <row r="121" spans="2:3" x14ac:dyDescent="0.2">
      <c r="B121" s="9">
        <v>7018</v>
      </c>
      <c r="C121" s="9">
        <v>0</v>
      </c>
    </row>
    <row r="122" spans="2:3" x14ac:dyDescent="0.2">
      <c r="B122" s="9">
        <v>7019</v>
      </c>
      <c r="C122" s="9">
        <v>0</v>
      </c>
    </row>
    <row r="123" spans="2:3" x14ac:dyDescent="0.2">
      <c r="B123" s="9">
        <v>7020</v>
      </c>
      <c r="C123" s="9">
        <v>0</v>
      </c>
    </row>
    <row r="124" spans="2:3" x14ac:dyDescent="0.2">
      <c r="B124" s="9">
        <v>7021</v>
      </c>
      <c r="C124" s="9">
        <v>0</v>
      </c>
    </row>
    <row r="125" spans="2:3" x14ac:dyDescent="0.2">
      <c r="B125" s="9">
        <v>7022</v>
      </c>
      <c r="C125" s="9">
        <v>0</v>
      </c>
    </row>
    <row r="126" spans="2:3" x14ac:dyDescent="0.2">
      <c r="B126" s="9">
        <v>7023</v>
      </c>
      <c r="C126" s="9">
        <v>0</v>
      </c>
    </row>
    <row r="127" spans="2:3" x14ac:dyDescent="0.2">
      <c r="B127" s="9">
        <v>8013</v>
      </c>
      <c r="C127" s="9">
        <v>0</v>
      </c>
    </row>
    <row r="128" spans="2:3" x14ac:dyDescent="0.2">
      <c r="B128" s="9">
        <v>8014</v>
      </c>
      <c r="C128" s="9">
        <v>0</v>
      </c>
    </row>
    <row r="129" spans="2:3" x14ac:dyDescent="0.2">
      <c r="B129" s="9">
        <v>8015</v>
      </c>
      <c r="C129" s="9">
        <v>9.9999999999999995E-8</v>
      </c>
    </row>
    <row r="130" spans="2:3" x14ac:dyDescent="0.2">
      <c r="B130" s="9">
        <v>2004</v>
      </c>
      <c r="C130" s="9">
        <v>7.9999999999999996E-7</v>
      </c>
    </row>
    <row r="131" spans="2:3" x14ac:dyDescent="0.2">
      <c r="B131" s="9">
        <v>2005</v>
      </c>
      <c r="C131" s="9">
        <v>0</v>
      </c>
    </row>
    <row r="132" spans="2:3" x14ac:dyDescent="0.2">
      <c r="B132" s="9">
        <v>2006</v>
      </c>
      <c r="C132" s="9">
        <v>0</v>
      </c>
    </row>
    <row r="133" spans="2:3" x14ac:dyDescent="0.2">
      <c r="B133" s="9">
        <v>2007</v>
      </c>
      <c r="C133" s="9">
        <v>0</v>
      </c>
    </row>
    <row r="134" spans="2:3" x14ac:dyDescent="0.2">
      <c r="B134" s="9">
        <v>2008</v>
      </c>
      <c r="C134" s="9">
        <v>0</v>
      </c>
    </row>
    <row r="135" spans="2:3" x14ac:dyDescent="0.2">
      <c r="B135" s="9">
        <v>3005</v>
      </c>
      <c r="C135" s="9">
        <v>0</v>
      </c>
    </row>
    <row r="136" spans="2:3" x14ac:dyDescent="0.2">
      <c r="B136" s="9">
        <v>3006</v>
      </c>
      <c r="C136" s="9">
        <v>0</v>
      </c>
    </row>
    <row r="137" spans="2:3" x14ac:dyDescent="0.2">
      <c r="B137" s="9">
        <v>3007</v>
      </c>
      <c r="C137" s="9">
        <v>0</v>
      </c>
    </row>
    <row r="138" spans="2:3" x14ac:dyDescent="0.2">
      <c r="B138" s="9">
        <v>3008</v>
      </c>
      <c r="C138" s="9">
        <v>0</v>
      </c>
    </row>
    <row r="139" spans="2:3" x14ac:dyDescent="0.2">
      <c r="B139" s="9">
        <v>3009</v>
      </c>
      <c r="C139" s="9">
        <v>0</v>
      </c>
    </row>
    <row r="140" spans="2:3" x14ac:dyDescent="0.2">
      <c r="B140" s="9">
        <v>3010</v>
      </c>
      <c r="C140" s="9">
        <v>0</v>
      </c>
    </row>
    <row r="141" spans="2:3" x14ac:dyDescent="0.2">
      <c r="B141" s="9">
        <v>3011</v>
      </c>
      <c r="C141" s="9">
        <v>0</v>
      </c>
    </row>
    <row r="142" spans="2:3" x14ac:dyDescent="0.2">
      <c r="B142" s="9">
        <v>4006</v>
      </c>
      <c r="C142" s="9">
        <v>0</v>
      </c>
    </row>
    <row r="143" spans="2:3" x14ac:dyDescent="0.2">
      <c r="B143" s="9">
        <v>4007</v>
      </c>
      <c r="C143" s="9">
        <v>0</v>
      </c>
    </row>
    <row r="144" spans="2:3" x14ac:dyDescent="0.2">
      <c r="B144" s="9">
        <v>4008</v>
      </c>
      <c r="C144" s="9">
        <v>0</v>
      </c>
    </row>
    <row r="145" spans="2:3" x14ac:dyDescent="0.2">
      <c r="B145" s="9">
        <v>4009</v>
      </c>
      <c r="C145" s="9">
        <v>9.9999999999999995E-8</v>
      </c>
    </row>
    <row r="146" spans="2:3" x14ac:dyDescent="0.2">
      <c r="B146" s="9">
        <v>4010</v>
      </c>
      <c r="C146" s="9">
        <v>0</v>
      </c>
    </row>
    <row r="147" spans="2:3" x14ac:dyDescent="0.2">
      <c r="B147" s="9">
        <v>4011</v>
      </c>
      <c r="C147" s="9">
        <v>0</v>
      </c>
    </row>
    <row r="148" spans="2:3" x14ac:dyDescent="0.2">
      <c r="B148" s="9">
        <v>4012</v>
      </c>
      <c r="C148" s="9">
        <v>0</v>
      </c>
    </row>
    <row r="149" spans="2:3" x14ac:dyDescent="0.2">
      <c r="B149" s="9">
        <v>4013</v>
      </c>
      <c r="C149" s="9">
        <v>0</v>
      </c>
    </row>
    <row r="150" spans="2:3" x14ac:dyDescent="0.2">
      <c r="B150" s="9">
        <v>4014</v>
      </c>
      <c r="C150" s="9">
        <v>0</v>
      </c>
    </row>
    <row r="151" spans="2:3" x14ac:dyDescent="0.2">
      <c r="B151" s="9">
        <v>5008</v>
      </c>
      <c r="C151" s="9">
        <v>0</v>
      </c>
    </row>
    <row r="152" spans="2:3" x14ac:dyDescent="0.2">
      <c r="B152" s="9">
        <v>5009</v>
      </c>
      <c r="C152" s="9">
        <v>0</v>
      </c>
    </row>
    <row r="153" spans="2:3" x14ac:dyDescent="0.2">
      <c r="B153" s="9">
        <v>5010</v>
      </c>
      <c r="C153" s="9">
        <v>0</v>
      </c>
    </row>
    <row r="154" spans="2:3" x14ac:dyDescent="0.2">
      <c r="B154" s="9">
        <v>5011</v>
      </c>
      <c r="C154" s="9">
        <v>0</v>
      </c>
    </row>
    <row r="155" spans="2:3" x14ac:dyDescent="0.2">
      <c r="B155" s="9">
        <v>5012</v>
      </c>
      <c r="C155" s="9">
        <v>0</v>
      </c>
    </row>
    <row r="156" spans="2:3" x14ac:dyDescent="0.2">
      <c r="B156" s="9">
        <v>5013</v>
      </c>
      <c r="C156" s="9">
        <v>0</v>
      </c>
    </row>
    <row r="157" spans="2:3" x14ac:dyDescent="0.2">
      <c r="B157" s="9">
        <v>5014</v>
      </c>
      <c r="C157" s="9">
        <v>0</v>
      </c>
    </row>
    <row r="158" spans="2:3" x14ac:dyDescent="0.2">
      <c r="B158" s="9">
        <v>5015</v>
      </c>
      <c r="C158" s="9">
        <v>0</v>
      </c>
    </row>
    <row r="159" spans="2:3" x14ac:dyDescent="0.2">
      <c r="B159" s="9">
        <v>5016</v>
      </c>
      <c r="C159" s="9">
        <v>0</v>
      </c>
    </row>
    <row r="160" spans="2:3" x14ac:dyDescent="0.2">
      <c r="B160" s="9">
        <v>5017</v>
      </c>
      <c r="C160" s="9">
        <v>0</v>
      </c>
    </row>
    <row r="161" spans="2:3" x14ac:dyDescent="0.2">
      <c r="B161" s="9">
        <v>6008</v>
      </c>
      <c r="C161" s="9">
        <v>0</v>
      </c>
    </row>
    <row r="162" spans="2:3" x14ac:dyDescent="0.2">
      <c r="B162" s="9">
        <v>6009</v>
      </c>
      <c r="C162" s="9">
        <v>0</v>
      </c>
    </row>
    <row r="163" spans="2:3" x14ac:dyDescent="0.2">
      <c r="B163" s="9">
        <v>6010</v>
      </c>
      <c r="C163" s="9">
        <v>0</v>
      </c>
    </row>
    <row r="164" spans="2:3" x14ac:dyDescent="0.2">
      <c r="B164" s="9">
        <v>6011</v>
      </c>
      <c r="C164" s="9">
        <v>0</v>
      </c>
    </row>
    <row r="165" spans="2:3" x14ac:dyDescent="0.2">
      <c r="B165" s="9">
        <v>6012</v>
      </c>
      <c r="C165" s="9">
        <v>1.19E-5</v>
      </c>
    </row>
    <row r="166" spans="2:3" x14ac:dyDescent="0.2">
      <c r="B166" s="9">
        <v>6013</v>
      </c>
      <c r="C166" s="9">
        <v>2.9300000000000001E-5</v>
      </c>
    </row>
    <row r="167" spans="2:3" x14ac:dyDescent="0.2">
      <c r="B167" s="9">
        <v>6014</v>
      </c>
      <c r="C167" s="9">
        <v>0</v>
      </c>
    </row>
    <row r="168" spans="2:3" x14ac:dyDescent="0.2">
      <c r="B168" s="9">
        <v>6015</v>
      </c>
      <c r="C168" s="9">
        <v>0</v>
      </c>
    </row>
    <row r="169" spans="2:3" x14ac:dyDescent="0.2">
      <c r="B169" s="9">
        <v>6016</v>
      </c>
      <c r="C169" s="9">
        <v>0</v>
      </c>
    </row>
    <row r="170" spans="2:3" x14ac:dyDescent="0.2">
      <c r="B170" s="9">
        <v>6017</v>
      </c>
      <c r="C170" s="9">
        <v>0</v>
      </c>
    </row>
    <row r="171" spans="2:3" x14ac:dyDescent="0.2">
      <c r="B171" s="9">
        <v>6018</v>
      </c>
      <c r="C171" s="9">
        <v>0</v>
      </c>
    </row>
    <row r="172" spans="2:3" x14ac:dyDescent="0.2">
      <c r="B172" s="9">
        <v>6019</v>
      </c>
      <c r="C172" s="9">
        <v>0</v>
      </c>
    </row>
    <row r="173" spans="2:3" x14ac:dyDescent="0.2">
      <c r="B173" s="9">
        <v>6020</v>
      </c>
      <c r="C173" s="9">
        <v>0</v>
      </c>
    </row>
    <row r="174" spans="2:3" x14ac:dyDescent="0.2">
      <c r="B174" s="9">
        <v>7011</v>
      </c>
      <c r="C174" s="9">
        <v>0</v>
      </c>
    </row>
    <row r="175" spans="2:3" x14ac:dyDescent="0.2">
      <c r="B175" s="9">
        <v>7012</v>
      </c>
      <c r="C175" s="9">
        <v>0</v>
      </c>
    </row>
    <row r="176" spans="2:3" x14ac:dyDescent="0.2">
      <c r="B176" s="9">
        <v>7013</v>
      </c>
      <c r="C176" s="9">
        <v>0</v>
      </c>
    </row>
    <row r="177" spans="2:3" x14ac:dyDescent="0.2">
      <c r="B177" s="9">
        <v>7014</v>
      </c>
      <c r="C177" s="9">
        <v>6.9999999999999997E-7</v>
      </c>
    </row>
    <row r="178" spans="2:3" x14ac:dyDescent="0.2">
      <c r="B178" s="9">
        <v>7015</v>
      </c>
      <c r="C178" s="9">
        <v>9.2E-6</v>
      </c>
    </row>
    <row r="179" spans="2:3" x14ac:dyDescent="0.2">
      <c r="B179" s="9">
        <v>7016</v>
      </c>
      <c r="C179" s="9">
        <v>1.7999999999999999E-6</v>
      </c>
    </row>
    <row r="180" spans="2:3" x14ac:dyDescent="0.2">
      <c r="B180" s="9">
        <v>7017</v>
      </c>
      <c r="C180" s="9">
        <v>0</v>
      </c>
    </row>
    <row r="181" spans="2:3" x14ac:dyDescent="0.2">
      <c r="B181" s="9">
        <v>7018</v>
      </c>
      <c r="C181" s="9">
        <v>0</v>
      </c>
    </row>
    <row r="182" spans="2:3" x14ac:dyDescent="0.2">
      <c r="B182" s="9">
        <v>7019</v>
      </c>
      <c r="C182" s="9">
        <v>0</v>
      </c>
    </row>
    <row r="183" spans="2:3" x14ac:dyDescent="0.2">
      <c r="B183" s="9">
        <v>7020</v>
      </c>
      <c r="C183" s="9">
        <v>0</v>
      </c>
    </row>
    <row r="184" spans="2:3" x14ac:dyDescent="0.2">
      <c r="B184" s="9">
        <v>7021</v>
      </c>
      <c r="C184" s="9">
        <v>0</v>
      </c>
    </row>
    <row r="185" spans="2:3" x14ac:dyDescent="0.2">
      <c r="B185" s="9">
        <v>7022</v>
      </c>
      <c r="C185" s="9">
        <v>0</v>
      </c>
    </row>
    <row r="186" spans="2:3" x14ac:dyDescent="0.2">
      <c r="B186" s="9">
        <v>7023</v>
      </c>
      <c r="C186" s="9">
        <v>0</v>
      </c>
    </row>
    <row r="187" spans="2:3" x14ac:dyDescent="0.2">
      <c r="B187" s="9">
        <v>8013</v>
      </c>
      <c r="C187" s="9">
        <v>0</v>
      </c>
    </row>
    <row r="188" spans="2:3" x14ac:dyDescent="0.2">
      <c r="B188" s="9">
        <v>8014</v>
      </c>
      <c r="C188" s="9">
        <v>0</v>
      </c>
    </row>
    <row r="189" spans="2:3" x14ac:dyDescent="0.2">
      <c r="B189" s="9">
        <v>8015</v>
      </c>
      <c r="C189" s="9">
        <v>2.9999999999999999E-7</v>
      </c>
    </row>
    <row r="190" spans="2:3" x14ac:dyDescent="0.2">
      <c r="B190" s="9">
        <v>8016</v>
      </c>
      <c r="C190" s="9">
        <v>0</v>
      </c>
    </row>
    <row r="191" spans="2:3" x14ac:dyDescent="0.2">
      <c r="B191" s="9">
        <v>8017</v>
      </c>
      <c r="C191" s="9">
        <v>9.9999999999999995E-8</v>
      </c>
    </row>
    <row r="192" spans="2:3" x14ac:dyDescent="0.2">
      <c r="B192" s="9">
        <v>1002</v>
      </c>
      <c r="C192" s="9">
        <v>1.9999999999999999E-7</v>
      </c>
    </row>
    <row r="193" spans="2:3" x14ac:dyDescent="0.2">
      <c r="B193" s="9">
        <v>1003</v>
      </c>
      <c r="C193" s="9">
        <v>0</v>
      </c>
    </row>
    <row r="194" spans="2:3" x14ac:dyDescent="0.2">
      <c r="B194" s="9">
        <v>2003</v>
      </c>
      <c r="C194" s="9">
        <v>0</v>
      </c>
    </row>
    <row r="195" spans="2:3" x14ac:dyDescent="0.2">
      <c r="B195" s="9">
        <v>2004</v>
      </c>
      <c r="C195" s="9">
        <v>2.9999999999999999E-7</v>
      </c>
    </row>
    <row r="196" spans="2:3" x14ac:dyDescent="0.2">
      <c r="B196" s="9">
        <v>2005</v>
      </c>
      <c r="C196" s="9">
        <v>0</v>
      </c>
    </row>
    <row r="197" spans="2:3" x14ac:dyDescent="0.2">
      <c r="B197" s="9">
        <v>2006</v>
      </c>
      <c r="C197" s="9">
        <v>0</v>
      </c>
    </row>
    <row r="198" spans="2:3" x14ac:dyDescent="0.2">
      <c r="B198" s="9">
        <v>2007</v>
      </c>
      <c r="C198" s="9">
        <v>0</v>
      </c>
    </row>
    <row r="199" spans="2:3" x14ac:dyDescent="0.2">
      <c r="B199" s="9">
        <v>2008</v>
      </c>
      <c r="C199" s="9">
        <v>0</v>
      </c>
    </row>
    <row r="200" spans="2:3" x14ac:dyDescent="0.2">
      <c r="B200" s="9">
        <v>3005</v>
      </c>
      <c r="C200" s="9">
        <v>0</v>
      </c>
    </row>
    <row r="201" spans="2:3" x14ac:dyDescent="0.2">
      <c r="B201" s="9">
        <v>3006</v>
      </c>
      <c r="C201" s="9">
        <v>0</v>
      </c>
    </row>
    <row r="202" spans="2:3" x14ac:dyDescent="0.2">
      <c r="B202" s="9">
        <v>3007</v>
      </c>
      <c r="C202" s="9">
        <v>0</v>
      </c>
    </row>
    <row r="203" spans="2:3" x14ac:dyDescent="0.2">
      <c r="B203" s="9">
        <v>3008</v>
      </c>
      <c r="C203" s="9">
        <v>0</v>
      </c>
    </row>
    <row r="204" spans="2:3" x14ac:dyDescent="0.2">
      <c r="B204" s="9">
        <v>3009</v>
      </c>
      <c r="C204" s="9">
        <v>0</v>
      </c>
    </row>
    <row r="205" spans="2:3" x14ac:dyDescent="0.2">
      <c r="B205" s="9">
        <v>3010</v>
      </c>
      <c r="C205" s="9">
        <v>0</v>
      </c>
    </row>
    <row r="206" spans="2:3" x14ac:dyDescent="0.2">
      <c r="B206" s="9">
        <v>3011</v>
      </c>
      <c r="C206" s="9">
        <v>0</v>
      </c>
    </row>
    <row r="207" spans="2:3" x14ac:dyDescent="0.2">
      <c r="B207" s="9">
        <v>4006</v>
      </c>
      <c r="C207" s="9">
        <v>0</v>
      </c>
    </row>
    <row r="208" spans="2:3" x14ac:dyDescent="0.2">
      <c r="B208" s="9">
        <v>4007</v>
      </c>
      <c r="C208" s="9">
        <v>0</v>
      </c>
    </row>
    <row r="209" spans="2:3" x14ac:dyDescent="0.2">
      <c r="B209" s="9">
        <v>4008</v>
      </c>
      <c r="C209" s="9">
        <v>0</v>
      </c>
    </row>
    <row r="210" spans="2:3" x14ac:dyDescent="0.2">
      <c r="B210" s="9">
        <v>4009</v>
      </c>
      <c r="C210" s="9">
        <v>0</v>
      </c>
    </row>
    <row r="211" spans="2:3" x14ac:dyDescent="0.2">
      <c r="B211" s="9">
        <v>4010</v>
      </c>
      <c r="C211" s="9">
        <v>0</v>
      </c>
    </row>
    <row r="212" spans="2:3" x14ac:dyDescent="0.2">
      <c r="B212" s="9">
        <v>4011</v>
      </c>
      <c r="C212" s="9">
        <v>0</v>
      </c>
    </row>
    <row r="213" spans="2:3" x14ac:dyDescent="0.2">
      <c r="B213" s="9">
        <v>4012</v>
      </c>
      <c r="C213" s="9">
        <v>0</v>
      </c>
    </row>
    <row r="214" spans="2:3" x14ac:dyDescent="0.2">
      <c r="B214" s="9">
        <v>4013</v>
      </c>
      <c r="C214" s="9">
        <v>0</v>
      </c>
    </row>
    <row r="215" spans="2:3" x14ac:dyDescent="0.2">
      <c r="B215" s="9">
        <v>4014</v>
      </c>
      <c r="C215" s="9">
        <v>0</v>
      </c>
    </row>
    <row r="216" spans="2:3" x14ac:dyDescent="0.2">
      <c r="B216" s="9">
        <v>5008</v>
      </c>
      <c r="C216" s="9">
        <v>0</v>
      </c>
    </row>
    <row r="217" spans="2:3" x14ac:dyDescent="0.2">
      <c r="B217" s="9">
        <v>5009</v>
      </c>
      <c r="C217" s="9">
        <v>0</v>
      </c>
    </row>
    <row r="218" spans="2:3" x14ac:dyDescent="0.2">
      <c r="B218" s="9">
        <v>5010</v>
      </c>
      <c r="C218" s="9">
        <v>0</v>
      </c>
    </row>
    <row r="219" spans="2:3" x14ac:dyDescent="0.2">
      <c r="B219" s="9">
        <v>5011</v>
      </c>
      <c r="C219" s="9">
        <v>0</v>
      </c>
    </row>
    <row r="220" spans="2:3" x14ac:dyDescent="0.2">
      <c r="B220" s="9">
        <v>5012</v>
      </c>
      <c r="C220" s="9">
        <v>0</v>
      </c>
    </row>
    <row r="221" spans="2:3" x14ac:dyDescent="0.2">
      <c r="B221" s="9">
        <v>5013</v>
      </c>
      <c r="C221" s="9">
        <v>0</v>
      </c>
    </row>
    <row r="222" spans="2:3" x14ac:dyDescent="0.2">
      <c r="B222" s="9">
        <v>5014</v>
      </c>
      <c r="C222" s="9">
        <v>0</v>
      </c>
    </row>
    <row r="223" spans="2:3" x14ac:dyDescent="0.2">
      <c r="B223" s="9">
        <v>5015</v>
      </c>
      <c r="C223" s="9">
        <v>0</v>
      </c>
    </row>
    <row r="224" spans="2:3" x14ac:dyDescent="0.2">
      <c r="B224" s="9">
        <v>5016</v>
      </c>
      <c r="C224" s="9">
        <v>0</v>
      </c>
    </row>
    <row r="225" spans="2:3" x14ac:dyDescent="0.2">
      <c r="B225" s="9">
        <v>5017</v>
      </c>
      <c r="C225" s="9">
        <v>0</v>
      </c>
    </row>
    <row r="226" spans="2:3" x14ac:dyDescent="0.2">
      <c r="B226" s="9">
        <v>6008</v>
      </c>
      <c r="C226" s="9">
        <v>0</v>
      </c>
    </row>
    <row r="227" spans="2:3" x14ac:dyDescent="0.2">
      <c r="B227" s="9">
        <v>6009</v>
      </c>
      <c r="C227" s="9">
        <v>0</v>
      </c>
    </row>
    <row r="228" spans="2:3" x14ac:dyDescent="0.2">
      <c r="B228" s="9">
        <v>6010</v>
      </c>
      <c r="C228" s="9">
        <v>0</v>
      </c>
    </row>
    <row r="229" spans="2:3" x14ac:dyDescent="0.2">
      <c r="B229" s="9">
        <v>6011</v>
      </c>
      <c r="C229" s="9">
        <v>0</v>
      </c>
    </row>
    <row r="230" spans="2:3" x14ac:dyDescent="0.2">
      <c r="B230" s="9">
        <v>6012</v>
      </c>
      <c r="C230" s="9">
        <v>6.2999999999999998E-6</v>
      </c>
    </row>
    <row r="231" spans="2:3" x14ac:dyDescent="0.2">
      <c r="B231" s="9">
        <v>6013</v>
      </c>
      <c r="C231" s="9">
        <v>3.0300000000000001E-5</v>
      </c>
    </row>
    <row r="232" spans="2:3" x14ac:dyDescent="0.2">
      <c r="B232" s="9">
        <v>6014</v>
      </c>
      <c r="C232" s="9">
        <v>0</v>
      </c>
    </row>
    <row r="233" spans="2:3" x14ac:dyDescent="0.2">
      <c r="B233" s="9">
        <v>6015</v>
      </c>
      <c r="C233" s="9">
        <v>0</v>
      </c>
    </row>
    <row r="234" spans="2:3" x14ac:dyDescent="0.2">
      <c r="B234" s="9">
        <v>6016</v>
      </c>
      <c r="C234" s="9">
        <v>0</v>
      </c>
    </row>
    <row r="235" spans="2:3" x14ac:dyDescent="0.2">
      <c r="B235" s="9">
        <v>6017</v>
      </c>
      <c r="C235" s="9">
        <v>0</v>
      </c>
    </row>
    <row r="236" spans="2:3" x14ac:dyDescent="0.2">
      <c r="B236" s="9">
        <v>6018</v>
      </c>
      <c r="C236" s="9">
        <v>0</v>
      </c>
    </row>
    <row r="237" spans="2:3" x14ac:dyDescent="0.2">
      <c r="B237" s="9">
        <v>6019</v>
      </c>
      <c r="C237" s="9">
        <v>0</v>
      </c>
    </row>
    <row r="238" spans="2:3" x14ac:dyDescent="0.2">
      <c r="B238" s="9">
        <v>6020</v>
      </c>
      <c r="C238" s="9">
        <v>0</v>
      </c>
    </row>
    <row r="239" spans="2:3" x14ac:dyDescent="0.2">
      <c r="B239" s="9">
        <v>7011</v>
      </c>
      <c r="C239" s="9">
        <v>0</v>
      </c>
    </row>
    <row r="240" spans="2:3" x14ac:dyDescent="0.2">
      <c r="B240" s="9">
        <v>7012</v>
      </c>
      <c r="C240" s="9">
        <v>0</v>
      </c>
    </row>
    <row r="241" spans="2:3" x14ac:dyDescent="0.2">
      <c r="B241" s="9">
        <v>7013</v>
      </c>
      <c r="C241" s="9">
        <v>0</v>
      </c>
    </row>
    <row r="242" spans="2:3" x14ac:dyDescent="0.2">
      <c r="B242" s="9">
        <v>7014</v>
      </c>
      <c r="C242" s="9">
        <v>0</v>
      </c>
    </row>
    <row r="243" spans="2:3" x14ac:dyDescent="0.2">
      <c r="B243" s="9">
        <v>7015</v>
      </c>
      <c r="C243" s="9">
        <v>3.0000000000000001E-6</v>
      </c>
    </row>
    <row r="244" spans="2:3" x14ac:dyDescent="0.2">
      <c r="B244" s="9">
        <v>7016</v>
      </c>
      <c r="C244" s="9">
        <v>1.7E-6</v>
      </c>
    </row>
    <row r="245" spans="2:3" x14ac:dyDescent="0.2">
      <c r="B245" s="9">
        <v>7017</v>
      </c>
      <c r="C245" s="9">
        <v>0</v>
      </c>
    </row>
    <row r="246" spans="2:3" x14ac:dyDescent="0.2">
      <c r="B246" s="9">
        <v>7018</v>
      </c>
      <c r="C246" s="9">
        <v>0</v>
      </c>
    </row>
    <row r="247" spans="2:3" x14ac:dyDescent="0.2">
      <c r="B247" s="9">
        <v>7019</v>
      </c>
      <c r="C247" s="9">
        <v>0</v>
      </c>
    </row>
    <row r="248" spans="2:3" x14ac:dyDescent="0.2">
      <c r="B248" s="9">
        <v>7020</v>
      </c>
      <c r="C248" s="9">
        <v>0</v>
      </c>
    </row>
    <row r="249" spans="2:3" x14ac:dyDescent="0.2">
      <c r="B249" s="9">
        <v>7021</v>
      </c>
      <c r="C249" s="9">
        <v>0</v>
      </c>
    </row>
    <row r="250" spans="2:3" x14ac:dyDescent="0.2">
      <c r="B250" s="9">
        <v>7022</v>
      </c>
      <c r="C250" s="9">
        <v>0</v>
      </c>
    </row>
    <row r="251" spans="2:3" x14ac:dyDescent="0.2">
      <c r="B251" s="9">
        <v>7023</v>
      </c>
      <c r="C251" s="9">
        <v>0</v>
      </c>
    </row>
    <row r="252" spans="2:3" x14ac:dyDescent="0.2">
      <c r="B252" s="9">
        <v>8013</v>
      </c>
      <c r="C252" s="9">
        <v>0</v>
      </c>
    </row>
    <row r="253" spans="2:3" x14ac:dyDescent="0.2">
      <c r="B253" s="9">
        <v>8014</v>
      </c>
      <c r="C253" s="9">
        <v>0</v>
      </c>
    </row>
    <row r="254" spans="2:3" x14ac:dyDescent="0.2">
      <c r="B254" s="9">
        <v>8015</v>
      </c>
      <c r="C254" s="9">
        <v>1.9999999999999999E-7</v>
      </c>
    </row>
  </sheetData>
  <autoFilter ref="F3:G68" xr:uid="{3C8A9DA8-1955-4552-9A59-5FA845CCBB69}">
    <filterColumn colId="1">
      <filters>
        <filter val="1.00E-07"/>
        <filter val="1.10E-06"/>
        <filter val="1.80E-06"/>
        <filter val="1.98E-05"/>
        <filter val="2.00E-07"/>
        <filter val="3.00E-07"/>
        <filter val="3.30E-05"/>
        <filter val="5.40E-06"/>
        <filter val="8.17E-05"/>
      </filters>
    </filterColumn>
  </autoFilter>
  <dataConsolidate>
    <dataRefs count="1">
      <dataRef ref="B2:C254" sheet="Sheet2"/>
    </dataRefs>
  </dataConsolid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7CE24-735D-45D0-B039-D5B108FB5FA0}">
  <sheetPr filterMode="1"/>
  <dimension ref="B2:G718"/>
  <sheetViews>
    <sheetView workbookViewId="0">
      <selection activeCell="G67" sqref="F3:G67"/>
    </sheetView>
  </sheetViews>
  <sheetFormatPr defaultRowHeight="14.25" x14ac:dyDescent="0.2"/>
  <sheetData>
    <row r="2" spans="2:7" x14ac:dyDescent="0.2">
      <c r="B2" s="9">
        <v>1001</v>
      </c>
      <c r="C2" s="9">
        <v>0</v>
      </c>
      <c r="F2">
        <v>1001</v>
      </c>
      <c r="G2" s="9">
        <v>0</v>
      </c>
    </row>
    <row r="3" spans="2:7" x14ac:dyDescent="0.2">
      <c r="B3" s="9">
        <v>1002</v>
      </c>
      <c r="C3" s="9">
        <v>1.1000000000000001E-7</v>
      </c>
      <c r="F3">
        <v>1002</v>
      </c>
      <c r="G3" s="9">
        <v>2.2999999999999999E-7</v>
      </c>
    </row>
    <row r="4" spans="2:7" hidden="1" x14ac:dyDescent="0.2">
      <c r="B4" s="9">
        <v>1003</v>
      </c>
      <c r="C4" s="9">
        <v>0</v>
      </c>
      <c r="F4">
        <v>1003</v>
      </c>
      <c r="G4" s="9">
        <v>0</v>
      </c>
    </row>
    <row r="5" spans="2:7" hidden="1" x14ac:dyDescent="0.2">
      <c r="B5" s="9">
        <v>2003</v>
      </c>
      <c r="C5" s="9">
        <v>0</v>
      </c>
      <c r="F5">
        <v>2003</v>
      </c>
      <c r="G5" s="9">
        <v>0</v>
      </c>
    </row>
    <row r="6" spans="2:7" x14ac:dyDescent="0.2">
      <c r="B6" s="9">
        <v>2004</v>
      </c>
      <c r="C6" s="9">
        <v>3.1E-7</v>
      </c>
      <c r="F6">
        <v>2004</v>
      </c>
      <c r="G6" s="9">
        <v>1.88E-6</v>
      </c>
    </row>
    <row r="7" spans="2:7" hidden="1" x14ac:dyDescent="0.2">
      <c r="B7" s="9">
        <v>2005</v>
      </c>
      <c r="C7" s="9">
        <v>0</v>
      </c>
      <c r="F7">
        <v>2005</v>
      </c>
      <c r="G7" s="9">
        <v>0</v>
      </c>
    </row>
    <row r="8" spans="2:7" hidden="1" x14ac:dyDescent="0.2">
      <c r="B8" s="9">
        <v>2006</v>
      </c>
      <c r="C8" s="9">
        <v>0</v>
      </c>
      <c r="F8">
        <v>2006</v>
      </c>
      <c r="G8" s="9">
        <v>0</v>
      </c>
    </row>
    <row r="9" spans="2:7" hidden="1" x14ac:dyDescent="0.2">
      <c r="B9" s="9">
        <v>2007</v>
      </c>
      <c r="C9" s="9">
        <v>0</v>
      </c>
      <c r="F9">
        <v>2007</v>
      </c>
      <c r="G9" s="9">
        <v>0</v>
      </c>
    </row>
    <row r="10" spans="2:7" hidden="1" x14ac:dyDescent="0.2">
      <c r="B10" s="9">
        <v>2008</v>
      </c>
      <c r="C10" s="9">
        <v>0</v>
      </c>
      <c r="F10">
        <v>2008</v>
      </c>
      <c r="G10" s="9">
        <v>0</v>
      </c>
    </row>
    <row r="11" spans="2:7" hidden="1" x14ac:dyDescent="0.2">
      <c r="B11" s="9">
        <v>3005</v>
      </c>
      <c r="C11" s="9">
        <v>0</v>
      </c>
      <c r="F11">
        <v>3005</v>
      </c>
      <c r="G11" s="9">
        <v>0</v>
      </c>
    </row>
    <row r="12" spans="2:7" hidden="1" x14ac:dyDescent="0.2">
      <c r="B12" s="9">
        <v>3006</v>
      </c>
      <c r="C12" s="9">
        <v>0</v>
      </c>
      <c r="F12">
        <v>3006</v>
      </c>
      <c r="G12" s="9">
        <v>0</v>
      </c>
    </row>
    <row r="13" spans="2:7" hidden="1" x14ac:dyDescent="0.2">
      <c r="B13" s="9">
        <v>3007</v>
      </c>
      <c r="C13" s="9">
        <v>0</v>
      </c>
      <c r="F13">
        <v>3007</v>
      </c>
      <c r="G13" s="9">
        <v>0</v>
      </c>
    </row>
    <row r="14" spans="2:7" hidden="1" x14ac:dyDescent="0.2">
      <c r="B14" s="9">
        <v>3008</v>
      </c>
      <c r="C14" s="9">
        <v>0</v>
      </c>
      <c r="F14">
        <v>3008</v>
      </c>
      <c r="G14" s="9">
        <v>0</v>
      </c>
    </row>
    <row r="15" spans="2:7" hidden="1" x14ac:dyDescent="0.2">
      <c r="B15" s="9">
        <v>3009</v>
      </c>
      <c r="C15" s="9">
        <v>0</v>
      </c>
      <c r="F15">
        <v>3009</v>
      </c>
      <c r="G15" s="9">
        <v>0</v>
      </c>
    </row>
    <row r="16" spans="2:7" hidden="1" x14ac:dyDescent="0.2">
      <c r="B16" s="9">
        <v>3010</v>
      </c>
      <c r="C16" s="9">
        <v>0</v>
      </c>
      <c r="F16">
        <v>3010</v>
      </c>
      <c r="G16" s="9">
        <v>0</v>
      </c>
    </row>
    <row r="17" spans="2:7" hidden="1" x14ac:dyDescent="0.2">
      <c r="B17" s="9">
        <v>3011</v>
      </c>
      <c r="C17" s="9">
        <v>0</v>
      </c>
      <c r="F17">
        <v>3011</v>
      </c>
      <c r="G17" s="9">
        <v>0</v>
      </c>
    </row>
    <row r="18" spans="2:7" hidden="1" x14ac:dyDescent="0.2">
      <c r="B18" s="9">
        <v>4006</v>
      </c>
      <c r="C18" s="9">
        <v>0</v>
      </c>
      <c r="F18">
        <v>4006</v>
      </c>
      <c r="G18" s="9">
        <v>0</v>
      </c>
    </row>
    <row r="19" spans="2:7" hidden="1" x14ac:dyDescent="0.2">
      <c r="B19" s="9">
        <v>4007</v>
      </c>
      <c r="C19" s="9">
        <v>0</v>
      </c>
      <c r="F19">
        <v>4007</v>
      </c>
      <c r="G19" s="9">
        <v>0</v>
      </c>
    </row>
    <row r="20" spans="2:7" hidden="1" x14ac:dyDescent="0.2">
      <c r="B20" s="9">
        <v>4008</v>
      </c>
      <c r="C20" s="9">
        <v>0</v>
      </c>
      <c r="F20">
        <v>4008</v>
      </c>
      <c r="G20" s="9">
        <v>0</v>
      </c>
    </row>
    <row r="21" spans="2:7" x14ac:dyDescent="0.2">
      <c r="B21" s="9">
        <v>4009</v>
      </c>
      <c r="C21" s="9">
        <v>1E-8</v>
      </c>
      <c r="F21">
        <v>4009</v>
      </c>
      <c r="G21" s="9">
        <v>1.9999999999999999E-7</v>
      </c>
    </row>
    <row r="22" spans="2:7" hidden="1" x14ac:dyDescent="0.2">
      <c r="B22" s="9">
        <v>4010</v>
      </c>
      <c r="C22" s="9">
        <v>0</v>
      </c>
      <c r="F22">
        <v>4010</v>
      </c>
      <c r="G22" s="9">
        <v>0</v>
      </c>
    </row>
    <row r="23" spans="2:7" hidden="1" x14ac:dyDescent="0.2">
      <c r="B23" s="9">
        <v>4011</v>
      </c>
      <c r="C23" s="9">
        <v>0</v>
      </c>
      <c r="F23">
        <v>4011</v>
      </c>
      <c r="G23" s="9">
        <v>0</v>
      </c>
    </row>
    <row r="24" spans="2:7" hidden="1" x14ac:dyDescent="0.2">
      <c r="B24" s="9">
        <v>4012</v>
      </c>
      <c r="C24" s="9">
        <v>0</v>
      </c>
      <c r="F24">
        <v>4012</v>
      </c>
      <c r="G24" s="9">
        <v>0</v>
      </c>
    </row>
    <row r="25" spans="2:7" hidden="1" x14ac:dyDescent="0.2">
      <c r="B25" s="9">
        <v>4013</v>
      </c>
      <c r="C25" s="9">
        <v>0</v>
      </c>
      <c r="F25">
        <v>4013</v>
      </c>
      <c r="G25" s="9">
        <v>0</v>
      </c>
    </row>
    <row r="26" spans="2:7" hidden="1" x14ac:dyDescent="0.2">
      <c r="B26" s="9">
        <v>4014</v>
      </c>
      <c r="C26" s="9">
        <v>0</v>
      </c>
      <c r="F26">
        <v>4014</v>
      </c>
      <c r="G26" s="9">
        <v>0</v>
      </c>
    </row>
    <row r="27" spans="2:7" hidden="1" x14ac:dyDescent="0.2">
      <c r="B27" s="9">
        <v>5008</v>
      </c>
      <c r="C27" s="9">
        <v>0</v>
      </c>
      <c r="F27">
        <v>5008</v>
      </c>
      <c r="G27" s="9">
        <v>0</v>
      </c>
    </row>
    <row r="28" spans="2:7" hidden="1" x14ac:dyDescent="0.2">
      <c r="B28" s="9">
        <v>5009</v>
      </c>
      <c r="C28" s="9">
        <v>0</v>
      </c>
      <c r="F28">
        <v>5009</v>
      </c>
      <c r="G28" s="9">
        <v>0</v>
      </c>
    </row>
    <row r="29" spans="2:7" hidden="1" x14ac:dyDescent="0.2">
      <c r="B29" s="9">
        <v>5010</v>
      </c>
      <c r="C29" s="9">
        <v>0</v>
      </c>
      <c r="F29">
        <v>5010</v>
      </c>
      <c r="G29" s="9">
        <v>0</v>
      </c>
    </row>
    <row r="30" spans="2:7" hidden="1" x14ac:dyDescent="0.2">
      <c r="B30" s="9">
        <v>5011</v>
      </c>
      <c r="C30" s="9">
        <v>0</v>
      </c>
      <c r="F30">
        <v>5011</v>
      </c>
      <c r="G30" s="9">
        <v>0</v>
      </c>
    </row>
    <row r="31" spans="2:7" hidden="1" x14ac:dyDescent="0.2">
      <c r="B31" s="9">
        <v>5012</v>
      </c>
      <c r="C31" s="9">
        <v>0</v>
      </c>
      <c r="F31">
        <v>5012</v>
      </c>
      <c r="G31" s="9">
        <v>0</v>
      </c>
    </row>
    <row r="32" spans="2:7" hidden="1" x14ac:dyDescent="0.2">
      <c r="B32" s="9">
        <v>5013</v>
      </c>
      <c r="C32" s="9">
        <v>0</v>
      </c>
      <c r="F32">
        <v>5013</v>
      </c>
      <c r="G32" s="9">
        <v>0</v>
      </c>
    </row>
    <row r="33" spans="2:7" hidden="1" x14ac:dyDescent="0.2">
      <c r="B33" s="9">
        <v>5014</v>
      </c>
      <c r="C33" s="9">
        <v>0</v>
      </c>
      <c r="F33">
        <v>5014</v>
      </c>
      <c r="G33" s="9">
        <v>0</v>
      </c>
    </row>
    <row r="34" spans="2:7" hidden="1" x14ac:dyDescent="0.2">
      <c r="B34" s="9">
        <v>5015</v>
      </c>
      <c r="C34" s="9">
        <v>0</v>
      </c>
      <c r="F34">
        <v>5015</v>
      </c>
      <c r="G34" s="9">
        <v>0</v>
      </c>
    </row>
    <row r="35" spans="2:7" hidden="1" x14ac:dyDescent="0.2">
      <c r="B35" s="9">
        <v>5016</v>
      </c>
      <c r="C35" s="9">
        <v>0</v>
      </c>
      <c r="F35">
        <v>5016</v>
      </c>
      <c r="G35" s="9">
        <v>0</v>
      </c>
    </row>
    <row r="36" spans="2:7" hidden="1" x14ac:dyDescent="0.2">
      <c r="B36" s="9">
        <v>5017</v>
      </c>
      <c r="C36" s="9">
        <v>0</v>
      </c>
      <c r="F36">
        <v>5017</v>
      </c>
      <c r="G36" s="9">
        <v>0</v>
      </c>
    </row>
    <row r="37" spans="2:7" hidden="1" x14ac:dyDescent="0.2">
      <c r="B37" s="9">
        <v>6008</v>
      </c>
      <c r="C37" s="9">
        <v>0</v>
      </c>
      <c r="F37">
        <v>6008</v>
      </c>
      <c r="G37" s="9">
        <v>0</v>
      </c>
    </row>
    <row r="38" spans="2:7" hidden="1" x14ac:dyDescent="0.2">
      <c r="B38" s="9">
        <v>6009</v>
      </c>
      <c r="C38" s="9">
        <v>0</v>
      </c>
      <c r="F38">
        <v>6009</v>
      </c>
      <c r="G38" s="9">
        <v>0</v>
      </c>
    </row>
    <row r="39" spans="2:7" hidden="1" x14ac:dyDescent="0.2">
      <c r="B39" s="9">
        <v>6010</v>
      </c>
      <c r="C39" s="9">
        <v>0</v>
      </c>
      <c r="F39">
        <v>6010</v>
      </c>
      <c r="G39" s="9">
        <v>0</v>
      </c>
    </row>
    <row r="40" spans="2:7" hidden="1" x14ac:dyDescent="0.2">
      <c r="B40" s="9">
        <v>6011</v>
      </c>
      <c r="C40" s="9">
        <v>0</v>
      </c>
      <c r="F40">
        <v>6011</v>
      </c>
      <c r="G40" s="9">
        <v>0</v>
      </c>
    </row>
    <row r="41" spans="2:7" x14ac:dyDescent="0.2">
      <c r="B41" s="9">
        <v>6012</v>
      </c>
      <c r="C41" s="9">
        <v>7.3000000000000004E-6</v>
      </c>
      <c r="F41">
        <v>6012</v>
      </c>
      <c r="G41" s="9">
        <v>3.4119999999999999E-5</v>
      </c>
    </row>
    <row r="42" spans="2:7" x14ac:dyDescent="0.2">
      <c r="B42" s="9">
        <v>6013</v>
      </c>
      <c r="C42" s="9">
        <v>2.8670000000000002E-5</v>
      </c>
      <c r="F42">
        <v>6013</v>
      </c>
      <c r="G42" s="9">
        <v>8.1129999999999991E-5</v>
      </c>
    </row>
    <row r="43" spans="2:7" hidden="1" x14ac:dyDescent="0.2">
      <c r="B43" s="9">
        <v>6014</v>
      </c>
      <c r="C43" s="9">
        <v>0</v>
      </c>
      <c r="F43">
        <v>6014</v>
      </c>
      <c r="G43" s="9">
        <v>0</v>
      </c>
    </row>
    <row r="44" spans="2:7" hidden="1" x14ac:dyDescent="0.2">
      <c r="B44" s="9">
        <v>6015</v>
      </c>
      <c r="C44" s="9">
        <v>0</v>
      </c>
      <c r="F44">
        <v>6015</v>
      </c>
      <c r="G44" s="9">
        <v>0</v>
      </c>
    </row>
    <row r="45" spans="2:7" hidden="1" x14ac:dyDescent="0.2">
      <c r="B45" s="9">
        <v>6016</v>
      </c>
      <c r="C45" s="9">
        <v>0</v>
      </c>
      <c r="F45">
        <v>6016</v>
      </c>
      <c r="G45" s="9">
        <v>0</v>
      </c>
    </row>
    <row r="46" spans="2:7" hidden="1" x14ac:dyDescent="0.2">
      <c r="B46" s="9">
        <v>6017</v>
      </c>
      <c r="C46" s="9">
        <v>0</v>
      </c>
      <c r="F46">
        <v>6017</v>
      </c>
      <c r="G46" s="9">
        <v>0</v>
      </c>
    </row>
    <row r="47" spans="2:7" hidden="1" x14ac:dyDescent="0.2">
      <c r="B47" s="9">
        <v>6018</v>
      </c>
      <c r="C47" s="9">
        <v>0</v>
      </c>
      <c r="F47">
        <v>6018</v>
      </c>
      <c r="G47" s="9">
        <v>0</v>
      </c>
    </row>
    <row r="48" spans="2:7" hidden="1" x14ac:dyDescent="0.2">
      <c r="B48" s="9">
        <v>6019</v>
      </c>
      <c r="C48" s="9">
        <v>0</v>
      </c>
      <c r="F48">
        <v>6019</v>
      </c>
      <c r="G48" s="9">
        <v>0</v>
      </c>
    </row>
    <row r="49" spans="2:7" hidden="1" x14ac:dyDescent="0.2">
      <c r="B49" s="9">
        <v>6020</v>
      </c>
      <c r="C49" s="9">
        <v>0</v>
      </c>
      <c r="F49">
        <v>6020</v>
      </c>
      <c r="G49" s="9">
        <v>0</v>
      </c>
    </row>
    <row r="50" spans="2:7" hidden="1" x14ac:dyDescent="0.2">
      <c r="B50" s="9">
        <v>7011</v>
      </c>
      <c r="C50" s="9">
        <v>0</v>
      </c>
      <c r="F50">
        <v>7011</v>
      </c>
      <c r="G50" s="9">
        <v>0</v>
      </c>
    </row>
    <row r="51" spans="2:7" hidden="1" x14ac:dyDescent="0.2">
      <c r="B51" s="9">
        <v>7012</v>
      </c>
      <c r="C51" s="9">
        <v>0</v>
      </c>
      <c r="F51">
        <v>7012</v>
      </c>
      <c r="G51" s="9">
        <v>0</v>
      </c>
    </row>
    <row r="52" spans="2:7" hidden="1" x14ac:dyDescent="0.2">
      <c r="B52" s="9">
        <v>7013</v>
      </c>
      <c r="C52" s="9">
        <v>0</v>
      </c>
      <c r="F52">
        <v>7013</v>
      </c>
      <c r="G52" s="9">
        <v>0</v>
      </c>
    </row>
    <row r="53" spans="2:7" x14ac:dyDescent="0.2">
      <c r="B53" s="9">
        <v>7014</v>
      </c>
      <c r="C53" s="9">
        <v>1.4999999999999999E-7</v>
      </c>
      <c r="F53">
        <v>7014</v>
      </c>
      <c r="G53" s="9">
        <v>1.15E-6</v>
      </c>
    </row>
    <row r="54" spans="2:7" x14ac:dyDescent="0.2">
      <c r="B54" s="9">
        <v>7015</v>
      </c>
      <c r="C54" s="9">
        <v>3.19E-6</v>
      </c>
      <c r="F54">
        <v>7015</v>
      </c>
      <c r="G54" s="9">
        <v>1.8E-5</v>
      </c>
    </row>
    <row r="55" spans="2:7" x14ac:dyDescent="0.2">
      <c r="B55" s="9">
        <v>7016</v>
      </c>
      <c r="C55" s="9">
        <v>1.4899999999999999E-6</v>
      </c>
      <c r="F55">
        <v>7016</v>
      </c>
      <c r="G55" s="9">
        <v>5.7899999999999996E-6</v>
      </c>
    </row>
    <row r="56" spans="2:7" hidden="1" x14ac:dyDescent="0.2">
      <c r="B56" s="9">
        <v>7017</v>
      </c>
      <c r="C56" s="9">
        <v>0</v>
      </c>
      <c r="F56">
        <v>7017</v>
      </c>
      <c r="G56" s="9">
        <v>0</v>
      </c>
    </row>
    <row r="57" spans="2:7" hidden="1" x14ac:dyDescent="0.2">
      <c r="B57" s="9">
        <v>7018</v>
      </c>
      <c r="C57" s="9">
        <v>0</v>
      </c>
      <c r="F57">
        <v>7018</v>
      </c>
      <c r="G57" s="9">
        <v>0</v>
      </c>
    </row>
    <row r="58" spans="2:7" hidden="1" x14ac:dyDescent="0.2">
      <c r="B58" s="9">
        <v>7019</v>
      </c>
      <c r="C58" s="9">
        <v>0</v>
      </c>
      <c r="F58">
        <v>7019</v>
      </c>
      <c r="G58" s="9">
        <v>0</v>
      </c>
    </row>
    <row r="59" spans="2:7" hidden="1" x14ac:dyDescent="0.2">
      <c r="B59" s="9">
        <v>7020</v>
      </c>
      <c r="C59" s="9">
        <v>0</v>
      </c>
      <c r="F59">
        <v>7020</v>
      </c>
      <c r="G59" s="9">
        <v>0</v>
      </c>
    </row>
    <row r="60" spans="2:7" hidden="1" x14ac:dyDescent="0.2">
      <c r="B60" s="9">
        <v>7021</v>
      </c>
      <c r="C60" s="9">
        <v>0</v>
      </c>
      <c r="F60">
        <v>7021</v>
      </c>
      <c r="G60" s="9">
        <v>0</v>
      </c>
    </row>
    <row r="61" spans="2:7" hidden="1" x14ac:dyDescent="0.2">
      <c r="B61" s="9">
        <v>7022</v>
      </c>
      <c r="C61" s="9">
        <v>0</v>
      </c>
      <c r="F61">
        <v>7022</v>
      </c>
      <c r="G61" s="9">
        <v>0</v>
      </c>
    </row>
    <row r="62" spans="2:7" hidden="1" x14ac:dyDescent="0.2">
      <c r="B62" s="9">
        <v>7023</v>
      </c>
      <c r="C62" s="9">
        <v>0</v>
      </c>
      <c r="F62">
        <v>7023</v>
      </c>
      <c r="G62" s="9">
        <v>0</v>
      </c>
    </row>
    <row r="63" spans="2:7" hidden="1" x14ac:dyDescent="0.2">
      <c r="B63" s="9">
        <v>8013</v>
      </c>
      <c r="C63" s="9">
        <v>0</v>
      </c>
      <c r="F63">
        <v>8013</v>
      </c>
      <c r="G63" s="9">
        <v>0</v>
      </c>
    </row>
    <row r="64" spans="2:7" hidden="1" x14ac:dyDescent="0.2">
      <c r="B64" s="9">
        <v>8014</v>
      </c>
      <c r="C64" s="9">
        <v>0</v>
      </c>
      <c r="F64">
        <v>8014</v>
      </c>
      <c r="G64" s="9">
        <v>0</v>
      </c>
    </row>
    <row r="65" spans="2:7" x14ac:dyDescent="0.2">
      <c r="B65" s="9">
        <v>8015</v>
      </c>
      <c r="C65" s="9">
        <v>8.0000000000000002E-8</v>
      </c>
      <c r="F65">
        <v>8015</v>
      </c>
      <c r="G65" s="9">
        <v>8.5999999999999992E-7</v>
      </c>
    </row>
    <row r="66" spans="2:7" hidden="1" x14ac:dyDescent="0.2">
      <c r="B66" s="9">
        <v>8016</v>
      </c>
      <c r="C66" s="9">
        <v>0</v>
      </c>
      <c r="F66">
        <v>8016</v>
      </c>
      <c r="G66" s="9">
        <v>0</v>
      </c>
    </row>
    <row r="67" spans="2:7" x14ac:dyDescent="0.2">
      <c r="B67" s="9">
        <v>8017</v>
      </c>
      <c r="C67" s="9">
        <v>2E-8</v>
      </c>
      <c r="F67">
        <v>8017</v>
      </c>
      <c r="G67" s="9">
        <v>1.8000000000000002E-7</v>
      </c>
    </row>
    <row r="68" spans="2:7" hidden="1" x14ac:dyDescent="0.2">
      <c r="B68" s="9">
        <v>8018</v>
      </c>
      <c r="C68" s="9">
        <v>0</v>
      </c>
      <c r="F68">
        <v>8018</v>
      </c>
      <c r="G68" s="9">
        <v>0</v>
      </c>
    </row>
    <row r="69" spans="2:7" hidden="1" x14ac:dyDescent="0.2">
      <c r="B69" s="9">
        <v>8019</v>
      </c>
      <c r="C69" s="9">
        <v>0</v>
      </c>
      <c r="F69">
        <v>8019</v>
      </c>
      <c r="G69" s="9">
        <v>0</v>
      </c>
    </row>
    <row r="70" spans="2:7" hidden="1" x14ac:dyDescent="0.2">
      <c r="B70" s="9">
        <v>8020</v>
      </c>
      <c r="C70" s="9">
        <v>0</v>
      </c>
      <c r="F70">
        <v>8020</v>
      </c>
      <c r="G70" s="9">
        <v>0</v>
      </c>
    </row>
    <row r="71" spans="2:7" hidden="1" x14ac:dyDescent="0.2">
      <c r="B71" s="9">
        <v>8021</v>
      </c>
      <c r="C71" s="9">
        <v>0</v>
      </c>
      <c r="F71">
        <v>8021</v>
      </c>
      <c r="G71" s="9">
        <v>0</v>
      </c>
    </row>
    <row r="72" spans="2:7" hidden="1" x14ac:dyDescent="0.2">
      <c r="B72" s="9">
        <v>8022</v>
      </c>
      <c r="C72" s="9">
        <v>0</v>
      </c>
      <c r="F72">
        <v>8022</v>
      </c>
      <c r="G72" s="9">
        <v>0</v>
      </c>
    </row>
    <row r="73" spans="2:7" hidden="1" x14ac:dyDescent="0.2">
      <c r="B73" s="9">
        <v>8023</v>
      </c>
      <c r="C73" s="9">
        <v>0</v>
      </c>
      <c r="F73">
        <v>8023</v>
      </c>
      <c r="G73" s="9">
        <v>0</v>
      </c>
    </row>
    <row r="74" spans="2:7" hidden="1" x14ac:dyDescent="0.2">
      <c r="B74" s="9">
        <v>8024</v>
      </c>
      <c r="C74" s="9">
        <v>0</v>
      </c>
      <c r="F74">
        <v>8024</v>
      </c>
      <c r="G74" s="9">
        <v>0</v>
      </c>
    </row>
    <row r="75" spans="2:7" hidden="1" x14ac:dyDescent="0.2">
      <c r="B75" s="9">
        <v>9015</v>
      </c>
      <c r="C75" s="9">
        <v>0</v>
      </c>
      <c r="F75">
        <v>9015</v>
      </c>
      <c r="G75" s="9">
        <v>0</v>
      </c>
    </row>
    <row r="76" spans="2:7" hidden="1" x14ac:dyDescent="0.2">
      <c r="B76" s="9">
        <v>9016</v>
      </c>
      <c r="C76" s="9">
        <v>0</v>
      </c>
      <c r="F76">
        <v>9016</v>
      </c>
      <c r="G76" s="9">
        <v>0</v>
      </c>
    </row>
    <row r="77" spans="2:7" hidden="1" x14ac:dyDescent="0.2">
      <c r="B77" s="9">
        <v>9017</v>
      </c>
      <c r="C77" s="9">
        <v>0</v>
      </c>
      <c r="F77">
        <v>9017</v>
      </c>
      <c r="G77" s="9">
        <v>0</v>
      </c>
    </row>
    <row r="78" spans="2:7" hidden="1" x14ac:dyDescent="0.2">
      <c r="B78" s="9">
        <v>9018</v>
      </c>
      <c r="C78" s="9">
        <v>0</v>
      </c>
      <c r="F78">
        <v>9018</v>
      </c>
      <c r="G78" s="9">
        <v>0</v>
      </c>
    </row>
    <row r="79" spans="2:7" hidden="1" x14ac:dyDescent="0.2">
      <c r="B79" s="9">
        <v>9019</v>
      </c>
      <c r="C79" s="9">
        <v>0</v>
      </c>
      <c r="F79">
        <v>9019</v>
      </c>
      <c r="G79" s="9">
        <v>0</v>
      </c>
    </row>
    <row r="80" spans="2:7" hidden="1" x14ac:dyDescent="0.2">
      <c r="B80" s="9">
        <v>9020</v>
      </c>
      <c r="C80" s="9">
        <v>0</v>
      </c>
      <c r="F80">
        <v>9020</v>
      </c>
      <c r="G80" s="9">
        <v>0</v>
      </c>
    </row>
    <row r="81" spans="2:7" hidden="1" x14ac:dyDescent="0.2">
      <c r="B81" s="9">
        <v>9021</v>
      </c>
      <c r="C81" s="9">
        <v>0</v>
      </c>
      <c r="F81">
        <v>9021</v>
      </c>
      <c r="G81" s="9">
        <v>0</v>
      </c>
    </row>
    <row r="82" spans="2:7" hidden="1" x14ac:dyDescent="0.2">
      <c r="B82" s="9">
        <v>9022</v>
      </c>
      <c r="C82" s="9">
        <v>0</v>
      </c>
      <c r="F82">
        <v>9022</v>
      </c>
      <c r="G82" s="9">
        <v>0</v>
      </c>
    </row>
    <row r="83" spans="2:7" hidden="1" x14ac:dyDescent="0.2">
      <c r="B83" s="9">
        <v>9023</v>
      </c>
      <c r="C83" s="9">
        <v>0</v>
      </c>
      <c r="F83">
        <v>9023</v>
      </c>
      <c r="G83" s="9">
        <v>0</v>
      </c>
    </row>
    <row r="84" spans="2:7" hidden="1" x14ac:dyDescent="0.2">
      <c r="B84" s="9">
        <v>9024</v>
      </c>
      <c r="C84" s="9">
        <v>0</v>
      </c>
      <c r="F84">
        <v>9024</v>
      </c>
      <c r="G84" s="9">
        <v>0</v>
      </c>
    </row>
    <row r="85" spans="2:7" hidden="1" x14ac:dyDescent="0.2">
      <c r="B85" s="9">
        <v>9025</v>
      </c>
      <c r="C85" s="9">
        <v>0</v>
      </c>
      <c r="F85">
        <v>9025</v>
      </c>
      <c r="G85" s="9">
        <v>0</v>
      </c>
    </row>
    <row r="86" spans="2:7" hidden="1" x14ac:dyDescent="0.2">
      <c r="B86" s="9">
        <v>9026</v>
      </c>
      <c r="C86" s="9">
        <v>0</v>
      </c>
      <c r="F86">
        <v>9026</v>
      </c>
      <c r="G86" s="9">
        <v>0</v>
      </c>
    </row>
    <row r="87" spans="2:7" hidden="1" x14ac:dyDescent="0.2">
      <c r="B87" s="9">
        <v>9027</v>
      </c>
      <c r="C87" s="9">
        <v>0</v>
      </c>
      <c r="F87">
        <v>9027</v>
      </c>
      <c r="G87" s="9">
        <v>0</v>
      </c>
    </row>
    <row r="88" spans="2:7" hidden="1" x14ac:dyDescent="0.2">
      <c r="B88" s="9">
        <v>10017</v>
      </c>
      <c r="C88" s="9">
        <v>0</v>
      </c>
      <c r="F88">
        <v>10017</v>
      </c>
      <c r="G88" s="9">
        <v>0</v>
      </c>
    </row>
    <row r="89" spans="2:7" hidden="1" x14ac:dyDescent="0.2">
      <c r="B89" s="9">
        <v>10018</v>
      </c>
      <c r="C89" s="9">
        <v>0</v>
      </c>
      <c r="F89">
        <v>10018</v>
      </c>
      <c r="G89" s="9">
        <v>0</v>
      </c>
    </row>
    <row r="90" spans="2:7" hidden="1" x14ac:dyDescent="0.2">
      <c r="B90" s="9">
        <v>10019</v>
      </c>
      <c r="C90" s="9">
        <v>0</v>
      </c>
      <c r="F90">
        <v>10019</v>
      </c>
      <c r="G90" s="9">
        <v>0</v>
      </c>
    </row>
    <row r="91" spans="2:7" hidden="1" x14ac:dyDescent="0.2">
      <c r="B91" s="9">
        <v>10020</v>
      </c>
      <c r="C91" s="9">
        <v>0</v>
      </c>
      <c r="F91">
        <v>10020</v>
      </c>
      <c r="G91" s="9">
        <v>0</v>
      </c>
    </row>
    <row r="92" spans="2:7" hidden="1" x14ac:dyDescent="0.2">
      <c r="B92" s="9">
        <v>10021</v>
      </c>
      <c r="C92" s="9">
        <v>0</v>
      </c>
      <c r="F92">
        <v>10021</v>
      </c>
      <c r="G92" s="9">
        <v>0</v>
      </c>
    </row>
    <row r="93" spans="2:7" hidden="1" x14ac:dyDescent="0.2">
      <c r="B93" s="9">
        <v>10022</v>
      </c>
      <c r="C93" s="9">
        <v>0</v>
      </c>
      <c r="F93">
        <v>10022</v>
      </c>
      <c r="G93" s="9">
        <v>0</v>
      </c>
    </row>
    <row r="94" spans="2:7" hidden="1" x14ac:dyDescent="0.2">
      <c r="B94" s="9">
        <v>10023</v>
      </c>
      <c r="C94" s="9">
        <v>0</v>
      </c>
      <c r="F94">
        <v>10023</v>
      </c>
      <c r="G94" s="9">
        <v>0</v>
      </c>
    </row>
    <row r="95" spans="2:7" hidden="1" x14ac:dyDescent="0.2">
      <c r="B95" s="9">
        <v>10024</v>
      </c>
      <c r="C95" s="9">
        <v>0</v>
      </c>
      <c r="F95">
        <v>10024</v>
      </c>
      <c r="G95" s="9">
        <v>0</v>
      </c>
    </row>
    <row r="96" spans="2:7" hidden="1" x14ac:dyDescent="0.2">
      <c r="B96" s="9">
        <v>10025</v>
      </c>
      <c r="C96" s="9">
        <v>0</v>
      </c>
      <c r="F96">
        <v>10025</v>
      </c>
      <c r="G96" s="9">
        <v>0</v>
      </c>
    </row>
    <row r="97" spans="2:7" hidden="1" x14ac:dyDescent="0.2">
      <c r="B97" s="9">
        <v>10026</v>
      </c>
      <c r="C97" s="9">
        <v>0</v>
      </c>
      <c r="F97">
        <v>10026</v>
      </c>
      <c r="G97" s="9">
        <v>0</v>
      </c>
    </row>
    <row r="98" spans="2:7" hidden="1" x14ac:dyDescent="0.2">
      <c r="B98" s="9">
        <v>10027</v>
      </c>
      <c r="C98" s="9">
        <v>0</v>
      </c>
      <c r="F98">
        <v>10027</v>
      </c>
      <c r="G98" s="9">
        <v>0</v>
      </c>
    </row>
    <row r="99" spans="2:7" hidden="1" x14ac:dyDescent="0.2">
      <c r="B99" s="9">
        <v>10028</v>
      </c>
      <c r="C99" s="9">
        <v>0</v>
      </c>
      <c r="F99">
        <v>10028</v>
      </c>
      <c r="G99" s="9">
        <v>0</v>
      </c>
    </row>
    <row r="100" spans="2:7" hidden="1" x14ac:dyDescent="0.2">
      <c r="B100" s="9">
        <v>11019</v>
      </c>
      <c r="C100" s="9">
        <v>0</v>
      </c>
      <c r="F100">
        <v>11019</v>
      </c>
      <c r="G100" s="9">
        <v>0</v>
      </c>
    </row>
    <row r="101" spans="2:7" hidden="1" x14ac:dyDescent="0.2">
      <c r="B101" s="9">
        <v>11020</v>
      </c>
      <c r="C101" s="9">
        <v>0</v>
      </c>
      <c r="F101">
        <v>11020</v>
      </c>
      <c r="G101" s="9">
        <v>0</v>
      </c>
    </row>
    <row r="102" spans="2:7" hidden="1" x14ac:dyDescent="0.2">
      <c r="B102" s="9">
        <v>11021</v>
      </c>
      <c r="C102" s="9">
        <v>0</v>
      </c>
      <c r="F102">
        <v>11021</v>
      </c>
      <c r="G102" s="9">
        <v>0</v>
      </c>
    </row>
    <row r="103" spans="2:7" hidden="1" x14ac:dyDescent="0.2">
      <c r="B103" s="9">
        <v>11022</v>
      </c>
      <c r="C103" s="9">
        <v>0</v>
      </c>
      <c r="F103">
        <v>11022</v>
      </c>
      <c r="G103" s="9">
        <v>0</v>
      </c>
    </row>
    <row r="104" spans="2:7" hidden="1" x14ac:dyDescent="0.2">
      <c r="B104" s="9">
        <v>11023</v>
      </c>
      <c r="C104" s="9">
        <v>0</v>
      </c>
      <c r="F104">
        <v>11023</v>
      </c>
      <c r="G104" s="9">
        <v>0</v>
      </c>
    </row>
    <row r="105" spans="2:7" hidden="1" x14ac:dyDescent="0.2">
      <c r="B105" s="9">
        <v>11024</v>
      </c>
      <c r="C105" s="9">
        <v>0</v>
      </c>
      <c r="F105">
        <v>11024</v>
      </c>
      <c r="G105" s="9">
        <v>0</v>
      </c>
    </row>
    <row r="106" spans="2:7" hidden="1" x14ac:dyDescent="0.2">
      <c r="B106" s="9">
        <v>11025</v>
      </c>
      <c r="C106" s="9">
        <v>0</v>
      </c>
      <c r="F106">
        <v>11025</v>
      </c>
      <c r="G106" s="9">
        <v>0</v>
      </c>
    </row>
    <row r="107" spans="2:7" hidden="1" x14ac:dyDescent="0.2">
      <c r="B107" s="9">
        <v>11026</v>
      </c>
      <c r="C107" s="9">
        <v>0</v>
      </c>
      <c r="F107">
        <v>11026</v>
      </c>
      <c r="G107" s="9">
        <v>0</v>
      </c>
    </row>
    <row r="108" spans="2:7" hidden="1" x14ac:dyDescent="0.2">
      <c r="B108" s="9">
        <v>11027</v>
      </c>
      <c r="C108" s="9">
        <v>0</v>
      </c>
      <c r="F108">
        <v>11027</v>
      </c>
      <c r="G108" s="9">
        <v>0</v>
      </c>
    </row>
    <row r="109" spans="2:7" hidden="1" x14ac:dyDescent="0.2">
      <c r="B109" s="9">
        <v>11028</v>
      </c>
      <c r="C109" s="9">
        <v>0</v>
      </c>
      <c r="F109">
        <v>11028</v>
      </c>
      <c r="G109" s="9">
        <v>0</v>
      </c>
    </row>
    <row r="110" spans="2:7" hidden="1" x14ac:dyDescent="0.2">
      <c r="B110" s="9">
        <v>11029</v>
      </c>
      <c r="C110" s="9">
        <v>0</v>
      </c>
      <c r="F110">
        <v>11029</v>
      </c>
      <c r="G110" s="9">
        <v>0</v>
      </c>
    </row>
    <row r="111" spans="2:7" hidden="1" x14ac:dyDescent="0.2">
      <c r="B111" s="9">
        <v>11030</v>
      </c>
      <c r="C111" s="9">
        <v>0</v>
      </c>
      <c r="F111">
        <v>11030</v>
      </c>
      <c r="G111" s="9">
        <v>0</v>
      </c>
    </row>
    <row r="112" spans="2:7" hidden="1" x14ac:dyDescent="0.2">
      <c r="B112" s="9">
        <v>11031</v>
      </c>
      <c r="C112" s="9">
        <v>0</v>
      </c>
      <c r="F112">
        <v>11031</v>
      </c>
      <c r="G112" s="9">
        <v>0</v>
      </c>
    </row>
    <row r="113" spans="2:7" hidden="1" x14ac:dyDescent="0.2">
      <c r="B113" s="9">
        <v>11032</v>
      </c>
      <c r="C113" s="9">
        <v>0</v>
      </c>
      <c r="F113">
        <v>11032</v>
      </c>
      <c r="G113" s="9">
        <v>0</v>
      </c>
    </row>
    <row r="114" spans="2:7" hidden="1" x14ac:dyDescent="0.2">
      <c r="B114" s="9">
        <v>11033</v>
      </c>
      <c r="C114" s="9">
        <v>0</v>
      </c>
      <c r="F114">
        <v>11033</v>
      </c>
      <c r="G114" s="9">
        <v>0</v>
      </c>
    </row>
    <row r="115" spans="2:7" hidden="1" x14ac:dyDescent="0.2">
      <c r="B115" s="9">
        <v>11034</v>
      </c>
      <c r="C115" s="9">
        <v>0</v>
      </c>
      <c r="F115">
        <v>11034</v>
      </c>
      <c r="G115" s="9">
        <v>0</v>
      </c>
    </row>
    <row r="116" spans="2:7" hidden="1" x14ac:dyDescent="0.2">
      <c r="B116" s="9">
        <v>11035</v>
      </c>
      <c r="C116" s="9">
        <v>0</v>
      </c>
      <c r="F116">
        <v>11035</v>
      </c>
      <c r="G116" s="9">
        <v>0</v>
      </c>
    </row>
    <row r="117" spans="2:7" hidden="1" x14ac:dyDescent="0.2">
      <c r="B117" s="9">
        <v>12020</v>
      </c>
      <c r="C117" s="9">
        <v>0</v>
      </c>
      <c r="F117">
        <v>12020</v>
      </c>
      <c r="G117" s="9">
        <v>0</v>
      </c>
    </row>
    <row r="118" spans="2:7" hidden="1" x14ac:dyDescent="0.2">
      <c r="B118" s="9">
        <v>12021</v>
      </c>
      <c r="C118" s="9">
        <v>0</v>
      </c>
      <c r="F118">
        <v>12021</v>
      </c>
      <c r="G118" s="9">
        <v>0</v>
      </c>
    </row>
    <row r="119" spans="2:7" hidden="1" x14ac:dyDescent="0.2">
      <c r="B119" s="9">
        <v>12022</v>
      </c>
      <c r="C119" s="9">
        <v>0</v>
      </c>
      <c r="F119">
        <v>12022</v>
      </c>
      <c r="G119" s="9">
        <v>0</v>
      </c>
    </row>
    <row r="120" spans="2:7" hidden="1" x14ac:dyDescent="0.2">
      <c r="B120" s="9">
        <v>12023</v>
      </c>
      <c r="C120" s="9">
        <v>0</v>
      </c>
      <c r="F120">
        <v>12023</v>
      </c>
      <c r="G120" s="9">
        <v>0</v>
      </c>
    </row>
    <row r="121" spans="2:7" hidden="1" x14ac:dyDescent="0.2">
      <c r="B121" s="9">
        <v>12024</v>
      </c>
      <c r="C121" s="9">
        <v>0</v>
      </c>
      <c r="F121">
        <v>12024</v>
      </c>
      <c r="G121" s="9">
        <v>0</v>
      </c>
    </row>
    <row r="122" spans="2:7" hidden="1" x14ac:dyDescent="0.2">
      <c r="B122" s="9">
        <v>12025</v>
      </c>
      <c r="C122" s="9">
        <v>0</v>
      </c>
      <c r="F122">
        <v>12025</v>
      </c>
      <c r="G122" s="9">
        <v>0</v>
      </c>
    </row>
    <row r="123" spans="2:7" hidden="1" x14ac:dyDescent="0.2">
      <c r="B123" s="9">
        <v>12026</v>
      </c>
      <c r="C123" s="9">
        <v>0</v>
      </c>
      <c r="F123">
        <v>12026</v>
      </c>
      <c r="G123" s="9">
        <v>0</v>
      </c>
    </row>
    <row r="124" spans="2:7" hidden="1" x14ac:dyDescent="0.2">
      <c r="B124" s="9">
        <v>12027</v>
      </c>
      <c r="C124" s="9">
        <v>0</v>
      </c>
      <c r="F124">
        <v>12027</v>
      </c>
      <c r="G124" s="9">
        <v>0</v>
      </c>
    </row>
    <row r="125" spans="2:7" hidden="1" x14ac:dyDescent="0.2">
      <c r="B125" s="9">
        <v>12028</v>
      </c>
      <c r="C125" s="9">
        <v>0</v>
      </c>
      <c r="F125">
        <v>12028</v>
      </c>
      <c r="G125" s="9">
        <v>0</v>
      </c>
    </row>
    <row r="126" spans="2:7" hidden="1" x14ac:dyDescent="0.2">
      <c r="B126" s="9">
        <v>12029</v>
      </c>
      <c r="C126" s="9">
        <v>0</v>
      </c>
      <c r="F126">
        <v>12029</v>
      </c>
      <c r="G126" s="9">
        <v>0</v>
      </c>
    </row>
    <row r="127" spans="2:7" hidden="1" x14ac:dyDescent="0.2">
      <c r="B127" s="9">
        <v>12030</v>
      </c>
      <c r="C127" s="9">
        <v>0</v>
      </c>
      <c r="F127">
        <v>12030</v>
      </c>
      <c r="G127" s="9">
        <v>0</v>
      </c>
    </row>
    <row r="128" spans="2:7" hidden="1" x14ac:dyDescent="0.2">
      <c r="B128" s="9">
        <v>12031</v>
      </c>
      <c r="C128" s="9">
        <v>0</v>
      </c>
      <c r="F128">
        <v>12031</v>
      </c>
      <c r="G128" s="9">
        <v>0</v>
      </c>
    </row>
    <row r="129" spans="2:7" hidden="1" x14ac:dyDescent="0.2">
      <c r="B129" s="9">
        <v>12032</v>
      </c>
      <c r="C129" s="9">
        <v>0</v>
      </c>
      <c r="F129">
        <v>12032</v>
      </c>
      <c r="G129" s="9">
        <v>0</v>
      </c>
    </row>
    <row r="130" spans="2:7" hidden="1" x14ac:dyDescent="0.2">
      <c r="B130" s="9">
        <v>12033</v>
      </c>
      <c r="C130" s="9">
        <v>0</v>
      </c>
      <c r="F130">
        <v>12033</v>
      </c>
      <c r="G130" s="9">
        <v>0</v>
      </c>
    </row>
    <row r="131" spans="2:7" hidden="1" x14ac:dyDescent="0.2">
      <c r="B131" s="9">
        <v>12034</v>
      </c>
      <c r="C131" s="9">
        <v>0</v>
      </c>
      <c r="F131">
        <v>12034</v>
      </c>
      <c r="G131" s="9">
        <v>0</v>
      </c>
    </row>
    <row r="132" spans="2:7" hidden="1" x14ac:dyDescent="0.2">
      <c r="B132" s="9">
        <v>13022</v>
      </c>
      <c r="C132" s="9">
        <v>0</v>
      </c>
      <c r="F132">
        <v>13022</v>
      </c>
      <c r="G132" s="9">
        <v>0</v>
      </c>
    </row>
    <row r="133" spans="2:7" hidden="1" x14ac:dyDescent="0.2">
      <c r="B133" s="9">
        <v>13023</v>
      </c>
      <c r="C133" s="9">
        <v>0</v>
      </c>
      <c r="F133">
        <v>13023</v>
      </c>
      <c r="G133" s="9">
        <v>0</v>
      </c>
    </row>
    <row r="134" spans="2:7" hidden="1" x14ac:dyDescent="0.2">
      <c r="B134" s="9">
        <v>13024</v>
      </c>
      <c r="C134" s="9">
        <v>0</v>
      </c>
      <c r="F134">
        <v>13024</v>
      </c>
      <c r="G134" s="9">
        <v>0</v>
      </c>
    </row>
    <row r="135" spans="2:7" hidden="1" x14ac:dyDescent="0.2">
      <c r="B135" s="9">
        <v>13025</v>
      </c>
      <c r="C135" s="9">
        <v>0</v>
      </c>
      <c r="F135">
        <v>13025</v>
      </c>
      <c r="G135" s="9">
        <v>0</v>
      </c>
    </row>
    <row r="136" spans="2:7" hidden="1" x14ac:dyDescent="0.2">
      <c r="B136" s="9">
        <v>13026</v>
      </c>
      <c r="C136" s="9">
        <v>0</v>
      </c>
      <c r="F136">
        <v>13026</v>
      </c>
      <c r="G136" s="9">
        <v>0</v>
      </c>
    </row>
    <row r="137" spans="2:7" hidden="1" x14ac:dyDescent="0.2">
      <c r="B137" s="9">
        <v>13027</v>
      </c>
      <c r="C137" s="9">
        <v>0</v>
      </c>
      <c r="F137">
        <v>13027</v>
      </c>
      <c r="G137" s="9">
        <v>0</v>
      </c>
    </row>
    <row r="138" spans="2:7" hidden="1" x14ac:dyDescent="0.2">
      <c r="B138" s="9">
        <v>13028</v>
      </c>
      <c r="C138" s="9">
        <v>0</v>
      </c>
      <c r="F138">
        <v>13028</v>
      </c>
      <c r="G138" s="9">
        <v>0</v>
      </c>
    </row>
    <row r="139" spans="2:7" hidden="1" x14ac:dyDescent="0.2">
      <c r="B139" s="9">
        <v>13029</v>
      </c>
      <c r="C139" s="9">
        <v>0</v>
      </c>
      <c r="F139">
        <v>13029</v>
      </c>
      <c r="G139" s="9">
        <v>0</v>
      </c>
    </row>
    <row r="140" spans="2:7" hidden="1" x14ac:dyDescent="0.2">
      <c r="B140" s="9">
        <v>13030</v>
      </c>
      <c r="C140" s="9">
        <v>0</v>
      </c>
      <c r="F140">
        <v>13030</v>
      </c>
      <c r="G140" s="9">
        <v>0</v>
      </c>
    </row>
    <row r="141" spans="2:7" hidden="1" x14ac:dyDescent="0.2">
      <c r="B141" s="9">
        <v>13031</v>
      </c>
      <c r="C141" s="9">
        <v>0</v>
      </c>
      <c r="F141">
        <v>13031</v>
      </c>
      <c r="G141" s="9">
        <v>0</v>
      </c>
    </row>
    <row r="142" spans="2:7" hidden="1" x14ac:dyDescent="0.2">
      <c r="B142" s="9">
        <v>13032</v>
      </c>
      <c r="C142" s="9">
        <v>0</v>
      </c>
      <c r="F142">
        <v>13032</v>
      </c>
      <c r="G142" s="9">
        <v>0</v>
      </c>
    </row>
    <row r="143" spans="2:7" hidden="1" x14ac:dyDescent="0.2">
      <c r="B143" s="9">
        <v>13033</v>
      </c>
      <c r="C143" s="9">
        <v>0</v>
      </c>
      <c r="F143">
        <v>13033</v>
      </c>
      <c r="G143" s="9">
        <v>0</v>
      </c>
    </row>
    <row r="144" spans="2:7" hidden="1" x14ac:dyDescent="0.2">
      <c r="B144" s="9">
        <v>13034</v>
      </c>
      <c r="C144" s="9">
        <v>0</v>
      </c>
      <c r="F144">
        <v>13034</v>
      </c>
      <c r="G144" s="9">
        <v>0</v>
      </c>
    </row>
    <row r="145" spans="2:7" hidden="1" x14ac:dyDescent="0.2">
      <c r="B145" s="9">
        <v>13035</v>
      </c>
      <c r="C145" s="9">
        <v>0</v>
      </c>
      <c r="F145">
        <v>13035</v>
      </c>
      <c r="G145" s="9">
        <v>0</v>
      </c>
    </row>
    <row r="146" spans="2:7" hidden="1" x14ac:dyDescent="0.2">
      <c r="B146" s="9">
        <v>14024</v>
      </c>
      <c r="C146" s="9">
        <v>0</v>
      </c>
      <c r="F146">
        <v>14024</v>
      </c>
      <c r="G146" s="9">
        <v>0</v>
      </c>
    </row>
    <row r="147" spans="2:7" hidden="1" x14ac:dyDescent="0.2">
      <c r="B147" s="9">
        <v>14025</v>
      </c>
      <c r="C147" s="9">
        <v>0</v>
      </c>
      <c r="F147">
        <v>14025</v>
      </c>
      <c r="G147" s="9">
        <v>0</v>
      </c>
    </row>
    <row r="148" spans="2:7" hidden="1" x14ac:dyDescent="0.2">
      <c r="B148" s="9">
        <v>14026</v>
      </c>
      <c r="C148" s="9">
        <v>0</v>
      </c>
      <c r="F148">
        <v>14026</v>
      </c>
      <c r="G148" s="9">
        <v>0</v>
      </c>
    </row>
    <row r="149" spans="2:7" hidden="1" x14ac:dyDescent="0.2">
      <c r="B149" s="9">
        <v>14027</v>
      </c>
      <c r="C149" s="9">
        <v>0</v>
      </c>
      <c r="F149">
        <v>14027</v>
      </c>
      <c r="G149" s="9">
        <v>0</v>
      </c>
    </row>
    <row r="150" spans="2:7" hidden="1" x14ac:dyDescent="0.2">
      <c r="B150" s="9">
        <v>14028</v>
      </c>
      <c r="C150" s="9">
        <v>0</v>
      </c>
      <c r="F150">
        <v>14028</v>
      </c>
      <c r="G150" s="9">
        <v>0</v>
      </c>
    </row>
    <row r="151" spans="2:7" hidden="1" x14ac:dyDescent="0.2">
      <c r="B151" s="9">
        <v>14029</v>
      </c>
      <c r="C151" s="9">
        <v>0</v>
      </c>
      <c r="F151">
        <v>14029</v>
      </c>
      <c r="G151" s="9">
        <v>0</v>
      </c>
    </row>
    <row r="152" spans="2:7" hidden="1" x14ac:dyDescent="0.2">
      <c r="B152" s="9">
        <v>14030</v>
      </c>
      <c r="C152" s="9">
        <v>0</v>
      </c>
      <c r="F152">
        <v>14030</v>
      </c>
      <c r="G152" s="9">
        <v>0</v>
      </c>
    </row>
    <row r="153" spans="2:7" hidden="1" x14ac:dyDescent="0.2">
      <c r="B153" s="9">
        <v>14031</v>
      </c>
      <c r="C153" s="9">
        <v>0</v>
      </c>
      <c r="F153">
        <v>14031</v>
      </c>
      <c r="G153" s="9">
        <v>0</v>
      </c>
    </row>
    <row r="154" spans="2:7" hidden="1" x14ac:dyDescent="0.2">
      <c r="B154" s="9">
        <v>14032</v>
      </c>
      <c r="C154" s="9">
        <v>0</v>
      </c>
      <c r="F154">
        <v>14032</v>
      </c>
      <c r="G154" s="9">
        <v>0</v>
      </c>
    </row>
    <row r="155" spans="2:7" hidden="1" x14ac:dyDescent="0.2">
      <c r="B155" s="9">
        <v>14033</v>
      </c>
      <c r="C155" s="9">
        <v>0</v>
      </c>
      <c r="F155">
        <v>14033</v>
      </c>
      <c r="G155" s="9">
        <v>0</v>
      </c>
    </row>
    <row r="156" spans="2:7" hidden="1" x14ac:dyDescent="0.2">
      <c r="B156" s="9">
        <v>14034</v>
      </c>
      <c r="C156" s="9">
        <v>0</v>
      </c>
      <c r="F156">
        <v>14034</v>
      </c>
      <c r="G156" s="9">
        <v>0</v>
      </c>
    </row>
    <row r="157" spans="2:7" hidden="1" x14ac:dyDescent="0.2">
      <c r="B157" s="9">
        <v>14035</v>
      </c>
      <c r="C157" s="9">
        <v>0</v>
      </c>
      <c r="F157">
        <v>14035</v>
      </c>
      <c r="G157" s="9">
        <v>0</v>
      </c>
    </row>
    <row r="158" spans="2:7" hidden="1" x14ac:dyDescent="0.2">
      <c r="B158" s="9">
        <v>14036</v>
      </c>
      <c r="C158" s="9">
        <v>0</v>
      </c>
      <c r="F158">
        <v>14036</v>
      </c>
      <c r="G158" s="9">
        <v>0</v>
      </c>
    </row>
    <row r="159" spans="2:7" hidden="1" x14ac:dyDescent="0.2">
      <c r="B159" s="9">
        <v>14037</v>
      </c>
      <c r="C159" s="9">
        <v>0</v>
      </c>
      <c r="F159">
        <v>14037</v>
      </c>
      <c r="G159" s="9">
        <v>0</v>
      </c>
    </row>
    <row r="160" spans="2:7" hidden="1" x14ac:dyDescent="0.2">
      <c r="B160" s="9">
        <v>14038</v>
      </c>
      <c r="C160" s="9">
        <v>0</v>
      </c>
      <c r="F160">
        <v>14038</v>
      </c>
      <c r="G160" s="9">
        <v>0</v>
      </c>
    </row>
    <row r="161" spans="2:7" hidden="1" x14ac:dyDescent="0.2">
      <c r="B161" s="9">
        <v>14039</v>
      </c>
      <c r="C161" s="9">
        <v>0</v>
      </c>
      <c r="F161">
        <v>14039</v>
      </c>
      <c r="G161" s="9">
        <v>0</v>
      </c>
    </row>
    <row r="162" spans="2:7" hidden="1" x14ac:dyDescent="0.2">
      <c r="B162" s="9">
        <v>15026</v>
      </c>
      <c r="C162" s="9">
        <v>0</v>
      </c>
      <c r="F162">
        <v>15026</v>
      </c>
      <c r="G162" s="9">
        <v>0</v>
      </c>
    </row>
    <row r="163" spans="2:7" hidden="1" x14ac:dyDescent="0.2">
      <c r="B163" s="9">
        <v>15027</v>
      </c>
      <c r="C163" s="9">
        <v>0</v>
      </c>
      <c r="F163">
        <v>15027</v>
      </c>
      <c r="G163" s="9">
        <v>0</v>
      </c>
    </row>
    <row r="164" spans="2:7" hidden="1" x14ac:dyDescent="0.2">
      <c r="B164" s="9">
        <v>15028</v>
      </c>
      <c r="C164" s="9">
        <v>0</v>
      </c>
      <c r="F164">
        <v>15028</v>
      </c>
      <c r="G164" s="9">
        <v>0</v>
      </c>
    </row>
    <row r="165" spans="2:7" hidden="1" x14ac:dyDescent="0.2">
      <c r="B165" s="9">
        <v>15029</v>
      </c>
      <c r="C165" s="9">
        <v>0</v>
      </c>
      <c r="F165">
        <v>15029</v>
      </c>
      <c r="G165" s="9">
        <v>0</v>
      </c>
    </row>
    <row r="166" spans="2:7" hidden="1" x14ac:dyDescent="0.2">
      <c r="B166" s="9">
        <v>15030</v>
      </c>
      <c r="C166" s="9">
        <v>0</v>
      </c>
      <c r="F166">
        <v>15030</v>
      </c>
      <c r="G166" s="9">
        <v>0</v>
      </c>
    </row>
    <row r="167" spans="2:7" hidden="1" x14ac:dyDescent="0.2">
      <c r="B167" s="9">
        <v>15031</v>
      </c>
      <c r="C167" s="9">
        <v>0</v>
      </c>
      <c r="F167">
        <v>15031</v>
      </c>
      <c r="G167" s="9">
        <v>0</v>
      </c>
    </row>
    <row r="168" spans="2:7" hidden="1" x14ac:dyDescent="0.2">
      <c r="B168" s="9">
        <v>15032</v>
      </c>
      <c r="C168" s="9">
        <v>0</v>
      </c>
      <c r="F168">
        <v>15032</v>
      </c>
      <c r="G168" s="9">
        <v>0</v>
      </c>
    </row>
    <row r="169" spans="2:7" hidden="1" x14ac:dyDescent="0.2">
      <c r="B169" s="9">
        <v>15033</v>
      </c>
      <c r="C169" s="9">
        <v>0</v>
      </c>
      <c r="F169">
        <v>15033</v>
      </c>
      <c r="G169" s="9">
        <v>0</v>
      </c>
    </row>
    <row r="170" spans="2:7" hidden="1" x14ac:dyDescent="0.2">
      <c r="B170" s="9">
        <v>15034</v>
      </c>
      <c r="C170" s="9">
        <v>0</v>
      </c>
      <c r="F170">
        <v>15034</v>
      </c>
      <c r="G170" s="9">
        <v>0</v>
      </c>
    </row>
    <row r="171" spans="2:7" hidden="1" x14ac:dyDescent="0.2">
      <c r="B171" s="9">
        <v>15035</v>
      </c>
      <c r="C171" s="9">
        <v>0</v>
      </c>
      <c r="F171">
        <v>15035</v>
      </c>
      <c r="G171" s="9">
        <v>0</v>
      </c>
    </row>
    <row r="172" spans="2:7" hidden="1" x14ac:dyDescent="0.2">
      <c r="B172" s="9">
        <v>15036</v>
      </c>
      <c r="C172" s="9">
        <v>0</v>
      </c>
      <c r="F172">
        <v>15036</v>
      </c>
      <c r="G172" s="9">
        <v>0</v>
      </c>
    </row>
    <row r="173" spans="2:7" hidden="1" x14ac:dyDescent="0.2">
      <c r="B173" s="9">
        <v>15037</v>
      </c>
      <c r="C173" s="9">
        <v>0</v>
      </c>
      <c r="F173">
        <v>15037</v>
      </c>
      <c r="G173" s="9">
        <v>0</v>
      </c>
    </row>
    <row r="174" spans="2:7" hidden="1" x14ac:dyDescent="0.2">
      <c r="B174" s="9">
        <v>15038</v>
      </c>
      <c r="C174" s="9">
        <v>0</v>
      </c>
      <c r="F174">
        <v>15038</v>
      </c>
      <c r="G174" s="9">
        <v>0</v>
      </c>
    </row>
    <row r="175" spans="2:7" hidden="1" x14ac:dyDescent="0.2">
      <c r="B175" s="9">
        <v>15039</v>
      </c>
      <c r="C175" s="9">
        <v>0</v>
      </c>
      <c r="F175">
        <v>15039</v>
      </c>
      <c r="G175" s="9">
        <v>0</v>
      </c>
    </row>
    <row r="176" spans="2:7" hidden="1" x14ac:dyDescent="0.2">
      <c r="B176" s="9">
        <v>15040</v>
      </c>
      <c r="C176" s="9">
        <v>0</v>
      </c>
      <c r="F176">
        <v>15040</v>
      </c>
      <c r="G176" s="9">
        <v>0</v>
      </c>
    </row>
    <row r="177" spans="2:7" hidden="1" x14ac:dyDescent="0.2">
      <c r="B177" s="9">
        <v>15041</v>
      </c>
      <c r="C177" s="9">
        <v>0</v>
      </c>
      <c r="F177">
        <v>15041</v>
      </c>
      <c r="G177" s="9">
        <v>0</v>
      </c>
    </row>
    <row r="178" spans="2:7" hidden="1" x14ac:dyDescent="0.2">
      <c r="B178" s="9">
        <v>15042</v>
      </c>
      <c r="C178" s="9">
        <v>0</v>
      </c>
      <c r="F178">
        <v>15042</v>
      </c>
      <c r="G178" s="9">
        <v>0</v>
      </c>
    </row>
    <row r="179" spans="2:7" x14ac:dyDescent="0.2">
      <c r="B179" t="s">
        <v>3172</v>
      </c>
      <c r="C179" s="9">
        <v>4.1329999999999999E-5</v>
      </c>
      <c r="F179" t="s">
        <v>3172</v>
      </c>
      <c r="G179" s="9">
        <v>1.2799E-4</v>
      </c>
    </row>
    <row r="180" spans="2:7" x14ac:dyDescent="0.2">
      <c r="B180" t="s">
        <v>3173</v>
      </c>
      <c r="F180" t="s">
        <v>3173</v>
      </c>
    </row>
    <row r="181" spans="2:7" x14ac:dyDescent="0.2">
      <c r="B181" t="s">
        <v>3174</v>
      </c>
      <c r="F181" t="s">
        <v>3174</v>
      </c>
    </row>
    <row r="182" spans="2:7" x14ac:dyDescent="0.2">
      <c r="B182" s="9">
        <v>1001</v>
      </c>
      <c r="C182" s="9">
        <v>0</v>
      </c>
      <c r="F182" t="s">
        <v>3175</v>
      </c>
    </row>
    <row r="183" spans="2:7" x14ac:dyDescent="0.2">
      <c r="B183" s="9">
        <v>1002</v>
      </c>
      <c r="C183" s="9">
        <v>4.9999999999999998E-8</v>
      </c>
      <c r="F183" t="s">
        <v>3176</v>
      </c>
    </row>
    <row r="184" spans="2:7" x14ac:dyDescent="0.2">
      <c r="B184" s="9">
        <v>1003</v>
      </c>
      <c r="C184" s="9">
        <v>0</v>
      </c>
    </row>
    <row r="185" spans="2:7" x14ac:dyDescent="0.2">
      <c r="B185" s="9">
        <v>2003</v>
      </c>
      <c r="C185" s="9">
        <v>0</v>
      </c>
    </row>
    <row r="186" spans="2:7" x14ac:dyDescent="0.2">
      <c r="B186" s="9">
        <v>2004</v>
      </c>
      <c r="C186" s="9">
        <v>8.1999999999999998E-7</v>
      </c>
    </row>
    <row r="187" spans="2:7" x14ac:dyDescent="0.2">
      <c r="B187" s="9">
        <v>2005</v>
      </c>
      <c r="C187" s="9">
        <v>0</v>
      </c>
    </row>
    <row r="188" spans="2:7" x14ac:dyDescent="0.2">
      <c r="B188" s="9">
        <v>2006</v>
      </c>
      <c r="C188" s="9">
        <v>0</v>
      </c>
    </row>
    <row r="189" spans="2:7" x14ac:dyDescent="0.2">
      <c r="B189" s="9">
        <v>2007</v>
      </c>
      <c r="C189" s="9">
        <v>0</v>
      </c>
    </row>
    <row r="190" spans="2:7" x14ac:dyDescent="0.2">
      <c r="B190" s="9">
        <v>2008</v>
      </c>
      <c r="C190" s="9">
        <v>0</v>
      </c>
    </row>
    <row r="191" spans="2:7" x14ac:dyDescent="0.2">
      <c r="B191" s="9">
        <v>3005</v>
      </c>
      <c r="C191" s="9">
        <v>0</v>
      </c>
    </row>
    <row r="192" spans="2:7" x14ac:dyDescent="0.2">
      <c r="B192" s="9">
        <v>3006</v>
      </c>
      <c r="C192" s="9">
        <v>0</v>
      </c>
    </row>
    <row r="193" spans="2:3" x14ac:dyDescent="0.2">
      <c r="B193" s="9">
        <v>3007</v>
      </c>
      <c r="C193" s="9">
        <v>0</v>
      </c>
    </row>
    <row r="194" spans="2:3" x14ac:dyDescent="0.2">
      <c r="B194" s="9">
        <v>3008</v>
      </c>
      <c r="C194" s="9">
        <v>0</v>
      </c>
    </row>
    <row r="195" spans="2:3" x14ac:dyDescent="0.2">
      <c r="B195" s="9">
        <v>3009</v>
      </c>
      <c r="C195" s="9">
        <v>0</v>
      </c>
    </row>
    <row r="196" spans="2:3" x14ac:dyDescent="0.2">
      <c r="B196" s="9">
        <v>3010</v>
      </c>
      <c r="C196" s="9">
        <v>0</v>
      </c>
    </row>
    <row r="197" spans="2:3" x14ac:dyDescent="0.2">
      <c r="B197" s="9">
        <v>3011</v>
      </c>
      <c r="C197" s="9">
        <v>0</v>
      </c>
    </row>
    <row r="198" spans="2:3" x14ac:dyDescent="0.2">
      <c r="B198" s="9">
        <v>4006</v>
      </c>
      <c r="C198" s="9">
        <v>0</v>
      </c>
    </row>
    <row r="199" spans="2:3" x14ac:dyDescent="0.2">
      <c r="B199" s="9">
        <v>4007</v>
      </c>
      <c r="C199" s="9">
        <v>0</v>
      </c>
    </row>
    <row r="200" spans="2:3" x14ac:dyDescent="0.2">
      <c r="B200" s="9">
        <v>4008</v>
      </c>
      <c r="C200" s="9">
        <v>0</v>
      </c>
    </row>
    <row r="201" spans="2:3" x14ac:dyDescent="0.2">
      <c r="B201" s="9">
        <v>4009</v>
      </c>
      <c r="C201" s="9">
        <v>1.1999999999999999E-7</v>
      </c>
    </row>
    <row r="202" spans="2:3" x14ac:dyDescent="0.2">
      <c r="B202" s="9">
        <v>4010</v>
      </c>
      <c r="C202" s="9">
        <v>0</v>
      </c>
    </row>
    <row r="203" spans="2:3" x14ac:dyDescent="0.2">
      <c r="B203" s="9">
        <v>4011</v>
      </c>
      <c r="C203" s="9">
        <v>0</v>
      </c>
    </row>
    <row r="204" spans="2:3" x14ac:dyDescent="0.2">
      <c r="B204" s="9">
        <v>4012</v>
      </c>
      <c r="C204" s="9">
        <v>0</v>
      </c>
    </row>
    <row r="205" spans="2:3" x14ac:dyDescent="0.2">
      <c r="B205" s="9">
        <v>4013</v>
      </c>
      <c r="C205" s="9">
        <v>0</v>
      </c>
    </row>
    <row r="206" spans="2:3" x14ac:dyDescent="0.2">
      <c r="B206" s="9">
        <v>4014</v>
      </c>
      <c r="C206" s="9">
        <v>0</v>
      </c>
    </row>
    <row r="207" spans="2:3" x14ac:dyDescent="0.2">
      <c r="B207" s="9">
        <v>5008</v>
      </c>
      <c r="C207" s="9">
        <v>0</v>
      </c>
    </row>
    <row r="208" spans="2:3" x14ac:dyDescent="0.2">
      <c r="B208" s="9">
        <v>5009</v>
      </c>
      <c r="C208" s="9">
        <v>0</v>
      </c>
    </row>
    <row r="209" spans="2:3" x14ac:dyDescent="0.2">
      <c r="B209" s="9">
        <v>5010</v>
      </c>
      <c r="C209" s="9">
        <v>0</v>
      </c>
    </row>
    <row r="210" spans="2:3" x14ac:dyDescent="0.2">
      <c r="B210" s="9">
        <v>5011</v>
      </c>
      <c r="C210" s="9">
        <v>0</v>
      </c>
    </row>
    <row r="211" spans="2:3" x14ac:dyDescent="0.2">
      <c r="B211" s="9">
        <v>5012</v>
      </c>
      <c r="C211" s="9">
        <v>0</v>
      </c>
    </row>
    <row r="212" spans="2:3" x14ac:dyDescent="0.2">
      <c r="B212" s="9">
        <v>5013</v>
      </c>
      <c r="C212" s="9">
        <v>0</v>
      </c>
    </row>
    <row r="213" spans="2:3" x14ac:dyDescent="0.2">
      <c r="B213" s="9">
        <v>5014</v>
      </c>
      <c r="C213" s="9">
        <v>0</v>
      </c>
    </row>
    <row r="214" spans="2:3" x14ac:dyDescent="0.2">
      <c r="B214" s="9">
        <v>5015</v>
      </c>
      <c r="C214" s="9">
        <v>0</v>
      </c>
    </row>
    <row r="215" spans="2:3" x14ac:dyDescent="0.2">
      <c r="B215" s="9">
        <v>5016</v>
      </c>
      <c r="C215" s="9">
        <v>0</v>
      </c>
    </row>
    <row r="216" spans="2:3" x14ac:dyDescent="0.2">
      <c r="B216" s="9">
        <v>5017</v>
      </c>
      <c r="C216" s="9">
        <v>0</v>
      </c>
    </row>
    <row r="217" spans="2:3" x14ac:dyDescent="0.2">
      <c r="B217" s="9">
        <v>6008</v>
      </c>
      <c r="C217" s="9">
        <v>0</v>
      </c>
    </row>
    <row r="218" spans="2:3" x14ac:dyDescent="0.2">
      <c r="B218" s="9">
        <v>6009</v>
      </c>
      <c r="C218" s="9">
        <v>0</v>
      </c>
    </row>
    <row r="219" spans="2:3" x14ac:dyDescent="0.2">
      <c r="B219" s="9">
        <v>6010</v>
      </c>
      <c r="C219" s="9">
        <v>0</v>
      </c>
    </row>
    <row r="220" spans="2:3" x14ac:dyDescent="0.2">
      <c r="B220" s="9">
        <v>6011</v>
      </c>
      <c r="C220" s="9">
        <v>0</v>
      </c>
    </row>
    <row r="221" spans="2:3" x14ac:dyDescent="0.2">
      <c r="B221" s="9">
        <v>6012</v>
      </c>
      <c r="C221" s="9">
        <v>1.3920000000000001E-5</v>
      </c>
    </row>
    <row r="222" spans="2:3" x14ac:dyDescent="0.2">
      <c r="B222" s="9">
        <v>6013</v>
      </c>
      <c r="C222" s="9">
        <v>2.9969999999999999E-5</v>
      </c>
    </row>
    <row r="223" spans="2:3" x14ac:dyDescent="0.2">
      <c r="B223" s="9">
        <v>6014</v>
      </c>
      <c r="C223" s="9">
        <v>0</v>
      </c>
    </row>
    <row r="224" spans="2:3" x14ac:dyDescent="0.2">
      <c r="B224" s="9">
        <v>6015</v>
      </c>
      <c r="C224" s="9">
        <v>0</v>
      </c>
    </row>
    <row r="225" spans="2:3" x14ac:dyDescent="0.2">
      <c r="B225" s="9">
        <v>6016</v>
      </c>
      <c r="C225" s="9">
        <v>0</v>
      </c>
    </row>
    <row r="226" spans="2:3" x14ac:dyDescent="0.2">
      <c r="B226" s="9">
        <v>6017</v>
      </c>
      <c r="C226" s="9">
        <v>0</v>
      </c>
    </row>
    <row r="227" spans="2:3" x14ac:dyDescent="0.2">
      <c r="B227" s="9">
        <v>6018</v>
      </c>
      <c r="C227" s="9">
        <v>0</v>
      </c>
    </row>
    <row r="228" spans="2:3" x14ac:dyDescent="0.2">
      <c r="B228" s="9">
        <v>6019</v>
      </c>
      <c r="C228" s="9">
        <v>0</v>
      </c>
    </row>
    <row r="229" spans="2:3" x14ac:dyDescent="0.2">
      <c r="B229" s="9">
        <v>6020</v>
      </c>
      <c r="C229" s="9">
        <v>0</v>
      </c>
    </row>
    <row r="230" spans="2:3" x14ac:dyDescent="0.2">
      <c r="B230" s="9">
        <v>7011</v>
      </c>
      <c r="C230" s="9">
        <v>0</v>
      </c>
    </row>
    <row r="231" spans="2:3" x14ac:dyDescent="0.2">
      <c r="B231" s="9">
        <v>7012</v>
      </c>
      <c r="C231" s="9">
        <v>0</v>
      </c>
    </row>
    <row r="232" spans="2:3" x14ac:dyDescent="0.2">
      <c r="B232" s="9">
        <v>7013</v>
      </c>
      <c r="C232" s="9">
        <v>0</v>
      </c>
    </row>
    <row r="233" spans="2:3" x14ac:dyDescent="0.2">
      <c r="B233" s="9">
        <v>7014</v>
      </c>
      <c r="C233" s="9">
        <v>4.8999999999999997E-7</v>
      </c>
    </row>
    <row r="234" spans="2:3" x14ac:dyDescent="0.2">
      <c r="B234" s="9">
        <v>7015</v>
      </c>
      <c r="C234" s="9">
        <v>7.8699999999999992E-6</v>
      </c>
    </row>
    <row r="235" spans="2:3" x14ac:dyDescent="0.2">
      <c r="B235" s="9">
        <v>7016</v>
      </c>
      <c r="C235" s="9">
        <v>2.26E-6</v>
      </c>
    </row>
    <row r="236" spans="2:3" x14ac:dyDescent="0.2">
      <c r="B236" s="9">
        <v>7017</v>
      </c>
      <c r="C236" s="9">
        <v>0</v>
      </c>
    </row>
    <row r="237" spans="2:3" x14ac:dyDescent="0.2">
      <c r="B237" s="9">
        <v>7018</v>
      </c>
      <c r="C237" s="9">
        <v>0</v>
      </c>
    </row>
    <row r="238" spans="2:3" x14ac:dyDescent="0.2">
      <c r="B238" s="9">
        <v>7019</v>
      </c>
      <c r="C238" s="9">
        <v>0</v>
      </c>
    </row>
    <row r="239" spans="2:3" x14ac:dyDescent="0.2">
      <c r="B239" s="9">
        <v>7020</v>
      </c>
      <c r="C239" s="9">
        <v>0</v>
      </c>
    </row>
    <row r="240" spans="2:3" x14ac:dyDescent="0.2">
      <c r="B240" s="9">
        <v>7021</v>
      </c>
      <c r="C240" s="9">
        <v>0</v>
      </c>
    </row>
    <row r="241" spans="2:3" x14ac:dyDescent="0.2">
      <c r="B241" s="9">
        <v>7022</v>
      </c>
      <c r="C241" s="9">
        <v>0</v>
      </c>
    </row>
    <row r="242" spans="2:3" x14ac:dyDescent="0.2">
      <c r="B242" s="9">
        <v>7023</v>
      </c>
      <c r="C242" s="9">
        <v>0</v>
      </c>
    </row>
    <row r="243" spans="2:3" x14ac:dyDescent="0.2">
      <c r="B243" s="9">
        <v>8013</v>
      </c>
      <c r="C243" s="9">
        <v>0</v>
      </c>
    </row>
    <row r="244" spans="2:3" x14ac:dyDescent="0.2">
      <c r="B244" s="9">
        <v>8014</v>
      </c>
      <c r="C244" s="9">
        <v>0</v>
      </c>
    </row>
    <row r="245" spans="2:3" x14ac:dyDescent="0.2">
      <c r="B245" s="9">
        <v>8015</v>
      </c>
      <c r="C245" s="9">
        <v>4.2E-7</v>
      </c>
    </row>
    <row r="246" spans="2:3" x14ac:dyDescent="0.2">
      <c r="B246" s="9">
        <v>8016</v>
      </c>
      <c r="C246" s="9">
        <v>0</v>
      </c>
    </row>
    <row r="247" spans="2:3" x14ac:dyDescent="0.2">
      <c r="B247" s="9">
        <v>8017</v>
      </c>
      <c r="C247" s="9">
        <v>4.0000000000000001E-8</v>
      </c>
    </row>
    <row r="248" spans="2:3" x14ac:dyDescent="0.2">
      <c r="B248" s="9">
        <v>8018</v>
      </c>
      <c r="C248" s="9">
        <v>0</v>
      </c>
    </row>
    <row r="249" spans="2:3" x14ac:dyDescent="0.2">
      <c r="B249" s="9">
        <v>8019</v>
      </c>
      <c r="C249" s="9">
        <v>0</v>
      </c>
    </row>
    <row r="250" spans="2:3" x14ac:dyDescent="0.2">
      <c r="B250" s="9">
        <v>8020</v>
      </c>
      <c r="C250" s="9">
        <v>0</v>
      </c>
    </row>
    <row r="251" spans="2:3" x14ac:dyDescent="0.2">
      <c r="B251" s="9">
        <v>8021</v>
      </c>
      <c r="C251" s="9">
        <v>0</v>
      </c>
    </row>
    <row r="252" spans="2:3" x14ac:dyDescent="0.2">
      <c r="B252" s="9">
        <v>8022</v>
      </c>
      <c r="C252" s="9">
        <v>0</v>
      </c>
    </row>
    <row r="253" spans="2:3" x14ac:dyDescent="0.2">
      <c r="B253" s="9">
        <v>8023</v>
      </c>
      <c r="C253" s="9">
        <v>0</v>
      </c>
    </row>
    <row r="254" spans="2:3" x14ac:dyDescent="0.2">
      <c r="B254" s="9">
        <v>8024</v>
      </c>
      <c r="C254" s="9">
        <v>0</v>
      </c>
    </row>
    <row r="255" spans="2:3" x14ac:dyDescent="0.2">
      <c r="B255" s="9">
        <v>9015</v>
      </c>
      <c r="C255" s="9">
        <v>0</v>
      </c>
    </row>
    <row r="256" spans="2:3" x14ac:dyDescent="0.2">
      <c r="B256" s="9">
        <v>9016</v>
      </c>
      <c r="C256" s="9">
        <v>0</v>
      </c>
    </row>
    <row r="257" spans="2:3" x14ac:dyDescent="0.2">
      <c r="B257" s="9">
        <v>9017</v>
      </c>
      <c r="C257" s="9">
        <v>0</v>
      </c>
    </row>
    <row r="258" spans="2:3" x14ac:dyDescent="0.2">
      <c r="B258" s="9">
        <v>9018</v>
      </c>
      <c r="C258" s="9">
        <v>0</v>
      </c>
    </row>
    <row r="259" spans="2:3" x14ac:dyDescent="0.2">
      <c r="B259" s="9">
        <v>9019</v>
      </c>
      <c r="C259" s="9">
        <v>0</v>
      </c>
    </row>
    <row r="260" spans="2:3" x14ac:dyDescent="0.2">
      <c r="B260" s="9">
        <v>9020</v>
      </c>
      <c r="C260" s="9">
        <v>0</v>
      </c>
    </row>
    <row r="261" spans="2:3" x14ac:dyDescent="0.2">
      <c r="B261" s="9">
        <v>9021</v>
      </c>
      <c r="C261" s="9">
        <v>0</v>
      </c>
    </row>
    <row r="262" spans="2:3" x14ac:dyDescent="0.2">
      <c r="B262" s="9">
        <v>9022</v>
      </c>
      <c r="C262" s="9">
        <v>0</v>
      </c>
    </row>
    <row r="263" spans="2:3" x14ac:dyDescent="0.2">
      <c r="B263" s="9">
        <v>9023</v>
      </c>
      <c r="C263" s="9">
        <v>0</v>
      </c>
    </row>
    <row r="264" spans="2:3" x14ac:dyDescent="0.2">
      <c r="B264" s="9">
        <v>9024</v>
      </c>
      <c r="C264" s="9">
        <v>0</v>
      </c>
    </row>
    <row r="265" spans="2:3" x14ac:dyDescent="0.2">
      <c r="B265" s="9">
        <v>9025</v>
      </c>
      <c r="C265" s="9">
        <v>0</v>
      </c>
    </row>
    <row r="266" spans="2:3" x14ac:dyDescent="0.2">
      <c r="B266" s="9">
        <v>9026</v>
      </c>
      <c r="C266" s="9">
        <v>0</v>
      </c>
    </row>
    <row r="267" spans="2:3" x14ac:dyDescent="0.2">
      <c r="B267" s="9">
        <v>9027</v>
      </c>
      <c r="C267" s="9">
        <v>0</v>
      </c>
    </row>
    <row r="268" spans="2:3" x14ac:dyDescent="0.2">
      <c r="B268" s="9">
        <v>10017</v>
      </c>
      <c r="C268" s="9">
        <v>0</v>
      </c>
    </row>
    <row r="269" spans="2:3" x14ac:dyDescent="0.2">
      <c r="B269" s="9">
        <v>10018</v>
      </c>
      <c r="C269" s="9">
        <v>0</v>
      </c>
    </row>
    <row r="270" spans="2:3" x14ac:dyDescent="0.2">
      <c r="B270" s="9">
        <v>10019</v>
      </c>
      <c r="C270" s="9">
        <v>0</v>
      </c>
    </row>
    <row r="271" spans="2:3" x14ac:dyDescent="0.2">
      <c r="B271" s="9">
        <v>10020</v>
      </c>
      <c r="C271" s="9">
        <v>0</v>
      </c>
    </row>
    <row r="272" spans="2:3" x14ac:dyDescent="0.2">
      <c r="B272" s="9">
        <v>10021</v>
      </c>
      <c r="C272" s="9">
        <v>0</v>
      </c>
    </row>
    <row r="273" spans="2:3" x14ac:dyDescent="0.2">
      <c r="B273" s="9">
        <v>10022</v>
      </c>
      <c r="C273" s="9">
        <v>0</v>
      </c>
    </row>
    <row r="274" spans="2:3" x14ac:dyDescent="0.2">
      <c r="B274" s="9">
        <v>10023</v>
      </c>
      <c r="C274" s="9">
        <v>0</v>
      </c>
    </row>
    <row r="275" spans="2:3" x14ac:dyDescent="0.2">
      <c r="B275" s="9">
        <v>10024</v>
      </c>
      <c r="C275" s="9">
        <v>0</v>
      </c>
    </row>
    <row r="276" spans="2:3" x14ac:dyDescent="0.2">
      <c r="B276" s="9">
        <v>10025</v>
      </c>
      <c r="C276" s="9">
        <v>0</v>
      </c>
    </row>
    <row r="277" spans="2:3" x14ac:dyDescent="0.2">
      <c r="B277" s="9">
        <v>10026</v>
      </c>
      <c r="C277" s="9">
        <v>0</v>
      </c>
    </row>
    <row r="278" spans="2:3" x14ac:dyDescent="0.2">
      <c r="B278" s="9">
        <v>10027</v>
      </c>
      <c r="C278" s="9">
        <v>0</v>
      </c>
    </row>
    <row r="279" spans="2:3" x14ac:dyDescent="0.2">
      <c r="B279" s="9">
        <v>10028</v>
      </c>
      <c r="C279" s="9">
        <v>0</v>
      </c>
    </row>
    <row r="280" spans="2:3" x14ac:dyDescent="0.2">
      <c r="B280" s="9">
        <v>11019</v>
      </c>
      <c r="C280" s="9">
        <v>0</v>
      </c>
    </row>
    <row r="281" spans="2:3" x14ac:dyDescent="0.2">
      <c r="B281" s="9">
        <v>11020</v>
      </c>
      <c r="C281" s="9">
        <v>0</v>
      </c>
    </row>
    <row r="282" spans="2:3" x14ac:dyDescent="0.2">
      <c r="B282" s="9">
        <v>11021</v>
      </c>
      <c r="C282" s="9">
        <v>0</v>
      </c>
    </row>
    <row r="283" spans="2:3" x14ac:dyDescent="0.2">
      <c r="B283" s="9">
        <v>11022</v>
      </c>
      <c r="C283" s="9">
        <v>0</v>
      </c>
    </row>
    <row r="284" spans="2:3" x14ac:dyDescent="0.2">
      <c r="B284" s="9">
        <v>11023</v>
      </c>
      <c r="C284" s="9">
        <v>0</v>
      </c>
    </row>
    <row r="285" spans="2:3" x14ac:dyDescent="0.2">
      <c r="B285" s="9">
        <v>11024</v>
      </c>
      <c r="C285" s="9">
        <v>0</v>
      </c>
    </row>
    <row r="286" spans="2:3" x14ac:dyDescent="0.2">
      <c r="B286" s="9">
        <v>11025</v>
      </c>
      <c r="C286" s="9">
        <v>0</v>
      </c>
    </row>
    <row r="287" spans="2:3" x14ac:dyDescent="0.2">
      <c r="B287" s="9">
        <v>11026</v>
      </c>
      <c r="C287" s="9">
        <v>0</v>
      </c>
    </row>
    <row r="288" spans="2:3" x14ac:dyDescent="0.2">
      <c r="B288" s="9">
        <v>11027</v>
      </c>
      <c r="C288" s="9">
        <v>0</v>
      </c>
    </row>
    <row r="289" spans="2:3" x14ac:dyDescent="0.2">
      <c r="B289" s="9">
        <v>11028</v>
      </c>
      <c r="C289" s="9">
        <v>0</v>
      </c>
    </row>
    <row r="290" spans="2:3" x14ac:dyDescent="0.2">
      <c r="B290" s="9">
        <v>11029</v>
      </c>
      <c r="C290" s="9">
        <v>0</v>
      </c>
    </row>
    <row r="291" spans="2:3" x14ac:dyDescent="0.2">
      <c r="B291" s="9">
        <v>11030</v>
      </c>
      <c r="C291" s="9">
        <v>0</v>
      </c>
    </row>
    <row r="292" spans="2:3" x14ac:dyDescent="0.2">
      <c r="B292" s="9">
        <v>11031</v>
      </c>
      <c r="C292" s="9">
        <v>0</v>
      </c>
    </row>
    <row r="293" spans="2:3" x14ac:dyDescent="0.2">
      <c r="B293" s="9">
        <v>11032</v>
      </c>
      <c r="C293" s="9">
        <v>0</v>
      </c>
    </row>
    <row r="294" spans="2:3" x14ac:dyDescent="0.2">
      <c r="B294" s="9">
        <v>11033</v>
      </c>
      <c r="C294" s="9">
        <v>0</v>
      </c>
    </row>
    <row r="295" spans="2:3" x14ac:dyDescent="0.2">
      <c r="B295" s="9">
        <v>11034</v>
      </c>
      <c r="C295" s="9">
        <v>0</v>
      </c>
    </row>
    <row r="296" spans="2:3" x14ac:dyDescent="0.2">
      <c r="B296" s="9">
        <v>11035</v>
      </c>
      <c r="C296" s="9">
        <v>0</v>
      </c>
    </row>
    <row r="297" spans="2:3" x14ac:dyDescent="0.2">
      <c r="B297" s="9">
        <v>12020</v>
      </c>
      <c r="C297" s="9">
        <v>0</v>
      </c>
    </row>
    <row r="298" spans="2:3" x14ac:dyDescent="0.2">
      <c r="B298" s="9">
        <v>12021</v>
      </c>
      <c r="C298" s="9">
        <v>0</v>
      </c>
    </row>
    <row r="299" spans="2:3" x14ac:dyDescent="0.2">
      <c r="B299" s="9">
        <v>12022</v>
      </c>
      <c r="C299" s="9">
        <v>0</v>
      </c>
    </row>
    <row r="300" spans="2:3" x14ac:dyDescent="0.2">
      <c r="B300" s="9">
        <v>12023</v>
      </c>
      <c r="C300" s="9">
        <v>0</v>
      </c>
    </row>
    <row r="301" spans="2:3" x14ac:dyDescent="0.2">
      <c r="B301" s="9">
        <v>12024</v>
      </c>
      <c r="C301" s="9">
        <v>0</v>
      </c>
    </row>
    <row r="302" spans="2:3" x14ac:dyDescent="0.2">
      <c r="B302" s="9">
        <v>12025</v>
      </c>
      <c r="C302" s="9">
        <v>0</v>
      </c>
    </row>
    <row r="303" spans="2:3" x14ac:dyDescent="0.2">
      <c r="B303" s="9">
        <v>12026</v>
      </c>
      <c r="C303" s="9">
        <v>0</v>
      </c>
    </row>
    <row r="304" spans="2:3" x14ac:dyDescent="0.2">
      <c r="B304" s="9">
        <v>12027</v>
      </c>
      <c r="C304" s="9">
        <v>0</v>
      </c>
    </row>
    <row r="305" spans="2:3" x14ac:dyDescent="0.2">
      <c r="B305" s="9">
        <v>12028</v>
      </c>
      <c r="C305" s="9">
        <v>0</v>
      </c>
    </row>
    <row r="306" spans="2:3" x14ac:dyDescent="0.2">
      <c r="B306" s="9">
        <v>12029</v>
      </c>
      <c r="C306" s="9">
        <v>0</v>
      </c>
    </row>
    <row r="307" spans="2:3" x14ac:dyDescent="0.2">
      <c r="B307" s="9">
        <v>12030</v>
      </c>
      <c r="C307" s="9">
        <v>0</v>
      </c>
    </row>
    <row r="308" spans="2:3" x14ac:dyDescent="0.2">
      <c r="B308" s="9">
        <v>12031</v>
      </c>
      <c r="C308" s="9">
        <v>0</v>
      </c>
    </row>
    <row r="309" spans="2:3" x14ac:dyDescent="0.2">
      <c r="B309" s="9">
        <v>12032</v>
      </c>
      <c r="C309" s="9">
        <v>0</v>
      </c>
    </row>
    <row r="310" spans="2:3" x14ac:dyDescent="0.2">
      <c r="B310" s="9">
        <v>12033</v>
      </c>
      <c r="C310" s="9">
        <v>0</v>
      </c>
    </row>
    <row r="311" spans="2:3" x14ac:dyDescent="0.2">
      <c r="B311" s="9">
        <v>12034</v>
      </c>
      <c r="C311" s="9">
        <v>0</v>
      </c>
    </row>
    <row r="312" spans="2:3" x14ac:dyDescent="0.2">
      <c r="B312" s="9">
        <v>13022</v>
      </c>
      <c r="C312" s="9">
        <v>0</v>
      </c>
    </row>
    <row r="313" spans="2:3" x14ac:dyDescent="0.2">
      <c r="B313" s="9">
        <v>13023</v>
      </c>
      <c r="C313" s="9">
        <v>0</v>
      </c>
    </row>
    <row r="314" spans="2:3" x14ac:dyDescent="0.2">
      <c r="B314" s="9">
        <v>13024</v>
      </c>
      <c r="C314" s="9">
        <v>0</v>
      </c>
    </row>
    <row r="315" spans="2:3" x14ac:dyDescent="0.2">
      <c r="B315" s="9">
        <v>13025</v>
      </c>
      <c r="C315" s="9">
        <v>0</v>
      </c>
    </row>
    <row r="316" spans="2:3" x14ac:dyDescent="0.2">
      <c r="B316" s="9">
        <v>13026</v>
      </c>
      <c r="C316" s="9">
        <v>0</v>
      </c>
    </row>
    <row r="317" spans="2:3" x14ac:dyDescent="0.2">
      <c r="B317" s="9">
        <v>13027</v>
      </c>
      <c r="C317" s="9">
        <v>0</v>
      </c>
    </row>
    <row r="318" spans="2:3" x14ac:dyDescent="0.2">
      <c r="B318" s="9">
        <v>13028</v>
      </c>
      <c r="C318" s="9">
        <v>0</v>
      </c>
    </row>
    <row r="319" spans="2:3" x14ac:dyDescent="0.2">
      <c r="B319" s="9">
        <v>13029</v>
      </c>
      <c r="C319" s="9">
        <v>0</v>
      </c>
    </row>
    <row r="320" spans="2:3" x14ac:dyDescent="0.2">
      <c r="B320" s="9">
        <v>13030</v>
      </c>
      <c r="C320" s="9">
        <v>0</v>
      </c>
    </row>
    <row r="321" spans="2:3" x14ac:dyDescent="0.2">
      <c r="B321" s="9">
        <v>13031</v>
      </c>
      <c r="C321" s="9">
        <v>0</v>
      </c>
    </row>
    <row r="322" spans="2:3" x14ac:dyDescent="0.2">
      <c r="B322" s="9">
        <v>13032</v>
      </c>
      <c r="C322" s="9">
        <v>0</v>
      </c>
    </row>
    <row r="323" spans="2:3" x14ac:dyDescent="0.2">
      <c r="B323" s="9">
        <v>13033</v>
      </c>
      <c r="C323" s="9">
        <v>0</v>
      </c>
    </row>
    <row r="324" spans="2:3" x14ac:dyDescent="0.2">
      <c r="B324" s="9">
        <v>13034</v>
      </c>
      <c r="C324" s="9">
        <v>0</v>
      </c>
    </row>
    <row r="325" spans="2:3" x14ac:dyDescent="0.2">
      <c r="B325" s="9">
        <v>13035</v>
      </c>
      <c r="C325" s="9">
        <v>0</v>
      </c>
    </row>
    <row r="326" spans="2:3" x14ac:dyDescent="0.2">
      <c r="B326" s="9">
        <v>14024</v>
      </c>
      <c r="C326" s="9">
        <v>0</v>
      </c>
    </row>
    <row r="327" spans="2:3" x14ac:dyDescent="0.2">
      <c r="B327" s="9">
        <v>14025</v>
      </c>
      <c r="C327" s="9">
        <v>0</v>
      </c>
    </row>
    <row r="328" spans="2:3" x14ac:dyDescent="0.2">
      <c r="B328" s="9">
        <v>14026</v>
      </c>
      <c r="C328" s="9">
        <v>0</v>
      </c>
    </row>
    <row r="329" spans="2:3" x14ac:dyDescent="0.2">
      <c r="B329" s="9">
        <v>14027</v>
      </c>
      <c r="C329" s="9">
        <v>0</v>
      </c>
    </row>
    <row r="330" spans="2:3" x14ac:dyDescent="0.2">
      <c r="B330" s="9">
        <v>14028</v>
      </c>
      <c r="C330" s="9">
        <v>0</v>
      </c>
    </row>
    <row r="331" spans="2:3" x14ac:dyDescent="0.2">
      <c r="B331" s="9">
        <v>14029</v>
      </c>
      <c r="C331" s="9">
        <v>0</v>
      </c>
    </row>
    <row r="332" spans="2:3" x14ac:dyDescent="0.2">
      <c r="B332" s="9">
        <v>14030</v>
      </c>
      <c r="C332" s="9">
        <v>0</v>
      </c>
    </row>
    <row r="333" spans="2:3" x14ac:dyDescent="0.2">
      <c r="B333" s="9">
        <v>14031</v>
      </c>
      <c r="C333" s="9">
        <v>0</v>
      </c>
    </row>
    <row r="334" spans="2:3" x14ac:dyDescent="0.2">
      <c r="B334" s="9">
        <v>14032</v>
      </c>
      <c r="C334" s="9">
        <v>0</v>
      </c>
    </row>
    <row r="335" spans="2:3" x14ac:dyDescent="0.2">
      <c r="B335" s="9">
        <v>14033</v>
      </c>
      <c r="C335" s="9">
        <v>0</v>
      </c>
    </row>
    <row r="336" spans="2:3" x14ac:dyDescent="0.2">
      <c r="B336" s="9">
        <v>14034</v>
      </c>
      <c r="C336" s="9">
        <v>0</v>
      </c>
    </row>
    <row r="337" spans="2:3" x14ac:dyDescent="0.2">
      <c r="B337" s="9">
        <v>14035</v>
      </c>
      <c r="C337" s="9">
        <v>0</v>
      </c>
    </row>
    <row r="338" spans="2:3" x14ac:dyDescent="0.2">
      <c r="B338" s="9">
        <v>14036</v>
      </c>
      <c r="C338" s="9">
        <v>0</v>
      </c>
    </row>
    <row r="339" spans="2:3" x14ac:dyDescent="0.2">
      <c r="B339" s="9">
        <v>14037</v>
      </c>
      <c r="C339" s="9">
        <v>0</v>
      </c>
    </row>
    <row r="340" spans="2:3" x14ac:dyDescent="0.2">
      <c r="B340" s="9">
        <v>14038</v>
      </c>
      <c r="C340" s="9">
        <v>0</v>
      </c>
    </row>
    <row r="341" spans="2:3" x14ac:dyDescent="0.2">
      <c r="B341" s="9">
        <v>14039</v>
      </c>
      <c r="C341" s="9">
        <v>0</v>
      </c>
    </row>
    <row r="342" spans="2:3" x14ac:dyDescent="0.2">
      <c r="B342" s="9">
        <v>15026</v>
      </c>
      <c r="C342" s="9">
        <v>0</v>
      </c>
    </row>
    <row r="343" spans="2:3" x14ac:dyDescent="0.2">
      <c r="B343" s="9">
        <v>15027</v>
      </c>
      <c r="C343" s="9">
        <v>0</v>
      </c>
    </row>
    <row r="344" spans="2:3" x14ac:dyDescent="0.2">
      <c r="B344" s="9">
        <v>15028</v>
      </c>
      <c r="C344" s="9">
        <v>0</v>
      </c>
    </row>
    <row r="345" spans="2:3" x14ac:dyDescent="0.2">
      <c r="B345" s="9">
        <v>15029</v>
      </c>
      <c r="C345" s="9">
        <v>0</v>
      </c>
    </row>
    <row r="346" spans="2:3" x14ac:dyDescent="0.2">
      <c r="B346" s="9">
        <v>15030</v>
      </c>
      <c r="C346" s="9">
        <v>0</v>
      </c>
    </row>
    <row r="347" spans="2:3" x14ac:dyDescent="0.2">
      <c r="B347" s="9">
        <v>15031</v>
      </c>
      <c r="C347" s="9">
        <v>0</v>
      </c>
    </row>
    <row r="348" spans="2:3" x14ac:dyDescent="0.2">
      <c r="B348" s="9">
        <v>15032</v>
      </c>
      <c r="C348" s="9">
        <v>0</v>
      </c>
    </row>
    <row r="349" spans="2:3" x14ac:dyDescent="0.2">
      <c r="B349" s="9">
        <v>15033</v>
      </c>
      <c r="C349" s="9">
        <v>0</v>
      </c>
    </row>
    <row r="350" spans="2:3" x14ac:dyDescent="0.2">
      <c r="B350" s="9">
        <v>15034</v>
      </c>
      <c r="C350" s="9">
        <v>0</v>
      </c>
    </row>
    <row r="351" spans="2:3" x14ac:dyDescent="0.2">
      <c r="B351" s="9">
        <v>15035</v>
      </c>
      <c r="C351" s="9">
        <v>0</v>
      </c>
    </row>
    <row r="352" spans="2:3" x14ac:dyDescent="0.2">
      <c r="B352" s="9">
        <v>15036</v>
      </c>
      <c r="C352" s="9">
        <v>0</v>
      </c>
    </row>
    <row r="353" spans="2:3" x14ac:dyDescent="0.2">
      <c r="B353" s="9">
        <v>15037</v>
      </c>
      <c r="C353" s="9">
        <v>0</v>
      </c>
    </row>
    <row r="354" spans="2:3" x14ac:dyDescent="0.2">
      <c r="B354" s="9">
        <v>15038</v>
      </c>
      <c r="C354" s="9">
        <v>0</v>
      </c>
    </row>
    <row r="355" spans="2:3" x14ac:dyDescent="0.2">
      <c r="B355" s="9">
        <v>15039</v>
      </c>
      <c r="C355" s="9">
        <v>0</v>
      </c>
    </row>
    <row r="356" spans="2:3" x14ac:dyDescent="0.2">
      <c r="B356" s="9">
        <v>15040</v>
      </c>
      <c r="C356" s="9">
        <v>0</v>
      </c>
    </row>
    <row r="357" spans="2:3" x14ac:dyDescent="0.2">
      <c r="B357" s="9">
        <v>15041</v>
      </c>
      <c r="C357" s="9">
        <v>0</v>
      </c>
    </row>
    <row r="358" spans="2:3" x14ac:dyDescent="0.2">
      <c r="B358" s="9">
        <v>15042</v>
      </c>
      <c r="C358" s="9">
        <v>0</v>
      </c>
    </row>
    <row r="359" spans="2:3" x14ac:dyDescent="0.2">
      <c r="B359" t="s">
        <v>3172</v>
      </c>
      <c r="C359" s="9">
        <v>5.596E-5</v>
      </c>
    </row>
    <row r="360" spans="2:3" x14ac:dyDescent="0.2">
      <c r="B360" t="s">
        <v>3175</v>
      </c>
    </row>
    <row r="361" spans="2:3" x14ac:dyDescent="0.2">
      <c r="B361" t="s">
        <v>3174</v>
      </c>
    </row>
    <row r="362" spans="2:3" x14ac:dyDescent="0.2">
      <c r="B362" s="9">
        <v>1001</v>
      </c>
      <c r="C362" s="9">
        <v>0</v>
      </c>
    </row>
    <row r="363" spans="2:3" x14ac:dyDescent="0.2">
      <c r="B363" s="9">
        <v>1002</v>
      </c>
      <c r="C363" s="9">
        <v>4.0000000000000001E-8</v>
      </c>
    </row>
    <row r="364" spans="2:3" x14ac:dyDescent="0.2">
      <c r="B364" s="9">
        <v>1003</v>
      </c>
      <c r="C364" s="9">
        <v>0</v>
      </c>
    </row>
    <row r="365" spans="2:3" x14ac:dyDescent="0.2">
      <c r="B365" s="9">
        <v>2003</v>
      </c>
      <c r="C365" s="9">
        <v>0</v>
      </c>
    </row>
    <row r="366" spans="2:3" x14ac:dyDescent="0.2">
      <c r="B366" s="9">
        <v>2004</v>
      </c>
      <c r="C366" s="9">
        <v>4.9999999999999998E-7</v>
      </c>
    </row>
    <row r="367" spans="2:3" x14ac:dyDescent="0.2">
      <c r="B367" s="9">
        <v>2005</v>
      </c>
      <c r="C367" s="9">
        <v>0</v>
      </c>
    </row>
    <row r="368" spans="2:3" x14ac:dyDescent="0.2">
      <c r="B368" s="9">
        <v>2006</v>
      </c>
      <c r="C368" s="9">
        <v>0</v>
      </c>
    </row>
    <row r="369" spans="2:3" x14ac:dyDescent="0.2">
      <c r="B369" s="9">
        <v>2007</v>
      </c>
      <c r="C369" s="9">
        <v>0</v>
      </c>
    </row>
    <row r="370" spans="2:3" x14ac:dyDescent="0.2">
      <c r="B370" s="9">
        <v>2008</v>
      </c>
      <c r="C370" s="9">
        <v>0</v>
      </c>
    </row>
    <row r="371" spans="2:3" x14ac:dyDescent="0.2">
      <c r="B371" s="9">
        <v>3005</v>
      </c>
      <c r="C371" s="9">
        <v>0</v>
      </c>
    </row>
    <row r="372" spans="2:3" x14ac:dyDescent="0.2">
      <c r="B372" s="9">
        <v>3006</v>
      </c>
      <c r="C372" s="9">
        <v>0</v>
      </c>
    </row>
    <row r="373" spans="2:3" x14ac:dyDescent="0.2">
      <c r="B373" s="9">
        <v>3007</v>
      </c>
      <c r="C373" s="9">
        <v>0</v>
      </c>
    </row>
    <row r="374" spans="2:3" x14ac:dyDescent="0.2">
      <c r="B374" s="9">
        <v>3008</v>
      </c>
      <c r="C374" s="9">
        <v>0</v>
      </c>
    </row>
    <row r="375" spans="2:3" x14ac:dyDescent="0.2">
      <c r="B375" s="9">
        <v>3009</v>
      </c>
      <c r="C375" s="9">
        <v>0</v>
      </c>
    </row>
    <row r="376" spans="2:3" x14ac:dyDescent="0.2">
      <c r="B376" s="9">
        <v>3010</v>
      </c>
      <c r="C376" s="9">
        <v>0</v>
      </c>
    </row>
    <row r="377" spans="2:3" x14ac:dyDescent="0.2">
      <c r="B377" s="9">
        <v>3011</v>
      </c>
      <c r="C377" s="9">
        <v>0</v>
      </c>
    </row>
    <row r="378" spans="2:3" x14ac:dyDescent="0.2">
      <c r="B378" s="9">
        <v>4006</v>
      </c>
      <c r="C378" s="9">
        <v>0</v>
      </c>
    </row>
    <row r="379" spans="2:3" x14ac:dyDescent="0.2">
      <c r="B379" s="9">
        <v>4007</v>
      </c>
      <c r="C379" s="9">
        <v>0</v>
      </c>
    </row>
    <row r="380" spans="2:3" x14ac:dyDescent="0.2">
      <c r="B380" s="9">
        <v>4008</v>
      </c>
      <c r="C380" s="9">
        <v>0</v>
      </c>
    </row>
    <row r="381" spans="2:3" x14ac:dyDescent="0.2">
      <c r="B381" s="9">
        <v>4009</v>
      </c>
      <c r="C381" s="9">
        <v>4.9999999999999998E-8</v>
      </c>
    </row>
    <row r="382" spans="2:3" x14ac:dyDescent="0.2">
      <c r="B382" s="9">
        <v>4010</v>
      </c>
      <c r="C382" s="9">
        <v>0</v>
      </c>
    </row>
    <row r="383" spans="2:3" x14ac:dyDescent="0.2">
      <c r="B383" s="9">
        <v>4011</v>
      </c>
      <c r="C383" s="9">
        <v>0</v>
      </c>
    </row>
    <row r="384" spans="2:3" x14ac:dyDescent="0.2">
      <c r="B384" s="9">
        <v>4012</v>
      </c>
      <c r="C384" s="9">
        <v>0</v>
      </c>
    </row>
    <row r="385" spans="2:3" x14ac:dyDescent="0.2">
      <c r="B385" s="9">
        <v>4013</v>
      </c>
      <c r="C385" s="9">
        <v>0</v>
      </c>
    </row>
    <row r="386" spans="2:3" x14ac:dyDescent="0.2">
      <c r="B386" s="9">
        <v>4014</v>
      </c>
      <c r="C386" s="9">
        <v>0</v>
      </c>
    </row>
    <row r="387" spans="2:3" x14ac:dyDescent="0.2">
      <c r="B387" s="9">
        <v>5008</v>
      </c>
      <c r="C387" s="9">
        <v>0</v>
      </c>
    </row>
    <row r="388" spans="2:3" x14ac:dyDescent="0.2">
      <c r="B388" s="9">
        <v>5009</v>
      </c>
      <c r="C388" s="9">
        <v>0</v>
      </c>
    </row>
    <row r="389" spans="2:3" x14ac:dyDescent="0.2">
      <c r="B389" s="9">
        <v>5010</v>
      </c>
      <c r="C389" s="9">
        <v>0</v>
      </c>
    </row>
    <row r="390" spans="2:3" x14ac:dyDescent="0.2">
      <c r="B390" s="9">
        <v>5011</v>
      </c>
      <c r="C390" s="9">
        <v>0</v>
      </c>
    </row>
    <row r="391" spans="2:3" x14ac:dyDescent="0.2">
      <c r="B391" s="9">
        <v>5012</v>
      </c>
      <c r="C391" s="9">
        <v>0</v>
      </c>
    </row>
    <row r="392" spans="2:3" x14ac:dyDescent="0.2">
      <c r="B392" s="9">
        <v>5013</v>
      </c>
      <c r="C392" s="9">
        <v>0</v>
      </c>
    </row>
    <row r="393" spans="2:3" x14ac:dyDescent="0.2">
      <c r="B393" s="9">
        <v>5014</v>
      </c>
      <c r="C393" s="9">
        <v>0</v>
      </c>
    </row>
    <row r="394" spans="2:3" x14ac:dyDescent="0.2">
      <c r="B394" s="9">
        <v>5015</v>
      </c>
      <c r="C394" s="9">
        <v>0</v>
      </c>
    </row>
    <row r="395" spans="2:3" x14ac:dyDescent="0.2">
      <c r="B395" s="9">
        <v>5016</v>
      </c>
      <c r="C395" s="9">
        <v>0</v>
      </c>
    </row>
    <row r="396" spans="2:3" x14ac:dyDescent="0.2">
      <c r="B396" s="9">
        <v>5017</v>
      </c>
      <c r="C396" s="9">
        <v>0</v>
      </c>
    </row>
    <row r="397" spans="2:3" x14ac:dyDescent="0.2">
      <c r="B397" s="9">
        <v>6008</v>
      </c>
      <c r="C397" s="9">
        <v>0</v>
      </c>
    </row>
    <row r="398" spans="2:3" x14ac:dyDescent="0.2">
      <c r="B398" s="9">
        <v>6009</v>
      </c>
      <c r="C398" s="9">
        <v>0</v>
      </c>
    </row>
    <row r="399" spans="2:3" x14ac:dyDescent="0.2">
      <c r="B399" s="9">
        <v>6010</v>
      </c>
      <c r="C399" s="9">
        <v>0</v>
      </c>
    </row>
    <row r="400" spans="2:3" x14ac:dyDescent="0.2">
      <c r="B400" s="9">
        <v>6011</v>
      </c>
      <c r="C400" s="9">
        <v>0</v>
      </c>
    </row>
    <row r="401" spans="2:3" x14ac:dyDescent="0.2">
      <c r="B401" s="9">
        <v>6012</v>
      </c>
      <c r="C401" s="9">
        <v>8.5199999999999997E-6</v>
      </c>
    </row>
    <row r="402" spans="2:3" x14ac:dyDescent="0.2">
      <c r="B402" s="9">
        <v>6013</v>
      </c>
      <c r="C402" s="9">
        <v>1.5279999999999999E-5</v>
      </c>
    </row>
    <row r="403" spans="2:3" x14ac:dyDescent="0.2">
      <c r="B403" s="9">
        <v>6014</v>
      </c>
      <c r="C403" s="9">
        <v>0</v>
      </c>
    </row>
    <row r="404" spans="2:3" x14ac:dyDescent="0.2">
      <c r="B404" s="9">
        <v>6015</v>
      </c>
      <c r="C404" s="9">
        <v>0</v>
      </c>
    </row>
    <row r="405" spans="2:3" x14ac:dyDescent="0.2">
      <c r="B405" s="9">
        <v>6016</v>
      </c>
      <c r="C405" s="9">
        <v>0</v>
      </c>
    </row>
    <row r="406" spans="2:3" x14ac:dyDescent="0.2">
      <c r="B406" s="9">
        <v>6017</v>
      </c>
      <c r="C406" s="9">
        <v>0</v>
      </c>
    </row>
    <row r="407" spans="2:3" x14ac:dyDescent="0.2">
      <c r="B407" s="9">
        <v>6018</v>
      </c>
      <c r="C407" s="9">
        <v>0</v>
      </c>
    </row>
    <row r="408" spans="2:3" x14ac:dyDescent="0.2">
      <c r="B408" s="9">
        <v>6019</v>
      </c>
      <c r="C408" s="9">
        <v>0</v>
      </c>
    </row>
    <row r="409" spans="2:3" x14ac:dyDescent="0.2">
      <c r="B409" s="9">
        <v>6020</v>
      </c>
      <c r="C409" s="9">
        <v>0</v>
      </c>
    </row>
    <row r="410" spans="2:3" x14ac:dyDescent="0.2">
      <c r="B410" s="9">
        <v>7011</v>
      </c>
      <c r="C410" s="9">
        <v>0</v>
      </c>
    </row>
    <row r="411" spans="2:3" x14ac:dyDescent="0.2">
      <c r="B411" s="9">
        <v>7012</v>
      </c>
      <c r="C411" s="9">
        <v>0</v>
      </c>
    </row>
    <row r="412" spans="2:3" x14ac:dyDescent="0.2">
      <c r="B412" s="9">
        <v>7013</v>
      </c>
      <c r="C412" s="9">
        <v>0</v>
      </c>
    </row>
    <row r="413" spans="2:3" x14ac:dyDescent="0.2">
      <c r="B413" s="9">
        <v>7014</v>
      </c>
      <c r="C413" s="9">
        <v>3.3999999999999997E-7</v>
      </c>
    </row>
    <row r="414" spans="2:3" x14ac:dyDescent="0.2">
      <c r="B414" s="9">
        <v>7015</v>
      </c>
      <c r="C414" s="9">
        <v>4.3499999999999999E-6</v>
      </c>
    </row>
    <row r="415" spans="2:3" x14ac:dyDescent="0.2">
      <c r="B415" s="9">
        <v>7016</v>
      </c>
      <c r="C415" s="9">
        <v>1.2699999999999999E-6</v>
      </c>
    </row>
    <row r="416" spans="2:3" x14ac:dyDescent="0.2">
      <c r="B416" s="9">
        <v>7017</v>
      </c>
      <c r="C416" s="9">
        <v>0</v>
      </c>
    </row>
    <row r="417" spans="2:3" x14ac:dyDescent="0.2">
      <c r="B417" s="9">
        <v>7018</v>
      </c>
      <c r="C417" s="9">
        <v>0</v>
      </c>
    </row>
    <row r="418" spans="2:3" x14ac:dyDescent="0.2">
      <c r="B418" s="9">
        <v>7019</v>
      </c>
      <c r="C418" s="9">
        <v>0</v>
      </c>
    </row>
    <row r="419" spans="2:3" x14ac:dyDescent="0.2">
      <c r="B419" s="9">
        <v>7020</v>
      </c>
      <c r="C419" s="9">
        <v>0</v>
      </c>
    </row>
    <row r="420" spans="2:3" x14ac:dyDescent="0.2">
      <c r="B420" s="9">
        <v>7021</v>
      </c>
      <c r="C420" s="9">
        <v>0</v>
      </c>
    </row>
    <row r="421" spans="2:3" x14ac:dyDescent="0.2">
      <c r="B421" s="9">
        <v>7022</v>
      </c>
      <c r="C421" s="9">
        <v>0</v>
      </c>
    </row>
    <row r="422" spans="2:3" x14ac:dyDescent="0.2">
      <c r="B422" s="9">
        <v>7023</v>
      </c>
      <c r="C422" s="9">
        <v>0</v>
      </c>
    </row>
    <row r="423" spans="2:3" x14ac:dyDescent="0.2">
      <c r="B423" s="9">
        <v>8013</v>
      </c>
      <c r="C423" s="9">
        <v>0</v>
      </c>
    </row>
    <row r="424" spans="2:3" x14ac:dyDescent="0.2">
      <c r="B424" s="9">
        <v>8014</v>
      </c>
      <c r="C424" s="9">
        <v>0</v>
      </c>
    </row>
    <row r="425" spans="2:3" x14ac:dyDescent="0.2">
      <c r="B425" s="9">
        <v>8015</v>
      </c>
      <c r="C425" s="9">
        <v>2.3999999999999998E-7</v>
      </c>
    </row>
    <row r="426" spans="2:3" x14ac:dyDescent="0.2">
      <c r="B426" s="9">
        <v>8016</v>
      </c>
      <c r="C426" s="9">
        <v>0</v>
      </c>
    </row>
    <row r="427" spans="2:3" x14ac:dyDescent="0.2">
      <c r="B427" s="9">
        <v>8017</v>
      </c>
      <c r="C427" s="9">
        <v>1.1000000000000001E-7</v>
      </c>
    </row>
    <row r="428" spans="2:3" x14ac:dyDescent="0.2">
      <c r="B428" s="9">
        <v>8018</v>
      </c>
      <c r="C428" s="9">
        <v>0</v>
      </c>
    </row>
    <row r="429" spans="2:3" x14ac:dyDescent="0.2">
      <c r="B429" s="9">
        <v>8019</v>
      </c>
      <c r="C429" s="9">
        <v>0</v>
      </c>
    </row>
    <row r="430" spans="2:3" x14ac:dyDescent="0.2">
      <c r="B430" s="9">
        <v>8020</v>
      </c>
      <c r="C430" s="9">
        <v>0</v>
      </c>
    </row>
    <row r="431" spans="2:3" x14ac:dyDescent="0.2">
      <c r="B431" s="9">
        <v>8021</v>
      </c>
      <c r="C431" s="9">
        <v>0</v>
      </c>
    </row>
    <row r="432" spans="2:3" x14ac:dyDescent="0.2">
      <c r="B432" s="9">
        <v>8022</v>
      </c>
      <c r="C432" s="9">
        <v>0</v>
      </c>
    </row>
    <row r="433" spans="2:3" x14ac:dyDescent="0.2">
      <c r="B433" s="9">
        <v>8023</v>
      </c>
      <c r="C433" s="9">
        <v>0</v>
      </c>
    </row>
    <row r="434" spans="2:3" x14ac:dyDescent="0.2">
      <c r="B434" s="9">
        <v>8024</v>
      </c>
      <c r="C434" s="9">
        <v>0</v>
      </c>
    </row>
    <row r="435" spans="2:3" x14ac:dyDescent="0.2">
      <c r="B435" s="9">
        <v>9015</v>
      </c>
      <c r="C435" s="9">
        <v>0</v>
      </c>
    </row>
    <row r="436" spans="2:3" x14ac:dyDescent="0.2">
      <c r="B436" s="9">
        <v>9016</v>
      </c>
      <c r="C436" s="9">
        <v>0</v>
      </c>
    </row>
    <row r="437" spans="2:3" x14ac:dyDescent="0.2">
      <c r="B437" s="9">
        <v>9017</v>
      </c>
      <c r="C437" s="9">
        <v>0</v>
      </c>
    </row>
    <row r="438" spans="2:3" x14ac:dyDescent="0.2">
      <c r="B438" s="9">
        <v>9018</v>
      </c>
      <c r="C438" s="9">
        <v>0</v>
      </c>
    </row>
    <row r="439" spans="2:3" x14ac:dyDescent="0.2">
      <c r="B439" s="9">
        <v>9019</v>
      </c>
      <c r="C439" s="9">
        <v>0</v>
      </c>
    </row>
    <row r="440" spans="2:3" x14ac:dyDescent="0.2">
      <c r="B440" s="9">
        <v>9020</v>
      </c>
      <c r="C440" s="9">
        <v>0</v>
      </c>
    </row>
    <row r="441" spans="2:3" x14ac:dyDescent="0.2">
      <c r="B441" s="9">
        <v>9021</v>
      </c>
      <c r="C441" s="9">
        <v>0</v>
      </c>
    </row>
    <row r="442" spans="2:3" x14ac:dyDescent="0.2">
      <c r="B442" s="9">
        <v>9022</v>
      </c>
      <c r="C442" s="9">
        <v>0</v>
      </c>
    </row>
    <row r="443" spans="2:3" x14ac:dyDescent="0.2">
      <c r="B443" s="9">
        <v>9023</v>
      </c>
      <c r="C443" s="9">
        <v>0</v>
      </c>
    </row>
    <row r="444" spans="2:3" x14ac:dyDescent="0.2">
      <c r="B444" s="9">
        <v>9024</v>
      </c>
      <c r="C444" s="9">
        <v>0</v>
      </c>
    </row>
    <row r="445" spans="2:3" x14ac:dyDescent="0.2">
      <c r="B445" s="9">
        <v>9025</v>
      </c>
      <c r="C445" s="9">
        <v>0</v>
      </c>
    </row>
    <row r="446" spans="2:3" x14ac:dyDescent="0.2">
      <c r="B446" s="9">
        <v>9026</v>
      </c>
      <c r="C446" s="9">
        <v>0</v>
      </c>
    </row>
    <row r="447" spans="2:3" x14ac:dyDescent="0.2">
      <c r="B447" s="9">
        <v>9027</v>
      </c>
      <c r="C447" s="9">
        <v>0</v>
      </c>
    </row>
    <row r="448" spans="2:3" x14ac:dyDescent="0.2">
      <c r="B448" s="9">
        <v>10017</v>
      </c>
      <c r="C448" s="9">
        <v>0</v>
      </c>
    </row>
    <row r="449" spans="2:3" x14ac:dyDescent="0.2">
      <c r="B449" s="9">
        <v>10018</v>
      </c>
      <c r="C449" s="9">
        <v>0</v>
      </c>
    </row>
    <row r="450" spans="2:3" x14ac:dyDescent="0.2">
      <c r="B450" s="9">
        <v>10019</v>
      </c>
      <c r="C450" s="9">
        <v>0</v>
      </c>
    </row>
    <row r="451" spans="2:3" x14ac:dyDescent="0.2">
      <c r="B451" s="9">
        <v>10020</v>
      </c>
      <c r="C451" s="9">
        <v>0</v>
      </c>
    </row>
    <row r="452" spans="2:3" x14ac:dyDescent="0.2">
      <c r="B452" s="9">
        <v>10021</v>
      </c>
      <c r="C452" s="9">
        <v>0</v>
      </c>
    </row>
    <row r="453" spans="2:3" x14ac:dyDescent="0.2">
      <c r="B453" s="9">
        <v>10022</v>
      </c>
      <c r="C453" s="9">
        <v>0</v>
      </c>
    </row>
    <row r="454" spans="2:3" x14ac:dyDescent="0.2">
      <c r="B454" s="9">
        <v>10023</v>
      </c>
      <c r="C454" s="9">
        <v>0</v>
      </c>
    </row>
    <row r="455" spans="2:3" x14ac:dyDescent="0.2">
      <c r="B455" s="9">
        <v>10024</v>
      </c>
      <c r="C455" s="9">
        <v>0</v>
      </c>
    </row>
    <row r="456" spans="2:3" x14ac:dyDescent="0.2">
      <c r="B456" s="9">
        <v>10025</v>
      </c>
      <c r="C456" s="9">
        <v>0</v>
      </c>
    </row>
    <row r="457" spans="2:3" x14ac:dyDescent="0.2">
      <c r="B457" s="9">
        <v>10026</v>
      </c>
      <c r="C457" s="9">
        <v>0</v>
      </c>
    </row>
    <row r="458" spans="2:3" x14ac:dyDescent="0.2">
      <c r="B458" s="9">
        <v>10027</v>
      </c>
      <c r="C458" s="9">
        <v>0</v>
      </c>
    </row>
    <row r="459" spans="2:3" x14ac:dyDescent="0.2">
      <c r="B459" s="9">
        <v>10028</v>
      </c>
      <c r="C459" s="9">
        <v>0</v>
      </c>
    </row>
    <row r="460" spans="2:3" x14ac:dyDescent="0.2">
      <c r="B460" s="9">
        <v>11019</v>
      </c>
      <c r="C460" s="9">
        <v>0</v>
      </c>
    </row>
    <row r="461" spans="2:3" x14ac:dyDescent="0.2">
      <c r="B461" s="9">
        <v>11020</v>
      </c>
      <c r="C461" s="9">
        <v>0</v>
      </c>
    </row>
    <row r="462" spans="2:3" x14ac:dyDescent="0.2">
      <c r="B462" s="9">
        <v>11021</v>
      </c>
      <c r="C462" s="9">
        <v>0</v>
      </c>
    </row>
    <row r="463" spans="2:3" x14ac:dyDescent="0.2">
      <c r="B463" s="9">
        <v>11022</v>
      </c>
      <c r="C463" s="9">
        <v>0</v>
      </c>
    </row>
    <row r="464" spans="2:3" x14ac:dyDescent="0.2">
      <c r="B464" s="9">
        <v>11023</v>
      </c>
      <c r="C464" s="9">
        <v>0</v>
      </c>
    </row>
    <row r="465" spans="2:3" x14ac:dyDescent="0.2">
      <c r="B465" s="9">
        <v>11024</v>
      </c>
      <c r="C465" s="9">
        <v>0</v>
      </c>
    </row>
    <row r="466" spans="2:3" x14ac:dyDescent="0.2">
      <c r="B466" s="9">
        <v>11025</v>
      </c>
      <c r="C466" s="9">
        <v>0</v>
      </c>
    </row>
    <row r="467" spans="2:3" x14ac:dyDescent="0.2">
      <c r="B467" s="9">
        <v>11026</v>
      </c>
      <c r="C467" s="9">
        <v>0</v>
      </c>
    </row>
    <row r="468" spans="2:3" x14ac:dyDescent="0.2">
      <c r="B468" s="9">
        <v>11027</v>
      </c>
      <c r="C468" s="9">
        <v>0</v>
      </c>
    </row>
    <row r="469" spans="2:3" x14ac:dyDescent="0.2">
      <c r="B469" s="9">
        <v>11028</v>
      </c>
      <c r="C469" s="9">
        <v>0</v>
      </c>
    </row>
    <row r="470" spans="2:3" x14ac:dyDescent="0.2">
      <c r="B470" s="9">
        <v>11029</v>
      </c>
      <c r="C470" s="9">
        <v>0</v>
      </c>
    </row>
    <row r="471" spans="2:3" x14ac:dyDescent="0.2">
      <c r="B471" s="9">
        <v>11030</v>
      </c>
      <c r="C471" s="9">
        <v>0</v>
      </c>
    </row>
    <row r="472" spans="2:3" x14ac:dyDescent="0.2">
      <c r="B472" s="9">
        <v>11031</v>
      </c>
      <c r="C472" s="9">
        <v>0</v>
      </c>
    </row>
    <row r="473" spans="2:3" x14ac:dyDescent="0.2">
      <c r="B473" s="9">
        <v>11032</v>
      </c>
      <c r="C473" s="9">
        <v>0</v>
      </c>
    </row>
    <row r="474" spans="2:3" x14ac:dyDescent="0.2">
      <c r="B474" s="9">
        <v>11033</v>
      </c>
      <c r="C474" s="9">
        <v>0</v>
      </c>
    </row>
    <row r="475" spans="2:3" x14ac:dyDescent="0.2">
      <c r="B475" s="9">
        <v>11034</v>
      </c>
      <c r="C475" s="9">
        <v>0</v>
      </c>
    </row>
    <row r="476" spans="2:3" x14ac:dyDescent="0.2">
      <c r="B476" s="9">
        <v>11035</v>
      </c>
      <c r="C476" s="9">
        <v>0</v>
      </c>
    </row>
    <row r="477" spans="2:3" x14ac:dyDescent="0.2">
      <c r="B477" s="9">
        <v>12020</v>
      </c>
      <c r="C477" s="9">
        <v>0</v>
      </c>
    </row>
    <row r="478" spans="2:3" x14ac:dyDescent="0.2">
      <c r="B478" s="9">
        <v>12021</v>
      </c>
      <c r="C478" s="9">
        <v>0</v>
      </c>
    </row>
    <row r="479" spans="2:3" x14ac:dyDescent="0.2">
      <c r="B479" s="9">
        <v>12022</v>
      </c>
      <c r="C479" s="9">
        <v>0</v>
      </c>
    </row>
    <row r="480" spans="2:3" x14ac:dyDescent="0.2">
      <c r="B480" s="9">
        <v>12023</v>
      </c>
      <c r="C480" s="9">
        <v>0</v>
      </c>
    </row>
    <row r="481" spans="2:3" x14ac:dyDescent="0.2">
      <c r="B481" s="9">
        <v>12024</v>
      </c>
      <c r="C481" s="9">
        <v>0</v>
      </c>
    </row>
    <row r="482" spans="2:3" x14ac:dyDescent="0.2">
      <c r="B482" s="9">
        <v>12025</v>
      </c>
      <c r="C482" s="9">
        <v>0</v>
      </c>
    </row>
    <row r="483" spans="2:3" x14ac:dyDescent="0.2">
      <c r="B483" s="9">
        <v>12026</v>
      </c>
      <c r="C483" s="9">
        <v>0</v>
      </c>
    </row>
    <row r="484" spans="2:3" x14ac:dyDescent="0.2">
      <c r="B484" s="9">
        <v>12027</v>
      </c>
      <c r="C484" s="9">
        <v>0</v>
      </c>
    </row>
    <row r="485" spans="2:3" x14ac:dyDescent="0.2">
      <c r="B485" s="9">
        <v>12028</v>
      </c>
      <c r="C485" s="9">
        <v>0</v>
      </c>
    </row>
    <row r="486" spans="2:3" x14ac:dyDescent="0.2">
      <c r="B486" s="9">
        <v>12029</v>
      </c>
      <c r="C486" s="9">
        <v>0</v>
      </c>
    </row>
    <row r="487" spans="2:3" x14ac:dyDescent="0.2">
      <c r="B487" s="9">
        <v>12030</v>
      </c>
      <c r="C487" s="9">
        <v>0</v>
      </c>
    </row>
    <row r="488" spans="2:3" x14ac:dyDescent="0.2">
      <c r="B488" s="9">
        <v>12031</v>
      </c>
      <c r="C488" s="9">
        <v>0</v>
      </c>
    </row>
    <row r="489" spans="2:3" x14ac:dyDescent="0.2">
      <c r="B489" s="9">
        <v>12032</v>
      </c>
      <c r="C489" s="9">
        <v>0</v>
      </c>
    </row>
    <row r="490" spans="2:3" x14ac:dyDescent="0.2">
      <c r="B490" s="9">
        <v>12033</v>
      </c>
      <c r="C490" s="9">
        <v>0</v>
      </c>
    </row>
    <row r="491" spans="2:3" x14ac:dyDescent="0.2">
      <c r="B491" s="9">
        <v>12034</v>
      </c>
      <c r="C491" s="9">
        <v>0</v>
      </c>
    </row>
    <row r="492" spans="2:3" x14ac:dyDescent="0.2">
      <c r="B492" s="9">
        <v>13022</v>
      </c>
      <c r="C492" s="9">
        <v>0</v>
      </c>
    </row>
    <row r="493" spans="2:3" x14ac:dyDescent="0.2">
      <c r="B493" s="9">
        <v>13023</v>
      </c>
      <c r="C493" s="9">
        <v>0</v>
      </c>
    </row>
    <row r="494" spans="2:3" x14ac:dyDescent="0.2">
      <c r="B494" s="9">
        <v>13024</v>
      </c>
      <c r="C494" s="9">
        <v>0</v>
      </c>
    </row>
    <row r="495" spans="2:3" x14ac:dyDescent="0.2">
      <c r="B495" s="9">
        <v>13025</v>
      </c>
      <c r="C495" s="9">
        <v>0</v>
      </c>
    </row>
    <row r="496" spans="2:3" x14ac:dyDescent="0.2">
      <c r="B496" s="9">
        <v>13026</v>
      </c>
      <c r="C496" s="9">
        <v>0</v>
      </c>
    </row>
    <row r="497" spans="2:3" x14ac:dyDescent="0.2">
      <c r="B497" s="9">
        <v>13027</v>
      </c>
      <c r="C497" s="9">
        <v>0</v>
      </c>
    </row>
    <row r="498" spans="2:3" x14ac:dyDescent="0.2">
      <c r="B498" s="9">
        <v>13028</v>
      </c>
      <c r="C498" s="9">
        <v>0</v>
      </c>
    </row>
    <row r="499" spans="2:3" x14ac:dyDescent="0.2">
      <c r="B499" s="9">
        <v>13029</v>
      </c>
      <c r="C499" s="9">
        <v>0</v>
      </c>
    </row>
    <row r="500" spans="2:3" x14ac:dyDescent="0.2">
      <c r="B500" s="9">
        <v>13030</v>
      </c>
      <c r="C500" s="9">
        <v>0</v>
      </c>
    </row>
    <row r="501" spans="2:3" x14ac:dyDescent="0.2">
      <c r="B501" s="9">
        <v>13031</v>
      </c>
      <c r="C501" s="9">
        <v>0</v>
      </c>
    </row>
    <row r="502" spans="2:3" x14ac:dyDescent="0.2">
      <c r="B502" s="9">
        <v>13032</v>
      </c>
      <c r="C502" s="9">
        <v>0</v>
      </c>
    </row>
    <row r="503" spans="2:3" x14ac:dyDescent="0.2">
      <c r="B503" s="9">
        <v>13033</v>
      </c>
      <c r="C503" s="9">
        <v>0</v>
      </c>
    </row>
    <row r="504" spans="2:3" x14ac:dyDescent="0.2">
      <c r="B504" s="9">
        <v>13034</v>
      </c>
      <c r="C504" s="9">
        <v>0</v>
      </c>
    </row>
    <row r="505" spans="2:3" x14ac:dyDescent="0.2">
      <c r="B505" s="9">
        <v>13035</v>
      </c>
      <c r="C505" s="9">
        <v>0</v>
      </c>
    </row>
    <row r="506" spans="2:3" x14ac:dyDescent="0.2">
      <c r="B506" s="9">
        <v>14024</v>
      </c>
      <c r="C506" s="9">
        <v>0</v>
      </c>
    </row>
    <row r="507" spans="2:3" x14ac:dyDescent="0.2">
      <c r="B507" s="9">
        <v>14025</v>
      </c>
      <c r="C507" s="9">
        <v>0</v>
      </c>
    </row>
    <row r="508" spans="2:3" x14ac:dyDescent="0.2">
      <c r="B508" s="9">
        <v>14026</v>
      </c>
      <c r="C508" s="9">
        <v>0</v>
      </c>
    </row>
    <row r="509" spans="2:3" x14ac:dyDescent="0.2">
      <c r="B509" s="9">
        <v>14027</v>
      </c>
      <c r="C509" s="9">
        <v>0</v>
      </c>
    </row>
    <row r="510" spans="2:3" x14ac:dyDescent="0.2">
      <c r="B510" s="9">
        <v>14028</v>
      </c>
      <c r="C510" s="9">
        <v>0</v>
      </c>
    </row>
    <row r="511" spans="2:3" x14ac:dyDescent="0.2">
      <c r="B511" s="9">
        <v>14029</v>
      </c>
      <c r="C511" s="9">
        <v>0</v>
      </c>
    </row>
    <row r="512" spans="2:3" x14ac:dyDescent="0.2">
      <c r="B512" s="9">
        <v>14030</v>
      </c>
      <c r="C512" s="9">
        <v>0</v>
      </c>
    </row>
    <row r="513" spans="2:3" x14ac:dyDescent="0.2">
      <c r="B513" s="9">
        <v>14031</v>
      </c>
      <c r="C513" s="9">
        <v>0</v>
      </c>
    </row>
    <row r="514" spans="2:3" x14ac:dyDescent="0.2">
      <c r="B514" s="9">
        <v>14032</v>
      </c>
      <c r="C514" s="9">
        <v>0</v>
      </c>
    </row>
    <row r="515" spans="2:3" x14ac:dyDescent="0.2">
      <c r="B515" s="9">
        <v>14033</v>
      </c>
      <c r="C515" s="9">
        <v>0</v>
      </c>
    </row>
    <row r="516" spans="2:3" x14ac:dyDescent="0.2">
      <c r="B516" s="9">
        <v>14034</v>
      </c>
      <c r="C516" s="9">
        <v>0</v>
      </c>
    </row>
    <row r="517" spans="2:3" x14ac:dyDescent="0.2">
      <c r="B517" s="9">
        <v>14035</v>
      </c>
      <c r="C517" s="9">
        <v>0</v>
      </c>
    </row>
    <row r="518" spans="2:3" x14ac:dyDescent="0.2">
      <c r="B518" s="9">
        <v>14036</v>
      </c>
      <c r="C518" s="9">
        <v>0</v>
      </c>
    </row>
    <row r="519" spans="2:3" x14ac:dyDescent="0.2">
      <c r="B519" s="9">
        <v>14037</v>
      </c>
      <c r="C519" s="9">
        <v>0</v>
      </c>
    </row>
    <row r="520" spans="2:3" x14ac:dyDescent="0.2">
      <c r="B520" s="9">
        <v>14038</v>
      </c>
      <c r="C520" s="9">
        <v>0</v>
      </c>
    </row>
    <row r="521" spans="2:3" x14ac:dyDescent="0.2">
      <c r="B521" s="9">
        <v>14039</v>
      </c>
      <c r="C521" s="9">
        <v>0</v>
      </c>
    </row>
    <row r="522" spans="2:3" x14ac:dyDescent="0.2">
      <c r="B522" s="9">
        <v>15026</v>
      </c>
      <c r="C522" s="9">
        <v>0</v>
      </c>
    </row>
    <row r="523" spans="2:3" x14ac:dyDescent="0.2">
      <c r="B523" s="9">
        <v>15027</v>
      </c>
      <c r="C523" s="9">
        <v>0</v>
      </c>
    </row>
    <row r="524" spans="2:3" x14ac:dyDescent="0.2">
      <c r="B524" s="9">
        <v>15028</v>
      </c>
      <c r="C524" s="9">
        <v>0</v>
      </c>
    </row>
    <row r="525" spans="2:3" x14ac:dyDescent="0.2">
      <c r="B525" s="9">
        <v>15029</v>
      </c>
      <c r="C525" s="9">
        <v>0</v>
      </c>
    </row>
    <row r="526" spans="2:3" x14ac:dyDescent="0.2">
      <c r="B526" s="9">
        <v>15030</v>
      </c>
      <c r="C526" s="9">
        <v>0</v>
      </c>
    </row>
    <row r="527" spans="2:3" x14ac:dyDescent="0.2">
      <c r="B527" s="9">
        <v>15031</v>
      </c>
      <c r="C527" s="9">
        <v>0</v>
      </c>
    </row>
    <row r="528" spans="2:3" x14ac:dyDescent="0.2">
      <c r="B528" s="9">
        <v>15032</v>
      </c>
      <c r="C528" s="9">
        <v>0</v>
      </c>
    </row>
    <row r="529" spans="2:3" x14ac:dyDescent="0.2">
      <c r="B529" s="9">
        <v>15033</v>
      </c>
      <c r="C529" s="9">
        <v>0</v>
      </c>
    </row>
    <row r="530" spans="2:3" x14ac:dyDescent="0.2">
      <c r="B530" s="9">
        <v>15034</v>
      </c>
      <c r="C530" s="9">
        <v>0</v>
      </c>
    </row>
    <row r="531" spans="2:3" x14ac:dyDescent="0.2">
      <c r="B531" s="9">
        <v>15035</v>
      </c>
      <c r="C531" s="9">
        <v>0</v>
      </c>
    </row>
    <row r="532" spans="2:3" x14ac:dyDescent="0.2">
      <c r="B532" s="9">
        <v>15036</v>
      </c>
      <c r="C532" s="9">
        <v>0</v>
      </c>
    </row>
    <row r="533" spans="2:3" x14ac:dyDescent="0.2">
      <c r="B533" s="9">
        <v>15037</v>
      </c>
      <c r="C533" s="9">
        <v>0</v>
      </c>
    </row>
    <row r="534" spans="2:3" x14ac:dyDescent="0.2">
      <c r="B534" s="9">
        <v>15038</v>
      </c>
      <c r="C534" s="9">
        <v>0</v>
      </c>
    </row>
    <row r="535" spans="2:3" x14ac:dyDescent="0.2">
      <c r="B535" s="9">
        <v>15039</v>
      </c>
      <c r="C535" s="9">
        <v>0</v>
      </c>
    </row>
    <row r="536" spans="2:3" x14ac:dyDescent="0.2">
      <c r="B536" s="9">
        <v>15040</v>
      </c>
      <c r="C536" s="9">
        <v>0</v>
      </c>
    </row>
    <row r="537" spans="2:3" x14ac:dyDescent="0.2">
      <c r="B537" s="9">
        <v>15041</v>
      </c>
      <c r="C537" s="9">
        <v>0</v>
      </c>
    </row>
    <row r="538" spans="2:3" x14ac:dyDescent="0.2">
      <c r="B538" s="9">
        <v>15042</v>
      </c>
      <c r="C538" s="9">
        <v>0</v>
      </c>
    </row>
    <row r="539" spans="2:3" x14ac:dyDescent="0.2">
      <c r="B539" t="s">
        <v>3172</v>
      </c>
      <c r="C539" s="9">
        <v>3.0700000000000001E-5</v>
      </c>
    </row>
    <row r="540" spans="2:3" x14ac:dyDescent="0.2">
      <c r="B540" t="s">
        <v>3176</v>
      </c>
    </row>
    <row r="541" spans="2:3" x14ac:dyDescent="0.2">
      <c r="B541" t="s">
        <v>3174</v>
      </c>
    </row>
    <row r="542" spans="2:3" x14ac:dyDescent="0.2">
      <c r="B542" s="9">
        <v>1001</v>
      </c>
      <c r="C542" s="9">
        <v>0</v>
      </c>
    </row>
    <row r="543" spans="2:3" x14ac:dyDescent="0.2">
      <c r="B543" s="9">
        <v>1002</v>
      </c>
      <c r="C543" s="9">
        <v>2.9999999999999997E-8</v>
      </c>
    </row>
    <row r="544" spans="2:3" x14ac:dyDescent="0.2">
      <c r="B544" s="9">
        <v>1003</v>
      </c>
      <c r="C544" s="9">
        <v>0</v>
      </c>
    </row>
    <row r="545" spans="2:3" x14ac:dyDescent="0.2">
      <c r="B545" s="9">
        <v>2003</v>
      </c>
      <c r="C545" s="9">
        <v>0</v>
      </c>
    </row>
    <row r="546" spans="2:3" x14ac:dyDescent="0.2">
      <c r="B546" s="9">
        <v>2004</v>
      </c>
      <c r="C546" s="9">
        <v>2.4999999999999999E-7</v>
      </c>
    </row>
    <row r="547" spans="2:3" x14ac:dyDescent="0.2">
      <c r="B547" s="9">
        <v>2005</v>
      </c>
      <c r="C547" s="9">
        <v>0</v>
      </c>
    </row>
    <row r="548" spans="2:3" x14ac:dyDescent="0.2">
      <c r="B548" s="9">
        <v>2006</v>
      </c>
      <c r="C548" s="9">
        <v>0</v>
      </c>
    </row>
    <row r="549" spans="2:3" x14ac:dyDescent="0.2">
      <c r="B549" s="9">
        <v>2007</v>
      </c>
      <c r="C549" s="9">
        <v>0</v>
      </c>
    </row>
    <row r="550" spans="2:3" x14ac:dyDescent="0.2">
      <c r="B550" s="9">
        <v>2008</v>
      </c>
      <c r="C550" s="9">
        <v>0</v>
      </c>
    </row>
    <row r="551" spans="2:3" x14ac:dyDescent="0.2">
      <c r="B551" s="9">
        <v>3005</v>
      </c>
      <c r="C551" s="9">
        <v>0</v>
      </c>
    </row>
    <row r="552" spans="2:3" x14ac:dyDescent="0.2">
      <c r="B552" s="9">
        <v>3006</v>
      </c>
      <c r="C552" s="9">
        <v>0</v>
      </c>
    </row>
    <row r="553" spans="2:3" x14ac:dyDescent="0.2">
      <c r="B553" s="9">
        <v>3007</v>
      </c>
      <c r="C553" s="9">
        <v>0</v>
      </c>
    </row>
    <row r="554" spans="2:3" x14ac:dyDescent="0.2">
      <c r="B554" s="9">
        <v>3008</v>
      </c>
      <c r="C554" s="9">
        <v>0</v>
      </c>
    </row>
    <row r="555" spans="2:3" x14ac:dyDescent="0.2">
      <c r="B555" s="9">
        <v>3009</v>
      </c>
      <c r="C555" s="9">
        <v>0</v>
      </c>
    </row>
    <row r="556" spans="2:3" x14ac:dyDescent="0.2">
      <c r="B556" s="9">
        <v>3010</v>
      </c>
      <c r="C556" s="9">
        <v>0</v>
      </c>
    </row>
    <row r="557" spans="2:3" x14ac:dyDescent="0.2">
      <c r="B557" s="9">
        <v>3011</v>
      </c>
      <c r="C557" s="9">
        <v>0</v>
      </c>
    </row>
    <row r="558" spans="2:3" x14ac:dyDescent="0.2">
      <c r="B558" s="9">
        <v>4006</v>
      </c>
      <c r="C558" s="9">
        <v>0</v>
      </c>
    </row>
    <row r="559" spans="2:3" x14ac:dyDescent="0.2">
      <c r="B559" s="9">
        <v>4007</v>
      </c>
      <c r="C559" s="9">
        <v>0</v>
      </c>
    </row>
    <row r="560" spans="2:3" x14ac:dyDescent="0.2">
      <c r="B560" s="9">
        <v>4008</v>
      </c>
      <c r="C560" s="9">
        <v>0</v>
      </c>
    </row>
    <row r="561" spans="2:3" x14ac:dyDescent="0.2">
      <c r="B561" s="9">
        <v>4009</v>
      </c>
      <c r="C561" s="9">
        <v>2E-8</v>
      </c>
    </row>
    <row r="562" spans="2:3" x14ac:dyDescent="0.2">
      <c r="B562" s="9">
        <v>4010</v>
      </c>
      <c r="C562" s="9">
        <v>0</v>
      </c>
    </row>
    <row r="563" spans="2:3" x14ac:dyDescent="0.2">
      <c r="B563" s="9">
        <v>4011</v>
      </c>
      <c r="C563" s="9">
        <v>0</v>
      </c>
    </row>
    <row r="564" spans="2:3" x14ac:dyDescent="0.2">
      <c r="B564" s="9">
        <v>4012</v>
      </c>
      <c r="C564" s="9">
        <v>0</v>
      </c>
    </row>
    <row r="565" spans="2:3" x14ac:dyDescent="0.2">
      <c r="B565" s="9">
        <v>4013</v>
      </c>
      <c r="C565" s="9">
        <v>0</v>
      </c>
    </row>
    <row r="566" spans="2:3" x14ac:dyDescent="0.2">
      <c r="B566" s="9">
        <v>4014</v>
      </c>
      <c r="C566" s="9">
        <v>0</v>
      </c>
    </row>
    <row r="567" spans="2:3" x14ac:dyDescent="0.2">
      <c r="B567" s="9">
        <v>5008</v>
      </c>
      <c r="C567" s="9">
        <v>0</v>
      </c>
    </row>
    <row r="568" spans="2:3" x14ac:dyDescent="0.2">
      <c r="B568" s="9">
        <v>5009</v>
      </c>
      <c r="C568" s="9">
        <v>0</v>
      </c>
    </row>
    <row r="569" spans="2:3" x14ac:dyDescent="0.2">
      <c r="B569" s="9">
        <v>5010</v>
      </c>
      <c r="C569" s="9">
        <v>0</v>
      </c>
    </row>
    <row r="570" spans="2:3" x14ac:dyDescent="0.2">
      <c r="B570" s="9">
        <v>5011</v>
      </c>
      <c r="C570" s="9">
        <v>0</v>
      </c>
    </row>
    <row r="571" spans="2:3" x14ac:dyDescent="0.2">
      <c r="B571" s="9">
        <v>5012</v>
      </c>
      <c r="C571" s="9">
        <v>0</v>
      </c>
    </row>
    <row r="572" spans="2:3" x14ac:dyDescent="0.2">
      <c r="B572" s="9">
        <v>5013</v>
      </c>
      <c r="C572" s="9">
        <v>0</v>
      </c>
    </row>
    <row r="573" spans="2:3" x14ac:dyDescent="0.2">
      <c r="B573" s="9">
        <v>5014</v>
      </c>
      <c r="C573" s="9">
        <v>0</v>
      </c>
    </row>
    <row r="574" spans="2:3" x14ac:dyDescent="0.2">
      <c r="B574" s="9">
        <v>5015</v>
      </c>
      <c r="C574" s="9">
        <v>0</v>
      </c>
    </row>
    <row r="575" spans="2:3" x14ac:dyDescent="0.2">
      <c r="B575" s="9">
        <v>5016</v>
      </c>
      <c r="C575" s="9">
        <v>0</v>
      </c>
    </row>
    <row r="576" spans="2:3" x14ac:dyDescent="0.2">
      <c r="B576" s="9">
        <v>5017</v>
      </c>
      <c r="C576" s="9">
        <v>0</v>
      </c>
    </row>
    <row r="577" spans="2:3" x14ac:dyDescent="0.2">
      <c r="B577" s="9">
        <v>6008</v>
      </c>
      <c r="C577" s="9">
        <v>0</v>
      </c>
    </row>
    <row r="578" spans="2:3" x14ac:dyDescent="0.2">
      <c r="B578" s="9">
        <v>6009</v>
      </c>
      <c r="C578" s="9">
        <v>0</v>
      </c>
    </row>
    <row r="579" spans="2:3" x14ac:dyDescent="0.2">
      <c r="B579" s="9">
        <v>6010</v>
      </c>
      <c r="C579" s="9">
        <v>0</v>
      </c>
    </row>
    <row r="580" spans="2:3" x14ac:dyDescent="0.2">
      <c r="B580" s="9">
        <v>6011</v>
      </c>
      <c r="C580" s="9">
        <v>0</v>
      </c>
    </row>
    <row r="581" spans="2:3" x14ac:dyDescent="0.2">
      <c r="B581" s="9">
        <v>6012</v>
      </c>
      <c r="C581" s="9">
        <v>4.3800000000000004E-6</v>
      </c>
    </row>
    <row r="582" spans="2:3" x14ac:dyDescent="0.2">
      <c r="B582" s="9">
        <v>6013</v>
      </c>
      <c r="C582" s="9">
        <v>7.2099999999999996E-6</v>
      </c>
    </row>
    <row r="583" spans="2:3" x14ac:dyDescent="0.2">
      <c r="B583" s="9">
        <v>6014</v>
      </c>
      <c r="C583" s="9">
        <v>0</v>
      </c>
    </row>
    <row r="584" spans="2:3" x14ac:dyDescent="0.2">
      <c r="B584" s="9">
        <v>6015</v>
      </c>
      <c r="C584" s="9">
        <v>0</v>
      </c>
    </row>
    <row r="585" spans="2:3" x14ac:dyDescent="0.2">
      <c r="B585" s="9">
        <v>6016</v>
      </c>
      <c r="C585" s="9">
        <v>0</v>
      </c>
    </row>
    <row r="586" spans="2:3" x14ac:dyDescent="0.2">
      <c r="B586" s="9">
        <v>6017</v>
      </c>
      <c r="C586" s="9">
        <v>0</v>
      </c>
    </row>
    <row r="587" spans="2:3" x14ac:dyDescent="0.2">
      <c r="B587" s="9">
        <v>6018</v>
      </c>
      <c r="C587" s="9">
        <v>0</v>
      </c>
    </row>
    <row r="588" spans="2:3" x14ac:dyDescent="0.2">
      <c r="B588" s="9">
        <v>6019</v>
      </c>
      <c r="C588" s="9">
        <v>0</v>
      </c>
    </row>
    <row r="589" spans="2:3" x14ac:dyDescent="0.2">
      <c r="B589" s="9">
        <v>6020</v>
      </c>
      <c r="C589" s="9">
        <v>0</v>
      </c>
    </row>
    <row r="590" spans="2:3" x14ac:dyDescent="0.2">
      <c r="B590" s="9">
        <v>7011</v>
      </c>
      <c r="C590" s="9">
        <v>0</v>
      </c>
    </row>
    <row r="591" spans="2:3" x14ac:dyDescent="0.2">
      <c r="B591" s="9">
        <v>7012</v>
      </c>
      <c r="C591" s="9">
        <v>0</v>
      </c>
    </row>
    <row r="592" spans="2:3" x14ac:dyDescent="0.2">
      <c r="B592" s="9">
        <v>7013</v>
      </c>
      <c r="C592" s="9">
        <v>0</v>
      </c>
    </row>
    <row r="593" spans="2:3" x14ac:dyDescent="0.2">
      <c r="B593" s="9">
        <v>7014</v>
      </c>
      <c r="C593" s="9">
        <v>1.6999999999999999E-7</v>
      </c>
    </row>
    <row r="594" spans="2:3" x14ac:dyDescent="0.2">
      <c r="B594" s="9">
        <v>7015</v>
      </c>
      <c r="C594" s="9">
        <v>2.5900000000000002E-6</v>
      </c>
    </row>
    <row r="595" spans="2:3" x14ac:dyDescent="0.2">
      <c r="B595" s="9">
        <v>7016</v>
      </c>
      <c r="C595" s="9">
        <v>7.7000000000000004E-7</v>
      </c>
    </row>
    <row r="596" spans="2:3" x14ac:dyDescent="0.2">
      <c r="B596" s="9">
        <v>7017</v>
      </c>
      <c r="C596" s="9">
        <v>0</v>
      </c>
    </row>
    <row r="597" spans="2:3" x14ac:dyDescent="0.2">
      <c r="B597" s="9">
        <v>7018</v>
      </c>
      <c r="C597" s="9">
        <v>0</v>
      </c>
    </row>
    <row r="598" spans="2:3" x14ac:dyDescent="0.2">
      <c r="B598" s="9">
        <v>7019</v>
      </c>
      <c r="C598" s="9">
        <v>0</v>
      </c>
    </row>
    <row r="599" spans="2:3" x14ac:dyDescent="0.2">
      <c r="B599" s="9">
        <v>7020</v>
      </c>
      <c r="C599" s="9">
        <v>0</v>
      </c>
    </row>
    <row r="600" spans="2:3" x14ac:dyDescent="0.2">
      <c r="B600" s="9">
        <v>7021</v>
      </c>
      <c r="C600" s="9">
        <v>0</v>
      </c>
    </row>
    <row r="601" spans="2:3" x14ac:dyDescent="0.2">
      <c r="B601" s="9">
        <v>7022</v>
      </c>
      <c r="C601" s="9">
        <v>0</v>
      </c>
    </row>
    <row r="602" spans="2:3" x14ac:dyDescent="0.2">
      <c r="B602" s="9">
        <v>7023</v>
      </c>
      <c r="C602" s="9">
        <v>0</v>
      </c>
    </row>
    <row r="603" spans="2:3" x14ac:dyDescent="0.2">
      <c r="B603" s="9">
        <v>8013</v>
      </c>
      <c r="C603" s="9">
        <v>0</v>
      </c>
    </row>
    <row r="604" spans="2:3" x14ac:dyDescent="0.2">
      <c r="B604" s="9">
        <v>8014</v>
      </c>
      <c r="C604" s="9">
        <v>0</v>
      </c>
    </row>
    <row r="605" spans="2:3" x14ac:dyDescent="0.2">
      <c r="B605" s="9">
        <v>8015</v>
      </c>
      <c r="C605" s="9">
        <v>1.1999999999999999E-7</v>
      </c>
    </row>
    <row r="606" spans="2:3" x14ac:dyDescent="0.2">
      <c r="B606" s="9">
        <v>8016</v>
      </c>
      <c r="C606" s="9">
        <v>0</v>
      </c>
    </row>
    <row r="607" spans="2:3" x14ac:dyDescent="0.2">
      <c r="B607" s="9">
        <v>8017</v>
      </c>
      <c r="C607" s="9">
        <v>1E-8</v>
      </c>
    </row>
    <row r="608" spans="2:3" x14ac:dyDescent="0.2">
      <c r="B608" s="9">
        <v>8018</v>
      </c>
      <c r="C608" s="9">
        <v>0</v>
      </c>
    </row>
    <row r="609" spans="2:3" x14ac:dyDescent="0.2">
      <c r="B609" s="9">
        <v>8019</v>
      </c>
      <c r="C609" s="9">
        <v>0</v>
      </c>
    </row>
    <row r="610" spans="2:3" x14ac:dyDescent="0.2">
      <c r="B610" s="9">
        <v>8020</v>
      </c>
      <c r="C610" s="9">
        <v>0</v>
      </c>
    </row>
    <row r="611" spans="2:3" x14ac:dyDescent="0.2">
      <c r="B611" s="9">
        <v>8021</v>
      </c>
      <c r="C611" s="9">
        <v>0</v>
      </c>
    </row>
    <row r="612" spans="2:3" x14ac:dyDescent="0.2">
      <c r="B612" s="9">
        <v>8022</v>
      </c>
      <c r="C612" s="9">
        <v>0</v>
      </c>
    </row>
    <row r="613" spans="2:3" x14ac:dyDescent="0.2">
      <c r="B613" s="9">
        <v>8023</v>
      </c>
      <c r="C613" s="9">
        <v>0</v>
      </c>
    </row>
    <row r="614" spans="2:3" x14ac:dyDescent="0.2">
      <c r="B614" s="9">
        <v>8024</v>
      </c>
      <c r="C614" s="9">
        <v>0</v>
      </c>
    </row>
    <row r="615" spans="2:3" x14ac:dyDescent="0.2">
      <c r="B615" s="9">
        <v>9015</v>
      </c>
      <c r="C615" s="9">
        <v>0</v>
      </c>
    </row>
    <row r="616" spans="2:3" x14ac:dyDescent="0.2">
      <c r="B616" s="9">
        <v>9016</v>
      </c>
      <c r="C616" s="9">
        <v>0</v>
      </c>
    </row>
    <row r="617" spans="2:3" x14ac:dyDescent="0.2">
      <c r="B617" s="9">
        <v>9017</v>
      </c>
      <c r="C617" s="9">
        <v>0</v>
      </c>
    </row>
    <row r="618" spans="2:3" x14ac:dyDescent="0.2">
      <c r="B618" s="9">
        <v>9018</v>
      </c>
      <c r="C618" s="9">
        <v>0</v>
      </c>
    </row>
    <row r="619" spans="2:3" x14ac:dyDescent="0.2">
      <c r="B619" s="9">
        <v>9019</v>
      </c>
      <c r="C619" s="9">
        <v>0</v>
      </c>
    </row>
    <row r="620" spans="2:3" x14ac:dyDescent="0.2">
      <c r="B620" s="9">
        <v>9020</v>
      </c>
      <c r="C620" s="9">
        <v>0</v>
      </c>
    </row>
    <row r="621" spans="2:3" x14ac:dyDescent="0.2">
      <c r="B621" s="9">
        <v>9021</v>
      </c>
      <c r="C621" s="9">
        <v>0</v>
      </c>
    </row>
    <row r="622" spans="2:3" x14ac:dyDescent="0.2">
      <c r="B622" s="9">
        <v>9022</v>
      </c>
      <c r="C622" s="9">
        <v>0</v>
      </c>
    </row>
    <row r="623" spans="2:3" x14ac:dyDescent="0.2">
      <c r="B623" s="9">
        <v>9023</v>
      </c>
      <c r="C623" s="9">
        <v>0</v>
      </c>
    </row>
    <row r="624" spans="2:3" x14ac:dyDescent="0.2">
      <c r="B624" s="9">
        <v>9024</v>
      </c>
      <c r="C624" s="9">
        <v>0</v>
      </c>
    </row>
    <row r="625" spans="2:3" x14ac:dyDescent="0.2">
      <c r="B625" s="9">
        <v>9025</v>
      </c>
      <c r="C625" s="9">
        <v>0</v>
      </c>
    </row>
    <row r="626" spans="2:3" x14ac:dyDescent="0.2">
      <c r="B626" s="9">
        <v>9026</v>
      </c>
      <c r="C626" s="9">
        <v>0</v>
      </c>
    </row>
    <row r="627" spans="2:3" x14ac:dyDescent="0.2">
      <c r="B627" s="9">
        <v>9027</v>
      </c>
      <c r="C627" s="9">
        <v>0</v>
      </c>
    </row>
    <row r="628" spans="2:3" x14ac:dyDescent="0.2">
      <c r="B628" s="9">
        <v>10017</v>
      </c>
      <c r="C628" s="9">
        <v>0</v>
      </c>
    </row>
    <row r="629" spans="2:3" x14ac:dyDescent="0.2">
      <c r="B629" s="9">
        <v>10018</v>
      </c>
      <c r="C629" s="9">
        <v>0</v>
      </c>
    </row>
    <row r="630" spans="2:3" x14ac:dyDescent="0.2">
      <c r="B630" s="9">
        <v>10019</v>
      </c>
      <c r="C630" s="9">
        <v>0</v>
      </c>
    </row>
    <row r="631" spans="2:3" x14ac:dyDescent="0.2">
      <c r="B631" s="9">
        <v>10020</v>
      </c>
      <c r="C631" s="9">
        <v>0</v>
      </c>
    </row>
    <row r="632" spans="2:3" x14ac:dyDescent="0.2">
      <c r="B632" s="9">
        <v>10021</v>
      </c>
      <c r="C632" s="9">
        <v>0</v>
      </c>
    </row>
    <row r="633" spans="2:3" x14ac:dyDescent="0.2">
      <c r="B633" s="9">
        <v>10022</v>
      </c>
      <c r="C633" s="9">
        <v>0</v>
      </c>
    </row>
    <row r="634" spans="2:3" x14ac:dyDescent="0.2">
      <c r="B634" s="9">
        <v>10023</v>
      </c>
      <c r="C634" s="9">
        <v>0</v>
      </c>
    </row>
    <row r="635" spans="2:3" x14ac:dyDescent="0.2">
      <c r="B635" s="9">
        <v>10024</v>
      </c>
      <c r="C635" s="9">
        <v>0</v>
      </c>
    </row>
    <row r="636" spans="2:3" x14ac:dyDescent="0.2">
      <c r="B636" s="9">
        <v>10025</v>
      </c>
      <c r="C636" s="9">
        <v>0</v>
      </c>
    </row>
    <row r="637" spans="2:3" x14ac:dyDescent="0.2">
      <c r="B637" s="9">
        <v>10026</v>
      </c>
      <c r="C637" s="9">
        <v>0</v>
      </c>
    </row>
    <row r="638" spans="2:3" x14ac:dyDescent="0.2">
      <c r="B638" s="9">
        <v>10027</v>
      </c>
      <c r="C638" s="9">
        <v>0</v>
      </c>
    </row>
    <row r="639" spans="2:3" x14ac:dyDescent="0.2">
      <c r="B639" s="9">
        <v>10028</v>
      </c>
      <c r="C639" s="9">
        <v>0</v>
      </c>
    </row>
    <row r="640" spans="2:3" x14ac:dyDescent="0.2">
      <c r="B640" s="9">
        <v>11019</v>
      </c>
      <c r="C640" s="9">
        <v>0</v>
      </c>
    </row>
    <row r="641" spans="2:3" x14ac:dyDescent="0.2">
      <c r="B641" s="9">
        <v>11020</v>
      </c>
      <c r="C641" s="9">
        <v>0</v>
      </c>
    </row>
    <row r="642" spans="2:3" x14ac:dyDescent="0.2">
      <c r="B642" s="9">
        <v>11021</v>
      </c>
      <c r="C642" s="9">
        <v>0</v>
      </c>
    </row>
    <row r="643" spans="2:3" x14ac:dyDescent="0.2">
      <c r="B643" s="9">
        <v>11022</v>
      </c>
      <c r="C643" s="9">
        <v>0</v>
      </c>
    </row>
    <row r="644" spans="2:3" x14ac:dyDescent="0.2">
      <c r="B644" s="9">
        <v>11023</v>
      </c>
      <c r="C644" s="9">
        <v>0</v>
      </c>
    </row>
    <row r="645" spans="2:3" x14ac:dyDescent="0.2">
      <c r="B645" s="9">
        <v>11024</v>
      </c>
      <c r="C645" s="9">
        <v>0</v>
      </c>
    </row>
    <row r="646" spans="2:3" x14ac:dyDescent="0.2">
      <c r="B646" s="9">
        <v>11025</v>
      </c>
      <c r="C646" s="9">
        <v>0</v>
      </c>
    </row>
    <row r="647" spans="2:3" x14ac:dyDescent="0.2">
      <c r="B647" s="9">
        <v>11026</v>
      </c>
      <c r="C647" s="9">
        <v>0</v>
      </c>
    </row>
    <row r="648" spans="2:3" x14ac:dyDescent="0.2">
      <c r="B648" s="9">
        <v>11027</v>
      </c>
      <c r="C648" s="9">
        <v>0</v>
      </c>
    </row>
    <row r="649" spans="2:3" x14ac:dyDescent="0.2">
      <c r="B649" s="9">
        <v>11028</v>
      </c>
      <c r="C649" s="9">
        <v>0</v>
      </c>
    </row>
    <row r="650" spans="2:3" x14ac:dyDescent="0.2">
      <c r="B650" s="9">
        <v>11029</v>
      </c>
      <c r="C650" s="9">
        <v>0</v>
      </c>
    </row>
    <row r="651" spans="2:3" x14ac:dyDescent="0.2">
      <c r="B651" s="9">
        <v>11030</v>
      </c>
      <c r="C651" s="9">
        <v>0</v>
      </c>
    </row>
    <row r="652" spans="2:3" x14ac:dyDescent="0.2">
      <c r="B652" s="9">
        <v>11031</v>
      </c>
      <c r="C652" s="9">
        <v>0</v>
      </c>
    </row>
    <row r="653" spans="2:3" x14ac:dyDescent="0.2">
      <c r="B653" s="9">
        <v>11032</v>
      </c>
      <c r="C653" s="9">
        <v>0</v>
      </c>
    </row>
    <row r="654" spans="2:3" x14ac:dyDescent="0.2">
      <c r="B654" s="9">
        <v>11033</v>
      </c>
      <c r="C654" s="9">
        <v>0</v>
      </c>
    </row>
    <row r="655" spans="2:3" x14ac:dyDescent="0.2">
      <c r="B655" s="9">
        <v>11034</v>
      </c>
      <c r="C655" s="9">
        <v>0</v>
      </c>
    </row>
    <row r="656" spans="2:3" x14ac:dyDescent="0.2">
      <c r="B656" s="9">
        <v>11035</v>
      </c>
      <c r="C656" s="9">
        <v>0</v>
      </c>
    </row>
    <row r="657" spans="2:3" x14ac:dyDescent="0.2">
      <c r="B657" s="9">
        <v>12020</v>
      </c>
      <c r="C657" s="9">
        <v>0</v>
      </c>
    </row>
    <row r="658" spans="2:3" x14ac:dyDescent="0.2">
      <c r="B658" s="9">
        <v>12021</v>
      </c>
      <c r="C658" s="9">
        <v>0</v>
      </c>
    </row>
    <row r="659" spans="2:3" x14ac:dyDescent="0.2">
      <c r="B659" s="9">
        <v>12022</v>
      </c>
      <c r="C659" s="9">
        <v>0</v>
      </c>
    </row>
    <row r="660" spans="2:3" x14ac:dyDescent="0.2">
      <c r="B660" s="9">
        <v>12023</v>
      </c>
      <c r="C660" s="9">
        <v>0</v>
      </c>
    </row>
    <row r="661" spans="2:3" x14ac:dyDescent="0.2">
      <c r="B661" s="9">
        <v>12024</v>
      </c>
      <c r="C661" s="9">
        <v>0</v>
      </c>
    </row>
    <row r="662" spans="2:3" x14ac:dyDescent="0.2">
      <c r="B662" s="9">
        <v>12025</v>
      </c>
      <c r="C662" s="9">
        <v>0</v>
      </c>
    </row>
    <row r="663" spans="2:3" x14ac:dyDescent="0.2">
      <c r="B663" s="9">
        <v>12026</v>
      </c>
      <c r="C663" s="9">
        <v>0</v>
      </c>
    </row>
    <row r="664" spans="2:3" x14ac:dyDescent="0.2">
      <c r="B664" s="9">
        <v>12027</v>
      </c>
      <c r="C664" s="9">
        <v>0</v>
      </c>
    </row>
    <row r="665" spans="2:3" x14ac:dyDescent="0.2">
      <c r="B665" s="9">
        <v>12028</v>
      </c>
      <c r="C665" s="9">
        <v>0</v>
      </c>
    </row>
    <row r="666" spans="2:3" x14ac:dyDescent="0.2">
      <c r="B666" s="9">
        <v>12029</v>
      </c>
      <c r="C666" s="9">
        <v>0</v>
      </c>
    </row>
    <row r="667" spans="2:3" x14ac:dyDescent="0.2">
      <c r="B667" s="9">
        <v>12030</v>
      </c>
      <c r="C667" s="9">
        <v>0</v>
      </c>
    </row>
    <row r="668" spans="2:3" x14ac:dyDescent="0.2">
      <c r="B668" s="9">
        <v>12031</v>
      </c>
      <c r="C668" s="9">
        <v>0</v>
      </c>
    </row>
    <row r="669" spans="2:3" x14ac:dyDescent="0.2">
      <c r="B669" s="9">
        <v>12032</v>
      </c>
      <c r="C669" s="9">
        <v>0</v>
      </c>
    </row>
    <row r="670" spans="2:3" x14ac:dyDescent="0.2">
      <c r="B670" s="9">
        <v>12033</v>
      </c>
      <c r="C670" s="9">
        <v>0</v>
      </c>
    </row>
    <row r="671" spans="2:3" x14ac:dyDescent="0.2">
      <c r="B671" s="9">
        <v>12034</v>
      </c>
      <c r="C671" s="9">
        <v>0</v>
      </c>
    </row>
    <row r="672" spans="2:3" x14ac:dyDescent="0.2">
      <c r="B672" s="9">
        <v>13022</v>
      </c>
      <c r="C672" s="9">
        <v>0</v>
      </c>
    </row>
    <row r="673" spans="2:3" x14ac:dyDescent="0.2">
      <c r="B673" s="9">
        <v>13023</v>
      </c>
      <c r="C673" s="9">
        <v>0</v>
      </c>
    </row>
    <row r="674" spans="2:3" x14ac:dyDescent="0.2">
      <c r="B674" s="9">
        <v>13024</v>
      </c>
      <c r="C674" s="9">
        <v>0</v>
      </c>
    </row>
    <row r="675" spans="2:3" x14ac:dyDescent="0.2">
      <c r="B675" s="9">
        <v>13025</v>
      </c>
      <c r="C675" s="9">
        <v>0</v>
      </c>
    </row>
    <row r="676" spans="2:3" x14ac:dyDescent="0.2">
      <c r="B676" s="9">
        <v>13026</v>
      </c>
      <c r="C676" s="9">
        <v>0</v>
      </c>
    </row>
    <row r="677" spans="2:3" x14ac:dyDescent="0.2">
      <c r="B677" s="9">
        <v>13027</v>
      </c>
      <c r="C677" s="9">
        <v>0</v>
      </c>
    </row>
    <row r="678" spans="2:3" x14ac:dyDescent="0.2">
      <c r="B678" s="9">
        <v>13028</v>
      </c>
      <c r="C678" s="9">
        <v>0</v>
      </c>
    </row>
    <row r="679" spans="2:3" x14ac:dyDescent="0.2">
      <c r="B679" s="9">
        <v>13029</v>
      </c>
      <c r="C679" s="9">
        <v>0</v>
      </c>
    </row>
    <row r="680" spans="2:3" x14ac:dyDescent="0.2">
      <c r="B680" s="9">
        <v>13030</v>
      </c>
      <c r="C680" s="9">
        <v>0</v>
      </c>
    </row>
    <row r="681" spans="2:3" x14ac:dyDescent="0.2">
      <c r="B681" s="9">
        <v>13031</v>
      </c>
      <c r="C681" s="9">
        <v>0</v>
      </c>
    </row>
    <row r="682" spans="2:3" x14ac:dyDescent="0.2">
      <c r="B682" s="9">
        <v>13032</v>
      </c>
      <c r="C682" s="9">
        <v>0</v>
      </c>
    </row>
    <row r="683" spans="2:3" x14ac:dyDescent="0.2">
      <c r="B683" s="9">
        <v>13033</v>
      </c>
      <c r="C683" s="9">
        <v>0</v>
      </c>
    </row>
    <row r="684" spans="2:3" x14ac:dyDescent="0.2">
      <c r="B684" s="9">
        <v>13034</v>
      </c>
      <c r="C684" s="9">
        <v>0</v>
      </c>
    </row>
    <row r="685" spans="2:3" x14ac:dyDescent="0.2">
      <c r="B685" s="9">
        <v>13035</v>
      </c>
      <c r="C685" s="9">
        <v>0</v>
      </c>
    </row>
    <row r="686" spans="2:3" x14ac:dyDescent="0.2">
      <c r="B686" s="9">
        <v>14024</v>
      </c>
      <c r="C686" s="9">
        <v>0</v>
      </c>
    </row>
    <row r="687" spans="2:3" x14ac:dyDescent="0.2">
      <c r="B687" s="9">
        <v>14025</v>
      </c>
      <c r="C687" s="9">
        <v>0</v>
      </c>
    </row>
    <row r="688" spans="2:3" x14ac:dyDescent="0.2">
      <c r="B688" s="9">
        <v>14026</v>
      </c>
      <c r="C688" s="9">
        <v>0</v>
      </c>
    </row>
    <row r="689" spans="2:3" x14ac:dyDescent="0.2">
      <c r="B689" s="9">
        <v>14027</v>
      </c>
      <c r="C689" s="9">
        <v>0</v>
      </c>
    </row>
    <row r="690" spans="2:3" x14ac:dyDescent="0.2">
      <c r="B690" s="9">
        <v>14028</v>
      </c>
      <c r="C690" s="9">
        <v>0</v>
      </c>
    </row>
    <row r="691" spans="2:3" x14ac:dyDescent="0.2">
      <c r="B691" s="9">
        <v>14029</v>
      </c>
      <c r="C691" s="9">
        <v>0</v>
      </c>
    </row>
    <row r="692" spans="2:3" x14ac:dyDescent="0.2">
      <c r="B692" s="9">
        <v>14030</v>
      </c>
      <c r="C692" s="9">
        <v>0</v>
      </c>
    </row>
    <row r="693" spans="2:3" x14ac:dyDescent="0.2">
      <c r="B693" s="9">
        <v>14031</v>
      </c>
      <c r="C693" s="9">
        <v>0</v>
      </c>
    </row>
    <row r="694" spans="2:3" x14ac:dyDescent="0.2">
      <c r="B694" s="9">
        <v>14032</v>
      </c>
      <c r="C694" s="9">
        <v>0</v>
      </c>
    </row>
    <row r="695" spans="2:3" x14ac:dyDescent="0.2">
      <c r="B695" s="9">
        <v>14033</v>
      </c>
      <c r="C695" s="9">
        <v>0</v>
      </c>
    </row>
    <row r="696" spans="2:3" x14ac:dyDescent="0.2">
      <c r="B696" s="9">
        <v>14034</v>
      </c>
      <c r="C696" s="9">
        <v>0</v>
      </c>
    </row>
    <row r="697" spans="2:3" x14ac:dyDescent="0.2">
      <c r="B697" s="9">
        <v>14035</v>
      </c>
      <c r="C697" s="9">
        <v>0</v>
      </c>
    </row>
    <row r="698" spans="2:3" x14ac:dyDescent="0.2">
      <c r="B698" s="9">
        <v>14036</v>
      </c>
      <c r="C698" s="9">
        <v>0</v>
      </c>
    </row>
    <row r="699" spans="2:3" x14ac:dyDescent="0.2">
      <c r="B699" s="9">
        <v>14037</v>
      </c>
      <c r="C699" s="9">
        <v>0</v>
      </c>
    </row>
    <row r="700" spans="2:3" x14ac:dyDescent="0.2">
      <c r="B700" s="9">
        <v>14038</v>
      </c>
      <c r="C700" s="9">
        <v>0</v>
      </c>
    </row>
    <row r="701" spans="2:3" x14ac:dyDescent="0.2">
      <c r="B701" s="9">
        <v>14039</v>
      </c>
      <c r="C701" s="9">
        <v>0</v>
      </c>
    </row>
    <row r="702" spans="2:3" x14ac:dyDescent="0.2">
      <c r="B702" s="9">
        <v>15026</v>
      </c>
      <c r="C702" s="9">
        <v>0</v>
      </c>
    </row>
    <row r="703" spans="2:3" x14ac:dyDescent="0.2">
      <c r="B703" s="9">
        <v>15027</v>
      </c>
      <c r="C703" s="9">
        <v>0</v>
      </c>
    </row>
    <row r="704" spans="2:3" x14ac:dyDescent="0.2">
      <c r="B704" s="9">
        <v>15028</v>
      </c>
      <c r="C704" s="9">
        <v>0</v>
      </c>
    </row>
    <row r="705" spans="2:3" x14ac:dyDescent="0.2">
      <c r="B705" s="9">
        <v>15029</v>
      </c>
      <c r="C705" s="9">
        <v>0</v>
      </c>
    </row>
    <row r="706" spans="2:3" x14ac:dyDescent="0.2">
      <c r="B706" s="9">
        <v>15030</v>
      </c>
      <c r="C706" s="9">
        <v>0</v>
      </c>
    </row>
    <row r="707" spans="2:3" x14ac:dyDescent="0.2">
      <c r="B707" s="9">
        <v>15031</v>
      </c>
      <c r="C707" s="9">
        <v>0</v>
      </c>
    </row>
    <row r="708" spans="2:3" x14ac:dyDescent="0.2">
      <c r="B708" s="9">
        <v>15032</v>
      </c>
      <c r="C708" s="9">
        <v>0</v>
      </c>
    </row>
    <row r="709" spans="2:3" x14ac:dyDescent="0.2">
      <c r="B709" s="9">
        <v>15033</v>
      </c>
      <c r="C709" s="9">
        <v>0</v>
      </c>
    </row>
    <row r="710" spans="2:3" x14ac:dyDescent="0.2">
      <c r="B710" s="9">
        <v>15034</v>
      </c>
      <c r="C710" s="9">
        <v>0</v>
      </c>
    </row>
    <row r="711" spans="2:3" x14ac:dyDescent="0.2">
      <c r="B711" s="9">
        <v>15035</v>
      </c>
      <c r="C711" s="9">
        <v>0</v>
      </c>
    </row>
    <row r="712" spans="2:3" x14ac:dyDescent="0.2">
      <c r="B712" s="9">
        <v>15036</v>
      </c>
      <c r="C712" s="9">
        <v>0</v>
      </c>
    </row>
    <row r="713" spans="2:3" x14ac:dyDescent="0.2">
      <c r="B713" s="9">
        <v>15037</v>
      </c>
      <c r="C713" s="9">
        <v>0</v>
      </c>
    </row>
    <row r="714" spans="2:3" x14ac:dyDescent="0.2">
      <c r="B714" s="9">
        <v>15038</v>
      </c>
      <c r="C714" s="9">
        <v>0</v>
      </c>
    </row>
    <row r="715" spans="2:3" x14ac:dyDescent="0.2">
      <c r="B715" s="9">
        <v>15039</v>
      </c>
      <c r="C715" s="9">
        <v>0</v>
      </c>
    </row>
    <row r="716" spans="2:3" x14ac:dyDescent="0.2">
      <c r="B716" s="9">
        <v>15040</v>
      </c>
      <c r="C716" s="9">
        <v>0</v>
      </c>
    </row>
    <row r="717" spans="2:3" x14ac:dyDescent="0.2">
      <c r="B717" s="9">
        <v>15041</v>
      </c>
      <c r="C717" s="9">
        <v>0</v>
      </c>
    </row>
    <row r="718" spans="2:3" x14ac:dyDescent="0.2">
      <c r="B718" s="9">
        <v>15042</v>
      </c>
      <c r="C718" s="9">
        <v>0</v>
      </c>
    </row>
  </sheetData>
  <autoFilter ref="F2:G183" xr:uid="{4F17CE24-735D-45D0-B039-D5B108FB5FA0}">
    <filterColumn colId="1">
      <filters blank="1">
        <filter val="1.15E-06"/>
        <filter val="1.28E-04"/>
        <filter val="1.80E-05"/>
        <filter val="1.80E-07"/>
        <filter val="1.88E-06"/>
        <filter val="2.00E-07"/>
        <filter val="2.30E-07"/>
        <filter val="3.41E-05"/>
        <filter val="5.79E-06"/>
        <filter val="8.11E-05"/>
        <filter val="8.60E-07"/>
      </filters>
    </filterColumn>
  </autoFilter>
  <dataConsolidate>
    <dataRefs count="1">
      <dataRef ref="B1:C1048576" sheet="Sheet3"/>
    </dataRefs>
  </dataConsolid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D87F-EAE3-4454-9BD5-3F914B4275D7}">
  <sheetPr filterMode="1"/>
  <dimension ref="B3:G609"/>
  <sheetViews>
    <sheetView workbookViewId="0">
      <selection activeCell="F3" sqref="F3:G184"/>
    </sheetView>
  </sheetViews>
  <sheetFormatPr defaultRowHeight="14.25" x14ac:dyDescent="0.2"/>
  <sheetData>
    <row r="3" spans="2:7" x14ac:dyDescent="0.2">
      <c r="B3" s="9">
        <v>1001</v>
      </c>
      <c r="C3" s="9">
        <v>9.9999999999999995E-8</v>
      </c>
      <c r="F3">
        <v>1001</v>
      </c>
      <c r="G3" s="9">
        <v>9.9999999999999995E-8</v>
      </c>
    </row>
    <row r="4" spans="2:7" x14ac:dyDescent="0.2">
      <c r="B4" s="9">
        <v>1002</v>
      </c>
      <c r="C4" s="9">
        <v>0</v>
      </c>
      <c r="F4">
        <v>1002</v>
      </c>
      <c r="G4" s="9">
        <v>2.9999999999999999E-7</v>
      </c>
    </row>
    <row r="5" spans="2:7" hidden="1" x14ac:dyDescent="0.2">
      <c r="B5" s="9">
        <v>1003</v>
      </c>
      <c r="C5" s="9">
        <v>0</v>
      </c>
      <c r="F5">
        <v>1003</v>
      </c>
      <c r="G5" s="9">
        <v>0</v>
      </c>
    </row>
    <row r="6" spans="2:7" hidden="1" x14ac:dyDescent="0.2">
      <c r="B6" s="9">
        <v>2003</v>
      </c>
      <c r="C6" s="9">
        <v>0</v>
      </c>
      <c r="F6">
        <v>2003</v>
      </c>
      <c r="G6" s="9">
        <v>0</v>
      </c>
    </row>
    <row r="7" spans="2:7" x14ac:dyDescent="0.2">
      <c r="B7" s="9">
        <v>2004</v>
      </c>
      <c r="C7" s="9">
        <v>3.9999999999999998E-7</v>
      </c>
      <c r="F7">
        <v>2004</v>
      </c>
      <c r="G7" s="9">
        <v>3.1999999999999999E-6</v>
      </c>
    </row>
    <row r="8" spans="2:7" hidden="1" x14ac:dyDescent="0.2">
      <c r="B8" s="9">
        <v>2005</v>
      </c>
      <c r="C8" s="9">
        <v>0</v>
      </c>
      <c r="F8">
        <v>2005</v>
      </c>
      <c r="G8" s="9">
        <v>0</v>
      </c>
    </row>
    <row r="9" spans="2:7" x14ac:dyDescent="0.2">
      <c r="B9" s="9">
        <v>2006</v>
      </c>
      <c r="C9" s="9">
        <v>1.1999999999999999E-6</v>
      </c>
      <c r="F9">
        <v>2006</v>
      </c>
      <c r="G9" s="9">
        <v>1.1999999999999999E-6</v>
      </c>
    </row>
    <row r="10" spans="2:7" hidden="1" x14ac:dyDescent="0.2">
      <c r="B10" s="9">
        <v>2007</v>
      </c>
      <c r="C10" s="9">
        <v>0</v>
      </c>
      <c r="F10">
        <v>2007</v>
      </c>
      <c r="G10" s="9">
        <v>0</v>
      </c>
    </row>
    <row r="11" spans="2:7" hidden="1" x14ac:dyDescent="0.2">
      <c r="B11" s="9">
        <v>2008</v>
      </c>
      <c r="C11" s="9">
        <v>0</v>
      </c>
      <c r="F11">
        <v>2008</v>
      </c>
      <c r="G11" s="9">
        <v>0</v>
      </c>
    </row>
    <row r="12" spans="2:7" hidden="1" x14ac:dyDescent="0.2">
      <c r="B12" s="9">
        <v>3005</v>
      </c>
      <c r="C12" s="9">
        <v>0</v>
      </c>
      <c r="F12">
        <v>3005</v>
      </c>
      <c r="G12" s="9">
        <v>0</v>
      </c>
    </row>
    <row r="13" spans="2:7" x14ac:dyDescent="0.2">
      <c r="B13" s="9">
        <v>3006</v>
      </c>
      <c r="C13" s="9">
        <v>9.4400000000000004E-5</v>
      </c>
      <c r="F13">
        <v>3006</v>
      </c>
      <c r="G13" s="9">
        <v>1.3129999999999999E-4</v>
      </c>
    </row>
    <row r="14" spans="2:7" x14ac:dyDescent="0.2">
      <c r="B14" s="9">
        <v>3007</v>
      </c>
      <c r="C14" s="9">
        <v>3.1199999999999999E-5</v>
      </c>
      <c r="F14">
        <v>3007</v>
      </c>
      <c r="G14" s="9">
        <v>4.1499999999999999E-5</v>
      </c>
    </row>
    <row r="15" spans="2:7" x14ac:dyDescent="0.2">
      <c r="B15" s="9">
        <v>3008</v>
      </c>
      <c r="C15" s="9">
        <v>1.9999999999999999E-6</v>
      </c>
      <c r="F15">
        <v>3008</v>
      </c>
      <c r="G15" s="9">
        <v>1.9999999999999999E-6</v>
      </c>
    </row>
    <row r="16" spans="2:7" hidden="1" x14ac:dyDescent="0.2">
      <c r="B16" s="9">
        <v>3009</v>
      </c>
      <c r="C16" s="9">
        <v>0</v>
      </c>
      <c r="F16">
        <v>3009</v>
      </c>
      <c r="G16" s="9">
        <v>0</v>
      </c>
    </row>
    <row r="17" spans="2:7" hidden="1" x14ac:dyDescent="0.2">
      <c r="B17" s="9">
        <v>3010</v>
      </c>
      <c r="C17" s="9">
        <v>0</v>
      </c>
      <c r="F17">
        <v>3010</v>
      </c>
      <c r="G17" s="9">
        <v>0</v>
      </c>
    </row>
    <row r="18" spans="2:7" hidden="1" x14ac:dyDescent="0.2">
      <c r="B18" s="9">
        <v>3011</v>
      </c>
      <c r="C18" s="9">
        <v>0</v>
      </c>
      <c r="F18">
        <v>3011</v>
      </c>
      <c r="G18" s="9">
        <v>0</v>
      </c>
    </row>
    <row r="19" spans="2:7" hidden="1" x14ac:dyDescent="0.2">
      <c r="B19" s="9">
        <v>4006</v>
      </c>
      <c r="C19" s="9">
        <v>0</v>
      </c>
      <c r="F19">
        <v>4006</v>
      </c>
      <c r="G19" s="9">
        <v>0</v>
      </c>
    </row>
    <row r="20" spans="2:7" x14ac:dyDescent="0.2">
      <c r="B20" s="9">
        <v>4007</v>
      </c>
      <c r="C20" s="9">
        <v>5.8199999999999998E-5</v>
      </c>
      <c r="F20">
        <v>4007</v>
      </c>
      <c r="G20" s="9">
        <v>9.5099999999999994E-5</v>
      </c>
    </row>
    <row r="21" spans="2:7" hidden="1" x14ac:dyDescent="0.2">
      <c r="B21" s="9">
        <v>4008</v>
      </c>
      <c r="C21" s="9">
        <v>0</v>
      </c>
      <c r="F21">
        <v>4008</v>
      </c>
      <c r="G21" s="9">
        <v>0</v>
      </c>
    </row>
    <row r="22" spans="2:7" x14ac:dyDescent="0.2">
      <c r="B22" s="9">
        <v>4009</v>
      </c>
      <c r="C22" s="9">
        <v>1.6099999999999998E-5</v>
      </c>
      <c r="F22">
        <v>4009</v>
      </c>
      <c r="G22" s="9">
        <v>2.0299999999999999E-5</v>
      </c>
    </row>
    <row r="23" spans="2:7" x14ac:dyDescent="0.2">
      <c r="B23" s="9">
        <v>4010</v>
      </c>
      <c r="C23" s="9">
        <v>6.0000000000000002E-6</v>
      </c>
      <c r="F23">
        <v>4010</v>
      </c>
      <c r="G23" s="9">
        <v>6.9999999999999999E-6</v>
      </c>
    </row>
    <row r="24" spans="2:7" hidden="1" x14ac:dyDescent="0.2">
      <c r="B24" s="9">
        <v>4011</v>
      </c>
      <c r="C24" s="9">
        <v>0</v>
      </c>
      <c r="F24">
        <v>4011</v>
      </c>
      <c r="G24" s="9">
        <v>0</v>
      </c>
    </row>
    <row r="25" spans="2:7" hidden="1" x14ac:dyDescent="0.2">
      <c r="B25" s="9">
        <v>4012</v>
      </c>
      <c r="C25" s="9">
        <v>0</v>
      </c>
      <c r="F25">
        <v>4012</v>
      </c>
      <c r="G25" s="9">
        <v>0</v>
      </c>
    </row>
    <row r="26" spans="2:7" hidden="1" x14ac:dyDescent="0.2">
      <c r="B26" s="9">
        <v>4013</v>
      </c>
      <c r="C26" s="9">
        <v>0</v>
      </c>
      <c r="F26">
        <v>4013</v>
      </c>
      <c r="G26" s="9">
        <v>0</v>
      </c>
    </row>
    <row r="27" spans="2:7" hidden="1" x14ac:dyDescent="0.2">
      <c r="B27" s="9">
        <v>4014</v>
      </c>
      <c r="C27" s="9">
        <v>0</v>
      </c>
      <c r="F27">
        <v>4014</v>
      </c>
      <c r="G27" s="9">
        <v>0</v>
      </c>
    </row>
    <row r="28" spans="2:7" x14ac:dyDescent="0.2">
      <c r="B28" s="9">
        <v>5008</v>
      </c>
      <c r="C28" s="9">
        <v>6.4999999999999996E-6</v>
      </c>
      <c r="F28">
        <v>5008</v>
      </c>
      <c r="G28" s="9">
        <v>8.8000000000000004E-6</v>
      </c>
    </row>
    <row r="29" spans="2:7" hidden="1" x14ac:dyDescent="0.2">
      <c r="B29" s="9">
        <v>5009</v>
      </c>
      <c r="C29" s="9">
        <v>0</v>
      </c>
      <c r="F29">
        <v>5009</v>
      </c>
      <c r="G29" s="9">
        <v>0</v>
      </c>
    </row>
    <row r="30" spans="2:7" x14ac:dyDescent="0.2">
      <c r="B30" s="9">
        <v>5010</v>
      </c>
      <c r="C30" s="9">
        <v>7.6899999999999999E-5</v>
      </c>
      <c r="F30">
        <v>5010</v>
      </c>
      <c r="G30" s="9">
        <v>1.2970000000000001E-4</v>
      </c>
    </row>
    <row r="31" spans="2:7" x14ac:dyDescent="0.2">
      <c r="B31" s="9">
        <v>5011</v>
      </c>
      <c r="C31" s="9">
        <v>8.2799999999999993E-5</v>
      </c>
      <c r="F31">
        <v>5011</v>
      </c>
      <c r="G31" s="9">
        <v>1.7699999999999999E-4</v>
      </c>
    </row>
    <row r="32" spans="2:7" x14ac:dyDescent="0.2">
      <c r="B32" s="9">
        <v>5012</v>
      </c>
      <c r="C32" s="9">
        <v>1.1000000000000001E-6</v>
      </c>
      <c r="F32">
        <v>5012</v>
      </c>
      <c r="G32" s="9">
        <v>1.1000000000000001E-6</v>
      </c>
    </row>
    <row r="33" spans="2:7" x14ac:dyDescent="0.2">
      <c r="B33" s="9">
        <v>5013</v>
      </c>
      <c r="C33" s="9">
        <v>2.9999999999999999E-7</v>
      </c>
      <c r="F33">
        <v>5013</v>
      </c>
      <c r="G33" s="9">
        <v>2.9999999999999999E-7</v>
      </c>
    </row>
    <row r="34" spans="2:7" hidden="1" x14ac:dyDescent="0.2">
      <c r="B34" s="9">
        <v>5014</v>
      </c>
      <c r="C34" s="9">
        <v>0</v>
      </c>
      <c r="F34">
        <v>5014</v>
      </c>
      <c r="G34" s="9">
        <v>0</v>
      </c>
    </row>
    <row r="35" spans="2:7" hidden="1" x14ac:dyDescent="0.2">
      <c r="B35" s="9">
        <v>5015</v>
      </c>
      <c r="C35" s="9">
        <v>0</v>
      </c>
      <c r="F35">
        <v>5015</v>
      </c>
      <c r="G35" s="9">
        <v>0</v>
      </c>
    </row>
    <row r="36" spans="2:7" hidden="1" x14ac:dyDescent="0.2">
      <c r="B36" s="9">
        <v>5016</v>
      </c>
      <c r="C36" s="9">
        <v>0</v>
      </c>
      <c r="F36">
        <v>5016</v>
      </c>
      <c r="G36" s="9">
        <v>0</v>
      </c>
    </row>
    <row r="37" spans="2:7" hidden="1" x14ac:dyDescent="0.2">
      <c r="B37" s="9">
        <v>5017</v>
      </c>
      <c r="C37" s="9">
        <v>0</v>
      </c>
      <c r="F37">
        <v>5017</v>
      </c>
      <c r="G37" s="9">
        <v>0</v>
      </c>
    </row>
    <row r="38" spans="2:7" hidden="1" x14ac:dyDescent="0.2">
      <c r="B38" s="9">
        <v>6008</v>
      </c>
      <c r="C38" s="9">
        <v>0</v>
      </c>
      <c r="F38">
        <v>6008</v>
      </c>
      <c r="G38" s="9">
        <v>0</v>
      </c>
    </row>
    <row r="39" spans="2:7" x14ac:dyDescent="0.2">
      <c r="B39" s="9">
        <v>6009</v>
      </c>
      <c r="C39" s="9">
        <v>5.9999999999999997E-7</v>
      </c>
      <c r="F39">
        <v>6009</v>
      </c>
      <c r="G39" s="9">
        <v>5.9999999999999997E-7</v>
      </c>
    </row>
    <row r="40" spans="2:7" x14ac:dyDescent="0.2">
      <c r="B40" s="9">
        <v>6010</v>
      </c>
      <c r="C40" s="9">
        <v>5.5999999999999997E-6</v>
      </c>
      <c r="F40">
        <v>6010</v>
      </c>
      <c r="G40" s="9">
        <v>7.7999999999999999E-6</v>
      </c>
    </row>
    <row r="41" spans="2:7" x14ac:dyDescent="0.2">
      <c r="B41" s="9">
        <v>6011</v>
      </c>
      <c r="C41" s="9">
        <v>5.1600000000000001E-5</v>
      </c>
      <c r="F41">
        <v>6011</v>
      </c>
      <c r="G41" s="9">
        <v>1.4780000000000001E-4</v>
      </c>
    </row>
    <row r="42" spans="2:7" x14ac:dyDescent="0.2">
      <c r="B42" s="9">
        <v>6012</v>
      </c>
      <c r="C42" s="9">
        <v>4.3239999999999999E-4</v>
      </c>
      <c r="F42">
        <v>6012</v>
      </c>
      <c r="G42" s="9">
        <v>1.8458000000000001E-3</v>
      </c>
    </row>
    <row r="43" spans="2:7" x14ac:dyDescent="0.2">
      <c r="B43" s="9">
        <v>6013</v>
      </c>
      <c r="C43" s="9">
        <v>1.708E-4</v>
      </c>
      <c r="F43">
        <v>6013</v>
      </c>
      <c r="G43" s="9">
        <v>4.2300000000000004E-4</v>
      </c>
    </row>
    <row r="44" spans="2:7" x14ac:dyDescent="0.2">
      <c r="B44" s="9">
        <v>6014</v>
      </c>
      <c r="C44" s="9">
        <v>3.7599999999999999E-5</v>
      </c>
      <c r="F44">
        <v>6014</v>
      </c>
      <c r="G44" s="9">
        <v>6.1299999999999999E-5</v>
      </c>
    </row>
    <row r="45" spans="2:7" hidden="1" x14ac:dyDescent="0.2">
      <c r="B45" s="9">
        <v>6015</v>
      </c>
      <c r="C45" s="9">
        <v>0</v>
      </c>
      <c r="F45">
        <v>6015</v>
      </c>
      <c r="G45" s="9">
        <v>0</v>
      </c>
    </row>
    <row r="46" spans="2:7" x14ac:dyDescent="0.2">
      <c r="B46" s="9">
        <v>6016</v>
      </c>
      <c r="C46" s="9">
        <v>9.9999999999999995E-8</v>
      </c>
      <c r="F46">
        <v>6016</v>
      </c>
      <c r="G46" s="9">
        <v>9.9999999999999995E-8</v>
      </c>
    </row>
    <row r="47" spans="2:7" hidden="1" x14ac:dyDescent="0.2">
      <c r="B47" s="9">
        <v>6017</v>
      </c>
      <c r="C47" s="9">
        <v>0</v>
      </c>
      <c r="F47">
        <v>6017</v>
      </c>
      <c r="G47" s="9">
        <v>0</v>
      </c>
    </row>
    <row r="48" spans="2:7" hidden="1" x14ac:dyDescent="0.2">
      <c r="B48" s="9">
        <v>6018</v>
      </c>
      <c r="C48" s="9">
        <v>0</v>
      </c>
      <c r="F48">
        <v>6018</v>
      </c>
      <c r="G48" s="9">
        <v>0</v>
      </c>
    </row>
    <row r="49" spans="2:7" hidden="1" x14ac:dyDescent="0.2">
      <c r="B49" s="9">
        <v>6019</v>
      </c>
      <c r="C49" s="9">
        <v>0</v>
      </c>
      <c r="F49">
        <v>6019</v>
      </c>
      <c r="G49" s="9">
        <v>0</v>
      </c>
    </row>
    <row r="50" spans="2:7" hidden="1" x14ac:dyDescent="0.2">
      <c r="B50" s="9">
        <v>6020</v>
      </c>
      <c r="C50" s="9">
        <v>0</v>
      </c>
      <c r="F50">
        <v>6020</v>
      </c>
      <c r="G50" s="9">
        <v>0</v>
      </c>
    </row>
    <row r="51" spans="2:7" hidden="1" x14ac:dyDescent="0.2">
      <c r="B51" s="9">
        <v>7011</v>
      </c>
      <c r="C51" s="9">
        <v>0</v>
      </c>
      <c r="F51">
        <v>7011</v>
      </c>
      <c r="G51" s="9">
        <v>0</v>
      </c>
    </row>
    <row r="52" spans="2:7" x14ac:dyDescent="0.2">
      <c r="B52" s="9">
        <v>7012</v>
      </c>
      <c r="C52" s="9">
        <v>6.9999999999999997E-7</v>
      </c>
      <c r="F52">
        <v>7012</v>
      </c>
      <c r="G52" s="9">
        <v>2.5999999999999997E-6</v>
      </c>
    </row>
    <row r="53" spans="2:7" x14ac:dyDescent="0.2">
      <c r="B53" s="9">
        <v>7013</v>
      </c>
      <c r="C53" s="9">
        <v>6.8399999999999996E-5</v>
      </c>
      <c r="F53">
        <v>7013</v>
      </c>
      <c r="G53" s="9">
        <v>1.6679999999999999E-4</v>
      </c>
    </row>
    <row r="54" spans="2:7" x14ac:dyDescent="0.2">
      <c r="B54" s="9">
        <v>7014</v>
      </c>
      <c r="C54" s="9">
        <v>3.8900000000000002E-4</v>
      </c>
      <c r="F54">
        <v>7014</v>
      </c>
      <c r="G54" s="9">
        <v>1.4421000000000002E-3</v>
      </c>
    </row>
    <row r="55" spans="2:7" x14ac:dyDescent="0.2">
      <c r="B55" s="9">
        <v>7015</v>
      </c>
      <c r="C55" s="9">
        <v>5.0750000000000003E-4</v>
      </c>
      <c r="F55">
        <v>7015</v>
      </c>
      <c r="G55" s="9">
        <v>1.3425000000000002E-3</v>
      </c>
    </row>
    <row r="56" spans="2:7" x14ac:dyDescent="0.2">
      <c r="B56" s="9">
        <v>7016</v>
      </c>
      <c r="C56" s="9">
        <v>2.3E-6</v>
      </c>
      <c r="F56">
        <v>7016</v>
      </c>
      <c r="G56" s="9">
        <v>7.0000000000000007E-6</v>
      </c>
    </row>
    <row r="57" spans="2:7" x14ac:dyDescent="0.2">
      <c r="B57" s="9">
        <v>7017</v>
      </c>
      <c r="C57" s="9">
        <v>9.9999999999999995E-7</v>
      </c>
      <c r="F57">
        <v>7017</v>
      </c>
      <c r="G57" s="9">
        <v>2.3E-6</v>
      </c>
    </row>
    <row r="58" spans="2:7" hidden="1" x14ac:dyDescent="0.2">
      <c r="B58" s="9">
        <v>7018</v>
      </c>
      <c r="C58" s="9">
        <v>0</v>
      </c>
      <c r="F58">
        <v>7018</v>
      </c>
      <c r="G58" s="9">
        <v>0</v>
      </c>
    </row>
    <row r="59" spans="2:7" hidden="1" x14ac:dyDescent="0.2">
      <c r="B59" s="9">
        <v>7019</v>
      </c>
      <c r="C59" s="9">
        <v>0</v>
      </c>
      <c r="F59">
        <v>7019</v>
      </c>
      <c r="G59" s="9">
        <v>0</v>
      </c>
    </row>
    <row r="60" spans="2:7" hidden="1" x14ac:dyDescent="0.2">
      <c r="B60" s="9">
        <v>7020</v>
      </c>
      <c r="C60" s="9">
        <v>0</v>
      </c>
      <c r="F60">
        <v>7020</v>
      </c>
      <c r="G60" s="9">
        <v>0</v>
      </c>
    </row>
    <row r="61" spans="2:7" hidden="1" x14ac:dyDescent="0.2">
      <c r="B61" s="9">
        <v>7021</v>
      </c>
      <c r="C61" s="9">
        <v>0</v>
      </c>
      <c r="F61">
        <v>7021</v>
      </c>
      <c r="G61" s="9">
        <v>0</v>
      </c>
    </row>
    <row r="62" spans="2:7" hidden="1" x14ac:dyDescent="0.2">
      <c r="B62" s="9">
        <v>7022</v>
      </c>
      <c r="C62" s="9">
        <v>0</v>
      </c>
      <c r="F62">
        <v>7022</v>
      </c>
      <c r="G62" s="9">
        <v>0</v>
      </c>
    </row>
    <row r="63" spans="2:7" hidden="1" x14ac:dyDescent="0.2">
      <c r="B63" s="9">
        <v>7023</v>
      </c>
      <c r="C63" s="9">
        <v>0</v>
      </c>
      <c r="F63">
        <v>7023</v>
      </c>
      <c r="G63" s="9">
        <v>0</v>
      </c>
    </row>
    <row r="64" spans="2:7" x14ac:dyDescent="0.2">
      <c r="B64" s="9">
        <v>8013</v>
      </c>
      <c r="C64" s="9">
        <v>7.9999999999999996E-7</v>
      </c>
      <c r="F64">
        <v>8013</v>
      </c>
      <c r="G64" s="9">
        <v>8.9999999999999996E-7</v>
      </c>
    </row>
    <row r="65" spans="2:7" x14ac:dyDescent="0.2">
      <c r="B65" s="9">
        <v>8014</v>
      </c>
      <c r="C65" s="9">
        <v>4.5599999999999997E-5</v>
      </c>
      <c r="F65">
        <v>8014</v>
      </c>
      <c r="G65" s="9">
        <v>9.9199999999999999E-5</v>
      </c>
    </row>
    <row r="66" spans="2:7" x14ac:dyDescent="0.2">
      <c r="B66" s="9">
        <v>8015</v>
      </c>
      <c r="C66" s="9">
        <v>4.4870000000000001E-4</v>
      </c>
      <c r="F66">
        <v>8015</v>
      </c>
      <c r="G66" s="9">
        <v>1.6352000000000001E-3</v>
      </c>
    </row>
    <row r="67" spans="2:7" x14ac:dyDescent="0.2">
      <c r="B67" s="9">
        <v>8016</v>
      </c>
      <c r="C67" s="9">
        <v>4.7162999999999997E-3</v>
      </c>
      <c r="F67">
        <v>8016</v>
      </c>
      <c r="G67" s="9">
        <v>2.0458399999999998E-2</v>
      </c>
    </row>
    <row r="68" spans="2:7" x14ac:dyDescent="0.2">
      <c r="B68" s="9">
        <v>8017</v>
      </c>
      <c r="C68" s="9">
        <v>3.1999999999999999E-6</v>
      </c>
      <c r="F68">
        <v>8017</v>
      </c>
      <c r="G68" s="9">
        <v>1.1900000000000001E-5</v>
      </c>
    </row>
    <row r="69" spans="2:7" x14ac:dyDescent="0.2">
      <c r="B69" s="9">
        <v>8018</v>
      </c>
      <c r="C69" s="9">
        <v>1.11E-5</v>
      </c>
      <c r="F69">
        <v>8018</v>
      </c>
      <c r="G69" s="9">
        <v>4.18E-5</v>
      </c>
    </row>
    <row r="70" spans="2:7" hidden="1" x14ac:dyDescent="0.2">
      <c r="B70" s="9">
        <v>8019</v>
      </c>
      <c r="C70" s="9">
        <v>0</v>
      </c>
      <c r="F70">
        <v>8019</v>
      </c>
      <c r="G70" s="9">
        <v>0</v>
      </c>
    </row>
    <row r="71" spans="2:7" hidden="1" x14ac:dyDescent="0.2">
      <c r="B71" s="9">
        <v>8020</v>
      </c>
      <c r="C71" s="9">
        <v>0</v>
      </c>
      <c r="F71">
        <v>8020</v>
      </c>
      <c r="G71" s="9">
        <v>0</v>
      </c>
    </row>
    <row r="72" spans="2:7" hidden="1" x14ac:dyDescent="0.2">
      <c r="B72" s="9">
        <v>8021</v>
      </c>
      <c r="C72" s="9">
        <v>0</v>
      </c>
      <c r="F72">
        <v>8021</v>
      </c>
      <c r="G72" s="9">
        <v>0</v>
      </c>
    </row>
    <row r="73" spans="2:7" hidden="1" x14ac:dyDescent="0.2">
      <c r="B73" s="9">
        <v>8022</v>
      </c>
      <c r="C73" s="9">
        <v>0</v>
      </c>
      <c r="F73">
        <v>8022</v>
      </c>
      <c r="G73" s="9">
        <v>0</v>
      </c>
    </row>
    <row r="74" spans="2:7" hidden="1" x14ac:dyDescent="0.2">
      <c r="B74" s="9">
        <v>8023</v>
      </c>
      <c r="C74" s="9">
        <v>0</v>
      </c>
      <c r="F74">
        <v>8023</v>
      </c>
      <c r="G74" s="9">
        <v>0</v>
      </c>
    </row>
    <row r="75" spans="2:7" x14ac:dyDescent="0.2">
      <c r="B75" s="9">
        <v>8024</v>
      </c>
      <c r="C75" s="9">
        <v>2.9999999999999999E-7</v>
      </c>
      <c r="F75">
        <v>8024</v>
      </c>
      <c r="G75" s="9">
        <v>2.9999999999999999E-7</v>
      </c>
    </row>
    <row r="76" spans="2:7" x14ac:dyDescent="0.2">
      <c r="B76" s="9">
        <v>9015</v>
      </c>
      <c r="C76" s="9">
        <v>3.4000000000000001E-6</v>
      </c>
      <c r="F76">
        <v>9015</v>
      </c>
      <c r="G76" s="9">
        <v>9.100000000000001E-6</v>
      </c>
    </row>
    <row r="77" spans="2:7" x14ac:dyDescent="0.2">
      <c r="B77" s="9">
        <v>9016</v>
      </c>
      <c r="C77" s="9">
        <v>5.3900000000000002E-5</v>
      </c>
      <c r="F77">
        <v>9016</v>
      </c>
      <c r="G77" s="9">
        <v>2.0699999999999999E-4</v>
      </c>
    </row>
    <row r="78" spans="2:7" hidden="1" x14ac:dyDescent="0.2">
      <c r="B78" s="9">
        <v>9017</v>
      </c>
      <c r="C78" s="9">
        <v>0</v>
      </c>
      <c r="F78">
        <v>9017</v>
      </c>
      <c r="G78" s="9">
        <v>0</v>
      </c>
    </row>
    <row r="79" spans="2:7" x14ac:dyDescent="0.2">
      <c r="B79" s="9">
        <v>9018</v>
      </c>
      <c r="C79" s="9">
        <v>2.9999999999999999E-7</v>
      </c>
      <c r="F79">
        <v>9018</v>
      </c>
      <c r="G79" s="9">
        <v>1.3999999999999999E-6</v>
      </c>
    </row>
    <row r="80" spans="2:7" hidden="1" x14ac:dyDescent="0.2">
      <c r="B80" s="9">
        <v>9019</v>
      </c>
      <c r="C80" s="9">
        <v>0</v>
      </c>
      <c r="F80">
        <v>9019</v>
      </c>
      <c r="G80" s="9">
        <v>0</v>
      </c>
    </row>
    <row r="81" spans="2:7" hidden="1" x14ac:dyDescent="0.2">
      <c r="B81" s="9">
        <v>9020</v>
      </c>
      <c r="C81" s="9">
        <v>0</v>
      </c>
      <c r="F81">
        <v>9020</v>
      </c>
      <c r="G81" s="9">
        <v>0</v>
      </c>
    </row>
    <row r="82" spans="2:7" hidden="1" x14ac:dyDescent="0.2">
      <c r="B82" s="9">
        <v>9021</v>
      </c>
      <c r="C82" s="9">
        <v>0</v>
      </c>
      <c r="F82">
        <v>9021</v>
      </c>
      <c r="G82" s="9">
        <v>0</v>
      </c>
    </row>
    <row r="83" spans="2:7" hidden="1" x14ac:dyDescent="0.2">
      <c r="B83" s="9">
        <v>9022</v>
      </c>
      <c r="C83" s="9">
        <v>0</v>
      </c>
      <c r="F83">
        <v>9022</v>
      </c>
      <c r="G83" s="9">
        <v>0</v>
      </c>
    </row>
    <row r="84" spans="2:7" hidden="1" x14ac:dyDescent="0.2">
      <c r="B84" s="9">
        <v>9023</v>
      </c>
      <c r="C84" s="9">
        <v>0</v>
      </c>
      <c r="F84">
        <v>9023</v>
      </c>
      <c r="G84" s="9">
        <v>0</v>
      </c>
    </row>
    <row r="85" spans="2:7" hidden="1" x14ac:dyDescent="0.2">
      <c r="B85" s="9">
        <v>9024</v>
      </c>
      <c r="C85" s="9">
        <v>0</v>
      </c>
      <c r="F85">
        <v>9024</v>
      </c>
      <c r="G85" s="9">
        <v>0</v>
      </c>
    </row>
    <row r="86" spans="2:7" hidden="1" x14ac:dyDescent="0.2">
      <c r="B86" s="9">
        <v>9025</v>
      </c>
      <c r="C86" s="9">
        <v>0</v>
      </c>
      <c r="F86">
        <v>9025</v>
      </c>
      <c r="G86" s="9">
        <v>0</v>
      </c>
    </row>
    <row r="87" spans="2:7" hidden="1" x14ac:dyDescent="0.2">
      <c r="B87" s="9">
        <v>9026</v>
      </c>
      <c r="C87" s="9">
        <v>0</v>
      </c>
      <c r="F87">
        <v>9026</v>
      </c>
      <c r="G87" s="9">
        <v>0</v>
      </c>
    </row>
    <row r="88" spans="2:7" hidden="1" x14ac:dyDescent="0.2">
      <c r="B88" s="9">
        <v>9027</v>
      </c>
      <c r="C88" s="9">
        <v>0</v>
      </c>
      <c r="F88">
        <v>9027</v>
      </c>
      <c r="G88" s="9">
        <v>0</v>
      </c>
    </row>
    <row r="89" spans="2:7" hidden="1" x14ac:dyDescent="0.2">
      <c r="B89" s="9">
        <v>10017</v>
      </c>
      <c r="C89" s="9">
        <v>0</v>
      </c>
      <c r="F89">
        <v>10017</v>
      </c>
      <c r="G89" s="9">
        <v>0</v>
      </c>
    </row>
    <row r="90" spans="2:7" hidden="1" x14ac:dyDescent="0.2">
      <c r="B90" s="9">
        <v>10018</v>
      </c>
      <c r="C90" s="9">
        <v>0</v>
      </c>
      <c r="F90">
        <v>10018</v>
      </c>
      <c r="G90" s="9">
        <v>0</v>
      </c>
    </row>
    <row r="91" spans="2:7" hidden="1" x14ac:dyDescent="0.2">
      <c r="B91" s="9">
        <v>10019</v>
      </c>
      <c r="C91" s="9">
        <v>0</v>
      </c>
      <c r="F91">
        <v>10019</v>
      </c>
      <c r="G91" s="9">
        <v>0</v>
      </c>
    </row>
    <row r="92" spans="2:7" hidden="1" x14ac:dyDescent="0.2">
      <c r="B92" s="9">
        <v>10020</v>
      </c>
      <c r="C92" s="9">
        <v>0</v>
      </c>
      <c r="F92">
        <v>10020</v>
      </c>
      <c r="G92" s="9">
        <v>0</v>
      </c>
    </row>
    <row r="93" spans="2:7" hidden="1" x14ac:dyDescent="0.2">
      <c r="B93" s="9">
        <v>10021</v>
      </c>
      <c r="C93" s="9">
        <v>0</v>
      </c>
      <c r="F93">
        <v>10021</v>
      </c>
      <c r="G93" s="9">
        <v>0</v>
      </c>
    </row>
    <row r="94" spans="2:7" hidden="1" x14ac:dyDescent="0.2">
      <c r="B94" s="9">
        <v>10022</v>
      </c>
      <c r="C94" s="9">
        <v>0</v>
      </c>
      <c r="F94">
        <v>10022</v>
      </c>
      <c r="G94" s="9">
        <v>0</v>
      </c>
    </row>
    <row r="95" spans="2:7" hidden="1" x14ac:dyDescent="0.2">
      <c r="B95" s="9">
        <v>10023</v>
      </c>
      <c r="C95" s="9">
        <v>0</v>
      </c>
      <c r="F95">
        <v>10023</v>
      </c>
      <c r="G95" s="9">
        <v>0</v>
      </c>
    </row>
    <row r="96" spans="2:7" hidden="1" x14ac:dyDescent="0.2">
      <c r="B96" s="9">
        <v>10024</v>
      </c>
      <c r="C96" s="9">
        <v>0</v>
      </c>
      <c r="F96">
        <v>10024</v>
      </c>
      <c r="G96" s="9">
        <v>0</v>
      </c>
    </row>
    <row r="97" spans="2:7" hidden="1" x14ac:dyDescent="0.2">
      <c r="B97" s="9">
        <v>10025</v>
      </c>
      <c r="C97" s="9">
        <v>0</v>
      </c>
      <c r="F97">
        <v>10025</v>
      </c>
      <c r="G97" s="9">
        <v>0</v>
      </c>
    </row>
    <row r="98" spans="2:7" hidden="1" x14ac:dyDescent="0.2">
      <c r="B98" s="9">
        <v>10026</v>
      </c>
      <c r="C98" s="9">
        <v>0</v>
      </c>
      <c r="F98">
        <v>10026</v>
      </c>
      <c r="G98" s="9">
        <v>0</v>
      </c>
    </row>
    <row r="99" spans="2:7" hidden="1" x14ac:dyDescent="0.2">
      <c r="B99" s="9">
        <v>10027</v>
      </c>
      <c r="C99" s="9">
        <v>0</v>
      </c>
      <c r="F99">
        <v>10027</v>
      </c>
      <c r="G99" s="9">
        <v>0</v>
      </c>
    </row>
    <row r="100" spans="2:7" hidden="1" x14ac:dyDescent="0.2">
      <c r="B100" s="9">
        <v>10028</v>
      </c>
      <c r="C100" s="9">
        <v>0</v>
      </c>
      <c r="F100">
        <v>10028</v>
      </c>
      <c r="G100" s="9">
        <v>0</v>
      </c>
    </row>
    <row r="101" spans="2:7" hidden="1" x14ac:dyDescent="0.2">
      <c r="B101" s="9">
        <v>11019</v>
      </c>
      <c r="C101" s="9">
        <v>0</v>
      </c>
      <c r="F101">
        <v>11019</v>
      </c>
      <c r="G101" s="9">
        <v>0</v>
      </c>
    </row>
    <row r="102" spans="2:7" hidden="1" x14ac:dyDescent="0.2">
      <c r="B102" s="9">
        <v>11020</v>
      </c>
      <c r="C102" s="9">
        <v>0</v>
      </c>
      <c r="F102">
        <v>11020</v>
      </c>
      <c r="G102" s="9">
        <v>0</v>
      </c>
    </row>
    <row r="103" spans="2:7" hidden="1" x14ac:dyDescent="0.2">
      <c r="B103" s="9">
        <v>11021</v>
      </c>
      <c r="C103" s="9">
        <v>0</v>
      </c>
      <c r="F103">
        <v>11021</v>
      </c>
      <c r="G103" s="9">
        <v>0</v>
      </c>
    </row>
    <row r="104" spans="2:7" hidden="1" x14ac:dyDescent="0.2">
      <c r="B104" s="9">
        <v>11022</v>
      </c>
      <c r="C104" s="9">
        <v>0</v>
      </c>
      <c r="F104">
        <v>11022</v>
      </c>
      <c r="G104" s="9">
        <v>0</v>
      </c>
    </row>
    <row r="105" spans="2:7" hidden="1" x14ac:dyDescent="0.2">
      <c r="B105" s="9">
        <v>11023</v>
      </c>
      <c r="C105" s="9">
        <v>0</v>
      </c>
      <c r="F105">
        <v>11023</v>
      </c>
      <c r="G105" s="9">
        <v>0</v>
      </c>
    </row>
    <row r="106" spans="2:7" hidden="1" x14ac:dyDescent="0.2">
      <c r="B106" s="9">
        <v>11024</v>
      </c>
      <c r="C106" s="9">
        <v>0</v>
      </c>
      <c r="F106">
        <v>11024</v>
      </c>
      <c r="G106" s="9">
        <v>0</v>
      </c>
    </row>
    <row r="107" spans="2:7" hidden="1" x14ac:dyDescent="0.2">
      <c r="B107" s="9">
        <v>11025</v>
      </c>
      <c r="C107" s="9">
        <v>0</v>
      </c>
      <c r="F107">
        <v>11025</v>
      </c>
      <c r="G107" s="9">
        <v>0</v>
      </c>
    </row>
    <row r="108" spans="2:7" hidden="1" x14ac:dyDescent="0.2">
      <c r="B108" s="9">
        <v>11026</v>
      </c>
      <c r="C108" s="9">
        <v>0</v>
      </c>
      <c r="F108">
        <v>11026</v>
      </c>
      <c r="G108" s="9">
        <v>0</v>
      </c>
    </row>
    <row r="109" spans="2:7" hidden="1" x14ac:dyDescent="0.2">
      <c r="B109" s="9">
        <v>11027</v>
      </c>
      <c r="C109" s="9">
        <v>0</v>
      </c>
      <c r="F109">
        <v>11027</v>
      </c>
      <c r="G109" s="9">
        <v>0</v>
      </c>
    </row>
    <row r="110" spans="2:7" hidden="1" x14ac:dyDescent="0.2">
      <c r="B110" s="9">
        <v>11028</v>
      </c>
      <c r="C110" s="9">
        <v>0</v>
      </c>
      <c r="F110">
        <v>11028</v>
      </c>
      <c r="G110" s="9">
        <v>0</v>
      </c>
    </row>
    <row r="111" spans="2:7" hidden="1" x14ac:dyDescent="0.2">
      <c r="B111" s="9">
        <v>11029</v>
      </c>
      <c r="C111" s="9">
        <v>0</v>
      </c>
      <c r="F111">
        <v>11029</v>
      </c>
      <c r="G111" s="9">
        <v>0</v>
      </c>
    </row>
    <row r="112" spans="2:7" hidden="1" x14ac:dyDescent="0.2">
      <c r="B112" s="9">
        <v>11030</v>
      </c>
      <c r="C112" s="9">
        <v>0</v>
      </c>
      <c r="F112">
        <v>11030</v>
      </c>
      <c r="G112" s="9">
        <v>0</v>
      </c>
    </row>
    <row r="113" spans="2:7" hidden="1" x14ac:dyDescent="0.2">
      <c r="B113" s="9">
        <v>11031</v>
      </c>
      <c r="C113" s="9">
        <v>0</v>
      </c>
      <c r="F113">
        <v>11031</v>
      </c>
      <c r="G113" s="9">
        <v>0</v>
      </c>
    </row>
    <row r="114" spans="2:7" hidden="1" x14ac:dyDescent="0.2">
      <c r="B114" s="9">
        <v>11032</v>
      </c>
      <c r="C114" s="9">
        <v>0</v>
      </c>
      <c r="F114">
        <v>11032</v>
      </c>
      <c r="G114" s="9">
        <v>0</v>
      </c>
    </row>
    <row r="115" spans="2:7" hidden="1" x14ac:dyDescent="0.2">
      <c r="B115" s="9">
        <v>11033</v>
      </c>
      <c r="C115" s="9">
        <v>0</v>
      </c>
      <c r="F115">
        <v>11033</v>
      </c>
      <c r="G115" s="9">
        <v>0</v>
      </c>
    </row>
    <row r="116" spans="2:7" hidden="1" x14ac:dyDescent="0.2">
      <c r="B116" s="9">
        <v>11034</v>
      </c>
      <c r="C116" s="9">
        <v>0</v>
      </c>
      <c r="F116">
        <v>11034</v>
      </c>
      <c r="G116" s="9">
        <v>0</v>
      </c>
    </row>
    <row r="117" spans="2:7" hidden="1" x14ac:dyDescent="0.2">
      <c r="B117" s="9">
        <v>11035</v>
      </c>
      <c r="C117" s="9">
        <v>0</v>
      </c>
      <c r="F117">
        <v>11035</v>
      </c>
      <c r="G117" s="9">
        <v>0</v>
      </c>
    </row>
    <row r="118" spans="2:7" hidden="1" x14ac:dyDescent="0.2">
      <c r="B118" s="9">
        <v>12020</v>
      </c>
      <c r="C118" s="9">
        <v>0</v>
      </c>
      <c r="F118">
        <v>12020</v>
      </c>
      <c r="G118" s="9">
        <v>0</v>
      </c>
    </row>
    <row r="119" spans="2:7" hidden="1" x14ac:dyDescent="0.2">
      <c r="B119" s="9">
        <v>12021</v>
      </c>
      <c r="C119" s="9">
        <v>0</v>
      </c>
      <c r="F119">
        <v>12021</v>
      </c>
      <c r="G119" s="9">
        <v>0</v>
      </c>
    </row>
    <row r="120" spans="2:7" hidden="1" x14ac:dyDescent="0.2">
      <c r="B120" s="9">
        <v>12022</v>
      </c>
      <c r="C120" s="9">
        <v>0</v>
      </c>
      <c r="F120">
        <v>12022</v>
      </c>
      <c r="G120" s="9">
        <v>0</v>
      </c>
    </row>
    <row r="121" spans="2:7" hidden="1" x14ac:dyDescent="0.2">
      <c r="B121" s="9">
        <v>12023</v>
      </c>
      <c r="C121" s="9">
        <v>0</v>
      </c>
      <c r="F121">
        <v>12023</v>
      </c>
      <c r="G121" s="9">
        <v>0</v>
      </c>
    </row>
    <row r="122" spans="2:7" hidden="1" x14ac:dyDescent="0.2">
      <c r="B122" s="9">
        <v>12024</v>
      </c>
      <c r="C122" s="9">
        <v>0</v>
      </c>
      <c r="F122">
        <v>12024</v>
      </c>
      <c r="G122" s="9">
        <v>0</v>
      </c>
    </row>
    <row r="123" spans="2:7" hidden="1" x14ac:dyDescent="0.2">
      <c r="B123" s="9">
        <v>12025</v>
      </c>
      <c r="C123" s="9">
        <v>0</v>
      </c>
      <c r="F123">
        <v>12025</v>
      </c>
      <c r="G123" s="9">
        <v>0</v>
      </c>
    </row>
    <row r="124" spans="2:7" hidden="1" x14ac:dyDescent="0.2">
      <c r="B124" s="9">
        <v>12026</v>
      </c>
      <c r="C124" s="9">
        <v>0</v>
      </c>
      <c r="F124">
        <v>12026</v>
      </c>
      <c r="G124" s="9">
        <v>0</v>
      </c>
    </row>
    <row r="125" spans="2:7" hidden="1" x14ac:dyDescent="0.2">
      <c r="B125" s="9">
        <v>12027</v>
      </c>
      <c r="C125" s="9">
        <v>0</v>
      </c>
      <c r="F125">
        <v>12027</v>
      </c>
      <c r="G125" s="9">
        <v>0</v>
      </c>
    </row>
    <row r="126" spans="2:7" hidden="1" x14ac:dyDescent="0.2">
      <c r="B126" s="9">
        <v>12028</v>
      </c>
      <c r="C126" s="9">
        <v>0</v>
      </c>
      <c r="F126">
        <v>12028</v>
      </c>
      <c r="G126" s="9">
        <v>0</v>
      </c>
    </row>
    <row r="127" spans="2:7" hidden="1" x14ac:dyDescent="0.2">
      <c r="B127" s="9">
        <v>12029</v>
      </c>
      <c r="C127" s="9">
        <v>0</v>
      </c>
      <c r="F127">
        <v>12029</v>
      </c>
      <c r="G127" s="9">
        <v>0</v>
      </c>
    </row>
    <row r="128" spans="2:7" hidden="1" x14ac:dyDescent="0.2">
      <c r="B128" s="9">
        <v>12030</v>
      </c>
      <c r="C128" s="9">
        <v>0</v>
      </c>
      <c r="F128">
        <v>12030</v>
      </c>
      <c r="G128" s="9">
        <v>0</v>
      </c>
    </row>
    <row r="129" spans="2:7" hidden="1" x14ac:dyDescent="0.2">
      <c r="B129" s="9">
        <v>12031</v>
      </c>
      <c r="C129" s="9">
        <v>0</v>
      </c>
      <c r="F129">
        <v>12031</v>
      </c>
      <c r="G129" s="9">
        <v>0</v>
      </c>
    </row>
    <row r="130" spans="2:7" hidden="1" x14ac:dyDescent="0.2">
      <c r="B130" s="9">
        <v>12032</v>
      </c>
      <c r="C130" s="9">
        <v>0</v>
      </c>
      <c r="F130">
        <v>12032</v>
      </c>
      <c r="G130" s="9">
        <v>0</v>
      </c>
    </row>
    <row r="131" spans="2:7" hidden="1" x14ac:dyDescent="0.2">
      <c r="B131" s="9">
        <v>12033</v>
      </c>
      <c r="C131" s="9">
        <v>0</v>
      </c>
      <c r="F131">
        <v>12033</v>
      </c>
      <c r="G131" s="9">
        <v>0</v>
      </c>
    </row>
    <row r="132" spans="2:7" hidden="1" x14ac:dyDescent="0.2">
      <c r="B132" s="9">
        <v>12034</v>
      </c>
      <c r="C132" s="9">
        <v>0</v>
      </c>
      <c r="F132">
        <v>12034</v>
      </c>
      <c r="G132" s="9">
        <v>0</v>
      </c>
    </row>
    <row r="133" spans="2:7" hidden="1" x14ac:dyDescent="0.2">
      <c r="B133" s="9">
        <v>13022</v>
      </c>
      <c r="C133" s="9">
        <v>0</v>
      </c>
      <c r="F133">
        <v>13022</v>
      </c>
      <c r="G133" s="9">
        <v>0</v>
      </c>
    </row>
    <row r="134" spans="2:7" hidden="1" x14ac:dyDescent="0.2">
      <c r="B134" s="9">
        <v>13023</v>
      </c>
      <c r="C134" s="9">
        <v>0</v>
      </c>
      <c r="F134">
        <v>13023</v>
      </c>
      <c r="G134" s="9">
        <v>0</v>
      </c>
    </row>
    <row r="135" spans="2:7" hidden="1" x14ac:dyDescent="0.2">
      <c r="B135" s="9">
        <v>13024</v>
      </c>
      <c r="C135" s="9">
        <v>0</v>
      </c>
      <c r="F135">
        <v>13024</v>
      </c>
      <c r="G135" s="9">
        <v>0</v>
      </c>
    </row>
    <row r="136" spans="2:7" hidden="1" x14ac:dyDescent="0.2">
      <c r="B136" s="9">
        <v>13025</v>
      </c>
      <c r="C136" s="9">
        <v>0</v>
      </c>
      <c r="F136">
        <v>13025</v>
      </c>
      <c r="G136" s="9">
        <v>0</v>
      </c>
    </row>
    <row r="137" spans="2:7" hidden="1" x14ac:dyDescent="0.2">
      <c r="B137" s="9">
        <v>13026</v>
      </c>
      <c r="C137" s="9">
        <v>0</v>
      </c>
      <c r="F137">
        <v>13026</v>
      </c>
      <c r="G137" s="9">
        <v>0</v>
      </c>
    </row>
    <row r="138" spans="2:7" hidden="1" x14ac:dyDescent="0.2">
      <c r="B138" s="9">
        <v>13027</v>
      </c>
      <c r="C138" s="9">
        <v>0</v>
      </c>
      <c r="F138">
        <v>13027</v>
      </c>
      <c r="G138" s="9">
        <v>0</v>
      </c>
    </row>
    <row r="139" spans="2:7" hidden="1" x14ac:dyDescent="0.2">
      <c r="B139" s="9">
        <v>13028</v>
      </c>
      <c r="C139" s="9">
        <v>0</v>
      </c>
      <c r="F139">
        <v>13028</v>
      </c>
      <c r="G139" s="9">
        <v>0</v>
      </c>
    </row>
    <row r="140" spans="2:7" hidden="1" x14ac:dyDescent="0.2">
      <c r="B140" s="9">
        <v>13029</v>
      </c>
      <c r="C140" s="9">
        <v>0</v>
      </c>
      <c r="F140">
        <v>13029</v>
      </c>
      <c r="G140" s="9">
        <v>0</v>
      </c>
    </row>
    <row r="141" spans="2:7" hidden="1" x14ac:dyDescent="0.2">
      <c r="B141" s="9">
        <v>13030</v>
      </c>
      <c r="C141" s="9">
        <v>0</v>
      </c>
      <c r="F141">
        <v>13030</v>
      </c>
      <c r="G141" s="9">
        <v>0</v>
      </c>
    </row>
    <row r="142" spans="2:7" hidden="1" x14ac:dyDescent="0.2">
      <c r="B142" s="9">
        <v>13031</v>
      </c>
      <c r="C142" s="9">
        <v>0</v>
      </c>
      <c r="F142">
        <v>13031</v>
      </c>
      <c r="G142" s="9">
        <v>0</v>
      </c>
    </row>
    <row r="143" spans="2:7" hidden="1" x14ac:dyDescent="0.2">
      <c r="B143" s="9">
        <v>13032</v>
      </c>
      <c r="C143" s="9">
        <v>0</v>
      </c>
      <c r="F143">
        <v>13032</v>
      </c>
      <c r="G143" s="9">
        <v>0</v>
      </c>
    </row>
    <row r="144" spans="2:7" hidden="1" x14ac:dyDescent="0.2">
      <c r="B144" s="9">
        <v>13033</v>
      </c>
      <c r="C144" s="9">
        <v>0</v>
      </c>
      <c r="F144">
        <v>13033</v>
      </c>
      <c r="G144" s="9">
        <v>0</v>
      </c>
    </row>
    <row r="145" spans="2:7" hidden="1" x14ac:dyDescent="0.2">
      <c r="B145" s="9">
        <v>13034</v>
      </c>
      <c r="C145" s="9">
        <v>0</v>
      </c>
      <c r="F145">
        <v>13034</v>
      </c>
      <c r="G145" s="9">
        <v>0</v>
      </c>
    </row>
    <row r="146" spans="2:7" hidden="1" x14ac:dyDescent="0.2">
      <c r="B146" s="9">
        <v>13035</v>
      </c>
      <c r="C146" s="9">
        <v>0</v>
      </c>
      <c r="F146">
        <v>13035</v>
      </c>
      <c r="G146" s="9">
        <v>0</v>
      </c>
    </row>
    <row r="147" spans="2:7" hidden="1" x14ac:dyDescent="0.2">
      <c r="B147" s="9">
        <v>14024</v>
      </c>
      <c r="C147" s="9">
        <v>0</v>
      </c>
      <c r="F147">
        <v>14024</v>
      </c>
      <c r="G147" s="9">
        <v>0</v>
      </c>
    </row>
    <row r="148" spans="2:7" hidden="1" x14ac:dyDescent="0.2">
      <c r="B148" s="9">
        <v>14025</v>
      </c>
      <c r="C148" s="9">
        <v>0</v>
      </c>
      <c r="F148">
        <v>14025</v>
      </c>
      <c r="G148" s="9">
        <v>0</v>
      </c>
    </row>
    <row r="149" spans="2:7" hidden="1" x14ac:dyDescent="0.2">
      <c r="B149" s="9">
        <v>14026</v>
      </c>
      <c r="C149" s="9">
        <v>0</v>
      </c>
      <c r="F149">
        <v>14026</v>
      </c>
      <c r="G149" s="9">
        <v>0</v>
      </c>
    </row>
    <row r="150" spans="2:7" hidden="1" x14ac:dyDescent="0.2">
      <c r="B150" s="9">
        <v>14027</v>
      </c>
      <c r="C150" s="9">
        <v>0</v>
      </c>
      <c r="F150">
        <v>14027</v>
      </c>
      <c r="G150" s="9">
        <v>0</v>
      </c>
    </row>
    <row r="151" spans="2:7" hidden="1" x14ac:dyDescent="0.2">
      <c r="B151" s="9">
        <v>14028</v>
      </c>
      <c r="C151" s="9">
        <v>0</v>
      </c>
      <c r="F151">
        <v>14028</v>
      </c>
      <c r="G151" s="9">
        <v>0</v>
      </c>
    </row>
    <row r="152" spans="2:7" hidden="1" x14ac:dyDescent="0.2">
      <c r="B152" s="9">
        <v>14029</v>
      </c>
      <c r="C152" s="9">
        <v>0</v>
      </c>
      <c r="F152">
        <v>14029</v>
      </c>
      <c r="G152" s="9">
        <v>0</v>
      </c>
    </row>
    <row r="153" spans="2:7" hidden="1" x14ac:dyDescent="0.2">
      <c r="B153" s="9">
        <v>14030</v>
      </c>
      <c r="C153" s="9">
        <v>0</v>
      </c>
      <c r="F153">
        <v>14030</v>
      </c>
      <c r="G153" s="9">
        <v>0</v>
      </c>
    </row>
    <row r="154" spans="2:7" hidden="1" x14ac:dyDescent="0.2">
      <c r="B154" s="9">
        <v>14031</v>
      </c>
      <c r="C154" s="9">
        <v>0</v>
      </c>
      <c r="F154">
        <v>14031</v>
      </c>
      <c r="G154" s="9">
        <v>0</v>
      </c>
    </row>
    <row r="155" spans="2:7" hidden="1" x14ac:dyDescent="0.2">
      <c r="B155" s="9">
        <v>14032</v>
      </c>
      <c r="C155" s="9">
        <v>0</v>
      </c>
      <c r="F155">
        <v>14032</v>
      </c>
      <c r="G155" s="9">
        <v>0</v>
      </c>
    </row>
    <row r="156" spans="2:7" hidden="1" x14ac:dyDescent="0.2">
      <c r="B156" s="9">
        <v>14033</v>
      </c>
      <c r="C156" s="9">
        <v>0</v>
      </c>
      <c r="F156">
        <v>14033</v>
      </c>
      <c r="G156" s="9">
        <v>0</v>
      </c>
    </row>
    <row r="157" spans="2:7" hidden="1" x14ac:dyDescent="0.2">
      <c r="B157" s="9">
        <v>14034</v>
      </c>
      <c r="C157" s="9">
        <v>0</v>
      </c>
      <c r="F157">
        <v>14034</v>
      </c>
      <c r="G157" s="9">
        <v>0</v>
      </c>
    </row>
    <row r="158" spans="2:7" hidden="1" x14ac:dyDescent="0.2">
      <c r="B158" s="9">
        <v>14035</v>
      </c>
      <c r="C158" s="9">
        <v>0</v>
      </c>
      <c r="F158">
        <v>14035</v>
      </c>
      <c r="G158" s="9">
        <v>0</v>
      </c>
    </row>
    <row r="159" spans="2:7" hidden="1" x14ac:dyDescent="0.2">
      <c r="B159" s="9">
        <v>14036</v>
      </c>
      <c r="C159" s="9">
        <v>0</v>
      </c>
      <c r="F159">
        <v>14036</v>
      </c>
      <c r="G159" s="9">
        <v>0</v>
      </c>
    </row>
    <row r="160" spans="2:7" hidden="1" x14ac:dyDescent="0.2">
      <c r="B160" s="9">
        <v>14037</v>
      </c>
      <c r="C160" s="9">
        <v>0</v>
      </c>
      <c r="F160">
        <v>14037</v>
      </c>
      <c r="G160" s="9">
        <v>0</v>
      </c>
    </row>
    <row r="161" spans="2:7" hidden="1" x14ac:dyDescent="0.2">
      <c r="B161" s="9">
        <v>14038</v>
      </c>
      <c r="C161" s="9">
        <v>0</v>
      </c>
      <c r="F161">
        <v>14038</v>
      </c>
      <c r="G161" s="9">
        <v>0</v>
      </c>
    </row>
    <row r="162" spans="2:7" hidden="1" x14ac:dyDescent="0.2">
      <c r="B162" s="9">
        <v>14039</v>
      </c>
      <c r="C162" s="9">
        <v>0</v>
      </c>
      <c r="F162">
        <v>14039</v>
      </c>
      <c r="G162" s="9">
        <v>0</v>
      </c>
    </row>
    <row r="163" spans="2:7" hidden="1" x14ac:dyDescent="0.2">
      <c r="B163" s="9">
        <v>15026</v>
      </c>
      <c r="C163" s="9">
        <v>0</v>
      </c>
      <c r="F163">
        <v>15026</v>
      </c>
      <c r="G163" s="9">
        <v>0</v>
      </c>
    </row>
    <row r="164" spans="2:7" hidden="1" x14ac:dyDescent="0.2">
      <c r="B164" s="9">
        <v>15027</v>
      </c>
      <c r="C164" s="9">
        <v>0</v>
      </c>
      <c r="F164">
        <v>15027</v>
      </c>
      <c r="G164" s="9">
        <v>0</v>
      </c>
    </row>
    <row r="165" spans="2:7" hidden="1" x14ac:dyDescent="0.2">
      <c r="B165" s="9">
        <v>15028</v>
      </c>
      <c r="C165" s="9">
        <v>0</v>
      </c>
      <c r="F165">
        <v>15028</v>
      </c>
      <c r="G165" s="9">
        <v>0</v>
      </c>
    </row>
    <row r="166" spans="2:7" hidden="1" x14ac:dyDescent="0.2">
      <c r="B166" s="9">
        <v>15029</v>
      </c>
      <c r="C166" s="9">
        <v>0</v>
      </c>
      <c r="F166">
        <v>15029</v>
      </c>
      <c r="G166" s="9">
        <v>0</v>
      </c>
    </row>
    <row r="167" spans="2:7" hidden="1" x14ac:dyDescent="0.2">
      <c r="B167" s="9">
        <v>15030</v>
      </c>
      <c r="C167" s="9">
        <v>0</v>
      </c>
      <c r="F167">
        <v>15030</v>
      </c>
      <c r="G167" s="9">
        <v>0</v>
      </c>
    </row>
    <row r="168" spans="2:7" hidden="1" x14ac:dyDescent="0.2">
      <c r="B168" s="9">
        <v>15031</v>
      </c>
      <c r="C168" s="9">
        <v>0</v>
      </c>
      <c r="F168">
        <v>15031</v>
      </c>
      <c r="G168" s="9">
        <v>0</v>
      </c>
    </row>
    <row r="169" spans="2:7" hidden="1" x14ac:dyDescent="0.2">
      <c r="B169" s="9">
        <v>15032</v>
      </c>
      <c r="C169" s="9">
        <v>0</v>
      </c>
      <c r="F169">
        <v>15032</v>
      </c>
      <c r="G169" s="9">
        <v>0</v>
      </c>
    </row>
    <row r="170" spans="2:7" hidden="1" x14ac:dyDescent="0.2">
      <c r="B170" s="9">
        <v>15033</v>
      </c>
      <c r="C170" s="9">
        <v>0</v>
      </c>
      <c r="F170">
        <v>15033</v>
      </c>
      <c r="G170" s="9">
        <v>0</v>
      </c>
    </row>
    <row r="171" spans="2:7" hidden="1" x14ac:dyDescent="0.2">
      <c r="B171" s="9">
        <v>15034</v>
      </c>
      <c r="C171" s="9">
        <v>0</v>
      </c>
      <c r="F171">
        <v>15034</v>
      </c>
      <c r="G171" s="9">
        <v>0</v>
      </c>
    </row>
    <row r="172" spans="2:7" hidden="1" x14ac:dyDescent="0.2">
      <c r="B172" s="9">
        <v>15035</v>
      </c>
      <c r="C172" s="9">
        <v>0</v>
      </c>
      <c r="F172">
        <v>15035</v>
      </c>
      <c r="G172" s="9">
        <v>0</v>
      </c>
    </row>
    <row r="173" spans="2:7" hidden="1" x14ac:dyDescent="0.2">
      <c r="B173" s="9">
        <v>15036</v>
      </c>
      <c r="C173" s="9">
        <v>0</v>
      </c>
      <c r="F173">
        <v>15036</v>
      </c>
      <c r="G173" s="9">
        <v>0</v>
      </c>
    </row>
    <row r="174" spans="2:7" hidden="1" x14ac:dyDescent="0.2">
      <c r="B174" s="9">
        <v>15037</v>
      </c>
      <c r="C174" s="9">
        <v>0</v>
      </c>
      <c r="F174">
        <v>15037</v>
      </c>
      <c r="G174" s="9">
        <v>0</v>
      </c>
    </row>
    <row r="175" spans="2:7" hidden="1" x14ac:dyDescent="0.2">
      <c r="B175" s="9">
        <v>15038</v>
      </c>
      <c r="C175" s="9">
        <v>0</v>
      </c>
      <c r="F175">
        <v>15038</v>
      </c>
      <c r="G175" s="9">
        <v>0</v>
      </c>
    </row>
    <row r="176" spans="2:7" hidden="1" x14ac:dyDescent="0.2">
      <c r="B176" s="9">
        <v>15039</v>
      </c>
      <c r="C176" s="9">
        <v>0</v>
      </c>
      <c r="F176">
        <v>15039</v>
      </c>
      <c r="G176" s="9">
        <v>0</v>
      </c>
    </row>
    <row r="177" spans="2:7" hidden="1" x14ac:dyDescent="0.2">
      <c r="B177" s="9">
        <v>15040</v>
      </c>
      <c r="C177" s="9">
        <v>0</v>
      </c>
      <c r="F177">
        <v>15040</v>
      </c>
      <c r="G177" s="9">
        <v>0</v>
      </c>
    </row>
    <row r="178" spans="2:7" hidden="1" x14ac:dyDescent="0.2">
      <c r="B178" s="9">
        <v>15041</v>
      </c>
      <c r="C178" s="9">
        <v>0</v>
      </c>
      <c r="F178">
        <v>15041</v>
      </c>
      <c r="G178" s="9">
        <v>0</v>
      </c>
    </row>
    <row r="179" spans="2:7" hidden="1" x14ac:dyDescent="0.2">
      <c r="B179" s="9">
        <v>15042</v>
      </c>
      <c r="C179" s="9">
        <v>0</v>
      </c>
      <c r="F179">
        <v>15042</v>
      </c>
      <c r="G179" s="9">
        <v>0</v>
      </c>
    </row>
    <row r="180" spans="2:7" x14ac:dyDescent="0.2">
      <c r="B180" t="s">
        <v>3172</v>
      </c>
      <c r="C180" s="9">
        <v>7.3283999999999997E-3</v>
      </c>
      <c r="F180" t="s">
        <v>3172</v>
      </c>
      <c r="G180" s="9">
        <v>2.8517500000000001E-2</v>
      </c>
    </row>
    <row r="181" spans="2:7" x14ac:dyDescent="0.2">
      <c r="B181" t="s">
        <v>3173</v>
      </c>
      <c r="F181" t="s">
        <v>3173</v>
      </c>
    </row>
    <row r="182" spans="2:7" x14ac:dyDescent="0.2">
      <c r="B182" t="s">
        <v>3174</v>
      </c>
      <c r="F182" t="s">
        <v>3174</v>
      </c>
    </row>
    <row r="183" spans="2:7" x14ac:dyDescent="0.2">
      <c r="B183" s="9">
        <v>1001</v>
      </c>
      <c r="C183" s="9">
        <v>0</v>
      </c>
      <c r="F183" t="s">
        <v>3175</v>
      </c>
    </row>
    <row r="184" spans="2:7" x14ac:dyDescent="0.2">
      <c r="B184" s="9">
        <v>1002</v>
      </c>
      <c r="C184" s="9">
        <v>1.9999999999999999E-7</v>
      </c>
      <c r="F184" t="s">
        <v>3176</v>
      </c>
    </row>
    <row r="185" spans="2:7" x14ac:dyDescent="0.2">
      <c r="B185" s="9">
        <v>1003</v>
      </c>
      <c r="C185" s="9">
        <v>0</v>
      </c>
    </row>
    <row r="186" spans="2:7" x14ac:dyDescent="0.2">
      <c r="B186" s="9">
        <v>2003</v>
      </c>
      <c r="C186" s="9">
        <v>0</v>
      </c>
    </row>
    <row r="187" spans="2:7" x14ac:dyDescent="0.2">
      <c r="B187" s="9">
        <v>2004</v>
      </c>
      <c r="C187" s="9">
        <v>1.9E-6</v>
      </c>
    </row>
    <row r="188" spans="2:7" x14ac:dyDescent="0.2">
      <c r="B188" s="9">
        <v>2005</v>
      </c>
      <c r="C188" s="9">
        <v>0</v>
      </c>
    </row>
    <row r="189" spans="2:7" x14ac:dyDescent="0.2">
      <c r="B189" s="9">
        <v>2006</v>
      </c>
      <c r="C189" s="9">
        <v>0</v>
      </c>
    </row>
    <row r="190" spans="2:7" x14ac:dyDescent="0.2">
      <c r="B190" s="9">
        <v>2007</v>
      </c>
      <c r="C190" s="9">
        <v>0</v>
      </c>
    </row>
    <row r="191" spans="2:7" x14ac:dyDescent="0.2">
      <c r="B191" s="9">
        <v>2008</v>
      </c>
      <c r="C191" s="9">
        <v>0</v>
      </c>
    </row>
    <row r="192" spans="2:7" x14ac:dyDescent="0.2">
      <c r="B192" s="9">
        <v>3005</v>
      </c>
      <c r="C192" s="9">
        <v>0</v>
      </c>
    </row>
    <row r="193" spans="2:3" x14ac:dyDescent="0.2">
      <c r="B193" s="9">
        <v>3006</v>
      </c>
      <c r="C193" s="9">
        <v>2.7399999999999999E-5</v>
      </c>
    </row>
    <row r="194" spans="2:3" x14ac:dyDescent="0.2">
      <c r="B194" s="9">
        <v>3007</v>
      </c>
      <c r="C194" s="9">
        <v>9.7000000000000003E-6</v>
      </c>
    </row>
    <row r="195" spans="2:3" x14ac:dyDescent="0.2">
      <c r="B195" s="9">
        <v>3008</v>
      </c>
      <c r="C195" s="9">
        <v>0</v>
      </c>
    </row>
    <row r="196" spans="2:3" x14ac:dyDescent="0.2">
      <c r="B196" s="9">
        <v>3009</v>
      </c>
      <c r="C196" s="9">
        <v>0</v>
      </c>
    </row>
    <row r="197" spans="2:3" x14ac:dyDescent="0.2">
      <c r="B197" s="9">
        <v>3010</v>
      </c>
      <c r="C197" s="9">
        <v>0</v>
      </c>
    </row>
    <row r="198" spans="2:3" x14ac:dyDescent="0.2">
      <c r="B198" s="9">
        <v>3011</v>
      </c>
      <c r="C198" s="9">
        <v>0</v>
      </c>
    </row>
    <row r="199" spans="2:3" x14ac:dyDescent="0.2">
      <c r="B199" s="9">
        <v>4006</v>
      </c>
      <c r="C199" s="9">
        <v>0</v>
      </c>
    </row>
    <row r="200" spans="2:3" x14ac:dyDescent="0.2">
      <c r="B200" s="9">
        <v>4007</v>
      </c>
      <c r="C200" s="9">
        <v>2.6299999999999999E-5</v>
      </c>
    </row>
    <row r="201" spans="2:3" x14ac:dyDescent="0.2">
      <c r="B201" s="9">
        <v>4008</v>
      </c>
      <c r="C201" s="9">
        <v>0</v>
      </c>
    </row>
    <row r="202" spans="2:3" x14ac:dyDescent="0.2">
      <c r="B202" s="9">
        <v>4009</v>
      </c>
      <c r="C202" s="9">
        <v>3.9999999999999998E-6</v>
      </c>
    </row>
    <row r="203" spans="2:3" x14ac:dyDescent="0.2">
      <c r="B203" s="9">
        <v>4010</v>
      </c>
      <c r="C203" s="9">
        <v>9.9999999999999995E-7</v>
      </c>
    </row>
    <row r="204" spans="2:3" x14ac:dyDescent="0.2">
      <c r="B204" s="9">
        <v>4011</v>
      </c>
      <c r="C204" s="9">
        <v>0</v>
      </c>
    </row>
    <row r="205" spans="2:3" x14ac:dyDescent="0.2">
      <c r="B205" s="9">
        <v>4012</v>
      </c>
      <c r="C205" s="9">
        <v>0</v>
      </c>
    </row>
    <row r="206" spans="2:3" x14ac:dyDescent="0.2">
      <c r="B206" s="9">
        <v>4013</v>
      </c>
      <c r="C206" s="9">
        <v>0</v>
      </c>
    </row>
    <row r="207" spans="2:3" x14ac:dyDescent="0.2">
      <c r="B207" s="9">
        <v>4014</v>
      </c>
      <c r="C207" s="9">
        <v>0</v>
      </c>
    </row>
    <row r="208" spans="2:3" x14ac:dyDescent="0.2">
      <c r="B208" s="9">
        <v>5008</v>
      </c>
      <c r="C208" s="9">
        <v>2.2000000000000001E-6</v>
      </c>
    </row>
    <row r="209" spans="2:3" x14ac:dyDescent="0.2">
      <c r="B209" s="9">
        <v>5009</v>
      </c>
      <c r="C209" s="9">
        <v>0</v>
      </c>
    </row>
    <row r="210" spans="2:3" x14ac:dyDescent="0.2">
      <c r="B210" s="9">
        <v>5010</v>
      </c>
      <c r="C210" s="9">
        <v>4.0299999999999997E-5</v>
      </c>
    </row>
    <row r="211" spans="2:3" x14ac:dyDescent="0.2">
      <c r="B211" s="9">
        <v>5011</v>
      </c>
      <c r="C211" s="9">
        <v>6.4999999999999994E-5</v>
      </c>
    </row>
    <row r="212" spans="2:3" x14ac:dyDescent="0.2">
      <c r="B212" s="9">
        <v>5012</v>
      </c>
      <c r="C212" s="9">
        <v>0</v>
      </c>
    </row>
    <row r="213" spans="2:3" x14ac:dyDescent="0.2">
      <c r="B213" s="9">
        <v>5013</v>
      </c>
      <c r="C213" s="9">
        <v>0</v>
      </c>
    </row>
    <row r="214" spans="2:3" x14ac:dyDescent="0.2">
      <c r="B214" s="9">
        <v>5014</v>
      </c>
      <c r="C214" s="9">
        <v>0</v>
      </c>
    </row>
    <row r="215" spans="2:3" x14ac:dyDescent="0.2">
      <c r="B215" s="9">
        <v>5015</v>
      </c>
      <c r="C215" s="9">
        <v>0</v>
      </c>
    </row>
    <row r="216" spans="2:3" x14ac:dyDescent="0.2">
      <c r="B216" s="9">
        <v>5016</v>
      </c>
      <c r="C216" s="9">
        <v>0</v>
      </c>
    </row>
    <row r="217" spans="2:3" x14ac:dyDescent="0.2">
      <c r="B217" s="9">
        <v>5017</v>
      </c>
      <c r="C217" s="9">
        <v>0</v>
      </c>
    </row>
    <row r="218" spans="2:3" x14ac:dyDescent="0.2">
      <c r="B218" s="9">
        <v>6008</v>
      </c>
      <c r="C218" s="9">
        <v>0</v>
      </c>
    </row>
    <row r="219" spans="2:3" x14ac:dyDescent="0.2">
      <c r="B219" s="9">
        <v>6009</v>
      </c>
      <c r="C219" s="9">
        <v>0</v>
      </c>
    </row>
    <row r="220" spans="2:3" x14ac:dyDescent="0.2">
      <c r="B220" s="9">
        <v>6010</v>
      </c>
      <c r="C220" s="9">
        <v>1.9E-6</v>
      </c>
    </row>
    <row r="221" spans="2:3" x14ac:dyDescent="0.2">
      <c r="B221" s="9">
        <v>6011</v>
      </c>
      <c r="C221" s="9">
        <v>5.77E-5</v>
      </c>
    </row>
    <row r="222" spans="2:3" x14ac:dyDescent="0.2">
      <c r="B222" s="9">
        <v>6012</v>
      </c>
      <c r="C222" s="9">
        <v>4.7330000000000001E-4</v>
      </c>
    </row>
    <row r="223" spans="2:3" x14ac:dyDescent="0.2">
      <c r="B223" s="9">
        <v>6013</v>
      </c>
      <c r="C223" s="9">
        <v>1.529E-4</v>
      </c>
    </row>
    <row r="224" spans="2:3" x14ac:dyDescent="0.2">
      <c r="B224" s="9">
        <v>6014</v>
      </c>
      <c r="C224" s="9">
        <v>1.7399999999999999E-5</v>
      </c>
    </row>
    <row r="225" spans="2:3" x14ac:dyDescent="0.2">
      <c r="B225" s="9">
        <v>6015</v>
      </c>
      <c r="C225" s="9">
        <v>0</v>
      </c>
    </row>
    <row r="226" spans="2:3" x14ac:dyDescent="0.2">
      <c r="B226" s="9">
        <v>6016</v>
      </c>
      <c r="C226" s="9">
        <v>0</v>
      </c>
    </row>
    <row r="227" spans="2:3" x14ac:dyDescent="0.2">
      <c r="B227" s="9">
        <v>6017</v>
      </c>
      <c r="C227" s="9">
        <v>0</v>
      </c>
    </row>
    <row r="228" spans="2:3" x14ac:dyDescent="0.2">
      <c r="B228" s="9">
        <v>6018</v>
      </c>
      <c r="C228" s="9">
        <v>0</v>
      </c>
    </row>
    <row r="229" spans="2:3" x14ac:dyDescent="0.2">
      <c r="B229" s="9">
        <v>6019</v>
      </c>
      <c r="C229" s="9">
        <v>0</v>
      </c>
    </row>
    <row r="230" spans="2:3" x14ac:dyDescent="0.2">
      <c r="B230" s="9">
        <v>6020</v>
      </c>
      <c r="C230" s="9">
        <v>0</v>
      </c>
    </row>
    <row r="231" spans="2:3" x14ac:dyDescent="0.2">
      <c r="B231" s="9">
        <v>7011</v>
      </c>
      <c r="C231" s="9">
        <v>0</v>
      </c>
    </row>
    <row r="232" spans="2:3" x14ac:dyDescent="0.2">
      <c r="B232" s="9">
        <v>7012</v>
      </c>
      <c r="C232" s="9">
        <v>2.9999999999999999E-7</v>
      </c>
    </row>
    <row r="233" spans="2:3" x14ac:dyDescent="0.2">
      <c r="B233" s="9">
        <v>7013</v>
      </c>
      <c r="C233" s="9">
        <v>6.2799999999999995E-5</v>
      </c>
    </row>
    <row r="234" spans="2:3" x14ac:dyDescent="0.2">
      <c r="B234" s="9">
        <v>7014</v>
      </c>
      <c r="C234" s="9">
        <v>4.774E-4</v>
      </c>
    </row>
    <row r="235" spans="2:3" x14ac:dyDescent="0.2">
      <c r="B235" s="9">
        <v>7015</v>
      </c>
      <c r="C235" s="9">
        <v>4.5689999999999999E-4</v>
      </c>
    </row>
    <row r="236" spans="2:3" x14ac:dyDescent="0.2">
      <c r="B236" s="9">
        <v>7016</v>
      </c>
      <c r="C236" s="9">
        <v>2.6000000000000001E-6</v>
      </c>
    </row>
    <row r="237" spans="2:3" x14ac:dyDescent="0.2">
      <c r="B237" s="9">
        <v>7017</v>
      </c>
      <c r="C237" s="9">
        <v>7.9999999999999996E-7</v>
      </c>
    </row>
    <row r="238" spans="2:3" x14ac:dyDescent="0.2">
      <c r="B238" s="9">
        <v>7018</v>
      </c>
      <c r="C238" s="9">
        <v>0</v>
      </c>
    </row>
    <row r="239" spans="2:3" x14ac:dyDescent="0.2">
      <c r="B239" s="9">
        <v>7019</v>
      </c>
      <c r="C239" s="9">
        <v>0</v>
      </c>
    </row>
    <row r="240" spans="2:3" x14ac:dyDescent="0.2">
      <c r="B240" s="9">
        <v>7020</v>
      </c>
      <c r="C240" s="9">
        <v>0</v>
      </c>
    </row>
    <row r="241" spans="2:3" x14ac:dyDescent="0.2">
      <c r="B241" s="9">
        <v>7021</v>
      </c>
      <c r="C241" s="9">
        <v>0</v>
      </c>
    </row>
    <row r="242" spans="2:3" x14ac:dyDescent="0.2">
      <c r="B242" s="9">
        <v>7022</v>
      </c>
      <c r="C242" s="9">
        <v>0</v>
      </c>
    </row>
    <row r="243" spans="2:3" x14ac:dyDescent="0.2">
      <c r="B243" s="9">
        <v>7023</v>
      </c>
      <c r="C243" s="9">
        <v>0</v>
      </c>
    </row>
    <row r="244" spans="2:3" x14ac:dyDescent="0.2">
      <c r="B244" s="9">
        <v>8013</v>
      </c>
      <c r="C244" s="9">
        <v>9.9999999999999995E-8</v>
      </c>
    </row>
    <row r="245" spans="2:3" x14ac:dyDescent="0.2">
      <c r="B245" s="9">
        <v>8014</v>
      </c>
      <c r="C245" s="9">
        <v>3.04E-5</v>
      </c>
    </row>
    <row r="246" spans="2:3" x14ac:dyDescent="0.2">
      <c r="B246" s="9">
        <v>8015</v>
      </c>
      <c r="C246" s="9">
        <v>4.84E-4</v>
      </c>
    </row>
    <row r="247" spans="2:3" x14ac:dyDescent="0.2">
      <c r="B247" s="9">
        <v>8016</v>
      </c>
      <c r="C247" s="9">
        <v>6.8929000000000004E-3</v>
      </c>
    </row>
    <row r="248" spans="2:3" x14ac:dyDescent="0.2">
      <c r="B248" s="9">
        <v>8017</v>
      </c>
      <c r="C248" s="9">
        <v>3.4999999999999999E-6</v>
      </c>
    </row>
    <row r="249" spans="2:3" x14ac:dyDescent="0.2">
      <c r="B249" s="9">
        <v>8018</v>
      </c>
      <c r="C249" s="9">
        <v>1.26E-5</v>
      </c>
    </row>
    <row r="250" spans="2:3" x14ac:dyDescent="0.2">
      <c r="B250" s="9">
        <v>8019</v>
      </c>
      <c r="C250" s="9">
        <v>0</v>
      </c>
    </row>
    <row r="251" spans="2:3" x14ac:dyDescent="0.2">
      <c r="B251" s="9">
        <v>8020</v>
      </c>
      <c r="C251" s="9">
        <v>0</v>
      </c>
    </row>
    <row r="252" spans="2:3" x14ac:dyDescent="0.2">
      <c r="B252" s="9">
        <v>8021</v>
      </c>
      <c r="C252" s="9">
        <v>0</v>
      </c>
    </row>
    <row r="253" spans="2:3" x14ac:dyDescent="0.2">
      <c r="B253" s="9">
        <v>8022</v>
      </c>
      <c r="C253" s="9">
        <v>0</v>
      </c>
    </row>
    <row r="254" spans="2:3" x14ac:dyDescent="0.2">
      <c r="B254" s="9">
        <v>8023</v>
      </c>
      <c r="C254" s="9">
        <v>0</v>
      </c>
    </row>
    <row r="255" spans="2:3" x14ac:dyDescent="0.2">
      <c r="B255" s="9">
        <v>8024</v>
      </c>
      <c r="C255" s="9">
        <v>0</v>
      </c>
    </row>
    <row r="256" spans="2:3" x14ac:dyDescent="0.2">
      <c r="B256" s="9">
        <v>9015</v>
      </c>
      <c r="C256" s="9">
        <v>3.8E-6</v>
      </c>
    </row>
    <row r="257" spans="2:3" x14ac:dyDescent="0.2">
      <c r="B257" s="9">
        <v>9016</v>
      </c>
      <c r="C257" s="9">
        <v>8.0599999999999994E-5</v>
      </c>
    </row>
    <row r="258" spans="2:3" x14ac:dyDescent="0.2">
      <c r="B258" s="9">
        <v>9017</v>
      </c>
      <c r="C258" s="9">
        <v>0</v>
      </c>
    </row>
    <row r="259" spans="2:3" x14ac:dyDescent="0.2">
      <c r="B259" s="9">
        <v>9018</v>
      </c>
      <c r="C259" s="9">
        <v>1.9999999999999999E-7</v>
      </c>
    </row>
    <row r="260" spans="2:3" x14ac:dyDescent="0.2">
      <c r="B260" s="9">
        <v>9019</v>
      </c>
      <c r="C260" s="9">
        <v>0</v>
      </c>
    </row>
    <row r="261" spans="2:3" x14ac:dyDescent="0.2">
      <c r="B261" s="9">
        <v>9020</v>
      </c>
      <c r="C261" s="9">
        <v>0</v>
      </c>
    </row>
    <row r="262" spans="2:3" x14ac:dyDescent="0.2">
      <c r="B262" s="9">
        <v>9021</v>
      </c>
      <c r="C262" s="9">
        <v>0</v>
      </c>
    </row>
    <row r="263" spans="2:3" x14ac:dyDescent="0.2">
      <c r="B263" s="9">
        <v>9022</v>
      </c>
      <c r="C263" s="9">
        <v>0</v>
      </c>
    </row>
    <row r="264" spans="2:3" x14ac:dyDescent="0.2">
      <c r="B264" s="9">
        <v>9023</v>
      </c>
      <c r="C264" s="9">
        <v>0</v>
      </c>
    </row>
    <row r="265" spans="2:3" x14ac:dyDescent="0.2">
      <c r="B265" s="9">
        <v>9024</v>
      </c>
      <c r="C265" s="9">
        <v>0</v>
      </c>
    </row>
    <row r="266" spans="2:3" x14ac:dyDescent="0.2">
      <c r="B266" s="9">
        <v>9025</v>
      </c>
      <c r="C266" s="9">
        <v>0</v>
      </c>
    </row>
    <row r="267" spans="2:3" x14ac:dyDescent="0.2">
      <c r="B267" s="9">
        <v>9026</v>
      </c>
      <c r="C267" s="9">
        <v>0</v>
      </c>
    </row>
    <row r="268" spans="2:3" x14ac:dyDescent="0.2">
      <c r="B268" s="9">
        <v>9027</v>
      </c>
      <c r="C268" s="9">
        <v>0</v>
      </c>
    </row>
    <row r="269" spans="2:3" x14ac:dyDescent="0.2">
      <c r="B269" s="9">
        <v>10017</v>
      </c>
      <c r="C269" s="9">
        <v>0</v>
      </c>
    </row>
    <row r="270" spans="2:3" x14ac:dyDescent="0.2">
      <c r="B270" s="9">
        <v>10018</v>
      </c>
      <c r="C270" s="9">
        <v>0</v>
      </c>
    </row>
    <row r="271" spans="2:3" x14ac:dyDescent="0.2">
      <c r="B271" s="9">
        <v>10019</v>
      </c>
      <c r="C271" s="9">
        <v>0</v>
      </c>
    </row>
    <row r="272" spans="2:3" x14ac:dyDescent="0.2">
      <c r="B272" s="9">
        <v>10020</v>
      </c>
      <c r="C272" s="9">
        <v>0</v>
      </c>
    </row>
    <row r="273" spans="2:3" x14ac:dyDescent="0.2">
      <c r="B273" s="9">
        <v>10021</v>
      </c>
      <c r="C273" s="9">
        <v>0</v>
      </c>
    </row>
    <row r="274" spans="2:3" x14ac:dyDescent="0.2">
      <c r="B274" s="9">
        <v>10022</v>
      </c>
      <c r="C274" s="9">
        <v>0</v>
      </c>
    </row>
    <row r="275" spans="2:3" x14ac:dyDescent="0.2">
      <c r="B275" s="9">
        <v>10023</v>
      </c>
      <c r="C275" s="9">
        <v>0</v>
      </c>
    </row>
    <row r="276" spans="2:3" x14ac:dyDescent="0.2">
      <c r="B276" s="9">
        <v>10024</v>
      </c>
      <c r="C276" s="9">
        <v>0</v>
      </c>
    </row>
    <row r="277" spans="2:3" x14ac:dyDescent="0.2">
      <c r="B277" s="9">
        <v>10025</v>
      </c>
      <c r="C277" s="9">
        <v>0</v>
      </c>
    </row>
    <row r="278" spans="2:3" x14ac:dyDescent="0.2">
      <c r="B278" s="9">
        <v>10026</v>
      </c>
      <c r="C278" s="9">
        <v>0</v>
      </c>
    </row>
    <row r="279" spans="2:3" x14ac:dyDescent="0.2">
      <c r="B279" s="9">
        <v>10027</v>
      </c>
      <c r="C279" s="9">
        <v>0</v>
      </c>
    </row>
    <row r="280" spans="2:3" x14ac:dyDescent="0.2">
      <c r="B280" s="9">
        <v>10028</v>
      </c>
      <c r="C280" s="9">
        <v>0</v>
      </c>
    </row>
    <row r="281" spans="2:3" x14ac:dyDescent="0.2">
      <c r="B281" s="9">
        <v>11019</v>
      </c>
      <c r="C281" s="9">
        <v>0</v>
      </c>
    </row>
    <row r="282" spans="2:3" x14ac:dyDescent="0.2">
      <c r="B282" s="9">
        <v>11020</v>
      </c>
      <c r="C282" s="9">
        <v>0</v>
      </c>
    </row>
    <row r="283" spans="2:3" x14ac:dyDescent="0.2">
      <c r="B283" s="9">
        <v>11021</v>
      </c>
      <c r="C283" s="9">
        <v>0</v>
      </c>
    </row>
    <row r="284" spans="2:3" x14ac:dyDescent="0.2">
      <c r="B284" s="9">
        <v>11022</v>
      </c>
      <c r="C284" s="9">
        <v>0</v>
      </c>
    </row>
    <row r="285" spans="2:3" x14ac:dyDescent="0.2">
      <c r="B285" s="9">
        <v>11023</v>
      </c>
      <c r="C285" s="9">
        <v>0</v>
      </c>
    </row>
    <row r="286" spans="2:3" x14ac:dyDescent="0.2">
      <c r="B286" s="9">
        <v>11024</v>
      </c>
      <c r="C286" s="9">
        <v>0</v>
      </c>
    </row>
    <row r="287" spans="2:3" x14ac:dyDescent="0.2">
      <c r="B287" s="9">
        <v>11025</v>
      </c>
      <c r="C287" s="9">
        <v>0</v>
      </c>
    </row>
    <row r="288" spans="2:3" x14ac:dyDescent="0.2">
      <c r="B288" s="9">
        <v>11026</v>
      </c>
      <c r="C288" s="9">
        <v>0</v>
      </c>
    </row>
    <row r="289" spans="2:3" x14ac:dyDescent="0.2">
      <c r="B289" s="9">
        <v>11027</v>
      </c>
      <c r="C289" s="9">
        <v>0</v>
      </c>
    </row>
    <row r="290" spans="2:3" x14ac:dyDescent="0.2">
      <c r="B290" s="9">
        <v>11028</v>
      </c>
      <c r="C290" s="9">
        <v>0</v>
      </c>
    </row>
    <row r="291" spans="2:3" x14ac:dyDescent="0.2">
      <c r="B291" s="9">
        <v>11029</v>
      </c>
      <c r="C291" s="9">
        <v>0</v>
      </c>
    </row>
    <row r="292" spans="2:3" x14ac:dyDescent="0.2">
      <c r="B292" s="9">
        <v>11030</v>
      </c>
      <c r="C292" s="9">
        <v>0</v>
      </c>
    </row>
    <row r="293" spans="2:3" x14ac:dyDescent="0.2">
      <c r="B293" s="9">
        <v>11031</v>
      </c>
      <c r="C293" s="9">
        <v>0</v>
      </c>
    </row>
    <row r="294" spans="2:3" x14ac:dyDescent="0.2">
      <c r="B294" s="9">
        <v>11032</v>
      </c>
      <c r="C294" s="9">
        <v>0</v>
      </c>
    </row>
    <row r="295" spans="2:3" x14ac:dyDescent="0.2">
      <c r="B295" s="9">
        <v>11033</v>
      </c>
      <c r="C295" s="9">
        <v>0</v>
      </c>
    </row>
    <row r="296" spans="2:3" x14ac:dyDescent="0.2">
      <c r="B296" s="9">
        <v>11034</v>
      </c>
      <c r="C296" s="9">
        <v>0</v>
      </c>
    </row>
    <row r="297" spans="2:3" x14ac:dyDescent="0.2">
      <c r="B297" s="9">
        <v>11035</v>
      </c>
      <c r="C297" s="9">
        <v>0</v>
      </c>
    </row>
    <row r="298" spans="2:3" x14ac:dyDescent="0.2">
      <c r="B298" s="9">
        <v>12020</v>
      </c>
      <c r="C298" s="9">
        <v>0</v>
      </c>
    </row>
    <row r="299" spans="2:3" x14ac:dyDescent="0.2">
      <c r="B299" s="9">
        <v>12021</v>
      </c>
      <c r="C299" s="9">
        <v>0</v>
      </c>
    </row>
    <row r="300" spans="2:3" x14ac:dyDescent="0.2">
      <c r="B300" s="9">
        <v>12022</v>
      </c>
      <c r="C300" s="9">
        <v>0</v>
      </c>
    </row>
    <row r="301" spans="2:3" x14ac:dyDescent="0.2">
      <c r="B301" s="9">
        <v>12023</v>
      </c>
      <c r="C301" s="9">
        <v>0</v>
      </c>
    </row>
    <row r="302" spans="2:3" x14ac:dyDescent="0.2">
      <c r="B302" s="9">
        <v>12024</v>
      </c>
      <c r="C302" s="9">
        <v>0</v>
      </c>
    </row>
    <row r="303" spans="2:3" x14ac:dyDescent="0.2">
      <c r="B303" s="9">
        <v>12025</v>
      </c>
      <c r="C303" s="9">
        <v>0</v>
      </c>
    </row>
    <row r="304" spans="2:3" x14ac:dyDescent="0.2">
      <c r="B304" s="9">
        <v>12026</v>
      </c>
      <c r="C304" s="9">
        <v>0</v>
      </c>
    </row>
    <row r="305" spans="2:3" x14ac:dyDescent="0.2">
      <c r="B305" s="9">
        <v>12027</v>
      </c>
      <c r="C305" s="9">
        <v>0</v>
      </c>
    </row>
    <row r="306" spans="2:3" x14ac:dyDescent="0.2">
      <c r="B306" s="9">
        <v>12028</v>
      </c>
      <c r="C306" s="9">
        <v>0</v>
      </c>
    </row>
    <row r="307" spans="2:3" x14ac:dyDescent="0.2">
      <c r="B307" s="9">
        <v>12029</v>
      </c>
      <c r="C307" s="9">
        <v>0</v>
      </c>
    </row>
    <row r="308" spans="2:3" x14ac:dyDescent="0.2">
      <c r="B308" s="9">
        <v>12030</v>
      </c>
      <c r="C308" s="9">
        <v>0</v>
      </c>
    </row>
    <row r="309" spans="2:3" x14ac:dyDescent="0.2">
      <c r="B309" s="9">
        <v>12031</v>
      </c>
      <c r="C309" s="9">
        <v>0</v>
      </c>
    </row>
    <row r="310" spans="2:3" x14ac:dyDescent="0.2">
      <c r="B310" s="9">
        <v>12032</v>
      </c>
      <c r="C310" s="9">
        <v>0</v>
      </c>
    </row>
    <row r="311" spans="2:3" x14ac:dyDescent="0.2">
      <c r="B311" s="9">
        <v>12033</v>
      </c>
      <c r="C311" s="9">
        <v>0</v>
      </c>
    </row>
    <row r="312" spans="2:3" x14ac:dyDescent="0.2">
      <c r="B312" s="9">
        <v>12034</v>
      </c>
      <c r="C312" s="9">
        <v>0</v>
      </c>
    </row>
    <row r="313" spans="2:3" x14ac:dyDescent="0.2">
      <c r="B313" s="9">
        <v>13022</v>
      </c>
      <c r="C313" s="9">
        <v>0</v>
      </c>
    </row>
    <row r="314" spans="2:3" x14ac:dyDescent="0.2">
      <c r="B314" s="9">
        <v>13023</v>
      </c>
      <c r="C314" s="9">
        <v>0</v>
      </c>
    </row>
    <row r="315" spans="2:3" x14ac:dyDescent="0.2">
      <c r="B315" s="9">
        <v>13024</v>
      </c>
      <c r="C315" s="9">
        <v>0</v>
      </c>
    </row>
    <row r="316" spans="2:3" x14ac:dyDescent="0.2">
      <c r="B316" s="9">
        <v>13025</v>
      </c>
      <c r="C316" s="9">
        <v>0</v>
      </c>
    </row>
    <row r="317" spans="2:3" x14ac:dyDescent="0.2">
      <c r="B317" s="9">
        <v>13026</v>
      </c>
      <c r="C317" s="9">
        <v>0</v>
      </c>
    </row>
    <row r="318" spans="2:3" x14ac:dyDescent="0.2">
      <c r="B318" s="9">
        <v>13027</v>
      </c>
      <c r="C318" s="9">
        <v>0</v>
      </c>
    </row>
    <row r="319" spans="2:3" x14ac:dyDescent="0.2">
      <c r="B319" s="9">
        <v>13028</v>
      </c>
      <c r="C319" s="9">
        <v>0</v>
      </c>
    </row>
    <row r="320" spans="2:3" x14ac:dyDescent="0.2">
      <c r="B320" s="9">
        <v>13029</v>
      </c>
      <c r="C320" s="9">
        <v>0</v>
      </c>
    </row>
    <row r="321" spans="2:3" x14ac:dyDescent="0.2">
      <c r="B321" s="9">
        <v>13030</v>
      </c>
      <c r="C321" s="9">
        <v>0</v>
      </c>
    </row>
    <row r="322" spans="2:3" x14ac:dyDescent="0.2">
      <c r="B322" s="9">
        <v>13031</v>
      </c>
      <c r="C322" s="9">
        <v>0</v>
      </c>
    </row>
    <row r="323" spans="2:3" x14ac:dyDescent="0.2">
      <c r="B323" s="9">
        <v>13032</v>
      </c>
      <c r="C323" s="9">
        <v>0</v>
      </c>
    </row>
    <row r="324" spans="2:3" x14ac:dyDescent="0.2">
      <c r="B324" s="9">
        <v>13033</v>
      </c>
      <c r="C324" s="9">
        <v>0</v>
      </c>
    </row>
    <row r="325" spans="2:3" x14ac:dyDescent="0.2">
      <c r="B325" s="9">
        <v>13034</v>
      </c>
      <c r="C325" s="9">
        <v>0</v>
      </c>
    </row>
    <row r="326" spans="2:3" x14ac:dyDescent="0.2">
      <c r="B326" s="9">
        <v>13035</v>
      </c>
      <c r="C326" s="9">
        <v>0</v>
      </c>
    </row>
    <row r="327" spans="2:3" x14ac:dyDescent="0.2">
      <c r="B327" s="9">
        <v>14024</v>
      </c>
      <c r="C327" s="9">
        <v>0</v>
      </c>
    </row>
    <row r="328" spans="2:3" x14ac:dyDescent="0.2">
      <c r="B328" s="9">
        <v>14025</v>
      </c>
      <c r="C328" s="9">
        <v>0</v>
      </c>
    </row>
    <row r="329" spans="2:3" x14ac:dyDescent="0.2">
      <c r="B329" s="9">
        <v>14026</v>
      </c>
      <c r="C329" s="9">
        <v>0</v>
      </c>
    </row>
    <row r="330" spans="2:3" x14ac:dyDescent="0.2">
      <c r="B330" s="9">
        <v>14027</v>
      </c>
      <c r="C330" s="9">
        <v>0</v>
      </c>
    </row>
    <row r="331" spans="2:3" x14ac:dyDescent="0.2">
      <c r="B331" s="9">
        <v>14028</v>
      </c>
      <c r="C331" s="9">
        <v>0</v>
      </c>
    </row>
    <row r="332" spans="2:3" x14ac:dyDescent="0.2">
      <c r="B332" s="9">
        <v>14029</v>
      </c>
      <c r="C332" s="9">
        <v>0</v>
      </c>
    </row>
    <row r="333" spans="2:3" x14ac:dyDescent="0.2">
      <c r="B333" s="9">
        <v>14030</v>
      </c>
      <c r="C333" s="9">
        <v>0</v>
      </c>
    </row>
    <row r="334" spans="2:3" x14ac:dyDescent="0.2">
      <c r="B334" s="9">
        <v>14031</v>
      </c>
      <c r="C334" s="9">
        <v>0</v>
      </c>
    </row>
    <row r="335" spans="2:3" x14ac:dyDescent="0.2">
      <c r="B335" s="9">
        <v>14032</v>
      </c>
      <c r="C335" s="9">
        <v>0</v>
      </c>
    </row>
    <row r="336" spans="2:3" x14ac:dyDescent="0.2">
      <c r="B336" s="9">
        <v>14033</v>
      </c>
      <c r="C336" s="9">
        <v>0</v>
      </c>
    </row>
    <row r="337" spans="2:3" x14ac:dyDescent="0.2">
      <c r="B337" s="9">
        <v>14034</v>
      </c>
      <c r="C337" s="9">
        <v>0</v>
      </c>
    </row>
    <row r="338" spans="2:3" x14ac:dyDescent="0.2">
      <c r="B338" s="9">
        <v>14035</v>
      </c>
      <c r="C338" s="9">
        <v>0</v>
      </c>
    </row>
    <row r="339" spans="2:3" x14ac:dyDescent="0.2">
      <c r="B339" s="9">
        <v>14036</v>
      </c>
      <c r="C339" s="9">
        <v>0</v>
      </c>
    </row>
    <row r="340" spans="2:3" x14ac:dyDescent="0.2">
      <c r="B340" s="9">
        <v>14037</v>
      </c>
      <c r="C340" s="9">
        <v>0</v>
      </c>
    </row>
    <row r="341" spans="2:3" x14ac:dyDescent="0.2">
      <c r="B341" s="9">
        <v>14038</v>
      </c>
      <c r="C341" s="9">
        <v>0</v>
      </c>
    </row>
    <row r="342" spans="2:3" x14ac:dyDescent="0.2">
      <c r="B342" s="9">
        <v>14039</v>
      </c>
      <c r="C342" s="9">
        <v>0</v>
      </c>
    </row>
    <row r="343" spans="2:3" x14ac:dyDescent="0.2">
      <c r="B343" s="9">
        <v>15026</v>
      </c>
      <c r="C343" s="9">
        <v>0</v>
      </c>
    </row>
    <row r="344" spans="2:3" x14ac:dyDescent="0.2">
      <c r="B344" s="9">
        <v>15027</v>
      </c>
      <c r="C344" s="9">
        <v>0</v>
      </c>
    </row>
    <row r="345" spans="2:3" x14ac:dyDescent="0.2">
      <c r="B345" s="9">
        <v>15028</v>
      </c>
      <c r="C345" s="9">
        <v>0</v>
      </c>
    </row>
    <row r="346" spans="2:3" x14ac:dyDescent="0.2">
      <c r="B346" s="9">
        <v>15029</v>
      </c>
      <c r="C346" s="9">
        <v>0</v>
      </c>
    </row>
    <row r="347" spans="2:3" x14ac:dyDescent="0.2">
      <c r="B347" s="9">
        <v>15030</v>
      </c>
      <c r="C347" s="9">
        <v>0</v>
      </c>
    </row>
    <row r="348" spans="2:3" x14ac:dyDescent="0.2">
      <c r="B348" s="9">
        <v>15031</v>
      </c>
      <c r="C348" s="9">
        <v>0</v>
      </c>
    </row>
    <row r="349" spans="2:3" x14ac:dyDescent="0.2">
      <c r="B349" s="9">
        <v>15032</v>
      </c>
      <c r="C349" s="9">
        <v>0</v>
      </c>
    </row>
    <row r="350" spans="2:3" x14ac:dyDescent="0.2">
      <c r="B350" s="9">
        <v>15033</v>
      </c>
      <c r="C350" s="9">
        <v>0</v>
      </c>
    </row>
    <row r="351" spans="2:3" x14ac:dyDescent="0.2">
      <c r="B351" s="9">
        <v>15034</v>
      </c>
      <c r="C351" s="9">
        <v>0</v>
      </c>
    </row>
    <row r="352" spans="2:3" x14ac:dyDescent="0.2">
      <c r="B352" s="9">
        <v>15035</v>
      </c>
      <c r="C352" s="9">
        <v>0</v>
      </c>
    </row>
    <row r="353" spans="2:3" x14ac:dyDescent="0.2">
      <c r="B353" s="9">
        <v>15036</v>
      </c>
      <c r="C353" s="9">
        <v>0</v>
      </c>
    </row>
    <row r="354" spans="2:3" x14ac:dyDescent="0.2">
      <c r="B354" s="9">
        <v>15037</v>
      </c>
      <c r="C354" s="9">
        <v>0</v>
      </c>
    </row>
    <row r="355" spans="2:3" x14ac:dyDescent="0.2">
      <c r="B355" s="9">
        <v>15038</v>
      </c>
      <c r="C355" s="9">
        <v>0</v>
      </c>
    </row>
    <row r="356" spans="2:3" x14ac:dyDescent="0.2">
      <c r="B356" s="9">
        <v>15039</v>
      </c>
      <c r="C356" s="9">
        <v>0</v>
      </c>
    </row>
    <row r="357" spans="2:3" x14ac:dyDescent="0.2">
      <c r="B357" s="9">
        <v>15040</v>
      </c>
      <c r="C357" s="9">
        <v>0</v>
      </c>
    </row>
    <row r="358" spans="2:3" x14ac:dyDescent="0.2">
      <c r="B358" s="9">
        <v>15041</v>
      </c>
      <c r="C358" s="9">
        <v>0</v>
      </c>
    </row>
    <row r="359" spans="2:3" x14ac:dyDescent="0.2">
      <c r="B359" s="9">
        <v>15042</v>
      </c>
      <c r="C359" s="9">
        <v>0</v>
      </c>
    </row>
    <row r="360" spans="2:3" x14ac:dyDescent="0.2">
      <c r="B360" t="s">
        <v>3172</v>
      </c>
      <c r="C360" s="9">
        <v>9.3901000000000002E-3</v>
      </c>
    </row>
    <row r="361" spans="2:3" x14ac:dyDescent="0.2">
      <c r="B361" t="s">
        <v>3175</v>
      </c>
    </row>
    <row r="362" spans="2:3" x14ac:dyDescent="0.2">
      <c r="B362" t="s">
        <v>3174</v>
      </c>
    </row>
    <row r="363" spans="2:3" x14ac:dyDescent="0.2">
      <c r="B363" s="9">
        <v>1001</v>
      </c>
      <c r="C363" s="9">
        <v>0</v>
      </c>
    </row>
    <row r="364" spans="2:3" x14ac:dyDescent="0.2">
      <c r="B364" s="9">
        <v>1002</v>
      </c>
      <c r="C364" s="9">
        <v>9.9999999999999995E-8</v>
      </c>
    </row>
    <row r="365" spans="2:3" x14ac:dyDescent="0.2">
      <c r="B365" s="9">
        <v>1003</v>
      </c>
      <c r="C365" s="9">
        <v>0</v>
      </c>
    </row>
    <row r="366" spans="2:3" x14ac:dyDescent="0.2">
      <c r="B366" s="9">
        <v>2003</v>
      </c>
      <c r="C366" s="9">
        <v>0</v>
      </c>
    </row>
    <row r="367" spans="2:3" x14ac:dyDescent="0.2">
      <c r="B367" s="9">
        <v>2004</v>
      </c>
      <c r="C367" s="9">
        <v>4.9999999999999998E-7</v>
      </c>
    </row>
    <row r="368" spans="2:3" x14ac:dyDescent="0.2">
      <c r="B368" s="9">
        <v>2005</v>
      </c>
      <c r="C368" s="9">
        <v>0</v>
      </c>
    </row>
    <row r="369" spans="2:3" x14ac:dyDescent="0.2">
      <c r="B369" s="9">
        <v>2006</v>
      </c>
      <c r="C369" s="9">
        <v>0</v>
      </c>
    </row>
    <row r="370" spans="2:3" x14ac:dyDescent="0.2">
      <c r="B370" s="9">
        <v>2007</v>
      </c>
      <c r="C370" s="9">
        <v>0</v>
      </c>
    </row>
    <row r="371" spans="2:3" x14ac:dyDescent="0.2">
      <c r="B371" s="9">
        <v>2008</v>
      </c>
      <c r="C371" s="9">
        <v>0</v>
      </c>
    </row>
    <row r="372" spans="2:3" x14ac:dyDescent="0.2">
      <c r="B372" s="9">
        <v>3005</v>
      </c>
      <c r="C372" s="9">
        <v>0</v>
      </c>
    </row>
    <row r="373" spans="2:3" x14ac:dyDescent="0.2">
      <c r="B373" s="9">
        <v>3006</v>
      </c>
      <c r="C373" s="9">
        <v>9.5000000000000005E-6</v>
      </c>
    </row>
    <row r="374" spans="2:3" x14ac:dyDescent="0.2">
      <c r="B374" s="9">
        <v>3007</v>
      </c>
      <c r="C374" s="9">
        <v>5.9999999999999997E-7</v>
      </c>
    </row>
    <row r="375" spans="2:3" x14ac:dyDescent="0.2">
      <c r="B375" s="9">
        <v>3008</v>
      </c>
      <c r="C375" s="9">
        <v>0</v>
      </c>
    </row>
    <row r="376" spans="2:3" x14ac:dyDescent="0.2">
      <c r="B376" s="9">
        <v>3009</v>
      </c>
      <c r="C376" s="9">
        <v>0</v>
      </c>
    </row>
    <row r="377" spans="2:3" x14ac:dyDescent="0.2">
      <c r="B377" s="9">
        <v>3010</v>
      </c>
      <c r="C377" s="9">
        <v>0</v>
      </c>
    </row>
    <row r="378" spans="2:3" x14ac:dyDescent="0.2">
      <c r="B378" s="9">
        <v>3011</v>
      </c>
      <c r="C378" s="9">
        <v>0</v>
      </c>
    </row>
    <row r="379" spans="2:3" x14ac:dyDescent="0.2">
      <c r="B379" s="9">
        <v>4006</v>
      </c>
      <c r="C379" s="9">
        <v>0</v>
      </c>
    </row>
    <row r="380" spans="2:3" x14ac:dyDescent="0.2">
      <c r="B380" s="9">
        <v>4007</v>
      </c>
      <c r="C380" s="9">
        <v>1.06E-5</v>
      </c>
    </row>
    <row r="381" spans="2:3" x14ac:dyDescent="0.2">
      <c r="B381" s="9">
        <v>4008</v>
      </c>
      <c r="C381" s="9">
        <v>0</v>
      </c>
    </row>
    <row r="382" spans="2:3" x14ac:dyDescent="0.2">
      <c r="B382" s="9">
        <v>4009</v>
      </c>
      <c r="C382" s="9">
        <v>1.9999999999999999E-7</v>
      </c>
    </row>
    <row r="383" spans="2:3" x14ac:dyDescent="0.2">
      <c r="B383" s="9">
        <v>4010</v>
      </c>
      <c r="C383" s="9">
        <v>0</v>
      </c>
    </row>
    <row r="384" spans="2:3" x14ac:dyDescent="0.2">
      <c r="B384" s="9">
        <v>4011</v>
      </c>
      <c r="C384" s="9">
        <v>0</v>
      </c>
    </row>
    <row r="385" spans="2:3" x14ac:dyDescent="0.2">
      <c r="B385" s="9">
        <v>4012</v>
      </c>
      <c r="C385" s="9">
        <v>0</v>
      </c>
    </row>
    <row r="386" spans="2:3" x14ac:dyDescent="0.2">
      <c r="B386" s="9">
        <v>4013</v>
      </c>
      <c r="C386" s="9">
        <v>0</v>
      </c>
    </row>
    <row r="387" spans="2:3" x14ac:dyDescent="0.2">
      <c r="B387" s="9">
        <v>4014</v>
      </c>
      <c r="C387" s="9">
        <v>0</v>
      </c>
    </row>
    <row r="388" spans="2:3" x14ac:dyDescent="0.2">
      <c r="B388" s="9">
        <v>5008</v>
      </c>
      <c r="C388" s="9">
        <v>9.9999999999999995E-8</v>
      </c>
    </row>
    <row r="389" spans="2:3" x14ac:dyDescent="0.2">
      <c r="B389" s="9">
        <v>5009</v>
      </c>
      <c r="C389" s="9">
        <v>0</v>
      </c>
    </row>
    <row r="390" spans="2:3" x14ac:dyDescent="0.2">
      <c r="B390" s="9">
        <v>5010</v>
      </c>
      <c r="C390" s="9">
        <v>1.2500000000000001E-5</v>
      </c>
    </row>
    <row r="391" spans="2:3" x14ac:dyDescent="0.2">
      <c r="B391" s="9">
        <v>5011</v>
      </c>
      <c r="C391" s="9">
        <v>2.9200000000000002E-5</v>
      </c>
    </row>
    <row r="392" spans="2:3" x14ac:dyDescent="0.2">
      <c r="B392" s="9">
        <v>5012</v>
      </c>
      <c r="C392" s="9">
        <v>0</v>
      </c>
    </row>
    <row r="393" spans="2:3" x14ac:dyDescent="0.2">
      <c r="B393" s="9">
        <v>5013</v>
      </c>
      <c r="C393" s="9">
        <v>0</v>
      </c>
    </row>
    <row r="394" spans="2:3" x14ac:dyDescent="0.2">
      <c r="B394" s="9">
        <v>5014</v>
      </c>
      <c r="C394" s="9">
        <v>0</v>
      </c>
    </row>
    <row r="395" spans="2:3" x14ac:dyDescent="0.2">
      <c r="B395" s="9">
        <v>5015</v>
      </c>
      <c r="C395" s="9">
        <v>0</v>
      </c>
    </row>
    <row r="396" spans="2:3" x14ac:dyDescent="0.2">
      <c r="B396" s="9">
        <v>5016</v>
      </c>
      <c r="C396" s="9">
        <v>0</v>
      </c>
    </row>
    <row r="397" spans="2:3" x14ac:dyDescent="0.2">
      <c r="B397" s="9">
        <v>5017</v>
      </c>
      <c r="C397" s="9">
        <v>0</v>
      </c>
    </row>
    <row r="398" spans="2:3" x14ac:dyDescent="0.2">
      <c r="B398" s="9">
        <v>6008</v>
      </c>
      <c r="C398" s="9">
        <v>0</v>
      </c>
    </row>
    <row r="399" spans="2:3" x14ac:dyDescent="0.2">
      <c r="B399" s="9">
        <v>6009</v>
      </c>
      <c r="C399" s="9">
        <v>0</v>
      </c>
    </row>
    <row r="400" spans="2:3" x14ac:dyDescent="0.2">
      <c r="B400" s="9">
        <v>6010</v>
      </c>
      <c r="C400" s="9">
        <v>2.9999999999999999E-7</v>
      </c>
    </row>
    <row r="401" spans="2:3" x14ac:dyDescent="0.2">
      <c r="B401" s="9">
        <v>6011</v>
      </c>
      <c r="C401" s="9">
        <v>3.8500000000000001E-5</v>
      </c>
    </row>
    <row r="402" spans="2:3" x14ac:dyDescent="0.2">
      <c r="B402" s="9">
        <v>6012</v>
      </c>
      <c r="C402" s="9">
        <v>9.3459999999999995E-4</v>
      </c>
    </row>
    <row r="403" spans="2:3" x14ac:dyDescent="0.2">
      <c r="B403" s="9">
        <v>6013</v>
      </c>
      <c r="C403" s="9">
        <v>9.2100000000000003E-5</v>
      </c>
    </row>
    <row r="404" spans="2:3" x14ac:dyDescent="0.2">
      <c r="B404" s="9">
        <v>6014</v>
      </c>
      <c r="C404" s="9">
        <v>6.2999999999999998E-6</v>
      </c>
    </row>
    <row r="405" spans="2:3" x14ac:dyDescent="0.2">
      <c r="B405" s="9">
        <v>6015</v>
      </c>
      <c r="C405" s="9">
        <v>0</v>
      </c>
    </row>
    <row r="406" spans="2:3" x14ac:dyDescent="0.2">
      <c r="B406" s="9">
        <v>6016</v>
      </c>
      <c r="C406" s="9">
        <v>0</v>
      </c>
    </row>
    <row r="407" spans="2:3" x14ac:dyDescent="0.2">
      <c r="B407" s="9">
        <v>6017</v>
      </c>
      <c r="C407" s="9">
        <v>0</v>
      </c>
    </row>
    <row r="408" spans="2:3" x14ac:dyDescent="0.2">
      <c r="B408" s="9">
        <v>6018</v>
      </c>
      <c r="C408" s="9">
        <v>0</v>
      </c>
    </row>
    <row r="409" spans="2:3" x14ac:dyDescent="0.2">
      <c r="B409" s="9">
        <v>6019</v>
      </c>
      <c r="C409" s="9">
        <v>0</v>
      </c>
    </row>
    <row r="410" spans="2:3" x14ac:dyDescent="0.2">
      <c r="B410" s="9">
        <v>6020</v>
      </c>
      <c r="C410" s="9">
        <v>0</v>
      </c>
    </row>
    <row r="411" spans="2:3" x14ac:dyDescent="0.2">
      <c r="B411" s="9">
        <v>7011</v>
      </c>
      <c r="C411" s="9">
        <v>0</v>
      </c>
    </row>
    <row r="412" spans="2:3" x14ac:dyDescent="0.2">
      <c r="B412" s="9">
        <v>7012</v>
      </c>
      <c r="C412" s="9">
        <v>1.5999999999999999E-6</v>
      </c>
    </row>
    <row r="413" spans="2:3" x14ac:dyDescent="0.2">
      <c r="B413" s="9">
        <v>7013</v>
      </c>
      <c r="C413" s="9">
        <v>3.5599999999999998E-5</v>
      </c>
    </row>
    <row r="414" spans="2:3" x14ac:dyDescent="0.2">
      <c r="B414" s="9">
        <v>7014</v>
      </c>
      <c r="C414" s="9">
        <v>5.756E-4</v>
      </c>
    </row>
    <row r="415" spans="2:3" x14ac:dyDescent="0.2">
      <c r="B415" s="9">
        <v>7015</v>
      </c>
      <c r="C415" s="9">
        <v>3.7599999999999998E-4</v>
      </c>
    </row>
    <row r="416" spans="2:3" x14ac:dyDescent="0.2">
      <c r="B416" s="9">
        <v>7016</v>
      </c>
      <c r="C416" s="9">
        <v>1.5E-6</v>
      </c>
    </row>
    <row r="417" spans="2:3" x14ac:dyDescent="0.2">
      <c r="B417" s="9">
        <v>7017</v>
      </c>
      <c r="C417" s="9">
        <v>4.9999999999999998E-7</v>
      </c>
    </row>
    <row r="418" spans="2:3" x14ac:dyDescent="0.2">
      <c r="B418" s="9">
        <v>7018</v>
      </c>
      <c r="C418" s="9">
        <v>0</v>
      </c>
    </row>
    <row r="419" spans="2:3" x14ac:dyDescent="0.2">
      <c r="B419" s="9">
        <v>7019</v>
      </c>
      <c r="C419" s="9">
        <v>0</v>
      </c>
    </row>
    <row r="420" spans="2:3" x14ac:dyDescent="0.2">
      <c r="B420" s="9">
        <v>7020</v>
      </c>
      <c r="C420" s="9">
        <v>0</v>
      </c>
    </row>
    <row r="421" spans="2:3" x14ac:dyDescent="0.2">
      <c r="B421" s="9">
        <v>7021</v>
      </c>
      <c r="C421" s="9">
        <v>0</v>
      </c>
    </row>
    <row r="422" spans="2:3" x14ac:dyDescent="0.2">
      <c r="B422" s="9">
        <v>7022</v>
      </c>
      <c r="C422" s="9">
        <v>0</v>
      </c>
    </row>
    <row r="423" spans="2:3" x14ac:dyDescent="0.2">
      <c r="B423" s="9">
        <v>7023</v>
      </c>
      <c r="C423" s="9">
        <v>0</v>
      </c>
    </row>
    <row r="424" spans="2:3" x14ac:dyDescent="0.2">
      <c r="B424" s="9">
        <v>8013</v>
      </c>
      <c r="C424" s="9">
        <v>0</v>
      </c>
    </row>
    <row r="425" spans="2:3" x14ac:dyDescent="0.2">
      <c r="B425" s="9">
        <v>8014</v>
      </c>
      <c r="C425" s="9">
        <v>2.3200000000000001E-5</v>
      </c>
    </row>
    <row r="426" spans="2:3" x14ac:dyDescent="0.2">
      <c r="B426" s="9">
        <v>8015</v>
      </c>
      <c r="C426" s="9">
        <v>7.0240000000000005E-4</v>
      </c>
    </row>
    <row r="427" spans="2:3" x14ac:dyDescent="0.2">
      <c r="B427" s="9">
        <v>8016</v>
      </c>
      <c r="C427" s="9">
        <v>8.8491000000000004E-3</v>
      </c>
    </row>
    <row r="428" spans="2:3" x14ac:dyDescent="0.2">
      <c r="B428" s="9">
        <v>8017</v>
      </c>
      <c r="C428" s="9">
        <v>5.2000000000000002E-6</v>
      </c>
    </row>
    <row r="429" spans="2:3" x14ac:dyDescent="0.2">
      <c r="B429" s="9">
        <v>8018</v>
      </c>
      <c r="C429" s="9">
        <v>1.7900000000000001E-5</v>
      </c>
    </row>
    <row r="430" spans="2:3" x14ac:dyDescent="0.2">
      <c r="B430" s="9">
        <v>8019</v>
      </c>
      <c r="C430" s="9">
        <v>0</v>
      </c>
    </row>
    <row r="431" spans="2:3" x14ac:dyDescent="0.2">
      <c r="B431" s="9">
        <v>8020</v>
      </c>
      <c r="C431" s="9">
        <v>0</v>
      </c>
    </row>
    <row r="432" spans="2:3" x14ac:dyDescent="0.2">
      <c r="B432" s="9">
        <v>8021</v>
      </c>
      <c r="C432" s="9">
        <v>0</v>
      </c>
    </row>
    <row r="433" spans="2:3" x14ac:dyDescent="0.2">
      <c r="B433" s="9">
        <v>8022</v>
      </c>
      <c r="C433" s="9">
        <v>0</v>
      </c>
    </row>
    <row r="434" spans="2:3" x14ac:dyDescent="0.2">
      <c r="B434" s="9">
        <v>8023</v>
      </c>
      <c r="C434" s="9">
        <v>0</v>
      </c>
    </row>
    <row r="435" spans="2:3" x14ac:dyDescent="0.2">
      <c r="B435" s="9">
        <v>8024</v>
      </c>
      <c r="C435" s="9">
        <v>0</v>
      </c>
    </row>
    <row r="436" spans="2:3" x14ac:dyDescent="0.2">
      <c r="B436" s="9">
        <v>9015</v>
      </c>
      <c r="C436" s="9">
        <v>1.9E-6</v>
      </c>
    </row>
    <row r="437" spans="2:3" x14ac:dyDescent="0.2">
      <c r="B437" s="9">
        <v>9016</v>
      </c>
      <c r="C437" s="9">
        <v>7.25E-5</v>
      </c>
    </row>
    <row r="438" spans="2:3" x14ac:dyDescent="0.2">
      <c r="B438" s="9">
        <v>9017</v>
      </c>
      <c r="C438" s="9">
        <v>0</v>
      </c>
    </row>
    <row r="439" spans="2:3" x14ac:dyDescent="0.2">
      <c r="B439" s="9">
        <v>9018</v>
      </c>
      <c r="C439" s="9">
        <v>8.9999999999999996E-7</v>
      </c>
    </row>
    <row r="440" spans="2:3" x14ac:dyDescent="0.2">
      <c r="B440" s="9">
        <v>9019</v>
      </c>
      <c r="C440" s="9">
        <v>0</v>
      </c>
    </row>
    <row r="441" spans="2:3" x14ac:dyDescent="0.2">
      <c r="B441" s="9">
        <v>9020</v>
      </c>
      <c r="C441" s="9">
        <v>0</v>
      </c>
    </row>
    <row r="442" spans="2:3" x14ac:dyDescent="0.2">
      <c r="B442" s="9">
        <v>9021</v>
      </c>
      <c r="C442" s="9">
        <v>0</v>
      </c>
    </row>
    <row r="443" spans="2:3" x14ac:dyDescent="0.2">
      <c r="B443" s="9">
        <v>9022</v>
      </c>
      <c r="C443" s="9">
        <v>0</v>
      </c>
    </row>
    <row r="444" spans="2:3" x14ac:dyDescent="0.2">
      <c r="B444" s="9">
        <v>9023</v>
      </c>
      <c r="C444" s="9">
        <v>0</v>
      </c>
    </row>
    <row r="445" spans="2:3" x14ac:dyDescent="0.2">
      <c r="B445" s="9">
        <v>9024</v>
      </c>
      <c r="C445" s="9">
        <v>0</v>
      </c>
    </row>
    <row r="446" spans="2:3" x14ac:dyDescent="0.2">
      <c r="B446" s="9">
        <v>9025</v>
      </c>
      <c r="C446" s="9">
        <v>0</v>
      </c>
    </row>
    <row r="447" spans="2:3" x14ac:dyDescent="0.2">
      <c r="B447" s="9">
        <v>9026</v>
      </c>
      <c r="C447" s="9">
        <v>0</v>
      </c>
    </row>
    <row r="448" spans="2:3" x14ac:dyDescent="0.2">
      <c r="B448" s="9">
        <v>9027</v>
      </c>
      <c r="C448" s="9">
        <v>0</v>
      </c>
    </row>
    <row r="449" spans="2:3" x14ac:dyDescent="0.2">
      <c r="B449" s="9">
        <v>10017</v>
      </c>
      <c r="C449" s="9">
        <v>0</v>
      </c>
    </row>
    <row r="450" spans="2:3" x14ac:dyDescent="0.2">
      <c r="B450" s="9">
        <v>10018</v>
      </c>
      <c r="C450" s="9">
        <v>0</v>
      </c>
    </row>
    <row r="451" spans="2:3" x14ac:dyDescent="0.2">
      <c r="B451" s="9">
        <v>10019</v>
      </c>
      <c r="C451" s="9">
        <v>0</v>
      </c>
    </row>
    <row r="452" spans="2:3" x14ac:dyDescent="0.2">
      <c r="B452" s="9">
        <v>10020</v>
      </c>
      <c r="C452" s="9">
        <v>0</v>
      </c>
    </row>
    <row r="453" spans="2:3" x14ac:dyDescent="0.2">
      <c r="B453" s="9">
        <v>10021</v>
      </c>
      <c r="C453" s="9">
        <v>0</v>
      </c>
    </row>
    <row r="454" spans="2:3" x14ac:dyDescent="0.2">
      <c r="B454" s="9">
        <v>10022</v>
      </c>
      <c r="C454" s="9">
        <v>0</v>
      </c>
    </row>
    <row r="455" spans="2:3" x14ac:dyDescent="0.2">
      <c r="B455" s="9">
        <v>10023</v>
      </c>
      <c r="C455" s="9">
        <v>0</v>
      </c>
    </row>
    <row r="456" spans="2:3" x14ac:dyDescent="0.2">
      <c r="B456" s="9">
        <v>10024</v>
      </c>
      <c r="C456" s="9">
        <v>0</v>
      </c>
    </row>
    <row r="457" spans="2:3" x14ac:dyDescent="0.2">
      <c r="B457" s="9">
        <v>10025</v>
      </c>
      <c r="C457" s="9">
        <v>0</v>
      </c>
    </row>
    <row r="458" spans="2:3" x14ac:dyDescent="0.2">
      <c r="B458" s="9">
        <v>10026</v>
      </c>
      <c r="C458" s="9">
        <v>0</v>
      </c>
    </row>
    <row r="459" spans="2:3" x14ac:dyDescent="0.2">
      <c r="B459" s="9">
        <v>10027</v>
      </c>
      <c r="C459" s="9">
        <v>0</v>
      </c>
    </row>
    <row r="460" spans="2:3" x14ac:dyDescent="0.2">
      <c r="B460" s="9">
        <v>10028</v>
      </c>
      <c r="C460" s="9">
        <v>0</v>
      </c>
    </row>
    <row r="461" spans="2:3" x14ac:dyDescent="0.2">
      <c r="B461" s="9">
        <v>11019</v>
      </c>
      <c r="C461" s="9">
        <v>0</v>
      </c>
    </row>
    <row r="462" spans="2:3" x14ac:dyDescent="0.2">
      <c r="B462" s="9">
        <v>11020</v>
      </c>
      <c r="C462" s="9">
        <v>0</v>
      </c>
    </row>
    <row r="463" spans="2:3" x14ac:dyDescent="0.2">
      <c r="B463" s="9">
        <v>11021</v>
      </c>
      <c r="C463" s="9">
        <v>0</v>
      </c>
    </row>
    <row r="464" spans="2:3" x14ac:dyDescent="0.2">
      <c r="B464" s="9">
        <v>11022</v>
      </c>
      <c r="C464" s="9">
        <v>0</v>
      </c>
    </row>
    <row r="465" spans="2:3" x14ac:dyDescent="0.2">
      <c r="B465" s="9">
        <v>11023</v>
      </c>
      <c r="C465" s="9">
        <v>0</v>
      </c>
    </row>
    <row r="466" spans="2:3" x14ac:dyDescent="0.2">
      <c r="B466" s="9">
        <v>11024</v>
      </c>
      <c r="C466" s="9">
        <v>0</v>
      </c>
    </row>
    <row r="467" spans="2:3" x14ac:dyDescent="0.2">
      <c r="B467" s="9">
        <v>11025</v>
      </c>
      <c r="C467" s="9">
        <v>0</v>
      </c>
    </row>
    <row r="468" spans="2:3" x14ac:dyDescent="0.2">
      <c r="B468" s="9">
        <v>11026</v>
      </c>
      <c r="C468" s="9">
        <v>0</v>
      </c>
    </row>
    <row r="469" spans="2:3" x14ac:dyDescent="0.2">
      <c r="B469" s="9">
        <v>11027</v>
      </c>
      <c r="C469" s="9">
        <v>0</v>
      </c>
    </row>
    <row r="470" spans="2:3" x14ac:dyDescent="0.2">
      <c r="B470" s="9">
        <v>11028</v>
      </c>
      <c r="C470" s="9">
        <v>0</v>
      </c>
    </row>
    <row r="471" spans="2:3" x14ac:dyDescent="0.2">
      <c r="B471" s="9">
        <v>11029</v>
      </c>
      <c r="C471" s="9">
        <v>0</v>
      </c>
    </row>
    <row r="472" spans="2:3" x14ac:dyDescent="0.2">
      <c r="B472" s="9">
        <v>11030</v>
      </c>
      <c r="C472" s="9">
        <v>0</v>
      </c>
    </row>
    <row r="473" spans="2:3" x14ac:dyDescent="0.2">
      <c r="B473" s="9">
        <v>11031</v>
      </c>
      <c r="C473" s="9">
        <v>0</v>
      </c>
    </row>
    <row r="474" spans="2:3" x14ac:dyDescent="0.2">
      <c r="B474" s="9">
        <v>11032</v>
      </c>
      <c r="C474" s="9">
        <v>0</v>
      </c>
    </row>
    <row r="475" spans="2:3" x14ac:dyDescent="0.2">
      <c r="B475" s="9">
        <v>11033</v>
      </c>
      <c r="C475" s="9">
        <v>0</v>
      </c>
    </row>
    <row r="476" spans="2:3" x14ac:dyDescent="0.2">
      <c r="B476" s="9">
        <v>11034</v>
      </c>
      <c r="C476" s="9">
        <v>0</v>
      </c>
    </row>
    <row r="477" spans="2:3" x14ac:dyDescent="0.2">
      <c r="B477" s="9">
        <v>11035</v>
      </c>
      <c r="C477" s="9">
        <v>0</v>
      </c>
    </row>
    <row r="478" spans="2:3" x14ac:dyDescent="0.2">
      <c r="B478" s="9">
        <v>12020</v>
      </c>
      <c r="C478" s="9">
        <v>0</v>
      </c>
    </row>
    <row r="479" spans="2:3" x14ac:dyDescent="0.2">
      <c r="B479" s="9">
        <v>12021</v>
      </c>
      <c r="C479" s="9">
        <v>0</v>
      </c>
    </row>
    <row r="480" spans="2:3" x14ac:dyDescent="0.2">
      <c r="B480" s="9">
        <v>12022</v>
      </c>
      <c r="C480" s="9">
        <v>0</v>
      </c>
    </row>
    <row r="481" spans="2:3" x14ac:dyDescent="0.2">
      <c r="B481" s="9">
        <v>12023</v>
      </c>
      <c r="C481" s="9">
        <v>0</v>
      </c>
    </row>
    <row r="482" spans="2:3" x14ac:dyDescent="0.2">
      <c r="B482" s="9">
        <v>12024</v>
      </c>
      <c r="C482" s="9">
        <v>0</v>
      </c>
    </row>
    <row r="483" spans="2:3" x14ac:dyDescent="0.2">
      <c r="B483" s="9">
        <v>12025</v>
      </c>
      <c r="C483" s="9">
        <v>0</v>
      </c>
    </row>
    <row r="484" spans="2:3" x14ac:dyDescent="0.2">
      <c r="B484" s="9">
        <v>12026</v>
      </c>
      <c r="C484" s="9">
        <v>0</v>
      </c>
    </row>
    <row r="485" spans="2:3" x14ac:dyDescent="0.2">
      <c r="B485" s="9">
        <v>12027</v>
      </c>
      <c r="C485" s="9">
        <v>0</v>
      </c>
    </row>
    <row r="486" spans="2:3" x14ac:dyDescent="0.2">
      <c r="B486" s="9">
        <v>12028</v>
      </c>
      <c r="C486" s="9">
        <v>0</v>
      </c>
    </row>
    <row r="487" spans="2:3" x14ac:dyDescent="0.2">
      <c r="B487" s="9">
        <v>12029</v>
      </c>
      <c r="C487" s="9">
        <v>0</v>
      </c>
    </row>
    <row r="488" spans="2:3" x14ac:dyDescent="0.2">
      <c r="B488" s="9">
        <v>12030</v>
      </c>
      <c r="C488" s="9">
        <v>0</v>
      </c>
    </row>
    <row r="489" spans="2:3" x14ac:dyDescent="0.2">
      <c r="B489" s="9">
        <v>12031</v>
      </c>
      <c r="C489" s="9">
        <v>0</v>
      </c>
    </row>
    <row r="490" spans="2:3" x14ac:dyDescent="0.2">
      <c r="B490" s="9">
        <v>12032</v>
      </c>
      <c r="C490" s="9">
        <v>0</v>
      </c>
    </row>
    <row r="491" spans="2:3" x14ac:dyDescent="0.2">
      <c r="B491" s="9">
        <v>12033</v>
      </c>
      <c r="C491" s="9">
        <v>0</v>
      </c>
    </row>
    <row r="492" spans="2:3" x14ac:dyDescent="0.2">
      <c r="B492" s="9">
        <v>12034</v>
      </c>
      <c r="C492" s="9">
        <v>0</v>
      </c>
    </row>
    <row r="493" spans="2:3" x14ac:dyDescent="0.2">
      <c r="B493" s="9">
        <v>13022</v>
      </c>
      <c r="C493" s="9">
        <v>0</v>
      </c>
    </row>
    <row r="494" spans="2:3" x14ac:dyDescent="0.2">
      <c r="B494" s="9">
        <v>13023</v>
      </c>
      <c r="C494" s="9">
        <v>0</v>
      </c>
    </row>
    <row r="495" spans="2:3" x14ac:dyDescent="0.2">
      <c r="B495" s="9">
        <v>13024</v>
      </c>
      <c r="C495" s="9">
        <v>0</v>
      </c>
    </row>
    <row r="496" spans="2:3" x14ac:dyDescent="0.2">
      <c r="B496" s="9">
        <v>13025</v>
      </c>
      <c r="C496" s="9">
        <v>0</v>
      </c>
    </row>
    <row r="497" spans="2:3" x14ac:dyDescent="0.2">
      <c r="B497" s="9">
        <v>13026</v>
      </c>
      <c r="C497" s="9">
        <v>0</v>
      </c>
    </row>
    <row r="498" spans="2:3" x14ac:dyDescent="0.2">
      <c r="B498" s="9">
        <v>13027</v>
      </c>
      <c r="C498" s="9">
        <v>0</v>
      </c>
    </row>
    <row r="499" spans="2:3" x14ac:dyDescent="0.2">
      <c r="B499" s="9">
        <v>13028</v>
      </c>
      <c r="C499" s="9">
        <v>0</v>
      </c>
    </row>
    <row r="500" spans="2:3" x14ac:dyDescent="0.2">
      <c r="B500" s="9">
        <v>13029</v>
      </c>
      <c r="C500" s="9">
        <v>0</v>
      </c>
    </row>
    <row r="501" spans="2:3" x14ac:dyDescent="0.2">
      <c r="B501" s="9">
        <v>13030</v>
      </c>
      <c r="C501" s="9">
        <v>0</v>
      </c>
    </row>
    <row r="502" spans="2:3" x14ac:dyDescent="0.2">
      <c r="B502" s="9">
        <v>13031</v>
      </c>
      <c r="C502" s="9">
        <v>0</v>
      </c>
    </row>
    <row r="503" spans="2:3" x14ac:dyDescent="0.2">
      <c r="B503" s="9">
        <v>13032</v>
      </c>
      <c r="C503" s="9">
        <v>0</v>
      </c>
    </row>
    <row r="504" spans="2:3" x14ac:dyDescent="0.2">
      <c r="B504" s="9">
        <v>13033</v>
      </c>
      <c r="C504" s="9">
        <v>0</v>
      </c>
    </row>
    <row r="505" spans="2:3" x14ac:dyDescent="0.2">
      <c r="B505" s="9">
        <v>13034</v>
      </c>
      <c r="C505" s="9">
        <v>0</v>
      </c>
    </row>
    <row r="506" spans="2:3" x14ac:dyDescent="0.2">
      <c r="B506" s="9">
        <v>13035</v>
      </c>
      <c r="C506" s="9">
        <v>0</v>
      </c>
    </row>
    <row r="507" spans="2:3" x14ac:dyDescent="0.2">
      <c r="B507" s="9">
        <v>14024</v>
      </c>
      <c r="C507" s="9">
        <v>0</v>
      </c>
    </row>
    <row r="508" spans="2:3" x14ac:dyDescent="0.2">
      <c r="B508" s="9">
        <v>14025</v>
      </c>
      <c r="C508" s="9">
        <v>0</v>
      </c>
    </row>
    <row r="509" spans="2:3" x14ac:dyDescent="0.2">
      <c r="B509" s="9">
        <v>14026</v>
      </c>
      <c r="C509" s="9">
        <v>0</v>
      </c>
    </row>
    <row r="510" spans="2:3" x14ac:dyDescent="0.2">
      <c r="B510" s="9">
        <v>14027</v>
      </c>
      <c r="C510" s="9">
        <v>0</v>
      </c>
    </row>
    <row r="511" spans="2:3" x14ac:dyDescent="0.2">
      <c r="B511" s="9">
        <v>14028</v>
      </c>
      <c r="C511" s="9">
        <v>0</v>
      </c>
    </row>
    <row r="512" spans="2:3" x14ac:dyDescent="0.2">
      <c r="B512" s="9">
        <v>14029</v>
      </c>
      <c r="C512" s="9">
        <v>0</v>
      </c>
    </row>
    <row r="513" spans="2:3" x14ac:dyDescent="0.2">
      <c r="B513" s="9">
        <v>14030</v>
      </c>
      <c r="C513" s="9">
        <v>0</v>
      </c>
    </row>
    <row r="514" spans="2:3" x14ac:dyDescent="0.2">
      <c r="B514" s="9">
        <v>14031</v>
      </c>
      <c r="C514" s="9">
        <v>0</v>
      </c>
    </row>
    <row r="515" spans="2:3" x14ac:dyDescent="0.2">
      <c r="B515" s="9">
        <v>14032</v>
      </c>
      <c r="C515" s="9">
        <v>0</v>
      </c>
    </row>
    <row r="516" spans="2:3" x14ac:dyDescent="0.2">
      <c r="B516" s="9">
        <v>14033</v>
      </c>
      <c r="C516" s="9">
        <v>0</v>
      </c>
    </row>
    <row r="517" spans="2:3" x14ac:dyDescent="0.2">
      <c r="B517" s="9">
        <v>14034</v>
      </c>
      <c r="C517" s="9">
        <v>0</v>
      </c>
    </row>
    <row r="518" spans="2:3" x14ac:dyDescent="0.2">
      <c r="B518" s="9">
        <v>14035</v>
      </c>
      <c r="C518" s="9">
        <v>0</v>
      </c>
    </row>
    <row r="519" spans="2:3" x14ac:dyDescent="0.2">
      <c r="B519" s="9">
        <v>14036</v>
      </c>
      <c r="C519" s="9">
        <v>0</v>
      </c>
    </row>
    <row r="520" spans="2:3" x14ac:dyDescent="0.2">
      <c r="B520" s="9">
        <v>14037</v>
      </c>
      <c r="C520" s="9">
        <v>0</v>
      </c>
    </row>
    <row r="521" spans="2:3" x14ac:dyDescent="0.2">
      <c r="B521" s="9">
        <v>14038</v>
      </c>
      <c r="C521" s="9">
        <v>0</v>
      </c>
    </row>
    <row r="522" spans="2:3" x14ac:dyDescent="0.2">
      <c r="B522" s="9">
        <v>14039</v>
      </c>
      <c r="C522" s="9">
        <v>0</v>
      </c>
    </row>
    <row r="523" spans="2:3" x14ac:dyDescent="0.2">
      <c r="B523" s="9">
        <v>15026</v>
      </c>
      <c r="C523" s="9">
        <v>0</v>
      </c>
    </row>
    <row r="524" spans="2:3" x14ac:dyDescent="0.2">
      <c r="B524" s="9">
        <v>15027</v>
      </c>
      <c r="C524" s="9">
        <v>0</v>
      </c>
    </row>
    <row r="525" spans="2:3" x14ac:dyDescent="0.2">
      <c r="B525" s="9">
        <v>15028</v>
      </c>
      <c r="C525" s="9">
        <v>0</v>
      </c>
    </row>
    <row r="526" spans="2:3" x14ac:dyDescent="0.2">
      <c r="B526" s="9">
        <v>15029</v>
      </c>
      <c r="C526" s="9">
        <v>0</v>
      </c>
    </row>
    <row r="527" spans="2:3" x14ac:dyDescent="0.2">
      <c r="B527" s="9">
        <v>15030</v>
      </c>
      <c r="C527" s="9">
        <v>0</v>
      </c>
    </row>
    <row r="528" spans="2:3" x14ac:dyDescent="0.2">
      <c r="B528" s="9">
        <v>15031</v>
      </c>
      <c r="C528" s="9">
        <v>0</v>
      </c>
    </row>
    <row r="529" spans="2:3" x14ac:dyDescent="0.2">
      <c r="B529" s="9">
        <v>15032</v>
      </c>
      <c r="C529" s="9">
        <v>0</v>
      </c>
    </row>
    <row r="530" spans="2:3" x14ac:dyDescent="0.2">
      <c r="B530" s="9">
        <v>15033</v>
      </c>
      <c r="C530" s="9">
        <v>0</v>
      </c>
    </row>
    <row r="531" spans="2:3" x14ac:dyDescent="0.2">
      <c r="B531" s="9">
        <v>15034</v>
      </c>
      <c r="C531" s="9">
        <v>0</v>
      </c>
    </row>
    <row r="532" spans="2:3" x14ac:dyDescent="0.2">
      <c r="B532" s="9">
        <v>15035</v>
      </c>
      <c r="C532" s="9">
        <v>0</v>
      </c>
    </row>
    <row r="533" spans="2:3" x14ac:dyDescent="0.2">
      <c r="B533" s="9">
        <v>15036</v>
      </c>
      <c r="C533" s="9">
        <v>0</v>
      </c>
    </row>
    <row r="534" spans="2:3" x14ac:dyDescent="0.2">
      <c r="B534" s="9">
        <v>15037</v>
      </c>
      <c r="C534" s="9">
        <v>0</v>
      </c>
    </row>
    <row r="535" spans="2:3" x14ac:dyDescent="0.2">
      <c r="B535" s="9">
        <v>15038</v>
      </c>
      <c r="C535" s="9">
        <v>0</v>
      </c>
    </row>
    <row r="536" spans="2:3" x14ac:dyDescent="0.2">
      <c r="B536" s="9">
        <v>15039</v>
      </c>
      <c r="C536" s="9">
        <v>0</v>
      </c>
    </row>
    <row r="537" spans="2:3" x14ac:dyDescent="0.2">
      <c r="B537" s="9">
        <v>15040</v>
      </c>
      <c r="C537" s="9">
        <v>0</v>
      </c>
    </row>
    <row r="538" spans="2:3" x14ac:dyDescent="0.2">
      <c r="B538" s="9">
        <v>15041</v>
      </c>
      <c r="C538" s="9">
        <v>0</v>
      </c>
    </row>
    <row r="539" spans="2:3" x14ac:dyDescent="0.2">
      <c r="B539" s="9">
        <v>15042</v>
      </c>
      <c r="C539" s="9">
        <v>0</v>
      </c>
    </row>
    <row r="540" spans="2:3" x14ac:dyDescent="0.2">
      <c r="B540" t="s">
        <v>3172</v>
      </c>
      <c r="C540" s="9">
        <v>1.1799E-2</v>
      </c>
    </row>
    <row r="541" spans="2:3" x14ac:dyDescent="0.2">
      <c r="B541" t="s">
        <v>3176</v>
      </c>
    </row>
    <row r="542" spans="2:3" x14ac:dyDescent="0.2">
      <c r="B542" t="s">
        <v>3174</v>
      </c>
    </row>
    <row r="543" spans="2:3" x14ac:dyDescent="0.2">
      <c r="B543" s="9">
        <v>1001</v>
      </c>
      <c r="C543" s="9">
        <v>0</v>
      </c>
    </row>
    <row r="544" spans="2:3" x14ac:dyDescent="0.2">
      <c r="B544" s="9">
        <v>1002</v>
      </c>
      <c r="C544" s="9">
        <v>0</v>
      </c>
    </row>
    <row r="545" spans="2:3" x14ac:dyDescent="0.2">
      <c r="B545" s="9">
        <v>1003</v>
      </c>
      <c r="C545" s="9">
        <v>0</v>
      </c>
    </row>
    <row r="546" spans="2:3" x14ac:dyDescent="0.2">
      <c r="B546" s="9">
        <v>2003</v>
      </c>
      <c r="C546" s="9">
        <v>0</v>
      </c>
    </row>
    <row r="547" spans="2:3" x14ac:dyDescent="0.2">
      <c r="B547" s="9">
        <v>2004</v>
      </c>
      <c r="C547" s="9">
        <v>3.9999999999999998E-7</v>
      </c>
    </row>
    <row r="548" spans="2:3" x14ac:dyDescent="0.2">
      <c r="B548" s="9">
        <v>2005</v>
      </c>
      <c r="C548" s="9">
        <v>0</v>
      </c>
    </row>
    <row r="549" spans="2:3" x14ac:dyDescent="0.2">
      <c r="B549" s="9">
        <v>2006</v>
      </c>
      <c r="C549" s="9">
        <v>0</v>
      </c>
    </row>
    <row r="550" spans="2:3" x14ac:dyDescent="0.2">
      <c r="B550" s="9">
        <v>2007</v>
      </c>
      <c r="C550" s="9">
        <v>0</v>
      </c>
    </row>
    <row r="551" spans="2:3" x14ac:dyDescent="0.2">
      <c r="B551" s="9">
        <v>2008</v>
      </c>
      <c r="C551" s="9">
        <v>0</v>
      </c>
    </row>
    <row r="552" spans="2:3" x14ac:dyDescent="0.2">
      <c r="B552" s="9">
        <v>3005</v>
      </c>
      <c r="C552" s="9">
        <v>0</v>
      </c>
    </row>
    <row r="553" spans="2:3" x14ac:dyDescent="0.2">
      <c r="B553" s="9">
        <v>3006</v>
      </c>
      <c r="C553" s="9">
        <v>0</v>
      </c>
    </row>
    <row r="554" spans="2:3" x14ac:dyDescent="0.2">
      <c r="B554" s="9">
        <v>3007</v>
      </c>
      <c r="C554" s="9">
        <v>0</v>
      </c>
    </row>
    <row r="555" spans="2:3" x14ac:dyDescent="0.2">
      <c r="B555" s="9">
        <v>3008</v>
      </c>
      <c r="C555" s="9">
        <v>0</v>
      </c>
    </row>
    <row r="556" spans="2:3" x14ac:dyDescent="0.2">
      <c r="B556" s="9">
        <v>3009</v>
      </c>
      <c r="C556" s="9">
        <v>0</v>
      </c>
    </row>
    <row r="557" spans="2:3" x14ac:dyDescent="0.2">
      <c r="B557" s="9">
        <v>3010</v>
      </c>
      <c r="C557" s="9">
        <v>0</v>
      </c>
    </row>
    <row r="558" spans="2:3" x14ac:dyDescent="0.2">
      <c r="B558" s="9">
        <v>3011</v>
      </c>
      <c r="C558" s="9">
        <v>0</v>
      </c>
    </row>
    <row r="559" spans="2:3" x14ac:dyDescent="0.2">
      <c r="B559" s="9">
        <v>4006</v>
      </c>
      <c r="C559" s="9">
        <v>0</v>
      </c>
    </row>
    <row r="560" spans="2:3" x14ac:dyDescent="0.2">
      <c r="B560" s="9">
        <v>4007</v>
      </c>
      <c r="C560" s="9">
        <v>0</v>
      </c>
    </row>
    <row r="561" spans="2:3" x14ac:dyDescent="0.2">
      <c r="B561" s="9">
        <v>4008</v>
      </c>
      <c r="C561" s="9">
        <v>0</v>
      </c>
    </row>
    <row r="562" spans="2:3" x14ac:dyDescent="0.2">
      <c r="B562" s="9">
        <v>4009</v>
      </c>
      <c r="C562" s="9">
        <v>0</v>
      </c>
    </row>
    <row r="563" spans="2:3" x14ac:dyDescent="0.2">
      <c r="B563" s="9">
        <v>4010</v>
      </c>
      <c r="C563" s="9">
        <v>0</v>
      </c>
    </row>
    <row r="564" spans="2:3" x14ac:dyDescent="0.2">
      <c r="B564" s="9">
        <v>4011</v>
      </c>
      <c r="C564" s="9">
        <v>0</v>
      </c>
    </row>
    <row r="565" spans="2:3" x14ac:dyDescent="0.2">
      <c r="B565" s="9">
        <v>4012</v>
      </c>
      <c r="C565" s="9">
        <v>0</v>
      </c>
    </row>
    <row r="566" spans="2:3" x14ac:dyDescent="0.2">
      <c r="B566" s="9">
        <v>4013</v>
      </c>
      <c r="C566" s="9">
        <v>0</v>
      </c>
    </row>
    <row r="567" spans="2:3" x14ac:dyDescent="0.2">
      <c r="B567" s="9">
        <v>4014</v>
      </c>
      <c r="C567" s="9">
        <v>0</v>
      </c>
    </row>
    <row r="568" spans="2:3" x14ac:dyDescent="0.2">
      <c r="B568" s="9">
        <v>5008</v>
      </c>
      <c r="C568" s="9">
        <v>0</v>
      </c>
    </row>
    <row r="569" spans="2:3" x14ac:dyDescent="0.2">
      <c r="B569" s="9">
        <v>5009</v>
      </c>
      <c r="C569" s="9">
        <v>0</v>
      </c>
    </row>
    <row r="570" spans="2:3" x14ac:dyDescent="0.2">
      <c r="B570" s="9">
        <v>5010</v>
      </c>
      <c r="C570" s="9">
        <v>0</v>
      </c>
    </row>
    <row r="571" spans="2:3" x14ac:dyDescent="0.2">
      <c r="B571" s="9">
        <v>5011</v>
      </c>
      <c r="C571" s="9">
        <v>0</v>
      </c>
    </row>
    <row r="572" spans="2:3" x14ac:dyDescent="0.2">
      <c r="B572" s="9">
        <v>5012</v>
      </c>
      <c r="C572" s="9">
        <v>0</v>
      </c>
    </row>
    <row r="573" spans="2:3" x14ac:dyDescent="0.2">
      <c r="B573" s="9">
        <v>5013</v>
      </c>
      <c r="C573" s="9">
        <v>0</v>
      </c>
    </row>
    <row r="574" spans="2:3" x14ac:dyDescent="0.2">
      <c r="B574" s="9">
        <v>5014</v>
      </c>
      <c r="C574" s="9">
        <v>0</v>
      </c>
    </row>
    <row r="575" spans="2:3" x14ac:dyDescent="0.2">
      <c r="B575" s="9">
        <v>5015</v>
      </c>
      <c r="C575" s="9">
        <v>0</v>
      </c>
    </row>
    <row r="576" spans="2:3" x14ac:dyDescent="0.2">
      <c r="B576" s="9">
        <v>5016</v>
      </c>
      <c r="C576" s="9">
        <v>0</v>
      </c>
    </row>
    <row r="577" spans="2:3" x14ac:dyDescent="0.2">
      <c r="B577" s="9">
        <v>5017</v>
      </c>
      <c r="C577" s="9">
        <v>0</v>
      </c>
    </row>
    <row r="578" spans="2:3" x14ac:dyDescent="0.2">
      <c r="B578" s="9">
        <v>6008</v>
      </c>
      <c r="C578" s="9">
        <v>0</v>
      </c>
    </row>
    <row r="579" spans="2:3" x14ac:dyDescent="0.2">
      <c r="B579" s="9">
        <v>6009</v>
      </c>
      <c r="C579" s="9">
        <v>0</v>
      </c>
    </row>
    <row r="580" spans="2:3" x14ac:dyDescent="0.2">
      <c r="B580" s="9">
        <v>6010</v>
      </c>
      <c r="C580" s="9">
        <v>0</v>
      </c>
    </row>
    <row r="581" spans="2:3" x14ac:dyDescent="0.2">
      <c r="B581" s="9">
        <v>6011</v>
      </c>
      <c r="C581" s="9">
        <v>0</v>
      </c>
    </row>
    <row r="582" spans="2:3" x14ac:dyDescent="0.2">
      <c r="B582" s="9">
        <v>6012</v>
      </c>
      <c r="C582" s="9">
        <v>5.4999999999999999E-6</v>
      </c>
    </row>
    <row r="583" spans="2:3" x14ac:dyDescent="0.2">
      <c r="B583" s="9">
        <v>6013</v>
      </c>
      <c r="C583" s="9">
        <v>7.1999999999999997E-6</v>
      </c>
    </row>
    <row r="584" spans="2:3" x14ac:dyDescent="0.2">
      <c r="B584" s="9">
        <v>6014</v>
      </c>
      <c r="C584" s="9">
        <v>0</v>
      </c>
    </row>
    <row r="585" spans="2:3" x14ac:dyDescent="0.2">
      <c r="B585" s="9">
        <v>6015</v>
      </c>
      <c r="C585" s="9">
        <v>0</v>
      </c>
    </row>
    <row r="586" spans="2:3" x14ac:dyDescent="0.2">
      <c r="B586" s="9">
        <v>6016</v>
      </c>
      <c r="C586" s="9">
        <v>0</v>
      </c>
    </row>
    <row r="587" spans="2:3" x14ac:dyDescent="0.2">
      <c r="B587" s="9">
        <v>6017</v>
      </c>
      <c r="C587" s="9">
        <v>0</v>
      </c>
    </row>
    <row r="588" spans="2:3" x14ac:dyDescent="0.2">
      <c r="B588" s="9">
        <v>6018</v>
      </c>
      <c r="C588" s="9">
        <v>0</v>
      </c>
    </row>
    <row r="589" spans="2:3" x14ac:dyDescent="0.2">
      <c r="B589" s="9">
        <v>6019</v>
      </c>
      <c r="C589" s="9">
        <v>0</v>
      </c>
    </row>
    <row r="590" spans="2:3" x14ac:dyDescent="0.2">
      <c r="B590" s="9">
        <v>6020</v>
      </c>
      <c r="C590" s="9">
        <v>0</v>
      </c>
    </row>
    <row r="591" spans="2:3" x14ac:dyDescent="0.2">
      <c r="B591" s="9">
        <v>7011</v>
      </c>
      <c r="C591" s="9">
        <v>0</v>
      </c>
    </row>
    <row r="592" spans="2:3" x14ac:dyDescent="0.2">
      <c r="B592" s="9">
        <v>7012</v>
      </c>
      <c r="C592" s="9">
        <v>0</v>
      </c>
    </row>
    <row r="593" spans="2:3" x14ac:dyDescent="0.2">
      <c r="B593" s="9">
        <v>7013</v>
      </c>
      <c r="C593" s="9">
        <v>0</v>
      </c>
    </row>
    <row r="594" spans="2:3" x14ac:dyDescent="0.2">
      <c r="B594" s="9">
        <v>7014</v>
      </c>
      <c r="C594" s="9">
        <v>9.9999999999999995E-8</v>
      </c>
    </row>
    <row r="595" spans="2:3" x14ac:dyDescent="0.2">
      <c r="B595" s="9">
        <v>7015</v>
      </c>
      <c r="C595" s="9">
        <v>2.0999999999999998E-6</v>
      </c>
    </row>
    <row r="596" spans="2:3" x14ac:dyDescent="0.2">
      <c r="B596" s="9">
        <v>7016</v>
      </c>
      <c r="C596" s="9">
        <v>5.9999999999999997E-7</v>
      </c>
    </row>
    <row r="597" spans="2:3" x14ac:dyDescent="0.2">
      <c r="B597" s="9">
        <v>7017</v>
      </c>
      <c r="C597" s="9">
        <v>0</v>
      </c>
    </row>
    <row r="598" spans="2:3" x14ac:dyDescent="0.2">
      <c r="B598" s="9">
        <v>7018</v>
      </c>
      <c r="C598" s="9">
        <v>0</v>
      </c>
    </row>
    <row r="599" spans="2:3" x14ac:dyDescent="0.2">
      <c r="B599" s="9">
        <v>7019</v>
      </c>
      <c r="C599" s="9">
        <v>0</v>
      </c>
    </row>
    <row r="600" spans="2:3" x14ac:dyDescent="0.2">
      <c r="B600" s="9">
        <v>7020</v>
      </c>
      <c r="C600" s="9">
        <v>0</v>
      </c>
    </row>
    <row r="601" spans="2:3" x14ac:dyDescent="0.2">
      <c r="B601" s="9">
        <v>7021</v>
      </c>
      <c r="C601" s="9">
        <v>0</v>
      </c>
    </row>
    <row r="602" spans="2:3" x14ac:dyDescent="0.2">
      <c r="B602" s="9">
        <v>7022</v>
      </c>
      <c r="C602" s="9">
        <v>0</v>
      </c>
    </row>
    <row r="603" spans="2:3" x14ac:dyDescent="0.2">
      <c r="B603" s="9">
        <v>7023</v>
      </c>
      <c r="C603" s="9">
        <v>0</v>
      </c>
    </row>
    <row r="604" spans="2:3" x14ac:dyDescent="0.2">
      <c r="B604" s="9">
        <v>8013</v>
      </c>
      <c r="C604" s="9">
        <v>0</v>
      </c>
    </row>
    <row r="605" spans="2:3" x14ac:dyDescent="0.2">
      <c r="B605" s="9">
        <v>8014</v>
      </c>
      <c r="C605" s="9">
        <v>0</v>
      </c>
    </row>
    <row r="606" spans="2:3" x14ac:dyDescent="0.2">
      <c r="B606" s="9">
        <v>8015</v>
      </c>
      <c r="C606" s="9">
        <v>9.9999999999999995E-8</v>
      </c>
    </row>
    <row r="607" spans="2:3" x14ac:dyDescent="0.2">
      <c r="B607" s="9">
        <v>8016</v>
      </c>
      <c r="C607" s="9">
        <v>9.9999999999999995E-8</v>
      </c>
    </row>
    <row r="608" spans="2:3" x14ac:dyDescent="0.2">
      <c r="B608" s="9">
        <v>8017</v>
      </c>
      <c r="C608" s="9">
        <v>0</v>
      </c>
    </row>
    <row r="609" spans="2:3" x14ac:dyDescent="0.2">
      <c r="B609" s="9">
        <v>8018</v>
      </c>
      <c r="C609" s="9">
        <v>1.9999999999999999E-7</v>
      </c>
    </row>
  </sheetData>
  <autoFilter ref="F3:G184" xr:uid="{B8FBD87F-EAE3-4454-9BD5-3F914B4275D7}">
    <filterColumn colId="1">
      <filters blank="1">
        <filter val="1.00E-07"/>
        <filter val="1.10E-06"/>
        <filter val="1.19E-05"/>
        <filter val="1.20E-06"/>
        <filter val="1.30E-04"/>
        <filter val="1.31E-04"/>
        <filter val="1.34E-03"/>
        <filter val="1.40E-06"/>
        <filter val="1.44E-03"/>
        <filter val="1.48E-04"/>
        <filter val="1.64E-03"/>
        <filter val="1.67E-04"/>
        <filter val="1.77E-04"/>
        <filter val="1.85E-03"/>
        <filter val="2.00E-06"/>
        <filter val="2.03E-05"/>
        <filter val="2.05E-02"/>
        <filter val="2.07E-04"/>
        <filter val="2.30E-06"/>
        <filter val="2.60E-06"/>
        <filter val="2.85E-02"/>
        <filter val="3.00E-07"/>
        <filter val="3.20E-06"/>
        <filter val="4.15E-05"/>
        <filter val="4.18E-05"/>
        <filter val="4.23E-04"/>
        <filter val="6.00E-07"/>
        <filter val="6.13E-05"/>
        <filter val="7.00E-06"/>
        <filter val="7.80E-06"/>
        <filter val="8.80E-06"/>
        <filter val="9.00E-07"/>
        <filter val="9.10E-06"/>
        <filter val="9.51E-05"/>
        <filter val="9.92E-05"/>
      </filters>
    </filterColumn>
  </autoFilter>
  <dataConsolidate>
    <dataRefs count="1">
      <dataRef ref="B1:C1048576" sheet="Sheet4"/>
    </dataRefs>
  </dataConsolid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Nuclides</vt:lpstr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2025-11-29T11:21:41Z</dcterms:created>
  <dcterms:modified xsi:type="dcterms:W3CDTF">2025-12-22T01:23:20Z</dcterms:modified>
</cp:coreProperties>
</file>