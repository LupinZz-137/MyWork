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MyWork\MCNP\Target\Solid\Isotope-S\Y89\"/>
    </mc:Choice>
  </mc:AlternateContent>
  <xr:revisionPtr revIDLastSave="0" documentId="13_ncr:1_{AEC13244-9F51-4AEA-AD8B-29220C74B8F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Sheet2!$J$1:$J$87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" i="2" l="1"/>
  <c r="L84" i="2"/>
  <c r="L70" i="2"/>
  <c r="L68" i="2"/>
  <c r="L66" i="2"/>
  <c r="L57" i="2"/>
  <c r="L55" i="2"/>
  <c r="L50" i="2"/>
  <c r="L49" i="2"/>
  <c r="L29" i="2"/>
  <c r="L27" i="2"/>
  <c r="E52" i="2"/>
  <c r="K52" i="2" s="1"/>
  <c r="F52" i="2"/>
  <c r="G52" i="2" s="1"/>
  <c r="E53" i="2"/>
  <c r="K53" i="2" s="1"/>
  <c r="F53" i="2"/>
  <c r="H53" i="2" s="1"/>
  <c r="I53" i="2" s="1"/>
  <c r="J53" i="2" s="1"/>
  <c r="E54" i="2"/>
  <c r="F54" i="2"/>
  <c r="H54" i="2" s="1"/>
  <c r="I54" i="2" s="1"/>
  <c r="J54" i="2" s="1"/>
  <c r="K54" i="2"/>
  <c r="E55" i="2"/>
  <c r="K55" i="2" s="1"/>
  <c r="F55" i="2"/>
  <c r="G55" i="2" s="1"/>
  <c r="E56" i="2"/>
  <c r="F56" i="2"/>
  <c r="G56" i="2" s="1"/>
  <c r="K56" i="2"/>
  <c r="E57" i="2"/>
  <c r="K57" i="2" s="1"/>
  <c r="F57" i="2"/>
  <c r="G57" i="2" s="1"/>
  <c r="H57" i="2"/>
  <c r="I57" i="2" s="1"/>
  <c r="J57" i="2" s="1"/>
  <c r="E58" i="2"/>
  <c r="F58" i="2"/>
  <c r="G58" i="2" s="1"/>
  <c r="K58" i="2"/>
  <c r="E59" i="2"/>
  <c r="F59" i="2"/>
  <c r="G59" i="2" s="1"/>
  <c r="K59" i="2"/>
  <c r="E60" i="2"/>
  <c r="F60" i="2"/>
  <c r="H60" i="2" s="1"/>
  <c r="I60" i="2" s="1"/>
  <c r="J60" i="2" s="1"/>
  <c r="K60" i="2"/>
  <c r="E61" i="2"/>
  <c r="K61" i="2" s="1"/>
  <c r="F61" i="2"/>
  <c r="G61" i="2" s="1"/>
  <c r="E62" i="2"/>
  <c r="K62" i="2" s="1"/>
  <c r="F62" i="2"/>
  <c r="G62" i="2" s="1"/>
  <c r="E63" i="2"/>
  <c r="K63" i="2" s="1"/>
  <c r="F63" i="2"/>
  <c r="G63" i="2" s="1"/>
  <c r="E64" i="2"/>
  <c r="K64" i="2" s="1"/>
  <c r="F64" i="2"/>
  <c r="G64" i="2" s="1"/>
  <c r="E65" i="2"/>
  <c r="K65" i="2" s="1"/>
  <c r="F65" i="2"/>
  <c r="H65" i="2" s="1"/>
  <c r="I65" i="2" s="1"/>
  <c r="J65" i="2" s="1"/>
  <c r="E66" i="2"/>
  <c r="K66" i="2" s="1"/>
  <c r="F66" i="2"/>
  <c r="G66" i="2" s="1"/>
  <c r="E67" i="2"/>
  <c r="F67" i="2"/>
  <c r="G67" i="2" s="1"/>
  <c r="K67" i="2"/>
  <c r="E68" i="2"/>
  <c r="K68" i="2" s="1"/>
  <c r="F68" i="2"/>
  <c r="G68" i="2" s="1"/>
  <c r="E69" i="2"/>
  <c r="K69" i="2" s="1"/>
  <c r="F69" i="2"/>
  <c r="G69" i="2" s="1"/>
  <c r="E70" i="2"/>
  <c r="K70" i="2" s="1"/>
  <c r="F70" i="2"/>
  <c r="G70" i="2" s="1"/>
  <c r="E71" i="2"/>
  <c r="K71" i="2" s="1"/>
  <c r="F71" i="2"/>
  <c r="G71" i="2" s="1"/>
  <c r="E72" i="2"/>
  <c r="F72" i="2"/>
  <c r="G72" i="2"/>
  <c r="H72" i="2"/>
  <c r="I72" i="2" s="1"/>
  <c r="J72" i="2" s="1"/>
  <c r="K72" i="2"/>
  <c r="E73" i="2"/>
  <c r="K73" i="2" s="1"/>
  <c r="F73" i="2"/>
  <c r="G73" i="2" s="1"/>
  <c r="E74" i="2"/>
  <c r="F74" i="2"/>
  <c r="G74" i="2" s="1"/>
  <c r="H74" i="2"/>
  <c r="I74" i="2"/>
  <c r="J74" i="2"/>
  <c r="K74" i="2"/>
  <c r="E75" i="2"/>
  <c r="F75" i="2"/>
  <c r="G75" i="2" s="1"/>
  <c r="K75" i="2"/>
  <c r="E76" i="2"/>
  <c r="F76" i="2"/>
  <c r="G76" i="2" s="1"/>
  <c r="K76" i="2"/>
  <c r="E77" i="2"/>
  <c r="K77" i="2" s="1"/>
  <c r="F77" i="2"/>
  <c r="G77" i="2" s="1"/>
  <c r="E78" i="2"/>
  <c r="K78" i="2" s="1"/>
  <c r="F78" i="2"/>
  <c r="G78" i="2" s="1"/>
  <c r="E79" i="2"/>
  <c r="K79" i="2" s="1"/>
  <c r="F79" i="2"/>
  <c r="H79" i="2" s="1"/>
  <c r="I79" i="2" s="1"/>
  <c r="J79" i="2" s="1"/>
  <c r="E80" i="2"/>
  <c r="F80" i="2"/>
  <c r="G80" i="2" s="1"/>
  <c r="K80" i="2"/>
  <c r="E81" i="2"/>
  <c r="F81" i="2"/>
  <c r="G81" i="2" s="1"/>
  <c r="K81" i="2"/>
  <c r="E82" i="2"/>
  <c r="K82" i="2" s="1"/>
  <c r="F82" i="2"/>
  <c r="G82" i="2" s="1"/>
  <c r="E83" i="2"/>
  <c r="K83" i="2" s="1"/>
  <c r="F83" i="2"/>
  <c r="G83" i="2" s="1"/>
  <c r="E84" i="2"/>
  <c r="K84" i="2" s="1"/>
  <c r="F84" i="2"/>
  <c r="H84" i="2" s="1"/>
  <c r="I84" i="2" s="1"/>
  <c r="J84" i="2" s="1"/>
  <c r="E85" i="2"/>
  <c r="K85" i="2" s="1"/>
  <c r="F85" i="2"/>
  <c r="G85" i="2" s="1"/>
  <c r="E86" i="2"/>
  <c r="K86" i="2" s="1"/>
  <c r="F86" i="2"/>
  <c r="G86" i="2" s="1"/>
  <c r="E87" i="2"/>
  <c r="K87" i="2" s="1"/>
  <c r="F87" i="2"/>
  <c r="G87" i="2" s="1"/>
  <c r="E6" i="2"/>
  <c r="K6" i="2" s="1"/>
  <c r="F6" i="2"/>
  <c r="G6" i="2" s="1"/>
  <c r="E7" i="2"/>
  <c r="K7" i="2" s="1"/>
  <c r="F7" i="2"/>
  <c r="H7" i="2" s="1"/>
  <c r="I7" i="2" s="1"/>
  <c r="J7" i="2" s="1"/>
  <c r="E8" i="2"/>
  <c r="K8" i="2" s="1"/>
  <c r="F8" i="2"/>
  <c r="H8" i="2" s="1"/>
  <c r="I8" i="2" s="1"/>
  <c r="J8" i="2" s="1"/>
  <c r="E9" i="2"/>
  <c r="K9" i="2" s="1"/>
  <c r="F9" i="2"/>
  <c r="H9" i="2" s="1"/>
  <c r="I9" i="2" s="1"/>
  <c r="J9" i="2" s="1"/>
  <c r="E10" i="2"/>
  <c r="K10" i="2" s="1"/>
  <c r="F10" i="2"/>
  <c r="H10" i="2" s="1"/>
  <c r="I10" i="2" s="1"/>
  <c r="J10" i="2" s="1"/>
  <c r="E11" i="2"/>
  <c r="K11" i="2" s="1"/>
  <c r="F11" i="2"/>
  <c r="H11" i="2" s="1"/>
  <c r="I11" i="2" s="1"/>
  <c r="J11" i="2" s="1"/>
  <c r="E12" i="2"/>
  <c r="K12" i="2" s="1"/>
  <c r="F12" i="2"/>
  <c r="H12" i="2" s="1"/>
  <c r="I12" i="2" s="1"/>
  <c r="J12" i="2" s="1"/>
  <c r="E13" i="2"/>
  <c r="K13" i="2" s="1"/>
  <c r="F13" i="2"/>
  <c r="G13" i="2" s="1"/>
  <c r="E14" i="2"/>
  <c r="K14" i="2" s="1"/>
  <c r="F14" i="2"/>
  <c r="H14" i="2" s="1"/>
  <c r="I14" i="2" s="1"/>
  <c r="J14" i="2" s="1"/>
  <c r="E15" i="2"/>
  <c r="K15" i="2" s="1"/>
  <c r="F15" i="2"/>
  <c r="G15" i="2" s="1"/>
  <c r="E16" i="2"/>
  <c r="K16" i="2" s="1"/>
  <c r="F16" i="2"/>
  <c r="H16" i="2" s="1"/>
  <c r="I16" i="2" s="1"/>
  <c r="J16" i="2" s="1"/>
  <c r="E17" i="2"/>
  <c r="K17" i="2" s="1"/>
  <c r="F17" i="2"/>
  <c r="G17" i="2" s="1"/>
  <c r="E18" i="2"/>
  <c r="K18" i="2" s="1"/>
  <c r="F18" i="2"/>
  <c r="H18" i="2" s="1"/>
  <c r="I18" i="2" s="1"/>
  <c r="J18" i="2" s="1"/>
  <c r="E19" i="2"/>
  <c r="K19" i="2" s="1"/>
  <c r="F19" i="2"/>
  <c r="H19" i="2" s="1"/>
  <c r="I19" i="2" s="1"/>
  <c r="J19" i="2" s="1"/>
  <c r="E20" i="2"/>
  <c r="K20" i="2" s="1"/>
  <c r="F20" i="2"/>
  <c r="H20" i="2" s="1"/>
  <c r="I20" i="2" s="1"/>
  <c r="J20" i="2" s="1"/>
  <c r="E21" i="2"/>
  <c r="K21" i="2" s="1"/>
  <c r="F21" i="2"/>
  <c r="G21" i="2" s="1"/>
  <c r="E22" i="2"/>
  <c r="K22" i="2" s="1"/>
  <c r="F22" i="2"/>
  <c r="H22" i="2" s="1"/>
  <c r="I22" i="2" s="1"/>
  <c r="J22" i="2" s="1"/>
  <c r="E23" i="2"/>
  <c r="K23" i="2" s="1"/>
  <c r="F23" i="2"/>
  <c r="G23" i="2" s="1"/>
  <c r="E24" i="2"/>
  <c r="K24" i="2" s="1"/>
  <c r="F24" i="2"/>
  <c r="G24" i="2" s="1"/>
  <c r="E25" i="2"/>
  <c r="K25" i="2" s="1"/>
  <c r="F25" i="2"/>
  <c r="H25" i="2" s="1"/>
  <c r="I25" i="2" s="1"/>
  <c r="J25" i="2" s="1"/>
  <c r="E26" i="2"/>
  <c r="K26" i="2" s="1"/>
  <c r="F26" i="2"/>
  <c r="G26" i="2" s="1"/>
  <c r="E27" i="2"/>
  <c r="K27" i="2" s="1"/>
  <c r="F27" i="2"/>
  <c r="G27" i="2" s="1"/>
  <c r="E28" i="2"/>
  <c r="K28" i="2" s="1"/>
  <c r="F28" i="2"/>
  <c r="G28" i="2" s="1"/>
  <c r="E29" i="2"/>
  <c r="K29" i="2" s="1"/>
  <c r="F29" i="2"/>
  <c r="H29" i="2" s="1"/>
  <c r="I29" i="2" s="1"/>
  <c r="J29" i="2" s="1"/>
  <c r="E30" i="2"/>
  <c r="K30" i="2" s="1"/>
  <c r="F30" i="2"/>
  <c r="H30" i="2" s="1"/>
  <c r="I30" i="2" s="1"/>
  <c r="J30" i="2" s="1"/>
  <c r="E31" i="2"/>
  <c r="K31" i="2" s="1"/>
  <c r="F31" i="2"/>
  <c r="G31" i="2" s="1"/>
  <c r="E32" i="2"/>
  <c r="K32" i="2" s="1"/>
  <c r="F32" i="2"/>
  <c r="G32" i="2" s="1"/>
  <c r="E33" i="2"/>
  <c r="K33" i="2" s="1"/>
  <c r="F33" i="2"/>
  <c r="H33" i="2" s="1"/>
  <c r="I33" i="2" s="1"/>
  <c r="J33" i="2" s="1"/>
  <c r="E34" i="2"/>
  <c r="K34" i="2" s="1"/>
  <c r="F34" i="2"/>
  <c r="G34" i="2" s="1"/>
  <c r="E35" i="2"/>
  <c r="K35" i="2" s="1"/>
  <c r="F35" i="2"/>
  <c r="G35" i="2" s="1"/>
  <c r="E36" i="2"/>
  <c r="K36" i="2" s="1"/>
  <c r="F36" i="2"/>
  <c r="G36" i="2" s="1"/>
  <c r="E37" i="2"/>
  <c r="K37" i="2" s="1"/>
  <c r="F37" i="2"/>
  <c r="G37" i="2" s="1"/>
  <c r="E38" i="2"/>
  <c r="K38" i="2" s="1"/>
  <c r="F38" i="2"/>
  <c r="G38" i="2" s="1"/>
  <c r="E39" i="2"/>
  <c r="K39" i="2" s="1"/>
  <c r="F39" i="2"/>
  <c r="H39" i="2" s="1"/>
  <c r="I39" i="2" s="1"/>
  <c r="J39" i="2" s="1"/>
  <c r="E40" i="2"/>
  <c r="K40" i="2" s="1"/>
  <c r="F40" i="2"/>
  <c r="G40" i="2" s="1"/>
  <c r="E41" i="2"/>
  <c r="K41" i="2" s="1"/>
  <c r="F41" i="2"/>
  <c r="G41" i="2" s="1"/>
  <c r="E42" i="2"/>
  <c r="K42" i="2" s="1"/>
  <c r="F42" i="2"/>
  <c r="H42" i="2" s="1"/>
  <c r="I42" i="2" s="1"/>
  <c r="J42" i="2" s="1"/>
  <c r="E43" i="2"/>
  <c r="K43" i="2" s="1"/>
  <c r="F43" i="2"/>
  <c r="G43" i="2" s="1"/>
  <c r="E44" i="2"/>
  <c r="K44" i="2" s="1"/>
  <c r="F44" i="2"/>
  <c r="G44" i="2" s="1"/>
  <c r="E45" i="2"/>
  <c r="K45" i="2" s="1"/>
  <c r="F45" i="2"/>
  <c r="G45" i="2" s="1"/>
  <c r="E46" i="2"/>
  <c r="K46" i="2" s="1"/>
  <c r="F46" i="2"/>
  <c r="G46" i="2" s="1"/>
  <c r="E47" i="2"/>
  <c r="K47" i="2" s="1"/>
  <c r="F47" i="2"/>
  <c r="G47" i="2" s="1"/>
  <c r="E48" i="2"/>
  <c r="K48" i="2" s="1"/>
  <c r="F48" i="2"/>
  <c r="G48" i="2" s="1"/>
  <c r="E49" i="2"/>
  <c r="K49" i="2" s="1"/>
  <c r="F49" i="2"/>
  <c r="H49" i="2" s="1"/>
  <c r="I49" i="2" s="1"/>
  <c r="J49" i="2" s="1"/>
  <c r="E50" i="2"/>
  <c r="K50" i="2" s="1"/>
  <c r="F50" i="2"/>
  <c r="G50" i="2" s="1"/>
  <c r="E51" i="2"/>
  <c r="K51" i="2" s="1"/>
  <c r="F51" i="2"/>
  <c r="G51" i="2" s="1"/>
  <c r="F5" i="2"/>
  <c r="H5" i="2" s="1"/>
  <c r="I5" i="2" s="1"/>
  <c r="J5" i="2" s="1"/>
  <c r="E5" i="2"/>
  <c r="K5" i="2" s="1"/>
  <c r="H66" i="2" l="1"/>
  <c r="I66" i="2" s="1"/>
  <c r="J66" i="2" s="1"/>
  <c r="H80" i="2"/>
  <c r="I80" i="2" s="1"/>
  <c r="J80" i="2" s="1"/>
  <c r="H71" i="2"/>
  <c r="I71" i="2" s="1"/>
  <c r="J71" i="2" s="1"/>
  <c r="H67" i="2"/>
  <c r="I67" i="2" s="1"/>
  <c r="J67" i="2" s="1"/>
  <c r="H75" i="2"/>
  <c r="I75" i="2" s="1"/>
  <c r="J75" i="2" s="1"/>
  <c r="H73" i="2"/>
  <c r="I73" i="2" s="1"/>
  <c r="J73" i="2" s="1"/>
  <c r="H62" i="2"/>
  <c r="I62" i="2" s="1"/>
  <c r="J62" i="2" s="1"/>
  <c r="H81" i="2"/>
  <c r="I81" i="2" s="1"/>
  <c r="J81" i="2" s="1"/>
  <c r="H58" i="2"/>
  <c r="I58" i="2" s="1"/>
  <c r="J58" i="2" s="1"/>
  <c r="H76" i="2"/>
  <c r="I76" i="2" s="1"/>
  <c r="J76" i="2" s="1"/>
  <c r="H85" i="2"/>
  <c r="I85" i="2" s="1"/>
  <c r="J85" i="2" s="1"/>
  <c r="H59" i="2"/>
  <c r="I59" i="2" s="1"/>
  <c r="J59" i="2" s="1"/>
  <c r="G65" i="2"/>
  <c r="H83" i="2"/>
  <c r="I83" i="2" s="1"/>
  <c r="J83" i="2" s="1"/>
  <c r="H69" i="2"/>
  <c r="I69" i="2" s="1"/>
  <c r="J69" i="2" s="1"/>
  <c r="G60" i="2"/>
  <c r="H78" i="2"/>
  <c r="I78" i="2" s="1"/>
  <c r="J78" i="2" s="1"/>
  <c r="H87" i="2"/>
  <c r="I87" i="2" s="1"/>
  <c r="J87" i="2" s="1"/>
  <c r="H68" i="2"/>
  <c r="I68" i="2" s="1"/>
  <c r="J68" i="2" s="1"/>
  <c r="H86" i="2"/>
  <c r="I86" i="2" s="1"/>
  <c r="J86" i="2" s="1"/>
  <c r="G84" i="2"/>
  <c r="H56" i="2"/>
  <c r="I56" i="2" s="1"/>
  <c r="J56" i="2" s="1"/>
  <c r="H82" i="2"/>
  <c r="I82" i="2" s="1"/>
  <c r="J82" i="2" s="1"/>
  <c r="G54" i="2"/>
  <c r="H55" i="2"/>
  <c r="I55" i="2" s="1"/>
  <c r="J55" i="2" s="1"/>
  <c r="H63" i="2"/>
  <c r="I63" i="2" s="1"/>
  <c r="J63" i="2" s="1"/>
  <c r="H52" i="2"/>
  <c r="I52" i="2" s="1"/>
  <c r="J52" i="2" s="1"/>
  <c r="G79" i="2"/>
  <c r="H64" i="2"/>
  <c r="I64" i="2" s="1"/>
  <c r="J64" i="2" s="1"/>
  <c r="H61" i="2"/>
  <c r="I61" i="2" s="1"/>
  <c r="J61" i="2" s="1"/>
  <c r="G53" i="2"/>
  <c r="H70" i="2"/>
  <c r="I70" i="2" s="1"/>
  <c r="J70" i="2" s="1"/>
  <c r="H77" i="2"/>
  <c r="I77" i="2" s="1"/>
  <c r="J77" i="2" s="1"/>
  <c r="H34" i="2"/>
  <c r="I34" i="2" s="1"/>
  <c r="J34" i="2" s="1"/>
  <c r="G30" i="2"/>
  <c r="H44" i="2"/>
  <c r="I44" i="2" s="1"/>
  <c r="J44" i="2" s="1"/>
  <c r="H35" i="2"/>
  <c r="I35" i="2" s="1"/>
  <c r="J35" i="2" s="1"/>
  <c r="H23" i="2"/>
  <c r="I23" i="2" s="1"/>
  <c r="J23" i="2" s="1"/>
  <c r="H32" i="2"/>
  <c r="I32" i="2" s="1"/>
  <c r="J32" i="2" s="1"/>
  <c r="H51" i="2"/>
  <c r="I51" i="2" s="1"/>
  <c r="J51" i="2" s="1"/>
  <c r="G42" i="2"/>
  <c r="G19" i="2"/>
  <c r="G14" i="2"/>
  <c r="H41" i="2"/>
  <c r="I41" i="2" s="1"/>
  <c r="J41" i="2" s="1"/>
  <c r="H38" i="2"/>
  <c r="I38" i="2" s="1"/>
  <c r="J38" i="2" s="1"/>
  <c r="G29" i="2"/>
  <c r="H28" i="2"/>
  <c r="I28" i="2" s="1"/>
  <c r="J28" i="2" s="1"/>
  <c r="H37" i="2"/>
  <c r="I37" i="2" s="1"/>
  <c r="J37" i="2" s="1"/>
  <c r="H46" i="2"/>
  <c r="I46" i="2" s="1"/>
  <c r="J46" i="2" s="1"/>
  <c r="G33" i="2"/>
  <c r="H50" i="2"/>
  <c r="I50" i="2" s="1"/>
  <c r="J50" i="2" s="1"/>
  <c r="H31" i="2"/>
  <c r="I31" i="2" s="1"/>
  <c r="J31" i="2" s="1"/>
  <c r="H21" i="2"/>
  <c r="I21" i="2" s="1"/>
  <c r="J21" i="2" s="1"/>
  <c r="G9" i="2"/>
  <c r="G8" i="2"/>
  <c r="H13" i="2"/>
  <c r="I13" i="2" s="1"/>
  <c r="J13" i="2" s="1"/>
  <c r="G49" i="2"/>
  <c r="H47" i="2"/>
  <c r="I47" i="2" s="1"/>
  <c r="J47" i="2" s="1"/>
  <c r="H26" i="2"/>
  <c r="I26" i="2" s="1"/>
  <c r="J26" i="2" s="1"/>
  <c r="G22" i="2"/>
  <c r="H40" i="2"/>
  <c r="I40" i="2" s="1"/>
  <c r="J40" i="2" s="1"/>
  <c r="G11" i="2"/>
  <c r="G10" i="2"/>
  <c r="G18" i="2"/>
  <c r="H17" i="2"/>
  <c r="I17" i="2" s="1"/>
  <c r="J17" i="2" s="1"/>
  <c r="G16" i="2"/>
  <c r="G25" i="2"/>
  <c r="G12" i="2"/>
  <c r="G20" i="2"/>
  <c r="H27" i="2"/>
  <c r="I27" i="2" s="1"/>
  <c r="J27" i="2" s="1"/>
  <c r="H36" i="2"/>
  <c r="I36" i="2" s="1"/>
  <c r="J36" i="2" s="1"/>
  <c r="H43" i="2"/>
  <c r="I43" i="2" s="1"/>
  <c r="J43" i="2" s="1"/>
  <c r="H6" i="2"/>
  <c r="I6" i="2" s="1"/>
  <c r="J6" i="2" s="1"/>
  <c r="H45" i="2"/>
  <c r="I45" i="2" s="1"/>
  <c r="J45" i="2" s="1"/>
  <c r="H15" i="2"/>
  <c r="I15" i="2" s="1"/>
  <c r="J15" i="2" s="1"/>
  <c r="H48" i="2"/>
  <c r="I48" i="2" s="1"/>
  <c r="J48" i="2" s="1"/>
  <c r="G39" i="2"/>
  <c r="G7" i="2"/>
  <c r="H24" i="2"/>
  <c r="I24" i="2" s="1"/>
  <c r="J24" i="2" s="1"/>
  <c r="G5" i="2"/>
</calcChain>
</file>

<file path=xl/sharedStrings.xml><?xml version="1.0" encoding="utf-8"?>
<sst xmlns="http://schemas.openxmlformats.org/spreadsheetml/2006/main" count="10" uniqueCount="8">
  <si>
    <t>Nuclides</t>
  </si>
  <si>
    <t>w</t>
  </si>
  <si>
    <t>Error</t>
  </si>
  <si>
    <t>T1/2</t>
  </si>
  <si>
    <t>λ</t>
  </si>
  <si>
    <t>10μA-5min</t>
    <phoneticPr fontId="1" type="noConversion"/>
  </si>
  <si>
    <t>cool-30min</t>
    <phoneticPr fontId="1" type="noConversion"/>
  </si>
  <si>
    <t>Nuclides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</si>
</sst>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3C5E1-8EFC-46F9-8245-01540AFD5054}">
  <sheetPr filterMode="1"/>
  <dimension ref="B1:M87"/>
  <sheetViews>
    <sheetView tabSelected="1" workbookViewId="0">
      <selection activeCell="I27" sqref="I27"/>
    </sheetView>
  </sheetViews>
  <sheetFormatPr defaultRowHeight="13.8" x14ac:dyDescent="0.25"/>
  <sheetData>
    <row r="1" spans="2:11" x14ac:dyDescent="0.25">
      <c r="B1" s="2" t="s">
        <v>0</v>
      </c>
      <c r="C1" s="2" t="s">
        <v>1</v>
      </c>
      <c r="D1" s="2" t="s">
        <v>2</v>
      </c>
      <c r="E1" s="2" t="s">
        <v>0</v>
      </c>
      <c r="F1" s="3" t="s">
        <v>3</v>
      </c>
      <c r="G1" s="3" t="s">
        <v>3</v>
      </c>
      <c r="H1" s="2" t="s">
        <v>4</v>
      </c>
      <c r="I1" s="2" t="s">
        <v>5</v>
      </c>
      <c r="J1" s="2" t="s">
        <v>6</v>
      </c>
      <c r="K1" s="2" t="s">
        <v>7</v>
      </c>
    </row>
    <row r="2" spans="2:11" hidden="1" x14ac:dyDescent="0.25"/>
    <row r="3" spans="2:11" hidden="1" x14ac:dyDescent="0.25"/>
    <row r="4" spans="2:11" hidden="1" x14ac:dyDescent="0.25"/>
    <row r="5" spans="2:11" hidden="1" x14ac:dyDescent="0.25">
      <c r="B5" s="1">
        <v>38087</v>
      </c>
      <c r="C5" s="1">
        <v>0</v>
      </c>
      <c r="D5">
        <v>0</v>
      </c>
      <c r="E5" t="str">
        <f>VLOOKUP(B5,[1]Nuclides!A:E,5,FALSE)</f>
        <v>Sr87</v>
      </c>
      <c r="F5" t="str">
        <f>VLOOKUP(B5,[1]Nuclides!A:E,4,FALSE)</f>
        <v>STABLE</v>
      </c>
      <c r="G5" t="str">
        <f t="shared" ref="G5" si="0">IF(F5="STABLE", "STABLE", IF(F5&lt;60, F5&amp;"s", IF(F5&lt;3600, ROUND(F5/60,2)&amp;"min", IF(F5&lt;86400, ROUND(F5/3600,2)&amp;"h", IF(F5&lt;31536000, ROUND(F5/86400,2)&amp;"d", ROUND(F5/31536000,2)&amp;"y")))))</f>
        <v>STABLE</v>
      </c>
      <c r="H5" t="e">
        <f t="shared" ref="H5" si="1">LN(2)/F5</f>
        <v>#VALUE!</v>
      </c>
      <c r="I5" t="e">
        <f>10*6240000000000*C5*(1-EXP(-H5*300))</f>
        <v>#VALUE!</v>
      </c>
      <c r="J5" t="e">
        <f t="shared" ref="J5" si="2">I5*EXP(-H5*1800)</f>
        <v>#VALUE!</v>
      </c>
      <c r="K5" t="str">
        <f t="shared" ref="K5" si="3">E5</f>
        <v>Sr87</v>
      </c>
    </row>
    <row r="6" spans="2:11" hidden="1" x14ac:dyDescent="0.25">
      <c r="B6" s="1">
        <v>38088</v>
      </c>
      <c r="C6" s="1">
        <v>0</v>
      </c>
      <c r="D6">
        <v>0</v>
      </c>
      <c r="E6" t="str">
        <f>VLOOKUP(B6,[1]Nuclides!A:E,5,FALSE)</f>
        <v>Sr88</v>
      </c>
      <c r="F6" t="str">
        <f>VLOOKUP(B6,[1]Nuclides!A:E,4,FALSE)</f>
        <v>STABLE</v>
      </c>
      <c r="G6" t="str">
        <f t="shared" ref="G6:G51" si="4">IF(F6="STABLE", "STABLE", IF(F6&lt;60, F6&amp;"s", IF(F6&lt;3600, ROUND(F6/60,2)&amp;"min", IF(F6&lt;86400, ROUND(F6/3600,2)&amp;"h", IF(F6&lt;31536000, ROUND(F6/86400,2)&amp;"d", ROUND(F6/31536000,2)&amp;"y")))))</f>
        <v>STABLE</v>
      </c>
      <c r="H6" t="e">
        <f t="shared" ref="H6:H51" si="5">LN(2)/F6</f>
        <v>#VALUE!</v>
      </c>
      <c r="I6" t="e">
        <f t="shared" ref="I6:I51" si="6">10*6240000000000*C6*(1-EXP(-H6*300))</f>
        <v>#VALUE!</v>
      </c>
      <c r="J6" t="e">
        <f t="shared" ref="J6:J51" si="7">I6*EXP(-H6*1800)</f>
        <v>#VALUE!</v>
      </c>
      <c r="K6" t="str">
        <f t="shared" ref="K6:K51" si="8">E6</f>
        <v>Sr88</v>
      </c>
    </row>
    <row r="7" spans="2:11" hidden="1" x14ac:dyDescent="0.25">
      <c r="B7" s="1">
        <v>38089</v>
      </c>
      <c r="C7" s="1">
        <v>0</v>
      </c>
      <c r="D7">
        <v>0</v>
      </c>
      <c r="E7" t="str">
        <f>VLOOKUP(B7,[1]Nuclides!A:E,5,FALSE)</f>
        <v>Sr89</v>
      </c>
      <c r="F7">
        <f>VLOOKUP(B7,[1]Nuclides!A:E,4,FALSE)</f>
        <v>4368643.2</v>
      </c>
      <c r="G7" t="str">
        <f t="shared" si="4"/>
        <v>50.56d</v>
      </c>
      <c r="H7">
        <f t="shared" si="5"/>
        <v>1.5866417760094148E-7</v>
      </c>
      <c r="I7">
        <f t="shared" si="6"/>
        <v>0</v>
      </c>
      <c r="J7">
        <f t="shared" si="7"/>
        <v>0</v>
      </c>
      <c r="K7" t="str">
        <f t="shared" si="8"/>
        <v>Sr89</v>
      </c>
    </row>
    <row r="8" spans="2:11" hidden="1" x14ac:dyDescent="0.25">
      <c r="B8" s="1">
        <v>38090</v>
      </c>
      <c r="C8" s="1">
        <v>0</v>
      </c>
      <c r="D8">
        <v>0</v>
      </c>
      <c r="E8" t="str">
        <f>VLOOKUP(B8,[1]Nuclides!A:E,5,FALSE)</f>
        <v>Sr90</v>
      </c>
      <c r="F8">
        <f>VLOOKUP(B8,[1]Nuclides!A:E,4,FALSE)</f>
        <v>912014640</v>
      </c>
      <c r="G8" t="str">
        <f t="shared" si="4"/>
        <v>28.92y</v>
      </c>
      <c r="H8">
        <f t="shared" si="5"/>
        <v>7.6001760296298017E-10</v>
      </c>
      <c r="I8">
        <f t="shared" si="6"/>
        <v>0</v>
      </c>
      <c r="J8">
        <f t="shared" si="7"/>
        <v>0</v>
      </c>
      <c r="K8" t="str">
        <f t="shared" si="8"/>
        <v>Sr90</v>
      </c>
    </row>
    <row r="9" spans="2:11" hidden="1" x14ac:dyDescent="0.25">
      <c r="B9" s="1">
        <v>38091</v>
      </c>
      <c r="C9" s="1">
        <v>0</v>
      </c>
      <c r="D9">
        <v>0</v>
      </c>
      <c r="E9" t="str">
        <f>VLOOKUP(B9,[1]Nuclides!A:E,5,FALSE)</f>
        <v>Sr91</v>
      </c>
      <c r="F9">
        <f>VLOOKUP(B9,[1]Nuclides!A:E,4,FALSE)</f>
        <v>34740</v>
      </c>
      <c r="G9" t="str">
        <f t="shared" si="4"/>
        <v>9.65h</v>
      </c>
      <c r="H9">
        <f t="shared" si="5"/>
        <v>1.9952423159468777E-5</v>
      </c>
      <c r="I9">
        <f t="shared" si="6"/>
        <v>0</v>
      </c>
      <c r="J9">
        <f t="shared" si="7"/>
        <v>0</v>
      </c>
      <c r="K9" t="str">
        <f t="shared" si="8"/>
        <v>Sr91</v>
      </c>
    </row>
    <row r="10" spans="2:11" hidden="1" x14ac:dyDescent="0.25">
      <c r="B10" s="1">
        <v>38092</v>
      </c>
      <c r="C10" s="1">
        <v>0</v>
      </c>
      <c r="D10">
        <v>0</v>
      </c>
      <c r="E10" t="str">
        <f>VLOOKUP(B10,[1]Nuclides!A:E,5,FALSE)</f>
        <v>Sr92</v>
      </c>
      <c r="F10">
        <f>VLOOKUP(B10,[1]Nuclides!A:E,4,FALSE)</f>
        <v>9399.6</v>
      </c>
      <c r="G10" t="str">
        <f t="shared" si="4"/>
        <v>2.61h</v>
      </c>
      <c r="H10">
        <f t="shared" si="5"/>
        <v>7.3742199727642167E-5</v>
      </c>
      <c r="I10">
        <f t="shared" si="6"/>
        <v>0</v>
      </c>
      <c r="J10">
        <f t="shared" si="7"/>
        <v>0</v>
      </c>
      <c r="K10" t="str">
        <f t="shared" si="8"/>
        <v>Sr92</v>
      </c>
    </row>
    <row r="11" spans="2:11" hidden="1" x14ac:dyDescent="0.25">
      <c r="B11" s="1">
        <v>38093</v>
      </c>
      <c r="C11" s="1">
        <v>0</v>
      </c>
      <c r="D11">
        <v>0</v>
      </c>
      <c r="E11" t="str">
        <f>VLOOKUP(B11,[1]Nuclides!A:E,5,FALSE)</f>
        <v>Sr93</v>
      </c>
      <c r="F11">
        <f>VLOOKUP(B11,[1]Nuclides!A:E,4,FALSE)</f>
        <v>445.79999999999899</v>
      </c>
      <c r="G11" t="str">
        <f t="shared" si="4"/>
        <v>7.43min</v>
      </c>
      <c r="H11">
        <f t="shared" si="5"/>
        <v>1.5548388976221329E-3</v>
      </c>
      <c r="I11">
        <f t="shared" si="6"/>
        <v>0</v>
      </c>
      <c r="J11">
        <f t="shared" si="7"/>
        <v>0</v>
      </c>
      <c r="K11" t="str">
        <f t="shared" si="8"/>
        <v>Sr93</v>
      </c>
    </row>
    <row r="12" spans="2:11" hidden="1" x14ac:dyDescent="0.25">
      <c r="B12" s="1">
        <v>38094</v>
      </c>
      <c r="C12" s="1">
        <v>0</v>
      </c>
      <c r="D12">
        <v>0</v>
      </c>
      <c r="E12" t="str">
        <f>VLOOKUP(B12,[1]Nuclides!A:E,5,FALSE)</f>
        <v>Sr94</v>
      </c>
      <c r="F12">
        <f>VLOOKUP(B12,[1]Nuclides!A:E,4,FALSE)</f>
        <v>75.3</v>
      </c>
      <c r="G12" t="str">
        <f t="shared" si="4"/>
        <v>1.26min</v>
      </c>
      <c r="H12">
        <f t="shared" si="5"/>
        <v>9.2051418401055147E-3</v>
      </c>
      <c r="I12">
        <f t="shared" si="6"/>
        <v>0</v>
      </c>
      <c r="J12">
        <f t="shared" si="7"/>
        <v>0</v>
      </c>
      <c r="K12" t="str">
        <f t="shared" si="8"/>
        <v>Sr94</v>
      </c>
    </row>
    <row r="13" spans="2:11" hidden="1" x14ac:dyDescent="0.25">
      <c r="B13" s="1">
        <v>38095</v>
      </c>
      <c r="C13" s="1">
        <v>0</v>
      </c>
      <c r="D13">
        <v>0</v>
      </c>
      <c r="E13" t="str">
        <f>VLOOKUP(B13,[1]Nuclides!A:E,5,FALSE)</f>
        <v>Sr95</v>
      </c>
      <c r="F13">
        <f>VLOOKUP(B13,[1]Nuclides!A:E,4,FALSE)</f>
        <v>23.9</v>
      </c>
      <c r="G13" t="str">
        <f t="shared" si="4"/>
        <v>23.9s</v>
      </c>
      <c r="H13">
        <f t="shared" si="5"/>
        <v>2.9001974082006082E-2</v>
      </c>
      <c r="I13">
        <f t="shared" si="6"/>
        <v>0</v>
      </c>
      <c r="J13">
        <f t="shared" si="7"/>
        <v>0</v>
      </c>
      <c r="K13" t="str">
        <f t="shared" si="8"/>
        <v>Sr95</v>
      </c>
    </row>
    <row r="14" spans="2:11" hidden="1" x14ac:dyDescent="0.25">
      <c r="B14" s="1">
        <v>38096</v>
      </c>
      <c r="C14" s="1">
        <v>0</v>
      </c>
      <c r="D14">
        <v>0</v>
      </c>
      <c r="E14" t="str">
        <f>VLOOKUP(B14,[1]Nuclides!A:E,5,FALSE)</f>
        <v>Sr96</v>
      </c>
      <c r="F14">
        <f>VLOOKUP(B14,[1]Nuclides!A:E,4,FALSE)</f>
        <v>1.07</v>
      </c>
      <c r="G14" t="str">
        <f t="shared" si="4"/>
        <v>1.07s</v>
      </c>
      <c r="H14">
        <f t="shared" si="5"/>
        <v>0.64780110332705165</v>
      </c>
      <c r="I14">
        <f t="shared" si="6"/>
        <v>0</v>
      </c>
      <c r="J14">
        <f t="shared" si="7"/>
        <v>0</v>
      </c>
      <c r="K14" t="str">
        <f t="shared" si="8"/>
        <v>Sr96</v>
      </c>
    </row>
    <row r="15" spans="2:11" hidden="1" x14ac:dyDescent="0.25">
      <c r="B15" s="1">
        <v>38097</v>
      </c>
      <c r="C15" s="1">
        <v>0</v>
      </c>
      <c r="D15">
        <v>0</v>
      </c>
      <c r="E15" t="str">
        <f>VLOOKUP(B15,[1]Nuclides!A:E,5,FALSE)</f>
        <v>Sr97</v>
      </c>
      <c r="F15">
        <f>VLOOKUP(B15,[1]Nuclides!A:E,4,FALSE)</f>
        <v>0.42899999999999999</v>
      </c>
      <c r="G15" t="str">
        <f t="shared" si="4"/>
        <v>0.429s</v>
      </c>
      <c r="H15">
        <f t="shared" si="5"/>
        <v>1.6157276936129261</v>
      </c>
      <c r="I15">
        <f t="shared" si="6"/>
        <v>0</v>
      </c>
      <c r="J15">
        <f t="shared" si="7"/>
        <v>0</v>
      </c>
      <c r="K15" t="str">
        <f t="shared" si="8"/>
        <v>Sr97</v>
      </c>
    </row>
    <row r="16" spans="2:11" hidden="1" x14ac:dyDescent="0.25">
      <c r="B16" s="1">
        <v>38098</v>
      </c>
      <c r="C16" s="1">
        <v>0</v>
      </c>
      <c r="D16">
        <v>0</v>
      </c>
      <c r="E16" t="str">
        <f>VLOOKUP(B16,[1]Nuclides!A:E,5,FALSE)</f>
        <v>Sr98</v>
      </c>
      <c r="F16">
        <f>VLOOKUP(B16,[1]Nuclides!A:E,4,FALSE)</f>
        <v>0.65300000000000002</v>
      </c>
      <c r="G16" t="str">
        <f t="shared" si="4"/>
        <v>0.653s</v>
      </c>
      <c r="H16">
        <f t="shared" si="5"/>
        <v>1.0614811340887369</v>
      </c>
      <c r="I16">
        <f t="shared" si="6"/>
        <v>0</v>
      </c>
      <c r="J16">
        <f t="shared" si="7"/>
        <v>0</v>
      </c>
      <c r="K16" t="str">
        <f t="shared" si="8"/>
        <v>Sr98</v>
      </c>
    </row>
    <row r="17" spans="2:13" hidden="1" x14ac:dyDescent="0.25">
      <c r="B17" s="1">
        <v>38099</v>
      </c>
      <c r="C17" s="1">
        <v>0</v>
      </c>
      <c r="D17">
        <v>0</v>
      </c>
      <c r="E17" t="str">
        <f>VLOOKUP(B17,[1]Nuclides!A:E,5,FALSE)</f>
        <v>Sr99</v>
      </c>
      <c r="F17">
        <f>VLOOKUP(B17,[1]Nuclides!A:E,4,FALSE)</f>
        <v>0.26900000000000002</v>
      </c>
      <c r="G17" t="str">
        <f t="shared" si="4"/>
        <v>0.269s</v>
      </c>
      <c r="H17">
        <f t="shared" si="5"/>
        <v>2.5767553180667111</v>
      </c>
      <c r="I17">
        <f t="shared" si="6"/>
        <v>0</v>
      </c>
      <c r="J17">
        <f t="shared" si="7"/>
        <v>0</v>
      </c>
      <c r="K17" t="str">
        <f t="shared" si="8"/>
        <v>Sr99</v>
      </c>
    </row>
    <row r="18" spans="2:13" hidden="1" x14ac:dyDescent="0.25">
      <c r="B18" s="1">
        <v>38100</v>
      </c>
      <c r="C18" s="1">
        <v>0</v>
      </c>
      <c r="D18">
        <v>0</v>
      </c>
      <c r="E18" t="str">
        <f>VLOOKUP(B18,[1]Nuclides!A:E,5,FALSE)</f>
        <v>Sr100</v>
      </c>
      <c r="F18">
        <f>VLOOKUP(B18,[1]Nuclides!A:E,4,FALSE)</f>
        <v>0.20200000000000001</v>
      </c>
      <c r="G18" t="str">
        <f t="shared" si="4"/>
        <v>0.202s</v>
      </c>
      <c r="H18">
        <f t="shared" si="5"/>
        <v>3.431421685940323</v>
      </c>
      <c r="I18">
        <f t="shared" si="6"/>
        <v>0</v>
      </c>
      <c r="J18">
        <f t="shared" si="7"/>
        <v>0</v>
      </c>
      <c r="K18" t="str">
        <f t="shared" si="8"/>
        <v>Sr100</v>
      </c>
    </row>
    <row r="19" spans="2:13" hidden="1" x14ac:dyDescent="0.25">
      <c r="B19" s="1">
        <v>39080</v>
      </c>
      <c r="C19" s="1">
        <v>0</v>
      </c>
      <c r="D19">
        <v>0</v>
      </c>
      <c r="E19" t="str">
        <f>VLOOKUP(B19,[1]Nuclides!A:E,5,FALSE)</f>
        <v>Y80</v>
      </c>
      <c r="F19">
        <f>VLOOKUP(B19,[1]Nuclides!A:E,4,FALSE)</f>
        <v>30.1</v>
      </c>
      <c r="G19" t="str">
        <f t="shared" si="4"/>
        <v>30.1s</v>
      </c>
      <c r="H19">
        <f t="shared" si="5"/>
        <v>2.3028145533552997E-2</v>
      </c>
      <c r="I19">
        <f t="shared" si="6"/>
        <v>0</v>
      </c>
      <c r="J19">
        <f t="shared" si="7"/>
        <v>0</v>
      </c>
      <c r="K19" t="str">
        <f t="shared" si="8"/>
        <v>Y80</v>
      </c>
    </row>
    <row r="20" spans="2:13" hidden="1" x14ac:dyDescent="0.25">
      <c r="B20" s="1">
        <v>39081</v>
      </c>
      <c r="C20" s="1">
        <v>0</v>
      </c>
      <c r="D20">
        <v>0</v>
      </c>
      <c r="E20" t="str">
        <f>VLOOKUP(B20,[1]Nuclides!A:E,5,FALSE)</f>
        <v>Y81</v>
      </c>
      <c r="F20">
        <f>VLOOKUP(B20,[1]Nuclides!A:E,4,FALSE)</f>
        <v>70.400000000000006</v>
      </c>
      <c r="G20" t="str">
        <f t="shared" si="4"/>
        <v>1.17min</v>
      </c>
      <c r="H20">
        <f t="shared" si="5"/>
        <v>9.8458406329537673E-3</v>
      </c>
      <c r="I20">
        <f t="shared" si="6"/>
        <v>0</v>
      </c>
      <c r="J20">
        <f t="shared" si="7"/>
        <v>0</v>
      </c>
      <c r="K20" t="str">
        <f t="shared" si="8"/>
        <v>Y81</v>
      </c>
    </row>
    <row r="21" spans="2:13" hidden="1" x14ac:dyDescent="0.25">
      <c r="B21" s="1">
        <v>39082</v>
      </c>
      <c r="C21" s="1">
        <v>0</v>
      </c>
      <c r="D21">
        <v>0</v>
      </c>
      <c r="E21" t="str">
        <f>VLOOKUP(B21,[1]Nuclides!A:E,5,FALSE)</f>
        <v>Y82</v>
      </c>
      <c r="F21">
        <f>VLOOKUP(B21,[1]Nuclides!A:E,4,FALSE)</f>
        <v>8.3000000000000007</v>
      </c>
      <c r="G21" t="str">
        <f t="shared" si="4"/>
        <v>8.3s</v>
      </c>
      <c r="H21">
        <f t="shared" si="5"/>
        <v>8.3511708501198226E-2</v>
      </c>
      <c r="I21">
        <f t="shared" si="6"/>
        <v>0</v>
      </c>
      <c r="J21">
        <f t="shared" si="7"/>
        <v>0</v>
      </c>
      <c r="K21" t="str">
        <f t="shared" si="8"/>
        <v>Y82</v>
      </c>
    </row>
    <row r="22" spans="2:13" hidden="1" x14ac:dyDescent="0.25">
      <c r="B22" s="1">
        <v>39083</v>
      </c>
      <c r="C22" s="1">
        <v>0</v>
      </c>
      <c r="D22">
        <v>0</v>
      </c>
      <c r="E22" t="str">
        <f>VLOOKUP(B22,[1]Nuclides!A:E,5,FALSE)</f>
        <v>Y83</v>
      </c>
      <c r="F22">
        <f>VLOOKUP(B22,[1]Nuclides!A:E,4,FALSE)</f>
        <v>424.8</v>
      </c>
      <c r="G22" t="str">
        <f t="shared" si="4"/>
        <v>7.08min</v>
      </c>
      <c r="H22">
        <f t="shared" si="5"/>
        <v>1.6317024024480821E-3</v>
      </c>
      <c r="I22">
        <f t="shared" si="6"/>
        <v>0</v>
      </c>
      <c r="J22">
        <f t="shared" si="7"/>
        <v>0</v>
      </c>
      <c r="K22" t="str">
        <f t="shared" si="8"/>
        <v>Y83</v>
      </c>
    </row>
    <row r="23" spans="2:13" hidden="1" x14ac:dyDescent="0.25">
      <c r="B23" s="1">
        <v>39084</v>
      </c>
      <c r="C23" s="1">
        <v>0</v>
      </c>
      <c r="D23">
        <v>0</v>
      </c>
      <c r="E23" t="str">
        <f>VLOOKUP(B23,[1]Nuclides!A:E,5,FALSE)</f>
        <v>Y84</v>
      </c>
      <c r="F23">
        <f>VLOOKUP(B23,[1]Nuclides!A:E,4,FALSE)</f>
        <v>2370</v>
      </c>
      <c r="G23" t="str">
        <f t="shared" si="4"/>
        <v>39.5min</v>
      </c>
      <c r="H23">
        <f t="shared" si="5"/>
        <v>2.9246716479322586E-4</v>
      </c>
      <c r="I23">
        <f t="shared" si="6"/>
        <v>0</v>
      </c>
      <c r="J23">
        <f t="shared" si="7"/>
        <v>0</v>
      </c>
      <c r="K23" t="str">
        <f t="shared" si="8"/>
        <v>Y84</v>
      </c>
    </row>
    <row r="24" spans="2:13" hidden="1" x14ac:dyDescent="0.25">
      <c r="B24" s="1">
        <v>39085</v>
      </c>
      <c r="C24" s="1">
        <v>0</v>
      </c>
      <c r="D24">
        <v>0</v>
      </c>
      <c r="E24" t="str">
        <f>VLOOKUP(B24,[1]Nuclides!A:E,5,FALSE)</f>
        <v>Y85</v>
      </c>
      <c r="F24">
        <f>VLOOKUP(B24,[1]Nuclides!A:E,4,FALSE)</f>
        <v>9648</v>
      </c>
      <c r="G24" t="str">
        <f t="shared" si="4"/>
        <v>2.68h</v>
      </c>
      <c r="H24">
        <f t="shared" si="5"/>
        <v>7.184361324211705E-5</v>
      </c>
      <c r="I24">
        <f t="shared" si="6"/>
        <v>0</v>
      </c>
      <c r="J24">
        <f t="shared" si="7"/>
        <v>0</v>
      </c>
      <c r="K24" t="str">
        <f t="shared" si="8"/>
        <v>Y85</v>
      </c>
    </row>
    <row r="25" spans="2:13" hidden="1" x14ac:dyDescent="0.25">
      <c r="B25" s="1">
        <v>39086</v>
      </c>
      <c r="C25" s="1">
        <v>0</v>
      </c>
      <c r="D25">
        <v>0</v>
      </c>
      <c r="E25" t="str">
        <f>VLOOKUP(B25,[1]Nuclides!A:E,5,FALSE)</f>
        <v>Y86</v>
      </c>
      <c r="F25">
        <f>VLOOKUP(B25,[1]Nuclides!A:E,4,FALSE)</f>
        <v>53064</v>
      </c>
      <c r="G25" t="str">
        <f t="shared" si="4"/>
        <v>14.74h</v>
      </c>
      <c r="H25">
        <f t="shared" si="5"/>
        <v>1.3062475134930372E-5</v>
      </c>
      <c r="I25">
        <f t="shared" si="6"/>
        <v>0</v>
      </c>
      <c r="J25">
        <f t="shared" si="7"/>
        <v>0</v>
      </c>
      <c r="K25" t="str">
        <f t="shared" si="8"/>
        <v>Y86</v>
      </c>
    </row>
    <row r="26" spans="2:13" hidden="1" x14ac:dyDescent="0.25">
      <c r="B26" s="1">
        <v>39087</v>
      </c>
      <c r="C26" s="1">
        <v>0</v>
      </c>
      <c r="D26">
        <v>0</v>
      </c>
      <c r="E26" t="str">
        <f>VLOOKUP(B26,[1]Nuclides!A:E,5,FALSE)</f>
        <v>Y87</v>
      </c>
      <c r="F26">
        <f>VLOOKUP(B26,[1]Nuclides!A:E,4,FALSE)</f>
        <v>287280</v>
      </c>
      <c r="G26" t="str">
        <f t="shared" si="4"/>
        <v>3.33d</v>
      </c>
      <c r="H26">
        <f t="shared" si="5"/>
        <v>2.4127930261763619E-6</v>
      </c>
      <c r="I26">
        <f t="shared" si="6"/>
        <v>0</v>
      </c>
      <c r="J26">
        <f t="shared" si="7"/>
        <v>0</v>
      </c>
      <c r="K26" t="str">
        <f t="shared" si="8"/>
        <v>Y87</v>
      </c>
    </row>
    <row r="27" spans="2:13" x14ac:dyDescent="0.25">
      <c r="B27" s="1">
        <v>39088</v>
      </c>
      <c r="C27" s="1">
        <v>2.9999999999999997E-8</v>
      </c>
      <c r="D27">
        <v>0.57740000000000002</v>
      </c>
      <c r="E27" t="str">
        <f>VLOOKUP(B27,[1]Nuclides!A:E,5,FALSE)</f>
        <v>Y88</v>
      </c>
      <c r="F27" s="1">
        <f>VLOOKUP(B27,[1]Nuclides!A:E,4,FALSE)</f>
        <v>9212486.4000000004</v>
      </c>
      <c r="G27" s="1" t="str">
        <f t="shared" si="4"/>
        <v>106.63d</v>
      </c>
      <c r="H27" s="1">
        <f t="shared" si="5"/>
        <v>7.5239967850584322E-8</v>
      </c>
      <c r="I27" s="1">
        <f t="shared" si="6"/>
        <v>42.254289061379062</v>
      </c>
      <c r="J27" s="1">
        <f t="shared" si="7"/>
        <v>42.248566868440712</v>
      </c>
      <c r="K27" s="1" t="str">
        <f t="shared" si="8"/>
        <v>Y88</v>
      </c>
      <c r="L27" s="1">
        <f>J27</f>
        <v>42.248566868440712</v>
      </c>
      <c r="M27">
        <v>0</v>
      </c>
    </row>
    <row r="28" spans="2:13" hidden="1" x14ac:dyDescent="0.25">
      <c r="B28" s="1">
        <v>39089</v>
      </c>
      <c r="C28" s="1">
        <v>1.77776E-3</v>
      </c>
      <c r="D28">
        <v>2.3999999999999998E-3</v>
      </c>
      <c r="E28" t="str">
        <f>VLOOKUP(B28,[1]Nuclides!A:E,5,FALSE)</f>
        <v>Y89</v>
      </c>
      <c r="F28" t="str">
        <f>VLOOKUP(B28,[1]Nuclides!A:E,4,FALSE)</f>
        <v>STABLE</v>
      </c>
      <c r="G28" t="str">
        <f t="shared" si="4"/>
        <v>STABLE</v>
      </c>
      <c r="H28" t="e">
        <f t="shared" si="5"/>
        <v>#VALUE!</v>
      </c>
      <c r="I28" t="e">
        <f t="shared" si="6"/>
        <v>#VALUE!</v>
      </c>
      <c r="J28" t="e">
        <f t="shared" si="7"/>
        <v>#VALUE!</v>
      </c>
      <c r="K28" t="str">
        <f t="shared" si="8"/>
        <v>Y89</v>
      </c>
    </row>
    <row r="29" spans="2:13" x14ac:dyDescent="0.25">
      <c r="B29" s="1">
        <v>39090</v>
      </c>
      <c r="C29" s="1">
        <v>2.9999999999999997E-8</v>
      </c>
      <c r="D29">
        <v>0.57740000000000002</v>
      </c>
      <c r="E29" t="str">
        <f>VLOOKUP(B29,[1]Nuclides!A:E,5,FALSE)</f>
        <v>Y90</v>
      </c>
      <c r="F29" s="1">
        <f>VLOOKUP(B29,[1]Nuclides!A:E,4,FALSE)</f>
        <v>230590.8</v>
      </c>
      <c r="G29" s="1" t="str">
        <f t="shared" si="4"/>
        <v>2.67d</v>
      </c>
      <c r="H29" s="1">
        <f t="shared" si="5"/>
        <v>3.0059619922388289E-6</v>
      </c>
      <c r="I29" s="1">
        <f t="shared" si="6"/>
        <v>1687.3873071728817</v>
      </c>
      <c r="J29" s="1">
        <f t="shared" si="7"/>
        <v>1678.2819628731042</v>
      </c>
      <c r="K29" s="1" t="str">
        <f t="shared" si="8"/>
        <v>Y90</v>
      </c>
      <c r="L29" s="1">
        <f>J29</f>
        <v>1678.2819628731042</v>
      </c>
      <c r="M29">
        <v>0</v>
      </c>
    </row>
    <row r="30" spans="2:13" hidden="1" x14ac:dyDescent="0.25">
      <c r="B30" s="1">
        <v>39091</v>
      </c>
      <c r="C30" s="1">
        <v>0</v>
      </c>
      <c r="D30">
        <v>0</v>
      </c>
      <c r="E30" t="str">
        <f>VLOOKUP(B30,[1]Nuclides!A:E,5,FALSE)</f>
        <v>Y91</v>
      </c>
      <c r="F30">
        <f>VLOOKUP(B30,[1]Nuclides!A:E,4,FALSE)</f>
        <v>5055264</v>
      </c>
      <c r="G30" t="str">
        <f t="shared" si="4"/>
        <v>58.51d</v>
      </c>
      <c r="H30">
        <f t="shared" si="5"/>
        <v>1.3711394312145624E-7</v>
      </c>
      <c r="I30">
        <f t="shared" si="6"/>
        <v>0</v>
      </c>
      <c r="J30">
        <f t="shared" si="7"/>
        <v>0</v>
      </c>
      <c r="K30" t="str">
        <f t="shared" si="8"/>
        <v>Y91</v>
      </c>
    </row>
    <row r="31" spans="2:13" hidden="1" x14ac:dyDescent="0.25">
      <c r="B31" s="1">
        <v>39092</v>
      </c>
      <c r="C31" s="1">
        <v>0</v>
      </c>
      <c r="D31">
        <v>0</v>
      </c>
      <c r="E31" t="str">
        <f>VLOOKUP(B31,[1]Nuclides!A:E,5,FALSE)</f>
        <v>Y92</v>
      </c>
      <c r="F31">
        <f>VLOOKUP(B31,[1]Nuclides!A:E,4,FALSE)</f>
        <v>12744</v>
      </c>
      <c r="G31" t="str">
        <f t="shared" si="4"/>
        <v>3.54h</v>
      </c>
      <c r="H31">
        <f t="shared" si="5"/>
        <v>5.4390080081602739E-5</v>
      </c>
      <c r="I31">
        <f t="shared" si="6"/>
        <v>0</v>
      </c>
      <c r="J31">
        <f t="shared" si="7"/>
        <v>0</v>
      </c>
      <c r="K31" t="str">
        <f t="shared" si="8"/>
        <v>Y92</v>
      </c>
    </row>
    <row r="32" spans="2:13" hidden="1" x14ac:dyDescent="0.25">
      <c r="B32" s="1">
        <v>39093</v>
      </c>
      <c r="C32" s="1">
        <v>0</v>
      </c>
      <c r="D32">
        <v>0</v>
      </c>
      <c r="E32" t="str">
        <f>VLOOKUP(B32,[1]Nuclides!A:E,5,FALSE)</f>
        <v>Y93</v>
      </c>
      <c r="F32">
        <f>VLOOKUP(B32,[1]Nuclides!A:E,4,FALSE)</f>
        <v>36648</v>
      </c>
      <c r="G32" t="str">
        <f t="shared" si="4"/>
        <v>10.18h</v>
      </c>
      <c r="H32">
        <f t="shared" si="5"/>
        <v>1.891364277886775E-5</v>
      </c>
      <c r="I32">
        <f t="shared" si="6"/>
        <v>0</v>
      </c>
      <c r="J32">
        <f t="shared" si="7"/>
        <v>0</v>
      </c>
      <c r="K32" t="str">
        <f t="shared" si="8"/>
        <v>Y93</v>
      </c>
    </row>
    <row r="33" spans="2:11" hidden="1" x14ac:dyDescent="0.25">
      <c r="B33" s="1">
        <v>39094</v>
      </c>
      <c r="C33" s="1">
        <v>0</v>
      </c>
      <c r="D33">
        <v>0</v>
      </c>
      <c r="E33" t="str">
        <f>VLOOKUP(B33,[1]Nuclides!A:E,5,FALSE)</f>
        <v>Y94</v>
      </c>
      <c r="F33">
        <f>VLOOKUP(B33,[1]Nuclides!A:E,4,FALSE)</f>
        <v>1122</v>
      </c>
      <c r="G33" t="str">
        <f t="shared" si="4"/>
        <v>18.7min</v>
      </c>
      <c r="H33">
        <f t="shared" si="5"/>
        <v>6.1777823579317766E-4</v>
      </c>
      <c r="I33">
        <f t="shared" si="6"/>
        <v>0</v>
      </c>
      <c r="J33">
        <f t="shared" si="7"/>
        <v>0</v>
      </c>
      <c r="K33" t="str">
        <f t="shared" si="8"/>
        <v>Y94</v>
      </c>
    </row>
    <row r="34" spans="2:11" hidden="1" x14ac:dyDescent="0.25">
      <c r="B34" s="1">
        <v>39095</v>
      </c>
      <c r="C34" s="1">
        <v>0</v>
      </c>
      <c r="D34">
        <v>0</v>
      </c>
      <c r="E34" t="str">
        <f>VLOOKUP(B34,[1]Nuclides!A:E,5,FALSE)</f>
        <v>Y95</v>
      </c>
      <c r="F34">
        <f>VLOOKUP(B34,[1]Nuclides!A:E,4,FALSE)</f>
        <v>618</v>
      </c>
      <c r="G34" t="str">
        <f t="shared" si="4"/>
        <v>10.3min</v>
      </c>
      <c r="H34">
        <f t="shared" si="5"/>
        <v>1.1215973795468371E-3</v>
      </c>
      <c r="I34">
        <f t="shared" si="6"/>
        <v>0</v>
      </c>
      <c r="J34">
        <f t="shared" si="7"/>
        <v>0</v>
      </c>
      <c r="K34" t="str">
        <f t="shared" si="8"/>
        <v>Y95</v>
      </c>
    </row>
    <row r="35" spans="2:11" hidden="1" x14ac:dyDescent="0.25">
      <c r="B35" s="1">
        <v>39096</v>
      </c>
      <c r="C35" s="1">
        <v>0</v>
      </c>
      <c r="D35">
        <v>0</v>
      </c>
      <c r="E35" t="str">
        <f>VLOOKUP(B35,[1]Nuclides!A:E,5,FALSE)</f>
        <v>Y96</v>
      </c>
      <c r="F35">
        <f>VLOOKUP(B35,[1]Nuclides!A:E,4,FALSE)</f>
        <v>5.34</v>
      </c>
      <c r="G35" t="str">
        <f t="shared" si="4"/>
        <v>5.34s</v>
      </c>
      <c r="H35">
        <f t="shared" si="5"/>
        <v>0.12980284280148788</v>
      </c>
      <c r="I35">
        <f t="shared" si="6"/>
        <v>0</v>
      </c>
      <c r="J35">
        <f t="shared" si="7"/>
        <v>0</v>
      </c>
      <c r="K35" t="str">
        <f t="shared" si="8"/>
        <v>Y96</v>
      </c>
    </row>
    <row r="36" spans="2:11" hidden="1" x14ac:dyDescent="0.25">
      <c r="B36" s="1">
        <v>39097</v>
      </c>
      <c r="C36" s="1">
        <v>0</v>
      </c>
      <c r="D36">
        <v>0</v>
      </c>
      <c r="E36" t="str">
        <f>VLOOKUP(B36,[1]Nuclides!A:E,5,FALSE)</f>
        <v>Y97</v>
      </c>
      <c r="F36">
        <f>VLOOKUP(B36,[1]Nuclides!A:E,4,FALSE)</f>
        <v>3.75</v>
      </c>
      <c r="G36" t="str">
        <f t="shared" si="4"/>
        <v>3.75s</v>
      </c>
      <c r="H36">
        <f t="shared" si="5"/>
        <v>0.18483924814931874</v>
      </c>
      <c r="I36">
        <f t="shared" si="6"/>
        <v>0</v>
      </c>
      <c r="J36">
        <f t="shared" si="7"/>
        <v>0</v>
      </c>
      <c r="K36" t="str">
        <f t="shared" si="8"/>
        <v>Y97</v>
      </c>
    </row>
    <row r="37" spans="2:11" hidden="1" x14ac:dyDescent="0.25">
      <c r="B37" s="1">
        <v>39098</v>
      </c>
      <c r="C37" s="1">
        <v>0</v>
      </c>
      <c r="D37">
        <v>0</v>
      </c>
      <c r="E37" t="str">
        <f>VLOOKUP(B37,[1]Nuclides!A:E,5,FALSE)</f>
        <v>Y98</v>
      </c>
      <c r="F37">
        <f>VLOOKUP(B37,[1]Nuclides!A:E,4,FALSE)</f>
        <v>0.54800000000000004</v>
      </c>
      <c r="G37" t="str">
        <f t="shared" si="4"/>
        <v>0.548s</v>
      </c>
      <c r="H37">
        <f t="shared" si="5"/>
        <v>1.264867117810119</v>
      </c>
      <c r="I37">
        <f t="shared" si="6"/>
        <v>0</v>
      </c>
      <c r="J37">
        <f t="shared" si="7"/>
        <v>0</v>
      </c>
      <c r="K37" t="str">
        <f t="shared" si="8"/>
        <v>Y98</v>
      </c>
    </row>
    <row r="38" spans="2:11" hidden="1" x14ac:dyDescent="0.25">
      <c r="B38" s="1">
        <v>39099</v>
      </c>
      <c r="C38" s="1">
        <v>0</v>
      </c>
      <c r="D38">
        <v>0</v>
      </c>
      <c r="E38" t="str">
        <f>VLOOKUP(B38,[1]Nuclides!A:E,5,FALSE)</f>
        <v>Y99</v>
      </c>
      <c r="F38">
        <f>VLOOKUP(B38,[1]Nuclides!A:E,4,FALSE)</f>
        <v>1.484</v>
      </c>
      <c r="G38" t="str">
        <f t="shared" si="4"/>
        <v>1.484s</v>
      </c>
      <c r="H38">
        <f t="shared" si="5"/>
        <v>0.46708031035036746</v>
      </c>
      <c r="I38">
        <f t="shared" si="6"/>
        <v>0</v>
      </c>
      <c r="J38">
        <f t="shared" si="7"/>
        <v>0</v>
      </c>
      <c r="K38" t="str">
        <f t="shared" si="8"/>
        <v>Y99</v>
      </c>
    </row>
    <row r="39" spans="2:11" hidden="1" x14ac:dyDescent="0.25">
      <c r="B39" s="1">
        <v>39100</v>
      </c>
      <c r="C39" s="1">
        <v>0</v>
      </c>
      <c r="D39">
        <v>0</v>
      </c>
      <c r="E39" t="str">
        <f>VLOOKUP(B39,[1]Nuclides!A:E,5,FALSE)</f>
        <v>Y100</v>
      </c>
      <c r="F39">
        <f>VLOOKUP(B39,[1]Nuclides!A:E,4,FALSE)</f>
        <v>0.73499999999999999</v>
      </c>
      <c r="G39" t="str">
        <f t="shared" si="4"/>
        <v>0.735s</v>
      </c>
      <c r="H39">
        <f t="shared" si="5"/>
        <v>0.94305738851693233</v>
      </c>
      <c r="I39">
        <f t="shared" si="6"/>
        <v>0</v>
      </c>
      <c r="J39">
        <f t="shared" si="7"/>
        <v>0</v>
      </c>
      <c r="K39" t="str">
        <f t="shared" si="8"/>
        <v>Y100</v>
      </c>
    </row>
    <row r="40" spans="2:11" hidden="1" x14ac:dyDescent="0.25">
      <c r="B40" s="1">
        <v>39101</v>
      </c>
      <c r="C40" s="1">
        <v>0</v>
      </c>
      <c r="D40">
        <v>0</v>
      </c>
      <c r="E40" t="str">
        <f>VLOOKUP(B40,[1]Nuclides!A:E,5,FALSE)</f>
        <v>Y101</v>
      </c>
      <c r="F40">
        <f>VLOOKUP(B40,[1]Nuclides!A:E,4,FALSE)</f>
        <v>0.45</v>
      </c>
      <c r="G40" t="str">
        <f t="shared" si="4"/>
        <v>0.45s</v>
      </c>
      <c r="H40">
        <f t="shared" si="5"/>
        <v>1.5403270679109895</v>
      </c>
      <c r="I40">
        <f t="shared" si="6"/>
        <v>0</v>
      </c>
      <c r="J40">
        <f t="shared" si="7"/>
        <v>0</v>
      </c>
      <c r="K40" t="str">
        <f t="shared" si="8"/>
        <v>Y101</v>
      </c>
    </row>
    <row r="41" spans="2:11" hidden="1" x14ac:dyDescent="0.25">
      <c r="B41" s="1">
        <v>39102</v>
      </c>
      <c r="C41" s="1">
        <v>0</v>
      </c>
      <c r="D41">
        <v>0</v>
      </c>
      <c r="E41" t="str">
        <f>VLOOKUP(B41,[1]Nuclides!A:E,5,FALSE)</f>
        <v>Y102</v>
      </c>
      <c r="F41">
        <f>VLOOKUP(B41,[1]Nuclides!A:E,4,FALSE)</f>
        <v>0.36</v>
      </c>
      <c r="G41" t="str">
        <f t="shared" si="4"/>
        <v>0.36s</v>
      </c>
      <c r="H41">
        <f t="shared" si="5"/>
        <v>1.925408834888737</v>
      </c>
      <c r="I41">
        <f t="shared" si="6"/>
        <v>0</v>
      </c>
      <c r="J41">
        <f t="shared" si="7"/>
        <v>0</v>
      </c>
      <c r="K41" t="str">
        <f t="shared" si="8"/>
        <v>Y102</v>
      </c>
    </row>
    <row r="42" spans="2:11" hidden="1" x14ac:dyDescent="0.25">
      <c r="B42" s="1">
        <v>40081</v>
      </c>
      <c r="C42" s="1">
        <v>0</v>
      </c>
      <c r="D42">
        <v>0</v>
      </c>
      <c r="E42" t="str">
        <f>VLOOKUP(B42,[1]Nuclides!A:E,5,FALSE)</f>
        <v>Zr81</v>
      </c>
      <c r="F42">
        <f>VLOOKUP(B42,[1]Nuclides!A:E,4,FALSE)</f>
        <v>5.5</v>
      </c>
      <c r="G42" t="str">
        <f t="shared" si="4"/>
        <v>5.5s</v>
      </c>
      <c r="H42">
        <f t="shared" si="5"/>
        <v>0.12602676010180824</v>
      </c>
      <c r="I42">
        <f t="shared" si="6"/>
        <v>0</v>
      </c>
      <c r="J42">
        <f t="shared" si="7"/>
        <v>0</v>
      </c>
      <c r="K42" t="str">
        <f t="shared" si="8"/>
        <v>Zr81</v>
      </c>
    </row>
    <row r="43" spans="2:11" hidden="1" x14ac:dyDescent="0.25">
      <c r="B43" s="1">
        <v>40082</v>
      </c>
      <c r="C43" s="1">
        <v>0</v>
      </c>
      <c r="D43">
        <v>0</v>
      </c>
      <c r="E43" t="str">
        <f>VLOOKUP(B43,[1]Nuclides!A:E,5,FALSE)</f>
        <v>Zr82</v>
      </c>
      <c r="F43">
        <f>VLOOKUP(B43,[1]Nuclides!A:E,4,FALSE)</f>
        <v>32</v>
      </c>
      <c r="G43" t="str">
        <f t="shared" si="4"/>
        <v>32s</v>
      </c>
      <c r="H43">
        <f t="shared" si="5"/>
        <v>2.166084939249829E-2</v>
      </c>
      <c r="I43">
        <f t="shared" si="6"/>
        <v>0</v>
      </c>
      <c r="J43">
        <f t="shared" si="7"/>
        <v>0</v>
      </c>
      <c r="K43" t="str">
        <f t="shared" si="8"/>
        <v>Zr82</v>
      </c>
    </row>
    <row r="44" spans="2:11" hidden="1" x14ac:dyDescent="0.25">
      <c r="B44" s="1">
        <v>40083</v>
      </c>
      <c r="C44" s="1">
        <v>0</v>
      </c>
      <c r="D44">
        <v>0</v>
      </c>
      <c r="E44" t="str">
        <f>VLOOKUP(B44,[1]Nuclides!A:E,5,FALSE)</f>
        <v>Zr83</v>
      </c>
      <c r="F44">
        <f>VLOOKUP(B44,[1]Nuclides!A:E,4,FALSE)</f>
        <v>42</v>
      </c>
      <c r="G44" t="str">
        <f t="shared" si="4"/>
        <v>42s</v>
      </c>
      <c r="H44">
        <f t="shared" si="5"/>
        <v>1.6503504299046318E-2</v>
      </c>
      <c r="I44">
        <f t="shared" si="6"/>
        <v>0</v>
      </c>
      <c r="J44">
        <f t="shared" si="7"/>
        <v>0</v>
      </c>
      <c r="K44" t="str">
        <f t="shared" si="8"/>
        <v>Zr83</v>
      </c>
    </row>
    <row r="45" spans="2:11" hidden="1" x14ac:dyDescent="0.25">
      <c r="B45" s="1">
        <v>40084</v>
      </c>
      <c r="C45" s="1">
        <v>0</v>
      </c>
      <c r="D45">
        <v>0</v>
      </c>
      <c r="E45" t="str">
        <f>VLOOKUP(B45,[1]Nuclides!A:E,5,FALSE)</f>
        <v>Zr84</v>
      </c>
      <c r="F45">
        <f>VLOOKUP(B45,[1]Nuclides!A:E,4,FALSE)</f>
        <v>1548</v>
      </c>
      <c r="G45" t="str">
        <f t="shared" si="4"/>
        <v>25.8min</v>
      </c>
      <c r="H45">
        <f t="shared" si="5"/>
        <v>4.4776949648575278E-4</v>
      </c>
      <c r="I45">
        <f t="shared" si="6"/>
        <v>0</v>
      </c>
      <c r="J45">
        <f t="shared" si="7"/>
        <v>0</v>
      </c>
      <c r="K45" t="str">
        <f t="shared" si="8"/>
        <v>Zr84</v>
      </c>
    </row>
    <row r="46" spans="2:11" hidden="1" x14ac:dyDescent="0.25">
      <c r="B46" s="1">
        <v>40085</v>
      </c>
      <c r="C46" s="1">
        <v>0</v>
      </c>
      <c r="D46">
        <v>0</v>
      </c>
      <c r="E46" t="str">
        <f>VLOOKUP(B46,[1]Nuclides!A:E,5,FALSE)</f>
        <v>Zr85</v>
      </c>
      <c r="F46">
        <f>VLOOKUP(B46,[1]Nuclides!A:E,4,FALSE)</f>
        <v>471.6</v>
      </c>
      <c r="G46" t="str">
        <f t="shared" si="4"/>
        <v>7.86min</v>
      </c>
      <c r="H46">
        <f t="shared" si="5"/>
        <v>1.4697777365562876E-3</v>
      </c>
      <c r="I46">
        <f t="shared" si="6"/>
        <v>0</v>
      </c>
      <c r="J46">
        <f t="shared" si="7"/>
        <v>0</v>
      </c>
      <c r="K46" t="str">
        <f t="shared" si="8"/>
        <v>Zr85</v>
      </c>
    </row>
    <row r="47" spans="2:11" hidden="1" x14ac:dyDescent="0.25">
      <c r="B47" s="1">
        <v>40086</v>
      </c>
      <c r="C47" s="1">
        <v>0</v>
      </c>
      <c r="D47">
        <v>0</v>
      </c>
      <c r="E47" t="str">
        <f>VLOOKUP(B47,[1]Nuclides!A:E,5,FALSE)</f>
        <v>Zr86</v>
      </c>
      <c r="F47">
        <f>VLOOKUP(B47,[1]Nuclides!A:E,4,FALSE)</f>
        <v>59400</v>
      </c>
      <c r="G47" t="str">
        <f t="shared" si="4"/>
        <v>16.5h</v>
      </c>
      <c r="H47">
        <f t="shared" si="5"/>
        <v>1.1669144453871133E-5</v>
      </c>
      <c r="I47">
        <f t="shared" si="6"/>
        <v>0</v>
      </c>
      <c r="J47">
        <f t="shared" si="7"/>
        <v>0</v>
      </c>
      <c r="K47" t="str">
        <f t="shared" si="8"/>
        <v>Zr86</v>
      </c>
    </row>
    <row r="48" spans="2:11" hidden="1" x14ac:dyDescent="0.25">
      <c r="B48" s="1">
        <v>40087</v>
      </c>
      <c r="C48" s="1">
        <v>0</v>
      </c>
      <c r="D48">
        <v>0</v>
      </c>
      <c r="E48" t="str">
        <f>VLOOKUP(B48,[1]Nuclides!A:E,5,FALSE)</f>
        <v>Zr87</v>
      </c>
      <c r="F48">
        <f>VLOOKUP(B48,[1]Nuclides!A:E,4,FALSE)</f>
        <v>6048</v>
      </c>
      <c r="G48" t="str">
        <f t="shared" si="4"/>
        <v>1.68h</v>
      </c>
      <c r="H48">
        <f t="shared" si="5"/>
        <v>1.146076687433772E-4</v>
      </c>
      <c r="I48">
        <f t="shared" si="6"/>
        <v>0</v>
      </c>
      <c r="J48">
        <f t="shared" si="7"/>
        <v>0</v>
      </c>
      <c r="K48" t="str">
        <f t="shared" si="8"/>
        <v>Zr87</v>
      </c>
    </row>
    <row r="49" spans="2:13" x14ac:dyDescent="0.25">
      <c r="B49" s="1">
        <v>40088</v>
      </c>
      <c r="C49" s="1">
        <v>1.4999999999999999E-7</v>
      </c>
      <c r="D49">
        <v>0.25819999999999999</v>
      </c>
      <c r="E49" t="str">
        <f>VLOOKUP(B49,[1]Nuclides!A:E,5,FALSE)</f>
        <v>Zr88</v>
      </c>
      <c r="F49" s="1">
        <f>VLOOKUP(B49,[1]Nuclides!A:E,4,FALSE)</f>
        <v>7205760</v>
      </c>
      <c r="G49" s="1" t="str">
        <f t="shared" si="4"/>
        <v>83.4d</v>
      </c>
      <c r="H49" s="1">
        <f t="shared" si="5"/>
        <v>9.6193486954872943E-8</v>
      </c>
      <c r="I49" s="1">
        <f t="shared" si="6"/>
        <v>270.10741396453318</v>
      </c>
      <c r="J49" s="1">
        <f t="shared" si="7"/>
        <v>270.06064938005068</v>
      </c>
      <c r="K49" s="1" t="str">
        <f t="shared" si="8"/>
        <v>Zr88</v>
      </c>
      <c r="L49" s="1">
        <f t="shared" ref="L49:L50" si="9">J49</f>
        <v>270.06064938005068</v>
      </c>
      <c r="M49">
        <v>0</v>
      </c>
    </row>
    <row r="50" spans="2:13" x14ac:dyDescent="0.25">
      <c r="B50" s="1">
        <v>40089</v>
      </c>
      <c r="C50" s="1">
        <v>2.4662400000000002E-3</v>
      </c>
      <c r="D50">
        <v>2E-3</v>
      </c>
      <c r="E50" t="str">
        <f>VLOOKUP(B50,[1]Nuclides!A:E,5,FALSE)</f>
        <v>Zr89</v>
      </c>
      <c r="F50" s="1">
        <f>VLOOKUP(B50,[1]Nuclides!A:E,4,FALSE)</f>
        <v>282276</v>
      </c>
      <c r="G50" s="1" t="str">
        <f t="shared" si="4"/>
        <v>3.27d</v>
      </c>
      <c r="H50" s="1">
        <f t="shared" si="5"/>
        <v>2.4555654060562899E-6</v>
      </c>
      <c r="I50" s="1">
        <f t="shared" si="6"/>
        <v>113326827.75734122</v>
      </c>
      <c r="J50" s="1">
        <f t="shared" si="7"/>
        <v>112827026.54806972</v>
      </c>
      <c r="K50" s="1" t="str">
        <f t="shared" si="8"/>
        <v>Zr89</v>
      </c>
      <c r="L50" s="1">
        <f t="shared" si="9"/>
        <v>112827026.54806972</v>
      </c>
      <c r="M50">
        <v>0</v>
      </c>
    </row>
    <row r="51" spans="2:13" hidden="1" x14ac:dyDescent="0.25">
      <c r="B51" s="1">
        <v>40090</v>
      </c>
      <c r="C51" s="1">
        <v>1.0087E-4</v>
      </c>
      <c r="D51">
        <v>0.01</v>
      </c>
      <c r="E51" t="str">
        <f>VLOOKUP(B51,[1]Nuclides!A:E,5,FALSE)</f>
        <v>Zr90</v>
      </c>
      <c r="F51" t="str">
        <f>VLOOKUP(B51,[1]Nuclides!A:E,4,FALSE)</f>
        <v>STABLE</v>
      </c>
      <c r="G51" t="str">
        <f t="shared" si="4"/>
        <v>STABLE</v>
      </c>
      <c r="H51" t="e">
        <f t="shared" si="5"/>
        <v>#VALUE!</v>
      </c>
      <c r="I51" t="e">
        <f t="shared" si="6"/>
        <v>#VALUE!</v>
      </c>
      <c r="J51" t="e">
        <f t="shared" si="7"/>
        <v>#VALUE!</v>
      </c>
      <c r="K51" t="str">
        <f t="shared" si="8"/>
        <v>Zr90</v>
      </c>
    </row>
    <row r="52" spans="2:13" hidden="1" x14ac:dyDescent="0.25">
      <c r="B52" s="1">
        <v>28060</v>
      </c>
      <c r="C52" s="1">
        <v>2.8999999999999998E-7</v>
      </c>
      <c r="D52">
        <v>0.1857</v>
      </c>
      <c r="E52" t="str">
        <f>VLOOKUP(B52,[1]Nuclides!A:E,5,FALSE)</f>
        <v>Ni60</v>
      </c>
      <c r="F52" t="str">
        <f>VLOOKUP(B52,[1]Nuclides!A:E,4,FALSE)</f>
        <v>STABLE</v>
      </c>
      <c r="G52" t="str">
        <f t="shared" ref="G52:G87" si="10">IF(F52="STABLE", "STABLE", IF(F52&lt;60, F52&amp;"s", IF(F52&lt;3600, ROUND(F52/60,2)&amp;"min", IF(F52&lt;86400, ROUND(F52/3600,2)&amp;"h", IF(F52&lt;31536000, ROUND(F52/86400,2)&amp;"d", ROUND(F52/31536000,2)&amp;"y")))))</f>
        <v>STABLE</v>
      </c>
      <c r="H52" t="e">
        <f t="shared" ref="H52:H87" si="11">LN(2)/F52</f>
        <v>#VALUE!</v>
      </c>
      <c r="I52" t="e">
        <f t="shared" ref="I52:I87" si="12">10*6240000000000*C52*(1-EXP(-H52*300))</f>
        <v>#VALUE!</v>
      </c>
      <c r="J52" t="e">
        <f t="shared" ref="J52:J87" si="13">I52*EXP(-H52*1800)</f>
        <v>#VALUE!</v>
      </c>
      <c r="K52" t="str">
        <f t="shared" ref="K52:K87" si="14">E52</f>
        <v>Ni60</v>
      </c>
    </row>
    <row r="53" spans="2:13" hidden="1" x14ac:dyDescent="0.25">
      <c r="B53" s="1">
        <v>28061</v>
      </c>
      <c r="C53" s="1">
        <v>0</v>
      </c>
      <c r="D53">
        <v>0</v>
      </c>
      <c r="E53" t="str">
        <f>VLOOKUP(B53,[1]Nuclides!A:E,5,FALSE)</f>
        <v>Ni61</v>
      </c>
      <c r="F53" t="str">
        <f>VLOOKUP(B53,[1]Nuclides!A:E,4,FALSE)</f>
        <v>STABLE</v>
      </c>
      <c r="G53" t="str">
        <f t="shared" si="10"/>
        <v>STABLE</v>
      </c>
      <c r="H53" t="e">
        <f t="shared" si="11"/>
        <v>#VALUE!</v>
      </c>
      <c r="I53" t="e">
        <f t="shared" si="12"/>
        <v>#VALUE!</v>
      </c>
      <c r="J53" t="e">
        <f t="shared" si="13"/>
        <v>#VALUE!</v>
      </c>
      <c r="K53" t="str">
        <f t="shared" si="14"/>
        <v>Ni61</v>
      </c>
    </row>
    <row r="54" spans="2:13" hidden="1" x14ac:dyDescent="0.25">
      <c r="B54" s="1">
        <v>28062</v>
      </c>
      <c r="C54" s="1">
        <v>1.9999999999999999E-7</v>
      </c>
      <c r="D54">
        <v>0.22359999999999999</v>
      </c>
      <c r="E54" t="str">
        <f>VLOOKUP(B54,[1]Nuclides!A:E,5,FALSE)</f>
        <v>Ni62</v>
      </c>
      <c r="F54" t="str">
        <f>VLOOKUP(B54,[1]Nuclides!A:E,4,FALSE)</f>
        <v>STABLE</v>
      </c>
      <c r="G54" t="str">
        <f t="shared" si="10"/>
        <v>STABLE</v>
      </c>
      <c r="H54" t="e">
        <f t="shared" si="11"/>
        <v>#VALUE!</v>
      </c>
      <c r="I54" t="e">
        <f t="shared" si="12"/>
        <v>#VALUE!</v>
      </c>
      <c r="J54" t="e">
        <f t="shared" si="13"/>
        <v>#VALUE!</v>
      </c>
      <c r="K54" t="str">
        <f t="shared" si="14"/>
        <v>Ni62</v>
      </c>
    </row>
    <row r="55" spans="2:13" x14ac:dyDescent="0.25">
      <c r="B55" s="1">
        <v>28063</v>
      </c>
      <c r="C55" s="1">
        <v>1.2899999999999999E-6</v>
      </c>
      <c r="D55">
        <v>8.7999999999999995E-2</v>
      </c>
      <c r="E55" t="str">
        <f>VLOOKUP(B55,[1]Nuclides!A:E,5,FALSE)</f>
        <v>Ni63</v>
      </c>
      <c r="F55">
        <f>VLOOKUP(B55,[1]Nuclides!A:E,4,FALSE)</f>
        <v>3193629120</v>
      </c>
      <c r="G55" t="str">
        <f t="shared" si="10"/>
        <v>101.27y</v>
      </c>
      <c r="H55" s="1">
        <f t="shared" si="11"/>
        <v>2.1704060005563365E-10</v>
      </c>
      <c r="I55" s="1">
        <f t="shared" si="12"/>
        <v>5.2412698699555449</v>
      </c>
      <c r="J55" s="1">
        <f t="shared" si="13"/>
        <v>5.241267822332901</v>
      </c>
      <c r="K55" s="1" t="str">
        <f t="shared" si="14"/>
        <v>Ni63</v>
      </c>
      <c r="L55" s="1">
        <f>J55</f>
        <v>5.241267822332901</v>
      </c>
      <c r="M55">
        <v>0</v>
      </c>
    </row>
    <row r="56" spans="2:13" hidden="1" x14ac:dyDescent="0.25">
      <c r="B56" s="1">
        <v>28064</v>
      </c>
      <c r="C56" s="1">
        <v>0</v>
      </c>
      <c r="D56">
        <v>0</v>
      </c>
      <c r="E56" t="str">
        <f>VLOOKUP(B56,[1]Nuclides!A:E,5,FALSE)</f>
        <v>Ni64</v>
      </c>
      <c r="F56" t="str">
        <f>VLOOKUP(B56,[1]Nuclides!A:E,4,FALSE)</f>
        <v>STABLE</v>
      </c>
      <c r="G56" t="str">
        <f t="shared" si="10"/>
        <v>STABLE</v>
      </c>
      <c r="H56" t="e">
        <f t="shared" si="11"/>
        <v>#VALUE!</v>
      </c>
      <c r="I56" t="e">
        <f t="shared" si="12"/>
        <v>#VALUE!</v>
      </c>
      <c r="J56" t="e">
        <f t="shared" si="13"/>
        <v>#VALUE!</v>
      </c>
      <c r="K56" t="str">
        <f t="shared" si="14"/>
        <v>Ni64</v>
      </c>
    </row>
    <row r="57" spans="2:13" x14ac:dyDescent="0.25">
      <c r="B57" s="1">
        <v>28065</v>
      </c>
      <c r="C57" s="1">
        <v>2.9999999999999997E-8</v>
      </c>
      <c r="D57">
        <v>0.57740000000000002</v>
      </c>
      <c r="E57" t="str">
        <f>VLOOKUP(B57,[1]Nuclides!A:E,5,FALSE)</f>
        <v>Ni65</v>
      </c>
      <c r="F57">
        <f>VLOOKUP(B57,[1]Nuclides!A:E,4,FALSE)</f>
        <v>9063</v>
      </c>
      <c r="G57" t="str">
        <f t="shared" si="10"/>
        <v>2.52h</v>
      </c>
      <c r="H57" s="1">
        <f t="shared" si="11"/>
        <v>7.6480986490118651E-5</v>
      </c>
      <c r="I57" s="1">
        <f t="shared" si="12"/>
        <v>42462.720573332663</v>
      </c>
      <c r="J57" s="1">
        <f t="shared" si="13"/>
        <v>37001.585102518024</v>
      </c>
      <c r="K57" s="1" t="str">
        <f t="shared" si="14"/>
        <v>Ni65</v>
      </c>
      <c r="L57" s="1">
        <f>J57</f>
        <v>37001.585102518024</v>
      </c>
      <c r="M57">
        <v>0</v>
      </c>
    </row>
    <row r="58" spans="2:13" hidden="1" x14ac:dyDescent="0.25">
      <c r="B58" s="1">
        <v>28066</v>
      </c>
      <c r="C58" s="1">
        <v>0</v>
      </c>
      <c r="D58">
        <v>0</v>
      </c>
      <c r="E58" t="str">
        <f>VLOOKUP(B58,[1]Nuclides!A:E,5,FALSE)</f>
        <v>Ni66</v>
      </c>
      <c r="F58">
        <f>VLOOKUP(B58,[1]Nuclides!A:E,4,FALSE)</f>
        <v>196560</v>
      </c>
      <c r="G58" t="str">
        <f t="shared" si="10"/>
        <v>2.28d</v>
      </c>
      <c r="H58">
        <f t="shared" si="11"/>
        <v>3.526389807488529E-6</v>
      </c>
      <c r="I58">
        <f t="shared" si="12"/>
        <v>0</v>
      </c>
      <c r="J58">
        <f t="shared" si="13"/>
        <v>0</v>
      </c>
      <c r="K58" t="str">
        <f t="shared" si="14"/>
        <v>Ni66</v>
      </c>
    </row>
    <row r="59" spans="2:13" hidden="1" x14ac:dyDescent="0.25">
      <c r="B59" s="1">
        <v>28067</v>
      </c>
      <c r="C59" s="1">
        <v>0</v>
      </c>
      <c r="D59">
        <v>0</v>
      </c>
      <c r="E59" t="str">
        <f>VLOOKUP(B59,[1]Nuclides!A:E,5,FALSE)</f>
        <v>Ni67</v>
      </c>
      <c r="F59">
        <f>VLOOKUP(B59,[1]Nuclides!A:E,4,FALSE)</f>
        <v>21</v>
      </c>
      <c r="G59" t="str">
        <f t="shared" si="10"/>
        <v>21s</v>
      </c>
      <c r="H59">
        <f t="shared" si="11"/>
        <v>3.3007008598092635E-2</v>
      </c>
      <c r="I59">
        <f t="shared" si="12"/>
        <v>0</v>
      </c>
      <c r="J59">
        <f t="shared" si="13"/>
        <v>0</v>
      </c>
      <c r="K59" t="str">
        <f t="shared" si="14"/>
        <v>Ni67</v>
      </c>
    </row>
    <row r="60" spans="2:13" hidden="1" x14ac:dyDescent="0.25">
      <c r="B60" s="1">
        <v>28068</v>
      </c>
      <c r="C60" s="1">
        <v>0</v>
      </c>
      <c r="D60">
        <v>0</v>
      </c>
      <c r="E60" t="str">
        <f>VLOOKUP(B60,[1]Nuclides!A:E,5,FALSE)</f>
        <v>Ni68</v>
      </c>
      <c r="F60">
        <f>VLOOKUP(B60,[1]Nuclides!A:E,4,FALSE)</f>
        <v>29</v>
      </c>
      <c r="G60" t="str">
        <f t="shared" si="10"/>
        <v>29s</v>
      </c>
      <c r="H60">
        <f t="shared" si="11"/>
        <v>2.3901626915860182E-2</v>
      </c>
      <c r="I60">
        <f t="shared" si="12"/>
        <v>0</v>
      </c>
      <c r="J60">
        <f t="shared" si="13"/>
        <v>0</v>
      </c>
      <c r="K60" t="str">
        <f t="shared" si="14"/>
        <v>Ni68</v>
      </c>
    </row>
    <row r="61" spans="2:13" hidden="1" x14ac:dyDescent="0.25">
      <c r="B61" s="1">
        <v>29057</v>
      </c>
      <c r="C61" s="1">
        <v>0</v>
      </c>
      <c r="D61">
        <v>0</v>
      </c>
      <c r="E61" t="str">
        <f>VLOOKUP(B61,[1]Nuclides!A:E,5,FALSE)</f>
        <v>Cu57</v>
      </c>
      <c r="F61">
        <f>VLOOKUP(B61,[1]Nuclides!A:E,4,FALSE)</f>
        <v>0.1963</v>
      </c>
      <c r="G61" t="str">
        <f t="shared" si="10"/>
        <v>0.1963s</v>
      </c>
      <c r="H61">
        <f t="shared" si="11"/>
        <v>3.5310605224653351</v>
      </c>
      <c r="I61">
        <f t="shared" si="12"/>
        <v>0</v>
      </c>
      <c r="J61">
        <f t="shared" si="13"/>
        <v>0</v>
      </c>
      <c r="K61" t="str">
        <f t="shared" si="14"/>
        <v>Cu57</v>
      </c>
    </row>
    <row r="62" spans="2:13" hidden="1" x14ac:dyDescent="0.25">
      <c r="B62" s="1">
        <v>29058</v>
      </c>
      <c r="C62" s="1">
        <v>0</v>
      </c>
      <c r="D62">
        <v>0</v>
      </c>
      <c r="E62" t="str">
        <f>VLOOKUP(B62,[1]Nuclides!A:E,5,FALSE)</f>
        <v>Cu58</v>
      </c>
      <c r="F62">
        <f>VLOOKUP(B62,[1]Nuclides!A:E,4,FALSE)</f>
        <v>3.2040000000000002</v>
      </c>
      <c r="G62" t="str">
        <f t="shared" si="10"/>
        <v>3.204s</v>
      </c>
      <c r="H62">
        <f t="shared" si="11"/>
        <v>0.21633807133581312</v>
      </c>
      <c r="I62">
        <f t="shared" si="12"/>
        <v>0</v>
      </c>
      <c r="J62">
        <f t="shared" si="13"/>
        <v>0</v>
      </c>
      <c r="K62" t="str">
        <f t="shared" si="14"/>
        <v>Cu58</v>
      </c>
    </row>
    <row r="63" spans="2:13" hidden="1" x14ac:dyDescent="0.25">
      <c r="B63" s="1">
        <v>29059</v>
      </c>
      <c r="C63" s="1">
        <v>0</v>
      </c>
      <c r="D63">
        <v>0</v>
      </c>
      <c r="E63" t="str">
        <f>VLOOKUP(B63,[1]Nuclides!A:E,5,FALSE)</f>
        <v>Cu59</v>
      </c>
      <c r="F63">
        <f>VLOOKUP(B63,[1]Nuclides!A:E,4,FALSE)</f>
        <v>81.5</v>
      </c>
      <c r="G63" t="str">
        <f t="shared" si="10"/>
        <v>1.36min</v>
      </c>
      <c r="H63">
        <f t="shared" si="11"/>
        <v>8.504873381103624E-3</v>
      </c>
      <c r="I63">
        <f t="shared" si="12"/>
        <v>0</v>
      </c>
      <c r="J63">
        <f t="shared" si="13"/>
        <v>0</v>
      </c>
      <c r="K63" t="str">
        <f t="shared" si="14"/>
        <v>Cu59</v>
      </c>
    </row>
    <row r="64" spans="2:13" hidden="1" x14ac:dyDescent="0.25">
      <c r="B64" s="1">
        <v>29060</v>
      </c>
      <c r="C64" s="1">
        <v>0</v>
      </c>
      <c r="D64">
        <v>0</v>
      </c>
      <c r="E64" t="str">
        <f>VLOOKUP(B64,[1]Nuclides!A:E,5,FALSE)</f>
        <v>Cu60</v>
      </c>
      <c r="F64">
        <f>VLOOKUP(B64,[1]Nuclides!A:E,4,FALSE)</f>
        <v>1422</v>
      </c>
      <c r="G64" t="str">
        <f t="shared" si="10"/>
        <v>23.7min</v>
      </c>
      <c r="H64">
        <f t="shared" si="11"/>
        <v>4.8744527465537644E-4</v>
      </c>
      <c r="I64">
        <f t="shared" si="12"/>
        <v>0</v>
      </c>
      <c r="J64">
        <f t="shared" si="13"/>
        <v>0</v>
      </c>
      <c r="K64" t="str">
        <f t="shared" si="14"/>
        <v>Cu60</v>
      </c>
    </row>
    <row r="65" spans="2:13" hidden="1" x14ac:dyDescent="0.25">
      <c r="B65" s="1">
        <v>29061</v>
      </c>
      <c r="C65" s="1">
        <v>0</v>
      </c>
      <c r="D65">
        <v>0</v>
      </c>
      <c r="E65" t="str">
        <f>VLOOKUP(B65,[1]Nuclides!A:E,5,FALSE)</f>
        <v>Cu61</v>
      </c>
      <c r="F65">
        <f>VLOOKUP(B65,[1]Nuclides!A:E,4,FALSE)</f>
        <v>12020.4</v>
      </c>
      <c r="G65" t="str">
        <f t="shared" si="10"/>
        <v>3.34h</v>
      </c>
      <c r="H65">
        <f t="shared" si="11"/>
        <v>5.7664235845724375E-5</v>
      </c>
      <c r="I65">
        <f t="shared" si="12"/>
        <v>0</v>
      </c>
      <c r="J65">
        <f t="shared" si="13"/>
        <v>0</v>
      </c>
      <c r="K65" t="str">
        <f t="shared" si="14"/>
        <v>Cu61</v>
      </c>
    </row>
    <row r="66" spans="2:13" x14ac:dyDescent="0.25">
      <c r="B66" s="1">
        <v>29062</v>
      </c>
      <c r="C66" s="1">
        <v>1E-8</v>
      </c>
      <c r="D66">
        <v>1</v>
      </c>
      <c r="E66" t="str">
        <f>VLOOKUP(B66,[1]Nuclides!A:E,5,FALSE)</f>
        <v>Cu62</v>
      </c>
      <c r="F66">
        <f>VLOOKUP(B66,[1]Nuclides!A:E,4,FALSE)</f>
        <v>580.38</v>
      </c>
      <c r="G66" t="str">
        <f t="shared" si="10"/>
        <v>9.67min</v>
      </c>
      <c r="H66" s="1">
        <f t="shared" si="11"/>
        <v>1.1942988741168636E-3</v>
      </c>
      <c r="I66" s="1">
        <f t="shared" si="12"/>
        <v>187904.73982057106</v>
      </c>
      <c r="J66" s="1">
        <f t="shared" si="13"/>
        <v>21893.661329539194</v>
      </c>
      <c r="K66" s="1" t="str">
        <f t="shared" si="14"/>
        <v>Cu62</v>
      </c>
      <c r="L66" s="1">
        <f>J66</f>
        <v>21893.661329539194</v>
      </c>
      <c r="M66">
        <v>0</v>
      </c>
    </row>
    <row r="67" spans="2:13" hidden="1" x14ac:dyDescent="0.25">
      <c r="B67" s="1">
        <v>29063</v>
      </c>
      <c r="C67" s="1">
        <v>1.173E-5</v>
      </c>
      <c r="D67">
        <v>2.92E-2</v>
      </c>
      <c r="E67" t="str">
        <f>VLOOKUP(B67,[1]Nuclides!A:E,5,FALSE)</f>
        <v>Cu63</v>
      </c>
      <c r="F67" t="str">
        <f>VLOOKUP(B67,[1]Nuclides!A:E,4,FALSE)</f>
        <v>STABLE</v>
      </c>
      <c r="G67" t="str">
        <f t="shared" si="10"/>
        <v>STABLE</v>
      </c>
      <c r="H67" t="e">
        <f t="shared" si="11"/>
        <v>#VALUE!</v>
      </c>
      <c r="I67" t="e">
        <f t="shared" si="12"/>
        <v>#VALUE!</v>
      </c>
      <c r="J67" t="e">
        <f t="shared" si="13"/>
        <v>#VALUE!</v>
      </c>
      <c r="K67" t="str">
        <f t="shared" si="14"/>
        <v>Cu63</v>
      </c>
    </row>
    <row r="68" spans="2:13" x14ac:dyDescent="0.25">
      <c r="B68" s="1">
        <v>29064</v>
      </c>
      <c r="C68" s="1">
        <v>1.0699999999999999E-6</v>
      </c>
      <c r="D68">
        <v>9.6699999999999994E-2</v>
      </c>
      <c r="E68" t="str">
        <f>VLOOKUP(B68,[1]Nuclides!A:E,5,FALSE)</f>
        <v>Cu64</v>
      </c>
      <c r="F68">
        <f>VLOOKUP(B68,[1]Nuclides!A:E,4,FALSE)</f>
        <v>45723.6</v>
      </c>
      <c r="G68" t="str">
        <f t="shared" si="10"/>
        <v>12.7h</v>
      </c>
      <c r="H68" s="1">
        <f t="shared" si="11"/>
        <v>1.5159505825436871E-5</v>
      </c>
      <c r="I68" s="1">
        <f t="shared" si="12"/>
        <v>302961.53124302591</v>
      </c>
      <c r="J68" s="1">
        <f t="shared" si="13"/>
        <v>294806.35803619178</v>
      </c>
      <c r="K68" s="1" t="str">
        <f t="shared" si="14"/>
        <v>Cu64</v>
      </c>
      <c r="L68" s="1">
        <f>J68</f>
        <v>294806.35803619178</v>
      </c>
      <c r="M68">
        <v>0</v>
      </c>
    </row>
    <row r="69" spans="2:13" hidden="1" x14ac:dyDescent="0.25">
      <c r="B69" s="1">
        <v>29065</v>
      </c>
      <c r="C69" s="1">
        <v>4.4299999999999999E-6</v>
      </c>
      <c r="D69">
        <v>4.7500000000000001E-2</v>
      </c>
      <c r="E69" t="str">
        <f>VLOOKUP(B69,[1]Nuclides!A:E,5,FALSE)</f>
        <v>Cu65</v>
      </c>
      <c r="F69" t="str">
        <f>VLOOKUP(B69,[1]Nuclides!A:E,4,FALSE)</f>
        <v>STABLE</v>
      </c>
      <c r="G69" t="str">
        <f t="shared" si="10"/>
        <v>STABLE</v>
      </c>
      <c r="H69" t="e">
        <f t="shared" si="11"/>
        <v>#VALUE!</v>
      </c>
      <c r="I69" t="e">
        <f t="shared" si="12"/>
        <v>#VALUE!</v>
      </c>
      <c r="J69" t="e">
        <f t="shared" si="13"/>
        <v>#VALUE!</v>
      </c>
      <c r="K69" t="str">
        <f t="shared" si="14"/>
        <v>Cu65</v>
      </c>
    </row>
    <row r="70" spans="2:13" x14ac:dyDescent="0.25">
      <c r="B70" s="1">
        <v>29066</v>
      </c>
      <c r="C70" s="1">
        <v>2.2999999999999999E-7</v>
      </c>
      <c r="D70">
        <v>0.20849999999999999</v>
      </c>
      <c r="E70" t="str">
        <f>VLOOKUP(B70,[1]Nuclides!A:E,5,FALSE)</f>
        <v>Cu66</v>
      </c>
      <c r="F70">
        <f>VLOOKUP(B70,[1]Nuclides!A:E,4,FALSE)</f>
        <v>307.2</v>
      </c>
      <c r="G70" t="str">
        <f t="shared" si="10"/>
        <v>5.12min</v>
      </c>
      <c r="H70" s="1">
        <f t="shared" si="11"/>
        <v>2.2563384783852386E-3</v>
      </c>
      <c r="I70" s="1">
        <f t="shared" si="12"/>
        <v>7058469.2121990006</v>
      </c>
      <c r="J70" s="1">
        <f t="shared" si="13"/>
        <v>121580.21131785614</v>
      </c>
      <c r="K70" s="1" t="str">
        <f t="shared" si="14"/>
        <v>Cu66</v>
      </c>
      <c r="L70" s="1">
        <f>J70</f>
        <v>121580.21131785614</v>
      </c>
      <c r="M70">
        <v>0</v>
      </c>
    </row>
    <row r="71" spans="2:13" hidden="1" x14ac:dyDescent="0.25">
      <c r="B71" s="1">
        <v>29067</v>
      </c>
      <c r="C71" s="1">
        <v>0</v>
      </c>
      <c r="D71">
        <v>0</v>
      </c>
      <c r="E71" t="str">
        <f>VLOOKUP(B71,[1]Nuclides!A:E,5,FALSE)</f>
        <v>Cu67</v>
      </c>
      <c r="F71">
        <f>VLOOKUP(B71,[1]Nuclides!A:E,4,FALSE)</f>
        <v>222588</v>
      </c>
      <c r="G71" t="str">
        <f t="shared" si="10"/>
        <v>2.58d</v>
      </c>
      <c r="H71">
        <f t="shared" si="11"/>
        <v>3.1140366082625535E-6</v>
      </c>
      <c r="I71">
        <f t="shared" si="12"/>
        <v>0</v>
      </c>
      <c r="J71">
        <f t="shared" si="13"/>
        <v>0</v>
      </c>
      <c r="K71" t="str">
        <f t="shared" si="14"/>
        <v>Cu67</v>
      </c>
    </row>
    <row r="72" spans="2:13" hidden="1" x14ac:dyDescent="0.25">
      <c r="B72" s="1">
        <v>29068</v>
      </c>
      <c r="C72" s="1">
        <v>0</v>
      </c>
      <c r="D72">
        <v>0</v>
      </c>
      <c r="E72" t="str">
        <f>VLOOKUP(B72,[1]Nuclides!A:E,5,FALSE)</f>
        <v>Cu68</v>
      </c>
      <c r="F72">
        <f>VLOOKUP(B72,[1]Nuclides!A:E,4,FALSE)</f>
        <v>30.9</v>
      </c>
      <c r="G72" t="str">
        <f t="shared" si="10"/>
        <v>30.9s</v>
      </c>
      <c r="H72">
        <f t="shared" si="11"/>
        <v>2.2431947590936741E-2</v>
      </c>
      <c r="I72">
        <f t="shared" si="12"/>
        <v>0</v>
      </c>
      <c r="J72">
        <f t="shared" si="13"/>
        <v>0</v>
      </c>
      <c r="K72" t="str">
        <f t="shared" si="14"/>
        <v>Cu68</v>
      </c>
    </row>
    <row r="73" spans="2:13" hidden="1" x14ac:dyDescent="0.25">
      <c r="B73" s="1">
        <v>29069</v>
      </c>
      <c r="C73" s="1">
        <v>0</v>
      </c>
      <c r="D73">
        <v>0</v>
      </c>
      <c r="E73" t="str">
        <f>VLOOKUP(B73,[1]Nuclides!A:E,5,FALSE)</f>
        <v>Cu69</v>
      </c>
      <c r="F73">
        <f>VLOOKUP(B73,[1]Nuclides!A:E,4,FALSE)</f>
        <v>171</v>
      </c>
      <c r="G73" t="str">
        <f t="shared" si="10"/>
        <v>2.85min</v>
      </c>
      <c r="H73">
        <f t="shared" si="11"/>
        <v>4.0534922839762884E-3</v>
      </c>
      <c r="I73">
        <f t="shared" si="12"/>
        <v>0</v>
      </c>
      <c r="J73">
        <f t="shared" si="13"/>
        <v>0</v>
      </c>
      <c r="K73" t="str">
        <f t="shared" si="14"/>
        <v>Cu69</v>
      </c>
    </row>
    <row r="74" spans="2:13" hidden="1" x14ac:dyDescent="0.25">
      <c r="B74" s="1">
        <v>29070</v>
      </c>
      <c r="C74" s="1">
        <v>0</v>
      </c>
      <c r="D74">
        <v>0</v>
      </c>
      <c r="E74" t="str">
        <f>VLOOKUP(B74,[1]Nuclides!A:E,5,FALSE)</f>
        <v>Cu70</v>
      </c>
      <c r="F74">
        <f>VLOOKUP(B74,[1]Nuclides!A:E,4,FALSE)</f>
        <v>44.5</v>
      </c>
      <c r="G74" t="str">
        <f t="shared" si="10"/>
        <v>44.5s</v>
      </c>
      <c r="H74">
        <f t="shared" si="11"/>
        <v>1.5576341136178546E-2</v>
      </c>
      <c r="I74">
        <f t="shared" si="12"/>
        <v>0</v>
      </c>
      <c r="J74">
        <f t="shared" si="13"/>
        <v>0</v>
      </c>
      <c r="K74" t="str">
        <f t="shared" si="14"/>
        <v>Cu70</v>
      </c>
    </row>
    <row r="75" spans="2:13" hidden="1" x14ac:dyDescent="0.25">
      <c r="B75" s="1">
        <v>29071</v>
      </c>
      <c r="C75" s="1">
        <v>0</v>
      </c>
      <c r="D75">
        <v>0</v>
      </c>
      <c r="E75" t="str">
        <f>VLOOKUP(B75,[1]Nuclides!A:E,5,FALSE)</f>
        <v>Cu71</v>
      </c>
      <c r="F75">
        <f>VLOOKUP(B75,[1]Nuclides!A:E,4,FALSE)</f>
        <v>19.399999999999999</v>
      </c>
      <c r="G75" t="str">
        <f t="shared" si="10"/>
        <v>19.4s</v>
      </c>
      <c r="H75">
        <f t="shared" si="11"/>
        <v>3.5729236111337388E-2</v>
      </c>
      <c r="I75">
        <f t="shared" si="12"/>
        <v>0</v>
      </c>
      <c r="J75">
        <f t="shared" si="13"/>
        <v>0</v>
      </c>
      <c r="K75" t="str">
        <f t="shared" si="14"/>
        <v>Cu71</v>
      </c>
    </row>
    <row r="76" spans="2:13" hidden="1" x14ac:dyDescent="0.25">
      <c r="B76" s="1">
        <v>29072</v>
      </c>
      <c r="C76" s="1">
        <v>0</v>
      </c>
      <c r="D76">
        <v>0</v>
      </c>
      <c r="E76" t="str">
        <f>VLOOKUP(B76,[1]Nuclides!A:E,5,FALSE)</f>
        <v>Cu72</v>
      </c>
      <c r="F76">
        <f>VLOOKUP(B76,[1]Nuclides!A:E,4,FALSE)</f>
        <v>6.63</v>
      </c>
      <c r="G76" t="str">
        <f t="shared" si="10"/>
        <v>6.63s</v>
      </c>
      <c r="H76">
        <f t="shared" si="11"/>
        <v>0.10454708605730699</v>
      </c>
      <c r="I76">
        <f t="shared" si="12"/>
        <v>0</v>
      </c>
      <c r="J76">
        <f t="shared" si="13"/>
        <v>0</v>
      </c>
      <c r="K76" t="str">
        <f t="shared" si="14"/>
        <v>Cu72</v>
      </c>
    </row>
    <row r="77" spans="2:13" hidden="1" x14ac:dyDescent="0.25">
      <c r="B77" s="1">
        <v>29073</v>
      </c>
      <c r="C77" s="1">
        <v>0</v>
      </c>
      <c r="D77">
        <v>0</v>
      </c>
      <c r="E77" t="str">
        <f>VLOOKUP(B77,[1]Nuclides!A:E,5,FALSE)</f>
        <v>Cu73</v>
      </c>
      <c r="F77">
        <f>VLOOKUP(B77,[1]Nuclides!A:E,4,FALSE)</f>
        <v>4.2</v>
      </c>
      <c r="G77" t="str">
        <f t="shared" si="10"/>
        <v>4.2s</v>
      </c>
      <c r="H77">
        <f t="shared" si="11"/>
        <v>0.16503504299046315</v>
      </c>
      <c r="I77">
        <f t="shared" si="12"/>
        <v>0</v>
      </c>
      <c r="J77">
        <f t="shared" si="13"/>
        <v>0</v>
      </c>
      <c r="K77" t="str">
        <f t="shared" si="14"/>
        <v>Cu73</v>
      </c>
    </row>
    <row r="78" spans="2:13" hidden="1" x14ac:dyDescent="0.25">
      <c r="B78" s="1">
        <v>30057</v>
      </c>
      <c r="C78" s="1">
        <v>0</v>
      </c>
      <c r="D78">
        <v>0</v>
      </c>
      <c r="E78" t="str">
        <f>VLOOKUP(B78,[1]Nuclides!A:E,5,FALSE)</f>
        <v>Zn57</v>
      </c>
      <c r="F78">
        <f>VLOOKUP(B78,[1]Nuclides!A:E,4,FALSE)</f>
        <v>3.7999999999999999E-2</v>
      </c>
      <c r="G78" t="str">
        <f t="shared" si="10"/>
        <v>0.038s</v>
      </c>
      <c r="H78">
        <f t="shared" si="11"/>
        <v>18.240715277893297</v>
      </c>
      <c r="I78">
        <f t="shared" si="12"/>
        <v>0</v>
      </c>
      <c r="J78">
        <f t="shared" si="13"/>
        <v>0</v>
      </c>
      <c r="K78" t="str">
        <f t="shared" si="14"/>
        <v>Zn57</v>
      </c>
    </row>
    <row r="79" spans="2:13" hidden="1" x14ac:dyDescent="0.25">
      <c r="B79" s="1">
        <v>30058</v>
      </c>
      <c r="C79" s="1">
        <v>0</v>
      </c>
      <c r="D79">
        <v>0</v>
      </c>
      <c r="E79" t="str">
        <f>VLOOKUP(B79,[1]Nuclides!A:E,5,FALSE)</f>
        <v>Zn58</v>
      </c>
      <c r="F79">
        <f>VLOOKUP(B79,[1]Nuclides!A:E,4,FALSE)</f>
        <v>8.5999999999999993E-2</v>
      </c>
      <c r="G79" t="str">
        <f t="shared" si="10"/>
        <v>0.086s</v>
      </c>
      <c r="H79">
        <f t="shared" si="11"/>
        <v>8.0598509367435511</v>
      </c>
      <c r="I79">
        <f t="shared" si="12"/>
        <v>0</v>
      </c>
      <c r="J79">
        <f t="shared" si="13"/>
        <v>0</v>
      </c>
      <c r="K79" t="str">
        <f t="shared" si="14"/>
        <v>Zn58</v>
      </c>
    </row>
    <row r="80" spans="2:13" hidden="1" x14ac:dyDescent="0.25">
      <c r="B80" s="1">
        <v>30059</v>
      </c>
      <c r="C80" s="1">
        <v>0</v>
      </c>
      <c r="D80">
        <v>0</v>
      </c>
      <c r="E80" t="str">
        <f>VLOOKUP(B80,[1]Nuclides!A:E,5,FALSE)</f>
        <v>Zn59</v>
      </c>
      <c r="F80">
        <f>VLOOKUP(B80,[1]Nuclides!A:E,4,FALSE)</f>
        <v>0.182</v>
      </c>
      <c r="G80" t="str">
        <f t="shared" si="10"/>
        <v>0.182s</v>
      </c>
      <c r="H80">
        <f t="shared" si="11"/>
        <v>3.8085009920876116</v>
      </c>
      <c r="I80">
        <f t="shared" si="12"/>
        <v>0</v>
      </c>
      <c r="J80">
        <f t="shared" si="13"/>
        <v>0</v>
      </c>
      <c r="K80" t="str">
        <f t="shared" si="14"/>
        <v>Zn59</v>
      </c>
    </row>
    <row r="81" spans="2:13" hidden="1" x14ac:dyDescent="0.25">
      <c r="B81" s="1">
        <v>30060</v>
      </c>
      <c r="C81" s="1">
        <v>0</v>
      </c>
      <c r="D81">
        <v>0</v>
      </c>
      <c r="E81" t="str">
        <f>VLOOKUP(B81,[1]Nuclides!A:E,5,FALSE)</f>
        <v>Zn60</v>
      </c>
      <c r="F81">
        <f>VLOOKUP(B81,[1]Nuclides!A:E,4,FALSE)</f>
        <v>142.79999999999899</v>
      </c>
      <c r="G81" t="str">
        <f t="shared" si="10"/>
        <v>2.38min</v>
      </c>
      <c r="H81">
        <f t="shared" si="11"/>
        <v>4.8539718526607158E-3</v>
      </c>
      <c r="I81">
        <f t="shared" si="12"/>
        <v>0</v>
      </c>
      <c r="J81">
        <f t="shared" si="13"/>
        <v>0</v>
      </c>
      <c r="K81" t="str">
        <f t="shared" si="14"/>
        <v>Zn60</v>
      </c>
    </row>
    <row r="82" spans="2:13" hidden="1" x14ac:dyDescent="0.25">
      <c r="B82" s="1">
        <v>30061</v>
      </c>
      <c r="C82" s="1">
        <v>0</v>
      </c>
      <c r="D82">
        <v>0</v>
      </c>
      <c r="E82" t="str">
        <f>VLOOKUP(B82,[1]Nuclides!A:E,5,FALSE)</f>
        <v>Zn61</v>
      </c>
      <c r="F82">
        <f>VLOOKUP(B82,[1]Nuclides!A:E,4,FALSE)</f>
        <v>89.1</v>
      </c>
      <c r="G82" t="str">
        <f t="shared" si="10"/>
        <v>1.49min</v>
      </c>
      <c r="H82">
        <f t="shared" si="11"/>
        <v>7.7794296359140888E-3</v>
      </c>
      <c r="I82">
        <f t="shared" si="12"/>
        <v>0</v>
      </c>
      <c r="J82">
        <f t="shared" si="13"/>
        <v>0</v>
      </c>
      <c r="K82" t="str">
        <f t="shared" si="14"/>
        <v>Zn61</v>
      </c>
    </row>
    <row r="83" spans="2:13" hidden="1" x14ac:dyDescent="0.25">
      <c r="B83" s="1">
        <v>30062</v>
      </c>
      <c r="C83" s="1">
        <v>0</v>
      </c>
      <c r="D83">
        <v>0</v>
      </c>
      <c r="E83" t="str">
        <f>VLOOKUP(B83,[1]Nuclides!A:E,5,FALSE)</f>
        <v>Zn62</v>
      </c>
      <c r="F83">
        <f>VLOOKUP(B83,[1]Nuclides!A:E,4,FALSE)</f>
        <v>33069.599999999999</v>
      </c>
      <c r="G83" t="str">
        <f t="shared" si="10"/>
        <v>9.19h</v>
      </c>
      <c r="H83">
        <f t="shared" si="11"/>
        <v>2.0960252938044166E-5</v>
      </c>
      <c r="I83">
        <f t="shared" si="12"/>
        <v>0</v>
      </c>
      <c r="J83">
        <f t="shared" si="13"/>
        <v>0</v>
      </c>
      <c r="K83" t="str">
        <f t="shared" si="14"/>
        <v>Zn62</v>
      </c>
    </row>
    <row r="84" spans="2:13" x14ac:dyDescent="0.25">
      <c r="B84" s="1">
        <v>30063</v>
      </c>
      <c r="C84" s="1">
        <v>1.5E-6</v>
      </c>
      <c r="D84">
        <v>8.1600000000000006E-2</v>
      </c>
      <c r="E84" t="str">
        <f>VLOOKUP(B84,[1]Nuclides!A:E,5,FALSE)</f>
        <v>Zn63</v>
      </c>
      <c r="F84">
        <f>VLOOKUP(B84,[1]Nuclides!A:E,4,FALSE)</f>
        <v>2308.1999999999998</v>
      </c>
      <c r="G84" t="str">
        <f t="shared" si="10"/>
        <v>38.47min</v>
      </c>
      <c r="H84" s="1">
        <f t="shared" si="11"/>
        <v>3.002977127458389E-4</v>
      </c>
      <c r="I84" s="1">
        <f t="shared" si="12"/>
        <v>8063680.9755047821</v>
      </c>
      <c r="J84" s="1">
        <f t="shared" si="13"/>
        <v>4696578.5053876638</v>
      </c>
      <c r="K84" s="1" t="str">
        <f t="shared" si="14"/>
        <v>Zn63</v>
      </c>
      <c r="L84" s="1">
        <f>J84</f>
        <v>4696578.5053876638</v>
      </c>
      <c r="M84">
        <v>0</v>
      </c>
    </row>
    <row r="85" spans="2:13" hidden="1" x14ac:dyDescent="0.25">
      <c r="B85" s="1">
        <v>30064</v>
      </c>
      <c r="C85" s="1">
        <v>5.151E-5</v>
      </c>
      <c r="D85">
        <v>1.3899999999999999E-2</v>
      </c>
      <c r="E85" t="str">
        <f>VLOOKUP(B85,[1]Nuclides!A:E,5,FALSE)</f>
        <v>Zn64</v>
      </c>
      <c r="F85">
        <f>VLOOKUP(B85,[1]Nuclides!A:E,4,FALSE)</f>
        <v>2.209032E+28</v>
      </c>
      <c r="G85" t="str">
        <f t="shared" si="10"/>
        <v>7.00479452054795E+20y</v>
      </c>
      <c r="H85">
        <f t="shared" si="11"/>
        <v>3.1377869608043038E-29</v>
      </c>
      <c r="I85">
        <f t="shared" si="12"/>
        <v>0</v>
      </c>
      <c r="J85">
        <f t="shared" si="13"/>
        <v>0</v>
      </c>
      <c r="K85" t="str">
        <f t="shared" si="14"/>
        <v>Zn64</v>
      </c>
    </row>
    <row r="86" spans="2:13" x14ac:dyDescent="0.25">
      <c r="B86" s="1">
        <v>30065</v>
      </c>
      <c r="C86" s="1">
        <v>3.18E-6</v>
      </c>
      <c r="D86">
        <v>5.6099999999999997E-2</v>
      </c>
      <c r="E86" t="str">
        <f>VLOOKUP(B86,[1]Nuclides!A:E,5,FALSE)</f>
        <v>Zn65</v>
      </c>
      <c r="F86">
        <f>VLOOKUP(B86,[1]Nuclides!A:E,4,FALSE)</f>
        <v>21075552</v>
      </c>
      <c r="G86" t="str">
        <f t="shared" si="10"/>
        <v>243.93d</v>
      </c>
      <c r="H86" s="1">
        <f t="shared" si="11"/>
        <v>3.2888684507999854E-8</v>
      </c>
      <c r="I86" s="1">
        <f t="shared" si="12"/>
        <v>1957.8405746420665</v>
      </c>
      <c r="J86" s="1">
        <f t="shared" si="13"/>
        <v>1957.7246746309618</v>
      </c>
      <c r="K86" s="1" t="str">
        <f t="shared" si="14"/>
        <v>Zn65</v>
      </c>
      <c r="L86" s="1">
        <f>J86</f>
        <v>1957.7246746309618</v>
      </c>
      <c r="M86">
        <v>0</v>
      </c>
    </row>
    <row r="87" spans="2:13" hidden="1" x14ac:dyDescent="0.25">
      <c r="B87" s="1">
        <v>30066</v>
      </c>
      <c r="C87" s="1">
        <v>2.2560000000000001E-5</v>
      </c>
      <c r="D87">
        <v>2.1100000000000001E-2</v>
      </c>
      <c r="E87" t="str">
        <f>VLOOKUP(B87,[1]Nuclides!A:E,5,FALSE)</f>
        <v>Zn66</v>
      </c>
      <c r="F87" t="str">
        <f>VLOOKUP(B87,[1]Nuclides!A:E,4,FALSE)</f>
        <v>STABLE</v>
      </c>
      <c r="G87" t="str">
        <f t="shared" si="10"/>
        <v>STABLE</v>
      </c>
      <c r="H87" t="e">
        <f t="shared" si="11"/>
        <v>#VALUE!</v>
      </c>
      <c r="I87" t="e">
        <f t="shared" si="12"/>
        <v>#VALUE!</v>
      </c>
      <c r="J87" t="e">
        <f t="shared" si="13"/>
        <v>#VALUE!</v>
      </c>
      <c r="K87" t="str">
        <f t="shared" si="14"/>
        <v>Zn66</v>
      </c>
    </row>
  </sheetData>
  <autoFilter ref="J1:J87" xr:uid="{B983C5E1-8EFC-46F9-8245-01540AFD5054}">
    <filterColumn colId="0">
      <customFilters>
        <customFilter operator="greaterThan" val="1"/>
      </custom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2025-12-08T10:21:54Z</dcterms:modified>
</cp:coreProperties>
</file>