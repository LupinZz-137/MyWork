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P\HEISO\"/>
    </mc:Choice>
  </mc:AlternateContent>
  <xr:revisionPtr revIDLastSave="0" documentId="8_{2DFBFB46-7C3B-428B-96A0-BEC4806F99D1}" xr6:coauthVersionLast="47" xr6:coauthVersionMax="47" xr10:uidLastSave="{00000000-0000-0000-0000-000000000000}"/>
  <bookViews>
    <workbookView xWindow="-120" yWindow="-120" windowWidth="29040" windowHeight="15840" xr2:uid="{8EBB3965-8FC1-4857-9ECC-1C82241FDE7B}"/>
  </bookViews>
  <sheets>
    <sheet name="HEIS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5" i="1" l="1"/>
  <c r="S765" i="1"/>
  <c r="H732" i="1"/>
  <c r="G732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<sst xmlns="http://schemas.openxmlformats.org/spreadsheetml/2006/main" count="1507" uniqueCount="803">
  <si>
    <t>ENDF</t>
  </si>
  <si>
    <t>CEM</t>
    <phoneticPr fontId="1" type="noConversion"/>
  </si>
  <si>
    <t>w</t>
  </si>
  <si>
    <t>Nuclides</t>
  </si>
  <si>
    <t>T1/2</t>
  </si>
  <si>
    <t>λ</t>
  </si>
  <si>
    <t>EOB/10d</t>
  </si>
  <si>
    <t>EOI/1y</t>
  </si>
  <si>
    <t>Yield_Rate/s</t>
    <phoneticPr fontId="1" type="noConversion"/>
  </si>
  <si>
    <t>N</t>
  </si>
  <si>
    <t>Z</t>
  </si>
  <si>
    <t>Cr51</t>
  </si>
  <si>
    <t>He6</t>
  </si>
  <si>
    <t>Mn50</t>
  </si>
  <si>
    <t>Li8</t>
  </si>
  <si>
    <t>Mn53</t>
  </si>
  <si>
    <t>Be7</t>
  </si>
  <si>
    <t>Mn60</t>
  </si>
  <si>
    <t>Be10</t>
  </si>
  <si>
    <t>Fe52</t>
  </si>
  <si>
    <t>B8</t>
  </si>
  <si>
    <t>Fe53</t>
  </si>
  <si>
    <t>C10</t>
  </si>
  <si>
    <t>Fe61</t>
  </si>
  <si>
    <t>C11</t>
  </si>
  <si>
    <t>Fe64</t>
  </si>
  <si>
    <t>Cr45</t>
  </si>
  <si>
    <t>Co53</t>
  </si>
  <si>
    <t>Co54</t>
  </si>
  <si>
    <t>Co55</t>
  </si>
  <si>
    <t>Mn51</t>
  </si>
  <si>
    <t>Co56</t>
  </si>
  <si>
    <t>Co57</t>
  </si>
  <si>
    <t>Fe49</t>
  </si>
  <si>
    <t>Co58</t>
  </si>
  <si>
    <t>Fe50</t>
  </si>
  <si>
    <t>Ni53</t>
  </si>
  <si>
    <t>Ni54</t>
  </si>
  <si>
    <t>Ni55</t>
  </si>
  <si>
    <t>Fe55</t>
  </si>
  <si>
    <t>Ni56</t>
  </si>
  <si>
    <t>Fe63</t>
  </si>
  <si>
    <t>Ni57</t>
  </si>
  <si>
    <t>Ni59</t>
  </si>
  <si>
    <t>Ni63</t>
  </si>
  <si>
    <t>Ni65</t>
  </si>
  <si>
    <t>Ni66</t>
  </si>
  <si>
    <t>Ni67</t>
  </si>
  <si>
    <t>Ni68</t>
  </si>
  <si>
    <t>Cu57</t>
  </si>
  <si>
    <t>Co60</t>
  </si>
  <si>
    <t>Cu58</t>
  </si>
  <si>
    <t>Co62</t>
  </si>
  <si>
    <t>Cu59</t>
  </si>
  <si>
    <t>Cu60</t>
  </si>
  <si>
    <t>Cu61</t>
  </si>
  <si>
    <t>Cu62</t>
  </si>
  <si>
    <t>Cu64</t>
  </si>
  <si>
    <t>Cu66</t>
  </si>
  <si>
    <t>Cu67</t>
  </si>
  <si>
    <t>Cu68</t>
  </si>
  <si>
    <t>Cu69</t>
  </si>
  <si>
    <t>Cu70</t>
  </si>
  <si>
    <t>Cu71</t>
  </si>
  <si>
    <t>Cu72</t>
  </si>
  <si>
    <t>Cu73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</si>
  <si>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</si>
  <si>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</si>
  <si>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</si>
  <si>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</si>
  <si>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</si>
  <si>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</si>
  <si>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</si>
  <si>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</si>
  <si>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</si>
  <si>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</si>
  <si>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</si>
  <si>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</si>
  <si>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</si>
  <si>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</si>
  <si>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</si>
  <si>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</si>
  <si>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</si>
  <si>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</si>
  <si>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</si>
  <si>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Ga62</t>
  </si>
  <si>
    <t>Ga63</t>
  </si>
  <si>
    <t>Ga64</t>
  </si>
  <si>
    <t>Ga65</t>
  </si>
  <si>
    <t>Ga66</t>
  </si>
  <si>
    <t>Ga67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</si>
  <si>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</si>
  <si>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</si>
  <si>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</si>
  <si>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</si>
  <si>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</si>
  <si>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</si>
  <si>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</si>
  <si>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</si>
  <si>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</si>
  <si>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</si>
  <si>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</si>
  <si>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Ga68</t>
  </si>
  <si>
    <t>Ga83</t>
  </si>
  <si>
    <t>Ge61</t>
  </si>
  <si>
    <t>Ge62</t>
  </si>
  <si>
    <t>Ge63</t>
  </si>
  <si>
    <t>Ge64</t>
  </si>
  <si>
    <t>Ge75</t>
  </si>
  <si>
    <t>Ge77</t>
  </si>
  <si>
    <t>Ge78</t>
  </si>
  <si>
    <t>Ge79</t>
  </si>
  <si>
    <t>Ge80</t>
  </si>
  <si>
    <t>Ge81</t>
  </si>
  <si>
    <t>Ge82</t>
  </si>
  <si>
    <t>Ge83</t>
  </si>
  <si>
    <t>Ge84</t>
  </si>
  <si>
    <t>As66</t>
  </si>
  <si>
    <t>As67</t>
  </si>
  <si>
    <t>Ge65</t>
  </si>
  <si>
    <t>As68</t>
  </si>
  <si>
    <t>Ge66</t>
  </si>
  <si>
    <t>As69</t>
  </si>
  <si>
    <t>As70</t>
  </si>
  <si>
    <t>As71</t>
  </si>
  <si>
    <t>As72</t>
  </si>
  <si>
    <t>As73</t>
  </si>
  <si>
    <t>As74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</si>
  <si>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</si>
  <si>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</si>
  <si>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</si>
  <si>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</si>
  <si>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</si>
  <si>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</si>
  <si>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</si>
  <si>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</si>
  <si>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</si>
  <si>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</si>
  <si>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</si>
  <si>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</si>
  <si>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Se68</t>
  </si>
  <si>
    <t>Se69</t>
  </si>
  <si>
    <t>Se70</t>
  </si>
  <si>
    <t>Se71</t>
  </si>
  <si>
    <t>Se72</t>
  </si>
  <si>
    <t>Se73</t>
  </si>
  <si>
    <t>Se75</t>
  </si>
  <si>
    <t>Se79</t>
  </si>
  <si>
    <t>Se81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</si>
  <si>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</si>
  <si>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</si>
  <si>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</si>
  <si>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</si>
  <si>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</si>
  <si>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</si>
  <si>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</si>
  <si>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</si>
  <si>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</si>
  <si>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Br70</t>
  </si>
  <si>
    <t>Br71</t>
  </si>
  <si>
    <t>Br72</t>
  </si>
  <si>
    <t>Br73</t>
  </si>
  <si>
    <t>Br78</t>
  </si>
  <si>
    <t>Br80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</si>
  <si>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</si>
  <si>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</si>
  <si>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</si>
  <si>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</si>
  <si>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</si>
  <si>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</si>
  <si>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</si>
  <si>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</si>
  <si>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</si>
  <si>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</si>
  <si>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Br74</t>
  </si>
  <si>
    <t>Br92</t>
  </si>
  <si>
    <t>Br75</t>
  </si>
  <si>
    <t>Kr71</t>
  </si>
  <si>
    <t>Br76</t>
  </si>
  <si>
    <t>Kr72</t>
  </si>
  <si>
    <t>Kr73</t>
  </si>
  <si>
    <t>Kr74</t>
  </si>
  <si>
    <t>Kr75</t>
  </si>
  <si>
    <t>Kr76</t>
  </si>
  <si>
    <t>Kr77</t>
  </si>
  <si>
    <t>Kr79</t>
  </si>
  <si>
    <t>Kr81</t>
  </si>
  <si>
    <t>Kr85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</si>
  <si>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</si>
  <si>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</si>
  <si>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</si>
  <si>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</si>
  <si>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</si>
  <si>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</si>
  <si>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</si>
  <si>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</si>
  <si>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</si>
  <si>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</si>
  <si>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</si>
  <si>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Kr78</t>
  </si>
  <si>
    <t>Rb74</t>
  </si>
  <si>
    <t>Rb75</t>
  </si>
  <si>
    <t>Rb76</t>
  </si>
  <si>
    <t>Rb82</t>
  </si>
  <si>
    <t>Rb83</t>
  </si>
  <si>
    <t>Rb84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</si>
  <si>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</si>
  <si>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</si>
  <si>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</si>
  <si>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</si>
  <si>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</si>
  <si>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</si>
  <si>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</si>
  <si>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</si>
  <si>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</si>
  <si>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</si>
  <si>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</si>
  <si>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Rb77</t>
  </si>
  <si>
    <t>Rb97</t>
  </si>
  <si>
    <t>Rb78</t>
  </si>
  <si>
    <t>Rb98</t>
  </si>
  <si>
    <t>Rb99</t>
  </si>
  <si>
    <t>Rb100</t>
  </si>
  <si>
    <t>Sr77</t>
  </si>
  <si>
    <t>Sr78</t>
  </si>
  <si>
    <t>Sr79</t>
  </si>
  <si>
    <t>Sr85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</si>
  <si>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</si>
  <si>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</si>
  <si>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</si>
  <si>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</si>
  <si>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</si>
  <si>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</si>
  <si>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</si>
  <si>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</si>
  <si>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</si>
  <si>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</si>
  <si>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</si>
  <si>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</si>
  <si>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Sr80</t>
  </si>
  <si>
    <t>Y80</t>
  </si>
  <si>
    <t>Sr81</t>
  </si>
  <si>
    <t>Y81</t>
  </si>
  <si>
    <t>Y82</t>
  </si>
  <si>
    <t>Y83</t>
  </si>
  <si>
    <t>Y87</t>
  </si>
  <si>
    <t>Y88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</si>
  <si>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</si>
  <si>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</si>
  <si>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</si>
  <si>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</si>
  <si>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</si>
  <si>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</si>
  <si>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</si>
  <si>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</si>
  <si>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</si>
  <si>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</si>
  <si>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</si>
  <si>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</si>
  <si>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Y84</t>
  </si>
  <si>
    <t>Y102</t>
  </si>
  <si>
    <t>Y85</t>
  </si>
  <si>
    <t>Zr81</t>
  </si>
  <si>
    <t>Y86</t>
  </si>
  <si>
    <t>Zr82</t>
  </si>
  <si>
    <t>Zr83</t>
  </si>
  <si>
    <t>Zr84</t>
  </si>
  <si>
    <t>Zr85</t>
  </si>
  <si>
    <t>Zr86</t>
  </si>
  <si>
    <t>Zr89</t>
  </si>
  <si>
    <t>Zr93</t>
  </si>
  <si>
    <t>Zr95</t>
  </si>
  <si>
    <t>Zr96</t>
  </si>
  <si>
    <t>Zr97</t>
  </si>
  <si>
    <t>Zr98</t>
  </si>
  <si>
    <t>Zr99</t>
  </si>
  <si>
    <t>Zr100</t>
  </si>
  <si>
    <t>Zr101</t>
  </si>
  <si>
    <t>Zr102</t>
  </si>
  <si>
    <t>Nb84</t>
  </si>
  <si>
    <t>Nb85</t>
  </si>
  <si>
    <t>Nb86</t>
  </si>
  <si>
    <t>Nb87</t>
  </si>
  <si>
    <t>Nb88</t>
  </si>
  <si>
    <t>Nb89</t>
  </si>
  <si>
    <t>Zr87</t>
  </si>
  <si>
    <t>Nb90</t>
  </si>
  <si>
    <t>Nb91</t>
  </si>
  <si>
    <t>Nb92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</si>
  <si>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</si>
  <si>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</si>
  <si>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</si>
  <si>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</si>
  <si>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</si>
  <si>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</si>
  <si>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</si>
  <si>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</si>
  <si>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</si>
  <si>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</si>
  <si>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</si>
  <si>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</si>
  <si>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</si>
  <si>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Mo87</t>
  </si>
  <si>
    <t>Mo88</t>
  </si>
  <si>
    <t>Mo89</t>
  </si>
  <si>
    <t>Mo90</t>
  </si>
  <si>
    <t>Mo91</t>
  </si>
  <si>
    <t>Mo93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</si>
  <si>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</si>
  <si>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</si>
  <si>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</si>
  <si>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</si>
  <si>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</si>
  <si>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</si>
  <si>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</si>
  <si>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</si>
  <si>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</si>
  <si>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</si>
  <si>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</si>
  <si>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</si>
  <si>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</si>
  <si>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</si>
  <si>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</si>
  <si>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</si>
  <si>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</si>
  <si>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</si>
  <si>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</si>
  <si>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</si>
  <si>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</si>
  <si>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</si>
  <si>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</si>
  <si>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</si>
  <si>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</si>
  <si>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</si>
  <si>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</si>
  <si>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</si>
  <si>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</si>
  <si>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</si>
  <si>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</si>
  <si>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Ru92</t>
  </si>
  <si>
    <t>Ru93</t>
  </si>
  <si>
    <t>Ru94</t>
  </si>
  <si>
    <t>Ru95</t>
  </si>
  <si>
    <t>Ru97</t>
  </si>
  <si>
    <t>Ru103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</si>
  <si>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</si>
  <si>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</si>
  <si>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</si>
  <si>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</si>
  <si>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</si>
  <si>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</si>
  <si>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</si>
  <si>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</si>
  <si>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</si>
  <si>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</si>
  <si>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</si>
  <si>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</si>
  <si>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</si>
  <si>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</si>
  <si>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</si>
  <si>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</si>
  <si>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</si>
  <si>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</si>
  <si>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</si>
  <si>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</si>
  <si>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</si>
  <si>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</si>
  <si>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</si>
  <si>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</si>
  <si>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</si>
  <si>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</si>
  <si>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</si>
  <si>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</si>
  <si>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Pd96</t>
  </si>
  <si>
    <t>Pd97</t>
  </si>
  <si>
    <t>Pd98</t>
  </si>
  <si>
    <t>Pd99</t>
  </si>
  <si>
    <t>Pd100</t>
  </si>
  <si>
    <t>Pd101</t>
  </si>
  <si>
    <t>Pd103</t>
  </si>
  <si>
    <t>Pd107</t>
  </si>
  <si>
    <t>Pd109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</si>
  <si>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</si>
  <si>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</si>
  <si>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</si>
  <si>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</si>
  <si>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</si>
  <si>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</si>
  <si>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</si>
  <si>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</si>
  <si>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</si>
  <si>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</si>
  <si>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</si>
  <si>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</si>
  <si>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</si>
  <si>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</si>
  <si>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</si>
  <si>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</si>
  <si>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</si>
  <si>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</si>
  <si>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</si>
  <si>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</si>
  <si>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</si>
  <si>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</si>
  <si>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</si>
  <si>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</si>
  <si>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</si>
  <si>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</si>
  <si>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</si>
  <si>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</si>
  <si>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</si>
  <si>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Cd97</t>
  </si>
  <si>
    <t>Ag104</t>
  </si>
  <si>
    <t>Cd98</t>
  </si>
  <si>
    <t>Ag105</t>
  </si>
  <si>
    <t>Cd99</t>
  </si>
  <si>
    <t>Ag110</t>
  </si>
  <si>
    <t>Cd100</t>
  </si>
  <si>
    <t>Cd101</t>
  </si>
  <si>
    <t>Cd102</t>
  </si>
  <si>
    <t>Cd103</t>
  </si>
  <si>
    <t>Cd104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</si>
  <si>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</si>
  <si>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</si>
  <si>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</si>
  <si>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</si>
  <si>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</si>
  <si>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</si>
  <si>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</si>
  <si>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</si>
  <si>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</si>
  <si>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</si>
  <si>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</si>
  <si>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</si>
  <si>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</si>
  <si>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</si>
  <si>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</si>
  <si>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</si>
  <si>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</si>
  <si>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</si>
  <si>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</si>
  <si>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</si>
  <si>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</si>
  <si>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</si>
  <si>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</si>
  <si>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</si>
  <si>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</si>
  <si>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</si>
  <si>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</si>
  <si>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</si>
  <si>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</si>
  <si>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</si>
  <si>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</si>
  <si>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</si>
  <si>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</si>
  <si>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</si>
  <si>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</si>
  <si>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</si>
  <si>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</si>
  <si>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</si>
  <si>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</si>
  <si>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</si>
  <si>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Sn103</t>
  </si>
  <si>
    <t>Sn104</t>
  </si>
  <si>
    <t>Sn105</t>
  </si>
  <si>
    <t>Sn106</t>
  </si>
  <si>
    <t>Sn121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</si>
  <si>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</si>
  <si>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</si>
  <si>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</si>
  <si>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</si>
  <si>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</si>
  <si>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</si>
  <si>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</si>
  <si>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</si>
  <si>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</si>
  <si>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</si>
  <si>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</si>
  <si>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</si>
  <si>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Sn107</t>
  </si>
  <si>
    <t>Sb108</t>
  </si>
  <si>
    <t>Sn108</t>
  </si>
  <si>
    <t>Sb109</t>
  </si>
  <si>
    <t>Sb110</t>
  </si>
  <si>
    <t>Sb111</t>
  </si>
  <si>
    <t>Sb119</t>
  </si>
  <si>
    <t>Sb120</t>
  </si>
  <si>
    <t>Sb122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</si>
  <si>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</si>
  <si>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</si>
  <si>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</si>
  <si>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</si>
  <si>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</si>
  <si>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</si>
  <si>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</si>
  <si>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</si>
  <si>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</si>
  <si>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</si>
  <si>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</si>
  <si>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</si>
  <si>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Sb112</t>
  </si>
  <si>
    <t>Sb136</t>
  </si>
  <si>
    <t>Te106</t>
  </si>
  <si>
    <t>Te107</t>
  </si>
  <si>
    <t>Te108</t>
  </si>
  <si>
    <t>Te109</t>
  </si>
  <si>
    <t>Te110</t>
  </si>
  <si>
    <t>Te121</t>
  </si>
  <si>
    <t>Te123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</si>
  <si>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</si>
  <si>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</si>
  <si>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</si>
  <si>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</si>
  <si>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</si>
  <si>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</si>
  <si>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</si>
  <si>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</si>
  <si>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</si>
  <si>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</si>
  <si>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</si>
  <si>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</si>
  <si>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I110</t>
  </si>
  <si>
    <t>I111</t>
  </si>
  <si>
    <t>I112</t>
  </si>
  <si>
    <t>I113</t>
  </si>
  <si>
    <t>I114</t>
  </si>
  <si>
    <t>I126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</si>
  <si>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</si>
  <si>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</si>
  <si>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</si>
  <si>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</si>
  <si>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</si>
  <si>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</si>
  <si>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</si>
  <si>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</si>
  <si>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</si>
  <si>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</si>
  <si>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</si>
  <si>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</si>
  <si>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I115</t>
  </si>
  <si>
    <t>I140</t>
  </si>
  <si>
    <t>I116</t>
  </si>
  <si>
    <t>I141</t>
  </si>
  <si>
    <t>I125</t>
  </si>
  <si>
    <t>I142</t>
  </si>
  <si>
    <t>Xe110</t>
  </si>
  <si>
    <t>Xe111</t>
  </si>
  <si>
    <t>Xe112</t>
  </si>
  <si>
    <t>Xe113</t>
  </si>
  <si>
    <t>Xe114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</si>
  <si>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</si>
  <si>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</si>
  <si>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</si>
  <si>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</si>
  <si>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</si>
  <si>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</si>
  <si>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</si>
  <si>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</si>
  <si>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</si>
  <si>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</si>
  <si>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</si>
  <si>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</si>
  <si>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</si>
  <si>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Cs114</t>
  </si>
  <si>
    <t>Cs115</t>
  </si>
  <si>
    <t>Cs116</t>
  </si>
  <si>
    <t>Xe115</t>
  </si>
  <si>
    <t>Cs130</t>
  </si>
  <si>
    <t>Cs131</t>
  </si>
  <si>
    <t>Cs132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</si>
  <si>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</si>
  <si>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</si>
  <si>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</si>
  <si>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</si>
  <si>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</si>
  <si>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</si>
  <si>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</si>
  <si>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</si>
  <si>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</si>
  <si>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</si>
  <si>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</si>
  <si>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</si>
  <si>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</si>
  <si>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</si>
  <si>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Cs117</t>
  </si>
  <si>
    <t>Cs148</t>
  </si>
  <si>
    <t>Ba117</t>
  </si>
  <si>
    <t>Ba118</t>
  </si>
  <si>
    <t>Ba119</t>
  </si>
  <si>
    <t>Ba133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</si>
  <si>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</si>
  <si>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</si>
  <si>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</si>
  <si>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</si>
  <si>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</si>
  <si>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</si>
  <si>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</si>
  <si>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</si>
  <si>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</si>
  <si>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</si>
  <si>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La123</t>
  </si>
  <si>
    <t>La124</t>
  </si>
  <si>
    <t>La125</t>
  </si>
  <si>
    <t>La126</t>
  </si>
  <si>
    <t>La127</t>
  </si>
  <si>
    <t>La136</t>
  </si>
  <si>
    <t>La137</t>
  </si>
  <si>
    <t>La138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</si>
  <si>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</si>
  <si>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</si>
  <si>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</si>
  <si>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</si>
  <si>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</si>
  <si>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</si>
  <si>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</si>
  <si>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</si>
  <si>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</si>
  <si>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</si>
  <si>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Ce124</t>
  </si>
  <si>
    <t>Ce125</t>
  </si>
  <si>
    <t>Ce126</t>
  </si>
  <si>
    <t>Ce127</t>
  </si>
  <si>
    <t>La128</t>
  </si>
  <si>
    <t>Ce128</t>
  </si>
  <si>
    <t>Ce129</t>
  </si>
  <si>
    <t>Ce138</t>
  </si>
  <si>
    <t>Ce139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</si>
  <si>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</si>
  <si>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</si>
  <si>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</si>
  <si>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</si>
  <si>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</si>
  <si>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</si>
  <si>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</si>
  <si>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</si>
  <si>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</si>
  <si>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</si>
  <si>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</si>
  <si>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Pr129</t>
  </si>
  <si>
    <t>Pr130</t>
  </si>
  <si>
    <t>Pr131</t>
  </si>
  <si>
    <t>Pr132</t>
  </si>
  <si>
    <t>Pr133</t>
  </si>
  <si>
    <t>Ce130</t>
  </si>
  <si>
    <t>Pr134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</si>
  <si>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</si>
  <si>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</si>
  <si>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</si>
  <si>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</si>
  <si>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</si>
  <si>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</si>
  <si>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</si>
  <si>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</si>
  <si>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</si>
  <si>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</si>
  <si>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</si>
  <si>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Nd129</t>
  </si>
  <si>
    <t>Nd130</t>
  </si>
  <si>
    <t>Nd131</t>
  </si>
  <si>
    <t>Nd132</t>
  </si>
  <si>
    <t>Nd133</t>
  </si>
  <si>
    <t>Nd134</t>
  </si>
  <si>
    <t>Nd135</t>
  </si>
  <si>
    <t>Pr135</t>
  </si>
  <si>
    <t>Nd144</t>
  </si>
  <si>
    <t>Pr136</t>
  </si>
  <si>
    <t>Nd147</t>
  </si>
  <si>
    <t>Nd149</t>
  </si>
  <si>
    <t>Nd150</t>
  </si>
  <si>
    <t>Nd151</t>
  </si>
  <si>
    <t>Nd152</t>
  </si>
  <si>
    <t>Nd153</t>
  </si>
  <si>
    <t>Nd154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</si>
  <si>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</si>
  <si>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</si>
  <si>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</si>
  <si>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</si>
  <si>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</si>
  <si>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</si>
  <si>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</si>
  <si>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</si>
  <si>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Pm147</t>
  </si>
  <si>
    <t>Pm148</t>
  </si>
  <si>
    <t>Pm149</t>
  </si>
  <si>
    <t>Pm150</t>
  </si>
  <si>
    <t>Nd136</t>
  </si>
  <si>
    <t>Pm151</t>
  </si>
  <si>
    <t>Nd137</t>
  </si>
  <si>
    <t>Pm152</t>
  </si>
  <si>
    <t>Pm153</t>
  </si>
  <si>
    <t>Pm154</t>
  </si>
  <si>
    <t>Pm155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</si>
  <si>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</si>
  <si>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</si>
  <si>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</si>
  <si>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</si>
  <si>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</si>
  <si>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</si>
  <si>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</si>
  <si>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</si>
  <si>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Sm151</t>
  </si>
  <si>
    <t>Sm153</t>
  </si>
  <si>
    <t>Sm155</t>
  </si>
  <si>
    <t>Sm156</t>
  </si>
  <si>
    <t>Sm157</t>
  </si>
  <si>
    <t>Sm158</t>
  </si>
  <si>
    <t>Eu138</t>
  </si>
  <si>
    <t>Eu139</t>
  </si>
  <si>
    <t>Eu140</t>
  </si>
  <si>
    <t>Eu141</t>
  </si>
  <si>
    <t>Eu142</t>
  </si>
  <si>
    <t>Eu143</t>
  </si>
  <si>
    <t>Eu144</t>
  </si>
  <si>
    <t>Eu154</t>
  </si>
  <si>
    <t>Eu155</t>
  </si>
  <si>
    <t>Eu156</t>
  </si>
  <si>
    <t>Eu157</t>
  </si>
  <si>
    <t>Eu158</t>
  </si>
  <si>
    <t>Eu159</t>
  </si>
  <si>
    <t>Eu160</t>
  </si>
  <si>
    <t>Gd142</t>
  </si>
  <si>
    <t>Gd143</t>
  </si>
  <si>
    <t>Sm141</t>
  </si>
  <si>
    <t>Gd144</t>
  </si>
  <si>
    <t>Gd145</t>
  </si>
  <si>
    <t>Gd146</t>
  </si>
  <si>
    <t>Gd147</t>
  </si>
  <si>
    <t>Gd150</t>
  </si>
  <si>
    <t>Gd159</t>
  </si>
  <si>
    <t>Gd160</t>
  </si>
  <si>
    <t>Gd161</t>
  </si>
  <si>
    <t>Gd162</t>
  </si>
  <si>
    <t>Gd163</t>
  </si>
  <si>
    <t>Tb144</t>
  </si>
  <si>
    <t>Tb145</t>
  </si>
  <si>
    <t>Tb146</t>
  </si>
  <si>
    <t>Tb147</t>
  </si>
  <si>
    <t>Eu145</t>
  </si>
  <si>
    <t>Tb148</t>
  </si>
  <si>
    <t>Eu146</t>
  </si>
  <si>
    <t>Tb149</t>
  </si>
  <si>
    <t>Eu147</t>
  </si>
  <si>
    <t>Tb161</t>
  </si>
  <si>
    <t>Tb162</t>
  </si>
  <si>
    <t>Tb163</t>
  </si>
  <si>
    <t>Tb164</t>
  </si>
  <si>
    <t>Tb165</t>
  </si>
  <si>
    <t>Dy145</t>
  </si>
  <si>
    <t>Dy146</t>
  </si>
  <si>
    <t>Dy147</t>
  </si>
  <si>
    <t>Dy148</t>
  </si>
  <si>
    <t>Dy149</t>
  </si>
  <si>
    <t>Dy166</t>
  </si>
  <si>
    <t>Dy167</t>
  </si>
  <si>
    <t>Dy168</t>
  </si>
  <si>
    <t>Ho147</t>
  </si>
  <si>
    <t>Gd148</t>
  </si>
  <si>
    <t>Ho148</t>
  </si>
  <si>
    <t>Gd149</t>
  </si>
  <si>
    <t>Ho149</t>
  </si>
  <si>
    <t>Ho150</t>
  </si>
  <si>
    <t>Ho151</t>
  </si>
  <si>
    <t>Ho169</t>
  </si>
  <si>
    <t>Er147</t>
  </si>
  <si>
    <t>Er148</t>
  </si>
  <si>
    <t>Er173</t>
  </si>
  <si>
    <t>Tm151</t>
  </si>
  <si>
    <t>Tm175</t>
  </si>
  <si>
    <t>Th228</t>
  </si>
  <si>
    <t>Th229</t>
  </si>
  <si>
    <t>Th231</t>
  </si>
  <si>
    <t>Tb150</t>
  </si>
  <si>
    <t>Th232</t>
  </si>
  <si>
    <t>Tb160</t>
  </si>
  <si>
    <t>Th233</t>
  </si>
  <si>
    <t>Th234</t>
  </si>
  <si>
    <t>Th236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</si>
  <si>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</si>
  <si>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</si>
  <si>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</si>
  <si>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</si>
  <si>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</si>
  <si>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</si>
  <si>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</si>
  <si>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</si>
  <si>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Dy150</t>
  </si>
  <si>
    <t>U230</t>
  </si>
  <si>
    <t>Dy153</t>
  </si>
  <si>
    <t>U231</t>
  </si>
  <si>
    <t>U232</t>
  </si>
  <si>
    <t>U233</t>
  </si>
  <si>
    <t>U234</t>
  </si>
  <si>
    <t>U235</t>
  </si>
  <si>
    <t>U236</t>
  </si>
  <si>
    <t>U237</t>
  </si>
  <si>
    <t>Ho153</t>
  </si>
  <si>
    <t>Ho168</t>
  </si>
  <si>
    <t>Ci</t>
    <phoneticPr fontId="1" type="noConversion"/>
  </si>
  <si>
    <t>Ho170</t>
  </si>
  <si>
    <t>Er149</t>
  </si>
  <si>
    <t>Er150</t>
  </si>
  <si>
    <t>Th230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</si>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</sst>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AEF-C2AB-45A4-BEDE-763C5188391B}">
  <dimension ref="B1:T765"/>
  <sheetViews>
    <sheetView tabSelected="1" topLeftCell="A728" workbookViewId="0">
      <selection activeCell="F733" sqref="F733"/>
    </sheetView>
  </sheetViews>
  <sheetFormatPr defaultRowHeight="14.25" x14ac:dyDescent="0.2"/>
  <cols>
    <col min="4" max="4" width="10.5" style="1" customWidth="1"/>
    <col min="5" max="5" width="9" style="1"/>
    <col min="9" max="9" width="11.375" customWidth="1"/>
    <col min="12" max="16" width="9" style="1"/>
    <col min="17" max="20" width="9" style="3"/>
  </cols>
  <sheetData>
    <row r="1" spans="2:20" x14ac:dyDescent="0.2">
      <c r="B1" t="s">
        <v>0</v>
      </c>
      <c r="L1" s="2" t="s">
        <v>1</v>
      </c>
    </row>
    <row r="2" spans="2:20" x14ac:dyDescent="0.2">
      <c r="B2" s="2"/>
      <c r="C2" s="4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L2" s="2"/>
      <c r="M2" s="2" t="s">
        <v>2</v>
      </c>
      <c r="N2" s="2" t="s">
        <v>3</v>
      </c>
      <c r="O2" s="2" t="s">
        <v>9</v>
      </c>
      <c r="P2" s="2" t="s">
        <v>10</v>
      </c>
      <c r="Q2" s="5" t="s">
        <v>4</v>
      </c>
      <c r="R2" s="5" t="s">
        <v>5</v>
      </c>
      <c r="S2" s="5" t="s">
        <v>6</v>
      </c>
      <c r="T2" s="5" t="s">
        <v>7</v>
      </c>
    </row>
    <row r="3" spans="2:20" x14ac:dyDescent="0.2">
      <c r="B3">
        <v>24051</v>
      </c>
      <c r="C3" s="6">
        <v>6.9799999999999994E-11</v>
      </c>
      <c r="D3" s="1" t="s">
        <v>11</v>
      </c>
      <c r="E3" s="3">
        <v>2393496</v>
      </c>
      <c r="F3" s="7">
        <v>2.8959613074763664E-7</v>
      </c>
      <c r="G3" s="7">
        <v>192830.69207774702</v>
      </c>
      <c r="H3" s="7">
        <v>20.839792510094178</v>
      </c>
      <c r="I3" s="3">
        <f>G3/10/24/3600</f>
        <v>0.22318367138628126</v>
      </c>
      <c r="L3" s="1">
        <v>2006</v>
      </c>
      <c r="M3" s="3">
        <v>3.4899999999999998E-10</v>
      </c>
      <c r="N3" s="1" t="s">
        <v>12</v>
      </c>
      <c r="O3" s="1">
        <v>4</v>
      </c>
      <c r="P3" s="1">
        <v>2</v>
      </c>
      <c r="Q3" s="3">
        <v>0.80669999999999997</v>
      </c>
      <c r="R3" s="3">
        <v>0.85923785863387292</v>
      </c>
      <c r="S3" s="3">
        <v>4355520</v>
      </c>
      <c r="T3" s="3">
        <v>0</v>
      </c>
    </row>
    <row r="4" spans="2:20" x14ac:dyDescent="0.2">
      <c r="B4">
        <v>25050</v>
      </c>
      <c r="C4" s="6">
        <v>6.9799999999999994E-11</v>
      </c>
      <c r="D4" s="1" t="s">
        <v>13</v>
      </c>
      <c r="E4" s="3">
        <v>0.28319</v>
      </c>
      <c r="F4" s="7">
        <v>2.4476400316393421</v>
      </c>
      <c r="G4" s="7">
        <v>871103.99999999988</v>
      </c>
      <c r="H4" s="7">
        <v>0</v>
      </c>
      <c r="I4" s="3">
        <f t="shared" ref="I4:I67" si="0">G4/10/24/3600</f>
        <v>1.0082222222222221</v>
      </c>
      <c r="L4" s="1">
        <v>3008</v>
      </c>
      <c r="M4" s="3">
        <v>2.094E-10</v>
      </c>
      <c r="N4" s="1" t="s">
        <v>14</v>
      </c>
      <c r="O4" s="1">
        <v>5</v>
      </c>
      <c r="P4" s="1">
        <v>3</v>
      </c>
      <c r="Q4" s="3">
        <v>0.83989999999999998</v>
      </c>
      <c r="R4" s="3">
        <v>0.82527346179300543</v>
      </c>
      <c r="S4" s="3">
        <v>2613312</v>
      </c>
      <c r="T4" s="3">
        <v>0</v>
      </c>
    </row>
    <row r="5" spans="2:20" x14ac:dyDescent="0.2">
      <c r="B5">
        <v>25053</v>
      </c>
      <c r="C5" s="6">
        <v>6.9799999999999994E-11</v>
      </c>
      <c r="D5" s="1" t="s">
        <v>15</v>
      </c>
      <c r="E5" s="3">
        <v>118025424000000</v>
      </c>
      <c r="F5" s="7">
        <v>5.8728632956230289E-15</v>
      </c>
      <c r="G5" s="7">
        <v>4.4201157369982971E-3</v>
      </c>
      <c r="H5" s="7">
        <v>4.4201149183636908E-3</v>
      </c>
      <c r="I5" s="3">
        <f t="shared" si="0"/>
        <v>5.1158746955998813E-9</v>
      </c>
      <c r="L5" s="1">
        <v>4007</v>
      </c>
      <c r="M5" s="3">
        <v>3.3959800000000001E-6</v>
      </c>
      <c r="N5" s="1" t="s">
        <v>16</v>
      </c>
      <c r="O5" s="1">
        <v>3</v>
      </c>
      <c r="P5" s="1">
        <v>4</v>
      </c>
      <c r="Q5" s="3">
        <v>4598208</v>
      </c>
      <c r="R5" s="3">
        <v>1.507428938751673E-7</v>
      </c>
      <c r="S5" s="3">
        <v>5175538585.2180557</v>
      </c>
      <c r="T5" s="3">
        <v>44606107.357110895</v>
      </c>
    </row>
    <row r="6" spans="2:20" x14ac:dyDescent="0.2">
      <c r="B6">
        <v>25060</v>
      </c>
      <c r="C6" s="6">
        <v>6.9799999999999994E-11</v>
      </c>
      <c r="D6" s="1" t="s">
        <v>17</v>
      </c>
      <c r="E6" s="3">
        <v>0.28000000000000003</v>
      </c>
      <c r="F6" s="7">
        <v>2.4755256448569471</v>
      </c>
      <c r="G6" s="7">
        <v>871103.99999999988</v>
      </c>
      <c r="H6" s="7">
        <v>0</v>
      </c>
      <c r="I6" s="3">
        <f t="shared" si="0"/>
        <v>1.0082222222222221</v>
      </c>
      <c r="L6" s="1">
        <v>4010</v>
      </c>
      <c r="M6" s="3">
        <v>1.2319699999999999E-7</v>
      </c>
      <c r="N6" s="1" t="s">
        <v>18</v>
      </c>
      <c r="O6" s="1">
        <v>6</v>
      </c>
      <c r="P6" s="1">
        <v>4</v>
      </c>
      <c r="Q6" s="3">
        <v>47651976000000</v>
      </c>
      <c r="R6" s="3">
        <v>1.4546032268629223E-14</v>
      </c>
      <c r="S6" s="3">
        <v>19.322931080632873</v>
      </c>
      <c r="T6" s="3">
        <v>19.322922216748974</v>
      </c>
    </row>
    <row r="7" spans="2:20" x14ac:dyDescent="0.2">
      <c r="B7">
        <v>26052</v>
      </c>
      <c r="C7" s="6">
        <v>6.9799999999999994E-11</v>
      </c>
      <c r="D7" s="1" t="s">
        <v>19</v>
      </c>
      <c r="E7" s="3">
        <v>29790</v>
      </c>
      <c r="F7" s="7">
        <v>2.3267780482039118E-5</v>
      </c>
      <c r="G7" s="7">
        <v>871103.99838083645</v>
      </c>
      <c r="H7" s="7">
        <v>0</v>
      </c>
      <c r="I7" s="3">
        <f t="shared" si="0"/>
        <v>1.0082222203481903</v>
      </c>
      <c r="L7" s="1">
        <v>5008</v>
      </c>
      <c r="M7" s="3">
        <v>5.5839999999999995E-10</v>
      </c>
      <c r="N7" s="1" t="s">
        <v>20</v>
      </c>
      <c r="O7" s="1">
        <v>3</v>
      </c>
      <c r="P7" s="1">
        <v>5</v>
      </c>
      <c r="Q7" s="3">
        <v>0.77</v>
      </c>
      <c r="R7" s="3">
        <v>0.90019114358434449</v>
      </c>
      <c r="S7" s="3">
        <v>6968831.9999999991</v>
      </c>
      <c r="T7" s="3">
        <v>0</v>
      </c>
    </row>
    <row r="8" spans="2:20" x14ac:dyDescent="0.2">
      <c r="B8">
        <v>26053</v>
      </c>
      <c r="C8" s="6">
        <v>1.3959999999999999E-10</v>
      </c>
      <c r="D8" s="1" t="s">
        <v>21</v>
      </c>
      <c r="E8" s="3">
        <v>510.599999999999</v>
      </c>
      <c r="F8" s="7">
        <v>1.357515042224729E-3</v>
      </c>
      <c r="G8" s="7">
        <v>1742207.9999999998</v>
      </c>
      <c r="H8" s="7">
        <v>0</v>
      </c>
      <c r="I8" s="3">
        <f t="shared" si="0"/>
        <v>2.0164444444444443</v>
      </c>
      <c r="L8" s="1">
        <v>6010</v>
      </c>
      <c r="M8" s="3">
        <v>1.43788E-8</v>
      </c>
      <c r="N8" s="1" t="s">
        <v>22</v>
      </c>
      <c r="O8" s="1">
        <v>4</v>
      </c>
      <c r="P8" s="1">
        <v>6</v>
      </c>
      <c r="Q8" s="3">
        <v>19.308</v>
      </c>
      <c r="R8" s="3">
        <v>3.5899481073127473E-2</v>
      </c>
      <c r="S8" s="3">
        <v>179447424</v>
      </c>
      <c r="T8" s="3">
        <v>0</v>
      </c>
    </row>
    <row r="9" spans="2:20" x14ac:dyDescent="0.2">
      <c r="B9">
        <v>26061</v>
      </c>
      <c r="C9" s="6">
        <v>6.9799999999999994E-11</v>
      </c>
      <c r="D9" s="1" t="s">
        <v>23</v>
      </c>
      <c r="E9" s="3">
        <v>358.8</v>
      </c>
      <c r="F9" s="7">
        <v>1.9318483293198029E-3</v>
      </c>
      <c r="G9" s="7">
        <v>871103.99999999988</v>
      </c>
      <c r="H9" s="7">
        <v>0</v>
      </c>
      <c r="I9" s="3">
        <f t="shared" si="0"/>
        <v>1.0082222222222221</v>
      </c>
      <c r="L9" s="1">
        <v>6011</v>
      </c>
      <c r="M9" s="3">
        <v>8.1646499999999998E-6</v>
      </c>
      <c r="N9" s="1" t="s">
        <v>24</v>
      </c>
      <c r="O9" s="1">
        <v>5</v>
      </c>
      <c r="P9" s="1">
        <v>6</v>
      </c>
      <c r="Q9" s="3">
        <v>1221.8399999999999</v>
      </c>
      <c r="R9" s="3">
        <v>5.6729782996132495E-4</v>
      </c>
      <c r="S9" s="3">
        <v>101894832000</v>
      </c>
      <c r="T9" s="3">
        <v>0</v>
      </c>
    </row>
    <row r="10" spans="2:20" x14ac:dyDescent="0.2">
      <c r="B10">
        <v>26064</v>
      </c>
      <c r="C10" s="6">
        <v>6.9799999999999994E-11</v>
      </c>
      <c r="D10" s="1" t="s">
        <v>25</v>
      </c>
      <c r="E10" s="3">
        <v>2</v>
      </c>
      <c r="F10" s="7">
        <v>0.34657359027997264</v>
      </c>
      <c r="G10" s="7">
        <v>871103.99999999988</v>
      </c>
      <c r="H10" s="7">
        <v>0</v>
      </c>
      <c r="I10" s="3">
        <f t="shared" si="0"/>
        <v>1.0082222222222221</v>
      </c>
      <c r="L10" s="1">
        <v>24045</v>
      </c>
      <c r="M10" s="3">
        <v>6.9799999999999994E-11</v>
      </c>
      <c r="N10" s="1" t="s">
        <v>26</v>
      </c>
      <c r="O10" s="1">
        <v>21</v>
      </c>
      <c r="P10" s="1">
        <v>24</v>
      </c>
      <c r="Q10" s="3">
        <v>6.0900000000000003E-2</v>
      </c>
      <c r="R10" s="3">
        <v>11.381727102790563</v>
      </c>
      <c r="S10" s="3">
        <v>871103.99999999988</v>
      </c>
      <c r="T10" s="3">
        <v>0</v>
      </c>
    </row>
    <row r="11" spans="2:20" x14ac:dyDescent="0.2">
      <c r="B11">
        <v>27053</v>
      </c>
      <c r="C11" s="6">
        <v>1.3959999999999999E-10</v>
      </c>
      <c r="D11" s="1" t="s">
        <v>27</v>
      </c>
      <c r="E11" s="3">
        <v>0.24</v>
      </c>
      <c r="F11" s="7">
        <v>2.8881132523331057</v>
      </c>
      <c r="G11" s="7">
        <v>1742207.9999999998</v>
      </c>
      <c r="H11" s="7">
        <v>0</v>
      </c>
      <c r="I11" s="3">
        <f t="shared" si="0"/>
        <v>2.0164444444444443</v>
      </c>
      <c r="L11" s="1">
        <v>24051</v>
      </c>
      <c r="M11" s="3">
        <v>6.9799999999999994E-11</v>
      </c>
      <c r="N11" s="1" t="s">
        <v>11</v>
      </c>
      <c r="O11" s="1">
        <v>27</v>
      </c>
      <c r="P11" s="1">
        <v>24</v>
      </c>
      <c r="Q11" s="3">
        <v>2393496</v>
      </c>
      <c r="R11" s="3">
        <v>2.8959613074763664E-7</v>
      </c>
      <c r="S11" s="3">
        <v>192830.69207774702</v>
      </c>
      <c r="T11" s="3">
        <v>20.839792510094178</v>
      </c>
    </row>
    <row r="12" spans="2:20" x14ac:dyDescent="0.2">
      <c r="B12">
        <v>27054</v>
      </c>
      <c r="C12" s="6">
        <v>2.7919999999999998E-10</v>
      </c>
      <c r="D12" s="1" t="s">
        <v>28</v>
      </c>
      <c r="E12" s="3">
        <v>0.193</v>
      </c>
      <c r="F12" s="7">
        <v>3.5914361687043797</v>
      </c>
      <c r="G12" s="7">
        <v>3484415.9999999995</v>
      </c>
      <c r="H12" s="7">
        <v>0</v>
      </c>
      <c r="I12" s="3">
        <f t="shared" si="0"/>
        <v>4.0328888888888885</v>
      </c>
      <c r="L12" s="1">
        <v>25050</v>
      </c>
      <c r="M12" s="3">
        <v>6.9799999999999994E-11</v>
      </c>
      <c r="N12" s="1" t="s">
        <v>13</v>
      </c>
      <c r="O12" s="1">
        <v>25</v>
      </c>
      <c r="P12" s="1">
        <v>25</v>
      </c>
      <c r="Q12" s="3">
        <v>0.28319</v>
      </c>
      <c r="R12" s="3">
        <v>2.4476400316393421</v>
      </c>
      <c r="S12" s="3">
        <v>871103.99999999988</v>
      </c>
      <c r="T12" s="3">
        <v>0</v>
      </c>
    </row>
    <row r="13" spans="2:20" x14ac:dyDescent="0.2">
      <c r="B13">
        <v>27055</v>
      </c>
      <c r="C13" s="6">
        <v>6.9799999999999994E-11</v>
      </c>
      <c r="D13" s="1" t="s">
        <v>29</v>
      </c>
      <c r="E13" s="3">
        <v>63108</v>
      </c>
      <c r="F13" s="7">
        <v>1.0983507329656229E-5</v>
      </c>
      <c r="G13" s="7">
        <v>871038.12451831962</v>
      </c>
      <c r="H13" s="7">
        <v>3.242654751162194E-145</v>
      </c>
      <c r="I13" s="3">
        <f t="shared" si="0"/>
        <v>1.0081459774517589</v>
      </c>
      <c r="L13" s="1">
        <v>25051</v>
      </c>
      <c r="M13" s="3">
        <v>6.9799999999999994E-11</v>
      </c>
      <c r="N13" s="1" t="s">
        <v>30</v>
      </c>
      <c r="O13" s="1">
        <v>26</v>
      </c>
      <c r="P13" s="1">
        <v>25</v>
      </c>
      <c r="Q13" s="3">
        <v>2772</v>
      </c>
      <c r="R13" s="3">
        <v>2.5005309544009569E-4</v>
      </c>
      <c r="S13" s="3">
        <v>871103.99999999988</v>
      </c>
      <c r="T13" s="3">
        <v>0</v>
      </c>
    </row>
    <row r="14" spans="2:20" x14ac:dyDescent="0.2">
      <c r="B14">
        <v>27056</v>
      </c>
      <c r="C14" s="6">
        <v>2.7919999999999998E-10</v>
      </c>
      <c r="D14" s="1" t="s">
        <v>31</v>
      </c>
      <c r="E14" s="3">
        <v>6673190.4000000004</v>
      </c>
      <c r="F14" s="7">
        <v>1.0387043363245641E-7</v>
      </c>
      <c r="G14" s="7">
        <v>299084.38867821347</v>
      </c>
      <c r="H14" s="7">
        <v>11302.995452914067</v>
      </c>
      <c r="I14" s="3">
        <f t="shared" si="0"/>
        <v>0.34616248689608042</v>
      </c>
      <c r="L14" s="1">
        <v>25053</v>
      </c>
      <c r="M14" s="3">
        <v>6.9799999999999994E-11</v>
      </c>
      <c r="N14" s="1" t="s">
        <v>15</v>
      </c>
      <c r="O14" s="1">
        <v>28</v>
      </c>
      <c r="P14" s="1">
        <v>25</v>
      </c>
      <c r="Q14" s="3">
        <v>118025424000000</v>
      </c>
      <c r="R14" s="3">
        <v>5.8728632956230289E-15</v>
      </c>
      <c r="S14" s="3">
        <v>4.4201157369982971E-3</v>
      </c>
      <c r="T14" s="3">
        <v>4.4201149183636908E-3</v>
      </c>
    </row>
    <row r="15" spans="2:20" x14ac:dyDescent="0.2">
      <c r="B15">
        <v>27057</v>
      </c>
      <c r="C15" s="6">
        <v>1.3959999999999999E-10</v>
      </c>
      <c r="D15" s="1" t="s">
        <v>32</v>
      </c>
      <c r="E15" s="3">
        <v>23478336</v>
      </c>
      <c r="F15" s="7">
        <v>2.9522840995202781E-8</v>
      </c>
      <c r="G15" s="7">
        <v>43877.788776227506</v>
      </c>
      <c r="H15" s="7">
        <v>17294.282023416738</v>
      </c>
      <c r="I15" s="3">
        <f t="shared" si="0"/>
        <v>5.0784477750263318E-2</v>
      </c>
      <c r="L15" s="1">
        <v>26049</v>
      </c>
      <c r="M15" s="3">
        <v>6.9799999999999994E-11</v>
      </c>
      <c r="N15" s="1" t="s">
        <v>33</v>
      </c>
      <c r="O15" s="1">
        <v>23</v>
      </c>
      <c r="P15" s="1">
        <v>26</v>
      </c>
      <c r="Q15" s="3">
        <v>6.4699999999999994E-2</v>
      </c>
      <c r="R15" s="3">
        <v>10.713248540339187</v>
      </c>
      <c r="S15" s="3">
        <v>871103.99999999988</v>
      </c>
      <c r="T15" s="3">
        <v>0</v>
      </c>
    </row>
    <row r="16" spans="2:20" x14ac:dyDescent="0.2">
      <c r="B16">
        <v>27058</v>
      </c>
      <c r="C16" s="6">
        <v>6.9799999999999994E-11</v>
      </c>
      <c r="D16" s="1" t="s">
        <v>34</v>
      </c>
      <c r="E16" s="3">
        <v>6122304</v>
      </c>
      <c r="F16" s="7">
        <v>1.1321672046339831E-7</v>
      </c>
      <c r="G16" s="7">
        <v>81175.743935235732</v>
      </c>
      <c r="H16" s="7">
        <v>2284.6526187845238</v>
      </c>
      <c r="I16" s="3">
        <f t="shared" si="0"/>
        <v>9.3953407332448766E-2</v>
      </c>
      <c r="L16" s="1">
        <v>26050</v>
      </c>
      <c r="M16" s="3">
        <v>1.3959999999999999E-10</v>
      </c>
      <c r="N16" s="1" t="s">
        <v>35</v>
      </c>
      <c r="O16" s="1">
        <v>24</v>
      </c>
      <c r="P16" s="1">
        <v>26</v>
      </c>
      <c r="Q16" s="3">
        <v>0.155</v>
      </c>
      <c r="R16" s="3">
        <v>4.4719172939351308</v>
      </c>
      <c r="S16" s="3">
        <v>1742207.9999999998</v>
      </c>
      <c r="T16" s="3">
        <v>0</v>
      </c>
    </row>
    <row r="17" spans="2:20" x14ac:dyDescent="0.2">
      <c r="B17">
        <v>28053</v>
      </c>
      <c r="C17" s="6">
        <v>6.9799999999999994E-11</v>
      </c>
      <c r="D17" s="1" t="s">
        <v>36</v>
      </c>
      <c r="E17" s="3">
        <v>5.5199999999999999E-2</v>
      </c>
      <c r="F17" s="7">
        <v>12.557014140578719</v>
      </c>
      <c r="G17" s="7">
        <v>871103.99999999988</v>
      </c>
      <c r="H17" s="7">
        <v>0</v>
      </c>
      <c r="I17" s="3">
        <f t="shared" si="0"/>
        <v>1.0082222222222221</v>
      </c>
      <c r="L17" s="1">
        <v>26052</v>
      </c>
      <c r="M17" s="3">
        <v>1.3959999999999999E-10</v>
      </c>
      <c r="N17" s="1" t="s">
        <v>19</v>
      </c>
      <c r="O17" s="1">
        <v>26</v>
      </c>
      <c r="P17" s="1">
        <v>26</v>
      </c>
      <c r="Q17" s="3">
        <v>29790</v>
      </c>
      <c r="R17" s="3">
        <v>2.3267780482039118E-5</v>
      </c>
      <c r="S17" s="3">
        <v>1742207.9967616729</v>
      </c>
      <c r="T17" s="3">
        <v>0</v>
      </c>
    </row>
    <row r="18" spans="2:20" x14ac:dyDescent="0.2">
      <c r="B18">
        <v>28054</v>
      </c>
      <c r="C18" s="6">
        <v>1.3959999999999999E-10</v>
      </c>
      <c r="D18" s="1" t="s">
        <v>37</v>
      </c>
      <c r="E18" s="3">
        <v>0.1142</v>
      </c>
      <c r="F18" s="7">
        <v>6.0695900224163335</v>
      </c>
      <c r="G18" s="7">
        <v>1742207.9999999998</v>
      </c>
      <c r="H18" s="7">
        <v>0</v>
      </c>
      <c r="I18" s="3">
        <f t="shared" si="0"/>
        <v>2.0164444444444443</v>
      </c>
      <c r="L18" s="1">
        <v>26053</v>
      </c>
      <c r="M18" s="3">
        <v>2.094E-10</v>
      </c>
      <c r="N18" s="1" t="s">
        <v>21</v>
      </c>
      <c r="O18" s="1">
        <v>27</v>
      </c>
      <c r="P18" s="1">
        <v>26</v>
      </c>
      <c r="Q18" s="3">
        <v>510.599999999999</v>
      </c>
      <c r="R18" s="3">
        <v>1.357515042224729E-3</v>
      </c>
      <c r="S18" s="3">
        <v>2613312</v>
      </c>
      <c r="T18" s="3">
        <v>0</v>
      </c>
    </row>
    <row r="19" spans="2:20" x14ac:dyDescent="0.2">
      <c r="B19">
        <v>28055</v>
      </c>
      <c r="C19" s="6">
        <v>4.1879999999999999E-10</v>
      </c>
      <c r="D19" s="1" t="s">
        <v>38</v>
      </c>
      <c r="E19" s="3">
        <v>0.20469999999999999</v>
      </c>
      <c r="F19" s="7">
        <v>3.3861611165605536</v>
      </c>
      <c r="G19" s="7">
        <v>5226624</v>
      </c>
      <c r="H19" s="7">
        <v>0</v>
      </c>
      <c r="I19" s="3">
        <f t="shared" si="0"/>
        <v>6.0493333333333341</v>
      </c>
      <c r="L19" s="1">
        <v>26055</v>
      </c>
      <c r="M19" s="3">
        <v>1.3959999999999999E-10</v>
      </c>
      <c r="N19" s="1" t="s">
        <v>39</v>
      </c>
      <c r="O19" s="1">
        <v>29</v>
      </c>
      <c r="P19" s="1">
        <v>26</v>
      </c>
      <c r="Q19" s="3">
        <v>86594054.400000006</v>
      </c>
      <c r="R19" s="3">
        <v>8.0045585734803657E-9</v>
      </c>
      <c r="S19" s="3">
        <v>12007.4343702029</v>
      </c>
      <c r="T19" s="3">
        <v>9328.6865663154895</v>
      </c>
    </row>
    <row r="20" spans="2:20" x14ac:dyDescent="0.2">
      <c r="B20">
        <v>28056</v>
      </c>
      <c r="C20" s="6">
        <v>3.4899999999999998E-10</v>
      </c>
      <c r="D20" s="1" t="s">
        <v>40</v>
      </c>
      <c r="E20" s="3">
        <v>524880</v>
      </c>
      <c r="F20" s="7">
        <v>1.3205821912817126E-6</v>
      </c>
      <c r="G20" s="7">
        <v>2963910.4972898518</v>
      </c>
      <c r="H20" s="7">
        <v>2.4282266080871139E-12</v>
      </c>
      <c r="I20" s="3">
        <f t="shared" si="0"/>
        <v>3.4304519644558469</v>
      </c>
      <c r="L20" s="1">
        <v>26063</v>
      </c>
      <c r="M20" s="3">
        <v>6.9799999999999994E-11</v>
      </c>
      <c r="N20" s="1" t="s">
        <v>41</v>
      </c>
      <c r="O20" s="1">
        <v>37</v>
      </c>
      <c r="P20" s="1">
        <v>26</v>
      </c>
      <c r="Q20" s="3">
        <v>6.1</v>
      </c>
      <c r="R20" s="3">
        <v>0.11363068533769595</v>
      </c>
      <c r="S20" s="3">
        <v>871103.99999999988</v>
      </c>
      <c r="T20" s="3">
        <v>0</v>
      </c>
    </row>
    <row r="21" spans="2:20" x14ac:dyDescent="0.2">
      <c r="B21">
        <v>28057</v>
      </c>
      <c r="C21" s="6">
        <v>1.047E-9</v>
      </c>
      <c r="D21" s="1" t="s">
        <v>42</v>
      </c>
      <c r="E21" s="3">
        <v>128160</v>
      </c>
      <c r="F21" s="7">
        <v>5.4084517833953281E-6</v>
      </c>
      <c r="G21" s="7">
        <v>12944451.592900721</v>
      </c>
      <c r="H21" s="7">
        <v>1.0924726303044743E-67</v>
      </c>
      <c r="I21" s="3">
        <f t="shared" si="0"/>
        <v>14.982004158449909</v>
      </c>
      <c r="L21" s="1">
        <v>26064</v>
      </c>
      <c r="M21" s="3">
        <v>1.3959999999999999E-10</v>
      </c>
      <c r="N21" s="1" t="s">
        <v>25</v>
      </c>
      <c r="O21" s="1">
        <v>38</v>
      </c>
      <c r="P21" s="1">
        <v>26</v>
      </c>
      <c r="Q21" s="3">
        <v>2</v>
      </c>
      <c r="R21" s="3">
        <v>0.34657359027997264</v>
      </c>
      <c r="S21" s="3">
        <v>1742207.9999999998</v>
      </c>
      <c r="T21" s="3">
        <v>0</v>
      </c>
    </row>
    <row r="22" spans="2:20" x14ac:dyDescent="0.2">
      <c r="B22">
        <v>28059</v>
      </c>
      <c r="C22" s="6">
        <v>1.047E-9</v>
      </c>
      <c r="D22" s="1" t="s">
        <v>43</v>
      </c>
      <c r="E22" s="3">
        <v>2398377600000</v>
      </c>
      <c r="F22" s="7">
        <v>2.8900669375829115E-13</v>
      </c>
      <c r="G22" s="7">
        <v>3.26274292820802</v>
      </c>
      <c r="H22" s="7">
        <v>3.2627131913289618</v>
      </c>
      <c r="I22" s="3">
        <f t="shared" si="0"/>
        <v>3.7763228335740972E-6</v>
      </c>
      <c r="L22" s="1">
        <v>27053</v>
      </c>
      <c r="M22" s="3">
        <v>2.094E-10</v>
      </c>
      <c r="N22" s="1" t="s">
        <v>27</v>
      </c>
      <c r="O22" s="1">
        <v>26</v>
      </c>
      <c r="P22" s="1">
        <v>27</v>
      </c>
      <c r="Q22" s="3">
        <v>0.24</v>
      </c>
      <c r="R22" s="3">
        <v>2.8881132523331057</v>
      </c>
      <c r="S22" s="3">
        <v>2613312</v>
      </c>
      <c r="T22" s="3">
        <v>0</v>
      </c>
    </row>
    <row r="23" spans="2:20" x14ac:dyDescent="0.2">
      <c r="B23">
        <v>28063</v>
      </c>
      <c r="C23" s="6">
        <v>1.3959999999999999E-10</v>
      </c>
      <c r="D23" s="1" t="s">
        <v>44</v>
      </c>
      <c r="E23" s="3">
        <v>3193629120</v>
      </c>
      <c r="F23" s="7">
        <v>2.1704060005563365E-10</v>
      </c>
      <c r="G23" s="7">
        <v>326.67357708212688</v>
      </c>
      <c r="H23" s="7">
        <v>324.44526425700292</v>
      </c>
      <c r="I23" s="3">
        <f t="shared" si="0"/>
        <v>3.7809441791912838E-4</v>
      </c>
      <c r="L23" s="1">
        <v>27054</v>
      </c>
      <c r="M23" s="3">
        <v>6.9799999999999997E-10</v>
      </c>
      <c r="N23" s="1" t="s">
        <v>28</v>
      </c>
      <c r="O23" s="1">
        <v>27</v>
      </c>
      <c r="P23" s="1">
        <v>27</v>
      </c>
      <c r="Q23" s="3">
        <v>0.193</v>
      </c>
      <c r="R23" s="3">
        <v>3.5914361687043797</v>
      </c>
      <c r="S23" s="3">
        <v>8711040</v>
      </c>
      <c r="T23" s="3">
        <v>0</v>
      </c>
    </row>
    <row r="24" spans="2:20" x14ac:dyDescent="0.2">
      <c r="B24">
        <v>28065</v>
      </c>
      <c r="C24" s="6">
        <v>1.3959999999999999E-10</v>
      </c>
      <c r="D24" s="1" t="s">
        <v>45</v>
      </c>
      <c r="E24" s="3">
        <v>9063</v>
      </c>
      <c r="F24" s="7">
        <v>7.6480986490118651E-5</v>
      </c>
      <c r="G24" s="7">
        <v>1742207.9999999998</v>
      </c>
      <c r="H24" s="7">
        <v>0</v>
      </c>
      <c r="I24" s="3">
        <f t="shared" si="0"/>
        <v>2.0164444444444443</v>
      </c>
      <c r="L24" s="1">
        <v>27055</v>
      </c>
      <c r="M24" s="3">
        <v>8.3759999999999998E-10</v>
      </c>
      <c r="N24" s="1" t="s">
        <v>29</v>
      </c>
      <c r="O24" s="1">
        <v>28</v>
      </c>
      <c r="P24" s="1">
        <v>27</v>
      </c>
      <c r="Q24" s="3">
        <v>63108</v>
      </c>
      <c r="R24" s="3">
        <v>1.0983507329656229E-5</v>
      </c>
      <c r="S24" s="3">
        <v>10452457.494219838</v>
      </c>
      <c r="T24" s="3">
        <v>3.8911857013946342E-144</v>
      </c>
    </row>
    <row r="25" spans="2:20" x14ac:dyDescent="0.2">
      <c r="B25">
        <v>28066</v>
      </c>
      <c r="C25" s="6">
        <v>2.7919999999999998E-10</v>
      </c>
      <c r="D25" s="1" t="s">
        <v>46</v>
      </c>
      <c r="E25" s="3">
        <v>196560</v>
      </c>
      <c r="F25" s="7">
        <v>3.526389807488529E-6</v>
      </c>
      <c r="G25" s="7">
        <v>3318869.0334828999</v>
      </c>
      <c r="H25" s="7">
        <v>1.6744413162192474E-42</v>
      </c>
      <c r="I25" s="3">
        <f t="shared" si="0"/>
        <v>3.8412836035681717</v>
      </c>
      <c r="L25" s="1">
        <v>27056</v>
      </c>
      <c r="M25" s="3">
        <v>1.3959999999999999E-9</v>
      </c>
      <c r="N25" s="1" t="s">
        <v>31</v>
      </c>
      <c r="O25" s="1">
        <v>29</v>
      </c>
      <c r="P25" s="1">
        <v>27</v>
      </c>
      <c r="Q25" s="3">
        <v>6673190.4000000004</v>
      </c>
      <c r="R25" s="3">
        <v>1.0387043363245641E-7</v>
      </c>
      <c r="S25" s="3">
        <v>1495421.9433910674</v>
      </c>
      <c r="T25" s="3">
        <v>56514.977264570334</v>
      </c>
    </row>
    <row r="26" spans="2:20" x14ac:dyDescent="0.2">
      <c r="B26">
        <v>28067</v>
      </c>
      <c r="C26" s="6">
        <v>8.3759999999999998E-10</v>
      </c>
      <c r="D26" s="1" t="s">
        <v>47</v>
      </c>
      <c r="E26" s="3">
        <v>21</v>
      </c>
      <c r="F26" s="7">
        <v>3.3007008598092635E-2</v>
      </c>
      <c r="G26" s="7">
        <v>10453248</v>
      </c>
      <c r="H26" s="7">
        <v>0</v>
      </c>
      <c r="I26" s="3">
        <f t="shared" si="0"/>
        <v>12.098666666666668</v>
      </c>
      <c r="L26" s="1">
        <v>27057</v>
      </c>
      <c r="M26" s="3">
        <v>6.2819999999999996E-10</v>
      </c>
      <c r="N26" s="1" t="s">
        <v>32</v>
      </c>
      <c r="O26" s="1">
        <v>30</v>
      </c>
      <c r="P26" s="1">
        <v>27</v>
      </c>
      <c r="Q26" s="3">
        <v>23478336</v>
      </c>
      <c r="R26" s="3">
        <v>2.9522840995202781E-8</v>
      </c>
      <c r="S26" s="3">
        <v>197450.04949302378</v>
      </c>
      <c r="T26" s="3">
        <v>77824.269105375322</v>
      </c>
    </row>
    <row r="27" spans="2:20" x14ac:dyDescent="0.2">
      <c r="B27">
        <v>28068</v>
      </c>
      <c r="C27" s="6">
        <v>1.9544000000000002E-9</v>
      </c>
      <c r="D27" s="1" t="s">
        <v>48</v>
      </c>
      <c r="E27" s="3">
        <v>29</v>
      </c>
      <c r="F27" s="7">
        <v>2.3901626915860182E-2</v>
      </c>
      <c r="G27" s="7">
        <v>24390912.000000004</v>
      </c>
      <c r="H27" s="7">
        <v>0</v>
      </c>
      <c r="I27" s="3">
        <f t="shared" si="0"/>
        <v>28.230222222222224</v>
      </c>
      <c r="L27" s="1">
        <v>27058</v>
      </c>
      <c r="M27" s="3">
        <v>8.3759999999999998E-10</v>
      </c>
      <c r="N27" s="1" t="s">
        <v>34</v>
      </c>
      <c r="O27" s="1">
        <v>31</v>
      </c>
      <c r="P27" s="1">
        <v>27</v>
      </c>
      <c r="Q27" s="3">
        <v>6122304</v>
      </c>
      <c r="R27" s="3">
        <v>1.1321672046339831E-7</v>
      </c>
      <c r="S27" s="3">
        <v>974108.92722282896</v>
      </c>
      <c r="T27" s="3">
        <v>27415.83142541429</v>
      </c>
    </row>
    <row r="28" spans="2:20" x14ac:dyDescent="0.2">
      <c r="B28">
        <v>29057</v>
      </c>
      <c r="C28" s="6">
        <v>3.3503999999999999E-9</v>
      </c>
      <c r="D28" s="1" t="s">
        <v>49</v>
      </c>
      <c r="E28" s="3">
        <v>0.1963</v>
      </c>
      <c r="F28" s="7">
        <v>3.5310605224653351</v>
      </c>
      <c r="G28" s="7">
        <v>41812992</v>
      </c>
      <c r="H28" s="7">
        <v>0</v>
      </c>
      <c r="I28" s="3">
        <f t="shared" si="0"/>
        <v>48.394666666666673</v>
      </c>
      <c r="L28" s="1">
        <v>27060</v>
      </c>
      <c r="M28" s="3">
        <v>1.3959999999999999E-10</v>
      </c>
      <c r="N28" s="1" t="s">
        <v>50</v>
      </c>
      <c r="O28" s="1">
        <v>33</v>
      </c>
      <c r="P28" s="1">
        <v>27</v>
      </c>
      <c r="Q28" s="3">
        <v>166344192</v>
      </c>
      <c r="R28" s="3">
        <v>4.166945489506152E-9</v>
      </c>
      <c r="S28" s="3">
        <v>6261.091022138362</v>
      </c>
      <c r="T28" s="3">
        <v>5490.0955605091367</v>
      </c>
    </row>
    <row r="29" spans="2:20" x14ac:dyDescent="0.2">
      <c r="B29">
        <v>29058</v>
      </c>
      <c r="C29" s="6">
        <v>1.04002E-8</v>
      </c>
      <c r="D29" s="1" t="s">
        <v>51</v>
      </c>
      <c r="E29" s="3">
        <v>3.2040000000000002</v>
      </c>
      <c r="F29" s="7">
        <v>0.21633807133581312</v>
      </c>
      <c r="G29" s="7">
        <v>129794496</v>
      </c>
      <c r="H29" s="7">
        <v>0</v>
      </c>
      <c r="I29" s="3">
        <f t="shared" si="0"/>
        <v>150.22511111111112</v>
      </c>
      <c r="L29" s="1">
        <v>27062</v>
      </c>
      <c r="M29" s="3">
        <v>6.9799999999999994E-11</v>
      </c>
      <c r="N29" s="1" t="s">
        <v>52</v>
      </c>
      <c r="O29" s="1">
        <v>35</v>
      </c>
      <c r="P29" s="1">
        <v>27</v>
      </c>
      <c r="Q29" s="3">
        <v>90</v>
      </c>
      <c r="R29" s="3">
        <v>7.7016353395549476E-3</v>
      </c>
      <c r="S29" s="3">
        <v>871103.99999999988</v>
      </c>
      <c r="T29" s="3">
        <v>0</v>
      </c>
    </row>
    <row r="30" spans="2:20" x14ac:dyDescent="0.2">
      <c r="B30">
        <v>29059</v>
      </c>
      <c r="C30" s="6">
        <v>9.4928000000000001E-9</v>
      </c>
      <c r="D30" s="1" t="s">
        <v>53</v>
      </c>
      <c r="E30" s="3">
        <v>81.5</v>
      </c>
      <c r="F30" s="7">
        <v>8.504873381103624E-3</v>
      </c>
      <c r="G30" s="7">
        <v>118470144</v>
      </c>
      <c r="H30" s="7">
        <v>0</v>
      </c>
      <c r="I30" s="3">
        <f t="shared" si="0"/>
        <v>137.11822222222224</v>
      </c>
      <c r="L30" s="1">
        <v>28053</v>
      </c>
      <c r="M30" s="3">
        <v>6.9799999999999994E-11</v>
      </c>
      <c r="N30" s="1" t="s">
        <v>36</v>
      </c>
      <c r="O30" s="1">
        <v>25</v>
      </c>
      <c r="P30" s="1">
        <v>28</v>
      </c>
      <c r="Q30" s="3">
        <v>5.5199999999999999E-2</v>
      </c>
      <c r="R30" s="3">
        <v>12.557014140578719</v>
      </c>
      <c r="S30" s="3">
        <v>871103.99999999988</v>
      </c>
      <c r="T30" s="3">
        <v>0</v>
      </c>
    </row>
    <row r="31" spans="2:20" x14ac:dyDescent="0.2">
      <c r="B31">
        <v>29060</v>
      </c>
      <c r="C31" s="6">
        <v>1.26338E-8</v>
      </c>
      <c r="D31" s="1" t="s">
        <v>54</v>
      </c>
      <c r="E31" s="3">
        <v>1422</v>
      </c>
      <c r="F31" s="7">
        <v>4.8744527465537644E-4</v>
      </c>
      <c r="G31" s="7">
        <v>157669824</v>
      </c>
      <c r="H31" s="7">
        <v>0</v>
      </c>
      <c r="I31" s="3">
        <f t="shared" si="0"/>
        <v>182.48822222222222</v>
      </c>
      <c r="L31" s="1">
        <v>28054</v>
      </c>
      <c r="M31" s="3">
        <v>3.4899999999999998E-10</v>
      </c>
      <c r="N31" s="1" t="s">
        <v>37</v>
      </c>
      <c r="O31" s="1">
        <v>26</v>
      </c>
      <c r="P31" s="1">
        <v>28</v>
      </c>
      <c r="Q31" s="3">
        <v>0.1142</v>
      </c>
      <c r="R31" s="3">
        <v>6.0695900224163335</v>
      </c>
      <c r="S31" s="3">
        <v>4355520</v>
      </c>
      <c r="T31" s="3">
        <v>0</v>
      </c>
    </row>
    <row r="32" spans="2:20" x14ac:dyDescent="0.2">
      <c r="B32">
        <v>29061</v>
      </c>
      <c r="C32" s="6">
        <v>6.4216000000000002E-9</v>
      </c>
      <c r="D32" s="1" t="s">
        <v>55</v>
      </c>
      <c r="E32" s="3">
        <v>12020.4</v>
      </c>
      <c r="F32" s="7">
        <v>5.7664235845724375E-5</v>
      </c>
      <c r="G32" s="7">
        <v>80141568</v>
      </c>
      <c r="H32" s="7">
        <v>0</v>
      </c>
      <c r="I32" s="3">
        <f t="shared" si="0"/>
        <v>92.756444444444455</v>
      </c>
      <c r="L32" s="1">
        <v>28055</v>
      </c>
      <c r="M32" s="3">
        <v>6.2819999999999996E-10</v>
      </c>
      <c r="N32" s="1" t="s">
        <v>38</v>
      </c>
      <c r="O32" s="1">
        <v>27</v>
      </c>
      <c r="P32" s="1">
        <v>28</v>
      </c>
      <c r="Q32" s="3">
        <v>0.20469999999999999</v>
      </c>
      <c r="R32" s="3">
        <v>3.3861611165605536</v>
      </c>
      <c r="S32" s="3">
        <v>7839935.9999999991</v>
      </c>
      <c r="T32" s="3">
        <v>0</v>
      </c>
    </row>
    <row r="33" spans="2:20" x14ac:dyDescent="0.2">
      <c r="B33">
        <v>29062</v>
      </c>
      <c r="C33" s="6">
        <v>5.4443999999999999E-9</v>
      </c>
      <c r="D33" s="1" t="s">
        <v>56</v>
      </c>
      <c r="E33" s="3">
        <v>580.38</v>
      </c>
      <c r="F33" s="7">
        <v>1.1942988741168636E-3</v>
      </c>
      <c r="G33" s="7">
        <v>67946112</v>
      </c>
      <c r="H33" s="7">
        <v>0</v>
      </c>
      <c r="I33" s="3">
        <f t="shared" si="0"/>
        <v>78.641333333333336</v>
      </c>
      <c r="L33" s="1">
        <v>28056</v>
      </c>
      <c r="M33" s="3">
        <v>1.1866E-9</v>
      </c>
      <c r="N33" s="1" t="s">
        <v>40</v>
      </c>
      <c r="O33" s="1">
        <v>28</v>
      </c>
      <c r="P33" s="1">
        <v>28</v>
      </c>
      <c r="Q33" s="3">
        <v>524880</v>
      </c>
      <c r="R33" s="3">
        <v>1.3205821912817126E-6</v>
      </c>
      <c r="S33" s="3">
        <v>10077295.690785496</v>
      </c>
      <c r="T33" s="3">
        <v>8.2559704674961877E-12</v>
      </c>
    </row>
    <row r="34" spans="2:20" x14ac:dyDescent="0.2">
      <c r="B34">
        <v>29064</v>
      </c>
      <c r="C34" s="6">
        <v>1.2563999999999999E-9</v>
      </c>
      <c r="D34" s="1" t="s">
        <v>57</v>
      </c>
      <c r="E34" s="3">
        <v>45723.6</v>
      </c>
      <c r="F34" s="7">
        <v>1.5159505825436871E-5</v>
      </c>
      <c r="G34" s="7">
        <v>15679839.860835111</v>
      </c>
      <c r="H34" s="7">
        <v>3.7333813109714293E-201</v>
      </c>
      <c r="I34" s="3">
        <f t="shared" si="0"/>
        <v>18.14796280189249</v>
      </c>
      <c r="L34" s="1">
        <v>28057</v>
      </c>
      <c r="M34" s="3">
        <v>3.1409999999999998E-9</v>
      </c>
      <c r="N34" s="1" t="s">
        <v>42</v>
      </c>
      <c r="O34" s="1">
        <v>29</v>
      </c>
      <c r="P34" s="1">
        <v>28</v>
      </c>
      <c r="Q34" s="3">
        <v>128160</v>
      </c>
      <c r="R34" s="3">
        <v>5.4084517833953281E-6</v>
      </c>
      <c r="S34" s="3">
        <v>38833354.77870217</v>
      </c>
      <c r="T34" s="3">
        <v>3.2774178909134233E-67</v>
      </c>
    </row>
    <row r="35" spans="2:20" x14ac:dyDescent="0.2">
      <c r="B35">
        <v>29066</v>
      </c>
      <c r="C35" s="6">
        <v>1.3959999999999999E-10</v>
      </c>
      <c r="D35" s="1" t="s">
        <v>58</v>
      </c>
      <c r="E35" s="3">
        <v>307.2</v>
      </c>
      <c r="F35" s="7">
        <v>2.2563384783852386E-3</v>
      </c>
      <c r="G35" s="7">
        <v>1742207.9999999998</v>
      </c>
      <c r="H35" s="7">
        <v>0</v>
      </c>
      <c r="I35" s="3">
        <f t="shared" si="0"/>
        <v>2.0164444444444443</v>
      </c>
      <c r="L35" s="1">
        <v>28059</v>
      </c>
      <c r="M35" s="3">
        <v>5.4443999999999999E-9</v>
      </c>
      <c r="N35" s="1" t="s">
        <v>43</v>
      </c>
      <c r="O35" s="1">
        <v>31</v>
      </c>
      <c r="P35" s="1">
        <v>28</v>
      </c>
      <c r="Q35" s="3">
        <v>2398377600000</v>
      </c>
      <c r="R35" s="3">
        <v>2.8900669375829115E-13</v>
      </c>
      <c r="S35" s="3">
        <v>16.966263226681704</v>
      </c>
      <c r="T35" s="3">
        <v>16.966108594910601</v>
      </c>
    </row>
    <row r="36" spans="2:20" x14ac:dyDescent="0.2">
      <c r="B36">
        <v>29067</v>
      </c>
      <c r="C36" s="6">
        <v>6.9799999999999994E-11</v>
      </c>
      <c r="D36" s="1" t="s">
        <v>59</v>
      </c>
      <c r="E36" s="3">
        <v>222588</v>
      </c>
      <c r="F36" s="7">
        <v>3.1140366082625535E-6</v>
      </c>
      <c r="G36" s="7">
        <v>812003.83341112535</v>
      </c>
      <c r="H36" s="7">
        <v>1.8196611504694856E-37</v>
      </c>
      <c r="I36" s="3">
        <f t="shared" si="0"/>
        <v>0.93981925163324698</v>
      </c>
      <c r="L36" s="1">
        <v>28063</v>
      </c>
      <c r="M36" s="3">
        <v>9.0739999999999999E-10</v>
      </c>
      <c r="N36" s="1" t="s">
        <v>44</v>
      </c>
      <c r="O36" s="1">
        <v>35</v>
      </c>
      <c r="P36" s="1">
        <v>28</v>
      </c>
      <c r="Q36" s="3">
        <v>3193629120</v>
      </c>
      <c r="R36" s="3">
        <v>2.1704060005563365E-10</v>
      </c>
      <c r="S36" s="3">
        <v>2123.3782510338251</v>
      </c>
      <c r="T36" s="3">
        <v>2108.8942176705191</v>
      </c>
    </row>
    <row r="37" spans="2:20" x14ac:dyDescent="0.2">
      <c r="B37">
        <v>29068</v>
      </c>
      <c r="C37" s="6">
        <v>2.094E-10</v>
      </c>
      <c r="D37" s="1" t="s">
        <v>60</v>
      </c>
      <c r="E37" s="3">
        <v>30.9</v>
      </c>
      <c r="F37" s="7">
        <v>2.2431947590936741E-2</v>
      </c>
      <c r="G37" s="7">
        <v>2613312</v>
      </c>
      <c r="H37" s="7">
        <v>0</v>
      </c>
      <c r="I37" s="3">
        <f t="shared" si="0"/>
        <v>3.0246666666666671</v>
      </c>
      <c r="L37" s="1">
        <v>28067</v>
      </c>
      <c r="M37" s="3">
        <v>6.9799999999999994E-11</v>
      </c>
      <c r="N37" s="1" t="s">
        <v>47</v>
      </c>
      <c r="O37" s="1">
        <v>39</v>
      </c>
      <c r="P37" s="1">
        <v>28</v>
      </c>
      <c r="Q37" s="3">
        <v>21</v>
      </c>
      <c r="R37" s="3">
        <v>3.3007008598092635E-2</v>
      </c>
      <c r="S37" s="3">
        <v>871103.99999999988</v>
      </c>
      <c r="T37" s="3">
        <v>0</v>
      </c>
    </row>
    <row r="38" spans="2:20" x14ac:dyDescent="0.2">
      <c r="B38">
        <v>29069</v>
      </c>
      <c r="C38" s="6">
        <v>5.5839999999999995E-10</v>
      </c>
      <c r="D38" s="1" t="s">
        <v>61</v>
      </c>
      <c r="E38" s="3">
        <v>171</v>
      </c>
      <c r="F38" s="7">
        <v>4.0534922839762884E-3</v>
      </c>
      <c r="G38" s="7">
        <v>6968831.9999999991</v>
      </c>
      <c r="H38" s="7">
        <v>0</v>
      </c>
      <c r="I38" s="3">
        <f t="shared" si="0"/>
        <v>8.065777777777777</v>
      </c>
      <c r="L38" s="1">
        <v>28068</v>
      </c>
      <c r="M38" s="3">
        <v>4.1879999999999999E-10</v>
      </c>
      <c r="N38" s="1" t="s">
        <v>48</v>
      </c>
      <c r="O38" s="1">
        <v>40</v>
      </c>
      <c r="P38" s="1">
        <v>28</v>
      </c>
      <c r="Q38" s="3">
        <v>29</v>
      </c>
      <c r="R38" s="3">
        <v>2.3901626915860182E-2</v>
      </c>
      <c r="S38" s="3">
        <v>5226624</v>
      </c>
      <c r="T38" s="3">
        <v>0</v>
      </c>
    </row>
    <row r="39" spans="2:20" x14ac:dyDescent="0.2">
      <c r="B39">
        <v>29070</v>
      </c>
      <c r="C39" s="6">
        <v>2.094E-9</v>
      </c>
      <c r="D39" s="1" t="s">
        <v>62</v>
      </c>
      <c r="E39" s="3">
        <v>44.5</v>
      </c>
      <c r="F39" s="7">
        <v>1.5576341136178546E-2</v>
      </c>
      <c r="G39" s="7">
        <v>26133120</v>
      </c>
      <c r="H39" s="7">
        <v>0</v>
      </c>
      <c r="I39" s="3">
        <f t="shared" si="0"/>
        <v>30.246666666666666</v>
      </c>
      <c r="L39" s="1">
        <v>29057</v>
      </c>
      <c r="M39" s="3">
        <v>2.094E-9</v>
      </c>
      <c r="N39" s="1" t="s">
        <v>49</v>
      </c>
      <c r="O39" s="1">
        <v>28</v>
      </c>
      <c r="P39" s="1">
        <v>29</v>
      </c>
      <c r="Q39" s="3">
        <v>0.1963</v>
      </c>
      <c r="R39" s="3">
        <v>3.5310605224653351</v>
      </c>
      <c r="S39" s="3">
        <v>26133120</v>
      </c>
      <c r="T39" s="3">
        <v>0</v>
      </c>
    </row>
    <row r="40" spans="2:20" x14ac:dyDescent="0.2">
      <c r="B40">
        <v>29071</v>
      </c>
      <c r="C40" s="6">
        <v>6.9102000000000004E-9</v>
      </c>
      <c r="D40" s="1" t="s">
        <v>63</v>
      </c>
      <c r="E40" s="3">
        <v>19.399999999999999</v>
      </c>
      <c r="F40" s="7">
        <v>3.5729236111337388E-2</v>
      </c>
      <c r="G40" s="7">
        <v>86239296</v>
      </c>
      <c r="H40" s="7">
        <v>0</v>
      </c>
      <c r="I40" s="3">
        <f t="shared" si="0"/>
        <v>99.813999999999993</v>
      </c>
      <c r="L40" s="1">
        <v>29058</v>
      </c>
      <c r="M40" s="3">
        <v>5.1652000000000003E-9</v>
      </c>
      <c r="N40" s="1" t="s">
        <v>51</v>
      </c>
      <c r="O40" s="1">
        <v>29</v>
      </c>
      <c r="P40" s="1">
        <v>29</v>
      </c>
      <c r="Q40" s="3">
        <v>3.2040000000000002</v>
      </c>
      <c r="R40" s="3">
        <v>0.21633807133581312</v>
      </c>
      <c r="S40" s="3">
        <v>64461696.000000007</v>
      </c>
      <c r="T40" s="3">
        <v>0</v>
      </c>
    </row>
    <row r="41" spans="2:20" x14ac:dyDescent="0.2">
      <c r="B41">
        <v>29072</v>
      </c>
      <c r="C41" s="6">
        <v>1.10284E-8</v>
      </c>
      <c r="D41" s="1" t="s">
        <v>64</v>
      </c>
      <c r="E41" s="3">
        <v>6.63</v>
      </c>
      <c r="F41" s="7">
        <v>0.10454708605730699</v>
      </c>
      <c r="G41" s="7">
        <v>137634432</v>
      </c>
      <c r="H41" s="7">
        <v>0</v>
      </c>
      <c r="I41" s="3">
        <f t="shared" si="0"/>
        <v>159.2991111111111</v>
      </c>
      <c r="L41" s="1">
        <v>29059</v>
      </c>
      <c r="M41" s="3">
        <v>7.8176000000000008E-9</v>
      </c>
      <c r="N41" s="1" t="s">
        <v>53</v>
      </c>
      <c r="O41" s="1">
        <v>30</v>
      </c>
      <c r="P41" s="1">
        <v>29</v>
      </c>
      <c r="Q41" s="3">
        <v>81.5</v>
      </c>
      <c r="R41" s="3">
        <v>8.504873381103624E-3</v>
      </c>
      <c r="S41" s="3">
        <v>97563648.000000015</v>
      </c>
      <c r="T41" s="3">
        <v>0</v>
      </c>
    </row>
    <row r="42" spans="2:20" x14ac:dyDescent="0.2">
      <c r="B42">
        <v>29073</v>
      </c>
      <c r="C42" s="6">
        <v>2.8897200000000001E-8</v>
      </c>
      <c r="D42" s="1" t="s">
        <v>65</v>
      </c>
      <c r="E42" s="3">
        <v>4.2</v>
      </c>
      <c r="F42" s="7">
        <v>0.16503504299046315</v>
      </c>
      <c r="G42" s="7">
        <v>360637056</v>
      </c>
      <c r="H42" s="7">
        <v>0</v>
      </c>
      <c r="I42" s="3">
        <f t="shared" si="0"/>
        <v>417.40400000000005</v>
      </c>
      <c r="L42" s="1">
        <v>29060</v>
      </c>
      <c r="M42" s="3">
        <v>2.0451400000000001E-8</v>
      </c>
      <c r="N42" s="1" t="s">
        <v>54</v>
      </c>
      <c r="O42" s="1">
        <v>31</v>
      </c>
      <c r="P42" s="1">
        <v>29</v>
      </c>
      <c r="Q42" s="3">
        <v>1422</v>
      </c>
      <c r="R42" s="3">
        <v>4.8744527465537644E-4</v>
      </c>
      <c r="S42" s="3">
        <v>255233472</v>
      </c>
      <c r="T42" s="3">
        <v>0</v>
      </c>
    </row>
    <row r="43" spans="2:20" x14ac:dyDescent="0.2">
      <c r="B43">
        <v>30057</v>
      </c>
      <c r="C43" s="6">
        <v>2.3313199999999999E-8</v>
      </c>
      <c r="D43" s="1" t="s">
        <v>66</v>
      </c>
      <c r="E43" s="3">
        <v>3.7999999999999999E-2</v>
      </c>
      <c r="F43" s="7">
        <v>18.240715277893297</v>
      </c>
      <c r="G43" s="7">
        <v>290948736</v>
      </c>
      <c r="H43" s="7">
        <v>0</v>
      </c>
      <c r="I43" s="3">
        <f t="shared" si="0"/>
        <v>336.74622222222229</v>
      </c>
      <c r="L43" s="1">
        <v>29061</v>
      </c>
      <c r="M43" s="3">
        <v>1.6193600000000001E-8</v>
      </c>
      <c r="N43" s="1" t="s">
        <v>55</v>
      </c>
      <c r="O43" s="1">
        <v>32</v>
      </c>
      <c r="P43" s="1">
        <v>29</v>
      </c>
      <c r="Q43" s="3">
        <v>12020.4</v>
      </c>
      <c r="R43" s="3">
        <v>5.7664235845724375E-5</v>
      </c>
      <c r="S43" s="3">
        <v>202096128</v>
      </c>
      <c r="T43" s="3">
        <v>0</v>
      </c>
    </row>
    <row r="44" spans="2:20" x14ac:dyDescent="0.2">
      <c r="B44">
        <v>30058</v>
      </c>
      <c r="C44" s="6">
        <v>2.7082399999999999E-8</v>
      </c>
      <c r="D44" s="1" t="s">
        <v>67</v>
      </c>
      <c r="E44" s="3">
        <v>8.5999999999999993E-2</v>
      </c>
      <c r="F44" s="7">
        <v>8.0598509367435511</v>
      </c>
      <c r="G44" s="7">
        <v>337988352</v>
      </c>
      <c r="H44" s="7">
        <v>0</v>
      </c>
      <c r="I44" s="3">
        <f t="shared" si="0"/>
        <v>391.19022222222225</v>
      </c>
      <c r="L44" s="1">
        <v>29062</v>
      </c>
      <c r="M44" s="3">
        <v>2.3732E-8</v>
      </c>
      <c r="N44" s="1" t="s">
        <v>56</v>
      </c>
      <c r="O44" s="1">
        <v>33</v>
      </c>
      <c r="P44" s="1">
        <v>29</v>
      </c>
      <c r="Q44" s="3">
        <v>580.38</v>
      </c>
      <c r="R44" s="3">
        <v>1.1942988741168636E-3</v>
      </c>
      <c r="S44" s="3">
        <v>296175360</v>
      </c>
      <c r="T44" s="3">
        <v>0</v>
      </c>
    </row>
    <row r="45" spans="2:20" x14ac:dyDescent="0.2">
      <c r="B45">
        <v>30059</v>
      </c>
      <c r="C45" s="6">
        <v>1.1167999999999999E-8</v>
      </c>
      <c r="D45" s="1" t="s">
        <v>68</v>
      </c>
      <c r="E45" s="3">
        <v>0.182</v>
      </c>
      <c r="F45" s="7">
        <v>3.8085009920876116</v>
      </c>
      <c r="G45" s="7">
        <v>139376640</v>
      </c>
      <c r="H45" s="7">
        <v>0</v>
      </c>
      <c r="I45" s="3">
        <f t="shared" si="0"/>
        <v>161.31555555555556</v>
      </c>
      <c r="L45" s="1">
        <v>29064</v>
      </c>
      <c r="M45" s="3">
        <v>1.0679399999999999E-8</v>
      </c>
      <c r="N45" s="1" t="s">
        <v>57</v>
      </c>
      <c r="O45" s="1">
        <v>35</v>
      </c>
      <c r="P45" s="1">
        <v>29</v>
      </c>
      <c r="Q45" s="3">
        <v>45723.6</v>
      </c>
      <c r="R45" s="3">
        <v>1.5159505825436871E-5</v>
      </c>
      <c r="S45" s="3">
        <v>133278638.81709844</v>
      </c>
      <c r="T45" s="3">
        <v>3.173374114325715E-200</v>
      </c>
    </row>
    <row r="46" spans="2:20" x14ac:dyDescent="0.2">
      <c r="B46">
        <v>30060</v>
      </c>
      <c r="C46" s="6">
        <v>8.5155999999999998E-9</v>
      </c>
      <c r="D46" s="1" t="s">
        <v>69</v>
      </c>
      <c r="E46" s="3">
        <v>142.79999999999899</v>
      </c>
      <c r="F46" s="7">
        <v>4.8539718526607158E-3</v>
      </c>
      <c r="G46" s="7">
        <v>106274688</v>
      </c>
      <c r="H46" s="7">
        <v>0</v>
      </c>
      <c r="I46" s="3">
        <f t="shared" si="0"/>
        <v>123.00311111111111</v>
      </c>
      <c r="L46" s="1">
        <v>29066</v>
      </c>
      <c r="M46" s="3">
        <v>1.9544000000000002E-9</v>
      </c>
      <c r="N46" s="1" t="s">
        <v>58</v>
      </c>
      <c r="O46" s="1">
        <v>37</v>
      </c>
      <c r="P46" s="1">
        <v>29</v>
      </c>
      <c r="Q46" s="3">
        <v>307.2</v>
      </c>
      <c r="R46" s="3">
        <v>2.2563384783852386E-3</v>
      </c>
      <c r="S46" s="3">
        <v>24390912.000000004</v>
      </c>
      <c r="T46" s="3">
        <v>0</v>
      </c>
    </row>
    <row r="47" spans="2:20" x14ac:dyDescent="0.2">
      <c r="B47">
        <v>30061</v>
      </c>
      <c r="C47" s="6">
        <v>3.1409999999999998E-9</v>
      </c>
      <c r="D47" s="1" t="s">
        <v>70</v>
      </c>
      <c r="E47" s="3">
        <v>89.1</v>
      </c>
      <c r="F47" s="7">
        <v>7.7794296359140888E-3</v>
      </c>
      <c r="G47" s="7">
        <v>39199680</v>
      </c>
      <c r="H47" s="7">
        <v>0</v>
      </c>
      <c r="I47" s="3">
        <f t="shared" si="0"/>
        <v>45.37</v>
      </c>
      <c r="L47" s="1">
        <v>29067</v>
      </c>
      <c r="M47" s="3">
        <v>2.094E-10</v>
      </c>
      <c r="N47" s="1" t="s">
        <v>59</v>
      </c>
      <c r="O47" s="1">
        <v>38</v>
      </c>
      <c r="P47" s="1">
        <v>29</v>
      </c>
      <c r="Q47" s="3">
        <v>222588</v>
      </c>
      <c r="R47" s="3">
        <v>3.1140366082625535E-6</v>
      </c>
      <c r="S47" s="3">
        <v>2436011.5002333764</v>
      </c>
      <c r="T47" s="3">
        <v>5.4589834514084575E-37</v>
      </c>
    </row>
    <row r="48" spans="2:20" x14ac:dyDescent="0.2">
      <c r="B48">
        <v>30062</v>
      </c>
      <c r="C48" s="6">
        <v>2.3034000000000001E-9</v>
      </c>
      <c r="D48" s="1" t="s">
        <v>71</v>
      </c>
      <c r="E48" s="3">
        <v>33069.599999999999</v>
      </c>
      <c r="F48" s="7">
        <v>2.0960252938044166E-5</v>
      </c>
      <c r="G48" s="7">
        <v>28746431.607663084</v>
      </c>
      <c r="H48" s="7">
        <v>2.4481033543718197E-280</v>
      </c>
      <c r="I48" s="3">
        <f t="shared" si="0"/>
        <v>33.271332879239679</v>
      </c>
      <c r="L48" s="1">
        <v>29068</v>
      </c>
      <c r="M48" s="3">
        <v>1.3959999999999999E-10</v>
      </c>
      <c r="N48" s="1" t="s">
        <v>60</v>
      </c>
      <c r="O48" s="1">
        <v>39</v>
      </c>
      <c r="P48" s="1">
        <v>29</v>
      </c>
      <c r="Q48" s="3">
        <v>30.9</v>
      </c>
      <c r="R48" s="3">
        <v>2.2431947590936741E-2</v>
      </c>
      <c r="S48" s="3">
        <v>1742207.9999999998</v>
      </c>
      <c r="T48" s="3">
        <v>0</v>
      </c>
    </row>
    <row r="49" spans="2:20" x14ac:dyDescent="0.2">
      <c r="B49">
        <v>30063</v>
      </c>
      <c r="C49" s="6">
        <v>3.4899999999999998E-10</v>
      </c>
      <c r="D49" s="1" t="s">
        <v>72</v>
      </c>
      <c r="E49" s="3">
        <v>2308.1999999999998</v>
      </c>
      <c r="F49" s="7">
        <v>3.002977127458389E-4</v>
      </c>
      <c r="G49" s="7">
        <v>4355520</v>
      </c>
      <c r="H49" s="7">
        <v>0</v>
      </c>
      <c r="I49" s="3">
        <f t="shared" si="0"/>
        <v>5.0411111111111113</v>
      </c>
      <c r="L49" s="1">
        <v>29069</v>
      </c>
      <c r="M49" s="3">
        <v>9.0739999999999999E-10</v>
      </c>
      <c r="N49" s="1" t="s">
        <v>61</v>
      </c>
      <c r="O49" s="1">
        <v>40</v>
      </c>
      <c r="P49" s="1">
        <v>29</v>
      </c>
      <c r="Q49" s="3">
        <v>171</v>
      </c>
      <c r="R49" s="3">
        <v>4.0534922839762884E-3</v>
      </c>
      <c r="S49" s="3">
        <v>11324352</v>
      </c>
      <c r="T49" s="3">
        <v>0</v>
      </c>
    </row>
    <row r="50" spans="2:20" x14ac:dyDescent="0.2">
      <c r="B50">
        <v>30064</v>
      </c>
      <c r="C50" s="6">
        <v>3.4899999999999998E-10</v>
      </c>
      <c r="D50" s="1" t="s">
        <v>73</v>
      </c>
      <c r="E50" s="3">
        <v>2.209032E+28</v>
      </c>
      <c r="F50" s="7">
        <v>3.1377869608043038E-29</v>
      </c>
      <c r="G50" s="7">
        <v>0</v>
      </c>
      <c r="H50" s="7">
        <v>0</v>
      </c>
      <c r="I50" s="3">
        <f t="shared" si="0"/>
        <v>0</v>
      </c>
      <c r="L50" s="1">
        <v>29070</v>
      </c>
      <c r="M50" s="3">
        <v>1.6054000000000001E-9</v>
      </c>
      <c r="N50" s="1" t="s">
        <v>62</v>
      </c>
      <c r="O50" s="1">
        <v>41</v>
      </c>
      <c r="P50" s="1">
        <v>29</v>
      </c>
      <c r="Q50" s="3">
        <v>44.5</v>
      </c>
      <c r="R50" s="3">
        <v>1.5576341136178546E-2</v>
      </c>
      <c r="S50" s="3">
        <v>20035392</v>
      </c>
      <c r="T50" s="3">
        <v>0</v>
      </c>
    </row>
    <row r="51" spans="2:20" x14ac:dyDescent="0.2">
      <c r="B51">
        <v>30065</v>
      </c>
      <c r="C51" s="6">
        <v>6.9799999999999994E-11</v>
      </c>
      <c r="D51" s="1" t="s">
        <v>74</v>
      </c>
      <c r="E51" s="3">
        <v>21075552</v>
      </c>
      <c r="F51" s="7">
        <v>3.2888684507999854E-8</v>
      </c>
      <c r="G51" s="7">
        <v>24404.754708701719</v>
      </c>
      <c r="H51" s="7">
        <v>8650.3555468562608</v>
      </c>
      <c r="I51" s="3">
        <f t="shared" si="0"/>
        <v>2.8246243875812177E-2</v>
      </c>
      <c r="L51" s="1">
        <v>29071</v>
      </c>
      <c r="M51" s="3">
        <v>6.4914000000000001E-9</v>
      </c>
      <c r="N51" s="1" t="s">
        <v>63</v>
      </c>
      <c r="O51" s="1">
        <v>42</v>
      </c>
      <c r="P51" s="1">
        <v>29</v>
      </c>
      <c r="Q51" s="3">
        <v>19.399999999999999</v>
      </c>
      <c r="R51" s="3">
        <v>3.5729236111337388E-2</v>
      </c>
      <c r="S51" s="3">
        <v>81012672</v>
      </c>
      <c r="T51" s="3">
        <v>0</v>
      </c>
    </row>
    <row r="52" spans="2:20" x14ac:dyDescent="0.2">
      <c r="B52">
        <v>30069</v>
      </c>
      <c r="C52" s="6">
        <v>3.4899999999999998E-10</v>
      </c>
      <c r="D52" s="1" t="s">
        <v>75</v>
      </c>
      <c r="E52" s="3">
        <v>3384</v>
      </c>
      <c r="F52" s="7">
        <v>2.0483072711582307E-4</v>
      </c>
      <c r="G52" s="7">
        <v>4355520</v>
      </c>
      <c r="H52" s="7">
        <v>0</v>
      </c>
      <c r="I52" s="3">
        <f t="shared" si="0"/>
        <v>5.0411111111111113</v>
      </c>
      <c r="L52" s="1">
        <v>29072</v>
      </c>
      <c r="M52" s="3">
        <v>1.34714E-8</v>
      </c>
      <c r="N52" s="1" t="s">
        <v>64</v>
      </c>
      <c r="O52" s="1">
        <v>43</v>
      </c>
      <c r="P52" s="1">
        <v>29</v>
      </c>
      <c r="Q52" s="3">
        <v>6.63</v>
      </c>
      <c r="R52" s="3">
        <v>0.10454708605730699</v>
      </c>
      <c r="S52" s="3">
        <v>168123072</v>
      </c>
      <c r="T52" s="3">
        <v>0</v>
      </c>
    </row>
    <row r="53" spans="2:20" x14ac:dyDescent="0.2">
      <c r="B53">
        <v>30070</v>
      </c>
      <c r="C53" s="6">
        <v>2.0242000000000001E-9</v>
      </c>
      <c r="D53" s="1" t="s">
        <v>76</v>
      </c>
      <c r="E53" s="3">
        <v>7.2582480000000003E+24</v>
      </c>
      <c r="F53" s="7">
        <v>9.5497864024478805E-26</v>
      </c>
      <c r="G53" s="7">
        <v>0</v>
      </c>
      <c r="H53" s="7">
        <v>0</v>
      </c>
      <c r="I53" s="3">
        <f t="shared" si="0"/>
        <v>0</v>
      </c>
      <c r="L53" s="1">
        <v>29073</v>
      </c>
      <c r="M53" s="3">
        <v>3.7691999999999998E-8</v>
      </c>
      <c r="N53" s="1" t="s">
        <v>65</v>
      </c>
      <c r="O53" s="1">
        <v>44</v>
      </c>
      <c r="P53" s="1">
        <v>29</v>
      </c>
      <c r="Q53" s="3">
        <v>4.2</v>
      </c>
      <c r="R53" s="3">
        <v>0.16503504299046315</v>
      </c>
      <c r="S53" s="3">
        <v>470396160</v>
      </c>
      <c r="T53" s="3">
        <v>0</v>
      </c>
    </row>
    <row r="54" spans="2:20" x14ac:dyDescent="0.2">
      <c r="B54">
        <v>30071</v>
      </c>
      <c r="C54" s="6">
        <v>7.4686000000000005E-9</v>
      </c>
      <c r="D54" s="1" t="s">
        <v>77</v>
      </c>
      <c r="E54" s="3">
        <v>147</v>
      </c>
      <c r="F54" s="7">
        <v>4.7152869425846622E-3</v>
      </c>
      <c r="G54" s="7">
        <v>93208128</v>
      </c>
      <c r="H54" s="7">
        <v>0</v>
      </c>
      <c r="I54" s="3">
        <f t="shared" si="0"/>
        <v>107.87977777777778</v>
      </c>
      <c r="L54" s="1">
        <v>30057</v>
      </c>
      <c r="M54" s="3">
        <v>5.07446E-8</v>
      </c>
      <c r="N54" s="1" t="s">
        <v>66</v>
      </c>
      <c r="O54" s="1">
        <v>27</v>
      </c>
      <c r="P54" s="1">
        <v>30</v>
      </c>
      <c r="Q54" s="3">
        <v>3.7999999999999999E-2</v>
      </c>
      <c r="R54" s="3">
        <v>18.240715277893297</v>
      </c>
      <c r="S54" s="3">
        <v>633292608</v>
      </c>
      <c r="T54" s="3">
        <v>0</v>
      </c>
    </row>
    <row r="55" spans="2:20" x14ac:dyDescent="0.2">
      <c r="B55">
        <v>30072</v>
      </c>
      <c r="C55" s="6">
        <v>1.9055399999999999E-8</v>
      </c>
      <c r="D55" s="1" t="s">
        <v>78</v>
      </c>
      <c r="E55" s="3">
        <v>167400</v>
      </c>
      <c r="F55" s="7">
        <v>4.1406641610510472E-6</v>
      </c>
      <c r="G55" s="7">
        <v>231165864.62124732</v>
      </c>
      <c r="H55" s="7">
        <v>4.5056430095415228E-49</v>
      </c>
      <c r="I55" s="3">
        <f t="shared" si="0"/>
        <v>267.55308405236957</v>
      </c>
      <c r="L55" s="1">
        <v>30058</v>
      </c>
      <c r="M55" s="3">
        <v>9.4230000000000004E-8</v>
      </c>
      <c r="N55" s="1" t="s">
        <v>67</v>
      </c>
      <c r="O55" s="1">
        <v>28</v>
      </c>
      <c r="P55" s="1">
        <v>30</v>
      </c>
      <c r="Q55" s="3">
        <v>8.5999999999999993E-2</v>
      </c>
      <c r="R55" s="3">
        <v>8.0598509367435511</v>
      </c>
      <c r="S55" s="3">
        <v>1175990400</v>
      </c>
      <c r="T55" s="3">
        <v>0</v>
      </c>
    </row>
    <row r="56" spans="2:20" x14ac:dyDescent="0.2">
      <c r="B56">
        <v>30073</v>
      </c>
      <c r="C56" s="6">
        <v>3.7133599999999998E-8</v>
      </c>
      <c r="D56" s="1" t="s">
        <v>79</v>
      </c>
      <c r="E56" s="3">
        <v>23.5</v>
      </c>
      <c r="F56" s="7">
        <v>2.9495624704678522E-2</v>
      </c>
      <c r="G56" s="7">
        <v>463427328</v>
      </c>
      <c r="H56" s="7">
        <v>0</v>
      </c>
      <c r="I56" s="3">
        <f t="shared" si="0"/>
        <v>536.37422222222222</v>
      </c>
      <c r="L56" s="1">
        <v>30059</v>
      </c>
      <c r="M56" s="3">
        <v>6.4913999999999995E-8</v>
      </c>
      <c r="N56" s="1" t="s">
        <v>68</v>
      </c>
      <c r="O56" s="1">
        <v>29</v>
      </c>
      <c r="P56" s="1">
        <v>30</v>
      </c>
      <c r="Q56" s="3">
        <v>0.182</v>
      </c>
      <c r="R56" s="3">
        <v>3.8085009920876116</v>
      </c>
      <c r="S56" s="3">
        <v>810126719.99999988</v>
      </c>
      <c r="T56" s="3">
        <v>0</v>
      </c>
    </row>
    <row r="57" spans="2:20" x14ac:dyDescent="0.2">
      <c r="B57">
        <v>30074</v>
      </c>
      <c r="C57" s="6">
        <v>9.1856800000000002E-8</v>
      </c>
      <c r="D57" s="1" t="s">
        <v>80</v>
      </c>
      <c r="E57" s="3">
        <v>95.6</v>
      </c>
      <c r="F57" s="7">
        <v>7.2504935205015206E-3</v>
      </c>
      <c r="G57" s="7">
        <v>1146372864</v>
      </c>
      <c r="H57" s="7">
        <v>0</v>
      </c>
      <c r="I57" s="3">
        <f t="shared" si="0"/>
        <v>1326.8204444444445</v>
      </c>
      <c r="L57" s="1">
        <v>30060</v>
      </c>
      <c r="M57" s="3">
        <v>8.3341200000000003E-8</v>
      </c>
      <c r="N57" s="1" t="s">
        <v>69</v>
      </c>
      <c r="O57" s="1">
        <v>30</v>
      </c>
      <c r="P57" s="1">
        <v>30</v>
      </c>
      <c r="Q57" s="3">
        <v>142.79999999999899</v>
      </c>
      <c r="R57" s="3">
        <v>4.8539718526607158E-3</v>
      </c>
      <c r="S57" s="3">
        <v>1040098176</v>
      </c>
      <c r="T57" s="3">
        <v>0</v>
      </c>
    </row>
    <row r="58" spans="2:20" x14ac:dyDescent="0.2">
      <c r="B58">
        <v>30075</v>
      </c>
      <c r="C58" s="6">
        <v>1.16845E-7</v>
      </c>
      <c r="D58" s="1" t="s">
        <v>81</v>
      </c>
      <c r="E58" s="3">
        <v>10.199999999999999</v>
      </c>
      <c r="F58" s="7">
        <v>6.7955605937249544E-2</v>
      </c>
      <c r="G58" s="7">
        <v>1458225600</v>
      </c>
      <c r="H58" s="7">
        <v>0</v>
      </c>
      <c r="I58" s="3">
        <f t="shared" si="0"/>
        <v>1687.7611111111112</v>
      </c>
      <c r="L58" s="1">
        <v>30061</v>
      </c>
      <c r="M58" s="3">
        <v>3.6505399999999997E-8</v>
      </c>
      <c r="N58" s="1" t="s">
        <v>70</v>
      </c>
      <c r="O58" s="1">
        <v>31</v>
      </c>
      <c r="P58" s="1">
        <v>30</v>
      </c>
      <c r="Q58" s="3">
        <v>89.1</v>
      </c>
      <c r="R58" s="3">
        <v>7.7794296359140888E-3</v>
      </c>
      <c r="S58" s="3">
        <v>455587391.99999994</v>
      </c>
      <c r="T58" s="3">
        <v>0</v>
      </c>
    </row>
    <row r="59" spans="2:20" x14ac:dyDescent="0.2">
      <c r="B59">
        <v>30076</v>
      </c>
      <c r="C59" s="6">
        <v>2.11354E-7</v>
      </c>
      <c r="D59" s="1" t="s">
        <v>82</v>
      </c>
      <c r="E59" s="3">
        <v>5.7</v>
      </c>
      <c r="F59" s="7">
        <v>0.12160476851928864</v>
      </c>
      <c r="G59" s="7">
        <v>2637697920</v>
      </c>
      <c r="H59" s="7">
        <v>0</v>
      </c>
      <c r="I59" s="3">
        <f t="shared" si="0"/>
        <v>3052.8911111111111</v>
      </c>
      <c r="L59" s="1">
        <v>30062</v>
      </c>
      <c r="M59" s="3">
        <v>2.8827399999999999E-8</v>
      </c>
      <c r="N59" s="1" t="s">
        <v>71</v>
      </c>
      <c r="O59" s="1">
        <v>32</v>
      </c>
      <c r="P59" s="1">
        <v>30</v>
      </c>
      <c r="Q59" s="3">
        <v>33069.599999999999</v>
      </c>
      <c r="R59" s="3">
        <v>2.0960252938044166E-5</v>
      </c>
      <c r="S59" s="3">
        <v>359765947.08984405</v>
      </c>
      <c r="T59" s="3">
        <v>3.0638384404713986E-279</v>
      </c>
    </row>
    <row r="60" spans="2:20" x14ac:dyDescent="0.2">
      <c r="B60">
        <v>30077</v>
      </c>
      <c r="C60" s="6">
        <v>1.40158E-7</v>
      </c>
      <c r="D60" s="1" t="s">
        <v>83</v>
      </c>
      <c r="E60" s="3">
        <v>2.08</v>
      </c>
      <c r="F60" s="7">
        <v>0.33324383680766601</v>
      </c>
      <c r="G60" s="7">
        <v>1749171840</v>
      </c>
      <c r="H60" s="7">
        <v>0</v>
      </c>
      <c r="I60" s="3">
        <f t="shared" si="0"/>
        <v>2024.5044444444445</v>
      </c>
      <c r="L60" s="1">
        <v>30063</v>
      </c>
      <c r="M60" s="3">
        <v>8.3061999999999993E-9</v>
      </c>
      <c r="N60" s="1" t="s">
        <v>72</v>
      </c>
      <c r="O60" s="1">
        <v>33</v>
      </c>
      <c r="P60" s="1">
        <v>30</v>
      </c>
      <c r="Q60" s="3">
        <v>2308.1999999999998</v>
      </c>
      <c r="R60" s="3">
        <v>3.002977127458389E-4</v>
      </c>
      <c r="S60" s="3">
        <v>103661375.99999999</v>
      </c>
      <c r="T60" s="3">
        <v>0</v>
      </c>
    </row>
    <row r="61" spans="2:20" x14ac:dyDescent="0.2">
      <c r="B61">
        <v>30078</v>
      </c>
      <c r="C61" s="6">
        <v>1.3652899999999999E-7</v>
      </c>
      <c r="D61" s="1" t="s">
        <v>84</v>
      </c>
      <c r="E61" s="3">
        <v>1.47</v>
      </c>
      <c r="F61" s="7">
        <v>0.47152869425846616</v>
      </c>
      <c r="G61" s="7">
        <v>1703881920</v>
      </c>
      <c r="H61" s="7">
        <v>0</v>
      </c>
      <c r="I61" s="3">
        <f t="shared" si="0"/>
        <v>1972.0855555555556</v>
      </c>
      <c r="L61" s="1">
        <v>30064</v>
      </c>
      <c r="M61" s="3">
        <v>4.5370000000000004E-9</v>
      </c>
      <c r="N61" s="1" t="s">
        <v>73</v>
      </c>
      <c r="O61" s="1">
        <v>34</v>
      </c>
      <c r="P61" s="1">
        <v>30</v>
      </c>
      <c r="Q61" s="3">
        <v>2.209032E+28</v>
      </c>
      <c r="R61" s="3">
        <v>3.1377869608043038E-29</v>
      </c>
      <c r="S61" s="3">
        <v>0</v>
      </c>
      <c r="T61" s="3">
        <v>0</v>
      </c>
    </row>
    <row r="62" spans="2:20" x14ac:dyDescent="0.2">
      <c r="B62">
        <v>31062</v>
      </c>
      <c r="C62" s="6">
        <v>5.3466800000000001E-8</v>
      </c>
      <c r="D62" s="1" t="s">
        <v>85</v>
      </c>
      <c r="E62" s="3">
        <v>0.116121</v>
      </c>
      <c r="F62" s="7">
        <v>5.9691802564561556</v>
      </c>
      <c r="G62" s="7">
        <v>667265664</v>
      </c>
      <c r="H62" s="7">
        <v>0</v>
      </c>
      <c r="I62" s="3">
        <f t="shared" si="0"/>
        <v>772.29822222222219</v>
      </c>
      <c r="L62" s="1">
        <v>30065</v>
      </c>
      <c r="M62" s="3">
        <v>4.1879999999999999E-10</v>
      </c>
      <c r="N62" s="1" t="s">
        <v>74</v>
      </c>
      <c r="O62" s="1">
        <v>35</v>
      </c>
      <c r="P62" s="1">
        <v>30</v>
      </c>
      <c r="Q62" s="3">
        <v>21075552</v>
      </c>
      <c r="R62" s="3">
        <v>3.2888684507999854E-8</v>
      </c>
      <c r="S62" s="3">
        <v>146428.52825221032</v>
      </c>
      <c r="T62" s="3">
        <v>51902.133281137569</v>
      </c>
    </row>
    <row r="63" spans="2:20" x14ac:dyDescent="0.2">
      <c r="B63">
        <v>31063</v>
      </c>
      <c r="C63" s="6">
        <v>3.07818E-8</v>
      </c>
      <c r="D63" s="1" t="s">
        <v>86</v>
      </c>
      <c r="E63" s="3">
        <v>32.4</v>
      </c>
      <c r="F63" s="7">
        <v>2.1393431498763743E-2</v>
      </c>
      <c r="G63" s="7">
        <v>384156864</v>
      </c>
      <c r="H63" s="7">
        <v>0</v>
      </c>
      <c r="I63" s="3">
        <f t="shared" si="0"/>
        <v>444.62599999999998</v>
      </c>
      <c r="L63" s="1">
        <v>30070</v>
      </c>
      <c r="M63" s="3">
        <v>1.3959999999999999E-10</v>
      </c>
      <c r="N63" s="1" t="s">
        <v>76</v>
      </c>
      <c r="O63" s="1">
        <v>40</v>
      </c>
      <c r="P63" s="1">
        <v>30</v>
      </c>
      <c r="Q63" s="3">
        <v>7.2582480000000003E+24</v>
      </c>
      <c r="R63" s="3">
        <v>9.5497864024478805E-26</v>
      </c>
      <c r="S63" s="3">
        <v>0</v>
      </c>
      <c r="T63" s="3">
        <v>0</v>
      </c>
    </row>
    <row r="64" spans="2:20" x14ac:dyDescent="0.2">
      <c r="B64">
        <v>31064</v>
      </c>
      <c r="C64" s="6">
        <v>3.6296E-9</v>
      </c>
      <c r="D64" s="1" t="s">
        <v>87</v>
      </c>
      <c r="E64" s="3">
        <v>157.61999999999901</v>
      </c>
      <c r="F64" s="7">
        <v>4.3975839396012536E-3</v>
      </c>
      <c r="G64" s="7">
        <v>45297408</v>
      </c>
      <c r="H64" s="7">
        <v>0</v>
      </c>
      <c r="I64" s="3">
        <f t="shared" si="0"/>
        <v>52.42755555555555</v>
      </c>
      <c r="L64" s="1">
        <v>30071</v>
      </c>
      <c r="M64" s="3">
        <v>4.1879999999999999E-10</v>
      </c>
      <c r="N64" s="1" t="s">
        <v>77</v>
      </c>
      <c r="O64" s="1">
        <v>41</v>
      </c>
      <c r="P64" s="1">
        <v>30</v>
      </c>
      <c r="Q64" s="3">
        <v>147</v>
      </c>
      <c r="R64" s="3">
        <v>4.7152869425846622E-3</v>
      </c>
      <c r="S64" s="3">
        <v>5226624</v>
      </c>
      <c r="T64" s="3">
        <v>0</v>
      </c>
    </row>
    <row r="65" spans="2:20" x14ac:dyDescent="0.2">
      <c r="B65">
        <v>31065</v>
      </c>
      <c r="C65" s="6">
        <v>3.7691999999999998E-9</v>
      </c>
      <c r="D65" s="1" t="s">
        <v>88</v>
      </c>
      <c r="E65" s="3">
        <v>912</v>
      </c>
      <c r="F65" s="7">
        <v>7.6002980324555401E-4</v>
      </c>
      <c r="G65" s="7">
        <v>47039616</v>
      </c>
      <c r="H65" s="7">
        <v>0</v>
      </c>
      <c r="I65" s="3">
        <f t="shared" si="0"/>
        <v>54.443999999999996</v>
      </c>
      <c r="L65" s="1">
        <v>30072</v>
      </c>
      <c r="M65" s="3">
        <v>4.8859999999999999E-9</v>
      </c>
      <c r="N65" s="1" t="s">
        <v>78</v>
      </c>
      <c r="O65" s="1">
        <v>42</v>
      </c>
      <c r="P65" s="1">
        <v>30</v>
      </c>
      <c r="Q65" s="3">
        <v>167400</v>
      </c>
      <c r="R65" s="3">
        <v>4.1406641610510472E-6</v>
      </c>
      <c r="S65" s="3">
        <v>59273298.620832644</v>
      </c>
      <c r="T65" s="3">
        <v>1.1552930793696212E-49</v>
      </c>
    </row>
    <row r="66" spans="2:20" x14ac:dyDescent="0.2">
      <c r="B66">
        <v>31066</v>
      </c>
      <c r="C66" s="6">
        <v>6.9799999999999997E-10</v>
      </c>
      <c r="D66" s="1" t="s">
        <v>89</v>
      </c>
      <c r="E66" s="3">
        <v>34164</v>
      </c>
      <c r="F66" s="7">
        <v>2.0288818070481948E-5</v>
      </c>
      <c r="G66" s="7">
        <v>8711039.7876325101</v>
      </c>
      <c r="H66" s="7">
        <v>1.1647369307159202E-271</v>
      </c>
      <c r="I66" s="3">
        <f t="shared" si="0"/>
        <v>10.082221976426515</v>
      </c>
      <c r="L66" s="1">
        <v>30073</v>
      </c>
      <c r="M66" s="3">
        <v>1.06096E-8</v>
      </c>
      <c r="N66" s="1" t="s">
        <v>79</v>
      </c>
      <c r="O66" s="1">
        <v>43</v>
      </c>
      <c r="P66" s="1">
        <v>30</v>
      </c>
      <c r="Q66" s="3">
        <v>23.5</v>
      </c>
      <c r="R66" s="3">
        <v>2.9495624704678522E-2</v>
      </c>
      <c r="S66" s="3">
        <v>132407808</v>
      </c>
      <c r="T66" s="3">
        <v>0</v>
      </c>
    </row>
    <row r="67" spans="2:20" x14ac:dyDescent="0.2">
      <c r="B67">
        <v>31067</v>
      </c>
      <c r="C67" s="6">
        <v>2.094E-10</v>
      </c>
      <c r="D67" s="1" t="s">
        <v>90</v>
      </c>
      <c r="E67" s="3">
        <v>281810.88</v>
      </c>
      <c r="F67" s="7">
        <v>2.4596182395794844E-6</v>
      </c>
      <c r="G67" s="7">
        <v>2301230.7712816224</v>
      </c>
      <c r="H67" s="7">
        <v>4.7342175090348671E-28</v>
      </c>
      <c r="I67" s="3">
        <f t="shared" si="0"/>
        <v>2.6634615408352111</v>
      </c>
      <c r="L67" s="1">
        <v>30074</v>
      </c>
      <c r="M67" s="3">
        <v>5.2070799999999999E-8</v>
      </c>
      <c r="N67" s="1" t="s">
        <v>80</v>
      </c>
      <c r="O67" s="1">
        <v>44</v>
      </c>
      <c r="P67" s="1">
        <v>30</v>
      </c>
      <c r="Q67" s="3">
        <v>95.6</v>
      </c>
      <c r="R67" s="3">
        <v>7.2504935205015206E-3</v>
      </c>
      <c r="S67" s="3">
        <v>649843584</v>
      </c>
      <c r="T67" s="3">
        <v>0</v>
      </c>
    </row>
    <row r="68" spans="2:20" x14ac:dyDescent="0.2">
      <c r="B68">
        <v>31072</v>
      </c>
      <c r="C68" s="6">
        <v>1.6054000000000001E-9</v>
      </c>
      <c r="D68" s="1" t="s">
        <v>91</v>
      </c>
      <c r="E68" s="3">
        <v>50760</v>
      </c>
      <c r="F68" s="7">
        <v>1.3655381807721538E-5</v>
      </c>
      <c r="G68" s="7">
        <v>20035241.379867893</v>
      </c>
      <c r="H68" s="7">
        <v>1.9006565906678181E-180</v>
      </c>
      <c r="I68" s="3">
        <f t="shared" ref="I68:I131" si="1">G68/10/24/3600</f>
        <v>23.188936782254505</v>
      </c>
      <c r="L68" s="1">
        <v>30075</v>
      </c>
      <c r="M68" s="3">
        <v>6.7287199999999997E-8</v>
      </c>
      <c r="N68" s="1" t="s">
        <v>81</v>
      </c>
      <c r="O68" s="1">
        <v>45</v>
      </c>
      <c r="P68" s="1">
        <v>30</v>
      </c>
      <c r="Q68" s="3">
        <v>10.199999999999999</v>
      </c>
      <c r="R68" s="3">
        <v>6.7955605937249544E-2</v>
      </c>
      <c r="S68" s="3">
        <v>839744256</v>
      </c>
      <c r="T68" s="3">
        <v>0</v>
      </c>
    </row>
    <row r="69" spans="2:20" x14ac:dyDescent="0.2">
      <c r="B69">
        <v>31073</v>
      </c>
      <c r="C69" s="6">
        <v>6.2819999999999996E-9</v>
      </c>
      <c r="D69" s="1" t="s">
        <v>92</v>
      </c>
      <c r="E69" s="3">
        <v>17496</v>
      </c>
      <c r="F69" s="7">
        <v>3.9617465738451376E-5</v>
      </c>
      <c r="G69" s="7">
        <v>78399359.999999896</v>
      </c>
      <c r="H69" s="7">
        <v>0</v>
      </c>
      <c r="I69" s="3">
        <f t="shared" si="1"/>
        <v>90.739999999999881</v>
      </c>
      <c r="L69" s="1">
        <v>30076</v>
      </c>
      <c r="M69" s="3">
        <v>2.0088399999999999E-7</v>
      </c>
      <c r="N69" s="1" t="s">
        <v>82</v>
      </c>
      <c r="O69" s="1">
        <v>46</v>
      </c>
      <c r="P69" s="1">
        <v>30</v>
      </c>
      <c r="Q69" s="3">
        <v>5.7</v>
      </c>
      <c r="R69" s="3">
        <v>0.12160476851928864</v>
      </c>
      <c r="S69" s="3">
        <v>2507032320</v>
      </c>
      <c r="T69" s="3">
        <v>0</v>
      </c>
    </row>
    <row r="70" spans="2:20" x14ac:dyDescent="0.2">
      <c r="B70">
        <v>31074</v>
      </c>
      <c r="C70" s="6">
        <v>1.7310399999999999E-8</v>
      </c>
      <c r="D70" s="1" t="s">
        <v>93</v>
      </c>
      <c r="E70" s="3">
        <v>487.19999999999902</v>
      </c>
      <c r="F70" s="7">
        <v>1.4227158878488233E-3</v>
      </c>
      <c r="G70" s="7">
        <v>216033792</v>
      </c>
      <c r="H70" s="7">
        <v>0</v>
      </c>
      <c r="I70" s="3">
        <f t="shared" si="1"/>
        <v>250.03911111111108</v>
      </c>
      <c r="L70" s="1">
        <v>30077</v>
      </c>
      <c r="M70" s="3">
        <v>1.9606800000000001E-7</v>
      </c>
      <c r="N70" s="1" t="s">
        <v>83</v>
      </c>
      <c r="O70" s="1">
        <v>47</v>
      </c>
      <c r="P70" s="1">
        <v>30</v>
      </c>
      <c r="Q70" s="3">
        <v>2.08</v>
      </c>
      <c r="R70" s="3">
        <v>0.33324383680766601</v>
      </c>
      <c r="S70" s="3">
        <v>2446928640</v>
      </c>
      <c r="T70" s="3">
        <v>0</v>
      </c>
    </row>
    <row r="71" spans="2:20" x14ac:dyDescent="0.2">
      <c r="B71">
        <v>31075</v>
      </c>
      <c r="C71" s="6">
        <v>5.2838599999999999E-8</v>
      </c>
      <c r="D71" s="1" t="s">
        <v>94</v>
      </c>
      <c r="E71" s="3">
        <v>126</v>
      </c>
      <c r="F71" s="7">
        <v>5.5011680996821053E-3</v>
      </c>
      <c r="G71" s="7">
        <v>659425728</v>
      </c>
      <c r="H71" s="7">
        <v>0</v>
      </c>
      <c r="I71" s="3">
        <f t="shared" si="1"/>
        <v>763.22422222222212</v>
      </c>
      <c r="L71" s="1">
        <v>30078</v>
      </c>
      <c r="M71" s="3">
        <v>3.26106E-7</v>
      </c>
      <c r="N71" s="1" t="s">
        <v>84</v>
      </c>
      <c r="O71" s="1">
        <v>48</v>
      </c>
      <c r="P71" s="1">
        <v>30</v>
      </c>
      <c r="Q71" s="3">
        <v>1.47</v>
      </c>
      <c r="R71" s="3">
        <v>0.47152869425846616</v>
      </c>
      <c r="S71" s="3">
        <v>4069802880</v>
      </c>
      <c r="T71" s="3">
        <v>0</v>
      </c>
    </row>
    <row r="72" spans="2:20" x14ac:dyDescent="0.2">
      <c r="B72">
        <v>31076</v>
      </c>
      <c r="C72" s="6">
        <v>1.10354E-7</v>
      </c>
      <c r="D72" s="1" t="s">
        <v>95</v>
      </c>
      <c r="E72" s="3">
        <v>32.6</v>
      </c>
      <c r="F72" s="7">
        <v>2.1262183452759056E-2</v>
      </c>
      <c r="G72" s="7">
        <v>1377217920</v>
      </c>
      <c r="H72" s="7">
        <v>0</v>
      </c>
      <c r="I72" s="3">
        <f t="shared" si="1"/>
        <v>1594.0022222222221</v>
      </c>
      <c r="L72" s="1">
        <v>31062</v>
      </c>
      <c r="M72" s="3">
        <v>2.3850700000000001E-7</v>
      </c>
      <c r="N72" s="1" t="s">
        <v>85</v>
      </c>
      <c r="O72" s="1">
        <v>31</v>
      </c>
      <c r="P72" s="1">
        <v>31</v>
      </c>
      <c r="Q72" s="3">
        <v>0.116121</v>
      </c>
      <c r="R72" s="3">
        <v>5.9691802564561556</v>
      </c>
      <c r="S72" s="3">
        <v>2976567360</v>
      </c>
      <c r="T72" s="3">
        <v>0</v>
      </c>
    </row>
    <row r="73" spans="2:20" x14ac:dyDescent="0.2">
      <c r="B73">
        <v>31077</v>
      </c>
      <c r="C73" s="6">
        <v>2.8520300000000002E-7</v>
      </c>
      <c r="D73" s="1" t="s">
        <v>96</v>
      </c>
      <c r="E73" s="3">
        <v>13.2</v>
      </c>
      <c r="F73" s="7">
        <v>5.2511150042420102E-2</v>
      </c>
      <c r="G73" s="7">
        <v>3559333440</v>
      </c>
      <c r="H73" s="7">
        <v>0</v>
      </c>
      <c r="I73" s="3">
        <f t="shared" si="1"/>
        <v>4119.5988888888887</v>
      </c>
      <c r="L73" s="1">
        <v>31063</v>
      </c>
      <c r="M73" s="3">
        <v>2.8429499999999999E-7</v>
      </c>
      <c r="N73" s="1" t="s">
        <v>86</v>
      </c>
      <c r="O73" s="1">
        <v>32</v>
      </c>
      <c r="P73" s="1">
        <v>31</v>
      </c>
      <c r="Q73" s="3">
        <v>32.4</v>
      </c>
      <c r="R73" s="3">
        <v>2.1393431498763743E-2</v>
      </c>
      <c r="S73" s="3">
        <v>3548001600</v>
      </c>
      <c r="T73" s="3">
        <v>0</v>
      </c>
    </row>
    <row r="74" spans="2:20" x14ac:dyDescent="0.2">
      <c r="B74">
        <v>31078</v>
      </c>
      <c r="C74" s="6">
        <v>3.1842800000000002E-7</v>
      </c>
      <c r="D74" s="1" t="s">
        <v>97</v>
      </c>
      <c r="E74" s="3">
        <v>5.09</v>
      </c>
      <c r="F74" s="7">
        <v>0.13617822800784779</v>
      </c>
      <c r="G74" s="7">
        <v>3973981440.0000005</v>
      </c>
      <c r="H74" s="7">
        <v>0</v>
      </c>
      <c r="I74" s="3">
        <f t="shared" si="1"/>
        <v>4599.5155555555557</v>
      </c>
      <c r="L74" s="1">
        <v>31064</v>
      </c>
      <c r="M74" s="3">
        <v>1.6682200000000001E-8</v>
      </c>
      <c r="N74" s="1" t="s">
        <v>87</v>
      </c>
      <c r="O74" s="1">
        <v>33</v>
      </c>
      <c r="P74" s="1">
        <v>31</v>
      </c>
      <c r="Q74" s="3">
        <v>157.61999999999901</v>
      </c>
      <c r="R74" s="3">
        <v>4.3975839396012536E-3</v>
      </c>
      <c r="S74" s="3">
        <v>208193856</v>
      </c>
      <c r="T74" s="3">
        <v>0</v>
      </c>
    </row>
    <row r="75" spans="2:20" x14ac:dyDescent="0.2">
      <c r="B75">
        <v>31079</v>
      </c>
      <c r="C75" s="6">
        <v>5.0297900000000005E-7</v>
      </c>
      <c r="D75" s="1" t="s">
        <v>98</v>
      </c>
      <c r="E75" s="3">
        <v>2.847</v>
      </c>
      <c r="F75" s="7">
        <v>0.24346581684578339</v>
      </c>
      <c r="G75" s="7">
        <v>6277177920.000001</v>
      </c>
      <c r="H75" s="7">
        <v>0</v>
      </c>
      <c r="I75" s="3">
        <f t="shared" si="1"/>
        <v>7265.2522222222233</v>
      </c>
      <c r="L75" s="1">
        <v>31065</v>
      </c>
      <c r="M75" s="3">
        <v>5.84924E-8</v>
      </c>
      <c r="N75" s="1" t="s">
        <v>88</v>
      </c>
      <c r="O75" s="1">
        <v>34</v>
      </c>
      <c r="P75" s="1">
        <v>31</v>
      </c>
      <c r="Q75" s="3">
        <v>912</v>
      </c>
      <c r="R75" s="3">
        <v>7.6002980324555401E-4</v>
      </c>
      <c r="S75" s="3">
        <v>729985152</v>
      </c>
      <c r="T75" s="3">
        <v>0</v>
      </c>
    </row>
    <row r="76" spans="2:20" x14ac:dyDescent="0.2">
      <c r="B76">
        <v>31080</v>
      </c>
      <c r="C76" s="6">
        <v>2.8764600000000001E-7</v>
      </c>
      <c r="D76" s="1" t="s">
        <v>99</v>
      </c>
      <c r="E76" s="3">
        <v>1.9</v>
      </c>
      <c r="F76" s="7">
        <v>0.36481430555786598</v>
      </c>
      <c r="G76" s="7">
        <v>3589822080</v>
      </c>
      <c r="H76" s="7">
        <v>0</v>
      </c>
      <c r="I76" s="3">
        <f t="shared" si="1"/>
        <v>4154.8866666666663</v>
      </c>
      <c r="L76" s="1">
        <v>31066</v>
      </c>
      <c r="M76" s="3">
        <v>1.1796199999999999E-8</v>
      </c>
      <c r="N76" s="1" t="s">
        <v>89</v>
      </c>
      <c r="O76" s="1">
        <v>35</v>
      </c>
      <c r="P76" s="1">
        <v>31</v>
      </c>
      <c r="Q76" s="3">
        <v>34164</v>
      </c>
      <c r="R76" s="3">
        <v>2.0288818070481948E-5</v>
      </c>
      <c r="S76" s="3">
        <v>147216572.41098943</v>
      </c>
      <c r="T76" s="3">
        <v>1.9684054129099052E-270</v>
      </c>
    </row>
    <row r="77" spans="2:20" x14ac:dyDescent="0.2">
      <c r="B77">
        <v>31081</v>
      </c>
      <c r="C77" s="6">
        <v>2.4779000000000002E-7</v>
      </c>
      <c r="D77" s="1" t="s">
        <v>100</v>
      </c>
      <c r="E77" s="3">
        <v>1.2170000000000001</v>
      </c>
      <c r="F77" s="7">
        <v>0.56955396923578083</v>
      </c>
      <c r="G77" s="7">
        <v>3092419200.0000005</v>
      </c>
      <c r="H77" s="7">
        <v>0</v>
      </c>
      <c r="I77" s="3">
        <f t="shared" si="1"/>
        <v>3579.1888888888893</v>
      </c>
      <c r="L77" s="1">
        <v>31067</v>
      </c>
      <c r="M77" s="3">
        <v>6.7705999999999998E-9</v>
      </c>
      <c r="N77" s="1" t="s">
        <v>90</v>
      </c>
      <c r="O77" s="1">
        <v>36</v>
      </c>
      <c r="P77" s="1">
        <v>31</v>
      </c>
      <c r="Q77" s="3">
        <v>281810.88</v>
      </c>
      <c r="R77" s="3">
        <v>2.4596182395794844E-6</v>
      </c>
      <c r="S77" s="3">
        <v>74406461.604772449</v>
      </c>
      <c r="T77" s="3">
        <v>1.5307303279212735E-26</v>
      </c>
    </row>
    <row r="78" spans="2:20" x14ac:dyDescent="0.2">
      <c r="B78">
        <v>31082</v>
      </c>
      <c r="C78" s="6">
        <v>7.7129000000000002E-8</v>
      </c>
      <c r="D78" s="1" t="s">
        <v>101</v>
      </c>
      <c r="E78" s="3">
        <v>0.59899999999999998</v>
      </c>
      <c r="F78" s="7">
        <v>1.1571739241401424</v>
      </c>
      <c r="G78" s="7">
        <v>962569920</v>
      </c>
      <c r="H78" s="7">
        <v>0</v>
      </c>
      <c r="I78" s="3">
        <f t="shared" si="1"/>
        <v>1114.0855555555556</v>
      </c>
      <c r="L78" s="1">
        <v>31068</v>
      </c>
      <c r="M78" s="3">
        <v>5.5839999999999995E-10</v>
      </c>
      <c r="N78" s="1" t="s">
        <v>102</v>
      </c>
      <c r="O78" s="1">
        <v>37</v>
      </c>
      <c r="P78" s="1">
        <v>31</v>
      </c>
      <c r="Q78" s="3">
        <v>4062.5999999999899</v>
      </c>
      <c r="R78" s="3">
        <v>1.7061664465119555E-4</v>
      </c>
      <c r="S78" s="3">
        <v>6968831.9999999991</v>
      </c>
      <c r="T78" s="3">
        <v>0</v>
      </c>
    </row>
    <row r="79" spans="2:20" x14ac:dyDescent="0.2">
      <c r="B79">
        <v>31083</v>
      </c>
      <c r="C79" s="6">
        <v>3.9227599999999997E-8</v>
      </c>
      <c r="D79" s="1" t="s">
        <v>103</v>
      </c>
      <c r="E79" s="3">
        <v>0.30809999999999998</v>
      </c>
      <c r="F79" s="7">
        <v>2.2497474214863531</v>
      </c>
      <c r="G79" s="7">
        <v>489560447.99999994</v>
      </c>
      <c r="H79" s="7">
        <v>0</v>
      </c>
      <c r="I79" s="3">
        <f t="shared" si="1"/>
        <v>566.62088888888889</v>
      </c>
      <c r="L79" s="1">
        <v>31073</v>
      </c>
      <c r="M79" s="3">
        <v>1.2563999999999999E-9</v>
      </c>
      <c r="N79" s="1" t="s">
        <v>92</v>
      </c>
      <c r="O79" s="1">
        <v>42</v>
      </c>
      <c r="P79" s="1">
        <v>31</v>
      </c>
      <c r="Q79" s="3">
        <v>17496</v>
      </c>
      <c r="R79" s="3">
        <v>3.9617465738451376E-5</v>
      </c>
      <c r="S79" s="3">
        <v>15679871.999999978</v>
      </c>
      <c r="T79" s="3">
        <v>0</v>
      </c>
    </row>
    <row r="80" spans="2:20" x14ac:dyDescent="0.2">
      <c r="B80">
        <v>32061</v>
      </c>
      <c r="C80" s="6">
        <v>1.23546E-8</v>
      </c>
      <c r="D80" s="1" t="s">
        <v>104</v>
      </c>
      <c r="E80" s="3">
        <v>4.3999999999999997E-2</v>
      </c>
      <c r="F80" s="7">
        <v>15.753345012726029</v>
      </c>
      <c r="G80" s="7">
        <v>154185408</v>
      </c>
      <c r="H80" s="7">
        <v>0</v>
      </c>
      <c r="I80" s="3">
        <f t="shared" si="1"/>
        <v>178.45533333333336</v>
      </c>
      <c r="L80" s="1">
        <v>31074</v>
      </c>
      <c r="M80" s="3">
        <v>4.5370000000000004E-9</v>
      </c>
      <c r="N80" s="1" t="s">
        <v>93</v>
      </c>
      <c r="O80" s="1">
        <v>43</v>
      </c>
      <c r="P80" s="1">
        <v>31</v>
      </c>
      <c r="Q80" s="3">
        <v>487.19999999999902</v>
      </c>
      <c r="R80" s="3">
        <v>1.4227158878488233E-3</v>
      </c>
      <c r="S80" s="3">
        <v>56621760.000000007</v>
      </c>
      <c r="T80" s="3">
        <v>0</v>
      </c>
    </row>
    <row r="81" spans="2:20" x14ac:dyDescent="0.2">
      <c r="B81">
        <v>32062</v>
      </c>
      <c r="C81" s="6">
        <v>4.6068000000000003E-9</v>
      </c>
      <c r="D81" s="1" t="s">
        <v>105</v>
      </c>
      <c r="E81" s="3">
        <v>0.129</v>
      </c>
      <c r="F81" s="7">
        <v>5.3732339578290329</v>
      </c>
      <c r="G81" s="7">
        <v>57492864</v>
      </c>
      <c r="H81" s="7">
        <v>0</v>
      </c>
      <c r="I81" s="3">
        <f t="shared" si="1"/>
        <v>66.542666666666662</v>
      </c>
      <c r="L81" s="1">
        <v>31075</v>
      </c>
      <c r="M81" s="3">
        <v>3.0572399999999999E-8</v>
      </c>
      <c r="N81" s="1" t="s">
        <v>94</v>
      </c>
      <c r="O81" s="1">
        <v>44</v>
      </c>
      <c r="P81" s="1">
        <v>31</v>
      </c>
      <c r="Q81" s="3">
        <v>126</v>
      </c>
      <c r="R81" s="3">
        <v>5.5011680996821053E-3</v>
      </c>
      <c r="S81" s="3">
        <v>381543552</v>
      </c>
      <c r="T81" s="3">
        <v>0</v>
      </c>
    </row>
    <row r="82" spans="2:20" x14ac:dyDescent="0.2">
      <c r="B82">
        <v>32063</v>
      </c>
      <c r="C82" s="6">
        <v>6.9799999999999997E-10</v>
      </c>
      <c r="D82" s="1" t="s">
        <v>106</v>
      </c>
      <c r="E82" s="3">
        <v>0.15</v>
      </c>
      <c r="F82" s="7">
        <v>4.6209812037329687</v>
      </c>
      <c r="G82" s="7">
        <v>8711040</v>
      </c>
      <c r="H82" s="7">
        <v>0</v>
      </c>
      <c r="I82" s="3">
        <f t="shared" si="1"/>
        <v>10.082222222222223</v>
      </c>
      <c r="L82" s="1">
        <v>31076</v>
      </c>
      <c r="M82" s="3">
        <v>6.3308600000000006E-8</v>
      </c>
      <c r="N82" s="1" t="s">
        <v>95</v>
      </c>
      <c r="O82" s="1">
        <v>45</v>
      </c>
      <c r="P82" s="1">
        <v>31</v>
      </c>
      <c r="Q82" s="3">
        <v>32.6</v>
      </c>
      <c r="R82" s="3">
        <v>2.1262183452759056E-2</v>
      </c>
      <c r="S82" s="3">
        <v>790091328.00000012</v>
      </c>
      <c r="T82" s="3">
        <v>0</v>
      </c>
    </row>
    <row r="83" spans="2:20" x14ac:dyDescent="0.2">
      <c r="B83">
        <v>32064</v>
      </c>
      <c r="C83" s="6">
        <v>2.094E-10</v>
      </c>
      <c r="D83" s="1" t="s">
        <v>107</v>
      </c>
      <c r="E83" s="3">
        <v>63.7</v>
      </c>
      <c r="F83" s="7">
        <v>1.0881431405964604E-2</v>
      </c>
      <c r="G83" s="7">
        <v>2613312</v>
      </c>
      <c r="H83" s="7">
        <v>0</v>
      </c>
      <c r="I83" s="3">
        <f t="shared" si="1"/>
        <v>3.0246666666666671</v>
      </c>
      <c r="L83" s="1">
        <v>31077</v>
      </c>
      <c r="M83" s="3">
        <v>2.3041000000000001E-7</v>
      </c>
      <c r="N83" s="1" t="s">
        <v>96</v>
      </c>
      <c r="O83" s="1">
        <v>46</v>
      </c>
      <c r="P83" s="1">
        <v>31</v>
      </c>
      <c r="Q83" s="3">
        <v>13.2</v>
      </c>
      <c r="R83" s="3">
        <v>5.2511150042420102E-2</v>
      </c>
      <c r="S83" s="3">
        <v>2875516800</v>
      </c>
      <c r="T83" s="3">
        <v>0</v>
      </c>
    </row>
    <row r="84" spans="2:20" x14ac:dyDescent="0.2">
      <c r="B84">
        <v>32075</v>
      </c>
      <c r="C84" s="6">
        <v>2.8897200000000001E-8</v>
      </c>
      <c r="D84" s="1" t="s">
        <v>108</v>
      </c>
      <c r="E84" s="3">
        <v>4966.8</v>
      </c>
      <c r="F84" s="7">
        <v>1.3955608853989394E-4</v>
      </c>
      <c r="G84" s="7">
        <v>360637056</v>
      </c>
      <c r="H84" s="7">
        <v>0</v>
      </c>
      <c r="I84" s="3">
        <f t="shared" si="1"/>
        <v>417.40400000000005</v>
      </c>
      <c r="L84" s="1">
        <v>31078</v>
      </c>
      <c r="M84" s="3">
        <v>3.8452800000000001E-7</v>
      </c>
      <c r="N84" s="1" t="s">
        <v>97</v>
      </c>
      <c r="O84" s="1">
        <v>47</v>
      </c>
      <c r="P84" s="1">
        <v>31</v>
      </c>
      <c r="Q84" s="3">
        <v>5.09</v>
      </c>
      <c r="R84" s="3">
        <v>0.13617822800784779</v>
      </c>
      <c r="S84" s="3">
        <v>4798909440</v>
      </c>
      <c r="T84" s="3">
        <v>0</v>
      </c>
    </row>
    <row r="85" spans="2:20" x14ac:dyDescent="0.2">
      <c r="B85">
        <v>32077</v>
      </c>
      <c r="C85" s="6">
        <v>2.26012E-7</v>
      </c>
      <c r="D85" s="1" t="s">
        <v>109</v>
      </c>
      <c r="E85" s="3">
        <v>40680</v>
      </c>
      <c r="F85" s="7">
        <v>1.7039016237953423E-5</v>
      </c>
      <c r="G85" s="7">
        <v>2820628620.3049717</v>
      </c>
      <c r="H85" s="7">
        <v>1.2175861857951519E-224</v>
      </c>
      <c r="I85" s="3">
        <f t="shared" si="1"/>
        <v>3264.6164586863101</v>
      </c>
      <c r="L85" s="1">
        <v>31079</v>
      </c>
      <c r="M85" s="3">
        <v>7.8315600000000003E-7</v>
      </c>
      <c r="N85" s="1" t="s">
        <v>98</v>
      </c>
      <c r="O85" s="1">
        <v>48</v>
      </c>
      <c r="P85" s="1">
        <v>31</v>
      </c>
      <c r="Q85" s="3">
        <v>2.847</v>
      </c>
      <c r="R85" s="3">
        <v>0.24346581684578339</v>
      </c>
      <c r="S85" s="3">
        <v>9773786880</v>
      </c>
      <c r="T85" s="3">
        <v>0</v>
      </c>
    </row>
    <row r="86" spans="2:20" x14ac:dyDescent="0.2">
      <c r="B86">
        <v>32078</v>
      </c>
      <c r="C86" s="6">
        <v>5.51909E-7</v>
      </c>
      <c r="D86" s="1" t="s">
        <v>110</v>
      </c>
      <c r="E86" s="3">
        <v>5280</v>
      </c>
      <c r="F86" s="7">
        <v>1.3127787510605024E-4</v>
      </c>
      <c r="G86" s="7">
        <v>6887824320</v>
      </c>
      <c r="H86" s="7">
        <v>0</v>
      </c>
      <c r="I86" s="3">
        <f t="shared" si="1"/>
        <v>7972.0188888888888</v>
      </c>
      <c r="L86" s="1">
        <v>31080</v>
      </c>
      <c r="M86" s="3">
        <v>6.6798600000000004E-7</v>
      </c>
      <c r="N86" s="1" t="s">
        <v>99</v>
      </c>
      <c r="O86" s="1">
        <v>49</v>
      </c>
      <c r="P86" s="1">
        <v>31</v>
      </c>
      <c r="Q86" s="3">
        <v>1.9</v>
      </c>
      <c r="R86" s="3">
        <v>0.36481430555786598</v>
      </c>
      <c r="S86" s="3">
        <v>8336465280</v>
      </c>
      <c r="T86" s="3">
        <v>0</v>
      </c>
    </row>
    <row r="87" spans="2:20" x14ac:dyDescent="0.2">
      <c r="B87">
        <v>32079</v>
      </c>
      <c r="C87" s="6">
        <v>9.4229999999999996E-7</v>
      </c>
      <c r="D87" s="1" t="s">
        <v>111</v>
      </c>
      <c r="E87" s="3">
        <v>18.98</v>
      </c>
      <c r="F87" s="7">
        <v>3.651987252686751E-2</v>
      </c>
      <c r="G87" s="7">
        <v>11759904000</v>
      </c>
      <c r="H87" s="7">
        <v>0</v>
      </c>
      <c r="I87" s="3">
        <f t="shared" si="1"/>
        <v>13611</v>
      </c>
      <c r="L87" s="1">
        <v>31081</v>
      </c>
      <c r="M87" s="3">
        <v>1.12839E-6</v>
      </c>
      <c r="N87" s="1" t="s">
        <v>100</v>
      </c>
      <c r="O87" s="1">
        <v>50</v>
      </c>
      <c r="P87" s="1">
        <v>31</v>
      </c>
      <c r="Q87" s="3">
        <v>1.2170000000000001</v>
      </c>
      <c r="R87" s="3">
        <v>0.56955396923578083</v>
      </c>
      <c r="S87" s="3">
        <v>14082307200</v>
      </c>
      <c r="T87" s="3">
        <v>0</v>
      </c>
    </row>
    <row r="88" spans="2:20" x14ac:dyDescent="0.2">
      <c r="B88">
        <v>32080</v>
      </c>
      <c r="C88" s="6">
        <v>1.8628899999999999E-6</v>
      </c>
      <c r="D88" s="1" t="s">
        <v>112</v>
      </c>
      <c r="E88" s="3">
        <v>29.5</v>
      </c>
      <c r="F88" s="7">
        <v>2.3496514595252382E-2</v>
      </c>
      <c r="G88" s="7">
        <v>23248867200</v>
      </c>
      <c r="H88" s="7">
        <v>0</v>
      </c>
      <c r="I88" s="3">
        <f t="shared" si="1"/>
        <v>26908.411111111112</v>
      </c>
      <c r="L88" s="1">
        <v>31082</v>
      </c>
      <c r="M88" s="3">
        <v>4.8154999999999997E-7</v>
      </c>
      <c r="N88" s="1" t="s">
        <v>101</v>
      </c>
      <c r="O88" s="1">
        <v>51</v>
      </c>
      <c r="P88" s="1">
        <v>31</v>
      </c>
      <c r="Q88" s="3">
        <v>0.59899999999999998</v>
      </c>
      <c r="R88" s="3">
        <v>1.1571739241401424</v>
      </c>
      <c r="S88" s="3">
        <v>6009744000</v>
      </c>
      <c r="T88" s="3">
        <v>0</v>
      </c>
    </row>
    <row r="89" spans="2:20" x14ac:dyDescent="0.2">
      <c r="B89">
        <v>32081</v>
      </c>
      <c r="C89" s="6">
        <v>1.81906E-6</v>
      </c>
      <c r="D89" s="1" t="s">
        <v>113</v>
      </c>
      <c r="E89" s="3">
        <v>7.6</v>
      </c>
      <c r="F89" s="7">
        <v>9.1203576389466495E-2</v>
      </c>
      <c r="G89" s="7">
        <v>22701868800</v>
      </c>
      <c r="H89" s="7">
        <v>0</v>
      </c>
      <c r="I89" s="3">
        <f t="shared" si="1"/>
        <v>26275.31111111111</v>
      </c>
      <c r="L89" s="1">
        <v>31083</v>
      </c>
      <c r="M89" s="3">
        <v>3.66101E-7</v>
      </c>
      <c r="N89" s="1" t="s">
        <v>103</v>
      </c>
      <c r="O89" s="1">
        <v>52</v>
      </c>
      <c r="P89" s="1">
        <v>31</v>
      </c>
      <c r="Q89" s="3">
        <v>0.30809999999999998</v>
      </c>
      <c r="R89" s="3">
        <v>2.2497474214863531</v>
      </c>
      <c r="S89" s="3">
        <v>4568940480</v>
      </c>
      <c r="T89" s="3">
        <v>0</v>
      </c>
    </row>
    <row r="90" spans="2:20" x14ac:dyDescent="0.2">
      <c r="B90">
        <v>32082</v>
      </c>
      <c r="C90" s="6">
        <v>2.1452300000000002E-6</v>
      </c>
      <c r="D90" s="1" t="s">
        <v>114</v>
      </c>
      <c r="E90" s="3">
        <v>4.5599999999999996</v>
      </c>
      <c r="F90" s="7">
        <v>0.15200596064911082</v>
      </c>
      <c r="G90" s="7">
        <v>26772470400.000004</v>
      </c>
      <c r="H90" s="7">
        <v>0</v>
      </c>
      <c r="I90" s="3">
        <f t="shared" si="1"/>
        <v>30986.655555555561</v>
      </c>
      <c r="L90" s="1">
        <v>32061</v>
      </c>
      <c r="M90" s="3">
        <v>1.5363000000000001E-7</v>
      </c>
      <c r="N90" s="1" t="s">
        <v>104</v>
      </c>
      <c r="O90" s="1">
        <v>29</v>
      </c>
      <c r="P90" s="1">
        <v>32</v>
      </c>
      <c r="Q90" s="3">
        <v>4.3999999999999997E-2</v>
      </c>
      <c r="R90" s="3">
        <v>15.753345012726029</v>
      </c>
      <c r="S90" s="3">
        <v>1917302400</v>
      </c>
      <c r="T90" s="3">
        <v>0</v>
      </c>
    </row>
    <row r="91" spans="2:20" x14ac:dyDescent="0.2">
      <c r="B91">
        <v>32083</v>
      </c>
      <c r="C91" s="6">
        <v>9.9660400000000002E-7</v>
      </c>
      <c r="D91" s="1" t="s">
        <v>115</v>
      </c>
      <c r="E91" s="3">
        <v>1.85</v>
      </c>
      <c r="F91" s="7">
        <v>0.37467415165402446</v>
      </c>
      <c r="G91" s="7">
        <v>12437617920</v>
      </c>
      <c r="H91" s="7">
        <v>0</v>
      </c>
      <c r="I91" s="3">
        <f t="shared" si="1"/>
        <v>14395.391111111112</v>
      </c>
      <c r="L91" s="1">
        <v>32062</v>
      </c>
      <c r="M91" s="3">
        <v>9.2066199999999996E-8</v>
      </c>
      <c r="N91" s="1" t="s">
        <v>105</v>
      </c>
      <c r="O91" s="1">
        <v>30</v>
      </c>
      <c r="P91" s="1">
        <v>32</v>
      </c>
      <c r="Q91" s="3">
        <v>0.129</v>
      </c>
      <c r="R91" s="3">
        <v>5.3732339578290329</v>
      </c>
      <c r="S91" s="3">
        <v>1148986176</v>
      </c>
      <c r="T91" s="3">
        <v>0</v>
      </c>
    </row>
    <row r="92" spans="2:20" x14ac:dyDescent="0.2">
      <c r="B92">
        <v>32084</v>
      </c>
      <c r="C92" s="6">
        <v>5.6838100000000004E-7</v>
      </c>
      <c r="D92" s="1" t="s">
        <v>116</v>
      </c>
      <c r="E92" s="3">
        <v>0.95399999999999996</v>
      </c>
      <c r="F92" s="7">
        <v>0.72656937165612712</v>
      </c>
      <c r="G92" s="7">
        <v>7093394880.000001</v>
      </c>
      <c r="H92" s="7">
        <v>0</v>
      </c>
      <c r="I92" s="3">
        <f t="shared" si="1"/>
        <v>8209.9477777777793</v>
      </c>
      <c r="L92" s="1">
        <v>32063</v>
      </c>
      <c r="M92" s="3">
        <v>2.0242E-8</v>
      </c>
      <c r="N92" s="1" t="s">
        <v>106</v>
      </c>
      <c r="O92" s="1">
        <v>31</v>
      </c>
      <c r="P92" s="1">
        <v>32</v>
      </c>
      <c r="Q92" s="3">
        <v>0.15</v>
      </c>
      <c r="R92" s="3">
        <v>4.6209812037329687</v>
      </c>
      <c r="S92" s="3">
        <v>252620160</v>
      </c>
      <c r="T92" s="3">
        <v>0</v>
      </c>
    </row>
    <row r="93" spans="2:20" x14ac:dyDescent="0.2">
      <c r="B93">
        <v>33066</v>
      </c>
      <c r="C93" s="6">
        <v>1.54886E-7</v>
      </c>
      <c r="D93" s="1" t="s">
        <v>117</v>
      </c>
      <c r="E93" s="3">
        <v>9.5769999999999994E-2</v>
      </c>
      <c r="F93" s="7">
        <v>7.2376232699169396</v>
      </c>
      <c r="G93" s="7">
        <v>1932977280</v>
      </c>
      <c r="H93" s="7">
        <v>0</v>
      </c>
      <c r="I93" s="3">
        <f t="shared" si="1"/>
        <v>2237.2422222222222</v>
      </c>
      <c r="L93" s="1">
        <v>32064</v>
      </c>
      <c r="M93" s="3">
        <v>7.3987999999999997E-9</v>
      </c>
      <c r="N93" s="1" t="s">
        <v>107</v>
      </c>
      <c r="O93" s="1">
        <v>32</v>
      </c>
      <c r="P93" s="1">
        <v>32</v>
      </c>
      <c r="Q93" s="3">
        <v>63.7</v>
      </c>
      <c r="R93" s="3">
        <v>1.0881431405964604E-2</v>
      </c>
      <c r="S93" s="3">
        <v>92337024</v>
      </c>
      <c r="T93" s="3">
        <v>0</v>
      </c>
    </row>
    <row r="94" spans="2:20" x14ac:dyDescent="0.2">
      <c r="B94">
        <v>33067</v>
      </c>
      <c r="C94" s="6">
        <v>6.7356999999999999E-8</v>
      </c>
      <c r="D94" s="1" t="s">
        <v>118</v>
      </c>
      <c r="E94" s="3">
        <v>42.5</v>
      </c>
      <c r="F94" s="7">
        <v>1.6309345424939888E-2</v>
      </c>
      <c r="G94" s="7">
        <v>840615360</v>
      </c>
      <c r="H94" s="7">
        <v>0</v>
      </c>
      <c r="I94" s="3">
        <f t="shared" si="1"/>
        <v>972.93444444444447</v>
      </c>
      <c r="L94" s="1">
        <v>32065</v>
      </c>
      <c r="M94" s="3">
        <v>1.1167999999999999E-9</v>
      </c>
      <c r="N94" s="1" t="s">
        <v>119</v>
      </c>
      <c r="O94" s="1">
        <v>33</v>
      </c>
      <c r="P94" s="1">
        <v>32</v>
      </c>
      <c r="Q94" s="3">
        <v>30.9</v>
      </c>
      <c r="R94" s="3">
        <v>2.2431947590936741E-2</v>
      </c>
      <c r="S94" s="3">
        <v>13937663.999999998</v>
      </c>
      <c r="T94" s="3">
        <v>0</v>
      </c>
    </row>
    <row r="95" spans="2:20" x14ac:dyDescent="0.2">
      <c r="B95">
        <v>33068</v>
      </c>
      <c r="C95" s="6">
        <v>1.13774E-8</v>
      </c>
      <c r="D95" s="1" t="s">
        <v>120</v>
      </c>
      <c r="E95" s="3">
        <v>151.6</v>
      </c>
      <c r="F95" s="7">
        <v>4.5722109535616447E-3</v>
      </c>
      <c r="G95" s="7">
        <v>141989952</v>
      </c>
      <c r="H95" s="7">
        <v>0</v>
      </c>
      <c r="I95" s="3">
        <f t="shared" si="1"/>
        <v>164.3402222222222</v>
      </c>
      <c r="L95" s="1">
        <v>32066</v>
      </c>
      <c r="M95" s="3">
        <v>6.9799999999999994E-11</v>
      </c>
      <c r="N95" s="1" t="s">
        <v>121</v>
      </c>
      <c r="O95" s="1">
        <v>34</v>
      </c>
      <c r="P95" s="1">
        <v>32</v>
      </c>
      <c r="Q95" s="3">
        <v>8135.99999999999</v>
      </c>
      <c r="R95" s="3">
        <v>8.519508118976723E-5</v>
      </c>
      <c r="S95" s="3">
        <v>871103.99999999988</v>
      </c>
      <c r="T95" s="3">
        <v>0</v>
      </c>
    </row>
    <row r="96" spans="2:20" x14ac:dyDescent="0.2">
      <c r="B96">
        <v>33069</v>
      </c>
      <c r="C96" s="6">
        <v>5.3048000000000001E-9</v>
      </c>
      <c r="D96" s="1" t="s">
        <v>122</v>
      </c>
      <c r="E96" s="3">
        <v>912</v>
      </c>
      <c r="F96" s="7">
        <v>7.6002980324555401E-4</v>
      </c>
      <c r="G96" s="7">
        <v>66203904</v>
      </c>
      <c r="H96" s="7">
        <v>0</v>
      </c>
      <c r="I96" s="3">
        <f t="shared" si="1"/>
        <v>76.624888888888904</v>
      </c>
      <c r="L96" s="1">
        <v>32075</v>
      </c>
      <c r="M96" s="3">
        <v>1.3959999999999999E-9</v>
      </c>
      <c r="N96" s="1" t="s">
        <v>108</v>
      </c>
      <c r="O96" s="1">
        <v>43</v>
      </c>
      <c r="P96" s="1">
        <v>32</v>
      </c>
      <c r="Q96" s="3">
        <v>4966.8</v>
      </c>
      <c r="R96" s="3">
        <v>1.3955608853989394E-4</v>
      </c>
      <c r="S96" s="3">
        <v>17422080</v>
      </c>
      <c r="T96" s="3">
        <v>0</v>
      </c>
    </row>
    <row r="97" spans="2:20" x14ac:dyDescent="0.2">
      <c r="B97">
        <v>33070</v>
      </c>
      <c r="C97" s="6">
        <v>3.4899999999999998E-10</v>
      </c>
      <c r="D97" s="1" t="s">
        <v>123</v>
      </c>
      <c r="E97" s="3">
        <v>3156</v>
      </c>
      <c r="F97" s="7">
        <v>2.196283842078407E-4</v>
      </c>
      <c r="G97" s="7">
        <v>4355520</v>
      </c>
      <c r="H97" s="7">
        <v>0</v>
      </c>
      <c r="I97" s="3">
        <f t="shared" si="1"/>
        <v>5.0411111111111113</v>
      </c>
      <c r="L97" s="1">
        <v>32077</v>
      </c>
      <c r="M97" s="3">
        <v>3.4411399999999998E-8</v>
      </c>
      <c r="N97" s="1" t="s">
        <v>109</v>
      </c>
      <c r="O97" s="1">
        <v>45</v>
      </c>
      <c r="P97" s="1">
        <v>32</v>
      </c>
      <c r="Q97" s="3">
        <v>40680</v>
      </c>
      <c r="R97" s="3">
        <v>1.7039016237953423E-5</v>
      </c>
      <c r="S97" s="3">
        <v>429454098.47602123</v>
      </c>
      <c r="T97" s="3">
        <v>1.853832773209887E-225</v>
      </c>
    </row>
    <row r="98" spans="2:20" x14ac:dyDescent="0.2">
      <c r="B98">
        <v>33071</v>
      </c>
      <c r="C98" s="6">
        <v>2.094E-10</v>
      </c>
      <c r="D98" s="1" t="s">
        <v>124</v>
      </c>
      <c r="E98" s="3">
        <v>235080</v>
      </c>
      <c r="F98" s="7">
        <v>2.9485587058020475E-6</v>
      </c>
      <c r="G98" s="7">
        <v>2408760.6714047054</v>
      </c>
      <c r="H98" s="7">
        <v>9.9677395947906439E-35</v>
      </c>
      <c r="I98" s="3">
        <f t="shared" si="1"/>
        <v>2.7879174437554464</v>
      </c>
      <c r="L98" s="1">
        <v>32078</v>
      </c>
      <c r="M98" s="3">
        <v>2.0032599999999999E-7</v>
      </c>
      <c r="N98" s="1" t="s">
        <v>110</v>
      </c>
      <c r="O98" s="1">
        <v>46</v>
      </c>
      <c r="P98" s="1">
        <v>32</v>
      </c>
      <c r="Q98" s="3">
        <v>5280</v>
      </c>
      <c r="R98" s="3">
        <v>1.3127787510605024E-4</v>
      </c>
      <c r="S98" s="3">
        <v>2500068480</v>
      </c>
      <c r="T98" s="3">
        <v>0</v>
      </c>
    </row>
    <row r="99" spans="2:20" x14ac:dyDescent="0.2">
      <c r="B99">
        <v>33072</v>
      </c>
      <c r="C99" s="6">
        <v>6.9799999999999994E-11</v>
      </c>
      <c r="D99" s="1" t="s">
        <v>125</v>
      </c>
      <c r="E99" s="3">
        <v>93600</v>
      </c>
      <c r="F99" s="7">
        <v>7.4054185957259116E-6</v>
      </c>
      <c r="G99" s="7">
        <v>869654.12157802621</v>
      </c>
      <c r="H99" s="7">
        <v>3.2763793067633267E-96</v>
      </c>
      <c r="I99" s="3">
        <f t="shared" si="1"/>
        <v>1.0065441221967897</v>
      </c>
      <c r="L99" s="1">
        <v>32079</v>
      </c>
      <c r="M99" s="3">
        <v>3.5472399999999999E-7</v>
      </c>
      <c r="N99" s="1" t="s">
        <v>111</v>
      </c>
      <c r="O99" s="1">
        <v>47</v>
      </c>
      <c r="P99" s="1">
        <v>32</v>
      </c>
      <c r="Q99" s="3">
        <v>18.98</v>
      </c>
      <c r="R99" s="3">
        <v>3.651987252686751E-2</v>
      </c>
      <c r="S99" s="3">
        <v>4426955520</v>
      </c>
      <c r="T99" s="3">
        <v>0</v>
      </c>
    </row>
    <row r="100" spans="2:20" x14ac:dyDescent="0.2">
      <c r="B100">
        <v>33073</v>
      </c>
      <c r="C100" s="6">
        <v>6.9799999999999994E-11</v>
      </c>
      <c r="D100" s="1" t="s">
        <v>126</v>
      </c>
      <c r="E100" s="3">
        <v>6937920</v>
      </c>
      <c r="F100" s="7">
        <v>9.9907058680403535E-8</v>
      </c>
      <c r="G100" s="7">
        <v>72039.495529840118</v>
      </c>
      <c r="H100" s="7">
        <v>3084.981051189292</v>
      </c>
      <c r="I100" s="3">
        <f t="shared" si="1"/>
        <v>8.337904575212976E-2</v>
      </c>
      <c r="L100" s="1">
        <v>32080</v>
      </c>
      <c r="M100" s="3">
        <v>1.21026E-6</v>
      </c>
      <c r="N100" s="1" t="s">
        <v>112</v>
      </c>
      <c r="O100" s="1">
        <v>48</v>
      </c>
      <c r="P100" s="1">
        <v>32</v>
      </c>
      <c r="Q100" s="3">
        <v>29.5</v>
      </c>
      <c r="R100" s="3">
        <v>2.3496514595252382E-2</v>
      </c>
      <c r="S100" s="3">
        <v>15104044800</v>
      </c>
      <c r="T100" s="3">
        <v>0</v>
      </c>
    </row>
    <row r="101" spans="2:20" x14ac:dyDescent="0.2">
      <c r="B101">
        <v>33074</v>
      </c>
      <c r="C101" s="6">
        <v>2.7919999999999998E-10</v>
      </c>
      <c r="D101" s="1" t="s">
        <v>127</v>
      </c>
      <c r="E101" s="3">
        <v>1535328</v>
      </c>
      <c r="F101" s="7">
        <v>4.5146521170716959E-7</v>
      </c>
      <c r="G101" s="7">
        <v>1125423.7575426342</v>
      </c>
      <c r="H101" s="7">
        <v>0.73805515579183667</v>
      </c>
      <c r="I101" s="3">
        <f t="shared" si="1"/>
        <v>1.3025737934521229</v>
      </c>
      <c r="L101" s="1">
        <v>32081</v>
      </c>
      <c r="M101" s="3">
        <v>1.30372E-6</v>
      </c>
      <c r="N101" s="1" t="s">
        <v>113</v>
      </c>
      <c r="O101" s="1">
        <v>49</v>
      </c>
      <c r="P101" s="1">
        <v>32</v>
      </c>
      <c r="Q101" s="3">
        <v>7.6</v>
      </c>
      <c r="R101" s="3">
        <v>9.1203576389466495E-2</v>
      </c>
      <c r="S101" s="3">
        <v>16270425600</v>
      </c>
      <c r="T101" s="3">
        <v>0</v>
      </c>
    </row>
    <row r="102" spans="2:20" x14ac:dyDescent="0.2">
      <c r="B102">
        <v>33076</v>
      </c>
      <c r="C102" s="6">
        <v>6.4216000000000002E-9</v>
      </c>
      <c r="D102" s="1" t="s">
        <v>128</v>
      </c>
      <c r="E102" s="3">
        <v>94538.880000000005</v>
      </c>
      <c r="F102" s="7">
        <v>7.3318742570246785E-6</v>
      </c>
      <c r="G102" s="7">
        <v>79999428.26945588</v>
      </c>
      <c r="H102" s="7">
        <v>3.0647228001698036E-93</v>
      </c>
      <c r="I102" s="3">
        <f t="shared" si="1"/>
        <v>92.591930867425788</v>
      </c>
      <c r="L102" s="1">
        <v>32082</v>
      </c>
      <c r="M102" s="3">
        <v>2.9413699999999999E-6</v>
      </c>
      <c r="N102" s="1" t="s">
        <v>114</v>
      </c>
      <c r="O102" s="1">
        <v>50</v>
      </c>
      <c r="P102" s="1">
        <v>32</v>
      </c>
      <c r="Q102" s="3">
        <v>4.5599999999999996</v>
      </c>
      <c r="R102" s="3">
        <v>0.15200596064911082</v>
      </c>
      <c r="S102" s="3">
        <v>36708297600</v>
      </c>
      <c r="T102" s="3">
        <v>0</v>
      </c>
    </row>
    <row r="103" spans="2:20" x14ac:dyDescent="0.2">
      <c r="B103">
        <v>33077</v>
      </c>
      <c r="C103" s="6">
        <v>2.8687800000000001E-8</v>
      </c>
      <c r="D103" s="1" t="s">
        <v>129</v>
      </c>
      <c r="E103" s="3">
        <v>139788</v>
      </c>
      <c r="F103" s="7">
        <v>4.958559966234192E-6</v>
      </c>
      <c r="G103" s="7">
        <v>353088493.17465973</v>
      </c>
      <c r="H103" s="7">
        <v>4.3240296500495401E-60</v>
      </c>
      <c r="I103" s="3">
        <f t="shared" si="1"/>
        <v>408.66723747067101</v>
      </c>
      <c r="L103" s="1">
        <v>32083</v>
      </c>
      <c r="M103" s="3">
        <v>1.4849299999999999E-6</v>
      </c>
      <c r="N103" s="1" t="s">
        <v>115</v>
      </c>
      <c r="O103" s="1">
        <v>51</v>
      </c>
      <c r="P103" s="1">
        <v>32</v>
      </c>
      <c r="Q103" s="3">
        <v>1.85</v>
      </c>
      <c r="R103" s="3">
        <v>0.37467415165402446</v>
      </c>
      <c r="S103" s="3">
        <v>18531926400</v>
      </c>
      <c r="T103" s="3">
        <v>0</v>
      </c>
    </row>
    <row r="104" spans="2:20" x14ac:dyDescent="0.2">
      <c r="B104">
        <v>33078</v>
      </c>
      <c r="C104" s="6">
        <v>8.6621799999999995E-8</v>
      </c>
      <c r="D104" s="1" t="s">
        <v>130</v>
      </c>
      <c r="E104" s="3">
        <v>5442</v>
      </c>
      <c r="F104" s="7">
        <v>1.2736993395074335E-4</v>
      </c>
      <c r="G104" s="7">
        <v>1081040064</v>
      </c>
      <c r="H104" s="7">
        <v>0</v>
      </c>
      <c r="I104" s="3">
        <f t="shared" si="1"/>
        <v>1251.203777777778</v>
      </c>
      <c r="L104" s="1">
        <v>32084</v>
      </c>
      <c r="M104" s="3">
        <v>1.9867899999999999E-6</v>
      </c>
      <c r="N104" s="1" t="s">
        <v>116</v>
      </c>
      <c r="O104" s="1">
        <v>52</v>
      </c>
      <c r="P104" s="1">
        <v>32</v>
      </c>
      <c r="Q104" s="3">
        <v>0.95399999999999996</v>
      </c>
      <c r="R104" s="3">
        <v>0.72656937165612712</v>
      </c>
      <c r="S104" s="3">
        <v>24795139200</v>
      </c>
      <c r="T104" s="3">
        <v>0</v>
      </c>
    </row>
    <row r="105" spans="2:20" x14ac:dyDescent="0.2">
      <c r="B105">
        <v>33079</v>
      </c>
      <c r="C105" s="6">
        <v>2.7152199999999999E-7</v>
      </c>
      <c r="D105" s="1" t="s">
        <v>131</v>
      </c>
      <c r="E105" s="3">
        <v>540.6</v>
      </c>
      <c r="F105" s="7">
        <v>1.2821812440990479E-3</v>
      </c>
      <c r="G105" s="7">
        <v>3388594560</v>
      </c>
      <c r="H105" s="7">
        <v>0</v>
      </c>
      <c r="I105" s="3">
        <f t="shared" si="1"/>
        <v>3921.9844444444443</v>
      </c>
      <c r="L105" s="1">
        <v>33066</v>
      </c>
      <c r="M105" s="3">
        <v>7.8364499999999997E-7</v>
      </c>
      <c r="N105" s="1" t="s">
        <v>117</v>
      </c>
      <c r="O105" s="1">
        <v>33</v>
      </c>
      <c r="P105" s="1">
        <v>33</v>
      </c>
      <c r="Q105" s="3">
        <v>9.5769999999999994E-2</v>
      </c>
      <c r="R105" s="3">
        <v>7.2376232699169396</v>
      </c>
      <c r="S105" s="3">
        <v>9779889600</v>
      </c>
      <c r="T105" s="3">
        <v>0</v>
      </c>
    </row>
    <row r="106" spans="2:20" x14ac:dyDescent="0.2">
      <c r="B106">
        <v>33080</v>
      </c>
      <c r="C106" s="6">
        <v>6.6337900000000003E-7</v>
      </c>
      <c r="D106" s="1" t="s">
        <v>132</v>
      </c>
      <c r="E106" s="3">
        <v>15.2</v>
      </c>
      <c r="F106" s="7">
        <v>4.5601788194733248E-2</v>
      </c>
      <c r="G106" s="7">
        <v>8278969920</v>
      </c>
      <c r="H106" s="7">
        <v>0</v>
      </c>
      <c r="I106" s="3">
        <f t="shared" si="1"/>
        <v>9582.141111111112</v>
      </c>
      <c r="L106" s="1">
        <v>33067</v>
      </c>
      <c r="M106" s="3">
        <v>7.7205799999999999E-7</v>
      </c>
      <c r="N106" s="1" t="s">
        <v>118</v>
      </c>
      <c r="O106" s="1">
        <v>34</v>
      </c>
      <c r="P106" s="1">
        <v>33</v>
      </c>
      <c r="Q106" s="3">
        <v>42.5</v>
      </c>
      <c r="R106" s="3">
        <v>1.6309345424939888E-2</v>
      </c>
      <c r="S106" s="3">
        <v>9635283840</v>
      </c>
      <c r="T106" s="3">
        <v>0</v>
      </c>
    </row>
    <row r="107" spans="2:20" x14ac:dyDescent="0.2">
      <c r="B107">
        <v>33081</v>
      </c>
      <c r="C107" s="6">
        <v>1.77508E-6</v>
      </c>
      <c r="D107" s="1" t="s">
        <v>133</v>
      </c>
      <c r="E107" s="3">
        <v>33.299999999999997</v>
      </c>
      <c r="F107" s="7">
        <v>2.0815230647445806E-2</v>
      </c>
      <c r="G107" s="7">
        <v>22152998400</v>
      </c>
      <c r="H107" s="7">
        <v>0</v>
      </c>
      <c r="I107" s="3">
        <f t="shared" si="1"/>
        <v>25640.044444444444</v>
      </c>
      <c r="L107" s="1">
        <v>33068</v>
      </c>
      <c r="M107" s="3">
        <v>1.76105E-7</v>
      </c>
      <c r="N107" s="1" t="s">
        <v>120</v>
      </c>
      <c r="O107" s="1">
        <v>35</v>
      </c>
      <c r="P107" s="1">
        <v>33</v>
      </c>
      <c r="Q107" s="3">
        <v>151.6</v>
      </c>
      <c r="R107" s="3">
        <v>4.5722109535616447E-3</v>
      </c>
      <c r="S107" s="3">
        <v>2197790400</v>
      </c>
      <c r="T107" s="3">
        <v>0</v>
      </c>
    </row>
    <row r="108" spans="2:20" x14ac:dyDescent="0.2">
      <c r="B108">
        <v>33082</v>
      </c>
      <c r="C108" s="6">
        <v>2.7661699999999999E-6</v>
      </c>
      <c r="D108" s="1" t="s">
        <v>134</v>
      </c>
      <c r="E108" s="3">
        <v>19.100000000000001</v>
      </c>
      <c r="F108" s="7">
        <v>3.6290428301567812E-2</v>
      </c>
      <c r="G108" s="7">
        <v>34521801600</v>
      </c>
      <c r="H108" s="7">
        <v>0</v>
      </c>
      <c r="I108" s="3">
        <f t="shared" si="1"/>
        <v>39955.788888888892</v>
      </c>
      <c r="L108" s="1">
        <v>33069</v>
      </c>
      <c r="M108" s="3">
        <v>1.1866000000000001E-7</v>
      </c>
      <c r="N108" s="1" t="s">
        <v>122</v>
      </c>
      <c r="O108" s="1">
        <v>36</v>
      </c>
      <c r="P108" s="1">
        <v>33</v>
      </c>
      <c r="Q108" s="3">
        <v>912</v>
      </c>
      <c r="R108" s="3">
        <v>7.6002980324555401E-4</v>
      </c>
      <c r="S108" s="3">
        <v>1480876800</v>
      </c>
      <c r="T108" s="3">
        <v>0</v>
      </c>
    </row>
    <row r="109" spans="2:20" x14ac:dyDescent="0.2">
      <c r="B109">
        <v>33083</v>
      </c>
      <c r="C109" s="6">
        <v>5.1904000000000003E-6</v>
      </c>
      <c r="D109" s="1" t="s">
        <v>135</v>
      </c>
      <c r="E109" s="3">
        <v>13.4</v>
      </c>
      <c r="F109" s="7">
        <v>5.1727401534324272E-2</v>
      </c>
      <c r="G109" s="7">
        <v>64776192000.000008</v>
      </c>
      <c r="H109" s="7">
        <v>0</v>
      </c>
      <c r="I109" s="3">
        <f t="shared" si="1"/>
        <v>74972.444444444467</v>
      </c>
      <c r="L109" s="1">
        <v>33070</v>
      </c>
      <c r="M109" s="3">
        <v>1.45184E-8</v>
      </c>
      <c r="N109" s="1" t="s">
        <v>123</v>
      </c>
      <c r="O109" s="1">
        <v>37</v>
      </c>
      <c r="P109" s="1">
        <v>33</v>
      </c>
      <c r="Q109" s="3">
        <v>3156</v>
      </c>
      <c r="R109" s="3">
        <v>2.196283842078407E-4</v>
      </c>
      <c r="S109" s="3">
        <v>181189632</v>
      </c>
      <c r="T109" s="3">
        <v>0</v>
      </c>
    </row>
    <row r="110" spans="2:20" x14ac:dyDescent="0.2">
      <c r="B110">
        <v>33084</v>
      </c>
      <c r="C110" s="6">
        <v>3.6175199999999998E-6</v>
      </c>
      <c r="D110" s="1" t="s">
        <v>136</v>
      </c>
      <c r="E110" s="3">
        <v>4.0199999999999996</v>
      </c>
      <c r="F110" s="7">
        <v>0.17242467178108092</v>
      </c>
      <c r="G110" s="7">
        <v>45146649600</v>
      </c>
      <c r="H110" s="7">
        <v>0</v>
      </c>
      <c r="I110" s="3">
        <f t="shared" si="1"/>
        <v>52253.066666666666</v>
      </c>
      <c r="L110" s="1">
        <v>33071</v>
      </c>
      <c r="M110" s="3">
        <v>6.7705999999999998E-9</v>
      </c>
      <c r="N110" s="1" t="s">
        <v>124</v>
      </c>
      <c r="O110" s="1">
        <v>38</v>
      </c>
      <c r="P110" s="1">
        <v>33</v>
      </c>
      <c r="Q110" s="3">
        <v>235080</v>
      </c>
      <c r="R110" s="3">
        <v>2.9485587058020475E-6</v>
      </c>
      <c r="S110" s="3">
        <v>77883261.70875214</v>
      </c>
      <c r="T110" s="3">
        <v>3.2229024689823082E-33</v>
      </c>
    </row>
    <row r="111" spans="2:20" x14ac:dyDescent="0.2">
      <c r="B111">
        <v>33085</v>
      </c>
      <c r="C111" s="6">
        <v>3.4113400000000001E-6</v>
      </c>
      <c r="D111" s="1" t="s">
        <v>137</v>
      </c>
      <c r="E111" s="3">
        <v>2.0209999999999999</v>
      </c>
      <c r="F111" s="7">
        <v>0.34297238028695959</v>
      </c>
      <c r="G111" s="7">
        <v>42573523200</v>
      </c>
      <c r="H111" s="7">
        <v>0</v>
      </c>
      <c r="I111" s="3">
        <f t="shared" si="1"/>
        <v>49274.911111111112</v>
      </c>
      <c r="L111" s="1">
        <v>33072</v>
      </c>
      <c r="M111" s="3">
        <v>3.4899999999999998E-10</v>
      </c>
      <c r="N111" s="1" t="s">
        <v>125</v>
      </c>
      <c r="O111" s="1">
        <v>39</v>
      </c>
      <c r="P111" s="1">
        <v>33</v>
      </c>
      <c r="Q111" s="3">
        <v>93600</v>
      </c>
      <c r="R111" s="3">
        <v>7.4054185957259116E-6</v>
      </c>
      <c r="S111" s="3">
        <v>4348270.6078901319</v>
      </c>
      <c r="T111" s="3">
        <v>1.6381896533816637E-95</v>
      </c>
    </row>
    <row r="112" spans="2:20" x14ac:dyDescent="0.2">
      <c r="B112">
        <v>33086</v>
      </c>
      <c r="C112" s="6">
        <v>1.3008600000000001E-6</v>
      </c>
      <c r="D112" s="1" t="s">
        <v>138</v>
      </c>
      <c r="E112" s="3">
        <v>0.94499999999999995</v>
      </c>
      <c r="F112" s="7">
        <v>0.73348907995761414</v>
      </c>
      <c r="G112" s="7">
        <v>16234732800</v>
      </c>
      <c r="H112" s="7">
        <v>0</v>
      </c>
      <c r="I112" s="3">
        <f t="shared" si="1"/>
        <v>18790.2</v>
      </c>
      <c r="L112" s="1">
        <v>33073</v>
      </c>
      <c r="M112" s="3">
        <v>6.9799999999999994E-11</v>
      </c>
      <c r="N112" s="1" t="s">
        <v>126</v>
      </c>
      <c r="O112" s="1">
        <v>40</v>
      </c>
      <c r="P112" s="1">
        <v>33</v>
      </c>
      <c r="Q112" s="3">
        <v>6937920</v>
      </c>
      <c r="R112" s="3">
        <v>9.9907058680403535E-8</v>
      </c>
      <c r="S112" s="3">
        <v>72039.495529840118</v>
      </c>
      <c r="T112" s="3">
        <v>3084.981051189292</v>
      </c>
    </row>
    <row r="113" spans="2:20" x14ac:dyDescent="0.2">
      <c r="B113">
        <v>33087</v>
      </c>
      <c r="C113" s="6">
        <v>7.7450099999999998E-7</v>
      </c>
      <c r="D113" s="1" t="s">
        <v>139</v>
      </c>
      <c r="E113" s="3">
        <v>0.48399999999999999</v>
      </c>
      <c r="F113" s="7">
        <v>1.4321222738841846</v>
      </c>
      <c r="G113" s="7">
        <v>9665772480</v>
      </c>
      <c r="H113" s="7">
        <v>0</v>
      </c>
      <c r="I113" s="3">
        <f t="shared" si="1"/>
        <v>11187.236666666666</v>
      </c>
      <c r="L113" s="1">
        <v>33076</v>
      </c>
      <c r="M113" s="3">
        <v>1.3959999999999999E-10</v>
      </c>
      <c r="N113" s="1" t="s">
        <v>128</v>
      </c>
      <c r="O113" s="1">
        <v>43</v>
      </c>
      <c r="P113" s="1">
        <v>33</v>
      </c>
      <c r="Q113" s="3">
        <v>94538.880000000005</v>
      </c>
      <c r="R113" s="3">
        <v>7.3318742570246785E-6</v>
      </c>
      <c r="S113" s="3">
        <v>1739118.0058577363</v>
      </c>
      <c r="T113" s="3">
        <v>6.6624408699343553E-95</v>
      </c>
    </row>
    <row r="114" spans="2:20" x14ac:dyDescent="0.2">
      <c r="B114">
        <v>34068</v>
      </c>
      <c r="C114" s="6">
        <v>2.0828300000000001E-7</v>
      </c>
      <c r="D114" s="1" t="s">
        <v>140</v>
      </c>
      <c r="E114" s="3">
        <v>35.5</v>
      </c>
      <c r="F114" s="7">
        <v>1.9525272691829444E-2</v>
      </c>
      <c r="G114" s="7">
        <v>2599371840</v>
      </c>
      <c r="H114" s="7">
        <v>0</v>
      </c>
      <c r="I114" s="3">
        <f t="shared" si="1"/>
        <v>3008.5322222222221</v>
      </c>
      <c r="L114" s="1">
        <v>33077</v>
      </c>
      <c r="M114" s="3">
        <v>1.8845999999999999E-9</v>
      </c>
      <c r="N114" s="1" t="s">
        <v>129</v>
      </c>
      <c r="O114" s="1">
        <v>44</v>
      </c>
      <c r="P114" s="1">
        <v>33</v>
      </c>
      <c r="Q114" s="3">
        <v>139788</v>
      </c>
      <c r="R114" s="3">
        <v>4.958559966234192E-6</v>
      </c>
      <c r="S114" s="3">
        <v>23195594.442130931</v>
      </c>
      <c r="T114" s="3">
        <v>2.8406034197405738E-61</v>
      </c>
    </row>
    <row r="115" spans="2:20" x14ac:dyDescent="0.2">
      <c r="B115">
        <v>34069</v>
      </c>
      <c r="C115" s="6">
        <v>8.0130399999999999E-8</v>
      </c>
      <c r="D115" s="1" t="s">
        <v>141</v>
      </c>
      <c r="E115" s="3">
        <v>27.4</v>
      </c>
      <c r="F115" s="7">
        <v>2.5297342356202384E-2</v>
      </c>
      <c r="G115" s="7">
        <v>1000027392</v>
      </c>
      <c r="H115" s="7">
        <v>0</v>
      </c>
      <c r="I115" s="3">
        <f t="shared" si="1"/>
        <v>1157.4391111111113</v>
      </c>
      <c r="L115" s="1">
        <v>33078</v>
      </c>
      <c r="M115" s="3">
        <v>1.10284E-8</v>
      </c>
      <c r="N115" s="1" t="s">
        <v>130</v>
      </c>
      <c r="O115" s="1">
        <v>45</v>
      </c>
      <c r="P115" s="1">
        <v>33</v>
      </c>
      <c r="Q115" s="3">
        <v>5442</v>
      </c>
      <c r="R115" s="3">
        <v>1.2736993395074335E-4</v>
      </c>
      <c r="S115" s="3">
        <v>137634432</v>
      </c>
      <c r="T115" s="3">
        <v>0</v>
      </c>
    </row>
    <row r="116" spans="2:20" x14ac:dyDescent="0.2">
      <c r="B116">
        <v>34070</v>
      </c>
      <c r="C116" s="6">
        <v>1.7798999999999999E-8</v>
      </c>
      <c r="D116" s="1" t="s">
        <v>142</v>
      </c>
      <c r="E116" s="3">
        <v>2466</v>
      </c>
      <c r="F116" s="7">
        <v>2.8108158173558204E-4</v>
      </c>
      <c r="G116" s="7">
        <v>222131520</v>
      </c>
      <c r="H116" s="7">
        <v>0</v>
      </c>
      <c r="I116" s="3">
        <f t="shared" si="1"/>
        <v>257.09666666666669</v>
      </c>
      <c r="L116" s="1">
        <v>33079</v>
      </c>
      <c r="M116" s="3">
        <v>6.9241599999999997E-8</v>
      </c>
      <c r="N116" s="1" t="s">
        <v>131</v>
      </c>
      <c r="O116" s="1">
        <v>46</v>
      </c>
      <c r="P116" s="1">
        <v>33</v>
      </c>
      <c r="Q116" s="3">
        <v>540.6</v>
      </c>
      <c r="R116" s="3">
        <v>1.2821812440990479E-3</v>
      </c>
      <c r="S116" s="3">
        <v>864135168</v>
      </c>
      <c r="T116" s="3">
        <v>0</v>
      </c>
    </row>
    <row r="117" spans="2:20" x14ac:dyDescent="0.2">
      <c r="B117">
        <v>34071</v>
      </c>
      <c r="C117" s="6">
        <v>4.6068000000000003E-9</v>
      </c>
      <c r="D117" s="1" t="s">
        <v>143</v>
      </c>
      <c r="E117" s="3">
        <v>284.39999999999998</v>
      </c>
      <c r="F117" s="7">
        <v>2.4372263732768823E-3</v>
      </c>
      <c r="G117" s="7">
        <v>57492864</v>
      </c>
      <c r="H117" s="7">
        <v>0</v>
      </c>
      <c r="I117" s="3">
        <f t="shared" si="1"/>
        <v>66.542666666666662</v>
      </c>
      <c r="L117" s="1">
        <v>33080</v>
      </c>
      <c r="M117" s="3">
        <v>1.8915800000000001E-7</v>
      </c>
      <c r="N117" s="1" t="s">
        <v>132</v>
      </c>
      <c r="O117" s="1">
        <v>47</v>
      </c>
      <c r="P117" s="1">
        <v>33</v>
      </c>
      <c r="Q117" s="3">
        <v>15.2</v>
      </c>
      <c r="R117" s="3">
        <v>4.5601788194733248E-2</v>
      </c>
      <c r="S117" s="3">
        <v>2360691840</v>
      </c>
      <c r="T117" s="3">
        <v>0</v>
      </c>
    </row>
    <row r="118" spans="2:20" x14ac:dyDescent="0.2">
      <c r="B118">
        <v>34072</v>
      </c>
      <c r="C118" s="6">
        <v>4.1879999999999999E-10</v>
      </c>
      <c r="D118" s="1" t="s">
        <v>144</v>
      </c>
      <c r="E118" s="3">
        <v>725760</v>
      </c>
      <c r="F118" s="7">
        <v>9.5506390619481007E-7</v>
      </c>
      <c r="G118" s="7">
        <v>2936535.7635992449</v>
      </c>
      <c r="H118" s="7">
        <v>2.4398618968646938E-7</v>
      </c>
      <c r="I118" s="3">
        <f t="shared" si="1"/>
        <v>3.3987682449065337</v>
      </c>
      <c r="L118" s="1">
        <v>33081</v>
      </c>
      <c r="M118" s="3">
        <v>8.6258799999999999E-7</v>
      </c>
      <c r="N118" s="1" t="s">
        <v>133</v>
      </c>
      <c r="O118" s="1">
        <v>48</v>
      </c>
      <c r="P118" s="1">
        <v>33</v>
      </c>
      <c r="Q118" s="3">
        <v>33.299999999999997</v>
      </c>
      <c r="R118" s="3">
        <v>2.0815230647445806E-2</v>
      </c>
      <c r="S118" s="3">
        <v>10765098240</v>
      </c>
      <c r="T118" s="3">
        <v>0</v>
      </c>
    </row>
    <row r="119" spans="2:20" x14ac:dyDescent="0.2">
      <c r="B119">
        <v>34073</v>
      </c>
      <c r="C119" s="6">
        <v>6.9799999999999994E-11</v>
      </c>
      <c r="D119" s="1" t="s">
        <v>145</v>
      </c>
      <c r="E119" s="3">
        <v>25740</v>
      </c>
      <c r="F119" s="7">
        <v>2.6928794893548767E-5</v>
      </c>
      <c r="G119" s="7">
        <v>871103.99993151939</v>
      </c>
      <c r="H119" s="7">
        <v>0</v>
      </c>
      <c r="I119" s="3">
        <f t="shared" si="1"/>
        <v>1.0082222221429622</v>
      </c>
      <c r="L119" s="1">
        <v>33082</v>
      </c>
      <c r="M119" s="3">
        <v>1.51864E-6</v>
      </c>
      <c r="N119" s="1" t="s">
        <v>134</v>
      </c>
      <c r="O119" s="1">
        <v>49</v>
      </c>
      <c r="P119" s="1">
        <v>33</v>
      </c>
      <c r="Q119" s="3">
        <v>19.100000000000001</v>
      </c>
      <c r="R119" s="3">
        <v>3.6290428301567812E-2</v>
      </c>
      <c r="S119" s="3">
        <v>18952627200</v>
      </c>
      <c r="T119" s="3">
        <v>0</v>
      </c>
    </row>
    <row r="120" spans="2:20" x14ac:dyDescent="0.2">
      <c r="B120">
        <v>34075</v>
      </c>
      <c r="C120" s="6">
        <v>6.9799999999999994E-11</v>
      </c>
      <c r="D120" s="1" t="s">
        <v>146</v>
      </c>
      <c r="E120" s="3">
        <v>10348992</v>
      </c>
      <c r="F120" s="7">
        <v>6.6977265086294909E-8</v>
      </c>
      <c r="G120" s="7">
        <v>48978.536277357161</v>
      </c>
      <c r="H120" s="7">
        <v>5925.0382057474935</v>
      </c>
      <c r="I120" s="3">
        <f t="shared" si="1"/>
        <v>5.6688120691385603E-2</v>
      </c>
      <c r="L120" s="1">
        <v>33083</v>
      </c>
      <c r="M120" s="3">
        <v>4.4794800000000004E-6</v>
      </c>
      <c r="N120" s="1" t="s">
        <v>135</v>
      </c>
      <c r="O120" s="1">
        <v>50</v>
      </c>
      <c r="P120" s="1">
        <v>33</v>
      </c>
      <c r="Q120" s="3">
        <v>13.4</v>
      </c>
      <c r="R120" s="3">
        <v>5.1727401534324272E-2</v>
      </c>
      <c r="S120" s="3">
        <v>55903910400.000008</v>
      </c>
      <c r="T120" s="3">
        <v>0</v>
      </c>
    </row>
    <row r="121" spans="2:20" x14ac:dyDescent="0.2">
      <c r="B121">
        <v>34079</v>
      </c>
      <c r="C121" s="6">
        <v>7.7687399999999995E-8</v>
      </c>
      <c r="D121" s="1" t="s">
        <v>147</v>
      </c>
      <c r="E121" s="3">
        <v>10287777600000</v>
      </c>
      <c r="F121" s="7">
        <v>6.7375793636902231E-14</v>
      </c>
      <c r="G121" s="7">
        <v>56.439453002251774</v>
      </c>
      <c r="H121" s="7">
        <v>56.439333081916111</v>
      </c>
      <c r="I121" s="3">
        <f t="shared" si="1"/>
        <v>6.5323440974828442E-5</v>
      </c>
      <c r="L121" s="1">
        <v>33084</v>
      </c>
      <c r="M121" s="3">
        <v>3.6082399999999999E-6</v>
      </c>
      <c r="N121" s="1" t="s">
        <v>136</v>
      </c>
      <c r="O121" s="1">
        <v>51</v>
      </c>
      <c r="P121" s="1">
        <v>33</v>
      </c>
      <c r="Q121" s="3">
        <v>4.0199999999999996</v>
      </c>
      <c r="R121" s="3">
        <v>0.17242467178108092</v>
      </c>
      <c r="S121" s="3">
        <v>45030835200</v>
      </c>
      <c r="T121" s="3">
        <v>0</v>
      </c>
    </row>
    <row r="122" spans="2:20" x14ac:dyDescent="0.2">
      <c r="B122">
        <v>34081</v>
      </c>
      <c r="C122" s="6">
        <v>7.8566900000000005E-7</v>
      </c>
      <c r="D122" s="1" t="s">
        <v>148</v>
      </c>
      <c r="E122" s="3">
        <v>1107</v>
      </c>
      <c r="F122" s="7">
        <v>6.261492145979632E-4</v>
      </c>
      <c r="G122" s="7">
        <v>9805149120</v>
      </c>
      <c r="H122" s="7">
        <v>0</v>
      </c>
      <c r="I122" s="3">
        <f t="shared" si="1"/>
        <v>11348.552222222223</v>
      </c>
      <c r="L122" s="1">
        <v>33085</v>
      </c>
      <c r="M122" s="3">
        <v>5.3098999999999998E-6</v>
      </c>
      <c r="N122" s="1" t="s">
        <v>137</v>
      </c>
      <c r="O122" s="1">
        <v>52</v>
      </c>
      <c r="P122" s="1">
        <v>33</v>
      </c>
      <c r="Q122" s="3">
        <v>2.0209999999999999</v>
      </c>
      <c r="R122" s="3">
        <v>0.34297238028695959</v>
      </c>
      <c r="S122" s="3">
        <v>66267552000</v>
      </c>
      <c r="T122" s="3">
        <v>0</v>
      </c>
    </row>
    <row r="123" spans="2:20" x14ac:dyDescent="0.2">
      <c r="B123">
        <v>34083</v>
      </c>
      <c r="C123" s="6">
        <v>4.19463E-6</v>
      </c>
      <c r="D123" s="1" t="s">
        <v>149</v>
      </c>
      <c r="E123" s="3">
        <v>1335</v>
      </c>
      <c r="F123" s="7">
        <v>5.192113712059515E-4</v>
      </c>
      <c r="G123" s="7">
        <v>52348982400</v>
      </c>
      <c r="H123" s="7">
        <v>0</v>
      </c>
      <c r="I123" s="3">
        <f t="shared" si="1"/>
        <v>60589.1</v>
      </c>
      <c r="L123" s="1">
        <v>33086</v>
      </c>
      <c r="M123" s="3">
        <v>2.7526999999999999E-6</v>
      </c>
      <c r="N123" s="1" t="s">
        <v>138</v>
      </c>
      <c r="O123" s="1">
        <v>53</v>
      </c>
      <c r="P123" s="1">
        <v>33</v>
      </c>
      <c r="Q123" s="3">
        <v>0.94499999999999995</v>
      </c>
      <c r="R123" s="3">
        <v>0.73348907995761414</v>
      </c>
      <c r="S123" s="3">
        <v>34353696000</v>
      </c>
      <c r="T123" s="3">
        <v>0</v>
      </c>
    </row>
    <row r="124" spans="2:20" x14ac:dyDescent="0.2">
      <c r="B124">
        <v>34084</v>
      </c>
      <c r="C124" s="6">
        <v>8.9602299999999998E-6</v>
      </c>
      <c r="D124" s="1" t="s">
        <v>150</v>
      </c>
      <c r="E124" s="3">
        <v>195.6</v>
      </c>
      <c r="F124" s="7">
        <v>3.5436972421265095E-3</v>
      </c>
      <c r="G124" s="7">
        <v>111823670400</v>
      </c>
      <c r="H124" s="7">
        <v>0</v>
      </c>
      <c r="I124" s="3">
        <f t="shared" si="1"/>
        <v>129425.54444444444</v>
      </c>
      <c r="L124" s="1">
        <v>33087</v>
      </c>
      <c r="M124" s="3">
        <v>4.0763899999999998E-6</v>
      </c>
      <c r="N124" s="1" t="s">
        <v>139</v>
      </c>
      <c r="O124" s="1">
        <v>54</v>
      </c>
      <c r="P124" s="1">
        <v>33</v>
      </c>
      <c r="Q124" s="3">
        <v>0.48399999999999999</v>
      </c>
      <c r="R124" s="3">
        <v>1.4321222738841846</v>
      </c>
      <c r="S124" s="3">
        <v>50873347200</v>
      </c>
      <c r="T124" s="3">
        <v>0</v>
      </c>
    </row>
    <row r="125" spans="2:20" x14ac:dyDescent="0.2">
      <c r="B125">
        <v>34085</v>
      </c>
      <c r="C125" s="6">
        <v>1.14712E-5</v>
      </c>
      <c r="D125" s="1" t="s">
        <v>151</v>
      </c>
      <c r="E125" s="3">
        <v>32.9</v>
      </c>
      <c r="F125" s="7">
        <v>2.106830336048466E-2</v>
      </c>
      <c r="G125" s="7">
        <v>143160576000</v>
      </c>
      <c r="H125" s="7">
        <v>0</v>
      </c>
      <c r="I125" s="3">
        <f t="shared" si="1"/>
        <v>165695.11111111112</v>
      </c>
      <c r="L125" s="1">
        <v>34068</v>
      </c>
      <c r="M125" s="3">
        <v>1.38176E-6</v>
      </c>
      <c r="N125" s="1" t="s">
        <v>140</v>
      </c>
      <c r="O125" s="1">
        <v>34</v>
      </c>
      <c r="P125" s="1">
        <v>34</v>
      </c>
      <c r="Q125" s="3">
        <v>35.5</v>
      </c>
      <c r="R125" s="3">
        <v>1.9525272691829444E-2</v>
      </c>
      <c r="S125" s="3">
        <v>17244364800</v>
      </c>
      <c r="T125" s="3">
        <v>0</v>
      </c>
    </row>
    <row r="126" spans="2:20" x14ac:dyDescent="0.2">
      <c r="B126">
        <v>34086</v>
      </c>
      <c r="C126" s="6">
        <v>1.50468E-5</v>
      </c>
      <c r="D126" s="1" t="s">
        <v>152</v>
      </c>
      <c r="E126" s="3">
        <v>14.3</v>
      </c>
      <c r="F126" s="7">
        <v>4.8471830808387781E-2</v>
      </c>
      <c r="G126" s="7">
        <v>187784064000</v>
      </c>
      <c r="H126" s="7">
        <v>0</v>
      </c>
      <c r="I126" s="3">
        <f t="shared" si="1"/>
        <v>217342.66666666666</v>
      </c>
      <c r="L126" s="1">
        <v>34069</v>
      </c>
      <c r="M126" s="3">
        <v>9.7182500000000001E-7</v>
      </c>
      <c r="N126" s="1" t="s">
        <v>141</v>
      </c>
      <c r="O126" s="1">
        <v>35</v>
      </c>
      <c r="P126" s="1">
        <v>34</v>
      </c>
      <c r="Q126" s="3">
        <v>27.4</v>
      </c>
      <c r="R126" s="3">
        <v>2.5297342356202384E-2</v>
      </c>
      <c r="S126" s="3">
        <v>12128376000</v>
      </c>
      <c r="T126" s="3">
        <v>0</v>
      </c>
    </row>
    <row r="127" spans="2:20" x14ac:dyDescent="0.2">
      <c r="B127">
        <v>34087</v>
      </c>
      <c r="C127" s="6">
        <v>9.6638099999999996E-6</v>
      </c>
      <c r="D127" s="1" t="s">
        <v>153</v>
      </c>
      <c r="E127" s="3">
        <v>5.5</v>
      </c>
      <c r="F127" s="7">
        <v>0.12602676010180824</v>
      </c>
      <c r="G127" s="7">
        <v>120604348800</v>
      </c>
      <c r="H127" s="7">
        <v>0</v>
      </c>
      <c r="I127" s="3">
        <f t="shared" si="1"/>
        <v>139588.36666666667</v>
      </c>
      <c r="L127" s="1">
        <v>34070</v>
      </c>
      <c r="M127" s="3">
        <v>2.2852499999999999E-7</v>
      </c>
      <c r="N127" s="1" t="s">
        <v>142</v>
      </c>
      <c r="O127" s="1">
        <v>36</v>
      </c>
      <c r="P127" s="1">
        <v>34</v>
      </c>
      <c r="Q127" s="3">
        <v>2466</v>
      </c>
      <c r="R127" s="3">
        <v>2.8108158173558204E-4</v>
      </c>
      <c r="S127" s="3">
        <v>2851992000</v>
      </c>
      <c r="T127" s="3">
        <v>0</v>
      </c>
    </row>
    <row r="128" spans="2:20" x14ac:dyDescent="0.2">
      <c r="B128">
        <v>34088</v>
      </c>
      <c r="C128" s="6">
        <v>6.94342E-6</v>
      </c>
      <c r="D128" s="1" t="s">
        <v>154</v>
      </c>
      <c r="E128" s="3">
        <v>1.53</v>
      </c>
      <c r="F128" s="7">
        <v>0.45303737291499691</v>
      </c>
      <c r="G128" s="7">
        <v>86653881600</v>
      </c>
      <c r="H128" s="7">
        <v>0</v>
      </c>
      <c r="I128" s="3">
        <f t="shared" si="1"/>
        <v>100293.84444444445</v>
      </c>
      <c r="L128" s="1">
        <v>34071</v>
      </c>
      <c r="M128" s="3">
        <v>1.07143E-7</v>
      </c>
      <c r="N128" s="1" t="s">
        <v>143</v>
      </c>
      <c r="O128" s="1">
        <v>37</v>
      </c>
      <c r="P128" s="1">
        <v>34</v>
      </c>
      <c r="Q128" s="3">
        <v>284.39999999999998</v>
      </c>
      <c r="R128" s="3">
        <v>2.4372263732768823E-3</v>
      </c>
      <c r="S128" s="3">
        <v>1337144640</v>
      </c>
      <c r="T128" s="3">
        <v>0</v>
      </c>
    </row>
    <row r="129" spans="2:20" x14ac:dyDescent="0.2">
      <c r="B129">
        <v>34089</v>
      </c>
      <c r="C129" s="6">
        <v>2.42506E-6</v>
      </c>
      <c r="D129" s="1" t="s">
        <v>155</v>
      </c>
      <c r="E129" s="3">
        <v>0.43</v>
      </c>
      <c r="F129" s="7">
        <v>1.61197018734871</v>
      </c>
      <c r="G129" s="7">
        <v>30264748800</v>
      </c>
      <c r="H129" s="7">
        <v>0</v>
      </c>
      <c r="I129" s="3">
        <f t="shared" si="1"/>
        <v>35028.644444444442</v>
      </c>
      <c r="L129" s="1">
        <v>34072</v>
      </c>
      <c r="M129" s="3">
        <v>1.6333199999999999E-8</v>
      </c>
      <c r="N129" s="1" t="s">
        <v>144</v>
      </c>
      <c r="O129" s="1">
        <v>38</v>
      </c>
      <c r="P129" s="1">
        <v>34</v>
      </c>
      <c r="Q129" s="3">
        <v>725760</v>
      </c>
      <c r="R129" s="3">
        <v>9.5506390619481007E-7</v>
      </c>
      <c r="S129" s="3">
        <v>114524894.78037055</v>
      </c>
      <c r="T129" s="3">
        <v>9.5154613977723054E-6</v>
      </c>
    </row>
    <row r="130" spans="2:20" x14ac:dyDescent="0.2">
      <c r="B130">
        <v>34090</v>
      </c>
      <c r="C130" s="6">
        <v>9.5751599999999996E-7</v>
      </c>
      <c r="D130" s="1" t="s">
        <v>156</v>
      </c>
      <c r="E130" s="3">
        <v>0.19500000000000001</v>
      </c>
      <c r="F130" s="7">
        <v>3.5546009259484372</v>
      </c>
      <c r="G130" s="7">
        <v>11949799680</v>
      </c>
      <c r="H130" s="7">
        <v>0</v>
      </c>
      <c r="I130" s="3">
        <f t="shared" si="1"/>
        <v>13830.786666666667</v>
      </c>
      <c r="L130" s="1">
        <v>34073</v>
      </c>
      <c r="M130" s="3">
        <v>4.8859999999999999E-9</v>
      </c>
      <c r="N130" s="1" t="s">
        <v>145</v>
      </c>
      <c r="O130" s="1">
        <v>39</v>
      </c>
      <c r="P130" s="1">
        <v>34</v>
      </c>
      <c r="Q130" s="3">
        <v>25740</v>
      </c>
      <c r="R130" s="3">
        <v>2.6928794893548767E-5</v>
      </c>
      <c r="S130" s="3">
        <v>60977279.995206363</v>
      </c>
      <c r="T130" s="3">
        <v>0</v>
      </c>
    </row>
    <row r="131" spans="2:20" x14ac:dyDescent="0.2">
      <c r="B131">
        <v>34091</v>
      </c>
      <c r="C131" s="6">
        <v>1.98581E-7</v>
      </c>
      <c r="D131" s="1" t="s">
        <v>157</v>
      </c>
      <c r="E131" s="3">
        <v>0.27</v>
      </c>
      <c r="F131" s="7">
        <v>2.5672117798516489</v>
      </c>
      <c r="G131" s="7">
        <v>2478290880</v>
      </c>
      <c r="H131" s="7">
        <v>0</v>
      </c>
      <c r="I131" s="3">
        <f t="shared" si="1"/>
        <v>2868.3922222222222</v>
      </c>
      <c r="L131" s="1">
        <v>34075</v>
      </c>
      <c r="M131" s="3">
        <v>6.9799999999999994E-11</v>
      </c>
      <c r="N131" s="1" t="s">
        <v>146</v>
      </c>
      <c r="O131" s="1">
        <v>41</v>
      </c>
      <c r="P131" s="1">
        <v>34</v>
      </c>
      <c r="Q131" s="3">
        <v>10348992</v>
      </c>
      <c r="R131" s="3">
        <v>6.6977265086294909E-8</v>
      </c>
      <c r="S131" s="3">
        <v>48978.536277357161</v>
      </c>
      <c r="T131" s="3">
        <v>5925.0382057474935</v>
      </c>
    </row>
    <row r="132" spans="2:20" x14ac:dyDescent="0.2">
      <c r="B132">
        <v>35070</v>
      </c>
      <c r="C132" s="6">
        <v>6.4355600000000002E-8</v>
      </c>
      <c r="D132" s="1" t="s">
        <v>158</v>
      </c>
      <c r="E132" s="3">
        <v>7.9099999999999906E-2</v>
      </c>
      <c r="F132" s="7">
        <v>8.7629226366617718</v>
      </c>
      <c r="G132" s="7">
        <v>803157888</v>
      </c>
      <c r="H132" s="7">
        <v>0</v>
      </c>
      <c r="I132" s="3">
        <f t="shared" ref="I132:I195" si="2">G132/10/24/3600</f>
        <v>929.58088888888881</v>
      </c>
      <c r="L132" s="1">
        <v>34079</v>
      </c>
      <c r="M132" s="3">
        <v>1.6752E-9</v>
      </c>
      <c r="N132" s="1" t="s">
        <v>147</v>
      </c>
      <c r="O132" s="1">
        <v>45</v>
      </c>
      <c r="P132" s="1">
        <v>34</v>
      </c>
      <c r="Q132" s="3">
        <v>10287777600000</v>
      </c>
      <c r="R132" s="3">
        <v>6.7375793636902231E-14</v>
      </c>
      <c r="S132" s="3">
        <v>1.2170232453315748</v>
      </c>
      <c r="T132" s="3">
        <v>1.2170206594483259</v>
      </c>
    </row>
    <row r="133" spans="2:20" x14ac:dyDescent="0.2">
      <c r="B133">
        <v>35071</v>
      </c>
      <c r="C133" s="6">
        <v>1.10982E-8</v>
      </c>
      <c r="D133" s="1" t="s">
        <v>159</v>
      </c>
      <c r="E133" s="3">
        <v>21.4</v>
      </c>
      <c r="F133" s="7">
        <v>3.2390055166352585E-2</v>
      </c>
      <c r="G133" s="7">
        <v>138505536</v>
      </c>
      <c r="H133" s="7">
        <v>0</v>
      </c>
      <c r="I133" s="3">
        <f t="shared" si="2"/>
        <v>160.30733333333333</v>
      </c>
      <c r="L133" s="1">
        <v>34081</v>
      </c>
      <c r="M133" s="3">
        <v>6.1423999999999995E-8</v>
      </c>
      <c r="N133" s="1" t="s">
        <v>148</v>
      </c>
      <c r="O133" s="1">
        <v>47</v>
      </c>
      <c r="P133" s="1">
        <v>34</v>
      </c>
      <c r="Q133" s="3">
        <v>1107</v>
      </c>
      <c r="R133" s="3">
        <v>6.261492145979632E-4</v>
      </c>
      <c r="S133" s="3">
        <v>766571519.99999988</v>
      </c>
      <c r="T133" s="3">
        <v>0</v>
      </c>
    </row>
    <row r="134" spans="2:20" x14ac:dyDescent="0.2">
      <c r="B134">
        <v>35072</v>
      </c>
      <c r="C134" s="6">
        <v>3.3503999999999999E-9</v>
      </c>
      <c r="D134" s="1" t="s">
        <v>160</v>
      </c>
      <c r="E134" s="3">
        <v>78.599999999999994</v>
      </c>
      <c r="F134" s="7">
        <v>8.818666419337727E-3</v>
      </c>
      <c r="G134" s="7">
        <v>41812992</v>
      </c>
      <c r="H134" s="7">
        <v>0</v>
      </c>
      <c r="I134" s="3">
        <f t="shared" si="2"/>
        <v>48.394666666666673</v>
      </c>
      <c r="L134" s="1">
        <v>34083</v>
      </c>
      <c r="M134" s="3">
        <v>9.2422199999999995E-7</v>
      </c>
      <c r="N134" s="1" t="s">
        <v>149</v>
      </c>
      <c r="O134" s="1">
        <v>49</v>
      </c>
      <c r="P134" s="1">
        <v>34</v>
      </c>
      <c r="Q134" s="3">
        <v>1335</v>
      </c>
      <c r="R134" s="3">
        <v>5.192113712059515E-4</v>
      </c>
      <c r="S134" s="3">
        <v>11534290560</v>
      </c>
      <c r="T134" s="3">
        <v>0</v>
      </c>
    </row>
    <row r="135" spans="2:20" x14ac:dyDescent="0.2">
      <c r="B135">
        <v>35073</v>
      </c>
      <c r="C135" s="6">
        <v>2.094E-10</v>
      </c>
      <c r="D135" s="1" t="s">
        <v>161</v>
      </c>
      <c r="E135" s="3">
        <v>204</v>
      </c>
      <c r="F135" s="7">
        <v>3.3977802968624769E-3</v>
      </c>
      <c r="G135" s="7">
        <v>2613312</v>
      </c>
      <c r="H135" s="7">
        <v>0</v>
      </c>
      <c r="I135" s="3">
        <f t="shared" si="2"/>
        <v>3.0246666666666671</v>
      </c>
      <c r="L135" s="1">
        <v>34084</v>
      </c>
      <c r="M135" s="3">
        <v>4.1990300000000004E-6</v>
      </c>
      <c r="N135" s="1" t="s">
        <v>150</v>
      </c>
      <c r="O135" s="1">
        <v>50</v>
      </c>
      <c r="P135" s="1">
        <v>34</v>
      </c>
      <c r="Q135" s="3">
        <v>195.6</v>
      </c>
      <c r="R135" s="3">
        <v>3.5436972421265095E-3</v>
      </c>
      <c r="S135" s="3">
        <v>52403894400.000008</v>
      </c>
      <c r="T135" s="3">
        <v>0</v>
      </c>
    </row>
    <row r="136" spans="2:20" x14ac:dyDescent="0.2">
      <c r="B136">
        <v>35078</v>
      </c>
      <c r="C136" s="6">
        <v>5.5839999999999995E-10</v>
      </c>
      <c r="D136" s="1" t="s">
        <v>162</v>
      </c>
      <c r="E136" s="3">
        <v>387</v>
      </c>
      <c r="F136" s="7">
        <v>1.7910779859430111E-3</v>
      </c>
      <c r="G136" s="7">
        <v>6968831.9999999991</v>
      </c>
      <c r="H136" s="7">
        <v>0</v>
      </c>
      <c r="I136" s="3">
        <f t="shared" si="2"/>
        <v>8.065777777777777</v>
      </c>
      <c r="L136" s="1">
        <v>34085</v>
      </c>
      <c r="M136" s="3">
        <v>5.0480099999999996E-6</v>
      </c>
      <c r="N136" s="1" t="s">
        <v>151</v>
      </c>
      <c r="O136" s="1">
        <v>51</v>
      </c>
      <c r="P136" s="1">
        <v>34</v>
      </c>
      <c r="Q136" s="3">
        <v>32.9</v>
      </c>
      <c r="R136" s="3">
        <v>2.106830336048466E-2</v>
      </c>
      <c r="S136" s="3">
        <v>62999164799.999992</v>
      </c>
      <c r="T136" s="3">
        <v>0</v>
      </c>
    </row>
    <row r="137" spans="2:20" x14ac:dyDescent="0.2">
      <c r="B137">
        <v>35080</v>
      </c>
      <c r="C137" s="6">
        <v>1.2215000000000001E-8</v>
      </c>
      <c r="D137" s="1" t="s">
        <v>163</v>
      </c>
      <c r="E137" s="3">
        <v>1060.8</v>
      </c>
      <c r="F137" s="7">
        <v>6.5341928785816864E-4</v>
      </c>
      <c r="G137" s="7">
        <v>152443200</v>
      </c>
      <c r="H137" s="7">
        <v>0</v>
      </c>
      <c r="I137" s="3">
        <f t="shared" si="2"/>
        <v>176.4388888888889</v>
      </c>
      <c r="L137" s="1">
        <v>34086</v>
      </c>
      <c r="M137" s="3">
        <v>9.4065299999999992E-6</v>
      </c>
      <c r="N137" s="1" t="s">
        <v>152</v>
      </c>
      <c r="O137" s="1">
        <v>52</v>
      </c>
      <c r="P137" s="1">
        <v>34</v>
      </c>
      <c r="Q137" s="3">
        <v>14.3</v>
      </c>
      <c r="R137" s="3">
        <v>4.8471830808387781E-2</v>
      </c>
      <c r="S137" s="3">
        <v>117393494399.99998</v>
      </c>
      <c r="T137" s="3">
        <v>0</v>
      </c>
    </row>
    <row r="138" spans="2:20" x14ac:dyDescent="0.2">
      <c r="B138">
        <v>35082</v>
      </c>
      <c r="C138" s="6">
        <v>1.91182E-7</v>
      </c>
      <c r="D138" s="1" t="s">
        <v>164</v>
      </c>
      <c r="E138" s="3">
        <v>127015.19999999899</v>
      </c>
      <c r="F138" s="7">
        <v>5.4571986703949669E-6</v>
      </c>
      <c r="G138" s="7">
        <v>2364573975.4681535</v>
      </c>
      <c r="H138" s="7">
        <v>4.2898963571356133E-66</v>
      </c>
      <c r="I138" s="3">
        <f t="shared" si="2"/>
        <v>2736.7754345696217</v>
      </c>
      <c r="L138" s="1">
        <v>34087</v>
      </c>
      <c r="M138" s="3">
        <v>7.6673899999999998E-6</v>
      </c>
      <c r="N138" s="1" t="s">
        <v>153</v>
      </c>
      <c r="O138" s="1">
        <v>53</v>
      </c>
      <c r="P138" s="1">
        <v>34</v>
      </c>
      <c r="Q138" s="3">
        <v>5.5</v>
      </c>
      <c r="R138" s="3">
        <v>0.12602676010180824</v>
      </c>
      <c r="S138" s="3">
        <v>95689027200</v>
      </c>
      <c r="T138" s="3">
        <v>0</v>
      </c>
    </row>
    <row r="139" spans="2:20" x14ac:dyDescent="0.2">
      <c r="B139">
        <v>35083</v>
      </c>
      <c r="C139" s="6">
        <v>6.7468700000000004E-7</v>
      </c>
      <c r="D139" s="1" t="s">
        <v>165</v>
      </c>
      <c r="E139" s="3">
        <v>8546.4</v>
      </c>
      <c r="F139" s="7">
        <v>8.1103994729938379E-5</v>
      </c>
      <c r="G139" s="7">
        <v>8420093760</v>
      </c>
      <c r="H139" s="7">
        <v>0</v>
      </c>
      <c r="I139" s="3">
        <f t="shared" si="2"/>
        <v>9745.4788888888888</v>
      </c>
      <c r="L139" s="1">
        <v>34088</v>
      </c>
      <c r="M139" s="3">
        <v>8.9306299999999992E-6</v>
      </c>
      <c r="N139" s="1" t="s">
        <v>154</v>
      </c>
      <c r="O139" s="1">
        <v>54</v>
      </c>
      <c r="P139" s="1">
        <v>34</v>
      </c>
      <c r="Q139" s="3">
        <v>1.53</v>
      </c>
      <c r="R139" s="3">
        <v>0.45303737291499691</v>
      </c>
      <c r="S139" s="3">
        <v>111454262399.99998</v>
      </c>
      <c r="T139" s="3">
        <v>0</v>
      </c>
    </row>
    <row r="140" spans="2:20" x14ac:dyDescent="0.2">
      <c r="B140">
        <v>35084</v>
      </c>
      <c r="C140" s="6">
        <v>1.9777799999999998E-6</v>
      </c>
      <c r="D140" s="1" t="s">
        <v>166</v>
      </c>
      <c r="E140" s="3">
        <v>1905.6</v>
      </c>
      <c r="F140" s="7">
        <v>3.6374222321575639E-4</v>
      </c>
      <c r="G140" s="7">
        <v>24682694399.999996</v>
      </c>
      <c r="H140" s="7">
        <v>0</v>
      </c>
      <c r="I140" s="3">
        <f t="shared" si="2"/>
        <v>28567.933333333331</v>
      </c>
      <c r="L140" s="1">
        <v>34089</v>
      </c>
      <c r="M140" s="3">
        <v>5.8637600000000003E-6</v>
      </c>
      <c r="N140" s="1" t="s">
        <v>155</v>
      </c>
      <c r="O140" s="1">
        <v>55</v>
      </c>
      <c r="P140" s="1">
        <v>34</v>
      </c>
      <c r="Q140" s="3">
        <v>0.43</v>
      </c>
      <c r="R140" s="3">
        <v>1.61197018734871</v>
      </c>
      <c r="S140" s="3">
        <v>73179724800</v>
      </c>
      <c r="T140" s="3">
        <v>0</v>
      </c>
    </row>
    <row r="141" spans="2:20" x14ac:dyDescent="0.2">
      <c r="B141">
        <v>35085</v>
      </c>
      <c r="C141" s="6">
        <v>5.9023600000000002E-6</v>
      </c>
      <c r="D141" s="1" t="s">
        <v>167</v>
      </c>
      <c r="E141" s="3">
        <v>174</v>
      </c>
      <c r="F141" s="7">
        <v>3.9836044859766972E-3</v>
      </c>
      <c r="G141" s="7">
        <v>73661452800</v>
      </c>
      <c r="H141" s="7">
        <v>0</v>
      </c>
      <c r="I141" s="3">
        <f t="shared" si="2"/>
        <v>85256.311111111107</v>
      </c>
      <c r="L141" s="1">
        <v>34090</v>
      </c>
      <c r="M141" s="3">
        <v>4.5967499999999997E-6</v>
      </c>
      <c r="N141" s="1" t="s">
        <v>156</v>
      </c>
      <c r="O141" s="1">
        <v>56</v>
      </c>
      <c r="P141" s="1">
        <v>34</v>
      </c>
      <c r="Q141" s="3">
        <v>0.19500000000000001</v>
      </c>
      <c r="R141" s="3">
        <v>3.5546009259484372</v>
      </c>
      <c r="S141" s="3">
        <v>57367439999.999992</v>
      </c>
      <c r="T141" s="3">
        <v>0</v>
      </c>
    </row>
    <row r="142" spans="2:20" x14ac:dyDescent="0.2">
      <c r="B142">
        <v>35086</v>
      </c>
      <c r="C142" s="6">
        <v>1.11154E-5</v>
      </c>
      <c r="D142" s="1" t="s">
        <v>168</v>
      </c>
      <c r="E142" s="3">
        <v>55.1</v>
      </c>
      <c r="F142" s="7">
        <v>1.2579803639926411E-2</v>
      </c>
      <c r="G142" s="7">
        <v>138720192000</v>
      </c>
      <c r="H142" s="7">
        <v>0</v>
      </c>
      <c r="I142" s="3">
        <f t="shared" si="2"/>
        <v>160555.77777777778</v>
      </c>
      <c r="L142" s="1">
        <v>34091</v>
      </c>
      <c r="M142" s="3">
        <v>1.25054E-6</v>
      </c>
      <c r="N142" s="1" t="s">
        <v>157</v>
      </c>
      <c r="O142" s="1">
        <v>57</v>
      </c>
      <c r="P142" s="1">
        <v>34</v>
      </c>
      <c r="Q142" s="3">
        <v>0.27</v>
      </c>
      <c r="R142" s="3">
        <v>2.5672117798516489</v>
      </c>
      <c r="S142" s="3">
        <v>15606739200</v>
      </c>
      <c r="T142" s="3">
        <v>0</v>
      </c>
    </row>
    <row r="143" spans="2:20" x14ac:dyDescent="0.2">
      <c r="B143">
        <v>35087</v>
      </c>
      <c r="C143" s="6">
        <v>2.1094499999999999E-5</v>
      </c>
      <c r="D143" s="1" t="s">
        <v>169</v>
      </c>
      <c r="E143" s="3">
        <v>55.65</v>
      </c>
      <c r="F143" s="7">
        <v>1.2455474942676466E-2</v>
      </c>
      <c r="G143" s="7">
        <v>263259360000</v>
      </c>
      <c r="H143" s="7">
        <v>0</v>
      </c>
      <c r="I143" s="3">
        <f t="shared" si="2"/>
        <v>304698.33333333331</v>
      </c>
      <c r="L143" s="1">
        <v>35070</v>
      </c>
      <c r="M143" s="3">
        <v>8.5107100000000004E-7</v>
      </c>
      <c r="N143" s="1" t="s">
        <v>158</v>
      </c>
      <c r="O143" s="1">
        <v>35</v>
      </c>
      <c r="P143" s="1">
        <v>35</v>
      </c>
      <c r="Q143" s="3">
        <v>7.9099999999999906E-2</v>
      </c>
      <c r="R143" s="3">
        <v>8.7629226366617718</v>
      </c>
      <c r="S143" s="3">
        <v>10621366080</v>
      </c>
      <c r="T143" s="3">
        <v>0</v>
      </c>
    </row>
    <row r="144" spans="2:20" x14ac:dyDescent="0.2">
      <c r="B144">
        <v>35088</v>
      </c>
      <c r="C144" s="6">
        <v>2.08134E-5</v>
      </c>
      <c r="D144" s="1" t="s">
        <v>170</v>
      </c>
      <c r="E144" s="3">
        <v>16.34</v>
      </c>
      <c r="F144" s="7">
        <v>4.242026808812395E-2</v>
      </c>
      <c r="G144" s="7">
        <v>259751232000</v>
      </c>
      <c r="H144" s="7">
        <v>0</v>
      </c>
      <c r="I144" s="3">
        <f t="shared" si="2"/>
        <v>300638</v>
      </c>
      <c r="L144" s="1">
        <v>35071</v>
      </c>
      <c r="M144" s="3">
        <v>1.47557E-7</v>
      </c>
      <c r="N144" s="1" t="s">
        <v>159</v>
      </c>
      <c r="O144" s="1">
        <v>36</v>
      </c>
      <c r="P144" s="1">
        <v>35</v>
      </c>
      <c r="Q144" s="3">
        <v>21.4</v>
      </c>
      <c r="R144" s="3">
        <v>3.2390055166352585E-2</v>
      </c>
      <c r="S144" s="3">
        <v>1841511360</v>
      </c>
      <c r="T144" s="3">
        <v>0</v>
      </c>
    </row>
    <row r="145" spans="2:20" x14ac:dyDescent="0.2">
      <c r="B145">
        <v>35089</v>
      </c>
      <c r="C145" s="6">
        <v>2.2754600000000001E-5</v>
      </c>
      <c r="D145" s="1" t="s">
        <v>171</v>
      </c>
      <c r="E145" s="3">
        <v>4.3570000000000002</v>
      </c>
      <c r="F145" s="7">
        <v>0.15908817547852772</v>
      </c>
      <c r="G145" s="7">
        <v>283977408000</v>
      </c>
      <c r="H145" s="7">
        <v>0</v>
      </c>
      <c r="I145" s="3">
        <f t="shared" si="2"/>
        <v>328677.55555555556</v>
      </c>
      <c r="L145" s="1">
        <v>35072</v>
      </c>
      <c r="M145" s="3">
        <v>6.8613400000000002E-8</v>
      </c>
      <c r="N145" s="1" t="s">
        <v>160</v>
      </c>
      <c r="O145" s="1">
        <v>37</v>
      </c>
      <c r="P145" s="1">
        <v>35</v>
      </c>
      <c r="Q145" s="3">
        <v>78.599999999999994</v>
      </c>
      <c r="R145" s="3">
        <v>8.818666419337727E-3</v>
      </c>
      <c r="S145" s="3">
        <v>856295232</v>
      </c>
      <c r="T145" s="3">
        <v>0</v>
      </c>
    </row>
    <row r="146" spans="2:20" x14ac:dyDescent="0.2">
      <c r="B146">
        <v>35090</v>
      </c>
      <c r="C146" s="6">
        <v>1.1881E-5</v>
      </c>
      <c r="D146" s="1" t="s">
        <v>172</v>
      </c>
      <c r="E146" s="3">
        <v>1.92</v>
      </c>
      <c r="F146" s="7">
        <v>0.36101415654163821</v>
      </c>
      <c r="G146" s="7">
        <v>148274880000</v>
      </c>
      <c r="H146" s="7">
        <v>0</v>
      </c>
      <c r="I146" s="3">
        <f t="shared" si="2"/>
        <v>171614.44444444444</v>
      </c>
      <c r="L146" s="1">
        <v>35073</v>
      </c>
      <c r="M146" s="3">
        <v>6.9800000000000003E-9</v>
      </c>
      <c r="N146" s="1" t="s">
        <v>161</v>
      </c>
      <c r="O146" s="1">
        <v>38</v>
      </c>
      <c r="P146" s="1">
        <v>35</v>
      </c>
      <c r="Q146" s="3">
        <v>204</v>
      </c>
      <c r="R146" s="3">
        <v>3.3977802968624769E-3</v>
      </c>
      <c r="S146" s="3">
        <v>87110400</v>
      </c>
      <c r="T146" s="3">
        <v>0</v>
      </c>
    </row>
    <row r="147" spans="2:20" x14ac:dyDescent="0.2">
      <c r="B147">
        <v>35091</v>
      </c>
      <c r="C147" s="6">
        <v>7.73377E-6</v>
      </c>
      <c r="D147" s="1" t="s">
        <v>173</v>
      </c>
      <c r="E147" s="3">
        <v>0.54300000000000004</v>
      </c>
      <c r="F147" s="7">
        <v>1.2765141446776156</v>
      </c>
      <c r="G147" s="7">
        <v>96517449600</v>
      </c>
      <c r="H147" s="7">
        <v>0</v>
      </c>
      <c r="I147" s="3">
        <f t="shared" si="2"/>
        <v>111710.01111111112</v>
      </c>
      <c r="L147" s="1">
        <v>35074</v>
      </c>
      <c r="M147" s="3">
        <v>2.5826000000000002E-9</v>
      </c>
      <c r="N147" s="1" t="s">
        <v>174</v>
      </c>
      <c r="O147" s="1">
        <v>39</v>
      </c>
      <c r="P147" s="1">
        <v>35</v>
      </c>
      <c r="Q147" s="3">
        <v>1524</v>
      </c>
      <c r="R147" s="3">
        <v>4.5482098461938666E-4</v>
      </c>
      <c r="S147" s="3">
        <v>32230848.000000004</v>
      </c>
      <c r="T147" s="3">
        <v>0</v>
      </c>
    </row>
    <row r="148" spans="2:20" x14ac:dyDescent="0.2">
      <c r="B148">
        <v>35092</v>
      </c>
      <c r="C148" s="6">
        <v>2.3635700000000001E-6</v>
      </c>
      <c r="D148" s="1" t="s">
        <v>175</v>
      </c>
      <c r="E148" s="3">
        <v>0.314</v>
      </c>
      <c r="F148" s="7">
        <v>2.2074750973246666</v>
      </c>
      <c r="G148" s="7">
        <v>29497353600</v>
      </c>
      <c r="H148" s="7">
        <v>0</v>
      </c>
      <c r="I148" s="3">
        <f t="shared" si="2"/>
        <v>34140.455555555556</v>
      </c>
      <c r="L148" s="1">
        <v>35075</v>
      </c>
      <c r="M148" s="3">
        <v>2.094E-10</v>
      </c>
      <c r="N148" s="1" t="s">
        <v>176</v>
      </c>
      <c r="O148" s="1">
        <v>40</v>
      </c>
      <c r="P148" s="1">
        <v>35</v>
      </c>
      <c r="Q148" s="3">
        <v>5802</v>
      </c>
      <c r="R148" s="3">
        <v>1.1946693908306538E-4</v>
      </c>
      <c r="S148" s="3">
        <v>2613312</v>
      </c>
      <c r="T148" s="3">
        <v>0</v>
      </c>
    </row>
    <row r="149" spans="2:20" x14ac:dyDescent="0.2">
      <c r="B149">
        <v>36071</v>
      </c>
      <c r="C149" s="6">
        <v>9.1500800000000004E-7</v>
      </c>
      <c r="D149" s="1" t="s">
        <v>177</v>
      </c>
      <c r="E149" s="3">
        <v>0.1</v>
      </c>
      <c r="F149" s="7">
        <v>6.9314718055994522</v>
      </c>
      <c r="G149" s="7">
        <v>11419299840</v>
      </c>
      <c r="H149" s="7">
        <v>0</v>
      </c>
      <c r="I149" s="3">
        <f t="shared" si="2"/>
        <v>13216.782222222222</v>
      </c>
      <c r="L149" s="1">
        <v>35076</v>
      </c>
      <c r="M149" s="3">
        <v>6.9799999999999994E-11</v>
      </c>
      <c r="N149" s="1" t="s">
        <v>178</v>
      </c>
      <c r="O149" s="1">
        <v>41</v>
      </c>
      <c r="P149" s="1">
        <v>35</v>
      </c>
      <c r="Q149" s="3">
        <v>58320</v>
      </c>
      <c r="R149" s="3">
        <v>1.1885239721535413E-5</v>
      </c>
      <c r="S149" s="3">
        <v>871073.7749958958</v>
      </c>
      <c r="T149" s="3">
        <v>1.4483452465187685E-157</v>
      </c>
    </row>
    <row r="150" spans="2:20" x14ac:dyDescent="0.2">
      <c r="B150">
        <v>36072</v>
      </c>
      <c r="C150" s="6">
        <v>2.8799500000000001E-7</v>
      </c>
      <c r="D150" s="1" t="s">
        <v>179</v>
      </c>
      <c r="E150" s="3">
        <v>17.100000000000001</v>
      </c>
      <c r="F150" s="7">
        <v>4.0534922839762878E-2</v>
      </c>
      <c r="G150" s="7">
        <v>3594177600</v>
      </c>
      <c r="H150" s="7">
        <v>0</v>
      </c>
      <c r="I150" s="3">
        <f t="shared" si="2"/>
        <v>4159.9277777777779</v>
      </c>
      <c r="L150" s="1">
        <v>35080</v>
      </c>
      <c r="M150" s="3">
        <v>1.3959999999999999E-10</v>
      </c>
      <c r="N150" s="1" t="s">
        <v>163</v>
      </c>
      <c r="O150" s="1">
        <v>45</v>
      </c>
      <c r="P150" s="1">
        <v>35</v>
      </c>
      <c r="Q150" s="3">
        <v>1060.8</v>
      </c>
      <c r="R150" s="3">
        <v>6.5341928785816864E-4</v>
      </c>
      <c r="S150" s="3">
        <v>1742207.9999999998</v>
      </c>
      <c r="T150" s="3">
        <v>0</v>
      </c>
    </row>
    <row r="151" spans="2:20" x14ac:dyDescent="0.2">
      <c r="B151">
        <v>36073</v>
      </c>
      <c r="C151" s="6">
        <v>5.9330000000000003E-8</v>
      </c>
      <c r="D151" s="1" t="s">
        <v>180</v>
      </c>
      <c r="E151" s="3">
        <v>27.3</v>
      </c>
      <c r="F151" s="7">
        <v>2.539000661391741E-2</v>
      </c>
      <c r="G151" s="7">
        <v>740438400</v>
      </c>
      <c r="H151" s="7">
        <v>0</v>
      </c>
      <c r="I151" s="3">
        <f t="shared" si="2"/>
        <v>856.98888888888894</v>
      </c>
      <c r="L151" s="1">
        <v>35082</v>
      </c>
      <c r="M151" s="3">
        <v>1.0051199999999999E-8</v>
      </c>
      <c r="N151" s="1" t="s">
        <v>164</v>
      </c>
      <c r="O151" s="1">
        <v>47</v>
      </c>
      <c r="P151" s="1">
        <v>35</v>
      </c>
      <c r="Q151" s="3">
        <v>127015.19999999899</v>
      </c>
      <c r="R151" s="3">
        <v>5.4571986703949669E-6</v>
      </c>
      <c r="S151" s="3">
        <v>124315081.66158687</v>
      </c>
      <c r="T151" s="3">
        <v>2.2553695570106742E-67</v>
      </c>
    </row>
    <row r="152" spans="2:20" x14ac:dyDescent="0.2">
      <c r="B152">
        <v>36074</v>
      </c>
      <c r="C152" s="6">
        <v>1.04002E-8</v>
      </c>
      <c r="D152" s="1" t="s">
        <v>181</v>
      </c>
      <c r="E152" s="3">
        <v>690</v>
      </c>
      <c r="F152" s="7">
        <v>1.0045611312462974E-3</v>
      </c>
      <c r="G152" s="7">
        <v>129794496</v>
      </c>
      <c r="H152" s="7">
        <v>0</v>
      </c>
      <c r="I152" s="3">
        <f t="shared" si="2"/>
        <v>150.22511111111112</v>
      </c>
      <c r="L152" s="1">
        <v>35083</v>
      </c>
      <c r="M152" s="3">
        <v>8.5574799999999999E-8</v>
      </c>
      <c r="N152" s="1" t="s">
        <v>165</v>
      </c>
      <c r="O152" s="1">
        <v>48</v>
      </c>
      <c r="P152" s="1">
        <v>35</v>
      </c>
      <c r="Q152" s="3">
        <v>8546.4</v>
      </c>
      <c r="R152" s="3">
        <v>8.1103994729938379E-5</v>
      </c>
      <c r="S152" s="3">
        <v>1067973504</v>
      </c>
      <c r="T152" s="3">
        <v>0</v>
      </c>
    </row>
    <row r="153" spans="2:20" x14ac:dyDescent="0.2">
      <c r="B153">
        <v>36075</v>
      </c>
      <c r="C153" s="6">
        <v>2.3732E-9</v>
      </c>
      <c r="D153" s="1" t="s">
        <v>182</v>
      </c>
      <c r="E153" s="3">
        <v>276</v>
      </c>
      <c r="F153" s="7">
        <v>2.5114028281157438E-3</v>
      </c>
      <c r="G153" s="7">
        <v>29617536</v>
      </c>
      <c r="H153" s="7">
        <v>0</v>
      </c>
      <c r="I153" s="3">
        <f t="shared" si="2"/>
        <v>34.279555555555561</v>
      </c>
      <c r="L153" s="1">
        <v>35084</v>
      </c>
      <c r="M153" s="3">
        <v>2.9211300000000002E-7</v>
      </c>
      <c r="N153" s="1" t="s">
        <v>166</v>
      </c>
      <c r="O153" s="1">
        <v>49</v>
      </c>
      <c r="P153" s="1">
        <v>35</v>
      </c>
      <c r="Q153" s="3">
        <v>1905.6</v>
      </c>
      <c r="R153" s="3">
        <v>3.6374222321575639E-4</v>
      </c>
      <c r="S153" s="3">
        <v>3645570240</v>
      </c>
      <c r="T153" s="3">
        <v>0</v>
      </c>
    </row>
    <row r="154" spans="2:20" x14ac:dyDescent="0.2">
      <c r="B154">
        <v>36076</v>
      </c>
      <c r="C154" s="6">
        <v>2.7919999999999998E-10</v>
      </c>
      <c r="D154" s="1" t="s">
        <v>183</v>
      </c>
      <c r="E154" s="3">
        <v>53280</v>
      </c>
      <c r="F154" s="7">
        <v>1.3009519154653629E-5</v>
      </c>
      <c r="G154" s="7">
        <v>3484370.2319402164</v>
      </c>
      <c r="H154" s="7">
        <v>2.316917900924812E-172</v>
      </c>
      <c r="I154" s="3">
        <f t="shared" si="2"/>
        <v>4.032835916597473</v>
      </c>
      <c r="L154" s="1">
        <v>35085</v>
      </c>
      <c r="M154" s="3">
        <v>1.9753399999999998E-6</v>
      </c>
      <c r="N154" s="1" t="s">
        <v>167</v>
      </c>
      <c r="O154" s="1">
        <v>50</v>
      </c>
      <c r="P154" s="1">
        <v>35</v>
      </c>
      <c r="Q154" s="3">
        <v>174</v>
      </c>
      <c r="R154" s="3">
        <v>3.9836044859766972E-3</v>
      </c>
      <c r="S154" s="3">
        <v>24652243199.999996</v>
      </c>
      <c r="T154" s="3">
        <v>0</v>
      </c>
    </row>
    <row r="155" spans="2:20" x14ac:dyDescent="0.2">
      <c r="B155">
        <v>36077</v>
      </c>
      <c r="C155" s="6">
        <v>6.9799999999999994E-11</v>
      </c>
      <c r="D155" s="1" t="s">
        <v>184</v>
      </c>
      <c r="E155" s="3">
        <v>4464</v>
      </c>
      <c r="F155" s="7">
        <v>1.5527490603941426E-4</v>
      </c>
      <c r="G155" s="7">
        <v>871103.99999999988</v>
      </c>
      <c r="H155" s="7">
        <v>0</v>
      </c>
      <c r="I155" s="3">
        <f t="shared" si="2"/>
        <v>1.0082222222222221</v>
      </c>
      <c r="L155" s="1">
        <v>35086</v>
      </c>
      <c r="M155" s="3">
        <v>3.5823500000000001E-6</v>
      </c>
      <c r="N155" s="1" t="s">
        <v>168</v>
      </c>
      <c r="O155" s="1">
        <v>51</v>
      </c>
      <c r="P155" s="1">
        <v>35</v>
      </c>
      <c r="Q155" s="3">
        <v>55.1</v>
      </c>
      <c r="R155" s="3">
        <v>1.2579803639926411E-2</v>
      </c>
      <c r="S155" s="3">
        <v>44707728000</v>
      </c>
      <c r="T155" s="3">
        <v>0</v>
      </c>
    </row>
    <row r="156" spans="2:20" x14ac:dyDescent="0.2">
      <c r="B156">
        <v>36079</v>
      </c>
      <c r="C156" s="6">
        <v>6.9799999999999994E-11</v>
      </c>
      <c r="D156" s="1" t="s">
        <v>185</v>
      </c>
      <c r="E156" s="3">
        <v>126144</v>
      </c>
      <c r="F156" s="7">
        <v>5.4948882274221945E-6</v>
      </c>
      <c r="G156" s="7">
        <v>863549.23912335758</v>
      </c>
      <c r="H156" s="7">
        <v>4.7729643422035211E-70</v>
      </c>
      <c r="I156" s="3">
        <f t="shared" si="2"/>
        <v>0.99947828602240452</v>
      </c>
      <c r="L156" s="1">
        <v>35087</v>
      </c>
      <c r="M156" s="3">
        <v>8.5490999999999992E-6</v>
      </c>
      <c r="N156" s="1" t="s">
        <v>169</v>
      </c>
      <c r="O156" s="1">
        <v>52</v>
      </c>
      <c r="P156" s="1">
        <v>35</v>
      </c>
      <c r="Q156" s="3">
        <v>55.65</v>
      </c>
      <c r="R156" s="3">
        <v>1.2455474942676466E-2</v>
      </c>
      <c r="S156" s="3">
        <v>106692767999.99998</v>
      </c>
      <c r="T156" s="3">
        <v>0</v>
      </c>
    </row>
    <row r="157" spans="2:20" x14ac:dyDescent="0.2">
      <c r="B157">
        <v>36081</v>
      </c>
      <c r="C157" s="6">
        <v>3.6296E-9</v>
      </c>
      <c r="D157" s="1" t="s">
        <v>186</v>
      </c>
      <c r="E157" s="3">
        <v>7226690400000</v>
      </c>
      <c r="F157" s="7">
        <v>9.5914885264760377E-14</v>
      </c>
      <c r="G157" s="7">
        <v>3.7538169193239241</v>
      </c>
      <c r="H157" s="7">
        <v>3.7538055649014548</v>
      </c>
      <c r="I157" s="3">
        <f t="shared" si="2"/>
        <v>4.3446955084767638E-6</v>
      </c>
      <c r="L157" s="1">
        <v>35088</v>
      </c>
      <c r="M157" s="3">
        <v>1.15686E-5</v>
      </c>
      <c r="N157" s="1" t="s">
        <v>170</v>
      </c>
      <c r="O157" s="1">
        <v>53</v>
      </c>
      <c r="P157" s="1">
        <v>35</v>
      </c>
      <c r="Q157" s="3">
        <v>16.34</v>
      </c>
      <c r="R157" s="3">
        <v>4.242026808812395E-2</v>
      </c>
      <c r="S157" s="3">
        <v>144376128000</v>
      </c>
      <c r="T157" s="3">
        <v>0</v>
      </c>
    </row>
    <row r="158" spans="2:20" x14ac:dyDescent="0.2">
      <c r="B158">
        <v>36085</v>
      </c>
      <c r="C158" s="6">
        <v>1.2485100000000001E-6</v>
      </c>
      <c r="D158" s="1" t="s">
        <v>187</v>
      </c>
      <c r="E158" s="3">
        <v>338897066.39999998</v>
      </c>
      <c r="F158" s="7">
        <v>2.045302982179917E-9</v>
      </c>
      <c r="G158" s="7">
        <v>27510236.95668694</v>
      </c>
      <c r="H158" s="7">
        <v>25791823.253285214</v>
      </c>
      <c r="I158" s="3">
        <f t="shared" si="2"/>
        <v>31.840552033202478</v>
      </c>
      <c r="L158" s="1">
        <v>35089</v>
      </c>
      <c r="M158" s="3">
        <v>1.78453E-5</v>
      </c>
      <c r="N158" s="1" t="s">
        <v>171</v>
      </c>
      <c r="O158" s="1">
        <v>54</v>
      </c>
      <c r="P158" s="1">
        <v>35</v>
      </c>
      <c r="Q158" s="3">
        <v>4.3570000000000002</v>
      </c>
      <c r="R158" s="3">
        <v>0.15908817547852772</v>
      </c>
      <c r="S158" s="3">
        <v>222709344000</v>
      </c>
      <c r="T158" s="3">
        <v>0</v>
      </c>
    </row>
    <row r="159" spans="2:20" x14ac:dyDescent="0.2">
      <c r="B159">
        <v>36087</v>
      </c>
      <c r="C159" s="6">
        <v>8.6558999999999996E-6</v>
      </c>
      <c r="D159" s="1" t="s">
        <v>188</v>
      </c>
      <c r="E159" s="3">
        <v>4578</v>
      </c>
      <c r="F159" s="7">
        <v>1.5140829632152584E-4</v>
      </c>
      <c r="G159" s="7">
        <v>108025632000</v>
      </c>
      <c r="H159" s="7">
        <v>0</v>
      </c>
      <c r="I159" s="3">
        <f t="shared" si="2"/>
        <v>125029.66666666667</v>
      </c>
      <c r="L159" s="1">
        <v>35090</v>
      </c>
      <c r="M159" s="3">
        <v>1.3694599999999999E-5</v>
      </c>
      <c r="N159" s="1" t="s">
        <v>172</v>
      </c>
      <c r="O159" s="1">
        <v>55</v>
      </c>
      <c r="P159" s="1">
        <v>35</v>
      </c>
      <c r="Q159" s="3">
        <v>1.92</v>
      </c>
      <c r="R159" s="3">
        <v>0.36101415654163821</v>
      </c>
      <c r="S159" s="3">
        <v>170908608000</v>
      </c>
      <c r="T159" s="3">
        <v>0</v>
      </c>
    </row>
    <row r="160" spans="2:20" x14ac:dyDescent="0.2">
      <c r="B160">
        <v>36088</v>
      </c>
      <c r="C160" s="6">
        <v>1.8726E-5</v>
      </c>
      <c r="D160" s="1" t="s">
        <v>189</v>
      </c>
      <c r="E160" s="3">
        <v>10170</v>
      </c>
      <c r="F160" s="7">
        <v>6.8156064951813692E-5</v>
      </c>
      <c r="G160" s="7">
        <v>233700480000</v>
      </c>
      <c r="H160" s="7">
        <v>0</v>
      </c>
      <c r="I160" s="3">
        <f t="shared" si="2"/>
        <v>270486.66666666669</v>
      </c>
      <c r="L160" s="1">
        <v>35091</v>
      </c>
      <c r="M160" s="3">
        <v>1.28729E-5</v>
      </c>
      <c r="N160" s="1" t="s">
        <v>173</v>
      </c>
      <c r="O160" s="1">
        <v>56</v>
      </c>
      <c r="P160" s="1">
        <v>35</v>
      </c>
      <c r="Q160" s="3">
        <v>0.54300000000000004</v>
      </c>
      <c r="R160" s="3">
        <v>1.2765141446776156</v>
      </c>
      <c r="S160" s="3">
        <v>160653792000</v>
      </c>
      <c r="T160" s="3">
        <v>0</v>
      </c>
    </row>
    <row r="161" spans="2:20" x14ac:dyDescent="0.2">
      <c r="B161">
        <v>36089</v>
      </c>
      <c r="C161" s="6">
        <v>3.0769899999999998E-5</v>
      </c>
      <c r="D161" s="1" t="s">
        <v>190</v>
      </c>
      <c r="E161" s="3">
        <v>189</v>
      </c>
      <c r="F161" s="7">
        <v>3.6674453997880704E-3</v>
      </c>
      <c r="G161" s="7">
        <v>384008352000</v>
      </c>
      <c r="H161" s="7">
        <v>0</v>
      </c>
      <c r="I161" s="3">
        <f t="shared" si="2"/>
        <v>444454.11111111112</v>
      </c>
      <c r="L161" s="1">
        <v>35092</v>
      </c>
      <c r="M161" s="3">
        <v>5.4033600000000004E-6</v>
      </c>
      <c r="N161" s="1" t="s">
        <v>175</v>
      </c>
      <c r="O161" s="1">
        <v>57</v>
      </c>
      <c r="P161" s="1">
        <v>35</v>
      </c>
      <c r="Q161" s="3">
        <v>0.314</v>
      </c>
      <c r="R161" s="3">
        <v>2.2074750973246666</v>
      </c>
      <c r="S161" s="3">
        <v>67433932800.000008</v>
      </c>
      <c r="T161" s="3">
        <v>0</v>
      </c>
    </row>
    <row r="162" spans="2:20" x14ac:dyDescent="0.2">
      <c r="B162">
        <v>36090</v>
      </c>
      <c r="C162" s="6">
        <v>4.4976399999999999E-5</v>
      </c>
      <c r="D162" s="1" t="s">
        <v>191</v>
      </c>
      <c r="E162" s="3">
        <v>32.32</v>
      </c>
      <c r="F162" s="7">
        <v>2.1446385537127018E-2</v>
      </c>
      <c r="G162" s="7">
        <v>561305472000</v>
      </c>
      <c r="H162" s="7">
        <v>0</v>
      </c>
      <c r="I162" s="3">
        <f t="shared" si="2"/>
        <v>649659.11111111112</v>
      </c>
      <c r="L162" s="1">
        <v>36071</v>
      </c>
      <c r="M162" s="3">
        <v>3.3900499999999998E-6</v>
      </c>
      <c r="N162" s="1" t="s">
        <v>177</v>
      </c>
      <c r="O162" s="1">
        <v>35</v>
      </c>
      <c r="P162" s="1">
        <v>36</v>
      </c>
      <c r="Q162" s="3">
        <v>0.1</v>
      </c>
      <c r="R162" s="3">
        <v>6.9314718055994522</v>
      </c>
      <c r="S162" s="3">
        <v>42307824000</v>
      </c>
      <c r="T162" s="3">
        <v>0</v>
      </c>
    </row>
    <row r="163" spans="2:20" x14ac:dyDescent="0.2">
      <c r="B163">
        <v>36091</v>
      </c>
      <c r="C163" s="6">
        <v>4.1325800000000003E-5</v>
      </c>
      <c r="D163" s="1" t="s">
        <v>192</v>
      </c>
      <c r="E163" s="3">
        <v>8.57</v>
      </c>
      <c r="F163" s="7">
        <v>8.0880651173855928E-2</v>
      </c>
      <c r="G163" s="7">
        <v>515745984000.00006</v>
      </c>
      <c r="H163" s="7">
        <v>0</v>
      </c>
      <c r="I163" s="3">
        <f t="shared" si="2"/>
        <v>596928.22222222236</v>
      </c>
      <c r="L163" s="1">
        <v>36072</v>
      </c>
      <c r="M163" s="3">
        <v>2.6595900000000001E-6</v>
      </c>
      <c r="N163" s="1" t="s">
        <v>179</v>
      </c>
      <c r="O163" s="1">
        <v>36</v>
      </c>
      <c r="P163" s="1">
        <v>36</v>
      </c>
      <c r="Q163" s="3">
        <v>17.100000000000001</v>
      </c>
      <c r="R163" s="3">
        <v>4.0534922839762878E-2</v>
      </c>
      <c r="S163" s="3">
        <v>33191683200</v>
      </c>
      <c r="T163" s="3">
        <v>0</v>
      </c>
    </row>
    <row r="164" spans="2:20" x14ac:dyDescent="0.2">
      <c r="B164">
        <v>36092</v>
      </c>
      <c r="C164" s="6">
        <v>3.6357099999999998E-5</v>
      </c>
      <c r="D164" s="1" t="s">
        <v>193</v>
      </c>
      <c r="E164" s="3">
        <v>1.84</v>
      </c>
      <c r="F164" s="7">
        <v>0.37671042421736156</v>
      </c>
      <c r="G164" s="7">
        <v>453736608000</v>
      </c>
      <c r="H164" s="7">
        <v>0</v>
      </c>
      <c r="I164" s="3">
        <f t="shared" si="2"/>
        <v>525158.11111111112</v>
      </c>
      <c r="L164" s="1">
        <v>36073</v>
      </c>
      <c r="M164" s="3">
        <v>6.2331399999999999E-7</v>
      </c>
      <c r="N164" s="1" t="s">
        <v>180</v>
      </c>
      <c r="O164" s="1">
        <v>37</v>
      </c>
      <c r="P164" s="1">
        <v>36</v>
      </c>
      <c r="Q164" s="3">
        <v>27.3</v>
      </c>
      <c r="R164" s="3">
        <v>2.539000661391741E-2</v>
      </c>
      <c r="S164" s="3">
        <v>7778958720</v>
      </c>
      <c r="T164" s="3">
        <v>0</v>
      </c>
    </row>
    <row r="165" spans="2:20" x14ac:dyDescent="0.2">
      <c r="B165">
        <v>36093</v>
      </c>
      <c r="C165" s="6">
        <v>1.60266E-5</v>
      </c>
      <c r="D165" s="1" t="s">
        <v>194</v>
      </c>
      <c r="E165" s="3">
        <v>1.286</v>
      </c>
      <c r="F165" s="7">
        <v>0.53899469716947535</v>
      </c>
      <c r="G165" s="7">
        <v>200011968000</v>
      </c>
      <c r="H165" s="7">
        <v>0</v>
      </c>
      <c r="I165" s="3">
        <f t="shared" si="2"/>
        <v>231495.33333333334</v>
      </c>
      <c r="L165" s="1">
        <v>36074</v>
      </c>
      <c r="M165" s="3">
        <v>1.0400199999999999E-7</v>
      </c>
      <c r="N165" s="1" t="s">
        <v>181</v>
      </c>
      <c r="O165" s="1">
        <v>38</v>
      </c>
      <c r="P165" s="1">
        <v>36</v>
      </c>
      <c r="Q165" s="3">
        <v>690</v>
      </c>
      <c r="R165" s="3">
        <v>1.0045611312462974E-3</v>
      </c>
      <c r="S165" s="3">
        <v>1297944960</v>
      </c>
      <c r="T165" s="3">
        <v>0</v>
      </c>
    </row>
    <row r="166" spans="2:20" x14ac:dyDescent="0.2">
      <c r="B166">
        <v>36094</v>
      </c>
      <c r="C166" s="6">
        <v>7.7108099999999998E-6</v>
      </c>
      <c r="D166" s="1" t="s">
        <v>195</v>
      </c>
      <c r="E166" s="3">
        <v>0.21199999999999999</v>
      </c>
      <c r="F166" s="7">
        <v>3.2695621724525723</v>
      </c>
      <c r="G166" s="7">
        <v>96230908800</v>
      </c>
      <c r="H166" s="7">
        <v>0</v>
      </c>
      <c r="I166" s="3">
        <f t="shared" si="2"/>
        <v>111378.36666666667</v>
      </c>
      <c r="L166" s="1">
        <v>36075</v>
      </c>
      <c r="M166" s="3">
        <v>3.8808800000000003E-8</v>
      </c>
      <c r="N166" s="1" t="s">
        <v>182</v>
      </c>
      <c r="O166" s="1">
        <v>39</v>
      </c>
      <c r="P166" s="1">
        <v>36</v>
      </c>
      <c r="Q166" s="3">
        <v>276</v>
      </c>
      <c r="R166" s="3">
        <v>2.5114028281157438E-3</v>
      </c>
      <c r="S166" s="3">
        <v>484333824.00000006</v>
      </c>
      <c r="T166" s="3">
        <v>0</v>
      </c>
    </row>
    <row r="167" spans="2:20" x14ac:dyDescent="0.2">
      <c r="B167">
        <v>36095</v>
      </c>
      <c r="C167" s="6">
        <v>1.9912500000000002E-6</v>
      </c>
      <c r="D167" s="1" t="s">
        <v>196</v>
      </c>
      <c r="E167" s="3">
        <v>0.114</v>
      </c>
      <c r="F167" s="7">
        <v>6.0802384259644322</v>
      </c>
      <c r="G167" s="7">
        <v>24850800000.000004</v>
      </c>
      <c r="H167" s="7">
        <v>0</v>
      </c>
      <c r="I167" s="3">
        <f t="shared" si="2"/>
        <v>28762.500000000004</v>
      </c>
      <c r="L167" s="1">
        <v>36076</v>
      </c>
      <c r="M167" s="3">
        <v>4.9557999999999998E-9</v>
      </c>
      <c r="N167" s="1" t="s">
        <v>183</v>
      </c>
      <c r="O167" s="1">
        <v>40</v>
      </c>
      <c r="P167" s="1">
        <v>36</v>
      </c>
      <c r="Q167" s="3">
        <v>53280</v>
      </c>
      <c r="R167" s="3">
        <v>1.3009519154653629E-5</v>
      </c>
      <c r="S167" s="3">
        <v>61847571.616938844</v>
      </c>
      <c r="T167" s="3">
        <v>4.1125292741415418E-171</v>
      </c>
    </row>
    <row r="168" spans="2:20" x14ac:dyDescent="0.2">
      <c r="B168">
        <v>36096</v>
      </c>
      <c r="C168" s="6">
        <v>6.5514300000000001E-7</v>
      </c>
      <c r="D168" s="1" t="s">
        <v>197</v>
      </c>
      <c r="E168" s="3">
        <v>0.08</v>
      </c>
      <c r="F168" s="7">
        <v>8.6643397569993166</v>
      </c>
      <c r="G168" s="7">
        <v>8176184640</v>
      </c>
      <c r="H168" s="7">
        <v>0</v>
      </c>
      <c r="I168" s="3">
        <f t="shared" si="2"/>
        <v>9463.1766666666663</v>
      </c>
      <c r="L168" s="1">
        <v>36077</v>
      </c>
      <c r="M168" s="3">
        <v>1.4658E-9</v>
      </c>
      <c r="N168" s="1" t="s">
        <v>184</v>
      </c>
      <c r="O168" s="1">
        <v>41</v>
      </c>
      <c r="P168" s="1">
        <v>36</v>
      </c>
      <c r="Q168" s="3">
        <v>4464</v>
      </c>
      <c r="R168" s="3">
        <v>1.5527490603941426E-4</v>
      </c>
      <c r="S168" s="3">
        <v>18293184</v>
      </c>
      <c r="T168" s="3">
        <v>0</v>
      </c>
    </row>
    <row r="169" spans="2:20" x14ac:dyDescent="0.2">
      <c r="B169">
        <v>36097</v>
      </c>
      <c r="C169" s="6">
        <v>1.0484E-7</v>
      </c>
      <c r="D169" s="1" t="s">
        <v>198</v>
      </c>
      <c r="E169" s="3">
        <v>6.3E-2</v>
      </c>
      <c r="F169" s="7">
        <v>11.00233619936421</v>
      </c>
      <c r="G169" s="7">
        <v>1308403200</v>
      </c>
      <c r="H169" s="7">
        <v>0</v>
      </c>
      <c r="I169" s="3">
        <f t="shared" si="2"/>
        <v>1514.3555555555556</v>
      </c>
      <c r="L169" s="1">
        <v>36078</v>
      </c>
      <c r="M169" s="3">
        <v>6.9799999999999994E-11</v>
      </c>
      <c r="N169" s="1" t="s">
        <v>199</v>
      </c>
      <c r="O169" s="1">
        <v>42</v>
      </c>
      <c r="P169" s="1">
        <v>36</v>
      </c>
      <c r="Q169" s="3">
        <v>4.73364E+28</v>
      </c>
      <c r="R169" s="3">
        <v>1.4643005817086752E-29</v>
      </c>
      <c r="S169" s="3">
        <v>0</v>
      </c>
      <c r="T169" s="3">
        <v>0</v>
      </c>
    </row>
    <row r="170" spans="2:20" x14ac:dyDescent="0.2">
      <c r="B170">
        <v>37074</v>
      </c>
      <c r="C170" s="6">
        <v>2.2335999999999999E-8</v>
      </c>
      <c r="D170" s="1" t="s">
        <v>200</v>
      </c>
      <c r="E170" s="3">
        <v>6.4899999999999999E-2</v>
      </c>
      <c r="F170" s="7">
        <v>10.680233906932902</v>
      </c>
      <c r="G170" s="7">
        <v>278753280</v>
      </c>
      <c r="H170" s="7">
        <v>0</v>
      </c>
      <c r="I170" s="3">
        <f t="shared" si="2"/>
        <v>322.63111111111112</v>
      </c>
      <c r="L170" s="1">
        <v>36079</v>
      </c>
      <c r="M170" s="3">
        <v>6.9799999999999994E-11</v>
      </c>
      <c r="N170" s="1" t="s">
        <v>185</v>
      </c>
      <c r="O170" s="1">
        <v>43</v>
      </c>
      <c r="P170" s="1">
        <v>36</v>
      </c>
      <c r="Q170" s="3">
        <v>126144</v>
      </c>
      <c r="R170" s="3">
        <v>5.4948882274221945E-6</v>
      </c>
      <c r="S170" s="3">
        <v>863549.23912335758</v>
      </c>
      <c r="T170" s="3">
        <v>4.7729643422035211E-70</v>
      </c>
    </row>
    <row r="171" spans="2:20" x14ac:dyDescent="0.2">
      <c r="B171">
        <v>37075</v>
      </c>
      <c r="C171" s="6">
        <v>2.6524000000000001E-9</v>
      </c>
      <c r="D171" s="1" t="s">
        <v>201</v>
      </c>
      <c r="E171" s="3">
        <v>19</v>
      </c>
      <c r="F171" s="7">
        <v>3.6481430555786593E-2</v>
      </c>
      <c r="G171" s="7">
        <v>33101952</v>
      </c>
      <c r="H171" s="7">
        <v>0</v>
      </c>
      <c r="I171" s="3">
        <f t="shared" si="2"/>
        <v>38.312444444444452</v>
      </c>
      <c r="L171" s="1">
        <v>36085</v>
      </c>
      <c r="M171" s="3">
        <v>5.90508E-8</v>
      </c>
      <c r="N171" s="1" t="s">
        <v>187</v>
      </c>
      <c r="O171" s="1">
        <v>49</v>
      </c>
      <c r="P171" s="1">
        <v>36</v>
      </c>
      <c r="Q171" s="3">
        <v>338897066.39999998</v>
      </c>
      <c r="R171" s="3">
        <v>2.045302982179917E-9</v>
      </c>
      <c r="S171" s="3">
        <v>1301152.173776685</v>
      </c>
      <c r="T171" s="3">
        <v>1219876.3298372417</v>
      </c>
    </row>
    <row r="172" spans="2:20" x14ac:dyDescent="0.2">
      <c r="B172">
        <v>37076</v>
      </c>
      <c r="C172" s="6">
        <v>6.2819999999999996E-10</v>
      </c>
      <c r="D172" s="1" t="s">
        <v>202</v>
      </c>
      <c r="E172" s="3">
        <v>36.5</v>
      </c>
      <c r="F172" s="7">
        <v>1.8990333713971103E-2</v>
      </c>
      <c r="G172" s="7">
        <v>7839935.9999999991</v>
      </c>
      <c r="H172" s="7">
        <v>0</v>
      </c>
      <c r="I172" s="3">
        <f t="shared" si="2"/>
        <v>9.0739999999999981</v>
      </c>
      <c r="L172" s="1">
        <v>36087</v>
      </c>
      <c r="M172" s="3">
        <v>1.6130799999999999E-6</v>
      </c>
      <c r="N172" s="1" t="s">
        <v>188</v>
      </c>
      <c r="O172" s="1">
        <v>51</v>
      </c>
      <c r="P172" s="1">
        <v>36</v>
      </c>
      <c r="Q172" s="3">
        <v>4578</v>
      </c>
      <c r="R172" s="3">
        <v>1.5140829632152584E-4</v>
      </c>
      <c r="S172" s="3">
        <v>20131238400</v>
      </c>
      <c r="T172" s="3">
        <v>0</v>
      </c>
    </row>
    <row r="173" spans="2:20" x14ac:dyDescent="0.2">
      <c r="B173">
        <v>37082</v>
      </c>
      <c r="C173" s="6">
        <v>1.3959999999999999E-10</v>
      </c>
      <c r="D173" s="1" t="s">
        <v>203</v>
      </c>
      <c r="E173" s="3">
        <v>75.45</v>
      </c>
      <c r="F173" s="7">
        <v>9.1868413593100759E-3</v>
      </c>
      <c r="G173" s="7">
        <v>1742207.9999999998</v>
      </c>
      <c r="H173" s="7">
        <v>0</v>
      </c>
      <c r="I173" s="3">
        <f t="shared" si="2"/>
        <v>2.0164444444444443</v>
      </c>
      <c r="L173" s="1">
        <v>36088</v>
      </c>
      <c r="M173" s="3">
        <v>5.8275300000000001E-6</v>
      </c>
      <c r="N173" s="1" t="s">
        <v>189</v>
      </c>
      <c r="O173" s="1">
        <v>52</v>
      </c>
      <c r="P173" s="1">
        <v>36</v>
      </c>
      <c r="Q173" s="3">
        <v>10170</v>
      </c>
      <c r="R173" s="3">
        <v>6.8156064951813692E-5</v>
      </c>
      <c r="S173" s="3">
        <v>72727574400</v>
      </c>
      <c r="T173" s="3">
        <v>0</v>
      </c>
    </row>
    <row r="174" spans="2:20" x14ac:dyDescent="0.2">
      <c r="B174">
        <v>37083</v>
      </c>
      <c r="C174" s="6">
        <v>9.772000000000001E-10</v>
      </c>
      <c r="D174" s="1" t="s">
        <v>204</v>
      </c>
      <c r="E174" s="3">
        <v>7447680</v>
      </c>
      <c r="F174" s="7">
        <v>9.3068872529424639E-8</v>
      </c>
      <c r="G174" s="7">
        <v>942262.92263921374</v>
      </c>
      <c r="H174" s="7">
        <v>50062.107401280067</v>
      </c>
      <c r="I174" s="3">
        <f t="shared" si="2"/>
        <v>1.0905820863879789</v>
      </c>
      <c r="L174" s="1">
        <v>36089</v>
      </c>
      <c r="M174" s="3">
        <v>9.9878199999999992E-6</v>
      </c>
      <c r="N174" s="1" t="s">
        <v>190</v>
      </c>
      <c r="O174" s="1">
        <v>53</v>
      </c>
      <c r="P174" s="1">
        <v>36</v>
      </c>
      <c r="Q174" s="3">
        <v>189</v>
      </c>
      <c r="R174" s="3">
        <v>3.6674453997880704E-3</v>
      </c>
      <c r="S174" s="3">
        <v>124647993599.99998</v>
      </c>
      <c r="T174" s="3">
        <v>0</v>
      </c>
    </row>
    <row r="175" spans="2:20" x14ac:dyDescent="0.2">
      <c r="B175">
        <v>37084</v>
      </c>
      <c r="C175" s="6">
        <v>8.0269999999999997E-9</v>
      </c>
      <c r="D175" s="1" t="s">
        <v>205</v>
      </c>
      <c r="E175" s="3">
        <v>2835648</v>
      </c>
      <c r="F175" s="7">
        <v>2.4444048787435723E-7</v>
      </c>
      <c r="G175" s="7">
        <v>19072200.957309112</v>
      </c>
      <c r="H175" s="7">
        <v>8561.8122652481834</v>
      </c>
      <c r="I175" s="3">
        <f t="shared" si="2"/>
        <v>22.074306663552214</v>
      </c>
      <c r="L175" s="1">
        <v>36090</v>
      </c>
      <c r="M175" s="3">
        <v>2.0305500000000001E-5</v>
      </c>
      <c r="N175" s="1" t="s">
        <v>191</v>
      </c>
      <c r="O175" s="1">
        <v>54</v>
      </c>
      <c r="P175" s="1">
        <v>36</v>
      </c>
      <c r="Q175" s="3">
        <v>32.32</v>
      </c>
      <c r="R175" s="3">
        <v>2.1446385537127018E-2</v>
      </c>
      <c r="S175" s="3">
        <v>253412640000</v>
      </c>
      <c r="T175" s="3">
        <v>0</v>
      </c>
    </row>
    <row r="176" spans="2:20" x14ac:dyDescent="0.2">
      <c r="B176">
        <v>37086</v>
      </c>
      <c r="C176" s="6">
        <v>1.7149899999999999E-7</v>
      </c>
      <c r="D176" s="1" t="s">
        <v>206</v>
      </c>
      <c r="E176" s="3">
        <v>1610668.8</v>
      </c>
      <c r="F176" s="7">
        <v>4.3034743117886513E-7</v>
      </c>
      <c r="G176" s="7">
        <v>664612115.88555944</v>
      </c>
      <c r="H176" s="7">
        <v>848.33665379097886</v>
      </c>
      <c r="I176" s="3">
        <f t="shared" si="2"/>
        <v>769.22698597865678</v>
      </c>
      <c r="L176" s="1">
        <v>36091</v>
      </c>
      <c r="M176" s="3">
        <v>2.0797399999999998E-5</v>
      </c>
      <c r="N176" s="1" t="s">
        <v>192</v>
      </c>
      <c r="O176" s="1">
        <v>55</v>
      </c>
      <c r="P176" s="1">
        <v>36</v>
      </c>
      <c r="Q176" s="3">
        <v>8.57</v>
      </c>
      <c r="R176" s="3">
        <v>8.0880651173855928E-2</v>
      </c>
      <c r="S176" s="3">
        <v>259551551999.99997</v>
      </c>
      <c r="T176" s="3">
        <v>0</v>
      </c>
    </row>
    <row r="177" spans="2:20" x14ac:dyDescent="0.2">
      <c r="B177">
        <v>37087</v>
      </c>
      <c r="C177" s="6">
        <v>6.7273199999999997E-7</v>
      </c>
      <c r="D177" s="1" t="s">
        <v>207</v>
      </c>
      <c r="E177" s="3">
        <v>1.56841272E+18</v>
      </c>
      <c r="F177" s="7">
        <v>4.419418254653949E-19</v>
      </c>
      <c r="G177" s="7">
        <v>3.2055243285356028E-3</v>
      </c>
      <c r="H177" s="7">
        <v>3.2055243284909271E-3</v>
      </c>
      <c r="I177" s="3">
        <f t="shared" si="2"/>
        <v>3.7100976024717624E-9</v>
      </c>
      <c r="L177" s="1">
        <v>36092</v>
      </c>
      <c r="M177" s="3">
        <v>2.4842400000000001E-5</v>
      </c>
      <c r="N177" s="1" t="s">
        <v>193</v>
      </c>
      <c r="O177" s="1">
        <v>56</v>
      </c>
      <c r="P177" s="1">
        <v>36</v>
      </c>
      <c r="Q177" s="3">
        <v>1.84</v>
      </c>
      <c r="R177" s="3">
        <v>0.37671042421736156</v>
      </c>
      <c r="S177" s="3">
        <v>310033152000</v>
      </c>
      <c r="T177" s="3">
        <v>0</v>
      </c>
    </row>
    <row r="178" spans="2:20" x14ac:dyDescent="0.2">
      <c r="B178">
        <v>37088</v>
      </c>
      <c r="C178" s="6">
        <v>2.2233399999999998E-6</v>
      </c>
      <c r="D178" s="1" t="s">
        <v>208</v>
      </c>
      <c r="E178" s="3">
        <v>1066.3799999999901</v>
      </c>
      <c r="F178" s="7">
        <v>6.5000016932045964E-4</v>
      </c>
      <c r="G178" s="7">
        <v>27747283199.999996</v>
      </c>
      <c r="H178" s="7">
        <v>0</v>
      </c>
      <c r="I178" s="3">
        <f t="shared" si="2"/>
        <v>32114.911111111109</v>
      </c>
      <c r="L178" s="1">
        <v>36093</v>
      </c>
      <c r="M178" s="3">
        <v>1.28574E-5</v>
      </c>
      <c r="N178" s="1" t="s">
        <v>194</v>
      </c>
      <c r="O178" s="1">
        <v>57</v>
      </c>
      <c r="P178" s="1">
        <v>36</v>
      </c>
      <c r="Q178" s="3">
        <v>1.286</v>
      </c>
      <c r="R178" s="3">
        <v>0.53899469716947535</v>
      </c>
      <c r="S178" s="3">
        <v>160460352000</v>
      </c>
      <c r="T178" s="3">
        <v>0</v>
      </c>
    </row>
    <row r="179" spans="2:20" x14ac:dyDescent="0.2">
      <c r="B179">
        <v>37089</v>
      </c>
      <c r="C179" s="6">
        <v>7.1252500000000001E-6</v>
      </c>
      <c r="D179" s="1" t="s">
        <v>209</v>
      </c>
      <c r="E179" s="3">
        <v>919.2</v>
      </c>
      <c r="F179" s="7">
        <v>7.5407656718880028E-4</v>
      </c>
      <c r="G179" s="7">
        <v>88923120000</v>
      </c>
      <c r="H179" s="7">
        <v>0</v>
      </c>
      <c r="I179" s="3">
        <f t="shared" si="2"/>
        <v>102920.27777777778</v>
      </c>
      <c r="L179" s="1">
        <v>36094</v>
      </c>
      <c r="M179" s="3">
        <v>1.13819E-5</v>
      </c>
      <c r="N179" s="1" t="s">
        <v>195</v>
      </c>
      <c r="O179" s="1">
        <v>58</v>
      </c>
      <c r="P179" s="1">
        <v>36</v>
      </c>
      <c r="Q179" s="3">
        <v>0.21199999999999999</v>
      </c>
      <c r="R179" s="3">
        <v>3.2695621724525723</v>
      </c>
      <c r="S179" s="3">
        <v>142046112000</v>
      </c>
      <c r="T179" s="3">
        <v>0</v>
      </c>
    </row>
    <row r="180" spans="2:20" x14ac:dyDescent="0.2">
      <c r="B180">
        <v>37090</v>
      </c>
      <c r="C180" s="6">
        <v>1.5968799999999999E-5</v>
      </c>
      <c r="D180" s="1" t="s">
        <v>210</v>
      </c>
      <c r="E180" s="3">
        <v>158</v>
      </c>
      <c r="F180" s="7">
        <v>4.3870074718983876E-3</v>
      </c>
      <c r="G180" s="7">
        <v>199290623999.99997</v>
      </c>
      <c r="H180" s="7">
        <v>0</v>
      </c>
      <c r="I180" s="3">
        <f t="shared" si="2"/>
        <v>230660.44444444441</v>
      </c>
      <c r="L180" s="1">
        <v>36095</v>
      </c>
      <c r="M180" s="3">
        <v>4.6708799999999999E-6</v>
      </c>
      <c r="N180" s="1" t="s">
        <v>196</v>
      </c>
      <c r="O180" s="1">
        <v>59</v>
      </c>
      <c r="P180" s="1">
        <v>36</v>
      </c>
      <c r="Q180" s="3">
        <v>0.114</v>
      </c>
      <c r="R180" s="3">
        <v>6.0802384259644322</v>
      </c>
      <c r="S180" s="3">
        <v>58292582400</v>
      </c>
      <c r="T180" s="3">
        <v>0</v>
      </c>
    </row>
    <row r="181" spans="2:20" x14ac:dyDescent="0.2">
      <c r="B181">
        <v>37091</v>
      </c>
      <c r="C181" s="6">
        <v>3.4290299999999999E-5</v>
      </c>
      <c r="D181" s="1" t="s">
        <v>211</v>
      </c>
      <c r="E181" s="3">
        <v>58.2</v>
      </c>
      <c r="F181" s="7">
        <v>1.1909745370445795E-2</v>
      </c>
      <c r="G181" s="7">
        <v>427942944000</v>
      </c>
      <c r="H181" s="7">
        <v>0</v>
      </c>
      <c r="I181" s="3">
        <f t="shared" si="2"/>
        <v>495304.33333333331</v>
      </c>
      <c r="L181" s="1">
        <v>36096</v>
      </c>
      <c r="M181" s="3">
        <v>5.5634799999999996E-6</v>
      </c>
      <c r="N181" s="1" t="s">
        <v>197</v>
      </c>
      <c r="O181" s="1">
        <v>60</v>
      </c>
      <c r="P181" s="1">
        <v>36</v>
      </c>
      <c r="Q181" s="3">
        <v>0.08</v>
      </c>
      <c r="R181" s="3">
        <v>8.6643397569993166</v>
      </c>
      <c r="S181" s="3">
        <v>69432230400</v>
      </c>
      <c r="T181" s="3">
        <v>0</v>
      </c>
    </row>
    <row r="182" spans="2:20" x14ac:dyDescent="0.2">
      <c r="B182">
        <v>37092</v>
      </c>
      <c r="C182" s="6">
        <v>4.6752799999999997E-5</v>
      </c>
      <c r="D182" s="1" t="s">
        <v>212</v>
      </c>
      <c r="E182" s="3">
        <v>4.492</v>
      </c>
      <c r="F182" s="7">
        <v>0.15430703040070021</v>
      </c>
      <c r="G182" s="7">
        <v>583474944000</v>
      </c>
      <c r="H182" s="7">
        <v>0</v>
      </c>
      <c r="I182" s="3">
        <f t="shared" si="2"/>
        <v>675318.22222222225</v>
      </c>
      <c r="L182" s="1">
        <v>36097</v>
      </c>
      <c r="M182" s="3">
        <v>5.58679E-7</v>
      </c>
      <c r="N182" s="1" t="s">
        <v>198</v>
      </c>
      <c r="O182" s="1">
        <v>61</v>
      </c>
      <c r="P182" s="1">
        <v>36</v>
      </c>
      <c r="Q182" s="3">
        <v>6.3E-2</v>
      </c>
      <c r="R182" s="3">
        <v>11.00233619936421</v>
      </c>
      <c r="S182" s="3">
        <v>6972313920</v>
      </c>
      <c r="T182" s="3">
        <v>0</v>
      </c>
    </row>
    <row r="183" spans="2:20" x14ac:dyDescent="0.2">
      <c r="B183">
        <v>37093</v>
      </c>
      <c r="C183" s="6">
        <v>5.9101300000000003E-5</v>
      </c>
      <c r="D183" s="1" t="s">
        <v>213</v>
      </c>
      <c r="E183" s="3">
        <v>5.84</v>
      </c>
      <c r="F183" s="7">
        <v>0.1186895857123194</v>
      </c>
      <c r="G183" s="7">
        <v>737584224000</v>
      </c>
      <c r="H183" s="7">
        <v>0</v>
      </c>
      <c r="I183" s="3">
        <f t="shared" si="2"/>
        <v>853685.4444444445</v>
      </c>
      <c r="L183" s="1">
        <v>37074</v>
      </c>
      <c r="M183" s="3">
        <v>2.8262000000000003E-7</v>
      </c>
      <c r="N183" s="1" t="s">
        <v>200</v>
      </c>
      <c r="O183" s="1">
        <v>37</v>
      </c>
      <c r="P183" s="1">
        <v>37</v>
      </c>
      <c r="Q183" s="3">
        <v>6.4899999999999999E-2</v>
      </c>
      <c r="R183" s="3">
        <v>10.680233906932902</v>
      </c>
      <c r="S183" s="3">
        <v>3527097600.0000005</v>
      </c>
      <c r="T183" s="3">
        <v>0</v>
      </c>
    </row>
    <row r="184" spans="2:20" x14ac:dyDescent="0.2">
      <c r="B184">
        <v>37094</v>
      </c>
      <c r="C184" s="6">
        <v>4.0043999999999998E-5</v>
      </c>
      <c r="D184" s="1" t="s">
        <v>214</v>
      </c>
      <c r="E184" s="3">
        <v>2.702</v>
      </c>
      <c r="F184" s="7">
        <v>0.25653115490745571</v>
      </c>
      <c r="G184" s="7">
        <v>499749120000</v>
      </c>
      <c r="H184" s="7">
        <v>0</v>
      </c>
      <c r="I184" s="3">
        <f t="shared" si="2"/>
        <v>578413.33333333337</v>
      </c>
      <c r="L184" s="1">
        <v>37075</v>
      </c>
      <c r="M184" s="3">
        <v>3.2666399999999998E-8</v>
      </c>
      <c r="N184" s="1" t="s">
        <v>201</v>
      </c>
      <c r="O184" s="1">
        <v>38</v>
      </c>
      <c r="P184" s="1">
        <v>37</v>
      </c>
      <c r="Q184" s="3">
        <v>19</v>
      </c>
      <c r="R184" s="3">
        <v>3.6481430555786593E-2</v>
      </c>
      <c r="S184" s="3">
        <v>407676672</v>
      </c>
      <c r="T184" s="3">
        <v>0</v>
      </c>
    </row>
    <row r="185" spans="2:20" x14ac:dyDescent="0.2">
      <c r="B185">
        <v>37095</v>
      </c>
      <c r="C185" s="6">
        <v>3.0660600000000003E-5</v>
      </c>
      <c r="D185" s="1" t="s">
        <v>215</v>
      </c>
      <c r="E185" s="3">
        <v>0.37769999999999998</v>
      </c>
      <c r="F185" s="7">
        <v>1.8351791913157143</v>
      </c>
      <c r="G185" s="7">
        <v>382644288000.00006</v>
      </c>
      <c r="H185" s="7">
        <v>0</v>
      </c>
      <c r="I185" s="3">
        <f t="shared" si="2"/>
        <v>442875.33333333337</v>
      </c>
      <c r="L185" s="1">
        <v>37076</v>
      </c>
      <c r="M185" s="3">
        <v>1.43788E-8</v>
      </c>
      <c r="N185" s="1" t="s">
        <v>202</v>
      </c>
      <c r="O185" s="1">
        <v>39</v>
      </c>
      <c r="P185" s="1">
        <v>37</v>
      </c>
      <c r="Q185" s="3">
        <v>36.5</v>
      </c>
      <c r="R185" s="3">
        <v>1.8990333713971103E-2</v>
      </c>
      <c r="S185" s="3">
        <v>179447424</v>
      </c>
      <c r="T185" s="3">
        <v>0</v>
      </c>
    </row>
    <row r="186" spans="2:20" x14ac:dyDescent="0.2">
      <c r="B186">
        <v>37096</v>
      </c>
      <c r="C186" s="6">
        <v>1.19838E-5</v>
      </c>
      <c r="D186" s="1" t="s">
        <v>216</v>
      </c>
      <c r="E186" s="3">
        <v>0.20300000000000001</v>
      </c>
      <c r="F186" s="7">
        <v>3.4145181308371688</v>
      </c>
      <c r="G186" s="7">
        <v>149557824000</v>
      </c>
      <c r="H186" s="7">
        <v>0</v>
      </c>
      <c r="I186" s="3">
        <f t="shared" si="2"/>
        <v>173099.33333333334</v>
      </c>
      <c r="L186" s="1">
        <v>37077</v>
      </c>
      <c r="M186" s="3">
        <v>1.1866E-9</v>
      </c>
      <c r="N186" s="1" t="s">
        <v>217</v>
      </c>
      <c r="O186" s="1">
        <v>40</v>
      </c>
      <c r="P186" s="1">
        <v>37</v>
      </c>
      <c r="Q186" s="3">
        <v>226.2</v>
      </c>
      <c r="R186" s="3">
        <v>3.0643111430589979E-3</v>
      </c>
      <c r="S186" s="3">
        <v>14808768</v>
      </c>
      <c r="T186" s="3">
        <v>0</v>
      </c>
    </row>
    <row r="187" spans="2:20" x14ac:dyDescent="0.2">
      <c r="B187">
        <v>37097</v>
      </c>
      <c r="C187" s="6">
        <v>5.6120599999999998E-6</v>
      </c>
      <c r="D187" s="1" t="s">
        <v>218</v>
      </c>
      <c r="E187" s="3">
        <v>0.1691</v>
      </c>
      <c r="F187" s="7">
        <v>4.0990371410996174</v>
      </c>
      <c r="G187" s="7">
        <v>70038508800</v>
      </c>
      <c r="H187" s="7">
        <v>0</v>
      </c>
      <c r="I187" s="3">
        <f t="shared" si="2"/>
        <v>81063.088888888888</v>
      </c>
      <c r="L187" s="1">
        <v>37078</v>
      </c>
      <c r="M187" s="3">
        <v>2.7919999999999998E-10</v>
      </c>
      <c r="N187" s="1" t="s">
        <v>219</v>
      </c>
      <c r="O187" s="1">
        <v>41</v>
      </c>
      <c r="P187" s="1">
        <v>37</v>
      </c>
      <c r="Q187" s="3">
        <v>1059.5999999999999</v>
      </c>
      <c r="R187" s="3">
        <v>6.5415928705166604E-4</v>
      </c>
      <c r="S187" s="3">
        <v>3484415.9999999995</v>
      </c>
      <c r="T187" s="3">
        <v>0</v>
      </c>
    </row>
    <row r="188" spans="2:20" x14ac:dyDescent="0.2">
      <c r="B188">
        <v>37098</v>
      </c>
      <c r="C188" s="6">
        <v>1.6683599999999999E-6</v>
      </c>
      <c r="D188" s="1" t="s">
        <v>220</v>
      </c>
      <c r="E188" s="3">
        <v>0.10199999999999999</v>
      </c>
      <c r="F188" s="7">
        <v>6.7955605937249546</v>
      </c>
      <c r="G188" s="7">
        <v>20821132800</v>
      </c>
      <c r="H188" s="7">
        <v>0</v>
      </c>
      <c r="I188" s="3">
        <f t="shared" si="2"/>
        <v>24098.533333333333</v>
      </c>
      <c r="L188" s="1">
        <v>37086</v>
      </c>
      <c r="M188" s="3">
        <v>4.6068000000000003E-9</v>
      </c>
      <c r="N188" s="1" t="s">
        <v>206</v>
      </c>
      <c r="O188" s="1">
        <v>49</v>
      </c>
      <c r="P188" s="1">
        <v>37</v>
      </c>
      <c r="Q188" s="3">
        <v>1610668.8</v>
      </c>
      <c r="R188" s="3">
        <v>4.3034743117886513E-7</v>
      </c>
      <c r="S188" s="3">
        <v>17852786.870253444</v>
      </c>
      <c r="T188" s="3">
        <v>22.787988831913196</v>
      </c>
    </row>
    <row r="189" spans="2:20" x14ac:dyDescent="0.2">
      <c r="B189">
        <v>37099</v>
      </c>
      <c r="C189" s="6">
        <v>4.79177E-7</v>
      </c>
      <c r="D189" s="1" t="s">
        <v>221</v>
      </c>
      <c r="E189" s="3">
        <v>5.3999999999999999E-2</v>
      </c>
      <c r="F189" s="7">
        <v>12.836058899258246</v>
      </c>
      <c r="G189" s="7">
        <v>5980128960</v>
      </c>
      <c r="H189" s="7">
        <v>0</v>
      </c>
      <c r="I189" s="3">
        <f t="shared" si="2"/>
        <v>6921.445555555556</v>
      </c>
      <c r="L189" s="1">
        <v>37087</v>
      </c>
      <c r="M189" s="3">
        <v>7.4825600000000003E-8</v>
      </c>
      <c r="N189" s="1" t="s">
        <v>207</v>
      </c>
      <c r="O189" s="1">
        <v>50</v>
      </c>
      <c r="P189" s="1">
        <v>37</v>
      </c>
      <c r="Q189" s="3">
        <v>1.56841272E+18</v>
      </c>
      <c r="R189" s="3">
        <v>4.419418254653949E-19</v>
      </c>
      <c r="S189" s="3">
        <v>3.5653912880206917E-4</v>
      </c>
      <c r="T189" s="3">
        <v>3.5653912879710006E-4</v>
      </c>
    </row>
    <row r="190" spans="2:20" x14ac:dyDescent="0.2">
      <c r="B190">
        <v>37100</v>
      </c>
      <c r="C190" s="6">
        <v>1.08609E-7</v>
      </c>
      <c r="D190" s="1" t="s">
        <v>222</v>
      </c>
      <c r="E190" s="3">
        <v>5.0999999999999997E-2</v>
      </c>
      <c r="F190" s="7">
        <v>13.591121187449909</v>
      </c>
      <c r="G190" s="7">
        <v>1355440320</v>
      </c>
      <c r="H190" s="7">
        <v>0</v>
      </c>
      <c r="I190" s="3">
        <f t="shared" si="2"/>
        <v>1568.7966666666666</v>
      </c>
      <c r="L190" s="1">
        <v>37088</v>
      </c>
      <c r="M190" s="3">
        <v>3.0844599999999998E-7</v>
      </c>
      <c r="N190" s="1" t="s">
        <v>208</v>
      </c>
      <c r="O190" s="1">
        <v>51</v>
      </c>
      <c r="P190" s="1">
        <v>37</v>
      </c>
      <c r="Q190" s="3">
        <v>1066.3799999999901</v>
      </c>
      <c r="R190" s="3">
        <v>6.5000016932045964E-4</v>
      </c>
      <c r="S190" s="3">
        <v>3849406080</v>
      </c>
      <c r="T190" s="3">
        <v>0</v>
      </c>
    </row>
    <row r="191" spans="2:20" x14ac:dyDescent="0.2">
      <c r="B191">
        <v>38077</v>
      </c>
      <c r="C191" s="6">
        <v>1.40996E-8</v>
      </c>
      <c r="D191" s="1" t="s">
        <v>223</v>
      </c>
      <c r="E191" s="3">
        <v>9</v>
      </c>
      <c r="F191" s="7">
        <v>7.7016353395549478E-2</v>
      </c>
      <c r="G191" s="7">
        <v>175963008</v>
      </c>
      <c r="H191" s="7">
        <v>0</v>
      </c>
      <c r="I191" s="3">
        <f t="shared" si="2"/>
        <v>203.66088888888891</v>
      </c>
      <c r="L191" s="1">
        <v>37089</v>
      </c>
      <c r="M191" s="3">
        <v>1.5353200000000001E-6</v>
      </c>
      <c r="N191" s="1" t="s">
        <v>209</v>
      </c>
      <c r="O191" s="1">
        <v>52</v>
      </c>
      <c r="P191" s="1">
        <v>37</v>
      </c>
      <c r="Q191" s="3">
        <v>919.2</v>
      </c>
      <c r="R191" s="3">
        <v>7.5407656718880028E-4</v>
      </c>
      <c r="S191" s="3">
        <v>19160793600</v>
      </c>
      <c r="T191" s="3">
        <v>0</v>
      </c>
    </row>
    <row r="192" spans="2:20" x14ac:dyDescent="0.2">
      <c r="B192">
        <v>38078</v>
      </c>
      <c r="C192" s="6">
        <v>1.1866E-9</v>
      </c>
      <c r="D192" s="1" t="s">
        <v>224</v>
      </c>
      <c r="E192" s="3">
        <v>160</v>
      </c>
      <c r="F192" s="7">
        <v>4.3321698784996579E-3</v>
      </c>
      <c r="G192" s="7">
        <v>14808768</v>
      </c>
      <c r="H192" s="7">
        <v>0</v>
      </c>
      <c r="I192" s="3">
        <f t="shared" si="2"/>
        <v>17.13977777777778</v>
      </c>
      <c r="L192" s="1">
        <v>37090</v>
      </c>
      <c r="M192" s="3">
        <v>4.2028699999999996E-6</v>
      </c>
      <c r="N192" s="1" t="s">
        <v>210</v>
      </c>
      <c r="O192" s="1">
        <v>53</v>
      </c>
      <c r="P192" s="1">
        <v>37</v>
      </c>
      <c r="Q192" s="3">
        <v>158</v>
      </c>
      <c r="R192" s="3">
        <v>4.3870074718983876E-3</v>
      </c>
      <c r="S192" s="3">
        <v>52451817599.999992</v>
      </c>
      <c r="T192" s="3">
        <v>0</v>
      </c>
    </row>
    <row r="193" spans="2:20" x14ac:dyDescent="0.2">
      <c r="B193">
        <v>38079</v>
      </c>
      <c r="C193" s="6">
        <v>6.9799999999999994E-11</v>
      </c>
      <c r="D193" s="1" t="s">
        <v>225</v>
      </c>
      <c r="E193" s="3">
        <v>135</v>
      </c>
      <c r="F193" s="7">
        <v>5.1344235597032984E-3</v>
      </c>
      <c r="G193" s="7">
        <v>871103.99999999988</v>
      </c>
      <c r="H193" s="7">
        <v>0</v>
      </c>
      <c r="I193" s="3">
        <f t="shared" si="2"/>
        <v>1.0082222222222221</v>
      </c>
      <c r="L193" s="1">
        <v>37091</v>
      </c>
      <c r="M193" s="3">
        <v>1.1511999999999999E-5</v>
      </c>
      <c r="N193" s="1" t="s">
        <v>211</v>
      </c>
      <c r="O193" s="1">
        <v>54</v>
      </c>
      <c r="P193" s="1">
        <v>37</v>
      </c>
      <c r="Q193" s="3">
        <v>58.2</v>
      </c>
      <c r="R193" s="3">
        <v>1.1909745370445795E-2</v>
      </c>
      <c r="S193" s="3">
        <v>143669760000</v>
      </c>
      <c r="T193" s="3">
        <v>0</v>
      </c>
    </row>
    <row r="194" spans="2:20" x14ac:dyDescent="0.2">
      <c r="B194">
        <v>38085</v>
      </c>
      <c r="C194" s="6">
        <v>9.0739999999999999E-10</v>
      </c>
      <c r="D194" s="1" t="s">
        <v>226</v>
      </c>
      <c r="E194" s="3">
        <v>5602953.5999999996</v>
      </c>
      <c r="F194" s="7">
        <v>1.2371103350917369E-7</v>
      </c>
      <c r="G194" s="7">
        <v>1147974.3449506683</v>
      </c>
      <c r="H194" s="7">
        <v>23205.81923420676</v>
      </c>
      <c r="I194" s="3">
        <f t="shared" si="2"/>
        <v>1.3286740103595698</v>
      </c>
      <c r="L194" s="1">
        <v>37092</v>
      </c>
      <c r="M194" s="3">
        <v>1.8562800000000001E-5</v>
      </c>
      <c r="N194" s="1" t="s">
        <v>212</v>
      </c>
      <c r="O194" s="1">
        <v>55</v>
      </c>
      <c r="P194" s="1">
        <v>37</v>
      </c>
      <c r="Q194" s="3">
        <v>4.492</v>
      </c>
      <c r="R194" s="3">
        <v>0.15430703040070021</v>
      </c>
      <c r="S194" s="3">
        <v>231663744000.00003</v>
      </c>
      <c r="T194" s="3">
        <v>0</v>
      </c>
    </row>
    <row r="195" spans="2:20" x14ac:dyDescent="0.2">
      <c r="B195">
        <v>38089</v>
      </c>
      <c r="C195" s="6">
        <v>7.3234199999999995E-7</v>
      </c>
      <c r="D195" s="1" t="s">
        <v>227</v>
      </c>
      <c r="E195" s="3">
        <v>4368643.2</v>
      </c>
      <c r="F195" s="7">
        <v>1.5866417760094148E-7</v>
      </c>
      <c r="G195" s="7">
        <v>1170828672.9586971</v>
      </c>
      <c r="H195" s="7">
        <v>7860368.9044767534</v>
      </c>
      <c r="I195" s="3">
        <f t="shared" si="2"/>
        <v>1355.1257788873809</v>
      </c>
      <c r="L195" s="1">
        <v>37093</v>
      </c>
      <c r="M195" s="3">
        <v>3.0247799999999999E-5</v>
      </c>
      <c r="N195" s="1" t="s">
        <v>213</v>
      </c>
      <c r="O195" s="1">
        <v>56</v>
      </c>
      <c r="P195" s="1">
        <v>37</v>
      </c>
      <c r="Q195" s="3">
        <v>5.84</v>
      </c>
      <c r="R195" s="3">
        <v>0.1186895857123194</v>
      </c>
      <c r="S195" s="3">
        <v>377492544000</v>
      </c>
      <c r="T195" s="3">
        <v>0</v>
      </c>
    </row>
    <row r="196" spans="2:20" x14ac:dyDescent="0.2">
      <c r="B196">
        <v>38090</v>
      </c>
      <c r="C196" s="6">
        <v>2.4836900000000002E-6</v>
      </c>
      <c r="D196" s="1" t="s">
        <v>228</v>
      </c>
      <c r="E196" s="3">
        <v>912014640</v>
      </c>
      <c r="F196" s="7">
        <v>7.6001760296298017E-10</v>
      </c>
      <c r="G196" s="7">
        <v>20347299.828403529</v>
      </c>
      <c r="H196" s="7">
        <v>19865415.423735075</v>
      </c>
      <c r="I196" s="3">
        <f t="shared" ref="I196:I259" si="3">G196/10/24/3600</f>
        <v>23.550115542133714</v>
      </c>
      <c r="L196" s="1">
        <v>37094</v>
      </c>
      <c r="M196" s="3">
        <v>2.4550599999999998E-5</v>
      </c>
      <c r="N196" s="1" t="s">
        <v>214</v>
      </c>
      <c r="O196" s="1">
        <v>57</v>
      </c>
      <c r="P196" s="1">
        <v>37</v>
      </c>
      <c r="Q196" s="3">
        <v>2.702</v>
      </c>
      <c r="R196" s="3">
        <v>0.25653115490745571</v>
      </c>
      <c r="S196" s="3">
        <v>306391488000</v>
      </c>
      <c r="T196" s="3">
        <v>0</v>
      </c>
    </row>
    <row r="197" spans="2:20" x14ac:dyDescent="0.2">
      <c r="B197">
        <v>38091</v>
      </c>
      <c r="C197" s="6">
        <v>7.0508499999999996E-6</v>
      </c>
      <c r="D197" s="1" t="s">
        <v>229</v>
      </c>
      <c r="E197" s="3">
        <v>34740</v>
      </c>
      <c r="F197" s="7">
        <v>1.9952423159468777E-5</v>
      </c>
      <c r="G197" s="7">
        <v>87994605131.203842</v>
      </c>
      <c r="H197" s="7">
        <v>4.7626490885480313E-263</v>
      </c>
      <c r="I197" s="3">
        <f t="shared" si="3"/>
        <v>101845.60779074518</v>
      </c>
      <c r="L197" s="1">
        <v>37095</v>
      </c>
      <c r="M197" s="3">
        <v>2.6670899999999999E-5</v>
      </c>
      <c r="N197" s="1" t="s">
        <v>215</v>
      </c>
      <c r="O197" s="1">
        <v>58</v>
      </c>
      <c r="P197" s="1">
        <v>37</v>
      </c>
      <c r="Q197" s="3">
        <v>0.37769999999999998</v>
      </c>
      <c r="R197" s="3">
        <v>1.8351791913157143</v>
      </c>
      <c r="S197" s="3">
        <v>332852832000</v>
      </c>
      <c r="T197" s="3">
        <v>0</v>
      </c>
    </row>
    <row r="198" spans="2:20" x14ac:dyDescent="0.2">
      <c r="B198">
        <v>38092</v>
      </c>
      <c r="C198" s="6">
        <v>1.6656399999999999E-5</v>
      </c>
      <c r="D198" s="1" t="s">
        <v>230</v>
      </c>
      <c r="E198" s="3">
        <v>9399.6</v>
      </c>
      <c r="F198" s="7">
        <v>7.3742199727642167E-5</v>
      </c>
      <c r="G198" s="7">
        <v>207871871999.99997</v>
      </c>
      <c r="H198" s="7">
        <v>0</v>
      </c>
      <c r="I198" s="3">
        <f t="shared" si="3"/>
        <v>240592.44444444441</v>
      </c>
      <c r="L198" s="1">
        <v>37096</v>
      </c>
      <c r="M198" s="3">
        <v>1.3219E-5</v>
      </c>
      <c r="N198" s="1" t="s">
        <v>216</v>
      </c>
      <c r="O198" s="1">
        <v>59</v>
      </c>
      <c r="P198" s="1">
        <v>37</v>
      </c>
      <c r="Q198" s="3">
        <v>0.20300000000000001</v>
      </c>
      <c r="R198" s="3">
        <v>3.4145181308371688</v>
      </c>
      <c r="S198" s="3">
        <v>164973120000</v>
      </c>
      <c r="T198" s="3">
        <v>0</v>
      </c>
    </row>
    <row r="199" spans="2:20" x14ac:dyDescent="0.2">
      <c r="B199">
        <v>38093</v>
      </c>
      <c r="C199" s="6">
        <v>3.3427199999999997E-5</v>
      </c>
      <c r="D199" s="1" t="s">
        <v>231</v>
      </c>
      <c r="E199" s="3">
        <v>445.79999999999899</v>
      </c>
      <c r="F199" s="7">
        <v>1.5548388976221329E-3</v>
      </c>
      <c r="G199" s="7">
        <v>417171455999.99994</v>
      </c>
      <c r="H199" s="7">
        <v>0</v>
      </c>
      <c r="I199" s="3">
        <f t="shared" si="3"/>
        <v>482837.33333333326</v>
      </c>
      <c r="L199" s="1">
        <v>37097</v>
      </c>
      <c r="M199" s="3">
        <v>1.0947999999999999E-5</v>
      </c>
      <c r="N199" s="1" t="s">
        <v>218</v>
      </c>
      <c r="O199" s="1">
        <v>60</v>
      </c>
      <c r="P199" s="1">
        <v>37</v>
      </c>
      <c r="Q199" s="3">
        <v>0.1691</v>
      </c>
      <c r="R199" s="3">
        <v>4.0990371410996174</v>
      </c>
      <c r="S199" s="3">
        <v>136631039999.99998</v>
      </c>
      <c r="T199" s="3">
        <v>0</v>
      </c>
    </row>
    <row r="200" spans="2:20" x14ac:dyDescent="0.2">
      <c r="B200">
        <v>38094</v>
      </c>
      <c r="C200" s="6">
        <v>5.7698400000000003E-5</v>
      </c>
      <c r="D200" s="1" t="s">
        <v>232</v>
      </c>
      <c r="E200" s="3">
        <v>75.3</v>
      </c>
      <c r="F200" s="7">
        <v>9.2051418401055147E-3</v>
      </c>
      <c r="G200" s="7">
        <v>720076032000</v>
      </c>
      <c r="H200" s="7">
        <v>0</v>
      </c>
      <c r="I200" s="3">
        <f t="shared" si="3"/>
        <v>833421.33333333337</v>
      </c>
      <c r="L200" s="1">
        <v>37098</v>
      </c>
      <c r="M200" s="3">
        <v>3.9120099999999998E-6</v>
      </c>
      <c r="N200" s="1" t="s">
        <v>220</v>
      </c>
      <c r="O200" s="1">
        <v>61</v>
      </c>
      <c r="P200" s="1">
        <v>37</v>
      </c>
      <c r="Q200" s="3">
        <v>0.10199999999999999</v>
      </c>
      <c r="R200" s="3">
        <v>6.7955605937249546</v>
      </c>
      <c r="S200" s="3">
        <v>48821884800</v>
      </c>
      <c r="T200" s="3">
        <v>0</v>
      </c>
    </row>
    <row r="201" spans="2:20" x14ac:dyDescent="0.2">
      <c r="B201">
        <v>38095</v>
      </c>
      <c r="C201" s="6">
        <v>7.0071099999999994E-5</v>
      </c>
      <c r="D201" s="1" t="s">
        <v>233</v>
      </c>
      <c r="E201" s="3">
        <v>23.9</v>
      </c>
      <c r="F201" s="7">
        <v>2.9001974082006082E-2</v>
      </c>
      <c r="G201" s="7">
        <v>874487327999.99988</v>
      </c>
      <c r="H201" s="7">
        <v>0</v>
      </c>
      <c r="I201" s="3">
        <f t="shared" si="3"/>
        <v>1012138.111111111</v>
      </c>
      <c r="L201" s="1">
        <v>37099</v>
      </c>
      <c r="M201" s="3">
        <v>1.76447E-6</v>
      </c>
      <c r="N201" s="1" t="s">
        <v>221</v>
      </c>
      <c r="O201" s="1">
        <v>62</v>
      </c>
      <c r="P201" s="1">
        <v>37</v>
      </c>
      <c r="Q201" s="3">
        <v>5.3999999999999999E-2</v>
      </c>
      <c r="R201" s="3">
        <v>12.836058899258246</v>
      </c>
      <c r="S201" s="3">
        <v>22020585600</v>
      </c>
      <c r="T201" s="3">
        <v>0</v>
      </c>
    </row>
    <row r="202" spans="2:20" x14ac:dyDescent="0.2">
      <c r="B202">
        <v>38096</v>
      </c>
      <c r="C202" s="6">
        <v>7.1081599999999994E-5</v>
      </c>
      <c r="D202" s="1" t="s">
        <v>234</v>
      </c>
      <c r="E202" s="3">
        <v>1.07</v>
      </c>
      <c r="F202" s="7">
        <v>0.64780110332705165</v>
      </c>
      <c r="G202" s="7">
        <v>887098367999.99988</v>
      </c>
      <c r="H202" s="7">
        <v>0</v>
      </c>
      <c r="I202" s="3">
        <f t="shared" si="3"/>
        <v>1026734.2222222221</v>
      </c>
      <c r="L202" s="1">
        <v>37100</v>
      </c>
      <c r="M202" s="3">
        <v>1.0498600000000001E-6</v>
      </c>
      <c r="N202" s="1" t="s">
        <v>222</v>
      </c>
      <c r="O202" s="1">
        <v>63</v>
      </c>
      <c r="P202" s="1">
        <v>37</v>
      </c>
      <c r="Q202" s="3">
        <v>5.0999999999999997E-2</v>
      </c>
      <c r="R202" s="3">
        <v>13.591121187449909</v>
      </c>
      <c r="S202" s="3">
        <v>13102252800</v>
      </c>
      <c r="T202" s="3">
        <v>0</v>
      </c>
    </row>
    <row r="203" spans="2:20" x14ac:dyDescent="0.2">
      <c r="B203">
        <v>38097</v>
      </c>
      <c r="C203" s="6">
        <v>4.5796800000000002E-5</v>
      </c>
      <c r="D203" s="1" t="s">
        <v>235</v>
      </c>
      <c r="E203" s="3">
        <v>0.42899999999999999</v>
      </c>
      <c r="F203" s="7">
        <v>1.6157276936129261</v>
      </c>
      <c r="G203" s="7">
        <v>571544064000</v>
      </c>
      <c r="H203" s="7">
        <v>0</v>
      </c>
      <c r="I203" s="3">
        <f t="shared" si="3"/>
        <v>661509.33333333337</v>
      </c>
      <c r="L203" s="1">
        <v>38077</v>
      </c>
      <c r="M203" s="3">
        <v>1.2375500000000001E-7</v>
      </c>
      <c r="N203" s="1" t="s">
        <v>223</v>
      </c>
      <c r="O203" s="1">
        <v>39</v>
      </c>
      <c r="P203" s="1">
        <v>38</v>
      </c>
      <c r="Q203" s="3">
        <v>9</v>
      </c>
      <c r="R203" s="3">
        <v>7.7016353395549478E-2</v>
      </c>
      <c r="S203" s="3">
        <v>1544462400.0000002</v>
      </c>
      <c r="T203" s="3">
        <v>0</v>
      </c>
    </row>
    <row r="204" spans="2:20" x14ac:dyDescent="0.2">
      <c r="B204">
        <v>38098</v>
      </c>
      <c r="C204" s="6">
        <v>2.60672E-5</v>
      </c>
      <c r="D204" s="1" t="s">
        <v>236</v>
      </c>
      <c r="E204" s="3">
        <v>0.65300000000000002</v>
      </c>
      <c r="F204" s="7">
        <v>1.0614811340887369</v>
      </c>
      <c r="G204" s="7">
        <v>325318656000</v>
      </c>
      <c r="H204" s="7">
        <v>0</v>
      </c>
      <c r="I204" s="3">
        <f t="shared" si="3"/>
        <v>376526.22222222225</v>
      </c>
      <c r="L204" s="1">
        <v>38078</v>
      </c>
      <c r="M204" s="3">
        <v>1.8845999999999999E-8</v>
      </c>
      <c r="N204" s="1" t="s">
        <v>224</v>
      </c>
      <c r="O204" s="1">
        <v>40</v>
      </c>
      <c r="P204" s="1">
        <v>38</v>
      </c>
      <c r="Q204" s="3">
        <v>160</v>
      </c>
      <c r="R204" s="3">
        <v>4.3321698784996579E-3</v>
      </c>
      <c r="S204" s="3">
        <v>235198080</v>
      </c>
      <c r="T204" s="3">
        <v>0</v>
      </c>
    </row>
    <row r="205" spans="2:20" x14ac:dyDescent="0.2">
      <c r="B205">
        <v>38099</v>
      </c>
      <c r="C205" s="6">
        <v>8.4500599999999995E-6</v>
      </c>
      <c r="D205" s="1" t="s">
        <v>237</v>
      </c>
      <c r="E205" s="3">
        <v>0.26900000000000002</v>
      </c>
      <c r="F205" s="7">
        <v>2.5767553180667111</v>
      </c>
      <c r="G205" s="7">
        <v>105456748800</v>
      </c>
      <c r="H205" s="7">
        <v>0</v>
      </c>
      <c r="I205" s="3">
        <f t="shared" si="3"/>
        <v>122056.42222222222</v>
      </c>
      <c r="L205" s="1">
        <v>38079</v>
      </c>
      <c r="M205" s="3">
        <v>5.7236000000000004E-9</v>
      </c>
      <c r="N205" s="1" t="s">
        <v>225</v>
      </c>
      <c r="O205" s="1">
        <v>41</v>
      </c>
      <c r="P205" s="1">
        <v>38</v>
      </c>
      <c r="Q205" s="3">
        <v>135</v>
      </c>
      <c r="R205" s="3">
        <v>5.1344235597032984E-3</v>
      </c>
      <c r="S205" s="3">
        <v>71430528</v>
      </c>
      <c r="T205" s="3">
        <v>0</v>
      </c>
    </row>
    <row r="206" spans="2:20" x14ac:dyDescent="0.2">
      <c r="B206">
        <v>38100</v>
      </c>
      <c r="C206" s="6">
        <v>2.6510000000000001E-6</v>
      </c>
      <c r="D206" s="1" t="s">
        <v>238</v>
      </c>
      <c r="E206" s="3">
        <v>0.20200000000000001</v>
      </c>
      <c r="F206" s="7">
        <v>3.431421685940323</v>
      </c>
      <c r="G206" s="7">
        <v>33084480000</v>
      </c>
      <c r="H206" s="7">
        <v>0</v>
      </c>
      <c r="I206" s="3">
        <f t="shared" si="3"/>
        <v>38292.222222222219</v>
      </c>
      <c r="L206" s="1">
        <v>38080</v>
      </c>
      <c r="M206" s="3">
        <v>4.8860000000000005E-10</v>
      </c>
      <c r="N206" s="1" t="s">
        <v>239</v>
      </c>
      <c r="O206" s="1">
        <v>42</v>
      </c>
      <c r="P206" s="1">
        <v>38</v>
      </c>
      <c r="Q206" s="3">
        <v>6378</v>
      </c>
      <c r="R206" s="3">
        <v>1.0867782699277912E-4</v>
      </c>
      <c r="S206" s="3">
        <v>6097728.0000000009</v>
      </c>
      <c r="T206" s="3">
        <v>0</v>
      </c>
    </row>
    <row r="207" spans="2:20" x14ac:dyDescent="0.2">
      <c r="B207">
        <v>39080</v>
      </c>
      <c r="C207" s="6">
        <v>4.9746499999999999E-7</v>
      </c>
      <c r="D207" s="1" t="s">
        <v>240</v>
      </c>
      <c r="E207" s="3">
        <v>30.1</v>
      </c>
      <c r="F207" s="7">
        <v>2.3028145533552997E-2</v>
      </c>
      <c r="G207" s="7">
        <v>6208363200</v>
      </c>
      <c r="H207" s="7">
        <v>0</v>
      </c>
      <c r="I207" s="3">
        <f t="shared" si="3"/>
        <v>7185.6055555555558</v>
      </c>
      <c r="L207" s="1">
        <v>38081</v>
      </c>
      <c r="M207" s="3">
        <v>2.094E-10</v>
      </c>
      <c r="N207" s="1" t="s">
        <v>241</v>
      </c>
      <c r="O207" s="1">
        <v>43</v>
      </c>
      <c r="P207" s="1">
        <v>38</v>
      </c>
      <c r="Q207" s="3">
        <v>1338</v>
      </c>
      <c r="R207" s="3">
        <v>5.1804722014943589E-4</v>
      </c>
      <c r="S207" s="3">
        <v>2613312</v>
      </c>
      <c r="T207" s="3">
        <v>0</v>
      </c>
    </row>
    <row r="208" spans="2:20" x14ac:dyDescent="0.2">
      <c r="B208">
        <v>39081</v>
      </c>
      <c r="C208" s="6">
        <v>7.9222999999999994E-8</v>
      </c>
      <c r="D208" s="1" t="s">
        <v>242</v>
      </c>
      <c r="E208" s="3">
        <v>70.400000000000006</v>
      </c>
      <c r="F208" s="7">
        <v>9.8458406329537673E-3</v>
      </c>
      <c r="G208" s="7">
        <v>988703039.99999988</v>
      </c>
      <c r="H208" s="7">
        <v>0</v>
      </c>
      <c r="I208" s="3">
        <f t="shared" si="3"/>
        <v>1144.3322222222221</v>
      </c>
      <c r="L208" s="1">
        <v>38089</v>
      </c>
      <c r="M208" s="3">
        <v>4.1391399999999998E-8</v>
      </c>
      <c r="N208" s="1" t="s">
        <v>227</v>
      </c>
      <c r="O208" s="1">
        <v>51</v>
      </c>
      <c r="P208" s="1">
        <v>38</v>
      </c>
      <c r="Q208" s="3">
        <v>4368643.2</v>
      </c>
      <c r="R208" s="3">
        <v>1.5866417760094148E-7</v>
      </c>
      <c r="S208" s="3">
        <v>66174325.566337332</v>
      </c>
      <c r="T208" s="3">
        <v>444261.93427764502</v>
      </c>
    </row>
    <row r="209" spans="2:20" x14ac:dyDescent="0.2">
      <c r="B209">
        <v>39082</v>
      </c>
      <c r="C209" s="6">
        <v>6.4216000000000002E-9</v>
      </c>
      <c r="D209" s="1" t="s">
        <v>243</v>
      </c>
      <c r="E209" s="3">
        <v>8.3000000000000007</v>
      </c>
      <c r="F209" s="7">
        <v>8.3511708501198226E-2</v>
      </c>
      <c r="G209" s="7">
        <v>80141568</v>
      </c>
      <c r="H209" s="7">
        <v>0</v>
      </c>
      <c r="I209" s="3">
        <f t="shared" si="3"/>
        <v>92.756444444444455</v>
      </c>
      <c r="L209" s="1">
        <v>38090</v>
      </c>
      <c r="M209" s="3">
        <v>2.9993099999999999E-7</v>
      </c>
      <c r="N209" s="1" t="s">
        <v>228</v>
      </c>
      <c r="O209" s="1">
        <v>52</v>
      </c>
      <c r="P209" s="1">
        <v>38</v>
      </c>
      <c r="Q209" s="3">
        <v>912014640</v>
      </c>
      <c r="R209" s="3">
        <v>7.6001760296298017E-10</v>
      </c>
      <c r="S209" s="3">
        <v>2457144.8066517552</v>
      </c>
      <c r="T209" s="3">
        <v>2398952.3303859518</v>
      </c>
    </row>
    <row r="210" spans="2:20" x14ac:dyDescent="0.2">
      <c r="B210">
        <v>39083</v>
      </c>
      <c r="C210" s="6">
        <v>1.3262E-9</v>
      </c>
      <c r="D210" s="1" t="s">
        <v>244</v>
      </c>
      <c r="E210" s="3">
        <v>424.8</v>
      </c>
      <c r="F210" s="7">
        <v>1.6317024024480821E-3</v>
      </c>
      <c r="G210" s="7">
        <v>16550976</v>
      </c>
      <c r="H210" s="7">
        <v>0</v>
      </c>
      <c r="I210" s="3">
        <f t="shared" si="3"/>
        <v>19.156222222222226</v>
      </c>
      <c r="L210" s="1">
        <v>38091</v>
      </c>
      <c r="M210" s="3">
        <v>1.02913E-6</v>
      </c>
      <c r="N210" s="1" t="s">
        <v>229</v>
      </c>
      <c r="O210" s="1">
        <v>53</v>
      </c>
      <c r="P210" s="1">
        <v>38</v>
      </c>
      <c r="Q210" s="3">
        <v>34740</v>
      </c>
      <c r="R210" s="3">
        <v>1.9952423159468777E-5</v>
      </c>
      <c r="S210" s="3">
        <v>12843541981.275421</v>
      </c>
      <c r="T210" s="3">
        <v>6.9514811072387512E-264</v>
      </c>
    </row>
    <row r="211" spans="2:20" x14ac:dyDescent="0.2">
      <c r="B211">
        <v>39087</v>
      </c>
      <c r="C211" s="6">
        <v>2.094E-10</v>
      </c>
      <c r="D211" s="1" t="s">
        <v>245</v>
      </c>
      <c r="E211" s="3">
        <v>287280</v>
      </c>
      <c r="F211" s="7">
        <v>2.4127930261763619E-6</v>
      </c>
      <c r="G211" s="7">
        <v>2288346.0242786021</v>
      </c>
      <c r="H211" s="7">
        <v>2.0612168077201618E-27</v>
      </c>
      <c r="I211" s="3">
        <f t="shared" si="3"/>
        <v>2.6485486392113451</v>
      </c>
      <c r="L211" s="1">
        <v>38092</v>
      </c>
      <c r="M211" s="3">
        <v>4.5028000000000003E-6</v>
      </c>
      <c r="N211" s="1" t="s">
        <v>230</v>
      </c>
      <c r="O211" s="1">
        <v>54</v>
      </c>
      <c r="P211" s="1">
        <v>38</v>
      </c>
      <c r="Q211" s="3">
        <v>9399.6</v>
      </c>
      <c r="R211" s="3">
        <v>7.3742199727642167E-5</v>
      </c>
      <c r="S211" s="3">
        <v>56194944000.000008</v>
      </c>
      <c r="T211" s="3">
        <v>0</v>
      </c>
    </row>
    <row r="212" spans="2:20" x14ac:dyDescent="0.2">
      <c r="B212">
        <v>39088</v>
      </c>
      <c r="C212" s="6">
        <v>1.3959999999999999E-9</v>
      </c>
      <c r="D212" s="1" t="s">
        <v>246</v>
      </c>
      <c r="E212" s="3">
        <v>9212486.4000000004</v>
      </c>
      <c r="F212" s="7">
        <v>7.5239967850584322E-8</v>
      </c>
      <c r="G212" s="7">
        <v>1096535.3906127694</v>
      </c>
      <c r="H212" s="7">
        <v>102221.62161474695</v>
      </c>
      <c r="I212" s="3">
        <f t="shared" si="3"/>
        <v>1.2691381835795943</v>
      </c>
      <c r="L212" s="1">
        <v>38093</v>
      </c>
      <c r="M212" s="3">
        <v>9.5610599999999996E-6</v>
      </c>
      <c r="N212" s="1" t="s">
        <v>231</v>
      </c>
      <c r="O212" s="1">
        <v>55</v>
      </c>
      <c r="P212" s="1">
        <v>38</v>
      </c>
      <c r="Q212" s="3">
        <v>445.79999999999899</v>
      </c>
      <c r="R212" s="3">
        <v>1.5548388976221329E-3</v>
      </c>
      <c r="S212" s="3">
        <v>119322028800</v>
      </c>
      <c r="T212" s="3">
        <v>0</v>
      </c>
    </row>
    <row r="213" spans="2:20" x14ac:dyDescent="0.2">
      <c r="B213">
        <v>39090</v>
      </c>
      <c r="C213" s="6">
        <v>5.6468199999999997E-8</v>
      </c>
      <c r="D213" s="1" t="s">
        <v>247</v>
      </c>
      <c r="E213" s="3">
        <v>230590.8</v>
      </c>
      <c r="F213" s="7">
        <v>3.0059619922388289E-6</v>
      </c>
      <c r="G213" s="7">
        <v>652231499.63929737</v>
      </c>
      <c r="H213" s="7">
        <v>4.41585202343768E-33</v>
      </c>
      <c r="I213" s="3">
        <f t="shared" si="3"/>
        <v>754.89756902696445</v>
      </c>
      <c r="L213" s="1">
        <v>38094</v>
      </c>
      <c r="M213" s="3">
        <v>2.42979E-5</v>
      </c>
      <c r="N213" s="1" t="s">
        <v>232</v>
      </c>
      <c r="O213" s="1">
        <v>56</v>
      </c>
      <c r="P213" s="1">
        <v>38</v>
      </c>
      <c r="Q213" s="3">
        <v>75.3</v>
      </c>
      <c r="R213" s="3">
        <v>9.2051418401055147E-3</v>
      </c>
      <c r="S213" s="3">
        <v>303237792000</v>
      </c>
      <c r="T213" s="3">
        <v>0</v>
      </c>
    </row>
    <row r="214" spans="2:20" x14ac:dyDescent="0.2">
      <c r="B214">
        <v>39091</v>
      </c>
      <c r="C214" s="6">
        <v>2.53234E-7</v>
      </c>
      <c r="D214" s="1" t="s">
        <v>248</v>
      </c>
      <c r="E214" s="3">
        <v>5055264</v>
      </c>
      <c r="F214" s="7">
        <v>1.3711394312145624E-7</v>
      </c>
      <c r="G214" s="7">
        <v>353070335.80804968</v>
      </c>
      <c r="H214" s="7">
        <v>4676930.3115552161</v>
      </c>
      <c r="I214" s="3">
        <f t="shared" si="3"/>
        <v>408.64622200005743</v>
      </c>
      <c r="L214" s="1">
        <v>38095</v>
      </c>
      <c r="M214" s="3">
        <v>2.46254E-5</v>
      </c>
      <c r="N214" s="1" t="s">
        <v>233</v>
      </c>
      <c r="O214" s="1">
        <v>57</v>
      </c>
      <c r="P214" s="1">
        <v>38</v>
      </c>
      <c r="Q214" s="3">
        <v>23.9</v>
      </c>
      <c r="R214" s="3">
        <v>2.9001974082006082E-2</v>
      </c>
      <c r="S214" s="3">
        <v>307324992000</v>
      </c>
      <c r="T214" s="3">
        <v>0</v>
      </c>
    </row>
    <row r="215" spans="2:20" x14ac:dyDescent="0.2">
      <c r="B215">
        <v>39092</v>
      </c>
      <c r="C215" s="6">
        <v>9.8885700000000005E-7</v>
      </c>
      <c r="D215" s="1" t="s">
        <v>249</v>
      </c>
      <c r="E215" s="3">
        <v>12744</v>
      </c>
      <c r="F215" s="7">
        <v>5.4390080081602739E-5</v>
      </c>
      <c r="G215" s="7">
        <v>12340935360</v>
      </c>
      <c r="H215" s="7">
        <v>0</v>
      </c>
      <c r="I215" s="3">
        <f t="shared" si="3"/>
        <v>14283.49</v>
      </c>
      <c r="L215" s="1">
        <v>38096</v>
      </c>
      <c r="M215" s="3">
        <v>3.47111E-5</v>
      </c>
      <c r="N215" s="1" t="s">
        <v>234</v>
      </c>
      <c r="O215" s="1">
        <v>58</v>
      </c>
      <c r="P215" s="1">
        <v>38</v>
      </c>
      <c r="Q215" s="3">
        <v>1.07</v>
      </c>
      <c r="R215" s="3">
        <v>0.64780110332705165</v>
      </c>
      <c r="S215" s="3">
        <v>433194528000</v>
      </c>
      <c r="T215" s="3">
        <v>0</v>
      </c>
    </row>
    <row r="216" spans="2:20" x14ac:dyDescent="0.2">
      <c r="B216">
        <v>39093</v>
      </c>
      <c r="C216" s="6">
        <v>3.5352999999999998E-6</v>
      </c>
      <c r="D216" s="1" t="s">
        <v>250</v>
      </c>
      <c r="E216" s="3">
        <v>36648</v>
      </c>
      <c r="F216" s="7">
        <v>1.891364277886775E-5</v>
      </c>
      <c r="G216" s="7">
        <v>44120540470.879387</v>
      </c>
      <c r="H216" s="7">
        <v>4.0278823340275588E-249</v>
      </c>
      <c r="I216" s="3">
        <f t="shared" si="3"/>
        <v>51065.4403598141</v>
      </c>
      <c r="L216" s="1">
        <v>38097</v>
      </c>
      <c r="M216" s="3">
        <v>2.2148199999999999E-5</v>
      </c>
      <c r="N216" s="1" t="s">
        <v>235</v>
      </c>
      <c r="O216" s="1">
        <v>59</v>
      </c>
      <c r="P216" s="1">
        <v>38</v>
      </c>
      <c r="Q216" s="3">
        <v>0.42899999999999999</v>
      </c>
      <c r="R216" s="3">
        <v>1.6157276936129261</v>
      </c>
      <c r="S216" s="3">
        <v>276409536000</v>
      </c>
      <c r="T216" s="3">
        <v>0</v>
      </c>
    </row>
    <row r="217" spans="2:20" x14ac:dyDescent="0.2">
      <c r="B217">
        <v>39094</v>
      </c>
      <c r="C217" s="6">
        <v>9.3795799999999994E-6</v>
      </c>
      <c r="D217" s="1" t="s">
        <v>251</v>
      </c>
      <c r="E217" s="3">
        <v>1122</v>
      </c>
      <c r="F217" s="7">
        <v>6.1777823579317766E-4</v>
      </c>
      <c r="G217" s="7">
        <v>117057158400</v>
      </c>
      <c r="H217" s="7">
        <v>0</v>
      </c>
      <c r="I217" s="3">
        <f t="shared" si="3"/>
        <v>135482.82222222222</v>
      </c>
      <c r="L217" s="1">
        <v>38098</v>
      </c>
      <c r="M217" s="3">
        <v>2.07114E-5</v>
      </c>
      <c r="N217" s="1" t="s">
        <v>236</v>
      </c>
      <c r="O217" s="1">
        <v>60</v>
      </c>
      <c r="P217" s="1">
        <v>38</v>
      </c>
      <c r="Q217" s="3">
        <v>0.65300000000000002</v>
      </c>
      <c r="R217" s="3">
        <v>1.0614811340887369</v>
      </c>
      <c r="S217" s="3">
        <v>258478272000</v>
      </c>
      <c r="T217" s="3">
        <v>0</v>
      </c>
    </row>
    <row r="218" spans="2:20" x14ac:dyDescent="0.2">
      <c r="B218">
        <v>39095</v>
      </c>
      <c r="C218" s="6">
        <v>2.52543E-5</v>
      </c>
      <c r="D218" s="1" t="s">
        <v>252</v>
      </c>
      <c r="E218" s="3">
        <v>618</v>
      </c>
      <c r="F218" s="7">
        <v>1.1215973795468371E-3</v>
      </c>
      <c r="G218" s="7">
        <v>315173664000</v>
      </c>
      <c r="H218" s="7">
        <v>0</v>
      </c>
      <c r="I218" s="3">
        <f t="shared" si="3"/>
        <v>364784.33333333331</v>
      </c>
      <c r="L218" s="1">
        <v>38099</v>
      </c>
      <c r="M218" s="3">
        <v>7.7651100000000003E-6</v>
      </c>
      <c r="N218" s="1" t="s">
        <v>237</v>
      </c>
      <c r="O218" s="1">
        <v>61</v>
      </c>
      <c r="P218" s="1">
        <v>38</v>
      </c>
      <c r="Q218" s="3">
        <v>0.26900000000000002</v>
      </c>
      <c r="R218" s="3">
        <v>2.5767553180667111</v>
      </c>
      <c r="S218" s="3">
        <v>96908572800</v>
      </c>
      <c r="T218" s="3">
        <v>0</v>
      </c>
    </row>
    <row r="219" spans="2:20" x14ac:dyDescent="0.2">
      <c r="B219">
        <v>39096</v>
      </c>
      <c r="C219" s="6">
        <v>4.24339E-5</v>
      </c>
      <c r="D219" s="1" t="s">
        <v>253</v>
      </c>
      <c r="E219" s="3">
        <v>5.34</v>
      </c>
      <c r="F219" s="7">
        <v>0.12980284280148788</v>
      </c>
      <c r="G219" s="7">
        <v>529575072000</v>
      </c>
      <c r="H219" s="7">
        <v>0</v>
      </c>
      <c r="I219" s="3">
        <f t="shared" si="3"/>
        <v>612934.11111111112</v>
      </c>
      <c r="L219" s="1">
        <v>38100</v>
      </c>
      <c r="M219" s="3">
        <v>6.7033800000000004E-6</v>
      </c>
      <c r="N219" s="1" t="s">
        <v>238</v>
      </c>
      <c r="O219" s="1">
        <v>62</v>
      </c>
      <c r="P219" s="1">
        <v>38</v>
      </c>
      <c r="Q219" s="3">
        <v>0.20200000000000001</v>
      </c>
      <c r="R219" s="3">
        <v>3.431421685940323</v>
      </c>
      <c r="S219" s="3">
        <v>83658182400</v>
      </c>
      <c r="T219" s="3">
        <v>0</v>
      </c>
    </row>
    <row r="220" spans="2:20" x14ac:dyDescent="0.2">
      <c r="B220">
        <v>39097</v>
      </c>
      <c r="C220" s="6">
        <v>6.9031900000000006E-5</v>
      </c>
      <c r="D220" s="1" t="s">
        <v>254</v>
      </c>
      <c r="E220" s="3">
        <v>3.75</v>
      </c>
      <c r="F220" s="7">
        <v>0.18483924814931874</v>
      </c>
      <c r="G220" s="7">
        <v>861518112000.00012</v>
      </c>
      <c r="H220" s="7">
        <v>0</v>
      </c>
      <c r="I220" s="3">
        <f t="shared" si="3"/>
        <v>997127.44444444461</v>
      </c>
      <c r="L220" s="1">
        <v>39080</v>
      </c>
      <c r="M220" s="3">
        <v>2.9618199999999999E-6</v>
      </c>
      <c r="N220" s="1" t="s">
        <v>240</v>
      </c>
      <c r="O220" s="1">
        <v>41</v>
      </c>
      <c r="P220" s="1">
        <v>39</v>
      </c>
      <c r="Q220" s="3">
        <v>30.1</v>
      </c>
      <c r="R220" s="3">
        <v>2.3028145533552997E-2</v>
      </c>
      <c r="S220" s="3">
        <v>36963513600</v>
      </c>
      <c r="T220" s="3">
        <v>0</v>
      </c>
    </row>
    <row r="221" spans="2:20" x14ac:dyDescent="0.2">
      <c r="B221">
        <v>39098</v>
      </c>
      <c r="C221" s="6">
        <v>6.3832900000000003E-5</v>
      </c>
      <c r="D221" s="1" t="s">
        <v>255</v>
      </c>
      <c r="E221" s="3">
        <v>0.54800000000000004</v>
      </c>
      <c r="F221" s="7">
        <v>1.264867117810119</v>
      </c>
      <c r="G221" s="7">
        <v>796634592000</v>
      </c>
      <c r="H221" s="7">
        <v>0</v>
      </c>
      <c r="I221" s="3">
        <f t="shared" si="3"/>
        <v>922030.77777777775</v>
      </c>
      <c r="L221" s="1">
        <v>39081</v>
      </c>
      <c r="M221" s="3">
        <v>5.2992199999999997E-7</v>
      </c>
      <c r="N221" s="1" t="s">
        <v>242</v>
      </c>
      <c r="O221" s="1">
        <v>42</v>
      </c>
      <c r="P221" s="1">
        <v>39</v>
      </c>
      <c r="Q221" s="3">
        <v>70.400000000000006</v>
      </c>
      <c r="R221" s="3">
        <v>9.8458406329537673E-3</v>
      </c>
      <c r="S221" s="3">
        <v>6613426560</v>
      </c>
      <c r="T221" s="3">
        <v>0</v>
      </c>
    </row>
    <row r="222" spans="2:20" x14ac:dyDescent="0.2">
      <c r="B222">
        <v>39099</v>
      </c>
      <c r="C222" s="6">
        <v>5.4675700000000002E-5</v>
      </c>
      <c r="D222" s="1" t="s">
        <v>256</v>
      </c>
      <c r="E222" s="3">
        <v>1.484</v>
      </c>
      <c r="F222" s="7">
        <v>0.46708031035036746</v>
      </c>
      <c r="G222" s="7">
        <v>682352736000</v>
      </c>
      <c r="H222" s="7">
        <v>0</v>
      </c>
      <c r="I222" s="3">
        <f t="shared" si="3"/>
        <v>789760.11111111112</v>
      </c>
      <c r="L222" s="1">
        <v>39082</v>
      </c>
      <c r="M222" s="3">
        <v>8.6831200000000003E-8</v>
      </c>
      <c r="N222" s="1" t="s">
        <v>243</v>
      </c>
      <c r="O222" s="1">
        <v>43</v>
      </c>
      <c r="P222" s="1">
        <v>39</v>
      </c>
      <c r="Q222" s="3">
        <v>8.3000000000000007</v>
      </c>
      <c r="R222" s="3">
        <v>8.3511708501198226E-2</v>
      </c>
      <c r="S222" s="3">
        <v>1083653376</v>
      </c>
      <c r="T222" s="3">
        <v>0</v>
      </c>
    </row>
    <row r="223" spans="2:20" x14ac:dyDescent="0.2">
      <c r="B223">
        <v>39100</v>
      </c>
      <c r="C223" s="6">
        <v>2.6766799999999999E-5</v>
      </c>
      <c r="D223" s="1" t="s">
        <v>257</v>
      </c>
      <c r="E223" s="3">
        <v>0.73499999999999999</v>
      </c>
      <c r="F223" s="7">
        <v>0.94305738851693233</v>
      </c>
      <c r="G223" s="7">
        <v>334049664000</v>
      </c>
      <c r="H223" s="7">
        <v>0</v>
      </c>
      <c r="I223" s="3">
        <f t="shared" si="3"/>
        <v>386631.55555555556</v>
      </c>
      <c r="L223" s="1">
        <v>39083</v>
      </c>
      <c r="M223" s="3">
        <v>4.1321600000000003E-8</v>
      </c>
      <c r="N223" s="1" t="s">
        <v>244</v>
      </c>
      <c r="O223" s="1">
        <v>44</v>
      </c>
      <c r="P223" s="1">
        <v>39</v>
      </c>
      <c r="Q223" s="3">
        <v>424.8</v>
      </c>
      <c r="R223" s="3">
        <v>1.6317024024480821E-3</v>
      </c>
      <c r="S223" s="3">
        <v>515693568.00000006</v>
      </c>
      <c r="T223" s="3">
        <v>0</v>
      </c>
    </row>
    <row r="224" spans="2:20" x14ac:dyDescent="0.2">
      <c r="B224">
        <v>39101</v>
      </c>
      <c r="C224" s="6">
        <v>1.21421E-5</v>
      </c>
      <c r="D224" s="1" t="s">
        <v>258</v>
      </c>
      <c r="E224" s="3">
        <v>0.45</v>
      </c>
      <c r="F224" s="7">
        <v>1.5403270679109895</v>
      </c>
      <c r="G224" s="7">
        <v>151533408000</v>
      </c>
      <c r="H224" s="7">
        <v>0</v>
      </c>
      <c r="I224" s="3">
        <f t="shared" si="3"/>
        <v>175385.88888888888</v>
      </c>
      <c r="L224" s="1">
        <v>39084</v>
      </c>
      <c r="M224" s="3">
        <v>5.2350000000000002E-9</v>
      </c>
      <c r="N224" s="1" t="s">
        <v>259</v>
      </c>
      <c r="O224" s="1">
        <v>45</v>
      </c>
      <c r="P224" s="1">
        <v>39</v>
      </c>
      <c r="Q224" s="3">
        <v>2370</v>
      </c>
      <c r="R224" s="3">
        <v>2.9246716479322586E-4</v>
      </c>
      <c r="S224" s="3">
        <v>65332800</v>
      </c>
      <c r="T224" s="3">
        <v>0</v>
      </c>
    </row>
    <row r="225" spans="2:20" x14ac:dyDescent="0.2">
      <c r="B225">
        <v>39102</v>
      </c>
      <c r="C225" s="6">
        <v>3.1645899999999999E-6</v>
      </c>
      <c r="D225" s="1" t="s">
        <v>260</v>
      </c>
      <c r="E225" s="3">
        <v>0.36</v>
      </c>
      <c r="F225" s="7">
        <v>1.925408834888737</v>
      </c>
      <c r="G225" s="7">
        <v>39494083200</v>
      </c>
      <c r="H225" s="7">
        <v>0</v>
      </c>
      <c r="I225" s="3">
        <f t="shared" si="3"/>
        <v>45710.744444444441</v>
      </c>
      <c r="L225" s="1">
        <v>39085</v>
      </c>
      <c r="M225" s="3">
        <v>1.3959999999999999E-9</v>
      </c>
      <c r="N225" s="1" t="s">
        <v>261</v>
      </c>
      <c r="O225" s="1">
        <v>46</v>
      </c>
      <c r="P225" s="1">
        <v>39</v>
      </c>
      <c r="Q225" s="3">
        <v>9648</v>
      </c>
      <c r="R225" s="3">
        <v>7.184361324211705E-5</v>
      </c>
      <c r="S225" s="3">
        <v>17422080</v>
      </c>
      <c r="T225" s="3">
        <v>0</v>
      </c>
    </row>
    <row r="226" spans="2:20" x14ac:dyDescent="0.2">
      <c r="B226">
        <v>40081</v>
      </c>
      <c r="C226" s="6">
        <v>8.33552E-7</v>
      </c>
      <c r="D226" s="1" t="s">
        <v>262</v>
      </c>
      <c r="E226" s="3">
        <v>5.5</v>
      </c>
      <c r="F226" s="7">
        <v>0.12602676010180824</v>
      </c>
      <c r="G226" s="7">
        <v>10402728960</v>
      </c>
      <c r="H226" s="7">
        <v>0</v>
      </c>
      <c r="I226" s="3">
        <f t="shared" si="3"/>
        <v>12040.195555555556</v>
      </c>
      <c r="L226" s="1">
        <v>39086</v>
      </c>
      <c r="M226" s="3">
        <v>1.3959999999999999E-10</v>
      </c>
      <c r="N226" s="1" t="s">
        <v>263</v>
      </c>
      <c r="O226" s="1">
        <v>47</v>
      </c>
      <c r="P226" s="1">
        <v>39</v>
      </c>
      <c r="Q226" s="3">
        <v>53064</v>
      </c>
      <c r="R226" s="3">
        <v>1.3062475134930372E-5</v>
      </c>
      <c r="S226" s="3">
        <v>1742186.1394134241</v>
      </c>
      <c r="T226" s="3">
        <v>2.1807230962847406E-173</v>
      </c>
    </row>
    <row r="227" spans="2:20" x14ac:dyDescent="0.2">
      <c r="B227">
        <v>40082</v>
      </c>
      <c r="C227" s="6">
        <v>1.09865E-7</v>
      </c>
      <c r="D227" s="1" t="s">
        <v>264</v>
      </c>
      <c r="E227" s="3">
        <v>32</v>
      </c>
      <c r="F227" s="7">
        <v>2.166084939249829E-2</v>
      </c>
      <c r="G227" s="7">
        <v>1371115200</v>
      </c>
      <c r="H227" s="7">
        <v>0</v>
      </c>
      <c r="I227" s="3">
        <f t="shared" si="3"/>
        <v>1586.9388888888889</v>
      </c>
      <c r="L227" s="1">
        <v>39087</v>
      </c>
      <c r="M227" s="3">
        <v>6.9799999999999994E-11</v>
      </c>
      <c r="N227" s="1" t="s">
        <v>245</v>
      </c>
      <c r="O227" s="1">
        <v>48</v>
      </c>
      <c r="P227" s="1">
        <v>39</v>
      </c>
      <c r="Q227" s="3">
        <v>287280</v>
      </c>
      <c r="R227" s="3">
        <v>2.4127930261763619E-6</v>
      </c>
      <c r="S227" s="3">
        <v>762782.00809286721</v>
      </c>
      <c r="T227" s="3">
        <v>6.8707226924005383E-28</v>
      </c>
    </row>
    <row r="228" spans="2:20" x14ac:dyDescent="0.2">
      <c r="B228">
        <v>40083</v>
      </c>
      <c r="C228" s="6">
        <v>1.8845999999999999E-8</v>
      </c>
      <c r="D228" s="1" t="s">
        <v>265</v>
      </c>
      <c r="E228" s="3">
        <v>42</v>
      </c>
      <c r="F228" s="7">
        <v>1.6503504299046318E-2</v>
      </c>
      <c r="G228" s="7">
        <v>235198080</v>
      </c>
      <c r="H228" s="7">
        <v>0</v>
      </c>
      <c r="I228" s="3">
        <f t="shared" si="3"/>
        <v>272.22000000000003</v>
      </c>
      <c r="L228" s="1">
        <v>39090</v>
      </c>
      <c r="M228" s="3">
        <v>1.3262E-9</v>
      </c>
      <c r="N228" s="1" t="s">
        <v>247</v>
      </c>
      <c r="O228" s="1">
        <v>51</v>
      </c>
      <c r="P228" s="1">
        <v>39</v>
      </c>
      <c r="Q228" s="3">
        <v>230590.8</v>
      </c>
      <c r="R228" s="3">
        <v>3.0059619922388289E-6</v>
      </c>
      <c r="S228" s="3">
        <v>15318168.718351856</v>
      </c>
      <c r="T228" s="3">
        <v>1.0370975085947581E-34</v>
      </c>
    </row>
    <row r="229" spans="2:20" x14ac:dyDescent="0.2">
      <c r="B229">
        <v>40084</v>
      </c>
      <c r="C229" s="6">
        <v>1.8148E-9</v>
      </c>
      <c r="D229" s="1" t="s">
        <v>266</v>
      </c>
      <c r="E229" s="3">
        <v>1548</v>
      </c>
      <c r="F229" s="7">
        <v>4.4776949648575278E-4</v>
      </c>
      <c r="G229" s="7">
        <v>22648704</v>
      </c>
      <c r="H229" s="7">
        <v>0</v>
      </c>
      <c r="I229" s="3">
        <f t="shared" si="3"/>
        <v>26.213777777777775</v>
      </c>
      <c r="L229" s="1">
        <v>39091</v>
      </c>
      <c r="M229" s="3">
        <v>1.6123799999999998E-8</v>
      </c>
      <c r="N229" s="1" t="s">
        <v>248</v>
      </c>
      <c r="O229" s="1">
        <v>52</v>
      </c>
      <c r="P229" s="1">
        <v>39</v>
      </c>
      <c r="Q229" s="3">
        <v>5055264</v>
      </c>
      <c r="R229" s="3">
        <v>1.3711394312145624E-7</v>
      </c>
      <c r="S229" s="3">
        <v>22480533.737578016</v>
      </c>
      <c r="T229" s="3">
        <v>297787.37830407446</v>
      </c>
    </row>
    <row r="230" spans="2:20" x14ac:dyDescent="0.2">
      <c r="B230">
        <v>40085</v>
      </c>
      <c r="C230" s="6">
        <v>4.8860000000000005E-10</v>
      </c>
      <c r="D230" s="1" t="s">
        <v>267</v>
      </c>
      <c r="E230" s="3">
        <v>471.6</v>
      </c>
      <c r="F230" s="7">
        <v>1.4697777365562876E-3</v>
      </c>
      <c r="G230" s="7">
        <v>6097728.0000000009</v>
      </c>
      <c r="H230" s="7">
        <v>0</v>
      </c>
      <c r="I230" s="3">
        <f t="shared" si="3"/>
        <v>7.057555555555556</v>
      </c>
      <c r="L230" s="1">
        <v>39092</v>
      </c>
      <c r="M230" s="3">
        <v>9.7580399999999999E-8</v>
      </c>
      <c r="N230" s="1" t="s">
        <v>249</v>
      </c>
      <c r="O230" s="1">
        <v>53</v>
      </c>
      <c r="P230" s="1">
        <v>39</v>
      </c>
      <c r="Q230" s="3">
        <v>12744</v>
      </c>
      <c r="R230" s="3">
        <v>5.4390080081602739E-5</v>
      </c>
      <c r="S230" s="3">
        <v>1217803392</v>
      </c>
      <c r="T230" s="3">
        <v>0</v>
      </c>
    </row>
    <row r="231" spans="2:20" x14ac:dyDescent="0.2">
      <c r="B231">
        <v>40086</v>
      </c>
      <c r="C231" s="6">
        <v>1.3959999999999999E-10</v>
      </c>
      <c r="D231" s="1" t="s">
        <v>268</v>
      </c>
      <c r="E231" s="3">
        <v>59400</v>
      </c>
      <c r="F231" s="7">
        <v>1.1669144453871133E-5</v>
      </c>
      <c r="G231" s="7">
        <v>1742135.1412216676</v>
      </c>
      <c r="H231" s="7">
        <v>2.6394929528226289E-154</v>
      </c>
      <c r="I231" s="3">
        <f t="shared" si="3"/>
        <v>2.0163601171547079</v>
      </c>
      <c r="L231" s="1">
        <v>39093</v>
      </c>
      <c r="M231" s="3">
        <v>6.3720400000000002E-7</v>
      </c>
      <c r="N231" s="1" t="s">
        <v>250</v>
      </c>
      <c r="O231" s="1">
        <v>54</v>
      </c>
      <c r="P231" s="1">
        <v>39</v>
      </c>
      <c r="Q231" s="3">
        <v>36648</v>
      </c>
      <c r="R231" s="3">
        <v>1.891364277886775E-5</v>
      </c>
      <c r="S231" s="3">
        <v>7952305283.9097757</v>
      </c>
      <c r="T231" s="3">
        <v>7.2598725278525062E-250</v>
      </c>
    </row>
    <row r="232" spans="2:20" x14ac:dyDescent="0.2">
      <c r="B232">
        <v>40089</v>
      </c>
      <c r="C232" s="6">
        <v>1.3959999999999999E-10</v>
      </c>
      <c r="D232" s="1" t="s">
        <v>269</v>
      </c>
      <c r="E232" s="3">
        <v>282276</v>
      </c>
      <c r="F232" s="7">
        <v>2.4555654060562899E-6</v>
      </c>
      <c r="G232" s="7">
        <v>1533424.0380577643</v>
      </c>
      <c r="H232" s="7">
        <v>3.5847390598106117E-28</v>
      </c>
      <c r="I232" s="3">
        <f t="shared" si="3"/>
        <v>1.7747963403446347</v>
      </c>
      <c r="L232" s="1">
        <v>39094</v>
      </c>
      <c r="M232" s="3">
        <v>2.2451899999999998E-6</v>
      </c>
      <c r="N232" s="1" t="s">
        <v>251</v>
      </c>
      <c r="O232" s="1">
        <v>55</v>
      </c>
      <c r="P232" s="1">
        <v>39</v>
      </c>
      <c r="Q232" s="3">
        <v>1122</v>
      </c>
      <c r="R232" s="3">
        <v>6.1777823579317766E-4</v>
      </c>
      <c r="S232" s="3">
        <v>28019971199.999996</v>
      </c>
      <c r="T232" s="3">
        <v>0</v>
      </c>
    </row>
    <row r="233" spans="2:20" x14ac:dyDescent="0.2">
      <c r="B233">
        <v>40093</v>
      </c>
      <c r="C233" s="6">
        <v>1.91601E-7</v>
      </c>
      <c r="D233" s="1" t="s">
        <v>270</v>
      </c>
      <c r="E233" s="3">
        <v>50807736000000</v>
      </c>
      <c r="F233" s="7">
        <v>1.3642552003496973E-14</v>
      </c>
      <c r="G233" s="7">
        <v>28.185238649228133</v>
      </c>
      <c r="H233" s="7">
        <v>28.185226523052673</v>
      </c>
      <c r="I233" s="3">
        <f t="shared" si="3"/>
        <v>3.2621803992162192E-5</v>
      </c>
      <c r="L233" s="1">
        <v>39095</v>
      </c>
      <c r="M233" s="3">
        <v>8.2075700000000004E-6</v>
      </c>
      <c r="N233" s="1" t="s">
        <v>252</v>
      </c>
      <c r="O233" s="1">
        <v>56</v>
      </c>
      <c r="P233" s="1">
        <v>39</v>
      </c>
      <c r="Q233" s="3">
        <v>618</v>
      </c>
      <c r="R233" s="3">
        <v>1.1215973795468371E-3</v>
      </c>
      <c r="S233" s="3">
        <v>102430473600</v>
      </c>
      <c r="T233" s="3">
        <v>0</v>
      </c>
    </row>
    <row r="234" spans="2:20" x14ac:dyDescent="0.2">
      <c r="B234">
        <v>40095</v>
      </c>
      <c r="C234" s="6">
        <v>2.8452599999999998E-6</v>
      </c>
      <c r="D234" s="1" t="s">
        <v>271</v>
      </c>
      <c r="E234" s="3">
        <v>5532364.7999999998</v>
      </c>
      <c r="F234" s="7">
        <v>1.2528949294159802E-7</v>
      </c>
      <c r="G234" s="7">
        <v>3643097108.4203691</v>
      </c>
      <c r="H234" s="7">
        <v>70067565.882841721</v>
      </c>
      <c r="I234" s="3">
        <f t="shared" si="3"/>
        <v>4216.5475791902418</v>
      </c>
      <c r="L234" s="1">
        <v>39096</v>
      </c>
      <c r="M234" s="3">
        <v>1.5322799999999998E-5</v>
      </c>
      <c r="N234" s="1" t="s">
        <v>253</v>
      </c>
      <c r="O234" s="1">
        <v>57</v>
      </c>
      <c r="P234" s="1">
        <v>39</v>
      </c>
      <c r="Q234" s="3">
        <v>5.34</v>
      </c>
      <c r="R234" s="3">
        <v>0.12980284280148788</v>
      </c>
      <c r="S234" s="3">
        <v>191228543999.99997</v>
      </c>
      <c r="T234" s="3">
        <v>0</v>
      </c>
    </row>
    <row r="235" spans="2:20" x14ac:dyDescent="0.2">
      <c r="B235">
        <v>40096</v>
      </c>
      <c r="C235" s="6">
        <v>8.3706299999999995E-6</v>
      </c>
      <c r="D235" s="1" t="s">
        <v>272</v>
      </c>
      <c r="E235" s="3">
        <v>7.4160360000000004E+26</v>
      </c>
      <c r="F235" s="7">
        <v>9.3465994577149465E-28</v>
      </c>
      <c r="G235" s="7">
        <v>0</v>
      </c>
      <c r="H235" s="7">
        <v>0</v>
      </c>
      <c r="I235" s="3">
        <f t="shared" si="3"/>
        <v>0</v>
      </c>
      <c r="L235" s="1">
        <v>39097</v>
      </c>
      <c r="M235" s="3">
        <v>2.64968E-5</v>
      </c>
      <c r="N235" s="1" t="s">
        <v>254</v>
      </c>
      <c r="O235" s="1">
        <v>58</v>
      </c>
      <c r="P235" s="1">
        <v>39</v>
      </c>
      <c r="Q235" s="3">
        <v>3.75</v>
      </c>
      <c r="R235" s="3">
        <v>0.18483924814931874</v>
      </c>
      <c r="S235" s="3">
        <v>330680064000</v>
      </c>
      <c r="T235" s="3">
        <v>0</v>
      </c>
    </row>
    <row r="236" spans="2:20" x14ac:dyDescent="0.2">
      <c r="B236">
        <v>40097</v>
      </c>
      <c r="C236" s="6">
        <v>2.0043699999999999E-5</v>
      </c>
      <c r="D236" s="1" t="s">
        <v>273</v>
      </c>
      <c r="E236" s="3">
        <v>60296.3999999999</v>
      </c>
      <c r="F236" s="7">
        <v>1.149566442706275E-5</v>
      </c>
      <c r="G236" s="7">
        <v>250133223396.01163</v>
      </c>
      <c r="H236" s="7">
        <v>9.0069347168478187E-147</v>
      </c>
      <c r="I236" s="3">
        <f t="shared" si="3"/>
        <v>289506.04559723567</v>
      </c>
      <c r="L236" s="1">
        <v>39098</v>
      </c>
      <c r="M236" s="3">
        <v>2.36196E-5</v>
      </c>
      <c r="N236" s="1" t="s">
        <v>255</v>
      </c>
      <c r="O236" s="1">
        <v>59</v>
      </c>
      <c r="P236" s="1">
        <v>39</v>
      </c>
      <c r="Q236" s="3">
        <v>0.54800000000000004</v>
      </c>
      <c r="R236" s="3">
        <v>1.264867117810119</v>
      </c>
      <c r="S236" s="3">
        <v>294772608000</v>
      </c>
      <c r="T236" s="3">
        <v>0</v>
      </c>
    </row>
    <row r="237" spans="2:20" x14ac:dyDescent="0.2">
      <c r="B237">
        <v>40098</v>
      </c>
      <c r="C237" s="6">
        <v>4.1214899999999997E-5</v>
      </c>
      <c r="D237" s="1" t="s">
        <v>274</v>
      </c>
      <c r="E237" s="3">
        <v>30.7</v>
      </c>
      <c r="F237" s="7">
        <v>2.2578084057327207E-2</v>
      </c>
      <c r="G237" s="7">
        <v>514361951999.99994</v>
      </c>
      <c r="H237" s="7">
        <v>0</v>
      </c>
      <c r="I237" s="3">
        <f t="shared" si="3"/>
        <v>595326.33333333326</v>
      </c>
      <c r="L237" s="1">
        <v>39099</v>
      </c>
      <c r="M237" s="3">
        <v>2.86367E-5</v>
      </c>
      <c r="N237" s="1" t="s">
        <v>256</v>
      </c>
      <c r="O237" s="1">
        <v>60</v>
      </c>
      <c r="P237" s="1">
        <v>39</v>
      </c>
      <c r="Q237" s="3">
        <v>1.484</v>
      </c>
      <c r="R237" s="3">
        <v>0.46708031035036746</v>
      </c>
      <c r="S237" s="3">
        <v>357386016000</v>
      </c>
      <c r="T237" s="3">
        <v>0</v>
      </c>
    </row>
    <row r="238" spans="2:20" x14ac:dyDescent="0.2">
      <c r="B238">
        <v>40099</v>
      </c>
      <c r="C238" s="6">
        <v>6.3559599999999994E-5</v>
      </c>
      <c r="D238" s="1" t="s">
        <v>275</v>
      </c>
      <c r="E238" s="3">
        <v>2.1</v>
      </c>
      <c r="F238" s="7">
        <v>0.3300700859809263</v>
      </c>
      <c r="G238" s="7">
        <v>793223807999.99988</v>
      </c>
      <c r="H238" s="7">
        <v>0</v>
      </c>
      <c r="I238" s="3">
        <f t="shared" si="3"/>
        <v>918083.11111111101</v>
      </c>
      <c r="L238" s="1">
        <v>39100</v>
      </c>
      <c r="M238" s="3">
        <v>1.96514E-5</v>
      </c>
      <c r="N238" s="1" t="s">
        <v>257</v>
      </c>
      <c r="O238" s="1">
        <v>61</v>
      </c>
      <c r="P238" s="1">
        <v>39</v>
      </c>
      <c r="Q238" s="3">
        <v>0.73499999999999999</v>
      </c>
      <c r="R238" s="3">
        <v>0.94305738851693233</v>
      </c>
      <c r="S238" s="3">
        <v>245249472000</v>
      </c>
      <c r="T238" s="3">
        <v>0</v>
      </c>
    </row>
    <row r="239" spans="2:20" x14ac:dyDescent="0.2">
      <c r="B239">
        <v>40100</v>
      </c>
      <c r="C239" s="6">
        <v>7.5980800000000003E-5</v>
      </c>
      <c r="D239" s="1" t="s">
        <v>276</v>
      </c>
      <c r="E239" s="3">
        <v>7.1</v>
      </c>
      <c r="F239" s="7">
        <v>9.7626363459147228E-2</v>
      </c>
      <c r="G239" s="7">
        <v>948240384000</v>
      </c>
      <c r="H239" s="7">
        <v>0</v>
      </c>
      <c r="I239" s="3">
        <f t="shared" si="3"/>
        <v>1097500.4444444445</v>
      </c>
      <c r="L239" s="1">
        <v>39101</v>
      </c>
      <c r="M239" s="3">
        <v>1.24008E-5</v>
      </c>
      <c r="N239" s="1" t="s">
        <v>258</v>
      </c>
      <c r="O239" s="1">
        <v>62</v>
      </c>
      <c r="P239" s="1">
        <v>39</v>
      </c>
      <c r="Q239" s="3">
        <v>0.45</v>
      </c>
      <c r="R239" s="3">
        <v>1.5403270679109895</v>
      </c>
      <c r="S239" s="3">
        <v>154761984000</v>
      </c>
      <c r="T239" s="3">
        <v>0</v>
      </c>
    </row>
    <row r="240" spans="2:20" x14ac:dyDescent="0.2">
      <c r="B240">
        <v>40101</v>
      </c>
      <c r="C240" s="6">
        <v>6.0205099999999997E-5</v>
      </c>
      <c r="D240" s="1" t="s">
        <v>277</v>
      </c>
      <c r="E240" s="3">
        <v>2.2999999999999998</v>
      </c>
      <c r="F240" s="7">
        <v>0.30136833937388929</v>
      </c>
      <c r="G240" s="7">
        <v>751359648000</v>
      </c>
      <c r="H240" s="7">
        <v>0</v>
      </c>
      <c r="I240" s="3">
        <f t="shared" si="3"/>
        <v>869629.22222222225</v>
      </c>
      <c r="L240" s="1">
        <v>39102</v>
      </c>
      <c r="M240" s="3">
        <v>6.2177800000000003E-6</v>
      </c>
      <c r="N240" s="1" t="s">
        <v>260</v>
      </c>
      <c r="O240" s="1">
        <v>63</v>
      </c>
      <c r="P240" s="1">
        <v>39</v>
      </c>
      <c r="Q240" s="3">
        <v>0.36</v>
      </c>
      <c r="R240" s="3">
        <v>1.925408834888737</v>
      </c>
      <c r="S240" s="3">
        <v>77597894400</v>
      </c>
      <c r="T240" s="3">
        <v>0</v>
      </c>
    </row>
    <row r="241" spans="2:20" x14ac:dyDescent="0.2">
      <c r="B241">
        <v>40102</v>
      </c>
      <c r="C241" s="6">
        <v>3.4218199999999997E-5</v>
      </c>
      <c r="D241" s="1" t="s">
        <v>278</v>
      </c>
      <c r="E241" s="3">
        <v>2.9</v>
      </c>
      <c r="F241" s="7">
        <v>0.23901626915860183</v>
      </c>
      <c r="G241" s="7">
        <v>427043135999.99994</v>
      </c>
      <c r="H241" s="7">
        <v>0</v>
      </c>
      <c r="I241" s="3">
        <f t="shared" si="3"/>
        <v>494262.88888888882</v>
      </c>
      <c r="L241" s="1">
        <v>40081</v>
      </c>
      <c r="M241" s="3">
        <v>4.1241299999999996E-6</v>
      </c>
      <c r="N241" s="1" t="s">
        <v>262</v>
      </c>
      <c r="O241" s="1">
        <v>41</v>
      </c>
      <c r="P241" s="1">
        <v>40</v>
      </c>
      <c r="Q241" s="3">
        <v>5.5</v>
      </c>
      <c r="R241" s="3">
        <v>0.12602676010180824</v>
      </c>
      <c r="S241" s="3">
        <v>51469142399.999992</v>
      </c>
      <c r="T241" s="3">
        <v>0</v>
      </c>
    </row>
    <row r="242" spans="2:20" x14ac:dyDescent="0.2">
      <c r="B242">
        <v>41084</v>
      </c>
      <c r="C242" s="6">
        <v>1.23821E-5</v>
      </c>
      <c r="D242" s="1" t="s">
        <v>279</v>
      </c>
      <c r="E242" s="3">
        <v>9.8000000000000007</v>
      </c>
      <c r="F242" s="7">
        <v>7.0729304138769919E-2</v>
      </c>
      <c r="G242" s="7">
        <v>154528608000</v>
      </c>
      <c r="H242" s="7">
        <v>0</v>
      </c>
      <c r="I242" s="3">
        <f t="shared" si="3"/>
        <v>178852.55555555556</v>
      </c>
      <c r="L242" s="1">
        <v>40082</v>
      </c>
      <c r="M242" s="3">
        <v>5.1135500000000002E-7</v>
      </c>
      <c r="N242" s="1" t="s">
        <v>264</v>
      </c>
      <c r="O242" s="1">
        <v>42</v>
      </c>
      <c r="P242" s="1">
        <v>40</v>
      </c>
      <c r="Q242" s="3">
        <v>32</v>
      </c>
      <c r="R242" s="3">
        <v>2.166084939249829E-2</v>
      </c>
      <c r="S242" s="3">
        <v>6381710400</v>
      </c>
      <c r="T242" s="3">
        <v>0</v>
      </c>
    </row>
    <row r="243" spans="2:20" x14ac:dyDescent="0.2">
      <c r="B243">
        <v>41085</v>
      </c>
      <c r="C243" s="6">
        <v>3.6280600000000002E-6</v>
      </c>
      <c r="D243" s="1" t="s">
        <v>280</v>
      </c>
      <c r="E243" s="3">
        <v>20.5</v>
      </c>
      <c r="F243" s="7">
        <v>3.3812057588290013E-2</v>
      </c>
      <c r="G243" s="7">
        <v>45278188800</v>
      </c>
      <c r="H243" s="7">
        <v>0</v>
      </c>
      <c r="I243" s="3">
        <f t="shared" si="3"/>
        <v>52405.311111111114</v>
      </c>
      <c r="L243" s="1">
        <v>40083</v>
      </c>
      <c r="M243" s="3">
        <v>2.3711100000000001E-7</v>
      </c>
      <c r="N243" s="1" t="s">
        <v>265</v>
      </c>
      <c r="O243" s="1">
        <v>43</v>
      </c>
      <c r="P243" s="1">
        <v>40</v>
      </c>
      <c r="Q243" s="3">
        <v>42</v>
      </c>
      <c r="R243" s="3">
        <v>1.6503504299046318E-2</v>
      </c>
      <c r="S243" s="3">
        <v>2959145280</v>
      </c>
      <c r="T243" s="3">
        <v>0</v>
      </c>
    </row>
    <row r="244" spans="2:20" x14ac:dyDescent="0.2">
      <c r="B244">
        <v>41086</v>
      </c>
      <c r="C244" s="6">
        <v>7.1531000000000002E-7</v>
      </c>
      <c r="D244" s="1" t="s">
        <v>281</v>
      </c>
      <c r="E244" s="3">
        <v>88</v>
      </c>
      <c r="F244" s="7">
        <v>7.8766725063630152E-3</v>
      </c>
      <c r="G244" s="7">
        <v>8927068800</v>
      </c>
      <c r="H244" s="7">
        <v>0</v>
      </c>
      <c r="I244" s="3">
        <f t="shared" si="3"/>
        <v>10332.255555555555</v>
      </c>
      <c r="L244" s="1">
        <v>40084</v>
      </c>
      <c r="M244" s="3">
        <v>3.9576600000000002E-8</v>
      </c>
      <c r="N244" s="1" t="s">
        <v>266</v>
      </c>
      <c r="O244" s="1">
        <v>44</v>
      </c>
      <c r="P244" s="1">
        <v>40</v>
      </c>
      <c r="Q244" s="3">
        <v>1548</v>
      </c>
      <c r="R244" s="3">
        <v>4.4776949648575278E-4</v>
      </c>
      <c r="S244" s="3">
        <v>493915968.00000006</v>
      </c>
      <c r="T244" s="3">
        <v>0</v>
      </c>
    </row>
    <row r="245" spans="2:20" x14ac:dyDescent="0.2">
      <c r="B245">
        <v>41087</v>
      </c>
      <c r="C245" s="6">
        <v>1.42252E-7</v>
      </c>
      <c r="D245" s="1" t="s">
        <v>282</v>
      </c>
      <c r="E245" s="3">
        <v>222</v>
      </c>
      <c r="F245" s="7">
        <v>3.1222845971168706E-3</v>
      </c>
      <c r="G245" s="7">
        <v>1775304960</v>
      </c>
      <c r="H245" s="7">
        <v>0</v>
      </c>
      <c r="I245" s="3">
        <f t="shared" si="3"/>
        <v>2054.7511111111112</v>
      </c>
      <c r="L245" s="1">
        <v>40085</v>
      </c>
      <c r="M245" s="3">
        <v>1.34016E-8</v>
      </c>
      <c r="N245" s="1" t="s">
        <v>267</v>
      </c>
      <c r="O245" s="1">
        <v>45</v>
      </c>
      <c r="P245" s="1">
        <v>40</v>
      </c>
      <c r="Q245" s="3">
        <v>471.6</v>
      </c>
      <c r="R245" s="3">
        <v>1.4697777365562876E-3</v>
      </c>
      <c r="S245" s="3">
        <v>167251968</v>
      </c>
      <c r="T245" s="3">
        <v>0</v>
      </c>
    </row>
    <row r="246" spans="2:20" x14ac:dyDescent="0.2">
      <c r="B246">
        <v>41088</v>
      </c>
      <c r="C246" s="6">
        <v>3.0711999999999997E-8</v>
      </c>
      <c r="D246" s="1" t="s">
        <v>283</v>
      </c>
      <c r="E246" s="3">
        <v>873</v>
      </c>
      <c r="F246" s="7">
        <v>7.9398302469638638E-4</v>
      </c>
      <c r="G246" s="7">
        <v>383285759.99999994</v>
      </c>
      <c r="H246" s="7">
        <v>0</v>
      </c>
      <c r="I246" s="3">
        <f t="shared" si="3"/>
        <v>443.61777777777769</v>
      </c>
      <c r="L246" s="1">
        <v>40086</v>
      </c>
      <c r="M246" s="3">
        <v>1.8845999999999999E-9</v>
      </c>
      <c r="N246" s="1" t="s">
        <v>268</v>
      </c>
      <c r="O246" s="1">
        <v>46</v>
      </c>
      <c r="P246" s="1">
        <v>40</v>
      </c>
      <c r="Q246" s="3">
        <v>59400</v>
      </c>
      <c r="R246" s="3">
        <v>1.1669144453871133E-5</v>
      </c>
      <c r="S246" s="3">
        <v>23518824.406492516</v>
      </c>
      <c r="T246" s="3">
        <v>3.5633154863105492E-153</v>
      </c>
    </row>
    <row r="247" spans="2:20" x14ac:dyDescent="0.2">
      <c r="B247">
        <v>41089</v>
      </c>
      <c r="C247" s="6">
        <v>1.10284E-8</v>
      </c>
      <c r="D247" s="1" t="s">
        <v>284</v>
      </c>
      <c r="E247" s="3">
        <v>7307.99999999999</v>
      </c>
      <c r="F247" s="7">
        <v>9.4847725856588155E-5</v>
      </c>
      <c r="G247" s="7">
        <v>137634432</v>
      </c>
      <c r="H247" s="7">
        <v>0</v>
      </c>
      <c r="I247" s="3">
        <f t="shared" si="3"/>
        <v>159.2991111111111</v>
      </c>
      <c r="L247" s="1">
        <v>40087</v>
      </c>
      <c r="M247" s="3">
        <v>2.7919999999999998E-10</v>
      </c>
      <c r="N247" s="1" t="s">
        <v>285</v>
      </c>
      <c r="O247" s="1">
        <v>47</v>
      </c>
      <c r="P247" s="1">
        <v>40</v>
      </c>
      <c r="Q247" s="3">
        <v>6048</v>
      </c>
      <c r="R247" s="3">
        <v>1.146076687433772E-4</v>
      </c>
      <c r="S247" s="3">
        <v>3484415.9999999995</v>
      </c>
      <c r="T247" s="3">
        <v>0</v>
      </c>
    </row>
    <row r="248" spans="2:20" x14ac:dyDescent="0.2">
      <c r="B248">
        <v>41090</v>
      </c>
      <c r="C248" s="6">
        <v>2.9316000000000001E-9</v>
      </c>
      <c r="D248" s="1" t="s">
        <v>286</v>
      </c>
      <c r="E248" s="3">
        <v>52560</v>
      </c>
      <c r="F248" s="7">
        <v>1.3187731745813266E-5</v>
      </c>
      <c r="G248" s="7">
        <v>36585956.015370511</v>
      </c>
      <c r="H248" s="7">
        <v>8.8169222185218359E-174</v>
      </c>
      <c r="I248" s="3">
        <f t="shared" si="3"/>
        <v>42.344856499271422</v>
      </c>
      <c r="L248" s="1">
        <v>40093</v>
      </c>
      <c r="M248" s="3">
        <v>6.631E-9</v>
      </c>
      <c r="N248" s="1" t="s">
        <v>270</v>
      </c>
      <c r="O248" s="1">
        <v>53</v>
      </c>
      <c r="P248" s="1">
        <v>40</v>
      </c>
      <c r="Q248" s="3">
        <v>50807736000000</v>
      </c>
      <c r="R248" s="3">
        <v>1.3642552003496973E-14</v>
      </c>
      <c r="S248" s="3">
        <v>0.97544541773284976</v>
      </c>
      <c r="T248" s="3">
        <v>0.97544499806557527</v>
      </c>
    </row>
    <row r="249" spans="2:20" x14ac:dyDescent="0.2">
      <c r="B249">
        <v>41091</v>
      </c>
      <c r="C249" s="6">
        <v>1.047E-9</v>
      </c>
      <c r="D249" s="1" t="s">
        <v>287</v>
      </c>
      <c r="E249" s="3">
        <v>21459168000</v>
      </c>
      <c r="F249" s="7">
        <v>3.2300748125926655E-11</v>
      </c>
      <c r="G249" s="7">
        <v>364.65446082130939</v>
      </c>
      <c r="H249" s="7">
        <v>364.28319963886196</v>
      </c>
      <c r="I249" s="3">
        <f t="shared" si="3"/>
        <v>4.2205377409873773E-4</v>
      </c>
      <c r="L249" s="1">
        <v>40095</v>
      </c>
      <c r="M249" s="3">
        <v>3.2059100000000002E-7</v>
      </c>
      <c r="N249" s="1" t="s">
        <v>271</v>
      </c>
      <c r="O249" s="1">
        <v>55</v>
      </c>
      <c r="P249" s="1">
        <v>40</v>
      </c>
      <c r="Q249" s="3">
        <v>5532364.7999999998</v>
      </c>
      <c r="R249" s="3">
        <v>1.2528949294159802E-7</v>
      </c>
      <c r="S249" s="3">
        <v>410487668.99530959</v>
      </c>
      <c r="T249" s="3">
        <v>7894895.7262064312</v>
      </c>
    </row>
    <row r="250" spans="2:20" x14ac:dyDescent="0.2">
      <c r="B250">
        <v>41092</v>
      </c>
      <c r="C250" s="6">
        <v>5.5839999999999995E-10</v>
      </c>
      <c r="D250" s="1" t="s">
        <v>288</v>
      </c>
      <c r="E250" s="3">
        <v>1095048720000000</v>
      </c>
      <c r="F250" s="7">
        <v>6.3298296039279903E-16</v>
      </c>
      <c r="G250" s="7">
        <v>3.8112354413328826E-3</v>
      </c>
      <c r="H250" s="7">
        <v>3.8112353652539517E-3</v>
      </c>
      <c r="I250" s="3">
        <f t="shared" si="3"/>
        <v>4.4111521311723182E-9</v>
      </c>
      <c r="L250" s="1">
        <v>40096</v>
      </c>
      <c r="M250" s="3">
        <v>1.9395299999999998E-6</v>
      </c>
      <c r="N250" s="1" t="s">
        <v>272</v>
      </c>
      <c r="O250" s="1">
        <v>56</v>
      </c>
      <c r="P250" s="1">
        <v>40</v>
      </c>
      <c r="Q250" s="3">
        <v>7.4160360000000004E+26</v>
      </c>
      <c r="R250" s="3">
        <v>9.3465994577149465E-28</v>
      </c>
      <c r="S250" s="3">
        <v>0</v>
      </c>
      <c r="T250" s="3">
        <v>0</v>
      </c>
    </row>
    <row r="251" spans="2:20" x14ac:dyDescent="0.2">
      <c r="B251">
        <v>41094</v>
      </c>
      <c r="C251" s="6">
        <v>9.4928000000000001E-9</v>
      </c>
      <c r="D251" s="1" t="s">
        <v>289</v>
      </c>
      <c r="E251" s="3">
        <v>640619280000</v>
      </c>
      <c r="F251" s="7">
        <v>1.0819955037256219E-12</v>
      </c>
      <c r="G251" s="7">
        <v>110.75106517933671</v>
      </c>
      <c r="H251" s="7">
        <v>110.74728621698348</v>
      </c>
      <c r="I251" s="3">
        <f t="shared" si="3"/>
        <v>1.2818410321682489E-4</v>
      </c>
      <c r="L251" s="1">
        <v>40097</v>
      </c>
      <c r="M251" s="3">
        <v>5.0529600000000003E-6</v>
      </c>
      <c r="N251" s="1" t="s">
        <v>273</v>
      </c>
      <c r="O251" s="1">
        <v>57</v>
      </c>
      <c r="P251" s="1">
        <v>40</v>
      </c>
      <c r="Q251" s="3">
        <v>60296.3999999999</v>
      </c>
      <c r="R251" s="3">
        <v>1.149566442706275E-5</v>
      </c>
      <c r="S251" s="3">
        <v>63057877162.954498</v>
      </c>
      <c r="T251" s="3">
        <v>2.2706227316734613E-147</v>
      </c>
    </row>
    <row r="252" spans="2:20" x14ac:dyDescent="0.2">
      <c r="B252">
        <v>41095</v>
      </c>
      <c r="C252" s="6">
        <v>5.4444000000000001E-8</v>
      </c>
      <c r="D252" s="1" t="s">
        <v>290</v>
      </c>
      <c r="E252" s="3">
        <v>3023222.4</v>
      </c>
      <c r="F252" s="7">
        <v>2.2927429373371449E-7</v>
      </c>
      <c r="G252" s="7">
        <v>122103531.74538988</v>
      </c>
      <c r="H252" s="7">
        <v>88431.696009050589</v>
      </c>
      <c r="I252" s="3">
        <f t="shared" si="3"/>
        <v>141.32353211271979</v>
      </c>
      <c r="L252" s="1">
        <v>40098</v>
      </c>
      <c r="M252" s="3">
        <v>1.28967E-5</v>
      </c>
      <c r="N252" s="1" t="s">
        <v>274</v>
      </c>
      <c r="O252" s="1">
        <v>58</v>
      </c>
      <c r="P252" s="1">
        <v>40</v>
      </c>
      <c r="Q252" s="3">
        <v>30.7</v>
      </c>
      <c r="R252" s="3">
        <v>2.2578084057327207E-2</v>
      </c>
      <c r="S252" s="3">
        <v>160950816000</v>
      </c>
      <c r="T252" s="3">
        <v>0</v>
      </c>
    </row>
    <row r="253" spans="2:20" x14ac:dyDescent="0.2">
      <c r="B253">
        <v>41096</v>
      </c>
      <c r="C253" s="6">
        <v>2.5281600000000001E-7</v>
      </c>
      <c r="D253" s="1" t="s">
        <v>291</v>
      </c>
      <c r="E253" s="3">
        <v>84060</v>
      </c>
      <c r="F253" s="7">
        <v>8.2458622479175036E-6</v>
      </c>
      <c r="G253" s="7">
        <v>3152603171.3112259</v>
      </c>
      <c r="H253" s="7">
        <v>3.6650140655902868E-104</v>
      </c>
      <c r="I253" s="3">
        <f t="shared" si="3"/>
        <v>3648.8462630916965</v>
      </c>
      <c r="L253" s="1">
        <v>40099</v>
      </c>
      <c r="M253" s="3">
        <v>1.52091E-5</v>
      </c>
      <c r="N253" s="1" t="s">
        <v>275</v>
      </c>
      <c r="O253" s="1">
        <v>59</v>
      </c>
      <c r="P253" s="1">
        <v>40</v>
      </c>
      <c r="Q253" s="3">
        <v>2.1</v>
      </c>
      <c r="R253" s="3">
        <v>0.3300700859809263</v>
      </c>
      <c r="S253" s="3">
        <v>189809568000</v>
      </c>
      <c r="T253" s="3">
        <v>0</v>
      </c>
    </row>
    <row r="254" spans="2:20" x14ac:dyDescent="0.2">
      <c r="B254">
        <v>41097</v>
      </c>
      <c r="C254" s="6">
        <v>1.08365E-6</v>
      </c>
      <c r="D254" s="1" t="s">
        <v>292</v>
      </c>
      <c r="E254" s="3">
        <v>4326</v>
      </c>
      <c r="F254" s="7">
        <v>1.6022819707811958E-4</v>
      </c>
      <c r="G254" s="7">
        <v>13523952000</v>
      </c>
      <c r="H254" s="7">
        <v>0</v>
      </c>
      <c r="I254" s="3">
        <f t="shared" si="3"/>
        <v>15652.722222222223</v>
      </c>
      <c r="L254" s="1">
        <v>40100</v>
      </c>
      <c r="M254" s="3">
        <v>2.7160200000000001E-5</v>
      </c>
      <c r="N254" s="1" t="s">
        <v>276</v>
      </c>
      <c r="O254" s="1">
        <v>60</v>
      </c>
      <c r="P254" s="1">
        <v>40</v>
      </c>
      <c r="Q254" s="3">
        <v>7.1</v>
      </c>
      <c r="R254" s="3">
        <v>9.7626363459147228E-2</v>
      </c>
      <c r="S254" s="3">
        <v>338959296000</v>
      </c>
      <c r="T254" s="3">
        <v>0</v>
      </c>
    </row>
    <row r="255" spans="2:20" x14ac:dyDescent="0.2">
      <c r="B255">
        <v>41098</v>
      </c>
      <c r="C255" s="6">
        <v>3.5865299999999999E-6</v>
      </c>
      <c r="D255" s="1" t="s">
        <v>293</v>
      </c>
      <c r="E255" s="3">
        <v>2.86</v>
      </c>
      <c r="F255" s="7">
        <v>0.24235915404193892</v>
      </c>
      <c r="G255" s="7">
        <v>44759894400</v>
      </c>
      <c r="H255" s="7">
        <v>0</v>
      </c>
      <c r="I255" s="3">
        <f t="shared" si="3"/>
        <v>51805.433333333334</v>
      </c>
      <c r="L255" s="1">
        <v>40101</v>
      </c>
      <c r="M255" s="3">
        <v>1.9953300000000001E-5</v>
      </c>
      <c r="N255" s="1" t="s">
        <v>277</v>
      </c>
      <c r="O255" s="1">
        <v>61</v>
      </c>
      <c r="P255" s="1">
        <v>40</v>
      </c>
      <c r="Q255" s="3">
        <v>2.2999999999999998</v>
      </c>
      <c r="R255" s="3">
        <v>0.30136833937388929</v>
      </c>
      <c r="S255" s="3">
        <v>249017184000</v>
      </c>
      <c r="T255" s="3">
        <v>0</v>
      </c>
    </row>
    <row r="256" spans="2:20" x14ac:dyDescent="0.2">
      <c r="B256">
        <v>41099</v>
      </c>
      <c r="C256" s="6">
        <v>1.1817100000000001E-5</v>
      </c>
      <c r="D256" s="1" t="s">
        <v>294</v>
      </c>
      <c r="E256" s="3">
        <v>15</v>
      </c>
      <c r="F256" s="7">
        <v>4.6209812037329684E-2</v>
      </c>
      <c r="G256" s="7">
        <v>147477408000</v>
      </c>
      <c r="H256" s="7">
        <v>0</v>
      </c>
      <c r="I256" s="3">
        <f t="shared" si="3"/>
        <v>170691.44444444444</v>
      </c>
      <c r="L256" s="1">
        <v>40102</v>
      </c>
      <c r="M256" s="3">
        <v>1.7580100000000001E-5</v>
      </c>
      <c r="N256" s="1" t="s">
        <v>278</v>
      </c>
      <c r="O256" s="1">
        <v>62</v>
      </c>
      <c r="P256" s="1">
        <v>40</v>
      </c>
      <c r="Q256" s="3">
        <v>2.9</v>
      </c>
      <c r="R256" s="3">
        <v>0.23901626915860183</v>
      </c>
      <c r="S256" s="3">
        <v>219399648000.00003</v>
      </c>
      <c r="T256" s="3">
        <v>0</v>
      </c>
    </row>
    <row r="257" spans="2:20" x14ac:dyDescent="0.2">
      <c r="B257">
        <v>41100</v>
      </c>
      <c r="C257" s="6">
        <v>2.34096E-5</v>
      </c>
      <c r="D257" s="1" t="s">
        <v>295</v>
      </c>
      <c r="E257" s="3">
        <v>1.5</v>
      </c>
      <c r="F257" s="7">
        <v>0.46209812037329684</v>
      </c>
      <c r="G257" s="7">
        <v>292151808000</v>
      </c>
      <c r="H257" s="7">
        <v>0</v>
      </c>
      <c r="I257" s="3">
        <f t="shared" si="3"/>
        <v>338138.66666666669</v>
      </c>
      <c r="L257" s="1">
        <v>41084</v>
      </c>
      <c r="M257" s="3">
        <v>8.6783699999999994E-6</v>
      </c>
      <c r="N257" s="1" t="s">
        <v>279</v>
      </c>
      <c r="O257" s="1">
        <v>43</v>
      </c>
      <c r="P257" s="1">
        <v>41</v>
      </c>
      <c r="Q257" s="3">
        <v>9.8000000000000007</v>
      </c>
      <c r="R257" s="3">
        <v>7.0729304138769919E-2</v>
      </c>
      <c r="S257" s="3">
        <v>108306057599.99998</v>
      </c>
      <c r="T257" s="3">
        <v>0</v>
      </c>
    </row>
    <row r="258" spans="2:20" x14ac:dyDescent="0.2">
      <c r="B258">
        <v>41101</v>
      </c>
      <c r="C258" s="6">
        <v>4.60276E-5</v>
      </c>
      <c r="D258" s="1" t="s">
        <v>296</v>
      </c>
      <c r="E258" s="3">
        <v>7.1</v>
      </c>
      <c r="F258" s="7">
        <v>9.7626363459147228E-2</v>
      </c>
      <c r="G258" s="7">
        <v>574424448000</v>
      </c>
      <c r="H258" s="7">
        <v>0</v>
      </c>
      <c r="I258" s="3">
        <f t="shared" si="3"/>
        <v>664843.11111111112</v>
      </c>
      <c r="L258" s="1">
        <v>41085</v>
      </c>
      <c r="M258" s="3">
        <v>6.61243E-6</v>
      </c>
      <c r="N258" s="1" t="s">
        <v>280</v>
      </c>
      <c r="O258" s="1">
        <v>44</v>
      </c>
      <c r="P258" s="1">
        <v>41</v>
      </c>
      <c r="Q258" s="3">
        <v>20.5</v>
      </c>
      <c r="R258" s="3">
        <v>3.3812057588290013E-2</v>
      </c>
      <c r="S258" s="3">
        <v>82523126400</v>
      </c>
      <c r="T258" s="3">
        <v>0</v>
      </c>
    </row>
    <row r="259" spans="2:20" x14ac:dyDescent="0.2">
      <c r="B259">
        <v>41102</v>
      </c>
      <c r="C259" s="6">
        <v>4.4322E-5</v>
      </c>
      <c r="D259" s="1" t="s">
        <v>297</v>
      </c>
      <c r="E259" s="3">
        <v>4.3</v>
      </c>
      <c r="F259" s="7">
        <v>0.16119701873487099</v>
      </c>
      <c r="G259" s="7">
        <v>553138560000</v>
      </c>
      <c r="H259" s="7">
        <v>0</v>
      </c>
      <c r="I259" s="3">
        <f t="shared" si="3"/>
        <v>640206.66666666663</v>
      </c>
      <c r="L259" s="1">
        <v>41086</v>
      </c>
      <c r="M259" s="3">
        <v>3.0097799999999998E-6</v>
      </c>
      <c r="N259" s="1" t="s">
        <v>281</v>
      </c>
      <c r="O259" s="1">
        <v>45</v>
      </c>
      <c r="P259" s="1">
        <v>41</v>
      </c>
      <c r="Q259" s="3">
        <v>88</v>
      </c>
      <c r="R259" s="3">
        <v>7.8766725063630152E-3</v>
      </c>
      <c r="S259" s="3">
        <v>37562054400</v>
      </c>
      <c r="T259" s="3">
        <v>0</v>
      </c>
    </row>
    <row r="260" spans="2:20" x14ac:dyDescent="0.2">
      <c r="B260">
        <v>41103</v>
      </c>
      <c r="C260" s="6">
        <v>3.9722999999999999E-5</v>
      </c>
      <c r="D260" s="1" t="s">
        <v>298</v>
      </c>
      <c r="E260" s="3">
        <v>1.5</v>
      </c>
      <c r="F260" s="7">
        <v>0.46209812037329684</v>
      </c>
      <c r="G260" s="7">
        <v>495743040000</v>
      </c>
      <c r="H260" s="7">
        <v>0</v>
      </c>
      <c r="I260" s="3">
        <f t="shared" ref="I260:I323" si="4">G260/10/24/3600</f>
        <v>573776.66666666663</v>
      </c>
      <c r="L260" s="1">
        <v>41087</v>
      </c>
      <c r="M260" s="3">
        <v>7.1314700000000003E-7</v>
      </c>
      <c r="N260" s="1" t="s">
        <v>282</v>
      </c>
      <c r="O260" s="1">
        <v>46</v>
      </c>
      <c r="P260" s="1">
        <v>41</v>
      </c>
      <c r="Q260" s="3">
        <v>222</v>
      </c>
      <c r="R260" s="3">
        <v>3.1222845971168706E-3</v>
      </c>
      <c r="S260" s="3">
        <v>8900074560</v>
      </c>
      <c r="T260" s="3">
        <v>0</v>
      </c>
    </row>
    <row r="261" spans="2:20" x14ac:dyDescent="0.2">
      <c r="B261">
        <v>41104</v>
      </c>
      <c r="C261" s="6">
        <v>1.87679E-5</v>
      </c>
      <c r="D261" s="1" t="s">
        <v>299</v>
      </c>
      <c r="E261" s="3">
        <v>4.9000000000000004</v>
      </c>
      <c r="F261" s="7">
        <v>0.14145860827753984</v>
      </c>
      <c r="G261" s="7">
        <v>234223392000</v>
      </c>
      <c r="H261" s="7">
        <v>0</v>
      </c>
      <c r="I261" s="3">
        <f t="shared" si="4"/>
        <v>271091.88888888888</v>
      </c>
      <c r="L261" s="1">
        <v>41088</v>
      </c>
      <c r="M261" s="3">
        <v>1.3701699999999999E-7</v>
      </c>
      <c r="N261" s="1" t="s">
        <v>283</v>
      </c>
      <c r="O261" s="1">
        <v>47</v>
      </c>
      <c r="P261" s="1">
        <v>41</v>
      </c>
      <c r="Q261" s="3">
        <v>873</v>
      </c>
      <c r="R261" s="3">
        <v>7.9398302469638638E-4</v>
      </c>
      <c r="S261" s="3">
        <v>1709972159.9999998</v>
      </c>
      <c r="T261" s="3">
        <v>0</v>
      </c>
    </row>
    <row r="262" spans="2:20" x14ac:dyDescent="0.2">
      <c r="B262">
        <v>41105</v>
      </c>
      <c r="C262" s="6">
        <v>8.94752E-6</v>
      </c>
      <c r="D262" s="1" t="s">
        <v>300</v>
      </c>
      <c r="E262" s="3">
        <v>2.95</v>
      </c>
      <c r="F262" s="7">
        <v>0.23496514595252382</v>
      </c>
      <c r="G262" s="7">
        <v>111665049600</v>
      </c>
      <c r="H262" s="7">
        <v>0</v>
      </c>
      <c r="I262" s="3">
        <f t="shared" si="4"/>
        <v>129241.95555555556</v>
      </c>
      <c r="L262" s="1">
        <v>41089</v>
      </c>
      <c r="M262" s="3">
        <v>6.3797199999999996E-8</v>
      </c>
      <c r="N262" s="1" t="s">
        <v>284</v>
      </c>
      <c r="O262" s="1">
        <v>48</v>
      </c>
      <c r="P262" s="1">
        <v>41</v>
      </c>
      <c r="Q262" s="3">
        <v>7307.99999999999</v>
      </c>
      <c r="R262" s="3">
        <v>9.4847725856588155E-5</v>
      </c>
      <c r="S262" s="3">
        <v>796189056</v>
      </c>
      <c r="T262" s="3">
        <v>0</v>
      </c>
    </row>
    <row r="263" spans="2:20" x14ac:dyDescent="0.2">
      <c r="B263">
        <v>41106</v>
      </c>
      <c r="C263" s="6">
        <v>2.97034E-6</v>
      </c>
      <c r="D263" s="1" t="s">
        <v>301</v>
      </c>
      <c r="E263" s="3">
        <v>1.02</v>
      </c>
      <c r="F263" s="7">
        <v>0.67955605937249541</v>
      </c>
      <c r="G263" s="7">
        <v>37069843200</v>
      </c>
      <c r="H263" s="7">
        <v>0</v>
      </c>
      <c r="I263" s="3">
        <f t="shared" si="4"/>
        <v>42904.911111111112</v>
      </c>
      <c r="L263" s="1">
        <v>41090</v>
      </c>
      <c r="M263" s="3">
        <v>7.6082000000000003E-9</v>
      </c>
      <c r="N263" s="1" t="s">
        <v>286</v>
      </c>
      <c r="O263" s="1">
        <v>49</v>
      </c>
      <c r="P263" s="1">
        <v>41</v>
      </c>
      <c r="Q263" s="3">
        <v>52560</v>
      </c>
      <c r="R263" s="3">
        <v>1.3187731745813266E-5</v>
      </c>
      <c r="S263" s="3">
        <v>94949266.801794887</v>
      </c>
      <c r="T263" s="3">
        <v>2.2882012424259049E-173</v>
      </c>
    </row>
    <row r="264" spans="2:20" x14ac:dyDescent="0.2">
      <c r="B264">
        <v>42087</v>
      </c>
      <c r="C264" s="6">
        <v>1.3649400000000001E-6</v>
      </c>
      <c r="D264" s="1" t="s">
        <v>302</v>
      </c>
      <c r="E264" s="3">
        <v>14.02</v>
      </c>
      <c r="F264" s="7">
        <v>4.9439884490723632E-2</v>
      </c>
      <c r="G264" s="7">
        <v>17034451200.000002</v>
      </c>
      <c r="H264" s="7">
        <v>0</v>
      </c>
      <c r="I264" s="3">
        <f t="shared" si="4"/>
        <v>19715.800000000003</v>
      </c>
      <c r="L264" s="1">
        <v>41091</v>
      </c>
      <c r="M264" s="3">
        <v>2.9316000000000001E-9</v>
      </c>
      <c r="N264" s="1" t="s">
        <v>287</v>
      </c>
      <c r="O264" s="1">
        <v>50</v>
      </c>
      <c r="P264" s="1">
        <v>41</v>
      </c>
      <c r="Q264" s="3">
        <v>21459168000</v>
      </c>
      <c r="R264" s="3">
        <v>3.2300748125926655E-11</v>
      </c>
      <c r="S264" s="3">
        <v>1021.0324902996663</v>
      </c>
      <c r="T264" s="3">
        <v>1019.9929589888134</v>
      </c>
    </row>
    <row r="265" spans="2:20" x14ac:dyDescent="0.2">
      <c r="B265">
        <v>42088</v>
      </c>
      <c r="C265" s="6">
        <v>4.94324E-7</v>
      </c>
      <c r="D265" s="1" t="s">
        <v>303</v>
      </c>
      <c r="E265" s="3">
        <v>480</v>
      </c>
      <c r="F265" s="7">
        <v>1.4440566261665526E-3</v>
      </c>
      <c r="G265" s="7">
        <v>6169163520</v>
      </c>
      <c r="H265" s="7">
        <v>0</v>
      </c>
      <c r="I265" s="3">
        <f t="shared" si="4"/>
        <v>7140.2355555555559</v>
      </c>
      <c r="L265" s="1">
        <v>41092</v>
      </c>
      <c r="M265" s="3">
        <v>4.1879999999999999E-10</v>
      </c>
      <c r="N265" s="1" t="s">
        <v>288</v>
      </c>
      <c r="O265" s="1">
        <v>51</v>
      </c>
      <c r="P265" s="1">
        <v>41</v>
      </c>
      <c r="Q265" s="3">
        <v>1095048720000000</v>
      </c>
      <c r="R265" s="3">
        <v>6.3298296039279903E-16</v>
      </c>
      <c r="S265" s="3">
        <v>2.8584265809996623E-3</v>
      </c>
      <c r="T265" s="3">
        <v>2.8584265239404642E-3</v>
      </c>
    </row>
    <row r="266" spans="2:20" x14ac:dyDescent="0.2">
      <c r="B266">
        <v>42089</v>
      </c>
      <c r="C266" s="6">
        <v>2.0577E-7</v>
      </c>
      <c r="D266" s="1" t="s">
        <v>304</v>
      </c>
      <c r="E266" s="3">
        <v>126.6</v>
      </c>
      <c r="F266" s="7">
        <v>5.4750962129537541E-3</v>
      </c>
      <c r="G266" s="7">
        <v>2568009600</v>
      </c>
      <c r="H266" s="7">
        <v>0</v>
      </c>
      <c r="I266" s="3">
        <f t="shared" si="4"/>
        <v>2972.2333333333331</v>
      </c>
      <c r="L266" s="1">
        <v>41095</v>
      </c>
      <c r="M266" s="3">
        <v>1.6054000000000001E-9</v>
      </c>
      <c r="N266" s="1" t="s">
        <v>290</v>
      </c>
      <c r="O266" s="1">
        <v>54</v>
      </c>
      <c r="P266" s="1">
        <v>41</v>
      </c>
      <c r="Q266" s="3">
        <v>3023222.4</v>
      </c>
      <c r="R266" s="3">
        <v>2.2927429373371449E-7</v>
      </c>
      <c r="S266" s="3">
        <v>3600488.7565948297</v>
      </c>
      <c r="T266" s="3">
        <v>2607.6012925745686</v>
      </c>
    </row>
    <row r="267" spans="2:20" x14ac:dyDescent="0.2">
      <c r="B267">
        <v>42090</v>
      </c>
      <c r="C267" s="6">
        <v>6.4774400000000003E-8</v>
      </c>
      <c r="D267" s="1" t="s">
        <v>305</v>
      </c>
      <c r="E267" s="3">
        <v>20016</v>
      </c>
      <c r="F267" s="7">
        <v>3.4629655303754263E-5</v>
      </c>
      <c r="G267" s="7">
        <v>808384511.9999181</v>
      </c>
      <c r="H267" s="7">
        <v>0</v>
      </c>
      <c r="I267" s="3">
        <f t="shared" si="4"/>
        <v>935.63022222212737</v>
      </c>
      <c r="L267" s="1">
        <v>41096</v>
      </c>
      <c r="M267" s="3">
        <v>1.5844599999999999E-8</v>
      </c>
      <c r="N267" s="1" t="s">
        <v>291</v>
      </c>
      <c r="O267" s="1">
        <v>55</v>
      </c>
      <c r="P267" s="1">
        <v>41</v>
      </c>
      <c r="Q267" s="3">
        <v>84060</v>
      </c>
      <c r="R267" s="3">
        <v>8.2458622479175036E-6</v>
      </c>
      <c r="S267" s="3">
        <v>197581388.07732838</v>
      </c>
      <c r="T267" s="3">
        <v>2.2969543804051906E-105</v>
      </c>
    </row>
    <row r="268" spans="2:20" x14ac:dyDescent="0.2">
      <c r="B268">
        <v>42091</v>
      </c>
      <c r="C268" s="6">
        <v>2.3034E-8</v>
      </c>
      <c r="D268" s="1" t="s">
        <v>306</v>
      </c>
      <c r="E268" s="3">
        <v>929.4</v>
      </c>
      <c r="F268" s="7">
        <v>7.4580071073805177E-4</v>
      </c>
      <c r="G268" s="7">
        <v>287464320</v>
      </c>
      <c r="H268" s="7">
        <v>0</v>
      </c>
      <c r="I268" s="3">
        <f t="shared" si="4"/>
        <v>332.71333333333331</v>
      </c>
      <c r="L268" s="1">
        <v>41097</v>
      </c>
      <c r="M268" s="3">
        <v>1.4406699999999999E-7</v>
      </c>
      <c r="N268" s="1" t="s">
        <v>292</v>
      </c>
      <c r="O268" s="1">
        <v>56</v>
      </c>
      <c r="P268" s="1">
        <v>41</v>
      </c>
      <c r="Q268" s="3">
        <v>4326</v>
      </c>
      <c r="R268" s="3">
        <v>1.6022819707811958E-4</v>
      </c>
      <c r="S268" s="3">
        <v>1797956159.9999998</v>
      </c>
      <c r="T268" s="3">
        <v>0</v>
      </c>
    </row>
    <row r="269" spans="2:20" x14ac:dyDescent="0.2">
      <c r="B269">
        <v>42093</v>
      </c>
      <c r="C269" s="6">
        <v>2.2335999999999998E-9</v>
      </c>
      <c r="D269" s="1" t="s">
        <v>307</v>
      </c>
      <c r="E269" s="3">
        <v>126230400000</v>
      </c>
      <c r="F269" s="7">
        <v>5.4911271814075315E-12</v>
      </c>
      <c r="G269" s="7">
        <v>132.24954946087357</v>
      </c>
      <c r="H269" s="7">
        <v>132.22665002897301</v>
      </c>
      <c r="I269" s="3">
        <f t="shared" si="4"/>
        <v>1.5306660817230737E-4</v>
      </c>
      <c r="L269" s="1">
        <v>41098</v>
      </c>
      <c r="M269" s="3">
        <v>5.4011200000000004E-7</v>
      </c>
      <c r="N269" s="1" t="s">
        <v>293</v>
      </c>
      <c r="O269" s="1">
        <v>57</v>
      </c>
      <c r="P269" s="1">
        <v>41</v>
      </c>
      <c r="Q269" s="3">
        <v>2.86</v>
      </c>
      <c r="R269" s="3">
        <v>0.24235915404193892</v>
      </c>
      <c r="S269" s="3">
        <v>6740597760.000001</v>
      </c>
      <c r="T269" s="3">
        <v>0</v>
      </c>
    </row>
    <row r="270" spans="2:20" x14ac:dyDescent="0.2">
      <c r="B270">
        <v>42099</v>
      </c>
      <c r="C270" s="6">
        <v>5.6489100000000005E-7</v>
      </c>
      <c r="D270" s="1" t="s">
        <v>308</v>
      </c>
      <c r="E270" s="3">
        <v>237513.60000000001</v>
      </c>
      <c r="F270" s="7">
        <v>2.9183473306789393E-6</v>
      </c>
      <c r="G270" s="7">
        <v>6483435421.2019424</v>
      </c>
      <c r="H270" s="7">
        <v>6.9563354991143419E-31</v>
      </c>
      <c r="I270" s="3">
        <f t="shared" si="4"/>
        <v>7503.9761819466921</v>
      </c>
      <c r="L270" s="1">
        <v>41099</v>
      </c>
      <c r="M270" s="3">
        <v>2.3530300000000002E-6</v>
      </c>
      <c r="N270" s="1" t="s">
        <v>294</v>
      </c>
      <c r="O270" s="1">
        <v>58</v>
      </c>
      <c r="P270" s="1">
        <v>41</v>
      </c>
      <c r="Q270" s="3">
        <v>15</v>
      </c>
      <c r="R270" s="3">
        <v>4.6209812037329684E-2</v>
      </c>
      <c r="S270" s="3">
        <v>29365814400.000004</v>
      </c>
      <c r="T270" s="3">
        <v>0</v>
      </c>
    </row>
    <row r="271" spans="2:20" x14ac:dyDescent="0.2">
      <c r="B271">
        <v>42100</v>
      </c>
      <c r="C271" s="6">
        <v>1.9744300000000001E-6</v>
      </c>
      <c r="D271" s="1" t="s">
        <v>309</v>
      </c>
      <c r="E271" s="3">
        <v>2.3037048000000002E+26</v>
      </c>
      <c r="F271" s="7">
        <v>3.0088368117301542E-27</v>
      </c>
      <c r="G271" s="7">
        <v>0</v>
      </c>
      <c r="H271" s="7">
        <v>0</v>
      </c>
      <c r="I271" s="3">
        <f t="shared" si="4"/>
        <v>0</v>
      </c>
      <c r="L271" s="1">
        <v>41100</v>
      </c>
      <c r="M271" s="3">
        <v>5.5206899999999997E-6</v>
      </c>
      <c r="N271" s="1" t="s">
        <v>295</v>
      </c>
      <c r="O271" s="1">
        <v>59</v>
      </c>
      <c r="P271" s="1">
        <v>41</v>
      </c>
      <c r="Q271" s="3">
        <v>1.5</v>
      </c>
      <c r="R271" s="3">
        <v>0.46209812037329684</v>
      </c>
      <c r="S271" s="3">
        <v>68898211200</v>
      </c>
      <c r="T271" s="3">
        <v>0</v>
      </c>
    </row>
    <row r="272" spans="2:20" x14ac:dyDescent="0.2">
      <c r="B272">
        <v>42101</v>
      </c>
      <c r="C272" s="6">
        <v>5.4125700000000001E-6</v>
      </c>
      <c r="D272" s="1" t="s">
        <v>310</v>
      </c>
      <c r="E272" s="3">
        <v>876.599999999999</v>
      </c>
      <c r="F272" s="7">
        <v>7.9072231412268543E-4</v>
      </c>
      <c r="G272" s="7">
        <v>67548873600</v>
      </c>
      <c r="H272" s="7">
        <v>0</v>
      </c>
      <c r="I272" s="3">
        <f t="shared" si="4"/>
        <v>78181.566666666666</v>
      </c>
      <c r="L272" s="1">
        <v>41101</v>
      </c>
      <c r="M272" s="3">
        <v>1.2611300000000001E-5</v>
      </c>
      <c r="N272" s="1" t="s">
        <v>296</v>
      </c>
      <c r="O272" s="1">
        <v>60</v>
      </c>
      <c r="P272" s="1">
        <v>41</v>
      </c>
      <c r="Q272" s="3">
        <v>7.1</v>
      </c>
      <c r="R272" s="3">
        <v>9.7626363459147228E-2</v>
      </c>
      <c r="S272" s="3">
        <v>157389024000</v>
      </c>
      <c r="T272" s="3">
        <v>0</v>
      </c>
    </row>
    <row r="273" spans="2:20" x14ac:dyDescent="0.2">
      <c r="B273">
        <v>42102</v>
      </c>
      <c r="C273" s="6">
        <v>1.28553E-5</v>
      </c>
      <c r="D273" s="1" t="s">
        <v>311</v>
      </c>
      <c r="E273" s="3">
        <v>678</v>
      </c>
      <c r="F273" s="7">
        <v>1.0223409742772054E-3</v>
      </c>
      <c r="G273" s="7">
        <v>160434144000</v>
      </c>
      <c r="H273" s="7">
        <v>0</v>
      </c>
      <c r="I273" s="3">
        <f t="shared" si="4"/>
        <v>185687.66666666666</v>
      </c>
      <c r="L273" s="1">
        <v>41102</v>
      </c>
      <c r="M273" s="3">
        <v>1.44658E-5</v>
      </c>
      <c r="N273" s="1" t="s">
        <v>297</v>
      </c>
      <c r="O273" s="1">
        <v>61</v>
      </c>
      <c r="P273" s="1">
        <v>41</v>
      </c>
      <c r="Q273" s="3">
        <v>4.3</v>
      </c>
      <c r="R273" s="3">
        <v>0.16119701873487099</v>
      </c>
      <c r="S273" s="3">
        <v>180533184000</v>
      </c>
      <c r="T273" s="3">
        <v>0</v>
      </c>
    </row>
    <row r="274" spans="2:20" x14ac:dyDescent="0.2">
      <c r="B274">
        <v>42103</v>
      </c>
      <c r="C274" s="6">
        <v>2.0372699999999999E-5</v>
      </c>
      <c r="D274" s="1" t="s">
        <v>312</v>
      </c>
      <c r="E274" s="3">
        <v>67.5</v>
      </c>
      <c r="F274" s="7">
        <v>1.0268847119406597E-2</v>
      </c>
      <c r="G274" s="7">
        <v>254251296000</v>
      </c>
      <c r="H274" s="7">
        <v>0</v>
      </c>
      <c r="I274" s="3">
        <f t="shared" si="4"/>
        <v>294272.33333333331</v>
      </c>
      <c r="L274" s="1">
        <v>41103</v>
      </c>
      <c r="M274" s="3">
        <v>1.8581699999999999E-5</v>
      </c>
      <c r="N274" s="1" t="s">
        <v>298</v>
      </c>
      <c r="O274" s="1">
        <v>62</v>
      </c>
      <c r="P274" s="1">
        <v>41</v>
      </c>
      <c r="Q274" s="3">
        <v>1.5</v>
      </c>
      <c r="R274" s="3">
        <v>0.46209812037329684</v>
      </c>
      <c r="S274" s="3">
        <v>231899615999.99997</v>
      </c>
      <c r="T274" s="3">
        <v>0</v>
      </c>
    </row>
    <row r="275" spans="2:20" x14ac:dyDescent="0.2">
      <c r="B275">
        <v>42104</v>
      </c>
      <c r="C275" s="6">
        <v>2.5771599999999999E-5</v>
      </c>
      <c r="D275" s="1" t="s">
        <v>313</v>
      </c>
      <c r="E275" s="3">
        <v>60</v>
      </c>
      <c r="F275" s="7">
        <v>1.1552453009332421E-2</v>
      </c>
      <c r="G275" s="7">
        <v>321629568000</v>
      </c>
      <c r="H275" s="7">
        <v>0</v>
      </c>
      <c r="I275" s="3">
        <f t="shared" si="4"/>
        <v>372256.44444444444</v>
      </c>
      <c r="L275" s="1">
        <v>41104</v>
      </c>
      <c r="M275" s="3">
        <v>1.14173E-5</v>
      </c>
      <c r="N275" s="1" t="s">
        <v>299</v>
      </c>
      <c r="O275" s="1">
        <v>63</v>
      </c>
      <c r="P275" s="1">
        <v>41</v>
      </c>
      <c r="Q275" s="3">
        <v>4.9000000000000004</v>
      </c>
      <c r="R275" s="3">
        <v>0.14145860827753984</v>
      </c>
      <c r="S275" s="3">
        <v>142487904000</v>
      </c>
      <c r="T275" s="3">
        <v>0</v>
      </c>
    </row>
    <row r="276" spans="2:20" x14ac:dyDescent="0.2">
      <c r="B276">
        <v>42105</v>
      </c>
      <c r="C276" s="6">
        <v>2.09034E-5</v>
      </c>
      <c r="D276" s="1" t="s">
        <v>314</v>
      </c>
      <c r="E276" s="3">
        <v>35.6</v>
      </c>
      <c r="F276" s="7">
        <v>1.9470426420223182E-2</v>
      </c>
      <c r="G276" s="7">
        <v>260874432000</v>
      </c>
      <c r="H276" s="7">
        <v>0</v>
      </c>
      <c r="I276" s="3">
        <f t="shared" si="4"/>
        <v>301938</v>
      </c>
      <c r="L276" s="1">
        <v>41105</v>
      </c>
      <c r="M276" s="3">
        <v>9.5032000000000008E-6</v>
      </c>
      <c r="N276" s="1" t="s">
        <v>300</v>
      </c>
      <c r="O276" s="1">
        <v>64</v>
      </c>
      <c r="P276" s="1">
        <v>41</v>
      </c>
      <c r="Q276" s="3">
        <v>2.95</v>
      </c>
      <c r="R276" s="3">
        <v>0.23496514595252382</v>
      </c>
      <c r="S276" s="3">
        <v>118599936000.00002</v>
      </c>
      <c r="T276" s="3">
        <v>0</v>
      </c>
    </row>
    <row r="277" spans="2:20" x14ac:dyDescent="0.2">
      <c r="B277">
        <v>42106</v>
      </c>
      <c r="C277" s="6">
        <v>1.37088E-5</v>
      </c>
      <c r="D277" s="1" t="s">
        <v>315</v>
      </c>
      <c r="E277" s="3">
        <v>8.73</v>
      </c>
      <c r="F277" s="7">
        <v>7.9398302469638637E-2</v>
      </c>
      <c r="G277" s="7">
        <v>171085824000</v>
      </c>
      <c r="H277" s="7">
        <v>0</v>
      </c>
      <c r="I277" s="3">
        <f t="shared" si="4"/>
        <v>198016</v>
      </c>
      <c r="L277" s="1">
        <v>41106</v>
      </c>
      <c r="M277" s="3">
        <v>3.67253E-6</v>
      </c>
      <c r="N277" s="1" t="s">
        <v>301</v>
      </c>
      <c r="O277" s="1">
        <v>65</v>
      </c>
      <c r="P277" s="1">
        <v>41</v>
      </c>
      <c r="Q277" s="3">
        <v>1.02</v>
      </c>
      <c r="R277" s="3">
        <v>0.67955605937249541</v>
      </c>
      <c r="S277" s="3">
        <v>45833174400</v>
      </c>
      <c r="T277" s="3">
        <v>0</v>
      </c>
    </row>
    <row r="278" spans="2:20" x14ac:dyDescent="0.2">
      <c r="B278">
        <v>42107</v>
      </c>
      <c r="C278" s="6">
        <v>6.7137099999999996E-6</v>
      </c>
      <c r="D278" s="1" t="s">
        <v>316</v>
      </c>
      <c r="E278" s="3">
        <v>3.5</v>
      </c>
      <c r="F278" s="7">
        <v>0.19804205158855578</v>
      </c>
      <c r="G278" s="7">
        <v>83787100800</v>
      </c>
      <c r="H278" s="7">
        <v>0</v>
      </c>
      <c r="I278" s="3">
        <f t="shared" si="4"/>
        <v>96975.811111111107</v>
      </c>
      <c r="L278" s="1">
        <v>42087</v>
      </c>
      <c r="M278" s="3">
        <v>2.77825E-6</v>
      </c>
      <c r="N278" s="1" t="s">
        <v>302</v>
      </c>
      <c r="O278" s="1">
        <v>45</v>
      </c>
      <c r="P278" s="1">
        <v>42</v>
      </c>
      <c r="Q278" s="3">
        <v>14.02</v>
      </c>
      <c r="R278" s="3">
        <v>4.9439884490723632E-2</v>
      </c>
      <c r="S278" s="3">
        <v>34672560000</v>
      </c>
      <c r="T278" s="3">
        <v>0</v>
      </c>
    </row>
    <row r="279" spans="2:20" x14ac:dyDescent="0.2">
      <c r="B279">
        <v>42108</v>
      </c>
      <c r="C279" s="6">
        <v>3.2891200000000001E-6</v>
      </c>
      <c r="D279" s="1" t="s">
        <v>317</v>
      </c>
      <c r="E279" s="3">
        <v>1.0900000000000001</v>
      </c>
      <c r="F279" s="7">
        <v>0.63591484455040848</v>
      </c>
      <c r="G279" s="7">
        <v>41048217600</v>
      </c>
      <c r="H279" s="7">
        <v>0</v>
      </c>
      <c r="I279" s="3">
        <f t="shared" si="4"/>
        <v>47509.511111111111</v>
      </c>
      <c r="L279" s="1">
        <v>42088</v>
      </c>
      <c r="M279" s="3">
        <v>1.35824E-6</v>
      </c>
      <c r="N279" s="1" t="s">
        <v>303</v>
      </c>
      <c r="O279" s="1">
        <v>46</v>
      </c>
      <c r="P279" s="1">
        <v>42</v>
      </c>
      <c r="Q279" s="3">
        <v>480</v>
      </c>
      <c r="R279" s="3">
        <v>1.4440566261665526E-3</v>
      </c>
      <c r="S279" s="3">
        <v>16950835200</v>
      </c>
      <c r="T279" s="3">
        <v>0</v>
      </c>
    </row>
    <row r="280" spans="2:20" x14ac:dyDescent="0.2">
      <c r="B280">
        <v>43090</v>
      </c>
      <c r="C280" s="6">
        <v>1.40403E-6</v>
      </c>
      <c r="D280" s="1" t="s">
        <v>318</v>
      </c>
      <c r="E280" s="3">
        <v>8.6999999999999993</v>
      </c>
      <c r="F280" s="7">
        <v>7.9672089719533948E-2</v>
      </c>
      <c r="G280" s="7">
        <v>17522294400</v>
      </c>
      <c r="H280" s="7">
        <v>0</v>
      </c>
      <c r="I280" s="3">
        <f t="shared" si="4"/>
        <v>20280.433333333334</v>
      </c>
      <c r="L280" s="1">
        <v>42089</v>
      </c>
      <c r="M280" s="3">
        <v>2.7221999999999999E-7</v>
      </c>
      <c r="N280" s="1" t="s">
        <v>304</v>
      </c>
      <c r="O280" s="1">
        <v>47</v>
      </c>
      <c r="P280" s="1">
        <v>42</v>
      </c>
      <c r="Q280" s="3">
        <v>126.6</v>
      </c>
      <c r="R280" s="3">
        <v>5.4750962129537541E-3</v>
      </c>
      <c r="S280" s="3">
        <v>3397305600</v>
      </c>
      <c r="T280" s="3">
        <v>0</v>
      </c>
    </row>
    <row r="281" spans="2:20" x14ac:dyDescent="0.2">
      <c r="B281">
        <v>43091</v>
      </c>
      <c r="C281" s="6">
        <v>6.1542699999999997E-7</v>
      </c>
      <c r="D281" s="1" t="s">
        <v>319</v>
      </c>
      <c r="E281" s="3">
        <v>188.4</v>
      </c>
      <c r="F281" s="7">
        <v>3.6791251622077773E-3</v>
      </c>
      <c r="G281" s="7">
        <v>7680528960</v>
      </c>
      <c r="H281" s="7">
        <v>0</v>
      </c>
      <c r="I281" s="3">
        <f t="shared" si="4"/>
        <v>8889.5011111111107</v>
      </c>
      <c r="L281" s="1">
        <v>42090</v>
      </c>
      <c r="M281" s="3">
        <v>5.5909799999999998E-8</v>
      </c>
      <c r="N281" s="1" t="s">
        <v>305</v>
      </c>
      <c r="O281" s="1">
        <v>48</v>
      </c>
      <c r="P281" s="1">
        <v>42</v>
      </c>
      <c r="Q281" s="3">
        <v>20016</v>
      </c>
      <c r="R281" s="3">
        <v>3.4629655303754263E-5</v>
      </c>
      <c r="S281" s="3">
        <v>697754303.99992931</v>
      </c>
      <c r="T281" s="3">
        <v>0</v>
      </c>
    </row>
    <row r="282" spans="2:20" x14ac:dyDescent="0.2">
      <c r="B282">
        <v>43092</v>
      </c>
      <c r="C282" s="6">
        <v>2.05352E-7</v>
      </c>
      <c r="D282" s="1" t="s">
        <v>320</v>
      </c>
      <c r="E282" s="3">
        <v>255</v>
      </c>
      <c r="F282" s="7">
        <v>2.7182242374899817E-3</v>
      </c>
      <c r="G282" s="7">
        <v>2562792960</v>
      </c>
      <c r="H282" s="7">
        <v>0</v>
      </c>
      <c r="I282" s="3">
        <f t="shared" si="4"/>
        <v>2966.1955555555555</v>
      </c>
      <c r="L282" s="1">
        <v>42091</v>
      </c>
      <c r="M282" s="3">
        <v>2.10098E-8</v>
      </c>
      <c r="N282" s="1" t="s">
        <v>306</v>
      </c>
      <c r="O282" s="1">
        <v>49</v>
      </c>
      <c r="P282" s="1">
        <v>42</v>
      </c>
      <c r="Q282" s="3">
        <v>929.4</v>
      </c>
      <c r="R282" s="3">
        <v>7.4580071073805177E-4</v>
      </c>
      <c r="S282" s="3">
        <v>262202304</v>
      </c>
      <c r="T282" s="3">
        <v>0</v>
      </c>
    </row>
    <row r="283" spans="2:20" x14ac:dyDescent="0.2">
      <c r="B283">
        <v>43093</v>
      </c>
      <c r="C283" s="6">
        <v>6.3866999999999999E-8</v>
      </c>
      <c r="D283" s="1" t="s">
        <v>321</v>
      </c>
      <c r="E283" s="3">
        <v>9900</v>
      </c>
      <c r="F283" s="7">
        <v>7.0014866723226796E-5</v>
      </c>
      <c r="G283" s="7">
        <v>797060160</v>
      </c>
      <c r="H283" s="7">
        <v>0</v>
      </c>
      <c r="I283" s="3">
        <f t="shared" si="4"/>
        <v>922.52333333333331</v>
      </c>
      <c r="L283" s="1">
        <v>42093</v>
      </c>
      <c r="M283" s="3">
        <v>7.6779999999999997E-10</v>
      </c>
      <c r="N283" s="1" t="s">
        <v>307</v>
      </c>
      <c r="O283" s="1">
        <v>51</v>
      </c>
      <c r="P283" s="1">
        <v>42</v>
      </c>
      <c r="Q283" s="3">
        <v>126230400000</v>
      </c>
      <c r="R283" s="3">
        <v>5.4911271814075315E-12</v>
      </c>
      <c r="S283" s="3">
        <v>45.460782627175298</v>
      </c>
      <c r="T283" s="3">
        <v>45.452910947459486</v>
      </c>
    </row>
    <row r="284" spans="2:20" x14ac:dyDescent="0.2">
      <c r="B284">
        <v>43094</v>
      </c>
      <c r="C284" s="6">
        <v>1.5355999999999999E-8</v>
      </c>
      <c r="D284" s="1" t="s">
        <v>322</v>
      </c>
      <c r="E284" s="3">
        <v>17580</v>
      </c>
      <c r="F284" s="7">
        <v>3.9428167267346149E-5</v>
      </c>
      <c r="G284" s="7">
        <v>191642879.99999967</v>
      </c>
      <c r="H284" s="7">
        <v>0</v>
      </c>
      <c r="I284" s="3">
        <f t="shared" si="4"/>
        <v>221.8088888888885</v>
      </c>
      <c r="L284" s="1">
        <v>42099</v>
      </c>
      <c r="M284" s="3">
        <v>3.77618E-8</v>
      </c>
      <c r="N284" s="1" t="s">
        <v>308</v>
      </c>
      <c r="O284" s="1">
        <v>57</v>
      </c>
      <c r="P284" s="1">
        <v>42</v>
      </c>
      <c r="Q284" s="3">
        <v>237513.60000000001</v>
      </c>
      <c r="R284" s="3">
        <v>2.9183473306789393E-6</v>
      </c>
      <c r="S284" s="3">
        <v>433404305.76579106</v>
      </c>
      <c r="T284" s="3">
        <v>4.6501670207253422E-32</v>
      </c>
    </row>
    <row r="285" spans="2:20" x14ac:dyDescent="0.2">
      <c r="B285">
        <v>43095</v>
      </c>
      <c r="C285" s="6">
        <v>5.1652000000000003E-9</v>
      </c>
      <c r="D285" s="1" t="s">
        <v>323</v>
      </c>
      <c r="E285" s="3">
        <v>72000</v>
      </c>
      <c r="F285" s="7">
        <v>9.6270441744436842E-6</v>
      </c>
      <c r="G285" s="7">
        <v>64445958.281250007</v>
      </c>
      <c r="H285" s="7">
        <v>9.0794091005480105E-125</v>
      </c>
      <c r="I285" s="3">
        <f t="shared" si="4"/>
        <v>74.590229492187518</v>
      </c>
      <c r="L285" s="1">
        <v>42100</v>
      </c>
      <c r="M285" s="3">
        <v>2.7940900000000001E-7</v>
      </c>
      <c r="N285" s="1" t="s">
        <v>309</v>
      </c>
      <c r="O285" s="1">
        <v>58</v>
      </c>
      <c r="P285" s="1">
        <v>42</v>
      </c>
      <c r="Q285" s="3">
        <v>2.3037048000000002E+26</v>
      </c>
      <c r="R285" s="3">
        <v>3.0088368117301542E-27</v>
      </c>
      <c r="S285" s="3">
        <v>0</v>
      </c>
      <c r="T285" s="3">
        <v>0</v>
      </c>
    </row>
    <row r="286" spans="2:20" x14ac:dyDescent="0.2">
      <c r="B286">
        <v>43096</v>
      </c>
      <c r="C286" s="6">
        <v>9.772000000000001E-10</v>
      </c>
      <c r="D286" s="1" t="s">
        <v>324</v>
      </c>
      <c r="E286" s="3">
        <v>369792</v>
      </c>
      <c r="F286" s="7">
        <v>1.8744244887935522E-6</v>
      </c>
      <c r="G286" s="7">
        <v>9780790.7491194904</v>
      </c>
      <c r="H286" s="7">
        <v>2.0817252160713585E-19</v>
      </c>
      <c r="I286" s="3">
        <f t="shared" si="4"/>
        <v>11.320359663332743</v>
      </c>
      <c r="L286" s="1">
        <v>42101</v>
      </c>
      <c r="M286" s="3">
        <v>7.329E-7</v>
      </c>
      <c r="N286" s="1" t="s">
        <v>310</v>
      </c>
      <c r="O286" s="1">
        <v>59</v>
      </c>
      <c r="P286" s="1">
        <v>42</v>
      </c>
      <c r="Q286" s="3">
        <v>876.599999999999</v>
      </c>
      <c r="R286" s="3">
        <v>7.9072231412268543E-4</v>
      </c>
      <c r="S286" s="3">
        <v>9146592000</v>
      </c>
      <c r="T286" s="3">
        <v>0</v>
      </c>
    </row>
    <row r="287" spans="2:20" x14ac:dyDescent="0.2">
      <c r="B287">
        <v>43097</v>
      </c>
      <c r="C287" s="6">
        <v>3.4899999999999998E-10</v>
      </c>
      <c r="D287" s="1" t="s">
        <v>325</v>
      </c>
      <c r="E287" s="3">
        <v>132857496000000</v>
      </c>
      <c r="F287" s="7">
        <v>5.2172229752090563E-15</v>
      </c>
      <c r="G287" s="7">
        <v>1.9633293325611589E-2</v>
      </c>
      <c r="H287" s="7">
        <v>1.9633290095339356E-2</v>
      </c>
      <c r="I287" s="3">
        <f t="shared" si="4"/>
        <v>2.2723719126865265E-8</v>
      </c>
      <c r="L287" s="1">
        <v>42102</v>
      </c>
      <c r="M287" s="3">
        <v>3.9265999999999998E-6</v>
      </c>
      <c r="N287" s="1" t="s">
        <v>311</v>
      </c>
      <c r="O287" s="1">
        <v>60</v>
      </c>
      <c r="P287" s="1">
        <v>42</v>
      </c>
      <c r="Q287" s="3">
        <v>678</v>
      </c>
      <c r="R287" s="3">
        <v>1.0223409742772054E-3</v>
      </c>
      <c r="S287" s="3">
        <v>49003968000</v>
      </c>
      <c r="T287" s="3">
        <v>0</v>
      </c>
    </row>
    <row r="288" spans="2:20" x14ac:dyDescent="0.2">
      <c r="B288">
        <v>43098</v>
      </c>
      <c r="C288" s="6">
        <v>4.1879999999999999E-10</v>
      </c>
      <c r="D288" s="1" t="s">
        <v>326</v>
      </c>
      <c r="E288" s="3">
        <v>132541920000000</v>
      </c>
      <c r="F288" s="7">
        <v>5.2296449346738394E-15</v>
      </c>
      <c r="G288" s="7">
        <v>2.3616046868596641E-2</v>
      </c>
      <c r="H288" s="7">
        <v>2.3616042973789327E-2</v>
      </c>
      <c r="I288" s="3">
        <f t="shared" si="4"/>
        <v>2.7333387579394258E-8</v>
      </c>
      <c r="L288" s="1">
        <v>42103</v>
      </c>
      <c r="M288" s="3">
        <v>5.9638499999999997E-6</v>
      </c>
      <c r="N288" s="1" t="s">
        <v>312</v>
      </c>
      <c r="O288" s="1">
        <v>61</v>
      </c>
      <c r="P288" s="1">
        <v>42</v>
      </c>
      <c r="Q288" s="3">
        <v>67.5</v>
      </c>
      <c r="R288" s="3">
        <v>1.0268847119406597E-2</v>
      </c>
      <c r="S288" s="3">
        <v>74428848000</v>
      </c>
      <c r="T288" s="3">
        <v>0</v>
      </c>
    </row>
    <row r="289" spans="2:20" x14ac:dyDescent="0.2">
      <c r="B289">
        <v>43099</v>
      </c>
      <c r="C289" s="6">
        <v>3.8389999999999997E-9</v>
      </c>
      <c r="D289" s="1" t="s">
        <v>327</v>
      </c>
      <c r="E289" s="3">
        <v>6661809360000</v>
      </c>
      <c r="F289" s="7">
        <v>1.040478859575089E-13</v>
      </c>
      <c r="G289" s="7">
        <v>4.3070476958532913</v>
      </c>
      <c r="H289" s="7">
        <v>4.3070335633584307</v>
      </c>
      <c r="I289" s="3">
        <f t="shared" si="4"/>
        <v>4.9850089072376054E-6</v>
      </c>
      <c r="L289" s="1">
        <v>42104</v>
      </c>
      <c r="M289" s="3">
        <v>1.07374E-5</v>
      </c>
      <c r="N289" s="1" t="s">
        <v>313</v>
      </c>
      <c r="O289" s="1">
        <v>62</v>
      </c>
      <c r="P289" s="1">
        <v>42</v>
      </c>
      <c r="Q289" s="3">
        <v>60</v>
      </c>
      <c r="R289" s="3">
        <v>1.1552453009332421E-2</v>
      </c>
      <c r="S289" s="3">
        <v>134002752000</v>
      </c>
      <c r="T289" s="3">
        <v>0</v>
      </c>
    </row>
    <row r="290" spans="2:20" x14ac:dyDescent="0.2">
      <c r="B290">
        <v>43100</v>
      </c>
      <c r="C290" s="6">
        <v>1.75198E-8</v>
      </c>
      <c r="D290" s="1" t="s">
        <v>328</v>
      </c>
      <c r="E290" s="3">
        <v>15.46</v>
      </c>
      <c r="F290" s="7">
        <v>4.4834875844757129E-2</v>
      </c>
      <c r="G290" s="7">
        <v>218647104</v>
      </c>
      <c r="H290" s="7">
        <v>0</v>
      </c>
      <c r="I290" s="3">
        <f t="shared" si="4"/>
        <v>253.06377777777777</v>
      </c>
      <c r="L290" s="1">
        <v>42105</v>
      </c>
      <c r="M290" s="3">
        <v>8.3656E-6</v>
      </c>
      <c r="N290" s="1" t="s">
        <v>314</v>
      </c>
      <c r="O290" s="1">
        <v>63</v>
      </c>
      <c r="P290" s="1">
        <v>42</v>
      </c>
      <c r="Q290" s="3">
        <v>35.6</v>
      </c>
      <c r="R290" s="3">
        <v>1.9470426420223182E-2</v>
      </c>
      <c r="S290" s="3">
        <v>104402688000</v>
      </c>
      <c r="T290" s="3">
        <v>0</v>
      </c>
    </row>
    <row r="291" spans="2:20" x14ac:dyDescent="0.2">
      <c r="B291">
        <v>43101</v>
      </c>
      <c r="C291" s="6">
        <v>8.9204400000000004E-8</v>
      </c>
      <c r="D291" s="1" t="s">
        <v>329</v>
      </c>
      <c r="E291" s="3">
        <v>841.19999999999902</v>
      </c>
      <c r="F291" s="7">
        <v>8.239980748453948E-4</v>
      </c>
      <c r="G291" s="7">
        <v>1113270912</v>
      </c>
      <c r="H291" s="7">
        <v>0</v>
      </c>
      <c r="I291" s="3">
        <f t="shared" si="4"/>
        <v>1288.508</v>
      </c>
      <c r="L291" s="1">
        <v>42106</v>
      </c>
      <c r="M291" s="3">
        <v>9.7631399999999992E-6</v>
      </c>
      <c r="N291" s="1" t="s">
        <v>315</v>
      </c>
      <c r="O291" s="1">
        <v>64</v>
      </c>
      <c r="P291" s="1">
        <v>42</v>
      </c>
      <c r="Q291" s="3">
        <v>8.73</v>
      </c>
      <c r="R291" s="3">
        <v>7.9398302469638637E-2</v>
      </c>
      <c r="S291" s="3">
        <v>121843987199.99998</v>
      </c>
      <c r="T291" s="3">
        <v>0</v>
      </c>
    </row>
    <row r="292" spans="2:20" x14ac:dyDescent="0.2">
      <c r="B292">
        <v>43102</v>
      </c>
      <c r="C292" s="6">
        <v>3.5444399999999999E-7</v>
      </c>
      <c r="D292" s="1" t="s">
        <v>330</v>
      </c>
      <c r="E292" s="3">
        <v>5.28</v>
      </c>
      <c r="F292" s="7">
        <v>0.13127787510605024</v>
      </c>
      <c r="G292" s="7">
        <v>4423461120</v>
      </c>
      <c r="H292" s="7">
        <v>0</v>
      </c>
      <c r="I292" s="3">
        <f t="shared" si="4"/>
        <v>5119.7466666666669</v>
      </c>
      <c r="L292" s="1">
        <v>42107</v>
      </c>
      <c r="M292" s="3">
        <v>4.9592900000000003E-6</v>
      </c>
      <c r="N292" s="1" t="s">
        <v>316</v>
      </c>
      <c r="O292" s="1">
        <v>65</v>
      </c>
      <c r="P292" s="1">
        <v>42</v>
      </c>
      <c r="Q292" s="3">
        <v>3.5</v>
      </c>
      <c r="R292" s="3">
        <v>0.19804205158855578</v>
      </c>
      <c r="S292" s="3">
        <v>61891939200</v>
      </c>
      <c r="T292" s="3">
        <v>0</v>
      </c>
    </row>
    <row r="293" spans="2:20" x14ac:dyDescent="0.2">
      <c r="B293">
        <v>43103</v>
      </c>
      <c r="C293" s="6">
        <v>1.2004899999999999E-6</v>
      </c>
      <c r="D293" s="1" t="s">
        <v>331</v>
      </c>
      <c r="E293" s="3">
        <v>54.2</v>
      </c>
      <c r="F293" s="7">
        <v>1.2788693368264673E-2</v>
      </c>
      <c r="G293" s="7">
        <v>14982115199.999998</v>
      </c>
      <c r="H293" s="7">
        <v>0</v>
      </c>
      <c r="I293" s="3">
        <f t="shared" si="4"/>
        <v>17340.411111111109</v>
      </c>
      <c r="L293" s="1">
        <v>42108</v>
      </c>
      <c r="M293" s="3">
        <v>3.6742700000000001E-6</v>
      </c>
      <c r="N293" s="1" t="s">
        <v>317</v>
      </c>
      <c r="O293" s="1">
        <v>66</v>
      </c>
      <c r="P293" s="1">
        <v>42</v>
      </c>
      <c r="Q293" s="3">
        <v>1.0900000000000001</v>
      </c>
      <c r="R293" s="3">
        <v>0.63591484455040848</v>
      </c>
      <c r="S293" s="3">
        <v>45854889600</v>
      </c>
      <c r="T293" s="3">
        <v>0</v>
      </c>
    </row>
    <row r="294" spans="2:20" x14ac:dyDescent="0.2">
      <c r="B294">
        <v>43104</v>
      </c>
      <c r="C294" s="6">
        <v>2.31192E-6</v>
      </c>
      <c r="D294" s="1" t="s">
        <v>332</v>
      </c>
      <c r="E294" s="3">
        <v>1098</v>
      </c>
      <c r="F294" s="7">
        <v>6.3128158520942197E-4</v>
      </c>
      <c r="G294" s="7">
        <v>28852761600</v>
      </c>
      <c r="H294" s="7">
        <v>0</v>
      </c>
      <c r="I294" s="3">
        <f t="shared" si="4"/>
        <v>33394.400000000001</v>
      </c>
      <c r="L294" s="1">
        <v>43090</v>
      </c>
      <c r="M294" s="3">
        <v>1.3644499999999999E-6</v>
      </c>
      <c r="N294" s="1" t="s">
        <v>318</v>
      </c>
      <c r="O294" s="1">
        <v>47</v>
      </c>
      <c r="P294" s="1">
        <v>43</v>
      </c>
      <c r="Q294" s="3">
        <v>8.6999999999999993</v>
      </c>
      <c r="R294" s="3">
        <v>7.9672089719533948E-2</v>
      </c>
      <c r="S294" s="3">
        <v>17028335999.999998</v>
      </c>
      <c r="T294" s="3">
        <v>0</v>
      </c>
    </row>
    <row r="295" spans="2:20" x14ac:dyDescent="0.2">
      <c r="B295">
        <v>43105</v>
      </c>
      <c r="C295" s="6">
        <v>4.2495599999999997E-6</v>
      </c>
      <c r="D295" s="1" t="s">
        <v>333</v>
      </c>
      <c r="E295" s="3">
        <v>456</v>
      </c>
      <c r="F295" s="7">
        <v>1.520059606491108E-3</v>
      </c>
      <c r="G295" s="7">
        <v>53034508799.999992</v>
      </c>
      <c r="H295" s="7">
        <v>0</v>
      </c>
      <c r="I295" s="3">
        <f t="shared" si="4"/>
        <v>61382.533333333326</v>
      </c>
      <c r="L295" s="1">
        <v>43091</v>
      </c>
      <c r="M295" s="3">
        <v>9.4041500000000002E-7</v>
      </c>
      <c r="N295" s="1" t="s">
        <v>319</v>
      </c>
      <c r="O295" s="1">
        <v>48</v>
      </c>
      <c r="P295" s="1">
        <v>43</v>
      </c>
      <c r="Q295" s="3">
        <v>188.4</v>
      </c>
      <c r="R295" s="3">
        <v>3.6791251622077773E-3</v>
      </c>
      <c r="S295" s="3">
        <v>11736379200</v>
      </c>
      <c r="T295" s="3">
        <v>0</v>
      </c>
    </row>
    <row r="296" spans="2:20" x14ac:dyDescent="0.2">
      <c r="B296">
        <v>43106</v>
      </c>
      <c r="C296" s="6">
        <v>3.7151100000000001E-6</v>
      </c>
      <c r="D296" s="1" t="s">
        <v>334</v>
      </c>
      <c r="E296" s="3">
        <v>35.6</v>
      </c>
      <c r="F296" s="7">
        <v>1.9470426420223182E-2</v>
      </c>
      <c r="G296" s="7">
        <v>46364572800</v>
      </c>
      <c r="H296" s="7">
        <v>0</v>
      </c>
      <c r="I296" s="3">
        <f t="shared" si="4"/>
        <v>53662.7</v>
      </c>
      <c r="L296" s="1">
        <v>43092</v>
      </c>
      <c r="M296" s="3">
        <v>3.5381600000000002E-7</v>
      </c>
      <c r="N296" s="1" t="s">
        <v>320</v>
      </c>
      <c r="O296" s="1">
        <v>49</v>
      </c>
      <c r="P296" s="1">
        <v>43</v>
      </c>
      <c r="Q296" s="3">
        <v>255</v>
      </c>
      <c r="R296" s="3">
        <v>2.7182242374899817E-3</v>
      </c>
      <c r="S296" s="3">
        <v>4415623680</v>
      </c>
      <c r="T296" s="3">
        <v>0</v>
      </c>
    </row>
    <row r="297" spans="2:20" x14ac:dyDescent="0.2">
      <c r="B297">
        <v>43107</v>
      </c>
      <c r="C297" s="6">
        <v>3.5595899999999999E-6</v>
      </c>
      <c r="D297" s="1" t="s">
        <v>335</v>
      </c>
      <c r="E297" s="3">
        <v>21.2</v>
      </c>
      <c r="F297" s="7">
        <v>3.2695621724525725E-2</v>
      </c>
      <c r="G297" s="7">
        <v>44423683200</v>
      </c>
      <c r="H297" s="7">
        <v>0</v>
      </c>
      <c r="I297" s="3">
        <f t="shared" si="4"/>
        <v>51416.3</v>
      </c>
      <c r="L297" s="1">
        <v>43093</v>
      </c>
      <c r="M297" s="3">
        <v>6.4355600000000002E-8</v>
      </c>
      <c r="N297" s="1" t="s">
        <v>321</v>
      </c>
      <c r="O297" s="1">
        <v>50</v>
      </c>
      <c r="P297" s="1">
        <v>43</v>
      </c>
      <c r="Q297" s="3">
        <v>9900</v>
      </c>
      <c r="R297" s="3">
        <v>7.0014866723226796E-5</v>
      </c>
      <c r="S297" s="3">
        <v>803157888</v>
      </c>
      <c r="T297" s="3">
        <v>0</v>
      </c>
    </row>
    <row r="298" spans="2:20" x14ac:dyDescent="0.2">
      <c r="B298">
        <v>43108</v>
      </c>
      <c r="C298" s="6">
        <v>1.99942E-6</v>
      </c>
      <c r="D298" s="1" t="s">
        <v>336</v>
      </c>
      <c r="E298" s="3">
        <v>5.17</v>
      </c>
      <c r="F298" s="7">
        <v>0.13407102138490237</v>
      </c>
      <c r="G298" s="7">
        <v>24952761600</v>
      </c>
      <c r="H298" s="7">
        <v>0</v>
      </c>
      <c r="I298" s="3">
        <f t="shared" si="4"/>
        <v>28880.511111111111</v>
      </c>
      <c r="L298" s="1">
        <v>43094</v>
      </c>
      <c r="M298" s="3">
        <v>1.1935799999999999E-8</v>
      </c>
      <c r="N298" s="1" t="s">
        <v>322</v>
      </c>
      <c r="O298" s="1">
        <v>51</v>
      </c>
      <c r="P298" s="1">
        <v>43</v>
      </c>
      <c r="Q298" s="3">
        <v>17580</v>
      </c>
      <c r="R298" s="3">
        <v>3.9428167267346149E-5</v>
      </c>
      <c r="S298" s="3">
        <v>148958783.99999976</v>
      </c>
      <c r="T298" s="3">
        <v>0</v>
      </c>
    </row>
    <row r="299" spans="2:20" x14ac:dyDescent="0.2">
      <c r="B299">
        <v>43109</v>
      </c>
      <c r="C299" s="6">
        <v>1.4637799999999999E-6</v>
      </c>
      <c r="D299" s="1" t="s">
        <v>337</v>
      </c>
      <c r="E299" s="3">
        <v>0.86</v>
      </c>
      <c r="F299" s="7">
        <v>0.805985093674355</v>
      </c>
      <c r="G299" s="7">
        <v>18267974400</v>
      </c>
      <c r="H299" s="7">
        <v>0</v>
      </c>
      <c r="I299" s="3">
        <f t="shared" si="4"/>
        <v>21143.488888888889</v>
      </c>
      <c r="L299" s="1">
        <v>43095</v>
      </c>
      <c r="M299" s="3">
        <v>4.0484000000000002E-9</v>
      </c>
      <c r="N299" s="1" t="s">
        <v>323</v>
      </c>
      <c r="O299" s="1">
        <v>52</v>
      </c>
      <c r="P299" s="1">
        <v>43</v>
      </c>
      <c r="Q299" s="3">
        <v>72000</v>
      </c>
      <c r="R299" s="3">
        <v>9.6270441744436842E-6</v>
      </c>
      <c r="S299" s="3">
        <v>50511697.03125</v>
      </c>
      <c r="T299" s="3">
        <v>7.1162936193484395E-125</v>
      </c>
    </row>
    <row r="300" spans="2:20" x14ac:dyDescent="0.2">
      <c r="B300">
        <v>43110</v>
      </c>
      <c r="C300" s="6">
        <v>8.9113699999999999E-7</v>
      </c>
      <c r="D300" s="1" t="s">
        <v>338</v>
      </c>
      <c r="E300" s="3">
        <v>0.92</v>
      </c>
      <c r="F300" s="7">
        <v>0.75342084843472312</v>
      </c>
      <c r="G300" s="7">
        <v>11121389760</v>
      </c>
      <c r="H300" s="7">
        <v>0</v>
      </c>
      <c r="I300" s="3">
        <f t="shared" si="4"/>
        <v>12871.978888888889</v>
      </c>
      <c r="L300" s="1">
        <v>43096</v>
      </c>
      <c r="M300" s="3">
        <v>6.2819999999999996E-10</v>
      </c>
      <c r="N300" s="1" t="s">
        <v>324</v>
      </c>
      <c r="O300" s="1">
        <v>53</v>
      </c>
      <c r="P300" s="1">
        <v>43</v>
      </c>
      <c r="Q300" s="3">
        <v>369792</v>
      </c>
      <c r="R300" s="3">
        <v>1.8744244887935522E-6</v>
      </c>
      <c r="S300" s="3">
        <v>6287651.1958625279</v>
      </c>
      <c r="T300" s="3">
        <v>1.3382519246173017E-19</v>
      </c>
    </row>
    <row r="301" spans="2:20" x14ac:dyDescent="0.2">
      <c r="B301">
        <v>44092</v>
      </c>
      <c r="C301" s="6">
        <v>6.6379800000000005E-7</v>
      </c>
      <c r="D301" s="1" t="s">
        <v>339</v>
      </c>
      <c r="E301" s="3">
        <v>219</v>
      </c>
      <c r="F301" s="7">
        <v>3.1650556189951841E-3</v>
      </c>
      <c r="G301" s="7">
        <v>8284199040.000001</v>
      </c>
      <c r="H301" s="7">
        <v>0</v>
      </c>
      <c r="I301" s="3">
        <f t="shared" si="4"/>
        <v>9588.1933333333345</v>
      </c>
      <c r="L301" s="1">
        <v>43097</v>
      </c>
      <c r="M301" s="3">
        <v>1.3959999999999999E-10</v>
      </c>
      <c r="N301" s="1" t="s">
        <v>325</v>
      </c>
      <c r="O301" s="1">
        <v>54</v>
      </c>
      <c r="P301" s="1">
        <v>43</v>
      </c>
      <c r="Q301" s="3">
        <v>132857496000000</v>
      </c>
      <c r="R301" s="3">
        <v>5.2172229752090563E-15</v>
      </c>
      <c r="S301" s="3">
        <v>7.853317330244634E-3</v>
      </c>
      <c r="T301" s="3">
        <v>7.8533160381357402E-3</v>
      </c>
    </row>
    <row r="302" spans="2:20" x14ac:dyDescent="0.2">
      <c r="B302">
        <v>44093</v>
      </c>
      <c r="C302" s="6">
        <v>3.0753899999999999E-7</v>
      </c>
      <c r="D302" s="1" t="s">
        <v>340</v>
      </c>
      <c r="E302" s="3">
        <v>59.7</v>
      </c>
      <c r="F302" s="7">
        <v>1.1610505537017509E-2</v>
      </c>
      <c r="G302" s="7">
        <v>3838086720</v>
      </c>
      <c r="H302" s="7">
        <v>0</v>
      </c>
      <c r="I302" s="3">
        <f t="shared" si="4"/>
        <v>4442.2299999999996</v>
      </c>
      <c r="L302" s="1">
        <v>43098</v>
      </c>
      <c r="M302" s="3">
        <v>1.3959999999999999E-10</v>
      </c>
      <c r="N302" s="1" t="s">
        <v>326</v>
      </c>
      <c r="O302" s="1">
        <v>55</v>
      </c>
      <c r="P302" s="1">
        <v>43</v>
      </c>
      <c r="Q302" s="3">
        <v>132541920000000</v>
      </c>
      <c r="R302" s="3">
        <v>5.2296449346738394E-15</v>
      </c>
      <c r="S302" s="3">
        <v>7.8720156228655452E-3</v>
      </c>
      <c r="T302" s="3">
        <v>7.8720143245964401E-3</v>
      </c>
    </row>
    <row r="303" spans="2:20" x14ac:dyDescent="0.2">
      <c r="B303">
        <v>44094</v>
      </c>
      <c r="C303" s="6">
        <v>1.8629599999999999E-7</v>
      </c>
      <c r="D303" s="1" t="s">
        <v>341</v>
      </c>
      <c r="E303" s="3">
        <v>3108</v>
      </c>
      <c r="F303" s="7">
        <v>2.2302032836549077E-4</v>
      </c>
      <c r="G303" s="7">
        <v>2324974080</v>
      </c>
      <c r="H303" s="7">
        <v>0</v>
      </c>
      <c r="I303" s="3">
        <f t="shared" si="4"/>
        <v>2690.9422222222224</v>
      </c>
      <c r="L303" s="1">
        <v>43099</v>
      </c>
      <c r="M303" s="3">
        <v>6.9799999999999994E-11</v>
      </c>
      <c r="N303" s="1" t="s">
        <v>327</v>
      </c>
      <c r="O303" s="1">
        <v>56</v>
      </c>
      <c r="P303" s="1">
        <v>43</v>
      </c>
      <c r="Q303" s="3">
        <v>6661809360000</v>
      </c>
      <c r="R303" s="3">
        <v>1.040478859575089E-13</v>
      </c>
      <c r="S303" s="3">
        <v>7.830995810642348E-2</v>
      </c>
      <c r="T303" s="3">
        <v>7.8309701151971473E-2</v>
      </c>
    </row>
    <row r="304" spans="2:20" x14ac:dyDescent="0.2">
      <c r="B304">
        <v>44095</v>
      </c>
      <c r="C304" s="6">
        <v>5.24896E-8</v>
      </c>
      <c r="D304" s="1" t="s">
        <v>342</v>
      </c>
      <c r="E304" s="3">
        <v>5914.8</v>
      </c>
      <c r="F304" s="7">
        <v>1.171886083316334E-4</v>
      </c>
      <c r="G304" s="7">
        <v>655070208</v>
      </c>
      <c r="H304" s="7">
        <v>0</v>
      </c>
      <c r="I304" s="3">
        <f t="shared" si="4"/>
        <v>758.18311111111109</v>
      </c>
      <c r="L304" s="1">
        <v>43100</v>
      </c>
      <c r="M304" s="3">
        <v>9.772000000000001E-10</v>
      </c>
      <c r="N304" s="1" t="s">
        <v>328</v>
      </c>
      <c r="O304" s="1">
        <v>57</v>
      </c>
      <c r="P304" s="1">
        <v>43</v>
      </c>
      <c r="Q304" s="3">
        <v>15.46</v>
      </c>
      <c r="R304" s="3">
        <v>4.4834875844757129E-2</v>
      </c>
      <c r="S304" s="3">
        <v>12195456.000000002</v>
      </c>
      <c r="T304" s="3">
        <v>0</v>
      </c>
    </row>
    <row r="305" spans="2:20" x14ac:dyDescent="0.2">
      <c r="B305">
        <v>44097</v>
      </c>
      <c r="C305" s="6">
        <v>5.2350000000000002E-9</v>
      </c>
      <c r="D305" s="1" t="s">
        <v>343</v>
      </c>
      <c r="E305" s="3">
        <v>244512</v>
      </c>
      <c r="F305" s="7">
        <v>2.8348186614969625E-6</v>
      </c>
      <c r="G305" s="7">
        <v>59690956.44399929</v>
      </c>
      <c r="H305" s="7">
        <v>8.9224694315410922E-32</v>
      </c>
      <c r="I305" s="3">
        <f t="shared" si="4"/>
        <v>69.086755143517692</v>
      </c>
      <c r="L305" s="1">
        <v>43101</v>
      </c>
      <c r="M305" s="3">
        <v>1.04002E-8</v>
      </c>
      <c r="N305" s="1" t="s">
        <v>329</v>
      </c>
      <c r="O305" s="1">
        <v>58</v>
      </c>
      <c r="P305" s="1">
        <v>43</v>
      </c>
      <c r="Q305" s="3">
        <v>841.19999999999902</v>
      </c>
      <c r="R305" s="3">
        <v>8.239980748453948E-4</v>
      </c>
      <c r="S305" s="3">
        <v>129794496</v>
      </c>
      <c r="T305" s="3">
        <v>0</v>
      </c>
    </row>
    <row r="306" spans="2:20" x14ac:dyDescent="0.2">
      <c r="B306">
        <v>44103</v>
      </c>
      <c r="C306" s="6">
        <v>1.0190799999999999E-8</v>
      </c>
      <c r="D306" s="1" t="s">
        <v>344</v>
      </c>
      <c r="E306" s="3">
        <v>3390940.8</v>
      </c>
      <c r="F306" s="7">
        <v>2.0441146615120656E-7</v>
      </c>
      <c r="G306" s="7">
        <v>20589957.144158486</v>
      </c>
      <c r="H306" s="7">
        <v>32662.862269552141</v>
      </c>
      <c r="I306" s="3">
        <f t="shared" si="4"/>
        <v>23.830968916850104</v>
      </c>
      <c r="L306" s="1">
        <v>43102</v>
      </c>
      <c r="M306" s="3">
        <v>4.5579400000000002E-8</v>
      </c>
      <c r="N306" s="1" t="s">
        <v>330</v>
      </c>
      <c r="O306" s="1">
        <v>59</v>
      </c>
      <c r="P306" s="1">
        <v>43</v>
      </c>
      <c r="Q306" s="3">
        <v>5.28</v>
      </c>
      <c r="R306" s="3">
        <v>0.13127787510605024</v>
      </c>
      <c r="S306" s="3">
        <v>568830912</v>
      </c>
      <c r="T306" s="3">
        <v>0</v>
      </c>
    </row>
    <row r="307" spans="2:20" x14ac:dyDescent="0.2">
      <c r="B307">
        <v>44105</v>
      </c>
      <c r="C307" s="6">
        <v>1.02676E-7</v>
      </c>
      <c r="D307" s="1" t="s">
        <v>345</v>
      </c>
      <c r="E307" s="3">
        <v>15984</v>
      </c>
      <c r="F307" s="7">
        <v>4.3365063848845423E-5</v>
      </c>
      <c r="G307" s="7">
        <v>1281396480</v>
      </c>
      <c r="H307" s="7">
        <v>0</v>
      </c>
      <c r="I307" s="3">
        <f t="shared" si="4"/>
        <v>1483.0977777777778</v>
      </c>
      <c r="L307" s="1">
        <v>43103</v>
      </c>
      <c r="M307" s="3">
        <v>2.8548199999999999E-7</v>
      </c>
      <c r="N307" s="1" t="s">
        <v>331</v>
      </c>
      <c r="O307" s="1">
        <v>60</v>
      </c>
      <c r="P307" s="1">
        <v>43</v>
      </c>
      <c r="Q307" s="3">
        <v>54.2</v>
      </c>
      <c r="R307" s="3">
        <v>1.2788693368264673E-2</v>
      </c>
      <c r="S307" s="3">
        <v>3562815360</v>
      </c>
      <c r="T307" s="3">
        <v>0</v>
      </c>
    </row>
    <row r="308" spans="2:20" x14ac:dyDescent="0.2">
      <c r="B308">
        <v>44106</v>
      </c>
      <c r="C308" s="6">
        <v>2.7277799999999998E-7</v>
      </c>
      <c r="D308" s="1" t="s">
        <v>346</v>
      </c>
      <c r="E308" s="3">
        <v>32123520</v>
      </c>
      <c r="F308" s="7">
        <v>2.1577560010856383E-8</v>
      </c>
      <c r="G308" s="7">
        <v>62877897.65996509</v>
      </c>
      <c r="H308" s="7">
        <v>31840045.210367914</v>
      </c>
      <c r="I308" s="3">
        <f t="shared" si="4"/>
        <v>72.775344513848481</v>
      </c>
      <c r="L308" s="1">
        <v>43104</v>
      </c>
      <c r="M308" s="3">
        <v>8.6649700000000001E-7</v>
      </c>
      <c r="N308" s="1" t="s">
        <v>332</v>
      </c>
      <c r="O308" s="1">
        <v>61</v>
      </c>
      <c r="P308" s="1">
        <v>43</v>
      </c>
      <c r="Q308" s="3">
        <v>1098</v>
      </c>
      <c r="R308" s="3">
        <v>6.3128158520942197E-4</v>
      </c>
      <c r="S308" s="3">
        <v>10813882560</v>
      </c>
      <c r="T308" s="3">
        <v>0</v>
      </c>
    </row>
    <row r="309" spans="2:20" x14ac:dyDescent="0.2">
      <c r="B309">
        <v>44107</v>
      </c>
      <c r="C309" s="6">
        <v>4.65915E-7</v>
      </c>
      <c r="D309" s="1" t="s">
        <v>347</v>
      </c>
      <c r="E309" s="3">
        <v>225</v>
      </c>
      <c r="F309" s="7">
        <v>3.080654135821979E-3</v>
      </c>
      <c r="G309" s="7">
        <v>5814619200</v>
      </c>
      <c r="H309" s="7">
        <v>0</v>
      </c>
      <c r="I309" s="3">
        <f t="shared" si="4"/>
        <v>6729.8833333333332</v>
      </c>
      <c r="L309" s="1">
        <v>43105</v>
      </c>
      <c r="M309" s="3">
        <v>3.0029399999999999E-6</v>
      </c>
      <c r="N309" s="1" t="s">
        <v>333</v>
      </c>
      <c r="O309" s="1">
        <v>62</v>
      </c>
      <c r="P309" s="1">
        <v>43</v>
      </c>
      <c r="Q309" s="3">
        <v>456</v>
      </c>
      <c r="R309" s="3">
        <v>1.520059606491108E-3</v>
      </c>
      <c r="S309" s="3">
        <v>37476691200</v>
      </c>
      <c r="T309" s="3">
        <v>0</v>
      </c>
    </row>
    <row r="310" spans="2:20" x14ac:dyDescent="0.2">
      <c r="B310">
        <v>44108</v>
      </c>
      <c r="C310" s="6">
        <v>8.6021500000000003E-7</v>
      </c>
      <c r="D310" s="1" t="s">
        <v>348</v>
      </c>
      <c r="E310" s="3">
        <v>273</v>
      </c>
      <c r="F310" s="7">
        <v>2.5390006613917409E-3</v>
      </c>
      <c r="G310" s="7">
        <v>10735483200</v>
      </c>
      <c r="H310" s="7">
        <v>0</v>
      </c>
      <c r="I310" s="3">
        <f t="shared" si="4"/>
        <v>12425.327777777778</v>
      </c>
      <c r="L310" s="1">
        <v>43106</v>
      </c>
      <c r="M310" s="3">
        <v>3.7869300000000001E-6</v>
      </c>
      <c r="N310" s="1" t="s">
        <v>334</v>
      </c>
      <c r="O310" s="1">
        <v>63</v>
      </c>
      <c r="P310" s="1">
        <v>43</v>
      </c>
      <c r="Q310" s="3">
        <v>35.6</v>
      </c>
      <c r="R310" s="3">
        <v>1.9470426420223182E-2</v>
      </c>
      <c r="S310" s="3">
        <v>47260886400</v>
      </c>
      <c r="T310" s="3">
        <v>0</v>
      </c>
    </row>
    <row r="311" spans="2:20" x14ac:dyDescent="0.2">
      <c r="B311">
        <v>44109</v>
      </c>
      <c r="C311" s="6">
        <v>9.19057E-7</v>
      </c>
      <c r="D311" s="1" t="s">
        <v>349</v>
      </c>
      <c r="E311" s="3">
        <v>34.5</v>
      </c>
      <c r="F311" s="7">
        <v>2.009122262492595E-2</v>
      </c>
      <c r="G311" s="7">
        <v>11469831360</v>
      </c>
      <c r="H311" s="7">
        <v>0</v>
      </c>
      <c r="I311" s="3">
        <f t="shared" si="4"/>
        <v>13275.267777777777</v>
      </c>
      <c r="L311" s="1">
        <v>43107</v>
      </c>
      <c r="M311" s="3">
        <v>6.2084999999999999E-6</v>
      </c>
      <c r="N311" s="1" t="s">
        <v>335</v>
      </c>
      <c r="O311" s="1">
        <v>64</v>
      </c>
      <c r="P311" s="1">
        <v>43</v>
      </c>
      <c r="Q311" s="3">
        <v>21.2</v>
      </c>
      <c r="R311" s="3">
        <v>3.2695621724525725E-2</v>
      </c>
      <c r="S311" s="3">
        <v>77482080000</v>
      </c>
      <c r="T311" s="3">
        <v>0</v>
      </c>
    </row>
    <row r="312" spans="2:20" x14ac:dyDescent="0.2">
      <c r="B312">
        <v>44110</v>
      </c>
      <c r="C312" s="6">
        <v>1.2280600000000001E-6</v>
      </c>
      <c r="D312" s="1" t="s">
        <v>350</v>
      </c>
      <c r="E312" s="3">
        <v>11.6</v>
      </c>
      <c r="F312" s="7">
        <v>5.9754067289650457E-2</v>
      </c>
      <c r="G312" s="7">
        <v>15326188800.000002</v>
      </c>
      <c r="H312" s="7">
        <v>0</v>
      </c>
      <c r="I312" s="3">
        <f t="shared" si="4"/>
        <v>17738.644444444446</v>
      </c>
      <c r="L312" s="1">
        <v>43108</v>
      </c>
      <c r="M312" s="3">
        <v>4.3597099999999998E-6</v>
      </c>
      <c r="N312" s="1" t="s">
        <v>336</v>
      </c>
      <c r="O312" s="1">
        <v>65</v>
      </c>
      <c r="P312" s="1">
        <v>43</v>
      </c>
      <c r="Q312" s="3">
        <v>5.17</v>
      </c>
      <c r="R312" s="3">
        <v>0.13407102138490237</v>
      </c>
      <c r="S312" s="3">
        <v>54409180800</v>
      </c>
      <c r="T312" s="3">
        <v>0</v>
      </c>
    </row>
    <row r="313" spans="2:20" x14ac:dyDescent="0.2">
      <c r="B313">
        <v>44111</v>
      </c>
      <c r="C313" s="6">
        <v>1.0775000000000001E-6</v>
      </c>
      <c r="D313" s="1" t="s">
        <v>351</v>
      </c>
      <c r="E313" s="3">
        <v>2.12</v>
      </c>
      <c r="F313" s="7">
        <v>0.3269562172452572</v>
      </c>
      <c r="G313" s="7">
        <v>13447200000</v>
      </c>
      <c r="H313" s="7">
        <v>0</v>
      </c>
      <c r="I313" s="3">
        <f t="shared" si="4"/>
        <v>15563.888888888889</v>
      </c>
      <c r="L313" s="1">
        <v>43109</v>
      </c>
      <c r="M313" s="3">
        <v>4.1331399999999997E-6</v>
      </c>
      <c r="N313" s="1" t="s">
        <v>337</v>
      </c>
      <c r="O313" s="1">
        <v>66</v>
      </c>
      <c r="P313" s="1">
        <v>43</v>
      </c>
      <c r="Q313" s="3">
        <v>0.86</v>
      </c>
      <c r="R313" s="3">
        <v>0.805985093674355</v>
      </c>
      <c r="S313" s="3">
        <v>51581587200</v>
      </c>
      <c r="T313" s="3">
        <v>0</v>
      </c>
    </row>
    <row r="314" spans="2:20" x14ac:dyDescent="0.2">
      <c r="B314">
        <v>44112</v>
      </c>
      <c r="C314" s="6">
        <v>1.1597300000000001E-6</v>
      </c>
      <c r="D314" s="1" t="s">
        <v>352</v>
      </c>
      <c r="E314" s="3">
        <v>1.75</v>
      </c>
      <c r="F314" s="7">
        <v>0.39608410317711157</v>
      </c>
      <c r="G314" s="7">
        <v>14473430400</v>
      </c>
      <c r="H314" s="7">
        <v>0</v>
      </c>
      <c r="I314" s="3">
        <f t="shared" si="4"/>
        <v>16751.655555555557</v>
      </c>
      <c r="L314" s="1">
        <v>43110</v>
      </c>
      <c r="M314" s="3">
        <v>2.3925299999999999E-6</v>
      </c>
      <c r="N314" s="1" t="s">
        <v>338</v>
      </c>
      <c r="O314" s="1">
        <v>67</v>
      </c>
      <c r="P314" s="1">
        <v>43</v>
      </c>
      <c r="Q314" s="3">
        <v>0.92</v>
      </c>
      <c r="R314" s="3">
        <v>0.75342084843472312</v>
      </c>
      <c r="S314" s="3">
        <v>29858774400</v>
      </c>
      <c r="T314" s="3">
        <v>0</v>
      </c>
    </row>
    <row r="315" spans="2:20" x14ac:dyDescent="0.2">
      <c r="B315">
        <v>44113</v>
      </c>
      <c r="C315" s="6">
        <v>8.3808899999999998E-7</v>
      </c>
      <c r="D315" s="1" t="s">
        <v>353</v>
      </c>
      <c r="E315" s="3">
        <v>0.8</v>
      </c>
      <c r="F315" s="7">
        <v>0.86643397569993152</v>
      </c>
      <c r="G315" s="7">
        <v>10459350720</v>
      </c>
      <c r="H315" s="7">
        <v>0</v>
      </c>
      <c r="I315" s="3">
        <f t="shared" si="4"/>
        <v>12105.73</v>
      </c>
      <c r="L315" s="1">
        <v>44092</v>
      </c>
      <c r="M315" s="3">
        <v>1.8192000000000001E-6</v>
      </c>
      <c r="N315" s="1" t="s">
        <v>339</v>
      </c>
      <c r="O315" s="1">
        <v>48</v>
      </c>
      <c r="P315" s="1">
        <v>44</v>
      </c>
      <c r="Q315" s="3">
        <v>219</v>
      </c>
      <c r="R315" s="3">
        <v>3.1650556189951841E-3</v>
      </c>
      <c r="S315" s="3">
        <v>22703616000</v>
      </c>
      <c r="T315" s="3">
        <v>0</v>
      </c>
    </row>
    <row r="316" spans="2:20" x14ac:dyDescent="0.2">
      <c r="B316">
        <v>45094</v>
      </c>
      <c r="C316" s="6">
        <v>6.1375099999999997E-7</v>
      </c>
      <c r="D316" s="1" t="s">
        <v>354</v>
      </c>
      <c r="E316" s="3">
        <v>66</v>
      </c>
      <c r="F316" s="7">
        <v>1.050223000848402E-2</v>
      </c>
      <c r="G316" s="7">
        <v>7659612480</v>
      </c>
      <c r="H316" s="7">
        <v>0</v>
      </c>
      <c r="I316" s="3">
        <f t="shared" si="4"/>
        <v>8865.2922222222223</v>
      </c>
      <c r="L316" s="1">
        <v>44093</v>
      </c>
      <c r="M316" s="3">
        <v>7.3422599999999997E-7</v>
      </c>
      <c r="N316" s="1" t="s">
        <v>340</v>
      </c>
      <c r="O316" s="1">
        <v>49</v>
      </c>
      <c r="P316" s="1">
        <v>44</v>
      </c>
      <c r="Q316" s="3">
        <v>59.7</v>
      </c>
      <c r="R316" s="3">
        <v>1.1610505537017509E-2</v>
      </c>
      <c r="S316" s="3">
        <v>9163140480</v>
      </c>
      <c r="T316" s="3">
        <v>0</v>
      </c>
    </row>
    <row r="317" spans="2:20" x14ac:dyDescent="0.2">
      <c r="B317">
        <v>45095</v>
      </c>
      <c r="C317" s="6">
        <v>3.2254599999999998E-7</v>
      </c>
      <c r="D317" s="1" t="s">
        <v>355</v>
      </c>
      <c r="E317" s="3">
        <v>301.2</v>
      </c>
      <c r="F317" s="7">
        <v>2.3012854600263787E-3</v>
      </c>
      <c r="G317" s="7">
        <v>4025374080</v>
      </c>
      <c r="H317" s="7">
        <v>0</v>
      </c>
      <c r="I317" s="3">
        <f t="shared" si="4"/>
        <v>4658.9977777777776</v>
      </c>
      <c r="L317" s="1">
        <v>44094</v>
      </c>
      <c r="M317" s="3">
        <v>5.9595200000000004E-7</v>
      </c>
      <c r="N317" s="1" t="s">
        <v>341</v>
      </c>
      <c r="O317" s="1">
        <v>50</v>
      </c>
      <c r="P317" s="1">
        <v>44</v>
      </c>
      <c r="Q317" s="3">
        <v>3108</v>
      </c>
      <c r="R317" s="3">
        <v>2.2302032836549077E-4</v>
      </c>
      <c r="S317" s="3">
        <v>7437480960.000001</v>
      </c>
      <c r="T317" s="3">
        <v>0</v>
      </c>
    </row>
    <row r="318" spans="2:20" x14ac:dyDescent="0.2">
      <c r="B318">
        <v>45096</v>
      </c>
      <c r="C318" s="6">
        <v>1.3143300000000001E-7</v>
      </c>
      <c r="D318" s="1" t="s">
        <v>356</v>
      </c>
      <c r="E318" s="3">
        <v>594</v>
      </c>
      <c r="F318" s="7">
        <v>1.1669144453871133E-3</v>
      </c>
      <c r="G318" s="7">
        <v>1640283840.0000002</v>
      </c>
      <c r="H318" s="7">
        <v>0</v>
      </c>
      <c r="I318" s="3">
        <f t="shared" si="4"/>
        <v>1898.4766666666669</v>
      </c>
      <c r="L318" s="1">
        <v>44095</v>
      </c>
      <c r="M318" s="3">
        <v>6.5961000000000004E-8</v>
      </c>
      <c r="N318" s="1" t="s">
        <v>342</v>
      </c>
      <c r="O318" s="1">
        <v>51</v>
      </c>
      <c r="P318" s="1">
        <v>44</v>
      </c>
      <c r="Q318" s="3">
        <v>5914.8</v>
      </c>
      <c r="R318" s="3">
        <v>1.171886083316334E-4</v>
      </c>
      <c r="S318" s="3">
        <v>823193280</v>
      </c>
      <c r="T318" s="3">
        <v>0</v>
      </c>
    </row>
    <row r="319" spans="2:20" x14ac:dyDescent="0.2">
      <c r="B319">
        <v>45097</v>
      </c>
      <c r="C319" s="6">
        <v>4.3485399999999997E-8</v>
      </c>
      <c r="D319" s="1" t="s">
        <v>357</v>
      </c>
      <c r="E319" s="3">
        <v>1842</v>
      </c>
      <c r="F319" s="7">
        <v>3.7630140095545346E-4</v>
      </c>
      <c r="G319" s="7">
        <v>542697792</v>
      </c>
      <c r="H319" s="7">
        <v>0</v>
      </c>
      <c r="I319" s="3">
        <f t="shared" si="4"/>
        <v>628.12244444444457</v>
      </c>
      <c r="L319" s="1">
        <v>44097</v>
      </c>
      <c r="M319" s="3">
        <v>5.3048000000000001E-9</v>
      </c>
      <c r="N319" s="1" t="s">
        <v>343</v>
      </c>
      <c r="O319" s="1">
        <v>53</v>
      </c>
      <c r="P319" s="1">
        <v>44</v>
      </c>
      <c r="Q319" s="3">
        <v>244512</v>
      </c>
      <c r="R319" s="3">
        <v>2.8348186614969625E-6</v>
      </c>
      <c r="S319" s="3">
        <v>60486835.86325261</v>
      </c>
      <c r="T319" s="3">
        <v>9.0414356906283064E-32</v>
      </c>
    </row>
    <row r="320" spans="2:20" x14ac:dyDescent="0.2">
      <c r="B320">
        <v>45098</v>
      </c>
      <c r="C320" s="6">
        <v>1.40996E-8</v>
      </c>
      <c r="D320" s="1" t="s">
        <v>358</v>
      </c>
      <c r="E320" s="3">
        <v>523.20000000000005</v>
      </c>
      <c r="F320" s="7">
        <v>1.3248225928133509E-3</v>
      </c>
      <c r="G320" s="7">
        <v>175963008</v>
      </c>
      <c r="H320" s="7">
        <v>0</v>
      </c>
      <c r="I320" s="3">
        <f t="shared" si="4"/>
        <v>203.66088888888891</v>
      </c>
      <c r="L320" s="1">
        <v>44103</v>
      </c>
      <c r="M320" s="3">
        <v>1.7450000000000001E-9</v>
      </c>
      <c r="N320" s="1" t="s">
        <v>344</v>
      </c>
      <c r="O320" s="1">
        <v>59</v>
      </c>
      <c r="P320" s="1">
        <v>44</v>
      </c>
      <c r="Q320" s="3">
        <v>3390940.8</v>
      </c>
      <c r="R320" s="3">
        <v>2.0441146615120656E-7</v>
      </c>
      <c r="S320" s="3">
        <v>3525677.5931778233</v>
      </c>
      <c r="T320" s="3">
        <v>5592.9558680739974</v>
      </c>
    </row>
    <row r="321" spans="2:20" x14ac:dyDescent="0.2">
      <c r="B321">
        <v>45099</v>
      </c>
      <c r="C321" s="6">
        <v>2.5826000000000002E-9</v>
      </c>
      <c r="D321" s="1" t="s">
        <v>359</v>
      </c>
      <c r="E321" s="3">
        <v>1391040</v>
      </c>
      <c r="F321" s="7">
        <v>4.9829421192772694E-7</v>
      </c>
      <c r="G321" s="7">
        <v>11275417.87557948</v>
      </c>
      <c r="H321" s="7">
        <v>1.6886497370875471</v>
      </c>
      <c r="I321" s="3">
        <f t="shared" si="4"/>
        <v>13.050252170809584</v>
      </c>
      <c r="L321" s="1">
        <v>44105</v>
      </c>
      <c r="M321" s="3">
        <v>7.1475199999999994E-8</v>
      </c>
      <c r="N321" s="1" t="s">
        <v>345</v>
      </c>
      <c r="O321" s="1">
        <v>61</v>
      </c>
      <c r="P321" s="1">
        <v>44</v>
      </c>
      <c r="Q321" s="3">
        <v>15984</v>
      </c>
      <c r="R321" s="3">
        <v>4.3365063848845423E-5</v>
      </c>
      <c r="S321" s="3">
        <v>892010495.99999988</v>
      </c>
      <c r="T321" s="3">
        <v>0</v>
      </c>
    </row>
    <row r="322" spans="2:20" x14ac:dyDescent="0.2">
      <c r="B322">
        <v>45100</v>
      </c>
      <c r="C322" s="6">
        <v>5.5839999999999995E-10</v>
      </c>
      <c r="D322" s="1" t="s">
        <v>360</v>
      </c>
      <c r="E322" s="3">
        <v>74880</v>
      </c>
      <c r="F322" s="7">
        <v>9.2567732446573882E-6</v>
      </c>
      <c r="G322" s="7">
        <v>6966489.1905449731</v>
      </c>
      <c r="H322" s="7">
        <v>1.1563078819670181E-120</v>
      </c>
      <c r="I322" s="3">
        <f t="shared" si="4"/>
        <v>8.0630661927603846</v>
      </c>
      <c r="L322" s="1">
        <v>44106</v>
      </c>
      <c r="M322" s="3">
        <v>4.52793E-7</v>
      </c>
      <c r="N322" s="1" t="s">
        <v>346</v>
      </c>
      <c r="O322" s="1">
        <v>62</v>
      </c>
      <c r="P322" s="1">
        <v>44</v>
      </c>
      <c r="Q322" s="3">
        <v>32123520</v>
      </c>
      <c r="R322" s="3">
        <v>2.1577560010856383E-8</v>
      </c>
      <c r="S322" s="3">
        <v>104373050.30152202</v>
      </c>
      <c r="T322" s="3">
        <v>52852317.968964212</v>
      </c>
    </row>
    <row r="323" spans="2:20" x14ac:dyDescent="0.2">
      <c r="B323">
        <v>45101</v>
      </c>
      <c r="C323" s="6">
        <v>6.9799999999999994E-11</v>
      </c>
      <c r="D323" s="1" t="s">
        <v>361</v>
      </c>
      <c r="E323" s="3">
        <v>104140080</v>
      </c>
      <c r="F323" s="7">
        <v>6.6559117350394321E-9</v>
      </c>
      <c r="G323" s="7">
        <v>4995.0881025451408</v>
      </c>
      <c r="H323" s="7">
        <v>4049.3412663922472</v>
      </c>
      <c r="I323" s="3">
        <f t="shared" si="4"/>
        <v>5.7813519705383568E-3</v>
      </c>
      <c r="L323" s="1">
        <v>44107</v>
      </c>
      <c r="M323" s="3">
        <v>8.3411000000000005E-7</v>
      </c>
      <c r="N323" s="1" t="s">
        <v>347</v>
      </c>
      <c r="O323" s="1">
        <v>63</v>
      </c>
      <c r="P323" s="1">
        <v>44</v>
      </c>
      <c r="Q323" s="3">
        <v>225</v>
      </c>
      <c r="R323" s="3">
        <v>3.080654135821979E-3</v>
      </c>
      <c r="S323" s="3">
        <v>10409692800</v>
      </c>
      <c r="T323" s="3">
        <v>0</v>
      </c>
    </row>
    <row r="324" spans="2:20" x14ac:dyDescent="0.2">
      <c r="B324">
        <v>45104</v>
      </c>
      <c r="C324" s="6">
        <v>6.9799999999999994E-11</v>
      </c>
      <c r="D324" s="1" t="s">
        <v>362</v>
      </c>
      <c r="E324" s="3">
        <v>42.3</v>
      </c>
      <c r="F324" s="7">
        <v>1.6386458169265847E-2</v>
      </c>
      <c r="G324" s="7">
        <v>871103.99999999988</v>
      </c>
      <c r="H324" s="7">
        <v>0</v>
      </c>
      <c r="I324" s="3">
        <f t="shared" ref="I324:I387" si="5">G324/10/24/3600</f>
        <v>1.0082222222222221</v>
      </c>
      <c r="L324" s="1">
        <v>44108</v>
      </c>
      <c r="M324" s="3">
        <v>2.1219200000000001E-6</v>
      </c>
      <c r="N324" s="1" t="s">
        <v>348</v>
      </c>
      <c r="O324" s="1">
        <v>64</v>
      </c>
      <c r="P324" s="1">
        <v>44</v>
      </c>
      <c r="Q324" s="3">
        <v>273</v>
      </c>
      <c r="R324" s="3">
        <v>2.5390006613917409E-3</v>
      </c>
      <c r="S324" s="3">
        <v>26481561600</v>
      </c>
      <c r="T324" s="3">
        <v>0</v>
      </c>
    </row>
    <row r="325" spans="2:20" x14ac:dyDescent="0.2">
      <c r="B325">
        <v>45105</v>
      </c>
      <c r="C325" s="6">
        <v>6.2819999999999996E-10</v>
      </c>
      <c r="D325" s="1" t="s">
        <v>363</v>
      </c>
      <c r="E325" s="3">
        <v>127296</v>
      </c>
      <c r="F325" s="7">
        <v>5.4451607321514057E-6</v>
      </c>
      <c r="G325" s="7">
        <v>7768958.2052966896</v>
      </c>
      <c r="H325" s="7">
        <v>2.0602845590244225E-68</v>
      </c>
      <c r="I325" s="3">
        <f t="shared" si="5"/>
        <v>8.9918497746489461</v>
      </c>
      <c r="L325" s="1">
        <v>44109</v>
      </c>
      <c r="M325" s="3">
        <v>2.1755300000000002E-6</v>
      </c>
      <c r="N325" s="1" t="s">
        <v>349</v>
      </c>
      <c r="O325" s="1">
        <v>65</v>
      </c>
      <c r="P325" s="1">
        <v>44</v>
      </c>
      <c r="Q325" s="3">
        <v>34.5</v>
      </c>
      <c r="R325" s="3">
        <v>2.009122262492595E-2</v>
      </c>
      <c r="S325" s="3">
        <v>27150614400.000004</v>
      </c>
      <c r="T325" s="3">
        <v>0</v>
      </c>
    </row>
    <row r="326" spans="2:20" x14ac:dyDescent="0.2">
      <c r="B326">
        <v>45106</v>
      </c>
      <c r="C326" s="6">
        <v>2.0242000000000001E-9</v>
      </c>
      <c r="D326" s="1" t="s">
        <v>364</v>
      </c>
      <c r="E326" s="3">
        <v>30.07</v>
      </c>
      <c r="F326" s="7">
        <v>2.3051120071830571E-2</v>
      </c>
      <c r="G326" s="7">
        <v>25262016</v>
      </c>
      <c r="H326" s="7">
        <v>0</v>
      </c>
      <c r="I326" s="3">
        <f t="shared" si="5"/>
        <v>29.238444444444447</v>
      </c>
      <c r="L326" s="1">
        <v>44110</v>
      </c>
      <c r="M326" s="3">
        <v>3.2726400000000001E-6</v>
      </c>
      <c r="N326" s="1" t="s">
        <v>350</v>
      </c>
      <c r="O326" s="1">
        <v>66</v>
      </c>
      <c r="P326" s="1">
        <v>44</v>
      </c>
      <c r="Q326" s="3">
        <v>11.6</v>
      </c>
      <c r="R326" s="3">
        <v>5.9754067289650457E-2</v>
      </c>
      <c r="S326" s="3">
        <v>40842547200</v>
      </c>
      <c r="T326" s="3">
        <v>0</v>
      </c>
    </row>
    <row r="327" spans="2:20" x14ac:dyDescent="0.2">
      <c r="B327">
        <v>45107</v>
      </c>
      <c r="C327" s="6">
        <v>1.1307599999999999E-8</v>
      </c>
      <c r="D327" s="1" t="s">
        <v>365</v>
      </c>
      <c r="E327" s="3">
        <v>1302</v>
      </c>
      <c r="F327" s="7">
        <v>5.3237110642084893E-4</v>
      </c>
      <c r="G327" s="7">
        <v>141118848</v>
      </c>
      <c r="H327" s="7">
        <v>0</v>
      </c>
      <c r="I327" s="3">
        <f t="shared" si="5"/>
        <v>163.33200000000002</v>
      </c>
      <c r="L327" s="1">
        <v>44111</v>
      </c>
      <c r="M327" s="3">
        <v>1.89996E-6</v>
      </c>
      <c r="N327" s="1" t="s">
        <v>351</v>
      </c>
      <c r="O327" s="1">
        <v>67</v>
      </c>
      <c r="P327" s="1">
        <v>44</v>
      </c>
      <c r="Q327" s="3">
        <v>2.12</v>
      </c>
      <c r="R327" s="3">
        <v>0.3269562172452572</v>
      </c>
      <c r="S327" s="3">
        <v>23711500800</v>
      </c>
      <c r="T327" s="3">
        <v>0</v>
      </c>
    </row>
    <row r="328" spans="2:20" x14ac:dyDescent="0.2">
      <c r="B328">
        <v>45108</v>
      </c>
      <c r="C328" s="6">
        <v>3.5458400000000001E-8</v>
      </c>
      <c r="D328" s="1" t="s">
        <v>366</v>
      </c>
      <c r="E328" s="3">
        <v>16.8</v>
      </c>
      <c r="F328" s="7">
        <v>4.1258760747615787E-2</v>
      </c>
      <c r="G328" s="7">
        <v>442520832</v>
      </c>
      <c r="H328" s="7">
        <v>0</v>
      </c>
      <c r="I328" s="3">
        <f t="shared" si="5"/>
        <v>512.17688888888893</v>
      </c>
      <c r="L328" s="1">
        <v>44112</v>
      </c>
      <c r="M328" s="3">
        <v>2.14042E-6</v>
      </c>
      <c r="N328" s="1" t="s">
        <v>352</v>
      </c>
      <c r="O328" s="1">
        <v>68</v>
      </c>
      <c r="P328" s="1">
        <v>44</v>
      </c>
      <c r="Q328" s="3">
        <v>1.75</v>
      </c>
      <c r="R328" s="3">
        <v>0.39608410317711157</v>
      </c>
      <c r="S328" s="3">
        <v>26712441600</v>
      </c>
      <c r="T328" s="3">
        <v>0</v>
      </c>
    </row>
    <row r="329" spans="2:20" x14ac:dyDescent="0.2">
      <c r="B329">
        <v>45109</v>
      </c>
      <c r="C329" s="6">
        <v>1.1845100000000001E-7</v>
      </c>
      <c r="D329" s="1" t="s">
        <v>367</v>
      </c>
      <c r="E329" s="3">
        <v>80</v>
      </c>
      <c r="F329" s="7">
        <v>8.6643397569993157E-3</v>
      </c>
      <c r="G329" s="7">
        <v>1478268480</v>
      </c>
      <c r="H329" s="7">
        <v>0</v>
      </c>
      <c r="I329" s="3">
        <f t="shared" si="5"/>
        <v>1710.9588888888889</v>
      </c>
      <c r="L329" s="1">
        <v>44113</v>
      </c>
      <c r="M329" s="3">
        <v>9.75315E-7</v>
      </c>
      <c r="N329" s="1" t="s">
        <v>353</v>
      </c>
      <c r="O329" s="1">
        <v>69</v>
      </c>
      <c r="P329" s="1">
        <v>44</v>
      </c>
      <c r="Q329" s="3">
        <v>0.8</v>
      </c>
      <c r="R329" s="3">
        <v>0.86643397569993152</v>
      </c>
      <c r="S329" s="3">
        <v>12171931200</v>
      </c>
      <c r="T329" s="3">
        <v>0</v>
      </c>
    </row>
    <row r="330" spans="2:20" x14ac:dyDescent="0.2">
      <c r="B330">
        <v>45110</v>
      </c>
      <c r="C330" s="6">
        <v>2.3075900000000001E-7</v>
      </c>
      <c r="D330" s="1" t="s">
        <v>368</v>
      </c>
      <c r="E330" s="3">
        <v>28.5</v>
      </c>
      <c r="F330" s="7">
        <v>2.4320953703857728E-2</v>
      </c>
      <c r="G330" s="7">
        <v>2879872320</v>
      </c>
      <c r="H330" s="7">
        <v>0</v>
      </c>
      <c r="I330" s="3">
        <f t="shared" si="5"/>
        <v>3333.1855555555558</v>
      </c>
      <c r="L330" s="1">
        <v>45094</v>
      </c>
      <c r="M330" s="3">
        <v>8.05352E-7</v>
      </c>
      <c r="N330" s="1" t="s">
        <v>354</v>
      </c>
      <c r="O330" s="1">
        <v>49</v>
      </c>
      <c r="P330" s="1">
        <v>45</v>
      </c>
      <c r="Q330" s="3">
        <v>66</v>
      </c>
      <c r="R330" s="3">
        <v>1.050223000848402E-2</v>
      </c>
      <c r="S330" s="3">
        <v>10050792960</v>
      </c>
      <c r="T330" s="3">
        <v>0</v>
      </c>
    </row>
    <row r="331" spans="2:20" x14ac:dyDescent="0.2">
      <c r="B331">
        <v>45111</v>
      </c>
      <c r="C331" s="6">
        <v>5.2454700000000004E-7</v>
      </c>
      <c r="D331" s="1" t="s">
        <v>369</v>
      </c>
      <c r="E331" s="3">
        <v>11</v>
      </c>
      <c r="F331" s="7">
        <v>6.3013380050904122E-2</v>
      </c>
      <c r="G331" s="7">
        <v>6546346560.000001</v>
      </c>
      <c r="H331" s="7">
        <v>0</v>
      </c>
      <c r="I331" s="3">
        <f t="shared" si="5"/>
        <v>7576.7900000000009</v>
      </c>
      <c r="L331" s="1">
        <v>45095</v>
      </c>
      <c r="M331" s="3">
        <v>3.7461700000000003E-7</v>
      </c>
      <c r="N331" s="1" t="s">
        <v>355</v>
      </c>
      <c r="O331" s="1">
        <v>50</v>
      </c>
      <c r="P331" s="1">
        <v>45</v>
      </c>
      <c r="Q331" s="3">
        <v>301.2</v>
      </c>
      <c r="R331" s="3">
        <v>2.3012854600263787E-3</v>
      </c>
      <c r="S331" s="3">
        <v>4675220160</v>
      </c>
      <c r="T331" s="3">
        <v>0</v>
      </c>
    </row>
    <row r="332" spans="2:20" x14ac:dyDescent="0.2">
      <c r="B332">
        <v>45112</v>
      </c>
      <c r="C332" s="6">
        <v>7.0169899999999996E-7</v>
      </c>
      <c r="D332" s="1" t="s">
        <v>370</v>
      </c>
      <c r="E332" s="3">
        <v>3.6</v>
      </c>
      <c r="F332" s="7">
        <v>0.19254088348887369</v>
      </c>
      <c r="G332" s="7">
        <v>8757203520</v>
      </c>
      <c r="H332" s="7">
        <v>0</v>
      </c>
      <c r="I332" s="3">
        <f t="shared" si="5"/>
        <v>10135.652222222223</v>
      </c>
      <c r="L332" s="1">
        <v>45096</v>
      </c>
      <c r="M332" s="3">
        <v>1.0100100000000001E-7</v>
      </c>
      <c r="N332" s="1" t="s">
        <v>356</v>
      </c>
      <c r="O332" s="1">
        <v>51</v>
      </c>
      <c r="P332" s="1">
        <v>45</v>
      </c>
      <c r="Q332" s="3">
        <v>594</v>
      </c>
      <c r="R332" s="3">
        <v>1.1669144453871133E-3</v>
      </c>
      <c r="S332" s="3">
        <v>1260492480</v>
      </c>
      <c r="T332" s="3">
        <v>0</v>
      </c>
    </row>
    <row r="333" spans="2:20" x14ac:dyDescent="0.2">
      <c r="B333">
        <v>45113</v>
      </c>
      <c r="C333" s="6">
        <v>1.12546E-6</v>
      </c>
      <c r="D333" s="1" t="s">
        <v>371</v>
      </c>
      <c r="E333" s="3">
        <v>2.8</v>
      </c>
      <c r="F333" s="7">
        <v>0.24755256448569476</v>
      </c>
      <c r="G333" s="7">
        <v>14045740800</v>
      </c>
      <c r="H333" s="7">
        <v>0</v>
      </c>
      <c r="I333" s="3">
        <f t="shared" si="5"/>
        <v>16256.644444444444</v>
      </c>
      <c r="L333" s="1">
        <v>45097</v>
      </c>
      <c r="M333" s="3">
        <v>2.25454E-8</v>
      </c>
      <c r="N333" s="1" t="s">
        <v>357</v>
      </c>
      <c r="O333" s="1">
        <v>52</v>
      </c>
      <c r="P333" s="1">
        <v>45</v>
      </c>
      <c r="Q333" s="3">
        <v>1842</v>
      </c>
      <c r="R333" s="3">
        <v>3.7630140095545346E-4</v>
      </c>
      <c r="S333" s="3">
        <v>281366592</v>
      </c>
      <c r="T333" s="3">
        <v>0</v>
      </c>
    </row>
    <row r="334" spans="2:20" x14ac:dyDescent="0.2">
      <c r="B334">
        <v>45114</v>
      </c>
      <c r="C334" s="6">
        <v>9.5535299999999997E-7</v>
      </c>
      <c r="D334" s="1" t="s">
        <v>372</v>
      </c>
      <c r="E334" s="3">
        <v>1.85</v>
      </c>
      <c r="F334" s="7">
        <v>0.37467415165402446</v>
      </c>
      <c r="G334" s="7">
        <v>11922805440</v>
      </c>
      <c r="H334" s="7">
        <v>0</v>
      </c>
      <c r="I334" s="3">
        <f t="shared" si="5"/>
        <v>13799.543333333333</v>
      </c>
      <c r="L334" s="1">
        <v>45098</v>
      </c>
      <c r="M334" s="3">
        <v>1.1307599999999999E-8</v>
      </c>
      <c r="N334" s="1" t="s">
        <v>358</v>
      </c>
      <c r="O334" s="1">
        <v>53</v>
      </c>
      <c r="P334" s="1">
        <v>45</v>
      </c>
      <c r="Q334" s="3">
        <v>523.20000000000005</v>
      </c>
      <c r="R334" s="3">
        <v>1.3248225928133509E-3</v>
      </c>
      <c r="S334" s="3">
        <v>141118848</v>
      </c>
      <c r="T334" s="3">
        <v>0</v>
      </c>
    </row>
    <row r="335" spans="2:20" x14ac:dyDescent="0.2">
      <c r="B335">
        <v>46096</v>
      </c>
      <c r="C335" s="6">
        <v>1.01678E-6</v>
      </c>
      <c r="D335" s="1" t="s">
        <v>373</v>
      </c>
      <c r="E335" s="3">
        <v>122</v>
      </c>
      <c r="F335" s="7">
        <v>5.6815342668847975E-3</v>
      </c>
      <c r="G335" s="7">
        <v>12689414400</v>
      </c>
      <c r="H335" s="7">
        <v>0</v>
      </c>
      <c r="I335" s="3">
        <f t="shared" si="5"/>
        <v>14686.822222222223</v>
      </c>
      <c r="L335" s="1">
        <v>45099</v>
      </c>
      <c r="M335" s="3">
        <v>2.1637999999999999E-9</v>
      </c>
      <c r="N335" s="1" t="s">
        <v>359</v>
      </c>
      <c r="O335" s="1">
        <v>54</v>
      </c>
      <c r="P335" s="1">
        <v>45</v>
      </c>
      <c r="Q335" s="3">
        <v>1391040</v>
      </c>
      <c r="R335" s="3">
        <v>4.9829421192772694E-7</v>
      </c>
      <c r="S335" s="3">
        <v>9446971.7335936185</v>
      </c>
      <c r="T335" s="3">
        <v>1.4148146445868639</v>
      </c>
    </row>
    <row r="336" spans="2:20" x14ac:dyDescent="0.2">
      <c r="B336">
        <v>46097</v>
      </c>
      <c r="C336" s="6">
        <v>6.3483099999999995E-7</v>
      </c>
      <c r="D336" s="1" t="s">
        <v>374</v>
      </c>
      <c r="E336" s="3">
        <v>186</v>
      </c>
      <c r="F336" s="7">
        <v>3.7265977449459425E-3</v>
      </c>
      <c r="G336" s="7">
        <v>7922690879.999999</v>
      </c>
      <c r="H336" s="7">
        <v>0</v>
      </c>
      <c r="I336" s="3">
        <f t="shared" si="5"/>
        <v>9169.7811111111096</v>
      </c>
      <c r="L336" s="1">
        <v>45100</v>
      </c>
      <c r="M336" s="3">
        <v>1.4658E-9</v>
      </c>
      <c r="N336" s="1" t="s">
        <v>360</v>
      </c>
      <c r="O336" s="1">
        <v>55</v>
      </c>
      <c r="P336" s="1">
        <v>45</v>
      </c>
      <c r="Q336" s="3">
        <v>74880</v>
      </c>
      <c r="R336" s="3">
        <v>9.2567732446573882E-6</v>
      </c>
      <c r="S336" s="3">
        <v>18287034.125180557</v>
      </c>
      <c r="T336" s="3">
        <v>3.035308190163423E-120</v>
      </c>
    </row>
    <row r="337" spans="2:20" x14ac:dyDescent="0.2">
      <c r="B337">
        <v>46098</v>
      </c>
      <c r="C337" s="6">
        <v>4.7254599999999998E-7</v>
      </c>
      <c r="D337" s="1" t="s">
        <v>375</v>
      </c>
      <c r="E337" s="3">
        <v>1062</v>
      </c>
      <c r="F337" s="7">
        <v>6.5268096097923281E-4</v>
      </c>
      <c r="G337" s="7">
        <v>5897374080</v>
      </c>
      <c r="H337" s="7">
        <v>0</v>
      </c>
      <c r="I337" s="3">
        <f t="shared" si="5"/>
        <v>6825.6644444444446</v>
      </c>
      <c r="L337" s="1">
        <v>45101</v>
      </c>
      <c r="M337" s="3">
        <v>4.1879999999999999E-10</v>
      </c>
      <c r="N337" s="1" t="s">
        <v>361</v>
      </c>
      <c r="O337" s="1">
        <v>56</v>
      </c>
      <c r="P337" s="1">
        <v>45</v>
      </c>
      <c r="Q337" s="3">
        <v>104140080</v>
      </c>
      <c r="R337" s="3">
        <v>6.6559117350394321E-9</v>
      </c>
      <c r="S337" s="3">
        <v>29970.528615270847</v>
      </c>
      <c r="T337" s="3">
        <v>24296.047598353485</v>
      </c>
    </row>
    <row r="338" spans="2:20" x14ac:dyDescent="0.2">
      <c r="B338">
        <v>46099</v>
      </c>
      <c r="C338" s="6">
        <v>2.3006100000000001E-7</v>
      </c>
      <c r="D338" s="1" t="s">
        <v>376</v>
      </c>
      <c r="E338" s="3">
        <v>1284</v>
      </c>
      <c r="F338" s="7">
        <v>5.3983425277254302E-4</v>
      </c>
      <c r="G338" s="7">
        <v>2871161280</v>
      </c>
      <c r="H338" s="7">
        <v>0</v>
      </c>
      <c r="I338" s="3">
        <f t="shared" si="5"/>
        <v>3323.1033333333335</v>
      </c>
      <c r="L338" s="1">
        <v>45105</v>
      </c>
      <c r="M338" s="3">
        <v>2.094E-10</v>
      </c>
      <c r="N338" s="1" t="s">
        <v>363</v>
      </c>
      <c r="O338" s="1">
        <v>60</v>
      </c>
      <c r="P338" s="1">
        <v>45</v>
      </c>
      <c r="Q338" s="3">
        <v>127296</v>
      </c>
      <c r="R338" s="3">
        <v>5.4451607321514057E-6</v>
      </c>
      <c r="S338" s="3">
        <v>2589652.735098897</v>
      </c>
      <c r="T338" s="3">
        <v>6.8676151967480764E-69</v>
      </c>
    </row>
    <row r="339" spans="2:20" x14ac:dyDescent="0.2">
      <c r="B339">
        <v>46100</v>
      </c>
      <c r="C339" s="6">
        <v>1.0449100000000001E-7</v>
      </c>
      <c r="D339" s="1" t="s">
        <v>377</v>
      </c>
      <c r="E339" s="3">
        <v>313632</v>
      </c>
      <c r="F339" s="7">
        <v>2.2100652374755931E-6</v>
      </c>
      <c r="G339" s="7">
        <v>1110846517.0719934</v>
      </c>
      <c r="H339" s="7">
        <v>5.9813297319699164E-22</v>
      </c>
      <c r="I339" s="3">
        <f t="shared" si="5"/>
        <v>1285.7019873518443</v>
      </c>
      <c r="L339" s="1">
        <v>45106</v>
      </c>
      <c r="M339" s="3">
        <v>1.3959999999999999E-9</v>
      </c>
      <c r="N339" s="1" t="s">
        <v>364</v>
      </c>
      <c r="O339" s="1">
        <v>61</v>
      </c>
      <c r="P339" s="1">
        <v>45</v>
      </c>
      <c r="Q339" s="3">
        <v>30.07</v>
      </c>
      <c r="R339" s="3">
        <v>2.3051120071830571E-2</v>
      </c>
      <c r="S339" s="3">
        <v>17422080</v>
      </c>
      <c r="T339" s="3">
        <v>0</v>
      </c>
    </row>
    <row r="340" spans="2:20" x14ac:dyDescent="0.2">
      <c r="B340">
        <v>46101</v>
      </c>
      <c r="C340" s="6">
        <v>3.1898599999999998E-8</v>
      </c>
      <c r="D340" s="1" t="s">
        <v>378</v>
      </c>
      <c r="E340" s="3">
        <v>30492</v>
      </c>
      <c r="F340" s="7">
        <v>2.2732099585463247E-5</v>
      </c>
      <c r="G340" s="7">
        <v>398094526.82453245</v>
      </c>
      <c r="H340" s="7">
        <v>1.8330673104675574E-303</v>
      </c>
      <c r="I340" s="3">
        <f t="shared" si="5"/>
        <v>460.75755419506072</v>
      </c>
      <c r="L340" s="1">
        <v>45107</v>
      </c>
      <c r="M340" s="3">
        <v>1.5705000000000001E-8</v>
      </c>
      <c r="N340" s="1" t="s">
        <v>365</v>
      </c>
      <c r="O340" s="1">
        <v>62</v>
      </c>
      <c r="P340" s="1">
        <v>45</v>
      </c>
      <c r="Q340" s="3">
        <v>1302</v>
      </c>
      <c r="R340" s="3">
        <v>5.3237110642084893E-4</v>
      </c>
      <c r="S340" s="3">
        <v>195998400</v>
      </c>
      <c r="T340" s="3">
        <v>0</v>
      </c>
    </row>
    <row r="341" spans="2:20" x14ac:dyDescent="0.2">
      <c r="B341">
        <v>46103</v>
      </c>
      <c r="C341" s="6">
        <v>2.094E-9</v>
      </c>
      <c r="D341" s="1" t="s">
        <v>379</v>
      </c>
      <c r="E341" s="3">
        <v>1468022.4</v>
      </c>
      <c r="F341" s="7">
        <v>4.7216389924291711E-7</v>
      </c>
      <c r="G341" s="7">
        <v>8754271.4458350055</v>
      </c>
      <c r="H341" s="7">
        <v>2.9888586075986727</v>
      </c>
      <c r="I341" s="3">
        <f t="shared" si="5"/>
        <v>10.13225861786459</v>
      </c>
      <c r="L341" s="1">
        <v>45108</v>
      </c>
      <c r="M341" s="3">
        <v>5.73058E-8</v>
      </c>
      <c r="N341" s="1" t="s">
        <v>366</v>
      </c>
      <c r="O341" s="1">
        <v>63</v>
      </c>
      <c r="P341" s="1">
        <v>45</v>
      </c>
      <c r="Q341" s="3">
        <v>16.8</v>
      </c>
      <c r="R341" s="3">
        <v>4.1258760747615787E-2</v>
      </c>
      <c r="S341" s="3">
        <v>715176384</v>
      </c>
      <c r="T341" s="3">
        <v>0</v>
      </c>
    </row>
    <row r="342" spans="2:20" x14ac:dyDescent="0.2">
      <c r="B342">
        <v>46107</v>
      </c>
      <c r="C342" s="6">
        <v>6.9799999999999994E-11</v>
      </c>
      <c r="D342" s="1" t="s">
        <v>380</v>
      </c>
      <c r="E342" s="3">
        <v>205124400000000</v>
      </c>
      <c r="F342" s="7">
        <v>3.3791551885584809E-15</v>
      </c>
      <c r="G342" s="7">
        <v>2.5432666364366692E-3</v>
      </c>
      <c r="H342" s="7">
        <v>2.5432663654133777E-3</v>
      </c>
      <c r="I342" s="3">
        <f t="shared" si="5"/>
        <v>2.9435956440239227E-9</v>
      </c>
      <c r="L342" s="1">
        <v>45109</v>
      </c>
      <c r="M342" s="3">
        <v>2.6607800000000001E-7</v>
      </c>
      <c r="N342" s="1" t="s">
        <v>367</v>
      </c>
      <c r="O342" s="1">
        <v>64</v>
      </c>
      <c r="P342" s="1">
        <v>45</v>
      </c>
      <c r="Q342" s="3">
        <v>80</v>
      </c>
      <c r="R342" s="3">
        <v>8.6643397569993157E-3</v>
      </c>
      <c r="S342" s="3">
        <v>3320653440</v>
      </c>
      <c r="T342" s="3">
        <v>0</v>
      </c>
    </row>
    <row r="343" spans="2:20" x14ac:dyDescent="0.2">
      <c r="B343">
        <v>46109</v>
      </c>
      <c r="C343" s="6">
        <v>2.094E-9</v>
      </c>
      <c r="D343" s="1" t="s">
        <v>381</v>
      </c>
      <c r="E343" s="3">
        <v>49324.32</v>
      </c>
      <c r="F343" s="7">
        <v>1.4052848180369142E-5</v>
      </c>
      <c r="G343" s="7">
        <v>26132980.641018379</v>
      </c>
      <c r="H343" s="7">
        <v>8.9255306408282401E-186</v>
      </c>
      <c r="I343" s="3">
        <f t="shared" si="5"/>
        <v>30.246505371549052</v>
      </c>
      <c r="L343" s="1">
        <v>45110</v>
      </c>
      <c r="M343" s="3">
        <v>5.1610100000000005E-7</v>
      </c>
      <c r="N343" s="1" t="s">
        <v>368</v>
      </c>
      <c r="O343" s="1">
        <v>65</v>
      </c>
      <c r="P343" s="1">
        <v>45</v>
      </c>
      <c r="Q343" s="3">
        <v>28.5</v>
      </c>
      <c r="R343" s="3">
        <v>2.4320953703857728E-2</v>
      </c>
      <c r="S343" s="3">
        <v>6440940480.000001</v>
      </c>
      <c r="T343" s="3">
        <v>0</v>
      </c>
    </row>
    <row r="344" spans="2:20" x14ac:dyDescent="0.2">
      <c r="B344">
        <v>46111</v>
      </c>
      <c r="C344" s="6">
        <v>4.62774E-8</v>
      </c>
      <c r="D344" s="1" t="s">
        <v>382</v>
      </c>
      <c r="E344" s="3">
        <v>1404</v>
      </c>
      <c r="F344" s="7">
        <v>4.9369457304839404E-4</v>
      </c>
      <c r="G344" s="7">
        <v>577541952</v>
      </c>
      <c r="H344" s="7">
        <v>0</v>
      </c>
      <c r="I344" s="3">
        <f t="shared" si="5"/>
        <v>668.45133333333342</v>
      </c>
      <c r="L344" s="1">
        <v>45111</v>
      </c>
      <c r="M344" s="3">
        <v>1.0692000000000001E-6</v>
      </c>
      <c r="N344" s="1" t="s">
        <v>369</v>
      </c>
      <c r="O344" s="1">
        <v>66</v>
      </c>
      <c r="P344" s="1">
        <v>45</v>
      </c>
      <c r="Q344" s="3">
        <v>11</v>
      </c>
      <c r="R344" s="3">
        <v>6.3013380050904122E-2</v>
      </c>
      <c r="S344" s="3">
        <v>13343616000</v>
      </c>
      <c r="T344" s="3">
        <v>0</v>
      </c>
    </row>
    <row r="345" spans="2:20" x14ac:dyDescent="0.2">
      <c r="B345">
        <v>46112</v>
      </c>
      <c r="C345" s="6">
        <v>1.7121899999999999E-7</v>
      </c>
      <c r="D345" s="1" t="s">
        <v>383</v>
      </c>
      <c r="E345" s="3">
        <v>75744</v>
      </c>
      <c r="F345" s="7">
        <v>9.151182675326696E-6</v>
      </c>
      <c r="G345" s="7">
        <v>2136026138.8870792</v>
      </c>
      <c r="H345" s="7">
        <v>9.9043299130294282E-117</v>
      </c>
      <c r="I345" s="3">
        <f t="shared" si="5"/>
        <v>2472.2524755637492</v>
      </c>
      <c r="L345" s="1">
        <v>45112</v>
      </c>
      <c r="M345" s="3">
        <v>1.32885E-6</v>
      </c>
      <c r="N345" s="1" t="s">
        <v>370</v>
      </c>
      <c r="O345" s="1">
        <v>67</v>
      </c>
      <c r="P345" s="1">
        <v>45</v>
      </c>
      <c r="Q345" s="3">
        <v>3.6</v>
      </c>
      <c r="R345" s="3">
        <v>0.19254088348887369</v>
      </c>
      <c r="S345" s="3">
        <v>16584048000</v>
      </c>
      <c r="T345" s="3">
        <v>0</v>
      </c>
    </row>
    <row r="346" spans="2:20" x14ac:dyDescent="0.2">
      <c r="B346">
        <v>46113</v>
      </c>
      <c r="C346" s="6">
        <v>3.0083799999999998E-7</v>
      </c>
      <c r="D346" s="1" t="s">
        <v>384</v>
      </c>
      <c r="E346" s="3">
        <v>93</v>
      </c>
      <c r="F346" s="7">
        <v>7.453195489891885E-3</v>
      </c>
      <c r="G346" s="7">
        <v>3754458240</v>
      </c>
      <c r="H346" s="7">
        <v>0</v>
      </c>
      <c r="I346" s="3">
        <f t="shared" si="5"/>
        <v>4345.4377777777781</v>
      </c>
      <c r="L346" s="1">
        <v>45113</v>
      </c>
      <c r="M346" s="3">
        <v>1.9180999999999999E-6</v>
      </c>
      <c r="N346" s="1" t="s">
        <v>371</v>
      </c>
      <c r="O346" s="1">
        <v>68</v>
      </c>
      <c r="P346" s="1">
        <v>45</v>
      </c>
      <c r="Q346" s="3">
        <v>2.8</v>
      </c>
      <c r="R346" s="3">
        <v>0.24755256448569476</v>
      </c>
      <c r="S346" s="3">
        <v>23937888000</v>
      </c>
      <c r="T346" s="3">
        <v>0</v>
      </c>
    </row>
    <row r="347" spans="2:20" x14ac:dyDescent="0.2">
      <c r="B347">
        <v>46114</v>
      </c>
      <c r="C347" s="6">
        <v>6.9681299999999998E-7</v>
      </c>
      <c r="D347" s="1" t="s">
        <v>385</v>
      </c>
      <c r="E347" s="3">
        <v>145.19999999999999</v>
      </c>
      <c r="F347" s="7">
        <v>4.7737409129472823E-3</v>
      </c>
      <c r="G347" s="7">
        <v>8696226240</v>
      </c>
      <c r="H347" s="7">
        <v>0</v>
      </c>
      <c r="I347" s="3">
        <f t="shared" si="5"/>
        <v>10065.076666666666</v>
      </c>
      <c r="L347" s="1">
        <v>45114</v>
      </c>
      <c r="M347" s="3">
        <v>1.32948E-6</v>
      </c>
      <c r="N347" s="1" t="s">
        <v>372</v>
      </c>
      <c r="O347" s="1">
        <v>69</v>
      </c>
      <c r="P347" s="1">
        <v>45</v>
      </c>
      <c r="Q347" s="3">
        <v>1.85</v>
      </c>
      <c r="R347" s="3">
        <v>0.37467415165402446</v>
      </c>
      <c r="S347" s="3">
        <v>16591910400</v>
      </c>
      <c r="T347" s="3">
        <v>0</v>
      </c>
    </row>
    <row r="348" spans="2:20" x14ac:dyDescent="0.2">
      <c r="B348">
        <v>46115</v>
      </c>
      <c r="C348" s="6">
        <v>8.6586900000000004E-7</v>
      </c>
      <c r="D348" s="1" t="s">
        <v>386</v>
      </c>
      <c r="E348" s="3">
        <v>25</v>
      </c>
      <c r="F348" s="7">
        <v>2.7725887222397813E-2</v>
      </c>
      <c r="G348" s="7">
        <v>10806045120</v>
      </c>
      <c r="H348" s="7">
        <v>0</v>
      </c>
      <c r="I348" s="3">
        <f t="shared" si="5"/>
        <v>12506.996666666666</v>
      </c>
      <c r="L348" s="1">
        <v>46096</v>
      </c>
      <c r="M348" s="3">
        <v>1.2134000000000001E-6</v>
      </c>
      <c r="N348" s="1" t="s">
        <v>373</v>
      </c>
      <c r="O348" s="1">
        <v>50</v>
      </c>
      <c r="P348" s="1">
        <v>46</v>
      </c>
      <c r="Q348" s="3">
        <v>122</v>
      </c>
      <c r="R348" s="3">
        <v>5.6815342668847975E-3</v>
      </c>
      <c r="S348" s="3">
        <v>15143232000.000002</v>
      </c>
      <c r="T348" s="3">
        <v>0</v>
      </c>
    </row>
    <row r="349" spans="2:20" x14ac:dyDescent="0.2">
      <c r="B349">
        <v>46116</v>
      </c>
      <c r="C349" s="6">
        <v>1.26596E-6</v>
      </c>
      <c r="D349" s="1" t="s">
        <v>387</v>
      </c>
      <c r="E349" s="3">
        <v>11.8</v>
      </c>
      <c r="F349" s="7">
        <v>5.8741286488130956E-2</v>
      </c>
      <c r="G349" s="7">
        <v>15799180800</v>
      </c>
      <c r="H349" s="7">
        <v>0</v>
      </c>
      <c r="I349" s="3">
        <f t="shared" si="5"/>
        <v>18286.088888888888</v>
      </c>
      <c r="L349" s="1">
        <v>46097</v>
      </c>
      <c r="M349" s="3">
        <v>6.0237399999999996E-7</v>
      </c>
      <c r="N349" s="1" t="s">
        <v>374</v>
      </c>
      <c r="O349" s="1">
        <v>51</v>
      </c>
      <c r="P349" s="1">
        <v>46</v>
      </c>
      <c r="Q349" s="3">
        <v>186</v>
      </c>
      <c r="R349" s="3">
        <v>3.7265977449459425E-3</v>
      </c>
      <c r="S349" s="3">
        <v>7517627520</v>
      </c>
      <c r="T349" s="3">
        <v>0</v>
      </c>
    </row>
    <row r="350" spans="2:20" x14ac:dyDescent="0.2">
      <c r="B350">
        <v>46117</v>
      </c>
      <c r="C350" s="6">
        <v>1.0788299999999999E-6</v>
      </c>
      <c r="D350" s="1" t="s">
        <v>388</v>
      </c>
      <c r="E350" s="3">
        <v>4.3</v>
      </c>
      <c r="F350" s="7">
        <v>0.16119701873487099</v>
      </c>
      <c r="G350" s="7">
        <v>13463798400</v>
      </c>
      <c r="H350" s="7">
        <v>0</v>
      </c>
      <c r="I350" s="3">
        <f t="shared" si="5"/>
        <v>15583.1</v>
      </c>
      <c r="L350" s="1">
        <v>46098</v>
      </c>
      <c r="M350" s="3">
        <v>4.8413300000000001E-7</v>
      </c>
      <c r="N350" s="1" t="s">
        <v>375</v>
      </c>
      <c r="O350" s="1">
        <v>52</v>
      </c>
      <c r="P350" s="1">
        <v>46</v>
      </c>
      <c r="Q350" s="3">
        <v>1062</v>
      </c>
      <c r="R350" s="3">
        <v>6.5268096097923281E-4</v>
      </c>
      <c r="S350" s="3">
        <v>6041979840</v>
      </c>
      <c r="T350" s="3">
        <v>0</v>
      </c>
    </row>
    <row r="351" spans="2:20" x14ac:dyDescent="0.2">
      <c r="B351">
        <v>46118</v>
      </c>
      <c r="C351" s="6">
        <v>1.07506E-6</v>
      </c>
      <c r="D351" s="1" t="s">
        <v>389</v>
      </c>
      <c r="E351" s="3">
        <v>1.9</v>
      </c>
      <c r="F351" s="7">
        <v>0.36481430555786598</v>
      </c>
      <c r="G351" s="7">
        <v>13416748800</v>
      </c>
      <c r="H351" s="7">
        <v>0</v>
      </c>
      <c r="I351" s="3">
        <f t="shared" si="5"/>
        <v>15528.644444444444</v>
      </c>
      <c r="L351" s="1">
        <v>46099</v>
      </c>
      <c r="M351" s="3">
        <v>2.46324E-7</v>
      </c>
      <c r="N351" s="1" t="s">
        <v>376</v>
      </c>
      <c r="O351" s="1">
        <v>53</v>
      </c>
      <c r="P351" s="1">
        <v>46</v>
      </c>
      <c r="Q351" s="3">
        <v>1284</v>
      </c>
      <c r="R351" s="3">
        <v>5.3983425277254302E-4</v>
      </c>
      <c r="S351" s="3">
        <v>3074123520</v>
      </c>
      <c r="T351" s="3">
        <v>0</v>
      </c>
    </row>
    <row r="352" spans="2:20" x14ac:dyDescent="0.2">
      <c r="B352">
        <v>47096</v>
      </c>
      <c r="C352" s="6">
        <v>6.9409100000000002E-7</v>
      </c>
      <c r="D352" s="1" t="s">
        <v>390</v>
      </c>
      <c r="E352" s="3">
        <v>4.4000000000000004</v>
      </c>
      <c r="F352" s="7">
        <v>0.15753345012726028</v>
      </c>
      <c r="G352" s="7">
        <v>8662255680</v>
      </c>
      <c r="H352" s="7">
        <v>0</v>
      </c>
      <c r="I352" s="3">
        <f t="shared" si="5"/>
        <v>10025.758888888889</v>
      </c>
      <c r="L352" s="1">
        <v>46100</v>
      </c>
      <c r="M352" s="3">
        <v>9.0391000000000005E-8</v>
      </c>
      <c r="N352" s="1" t="s">
        <v>377</v>
      </c>
      <c r="O352" s="1">
        <v>54</v>
      </c>
      <c r="P352" s="1">
        <v>46</v>
      </c>
      <c r="Q352" s="3">
        <v>313632</v>
      </c>
      <c r="R352" s="3">
        <v>2.2100652374755931E-6</v>
      </c>
      <c r="S352" s="3">
        <v>960949053.26443958</v>
      </c>
      <c r="T352" s="3">
        <v>5.1742099874868912E-22</v>
      </c>
    </row>
    <row r="353" spans="2:20" x14ac:dyDescent="0.2">
      <c r="B353">
        <v>47097</v>
      </c>
      <c r="C353" s="6">
        <v>4.5321099999999999E-7</v>
      </c>
      <c r="D353" s="1" t="s">
        <v>391</v>
      </c>
      <c r="E353" s="3">
        <v>25.5</v>
      </c>
      <c r="F353" s="7">
        <v>2.7182242374899815E-2</v>
      </c>
      <c r="G353" s="7">
        <v>5656073280</v>
      </c>
      <c r="H353" s="7">
        <v>0</v>
      </c>
      <c r="I353" s="3">
        <f t="shared" si="5"/>
        <v>6546.3811111111108</v>
      </c>
      <c r="L353" s="1">
        <v>46101</v>
      </c>
      <c r="M353" s="3">
        <v>2.4569599999999999E-8</v>
      </c>
      <c r="N353" s="1" t="s">
        <v>378</v>
      </c>
      <c r="O353" s="1">
        <v>55</v>
      </c>
      <c r="P353" s="1">
        <v>46</v>
      </c>
      <c r="Q353" s="3">
        <v>30492</v>
      </c>
      <c r="R353" s="3">
        <v>2.2732099585463247E-5</v>
      </c>
      <c r="S353" s="3">
        <v>306628607.09460706</v>
      </c>
      <c r="T353" s="3">
        <v>1.4119030487627577E-303</v>
      </c>
    </row>
    <row r="354" spans="2:20" x14ac:dyDescent="0.2">
      <c r="B354">
        <v>47098</v>
      </c>
      <c r="C354" s="6">
        <v>1.9509100000000001E-7</v>
      </c>
      <c r="D354" s="1" t="s">
        <v>392</v>
      </c>
      <c r="E354" s="3">
        <v>47.5</v>
      </c>
      <c r="F354" s="7">
        <v>1.4592572222314637E-2</v>
      </c>
      <c r="G354" s="7">
        <v>2434735680</v>
      </c>
      <c r="H354" s="7">
        <v>0</v>
      </c>
      <c r="I354" s="3">
        <f t="shared" si="5"/>
        <v>2817.9811111111112</v>
      </c>
      <c r="L354" s="1">
        <v>46103</v>
      </c>
      <c r="M354" s="3">
        <v>3.0014E-9</v>
      </c>
      <c r="N354" s="1" t="s">
        <v>379</v>
      </c>
      <c r="O354" s="1">
        <v>57</v>
      </c>
      <c r="P354" s="1">
        <v>46</v>
      </c>
      <c r="Q354" s="3">
        <v>1468022.4</v>
      </c>
      <c r="R354" s="3">
        <v>4.7216389924291711E-7</v>
      </c>
      <c r="S354" s="3">
        <v>12547789.072363509</v>
      </c>
      <c r="T354" s="3">
        <v>4.2840306708914309</v>
      </c>
    </row>
    <row r="355" spans="2:20" x14ac:dyDescent="0.2">
      <c r="B355">
        <v>47099</v>
      </c>
      <c r="C355" s="6">
        <v>7.4057800000000003E-8</v>
      </c>
      <c r="D355" s="1" t="s">
        <v>393</v>
      </c>
      <c r="E355" s="3">
        <v>124</v>
      </c>
      <c r="F355" s="7">
        <v>5.5898966174189133E-3</v>
      </c>
      <c r="G355" s="7">
        <v>924241344</v>
      </c>
      <c r="H355" s="7">
        <v>0</v>
      </c>
      <c r="I355" s="3">
        <f t="shared" si="5"/>
        <v>1069.7237777777777</v>
      </c>
      <c r="L355" s="1">
        <v>46107</v>
      </c>
      <c r="M355" s="3">
        <v>6.9799999999999994E-11</v>
      </c>
      <c r="N355" s="1" t="s">
        <v>380</v>
      </c>
      <c r="O355" s="1">
        <v>61</v>
      </c>
      <c r="P355" s="1">
        <v>46</v>
      </c>
      <c r="Q355" s="3">
        <v>205124400000000</v>
      </c>
      <c r="R355" s="3">
        <v>3.3791551885584809E-15</v>
      </c>
      <c r="S355" s="3">
        <v>2.5432666364366692E-3</v>
      </c>
      <c r="T355" s="3">
        <v>2.5432663654133777E-3</v>
      </c>
    </row>
    <row r="356" spans="2:20" x14ac:dyDescent="0.2">
      <c r="B356">
        <v>47100</v>
      </c>
      <c r="C356" s="6">
        <v>2.0940000000000001E-8</v>
      </c>
      <c r="D356" s="1" t="s">
        <v>394</v>
      </c>
      <c r="E356" s="3">
        <v>120.6</v>
      </c>
      <c r="F356" s="7">
        <v>5.7474890593693642E-3</v>
      </c>
      <c r="G356" s="7">
        <v>261331200</v>
      </c>
      <c r="H356" s="7">
        <v>0</v>
      </c>
      <c r="I356" s="3">
        <f t="shared" si="5"/>
        <v>302.46666666666664</v>
      </c>
      <c r="L356" s="1">
        <v>46109</v>
      </c>
      <c r="M356" s="3">
        <v>3.6296E-9</v>
      </c>
      <c r="N356" s="1" t="s">
        <v>381</v>
      </c>
      <c r="O356" s="1">
        <v>63</v>
      </c>
      <c r="P356" s="1">
        <v>46</v>
      </c>
      <c r="Q356" s="3">
        <v>49324.32</v>
      </c>
      <c r="R356" s="3">
        <v>1.4052848180369142E-5</v>
      </c>
      <c r="S356" s="3">
        <v>45297166.444431856</v>
      </c>
      <c r="T356" s="3">
        <v>1.5470919777435614E-185</v>
      </c>
    </row>
    <row r="357" spans="2:20" x14ac:dyDescent="0.2">
      <c r="B357">
        <v>47101</v>
      </c>
      <c r="C357" s="6">
        <v>5.7934000000000003E-9</v>
      </c>
      <c r="D357" s="1" t="s">
        <v>395</v>
      </c>
      <c r="E357" s="3">
        <v>666</v>
      </c>
      <c r="F357" s="7">
        <v>1.0407615323722902E-3</v>
      </c>
      <c r="G357" s="7">
        <v>72301632</v>
      </c>
      <c r="H357" s="7">
        <v>0</v>
      </c>
      <c r="I357" s="3">
        <f t="shared" si="5"/>
        <v>83.682444444444442</v>
      </c>
      <c r="L357" s="1">
        <v>46111</v>
      </c>
      <c r="M357" s="3">
        <v>7.5314200000000006E-8</v>
      </c>
      <c r="N357" s="1" t="s">
        <v>382</v>
      </c>
      <c r="O357" s="1">
        <v>65</v>
      </c>
      <c r="P357" s="1">
        <v>46</v>
      </c>
      <c r="Q357" s="3">
        <v>1404</v>
      </c>
      <c r="R357" s="3">
        <v>4.9369457304839404E-4</v>
      </c>
      <c r="S357" s="3">
        <v>939921216.00000012</v>
      </c>
      <c r="T357" s="3">
        <v>0</v>
      </c>
    </row>
    <row r="358" spans="2:20" x14ac:dyDescent="0.2">
      <c r="B358">
        <v>47102</v>
      </c>
      <c r="C358" s="6">
        <v>1.1866E-9</v>
      </c>
      <c r="D358" s="1" t="s">
        <v>396</v>
      </c>
      <c r="E358" s="3">
        <v>774</v>
      </c>
      <c r="F358" s="7">
        <v>8.9553899297150556E-4</v>
      </c>
      <c r="G358" s="7">
        <v>14808768</v>
      </c>
      <c r="H358" s="7">
        <v>0</v>
      </c>
      <c r="I358" s="3">
        <f t="shared" si="5"/>
        <v>17.13977777777778</v>
      </c>
      <c r="L358" s="1">
        <v>46112</v>
      </c>
      <c r="M358" s="3">
        <v>3.0181500000000001E-7</v>
      </c>
      <c r="N358" s="1" t="s">
        <v>383</v>
      </c>
      <c r="O358" s="1">
        <v>66</v>
      </c>
      <c r="P358" s="1">
        <v>46</v>
      </c>
      <c r="Q358" s="3">
        <v>75744</v>
      </c>
      <c r="R358" s="3">
        <v>9.151182675326696E-6</v>
      </c>
      <c r="S358" s="3">
        <v>3765263954.9828224</v>
      </c>
      <c r="T358" s="3">
        <v>1.7458782802732038E-116</v>
      </c>
    </row>
    <row r="359" spans="2:20" x14ac:dyDescent="0.2">
      <c r="B359">
        <v>47103</v>
      </c>
      <c r="C359" s="6">
        <v>2.7919999999999998E-10</v>
      </c>
      <c r="D359" s="1" t="s">
        <v>397</v>
      </c>
      <c r="E359" s="3">
        <v>3942</v>
      </c>
      <c r="F359" s="7">
        <v>1.7583642327751023E-4</v>
      </c>
      <c r="G359" s="7">
        <v>3484415.9999999995</v>
      </c>
      <c r="H359" s="7">
        <v>0</v>
      </c>
      <c r="I359" s="3">
        <f t="shared" si="5"/>
        <v>4.0328888888888885</v>
      </c>
      <c r="L359" s="1">
        <v>46113</v>
      </c>
      <c r="M359" s="3">
        <v>4.3967000000000002E-7</v>
      </c>
      <c r="N359" s="1" t="s">
        <v>384</v>
      </c>
      <c r="O359" s="1">
        <v>67</v>
      </c>
      <c r="P359" s="1">
        <v>46</v>
      </c>
      <c r="Q359" s="3">
        <v>93</v>
      </c>
      <c r="R359" s="3">
        <v>7.453195489891885E-3</v>
      </c>
      <c r="S359" s="3">
        <v>5487081600</v>
      </c>
      <c r="T359" s="3">
        <v>0</v>
      </c>
    </row>
    <row r="360" spans="2:20" x14ac:dyDescent="0.2">
      <c r="B360">
        <v>47111</v>
      </c>
      <c r="C360" s="6">
        <v>4.8860000000000005E-10</v>
      </c>
      <c r="D360" s="1" t="s">
        <v>398</v>
      </c>
      <c r="E360" s="3">
        <v>643680</v>
      </c>
      <c r="F360" s="7">
        <v>1.0768505787968328E-6</v>
      </c>
      <c r="G360" s="7">
        <v>3692806.3075823574</v>
      </c>
      <c r="H360" s="7">
        <v>6.5903287136106237E-9</v>
      </c>
      <c r="I360" s="3">
        <f t="shared" si="5"/>
        <v>4.2740813745166175</v>
      </c>
      <c r="L360" s="1">
        <v>46114</v>
      </c>
      <c r="M360" s="3">
        <v>1.04833E-6</v>
      </c>
      <c r="N360" s="1" t="s">
        <v>385</v>
      </c>
      <c r="O360" s="1">
        <v>68</v>
      </c>
      <c r="P360" s="1">
        <v>46</v>
      </c>
      <c r="Q360" s="3">
        <v>145.19999999999999</v>
      </c>
      <c r="R360" s="3">
        <v>4.7737409129472823E-3</v>
      </c>
      <c r="S360" s="3">
        <v>13083158400</v>
      </c>
      <c r="T360" s="3">
        <v>0</v>
      </c>
    </row>
    <row r="361" spans="2:20" x14ac:dyDescent="0.2">
      <c r="B361">
        <v>47112</v>
      </c>
      <c r="C361" s="6">
        <v>3.3503999999999999E-9</v>
      </c>
      <c r="D361" s="1" t="s">
        <v>399</v>
      </c>
      <c r="E361" s="3">
        <v>11268</v>
      </c>
      <c r="F361" s="7">
        <v>6.1514659261620983E-5</v>
      </c>
      <c r="G361" s="7">
        <v>41812992</v>
      </c>
      <c r="H361" s="7">
        <v>0</v>
      </c>
      <c r="I361" s="3">
        <f t="shared" si="5"/>
        <v>48.394666666666673</v>
      </c>
      <c r="L361" s="1">
        <v>46115</v>
      </c>
      <c r="M361" s="3">
        <v>9.4181100000000002E-7</v>
      </c>
      <c r="N361" s="1" t="s">
        <v>386</v>
      </c>
      <c r="O361" s="1">
        <v>69</v>
      </c>
      <c r="P361" s="1">
        <v>46</v>
      </c>
      <c r="Q361" s="3">
        <v>25</v>
      </c>
      <c r="R361" s="3">
        <v>2.7725887222397813E-2</v>
      </c>
      <c r="S361" s="3">
        <v>11753801280</v>
      </c>
      <c r="T361" s="3">
        <v>0</v>
      </c>
    </row>
    <row r="362" spans="2:20" x14ac:dyDescent="0.2">
      <c r="B362">
        <v>47113</v>
      </c>
      <c r="C362" s="6">
        <v>2.3801799999999999E-8</v>
      </c>
      <c r="D362" s="1" t="s">
        <v>400</v>
      </c>
      <c r="E362" s="3">
        <v>19332</v>
      </c>
      <c r="F362" s="7">
        <v>3.5854913126419684E-5</v>
      </c>
      <c r="G362" s="7">
        <v>297046463.99998957</v>
      </c>
      <c r="H362" s="7">
        <v>0</v>
      </c>
      <c r="I362" s="3">
        <f t="shared" si="5"/>
        <v>343.80377777776573</v>
      </c>
      <c r="L362" s="1">
        <v>46116</v>
      </c>
      <c r="M362" s="3">
        <v>1.4684500000000001E-6</v>
      </c>
      <c r="N362" s="1" t="s">
        <v>387</v>
      </c>
      <c r="O362" s="1">
        <v>70</v>
      </c>
      <c r="P362" s="1">
        <v>46</v>
      </c>
      <c r="Q362" s="3">
        <v>11.8</v>
      </c>
      <c r="R362" s="3">
        <v>5.8741286488130956E-2</v>
      </c>
      <c r="S362" s="3">
        <v>18326256000</v>
      </c>
      <c r="T362" s="3">
        <v>0</v>
      </c>
    </row>
    <row r="363" spans="2:20" x14ac:dyDescent="0.2">
      <c r="B363">
        <v>47114</v>
      </c>
      <c r="C363" s="6">
        <v>5.8562200000000003E-8</v>
      </c>
      <c r="D363" s="1" t="s">
        <v>401</v>
      </c>
      <c r="E363" s="3">
        <v>4.5999999999999996</v>
      </c>
      <c r="F363" s="7">
        <v>0.15068416968694465</v>
      </c>
      <c r="G363" s="7">
        <v>730856256</v>
      </c>
      <c r="H363" s="7">
        <v>0</v>
      </c>
      <c r="I363" s="3">
        <f t="shared" si="5"/>
        <v>845.89844444444441</v>
      </c>
      <c r="L363" s="1">
        <v>46117</v>
      </c>
      <c r="M363" s="3">
        <v>8.7878199999999999E-7</v>
      </c>
      <c r="N363" s="1" t="s">
        <v>388</v>
      </c>
      <c r="O363" s="1">
        <v>71</v>
      </c>
      <c r="P363" s="1">
        <v>46</v>
      </c>
      <c r="Q363" s="3">
        <v>4.3</v>
      </c>
      <c r="R363" s="3">
        <v>0.16119701873487099</v>
      </c>
      <c r="S363" s="3">
        <v>10967199360</v>
      </c>
      <c r="T363" s="3">
        <v>0</v>
      </c>
    </row>
    <row r="364" spans="2:20" x14ac:dyDescent="0.2">
      <c r="B364">
        <v>47115</v>
      </c>
      <c r="C364" s="6">
        <v>2.05421E-7</v>
      </c>
      <c r="D364" s="1" t="s">
        <v>402</v>
      </c>
      <c r="E364" s="3">
        <v>1200</v>
      </c>
      <c r="F364" s="7">
        <v>5.7762265046662107E-4</v>
      </c>
      <c r="G364" s="7">
        <v>2563654080</v>
      </c>
      <c r="H364" s="7">
        <v>0</v>
      </c>
      <c r="I364" s="3">
        <f t="shared" si="5"/>
        <v>2967.1922222222224</v>
      </c>
      <c r="L364" s="1">
        <v>46118</v>
      </c>
      <c r="M364" s="3">
        <v>1.05203E-6</v>
      </c>
      <c r="N364" s="1" t="s">
        <v>389</v>
      </c>
      <c r="O364" s="1">
        <v>72</v>
      </c>
      <c r="P364" s="1">
        <v>46</v>
      </c>
      <c r="Q364" s="3">
        <v>1.9</v>
      </c>
      <c r="R364" s="3">
        <v>0.36481430555786598</v>
      </c>
      <c r="S364" s="3">
        <v>13129334400</v>
      </c>
      <c r="T364" s="3">
        <v>0</v>
      </c>
    </row>
    <row r="365" spans="2:20" x14ac:dyDescent="0.2">
      <c r="B365">
        <v>47116</v>
      </c>
      <c r="C365" s="6">
        <v>3.3845999999999997E-7</v>
      </c>
      <c r="D365" s="1" t="s">
        <v>403</v>
      </c>
      <c r="E365" s="3">
        <v>237</v>
      </c>
      <c r="F365" s="7">
        <v>2.9246716479322584E-3</v>
      </c>
      <c r="G365" s="7">
        <v>4223980799.9999995</v>
      </c>
      <c r="H365" s="7">
        <v>0</v>
      </c>
      <c r="I365" s="3">
        <f t="shared" si="5"/>
        <v>4888.8666666666659</v>
      </c>
      <c r="L365" s="1">
        <v>47096</v>
      </c>
      <c r="M365" s="3">
        <v>4.92997E-7</v>
      </c>
      <c r="N365" s="1" t="s">
        <v>390</v>
      </c>
      <c r="O365" s="1">
        <v>49</v>
      </c>
      <c r="P365" s="1">
        <v>47</v>
      </c>
      <c r="Q365" s="3">
        <v>4.4000000000000004</v>
      </c>
      <c r="R365" s="3">
        <v>0.15753345012726028</v>
      </c>
      <c r="S365" s="3">
        <v>6152602560</v>
      </c>
      <c r="T365" s="3">
        <v>0</v>
      </c>
    </row>
    <row r="366" spans="2:20" x14ac:dyDescent="0.2">
      <c r="B366">
        <v>47117</v>
      </c>
      <c r="C366" s="6">
        <v>7.5090799999999999E-7</v>
      </c>
      <c r="D366" s="1" t="s">
        <v>404</v>
      </c>
      <c r="E366" s="3">
        <v>72.8</v>
      </c>
      <c r="F366" s="7">
        <v>9.5212524802190286E-3</v>
      </c>
      <c r="G366" s="7">
        <v>9371331840</v>
      </c>
      <c r="H366" s="7">
        <v>0</v>
      </c>
      <c r="I366" s="3">
        <f t="shared" si="5"/>
        <v>10846.448888888888</v>
      </c>
      <c r="L366" s="1">
        <v>47097</v>
      </c>
      <c r="M366" s="3">
        <v>4.5802799999999998E-7</v>
      </c>
      <c r="N366" s="1" t="s">
        <v>391</v>
      </c>
      <c r="O366" s="1">
        <v>50</v>
      </c>
      <c r="P366" s="1">
        <v>47</v>
      </c>
      <c r="Q366" s="3">
        <v>25.5</v>
      </c>
      <c r="R366" s="3">
        <v>2.7182242374899815E-2</v>
      </c>
      <c r="S366" s="3">
        <v>5716189440</v>
      </c>
      <c r="T366" s="3">
        <v>0</v>
      </c>
    </row>
    <row r="367" spans="2:20" x14ac:dyDescent="0.2">
      <c r="B367">
        <v>47118</v>
      </c>
      <c r="C367" s="6">
        <v>8.1540399999999996E-7</v>
      </c>
      <c r="D367" s="1" t="s">
        <v>405</v>
      </c>
      <c r="E367" s="3">
        <v>3.76</v>
      </c>
      <c r="F367" s="7">
        <v>0.18434765440424078</v>
      </c>
      <c r="G367" s="7">
        <v>10176241920</v>
      </c>
      <c r="H367" s="7">
        <v>0</v>
      </c>
      <c r="I367" s="3">
        <f t="shared" si="5"/>
        <v>11778.057777777778</v>
      </c>
      <c r="L367" s="1">
        <v>47098</v>
      </c>
      <c r="M367" s="3">
        <v>1.8629599999999999E-7</v>
      </c>
      <c r="N367" s="1" t="s">
        <v>392</v>
      </c>
      <c r="O367" s="1">
        <v>51</v>
      </c>
      <c r="P367" s="1">
        <v>47</v>
      </c>
      <c r="Q367" s="3">
        <v>47.5</v>
      </c>
      <c r="R367" s="3">
        <v>1.4592572222314637E-2</v>
      </c>
      <c r="S367" s="3">
        <v>2324974080</v>
      </c>
      <c r="T367" s="3">
        <v>0</v>
      </c>
    </row>
    <row r="368" spans="2:20" x14ac:dyDescent="0.2">
      <c r="B368">
        <v>47119</v>
      </c>
      <c r="C368" s="6">
        <v>1.1639800000000001E-6</v>
      </c>
      <c r="D368" s="1" t="s">
        <v>406</v>
      </c>
      <c r="E368" s="3">
        <v>6</v>
      </c>
      <c r="F368" s="7">
        <v>0.11552453009332421</v>
      </c>
      <c r="G368" s="7">
        <v>14526470400.000002</v>
      </c>
      <c r="H368" s="7">
        <v>0</v>
      </c>
      <c r="I368" s="3">
        <f t="shared" si="5"/>
        <v>16813.044444444447</v>
      </c>
      <c r="L368" s="1">
        <v>47099</v>
      </c>
      <c r="M368" s="3">
        <v>1.06585E-7</v>
      </c>
      <c r="N368" s="1" t="s">
        <v>393</v>
      </c>
      <c r="O368" s="1">
        <v>52</v>
      </c>
      <c r="P368" s="1">
        <v>47</v>
      </c>
      <c r="Q368" s="3">
        <v>124</v>
      </c>
      <c r="R368" s="3">
        <v>5.5898966174189133E-3</v>
      </c>
      <c r="S368" s="3">
        <v>1330180800</v>
      </c>
      <c r="T368" s="3">
        <v>0</v>
      </c>
    </row>
    <row r="369" spans="2:20" x14ac:dyDescent="0.2">
      <c r="B369">
        <v>47120</v>
      </c>
      <c r="C369" s="6">
        <v>8.9993099999999996E-7</v>
      </c>
      <c r="D369" s="1" t="s">
        <v>407</v>
      </c>
      <c r="E369" s="3">
        <v>1.23</v>
      </c>
      <c r="F369" s="7">
        <v>0.56353429313816694</v>
      </c>
      <c r="G369" s="7">
        <v>11231138880</v>
      </c>
      <c r="H369" s="7">
        <v>0</v>
      </c>
      <c r="I369" s="3">
        <f t="shared" si="5"/>
        <v>12999.003333333334</v>
      </c>
      <c r="L369" s="1">
        <v>47100</v>
      </c>
      <c r="M369" s="3">
        <v>2.9874400000000002E-8</v>
      </c>
      <c r="N369" s="1" t="s">
        <v>394</v>
      </c>
      <c r="O369" s="1">
        <v>53</v>
      </c>
      <c r="P369" s="1">
        <v>47</v>
      </c>
      <c r="Q369" s="3">
        <v>120.6</v>
      </c>
      <c r="R369" s="3">
        <v>5.7474890593693642E-3</v>
      </c>
      <c r="S369" s="3">
        <v>372832512</v>
      </c>
      <c r="T369" s="3">
        <v>0</v>
      </c>
    </row>
    <row r="370" spans="2:20" x14ac:dyDescent="0.2">
      <c r="B370">
        <v>47121</v>
      </c>
      <c r="C370" s="6">
        <v>8.7536200000000003E-7</v>
      </c>
      <c r="D370" s="1" t="s">
        <v>408</v>
      </c>
      <c r="E370" s="3">
        <v>0.78</v>
      </c>
      <c r="F370" s="7">
        <v>0.88865023148710931</v>
      </c>
      <c r="G370" s="7">
        <v>10924517760</v>
      </c>
      <c r="H370" s="7">
        <v>0</v>
      </c>
      <c r="I370" s="3">
        <f t="shared" si="5"/>
        <v>12644.117777777778</v>
      </c>
      <c r="L370" s="1">
        <v>47101</v>
      </c>
      <c r="M370" s="3">
        <v>1.82876E-8</v>
      </c>
      <c r="N370" s="1" t="s">
        <v>395</v>
      </c>
      <c r="O370" s="1">
        <v>54</v>
      </c>
      <c r="P370" s="1">
        <v>47</v>
      </c>
      <c r="Q370" s="3">
        <v>666</v>
      </c>
      <c r="R370" s="3">
        <v>1.0407615323722902E-3</v>
      </c>
      <c r="S370" s="3">
        <v>228229248</v>
      </c>
      <c r="T370" s="3">
        <v>0</v>
      </c>
    </row>
    <row r="371" spans="2:20" x14ac:dyDescent="0.2">
      <c r="B371">
        <v>47122</v>
      </c>
      <c r="C371" s="6">
        <v>4.9013600000000002E-7</v>
      </c>
      <c r="D371" s="1" t="s">
        <v>409</v>
      </c>
      <c r="E371" s="3">
        <v>0.52900000000000003</v>
      </c>
      <c r="F371" s="7">
        <v>1.3102971277125619</v>
      </c>
      <c r="G371" s="7">
        <v>6116897280</v>
      </c>
      <c r="H371" s="7">
        <v>0</v>
      </c>
      <c r="I371" s="3">
        <f t="shared" si="5"/>
        <v>7079.7422222222222</v>
      </c>
      <c r="L371" s="1">
        <v>47102</v>
      </c>
      <c r="M371" s="3">
        <v>4.188E-9</v>
      </c>
      <c r="N371" s="1" t="s">
        <v>396</v>
      </c>
      <c r="O371" s="1">
        <v>55</v>
      </c>
      <c r="P371" s="1">
        <v>47</v>
      </c>
      <c r="Q371" s="3">
        <v>774</v>
      </c>
      <c r="R371" s="3">
        <v>8.9553899297150556E-4</v>
      </c>
      <c r="S371" s="3">
        <v>52266240</v>
      </c>
      <c r="T371" s="3">
        <v>0</v>
      </c>
    </row>
    <row r="372" spans="2:20" x14ac:dyDescent="0.2">
      <c r="B372">
        <v>47123</v>
      </c>
      <c r="C372" s="6">
        <v>3.1395999999999999E-7</v>
      </c>
      <c r="D372" s="1" t="s">
        <v>410</v>
      </c>
      <c r="E372" s="3">
        <v>0.3</v>
      </c>
      <c r="F372" s="7">
        <v>2.3104906018664844</v>
      </c>
      <c r="G372" s="7">
        <v>3918220800</v>
      </c>
      <c r="H372" s="7">
        <v>0</v>
      </c>
      <c r="I372" s="3">
        <f t="shared" si="5"/>
        <v>4534.9777777777781</v>
      </c>
      <c r="L372" s="1">
        <v>47103</v>
      </c>
      <c r="M372" s="3">
        <v>1.8845999999999999E-9</v>
      </c>
      <c r="N372" s="1" t="s">
        <v>397</v>
      </c>
      <c r="O372" s="1">
        <v>56</v>
      </c>
      <c r="P372" s="1">
        <v>47</v>
      </c>
      <c r="Q372" s="3">
        <v>3942</v>
      </c>
      <c r="R372" s="3">
        <v>1.7583642327751023E-4</v>
      </c>
      <c r="S372" s="3">
        <v>23519808</v>
      </c>
      <c r="T372" s="3">
        <v>0</v>
      </c>
    </row>
    <row r="373" spans="2:20" x14ac:dyDescent="0.2">
      <c r="B373">
        <v>48097</v>
      </c>
      <c r="C373" s="6">
        <v>1.47627E-7</v>
      </c>
      <c r="D373" s="1" t="s">
        <v>411</v>
      </c>
      <c r="E373" s="3">
        <v>1.1000000000000001</v>
      </c>
      <c r="F373" s="7">
        <v>0.63013380050904111</v>
      </c>
      <c r="G373" s="7">
        <v>1842384960</v>
      </c>
      <c r="H373" s="7">
        <v>0</v>
      </c>
      <c r="I373" s="3">
        <f t="shared" si="5"/>
        <v>2132.39</v>
      </c>
      <c r="L373" s="1">
        <v>47104</v>
      </c>
      <c r="M373" s="3">
        <v>4.1879999999999999E-10</v>
      </c>
      <c r="N373" s="1" t="s">
        <v>412</v>
      </c>
      <c r="O373" s="1">
        <v>57</v>
      </c>
      <c r="P373" s="1">
        <v>47</v>
      </c>
      <c r="Q373" s="3">
        <v>4152</v>
      </c>
      <c r="R373" s="3">
        <v>1.6694296256260726E-4</v>
      </c>
      <c r="S373" s="3">
        <v>5226624</v>
      </c>
      <c r="T373" s="3">
        <v>0</v>
      </c>
    </row>
    <row r="374" spans="2:20" x14ac:dyDescent="0.2">
      <c r="B374">
        <v>48098</v>
      </c>
      <c r="C374" s="6">
        <v>8.3550599999999996E-8</v>
      </c>
      <c r="D374" s="1" t="s">
        <v>413</v>
      </c>
      <c r="E374" s="3">
        <v>9.1999999999999993</v>
      </c>
      <c r="F374" s="7">
        <v>7.5342084843472323E-2</v>
      </c>
      <c r="G374" s="7">
        <v>1042711488</v>
      </c>
      <c r="H374" s="7">
        <v>0</v>
      </c>
      <c r="I374" s="3">
        <f t="shared" si="5"/>
        <v>1206.8420000000001</v>
      </c>
      <c r="L374" s="1">
        <v>47105</v>
      </c>
      <c r="M374" s="3">
        <v>6.9799999999999994E-11</v>
      </c>
      <c r="N374" s="1" t="s">
        <v>414</v>
      </c>
      <c r="O374" s="1">
        <v>58</v>
      </c>
      <c r="P374" s="1">
        <v>47</v>
      </c>
      <c r="Q374" s="3">
        <v>3567456</v>
      </c>
      <c r="R374" s="3">
        <v>1.9429733136440794E-7</v>
      </c>
      <c r="S374" s="3">
        <v>134619.28773413473</v>
      </c>
      <c r="T374" s="3">
        <v>293.78415783989243</v>
      </c>
    </row>
    <row r="375" spans="2:20" x14ac:dyDescent="0.2">
      <c r="B375">
        <v>48099</v>
      </c>
      <c r="C375" s="6">
        <v>2.4220600000000001E-8</v>
      </c>
      <c r="D375" s="1" t="s">
        <v>415</v>
      </c>
      <c r="E375" s="3">
        <v>16</v>
      </c>
      <c r="F375" s="7">
        <v>4.332169878499658E-2</v>
      </c>
      <c r="G375" s="7">
        <v>302273088</v>
      </c>
      <c r="H375" s="7">
        <v>0</v>
      </c>
      <c r="I375" s="3">
        <f t="shared" si="5"/>
        <v>349.8531111111111</v>
      </c>
      <c r="L375" s="1">
        <v>47110</v>
      </c>
      <c r="M375" s="3">
        <v>6.9799999999999994E-11</v>
      </c>
      <c r="N375" s="1" t="s">
        <v>416</v>
      </c>
      <c r="O375" s="1">
        <v>63</v>
      </c>
      <c r="P375" s="1">
        <v>47</v>
      </c>
      <c r="Q375" s="3">
        <v>24.6</v>
      </c>
      <c r="R375" s="3">
        <v>2.8176714656908342E-2</v>
      </c>
      <c r="S375" s="3">
        <v>871103.99999999988</v>
      </c>
      <c r="T375" s="3">
        <v>0</v>
      </c>
    </row>
    <row r="376" spans="2:20" x14ac:dyDescent="0.2">
      <c r="B376">
        <v>48100</v>
      </c>
      <c r="C376" s="6">
        <v>1.10982E-8</v>
      </c>
      <c r="D376" s="1" t="s">
        <v>417</v>
      </c>
      <c r="E376" s="3">
        <v>49.1</v>
      </c>
      <c r="F376" s="7">
        <v>1.4117050520569149E-2</v>
      </c>
      <c r="G376" s="7">
        <v>138505536</v>
      </c>
      <c r="H376" s="7">
        <v>0</v>
      </c>
      <c r="I376" s="3">
        <f t="shared" si="5"/>
        <v>160.30733333333333</v>
      </c>
      <c r="L376" s="1">
        <v>47111</v>
      </c>
      <c r="M376" s="3">
        <v>8.3759999999999998E-10</v>
      </c>
      <c r="N376" s="1" t="s">
        <v>398</v>
      </c>
      <c r="O376" s="1">
        <v>64</v>
      </c>
      <c r="P376" s="1">
        <v>47</v>
      </c>
      <c r="Q376" s="3">
        <v>643680</v>
      </c>
      <c r="R376" s="3">
        <v>1.0768505787968328E-6</v>
      </c>
      <c r="S376" s="3">
        <v>6330525.0987126119</v>
      </c>
      <c r="T376" s="3">
        <v>1.129770636618964E-8</v>
      </c>
    </row>
    <row r="377" spans="2:20" x14ac:dyDescent="0.2">
      <c r="B377">
        <v>48101</v>
      </c>
      <c r="C377" s="6">
        <v>2.8618000000000002E-9</v>
      </c>
      <c r="D377" s="1" t="s">
        <v>418</v>
      </c>
      <c r="E377" s="3">
        <v>81.599999999999994</v>
      </c>
      <c r="F377" s="7">
        <v>8.494450742156193E-3</v>
      </c>
      <c r="G377" s="7">
        <v>35715264</v>
      </c>
      <c r="H377" s="7">
        <v>0</v>
      </c>
      <c r="I377" s="3">
        <f t="shared" si="5"/>
        <v>41.337111111111113</v>
      </c>
      <c r="L377" s="1">
        <v>47112</v>
      </c>
      <c r="M377" s="3">
        <v>4.7464000000000001E-9</v>
      </c>
      <c r="N377" s="1" t="s">
        <v>399</v>
      </c>
      <c r="O377" s="1">
        <v>65</v>
      </c>
      <c r="P377" s="1">
        <v>47</v>
      </c>
      <c r="Q377" s="3">
        <v>11268</v>
      </c>
      <c r="R377" s="3">
        <v>6.1514659261620983E-5</v>
      </c>
      <c r="S377" s="3">
        <v>59235072</v>
      </c>
      <c r="T377" s="3">
        <v>0</v>
      </c>
    </row>
    <row r="378" spans="2:20" x14ac:dyDescent="0.2">
      <c r="B378">
        <v>48102</v>
      </c>
      <c r="C378" s="6">
        <v>8.3759999999999998E-10</v>
      </c>
      <c r="D378" s="1" t="s">
        <v>419</v>
      </c>
      <c r="E378" s="3">
        <v>330</v>
      </c>
      <c r="F378" s="7">
        <v>2.1004460016968039E-3</v>
      </c>
      <c r="G378" s="7">
        <v>10453248</v>
      </c>
      <c r="H378" s="7">
        <v>0</v>
      </c>
      <c r="I378" s="3">
        <f t="shared" si="5"/>
        <v>12.098666666666668</v>
      </c>
      <c r="L378" s="1">
        <v>47113</v>
      </c>
      <c r="M378" s="3">
        <v>3.07818E-8</v>
      </c>
      <c r="N378" s="1" t="s">
        <v>400</v>
      </c>
      <c r="O378" s="1">
        <v>66</v>
      </c>
      <c r="P378" s="1">
        <v>47</v>
      </c>
      <c r="Q378" s="3">
        <v>19332</v>
      </c>
      <c r="R378" s="3">
        <v>3.5854913126419684E-5</v>
      </c>
      <c r="S378" s="3">
        <v>384156863.99998647</v>
      </c>
      <c r="T378" s="3">
        <v>0</v>
      </c>
    </row>
    <row r="379" spans="2:20" x14ac:dyDescent="0.2">
      <c r="B379">
        <v>48103</v>
      </c>
      <c r="C379" s="6">
        <v>2.094E-10</v>
      </c>
      <c r="D379" s="1" t="s">
        <v>420</v>
      </c>
      <c r="E379" s="3">
        <v>438</v>
      </c>
      <c r="F379" s="7">
        <v>1.582527809497592E-3</v>
      </c>
      <c r="G379" s="7">
        <v>2613312</v>
      </c>
      <c r="H379" s="7">
        <v>0</v>
      </c>
      <c r="I379" s="3">
        <f t="shared" si="5"/>
        <v>3.0246666666666671</v>
      </c>
      <c r="L379" s="1">
        <v>47114</v>
      </c>
      <c r="M379" s="3">
        <v>7.8385400000000005E-8</v>
      </c>
      <c r="N379" s="1" t="s">
        <v>401</v>
      </c>
      <c r="O379" s="1">
        <v>67</v>
      </c>
      <c r="P379" s="1">
        <v>47</v>
      </c>
      <c r="Q379" s="3">
        <v>4.5999999999999996</v>
      </c>
      <c r="R379" s="3">
        <v>0.15068416968694465</v>
      </c>
      <c r="S379" s="3">
        <v>978249792.00000012</v>
      </c>
      <c r="T379" s="3">
        <v>0</v>
      </c>
    </row>
    <row r="380" spans="2:20" x14ac:dyDescent="0.2">
      <c r="B380">
        <v>48104</v>
      </c>
      <c r="C380" s="6">
        <v>6.9799999999999994E-11</v>
      </c>
      <c r="D380" s="1" t="s">
        <v>421</v>
      </c>
      <c r="E380" s="3">
        <v>3462</v>
      </c>
      <c r="F380" s="7">
        <v>2.002158233853106E-4</v>
      </c>
      <c r="G380" s="7">
        <v>871103.99999999988</v>
      </c>
      <c r="H380" s="7">
        <v>0</v>
      </c>
      <c r="I380" s="3">
        <f t="shared" si="5"/>
        <v>1.0082222222222221</v>
      </c>
      <c r="L380" s="1">
        <v>47115</v>
      </c>
      <c r="M380" s="3">
        <v>2.8590100000000001E-7</v>
      </c>
      <c r="N380" s="1" t="s">
        <v>402</v>
      </c>
      <c r="O380" s="1">
        <v>68</v>
      </c>
      <c r="P380" s="1">
        <v>47</v>
      </c>
      <c r="Q380" s="3">
        <v>1200</v>
      </c>
      <c r="R380" s="3">
        <v>5.7762265046662107E-4</v>
      </c>
      <c r="S380" s="3">
        <v>3568044480</v>
      </c>
      <c r="T380" s="3">
        <v>0</v>
      </c>
    </row>
    <row r="381" spans="2:20" x14ac:dyDescent="0.2">
      <c r="B381">
        <v>48113</v>
      </c>
      <c r="C381" s="6">
        <v>1.3959999999999999E-10</v>
      </c>
      <c r="D381" s="1" t="s">
        <v>422</v>
      </c>
      <c r="E381" s="3">
        <v>2.5246080000000001E+23</v>
      </c>
      <c r="F381" s="7">
        <v>2.7455635907037657E-24</v>
      </c>
      <c r="G381" s="7">
        <v>0</v>
      </c>
      <c r="H381" s="7">
        <v>0</v>
      </c>
      <c r="I381" s="3">
        <f t="shared" si="5"/>
        <v>0</v>
      </c>
      <c r="L381" s="1">
        <v>47116</v>
      </c>
      <c r="M381" s="3">
        <v>4.50908E-7</v>
      </c>
      <c r="N381" s="1" t="s">
        <v>403</v>
      </c>
      <c r="O381" s="1">
        <v>69</v>
      </c>
      <c r="P381" s="1">
        <v>47</v>
      </c>
      <c r="Q381" s="3">
        <v>237</v>
      </c>
      <c r="R381" s="3">
        <v>2.9246716479322584E-3</v>
      </c>
      <c r="S381" s="3">
        <v>5627331840</v>
      </c>
      <c r="T381" s="3">
        <v>0</v>
      </c>
    </row>
    <row r="382" spans="2:20" x14ac:dyDescent="0.2">
      <c r="B382">
        <v>48114</v>
      </c>
      <c r="C382" s="6">
        <v>2.3732E-9</v>
      </c>
      <c r="D382" s="1" t="s">
        <v>423</v>
      </c>
      <c r="E382" s="3">
        <v>6.627096E+25</v>
      </c>
      <c r="F382" s="7">
        <v>1.045928986934768E-26</v>
      </c>
      <c r="G382" s="7">
        <v>0</v>
      </c>
      <c r="H382" s="7">
        <v>0</v>
      </c>
      <c r="I382" s="3">
        <f t="shared" si="5"/>
        <v>0</v>
      </c>
      <c r="L382" s="1">
        <v>47117</v>
      </c>
      <c r="M382" s="3">
        <v>9.8180700000000005E-7</v>
      </c>
      <c r="N382" s="1" t="s">
        <v>404</v>
      </c>
      <c r="O382" s="1">
        <v>70</v>
      </c>
      <c r="P382" s="1">
        <v>47</v>
      </c>
      <c r="Q382" s="3">
        <v>72.8</v>
      </c>
      <c r="R382" s="3">
        <v>9.5212524802190286E-3</v>
      </c>
      <c r="S382" s="3">
        <v>12252951360</v>
      </c>
      <c r="T382" s="3">
        <v>0</v>
      </c>
    </row>
    <row r="383" spans="2:20" x14ac:dyDescent="0.2">
      <c r="B383">
        <v>48115</v>
      </c>
      <c r="C383" s="6">
        <v>8.3061999999999993E-9</v>
      </c>
      <c r="D383" s="1" t="s">
        <v>424</v>
      </c>
      <c r="E383" s="3">
        <v>192456</v>
      </c>
      <c r="F383" s="7">
        <v>3.6015877944046708E-6</v>
      </c>
      <c r="G383" s="7">
        <v>99046164.330392852</v>
      </c>
      <c r="H383" s="7">
        <v>4.6645801357011972E-42</v>
      </c>
      <c r="I383" s="3">
        <f t="shared" si="5"/>
        <v>114.63676427128803</v>
      </c>
      <c r="L383" s="1">
        <v>47118</v>
      </c>
      <c r="M383" s="3">
        <v>9.9367300000000001E-7</v>
      </c>
      <c r="N383" s="1" t="s">
        <v>405</v>
      </c>
      <c r="O383" s="1">
        <v>71</v>
      </c>
      <c r="P383" s="1">
        <v>47</v>
      </c>
      <c r="Q383" s="3">
        <v>3.76</v>
      </c>
      <c r="R383" s="3">
        <v>0.18434765440424078</v>
      </c>
      <c r="S383" s="3">
        <v>12401039040</v>
      </c>
      <c r="T383" s="3">
        <v>0</v>
      </c>
    </row>
    <row r="384" spans="2:20" x14ac:dyDescent="0.2">
      <c r="B384">
        <v>48116</v>
      </c>
      <c r="C384" s="6">
        <v>4.6975399999999997E-8</v>
      </c>
      <c r="D384" s="1" t="s">
        <v>425</v>
      </c>
      <c r="E384" s="3">
        <v>1.0414008E+27</v>
      </c>
      <c r="F384" s="7">
        <v>6.6559117350394328E-28</v>
      </c>
      <c r="G384" s="7">
        <v>0</v>
      </c>
      <c r="H384" s="7">
        <v>0</v>
      </c>
      <c r="I384" s="3">
        <f t="shared" si="5"/>
        <v>0</v>
      </c>
      <c r="L384" s="1">
        <v>47119</v>
      </c>
      <c r="M384" s="3">
        <v>1.52045E-6</v>
      </c>
      <c r="N384" s="1" t="s">
        <v>406</v>
      </c>
      <c r="O384" s="1">
        <v>72</v>
      </c>
      <c r="P384" s="1">
        <v>47</v>
      </c>
      <c r="Q384" s="3">
        <v>6</v>
      </c>
      <c r="R384" s="3">
        <v>0.11552453009332421</v>
      </c>
      <c r="S384" s="3">
        <v>18975216000</v>
      </c>
      <c r="T384" s="3">
        <v>0</v>
      </c>
    </row>
    <row r="385" spans="2:20" x14ac:dyDescent="0.2">
      <c r="B385">
        <v>48117</v>
      </c>
      <c r="C385" s="6">
        <v>1.03513E-7</v>
      </c>
      <c r="D385" s="1" t="s">
        <v>426</v>
      </c>
      <c r="E385" s="3">
        <v>8964</v>
      </c>
      <c r="F385" s="7">
        <v>7.7325656019627993E-5</v>
      </c>
      <c r="G385" s="7">
        <v>1291842240</v>
      </c>
      <c r="H385" s="7">
        <v>0</v>
      </c>
      <c r="I385" s="3">
        <f t="shared" si="5"/>
        <v>1495.1877777777777</v>
      </c>
      <c r="L385" s="1">
        <v>47120</v>
      </c>
      <c r="M385" s="3">
        <v>1.26903E-6</v>
      </c>
      <c r="N385" s="1" t="s">
        <v>407</v>
      </c>
      <c r="O385" s="1">
        <v>73</v>
      </c>
      <c r="P385" s="1">
        <v>47</v>
      </c>
      <c r="Q385" s="3">
        <v>1.23</v>
      </c>
      <c r="R385" s="3">
        <v>0.56353429313816694</v>
      </c>
      <c r="S385" s="3">
        <v>15837494400</v>
      </c>
      <c r="T385" s="3">
        <v>0</v>
      </c>
    </row>
    <row r="386" spans="2:20" x14ac:dyDescent="0.2">
      <c r="B386">
        <v>48118</v>
      </c>
      <c r="C386" s="6">
        <v>3.1500699999999998E-7</v>
      </c>
      <c r="D386" s="1" t="s">
        <v>427</v>
      </c>
      <c r="E386" s="3">
        <v>3018</v>
      </c>
      <c r="F386" s="7">
        <v>2.2967103398275192E-4</v>
      </c>
      <c r="G386" s="7">
        <v>3931287360</v>
      </c>
      <c r="H386" s="7">
        <v>0</v>
      </c>
      <c r="I386" s="3">
        <f t="shared" si="5"/>
        <v>4550.1011111111111</v>
      </c>
      <c r="L386" s="1">
        <v>47121</v>
      </c>
      <c r="M386" s="3">
        <v>1.5272899999999999E-6</v>
      </c>
      <c r="N386" s="1" t="s">
        <v>408</v>
      </c>
      <c r="O386" s="1">
        <v>74</v>
      </c>
      <c r="P386" s="1">
        <v>47</v>
      </c>
      <c r="Q386" s="3">
        <v>0.78</v>
      </c>
      <c r="R386" s="3">
        <v>0.88865023148710931</v>
      </c>
      <c r="S386" s="3">
        <v>19060579200</v>
      </c>
      <c r="T386" s="3">
        <v>0</v>
      </c>
    </row>
    <row r="387" spans="2:20" x14ac:dyDescent="0.2">
      <c r="B387">
        <v>48119</v>
      </c>
      <c r="C387" s="6">
        <v>4.4804599999999999E-7</v>
      </c>
      <c r="D387" s="1" t="s">
        <v>428</v>
      </c>
      <c r="E387" s="3">
        <v>161.4</v>
      </c>
      <c r="F387" s="7">
        <v>4.2945921967778517E-3</v>
      </c>
      <c r="G387" s="7">
        <v>5591614080</v>
      </c>
      <c r="H387" s="7">
        <v>0</v>
      </c>
      <c r="I387" s="3">
        <f t="shared" si="5"/>
        <v>6471.7755555555559</v>
      </c>
      <c r="L387" s="1">
        <v>47122</v>
      </c>
      <c r="M387" s="3">
        <v>7.83435E-7</v>
      </c>
      <c r="N387" s="1" t="s">
        <v>409</v>
      </c>
      <c r="O387" s="1">
        <v>75</v>
      </c>
      <c r="P387" s="1">
        <v>47</v>
      </c>
      <c r="Q387" s="3">
        <v>0.52900000000000003</v>
      </c>
      <c r="R387" s="3">
        <v>1.3102971277125619</v>
      </c>
      <c r="S387" s="3">
        <v>9777268800</v>
      </c>
      <c r="T387" s="3">
        <v>0</v>
      </c>
    </row>
    <row r="388" spans="2:20" x14ac:dyDescent="0.2">
      <c r="B388">
        <v>48120</v>
      </c>
      <c r="C388" s="6">
        <v>9.0083900000000004E-7</v>
      </c>
      <c r="D388" s="1" t="s">
        <v>429</v>
      </c>
      <c r="E388" s="3">
        <v>50.8</v>
      </c>
      <c r="F388" s="7">
        <v>1.3644629538581601E-2</v>
      </c>
      <c r="G388" s="7">
        <v>11242470720</v>
      </c>
      <c r="H388" s="7">
        <v>0</v>
      </c>
      <c r="I388" s="3">
        <f t="shared" ref="I388:I451" si="6">G388/10/24/3600</f>
        <v>13012.118888888888</v>
      </c>
      <c r="L388" s="1">
        <v>47123</v>
      </c>
      <c r="M388" s="3">
        <v>6.77758E-7</v>
      </c>
      <c r="N388" s="1" t="s">
        <v>410</v>
      </c>
      <c r="O388" s="1">
        <v>76</v>
      </c>
      <c r="P388" s="1">
        <v>47</v>
      </c>
      <c r="Q388" s="3">
        <v>0.3</v>
      </c>
      <c r="R388" s="3">
        <v>2.3104906018664844</v>
      </c>
      <c r="S388" s="3">
        <v>8458419840</v>
      </c>
      <c r="T388" s="3">
        <v>0</v>
      </c>
    </row>
    <row r="389" spans="2:20" x14ac:dyDescent="0.2">
      <c r="B389">
        <v>48121</v>
      </c>
      <c r="C389" s="6">
        <v>9.6463599999999998E-7</v>
      </c>
      <c r="D389" s="1" t="s">
        <v>430</v>
      </c>
      <c r="E389" s="3">
        <v>13.5</v>
      </c>
      <c r="F389" s="7">
        <v>5.1344235597032988E-2</v>
      </c>
      <c r="G389" s="7">
        <v>12038657280</v>
      </c>
      <c r="H389" s="7">
        <v>0</v>
      </c>
      <c r="I389" s="3">
        <f t="shared" si="6"/>
        <v>13933.631111111112</v>
      </c>
      <c r="L389" s="1">
        <v>48097</v>
      </c>
      <c r="M389" s="3">
        <v>2.81503E-7</v>
      </c>
      <c r="N389" s="1" t="s">
        <v>411</v>
      </c>
      <c r="O389" s="1">
        <v>49</v>
      </c>
      <c r="P389" s="1">
        <v>48</v>
      </c>
      <c r="Q389" s="3">
        <v>1.1000000000000001</v>
      </c>
      <c r="R389" s="3">
        <v>0.63013380050904111</v>
      </c>
      <c r="S389" s="3">
        <v>3513157440</v>
      </c>
      <c r="T389" s="3">
        <v>0</v>
      </c>
    </row>
    <row r="390" spans="2:20" x14ac:dyDescent="0.2">
      <c r="B390">
        <v>48122</v>
      </c>
      <c r="C390" s="6">
        <v>1.2531900000000001E-6</v>
      </c>
      <c r="D390" s="1" t="s">
        <v>431</v>
      </c>
      <c r="E390" s="3">
        <v>5.24</v>
      </c>
      <c r="F390" s="7">
        <v>0.1322799962900659</v>
      </c>
      <c r="G390" s="7">
        <v>15639811200</v>
      </c>
      <c r="H390" s="7">
        <v>0</v>
      </c>
      <c r="I390" s="3">
        <f t="shared" si="6"/>
        <v>18101.633333333335</v>
      </c>
      <c r="L390" s="1">
        <v>48098</v>
      </c>
      <c r="M390" s="3">
        <v>1.9460200000000001E-7</v>
      </c>
      <c r="N390" s="1" t="s">
        <v>413</v>
      </c>
      <c r="O390" s="1">
        <v>50</v>
      </c>
      <c r="P390" s="1">
        <v>48</v>
      </c>
      <c r="Q390" s="3">
        <v>9.1999999999999993</v>
      </c>
      <c r="R390" s="3">
        <v>7.5342084843472323E-2</v>
      </c>
      <c r="S390" s="3">
        <v>2428632960</v>
      </c>
      <c r="T390" s="3">
        <v>0</v>
      </c>
    </row>
    <row r="391" spans="2:20" x14ac:dyDescent="0.2">
      <c r="B391">
        <v>48123</v>
      </c>
      <c r="C391" s="6">
        <v>1.0122400000000001E-6</v>
      </c>
      <c r="D391" s="1" t="s">
        <v>432</v>
      </c>
      <c r="E391" s="3">
        <v>2.1</v>
      </c>
      <c r="F391" s="7">
        <v>0.3300700859809263</v>
      </c>
      <c r="G391" s="7">
        <v>12632755200</v>
      </c>
      <c r="H391" s="7">
        <v>0</v>
      </c>
      <c r="I391" s="3">
        <f t="shared" si="6"/>
        <v>14621.244444444445</v>
      </c>
      <c r="L391" s="1">
        <v>48099</v>
      </c>
      <c r="M391" s="3">
        <v>5.8911200000000001E-8</v>
      </c>
      <c r="N391" s="1" t="s">
        <v>415</v>
      </c>
      <c r="O391" s="1">
        <v>51</v>
      </c>
      <c r="P391" s="1">
        <v>48</v>
      </c>
      <c r="Q391" s="3">
        <v>16</v>
      </c>
      <c r="R391" s="3">
        <v>4.332169878499658E-2</v>
      </c>
      <c r="S391" s="3">
        <v>735211776</v>
      </c>
      <c r="T391" s="3">
        <v>0</v>
      </c>
    </row>
    <row r="392" spans="2:20" x14ac:dyDescent="0.2">
      <c r="B392">
        <v>48124</v>
      </c>
      <c r="C392" s="6">
        <v>9.6309999999999994E-7</v>
      </c>
      <c r="D392" s="1" t="s">
        <v>433</v>
      </c>
      <c r="E392" s="3">
        <v>1.25</v>
      </c>
      <c r="F392" s="7">
        <v>0.55451774444795621</v>
      </c>
      <c r="G392" s="7">
        <v>12019488000</v>
      </c>
      <c r="H392" s="7">
        <v>0</v>
      </c>
      <c r="I392" s="3">
        <f t="shared" si="6"/>
        <v>13911.444444444445</v>
      </c>
      <c r="L392" s="1">
        <v>48100</v>
      </c>
      <c r="M392" s="3">
        <v>3.2107999999999999E-8</v>
      </c>
      <c r="N392" s="1" t="s">
        <v>417</v>
      </c>
      <c r="O392" s="1">
        <v>52</v>
      </c>
      <c r="P392" s="1">
        <v>48</v>
      </c>
      <c r="Q392" s="3">
        <v>49.1</v>
      </c>
      <c r="R392" s="3">
        <v>1.4117050520569149E-2</v>
      </c>
      <c r="S392" s="3">
        <v>400707840</v>
      </c>
      <c r="T392" s="3">
        <v>0</v>
      </c>
    </row>
    <row r="393" spans="2:20" x14ac:dyDescent="0.2">
      <c r="B393">
        <v>48125</v>
      </c>
      <c r="C393" s="6">
        <v>6.6617100000000002E-7</v>
      </c>
      <c r="D393" s="1" t="s">
        <v>434</v>
      </c>
      <c r="E393" s="3">
        <v>0.68</v>
      </c>
      <c r="F393" s="7">
        <v>1.019334089058743</v>
      </c>
      <c r="G393" s="7">
        <v>8313814080</v>
      </c>
      <c r="H393" s="7">
        <v>0</v>
      </c>
      <c r="I393" s="3">
        <f t="shared" si="6"/>
        <v>9622.4699999999993</v>
      </c>
      <c r="L393" s="1">
        <v>48101</v>
      </c>
      <c r="M393" s="3">
        <v>6.9800000000000003E-9</v>
      </c>
      <c r="N393" s="1" t="s">
        <v>418</v>
      </c>
      <c r="O393" s="1">
        <v>53</v>
      </c>
      <c r="P393" s="1">
        <v>48</v>
      </c>
      <c r="Q393" s="3">
        <v>81.599999999999994</v>
      </c>
      <c r="R393" s="3">
        <v>8.494450742156193E-3</v>
      </c>
      <c r="S393" s="3">
        <v>87110400</v>
      </c>
      <c r="T393" s="3">
        <v>0</v>
      </c>
    </row>
    <row r="394" spans="2:20" x14ac:dyDescent="0.2">
      <c r="B394">
        <v>48126</v>
      </c>
      <c r="C394" s="6">
        <v>5.5749299999999997E-7</v>
      </c>
      <c r="D394" s="1" t="s">
        <v>435</v>
      </c>
      <c r="E394" s="3">
        <v>0.51500000000000001</v>
      </c>
      <c r="F394" s="7">
        <v>1.3459168554562044</v>
      </c>
      <c r="G394" s="7">
        <v>6957512640</v>
      </c>
      <c r="H394" s="7">
        <v>0</v>
      </c>
      <c r="I394" s="3">
        <f t="shared" si="6"/>
        <v>8052.6766666666663</v>
      </c>
      <c r="L394" s="1">
        <v>48102</v>
      </c>
      <c r="M394" s="3">
        <v>3.2806E-9</v>
      </c>
      <c r="N394" s="1" t="s">
        <v>419</v>
      </c>
      <c r="O394" s="1">
        <v>54</v>
      </c>
      <c r="P394" s="1">
        <v>48</v>
      </c>
      <c r="Q394" s="3">
        <v>330</v>
      </c>
      <c r="R394" s="3">
        <v>2.1004460016968039E-3</v>
      </c>
      <c r="S394" s="3">
        <v>40941888</v>
      </c>
      <c r="T394" s="3">
        <v>0</v>
      </c>
    </row>
    <row r="395" spans="2:20" x14ac:dyDescent="0.2">
      <c r="B395">
        <v>49100</v>
      </c>
      <c r="C395" s="6">
        <v>3.8620299999999998E-7</v>
      </c>
      <c r="D395" s="1" t="s">
        <v>436</v>
      </c>
      <c r="E395" s="3">
        <v>5.8</v>
      </c>
      <c r="F395" s="7">
        <v>0.11950813457930091</v>
      </c>
      <c r="G395" s="7">
        <v>4819813440</v>
      </c>
      <c r="H395" s="7">
        <v>0</v>
      </c>
      <c r="I395" s="3">
        <f t="shared" si="6"/>
        <v>5578.4877777777774</v>
      </c>
      <c r="L395" s="1">
        <v>48103</v>
      </c>
      <c r="M395" s="3">
        <v>3.4899999999999998E-10</v>
      </c>
      <c r="N395" s="1" t="s">
        <v>420</v>
      </c>
      <c r="O395" s="1">
        <v>55</v>
      </c>
      <c r="P395" s="1">
        <v>48</v>
      </c>
      <c r="Q395" s="3">
        <v>438</v>
      </c>
      <c r="R395" s="3">
        <v>1.582527809497592E-3</v>
      </c>
      <c r="S395" s="3">
        <v>4355520</v>
      </c>
      <c r="T395" s="3">
        <v>0</v>
      </c>
    </row>
    <row r="396" spans="2:20" x14ac:dyDescent="0.2">
      <c r="B396">
        <v>49101</v>
      </c>
      <c r="C396" s="6">
        <v>2.7843199999999999E-7</v>
      </c>
      <c r="D396" s="1" t="s">
        <v>437</v>
      </c>
      <c r="E396" s="3">
        <v>15.1</v>
      </c>
      <c r="F396" s="7">
        <v>4.5903786792049359E-2</v>
      </c>
      <c r="G396" s="7">
        <v>3474831360</v>
      </c>
      <c r="H396" s="7">
        <v>0</v>
      </c>
      <c r="I396" s="3">
        <f t="shared" si="6"/>
        <v>4021.7955555555554</v>
      </c>
      <c r="L396" s="1">
        <v>48113</v>
      </c>
      <c r="M396" s="3">
        <v>6.9799999999999994E-11</v>
      </c>
      <c r="N396" s="1" t="s">
        <v>422</v>
      </c>
      <c r="O396" s="1">
        <v>65</v>
      </c>
      <c r="P396" s="1">
        <v>48</v>
      </c>
      <c r="Q396" s="3">
        <v>2.5246080000000001E+23</v>
      </c>
      <c r="R396" s="3">
        <v>2.7455635907037657E-24</v>
      </c>
      <c r="S396" s="3">
        <v>0</v>
      </c>
      <c r="T396" s="3">
        <v>0</v>
      </c>
    </row>
    <row r="397" spans="2:20" x14ac:dyDescent="0.2">
      <c r="B397">
        <v>49102</v>
      </c>
      <c r="C397" s="6">
        <v>1.26129E-7</v>
      </c>
      <c r="D397" s="1" t="s">
        <v>438</v>
      </c>
      <c r="E397" s="3">
        <v>23.3</v>
      </c>
      <c r="F397" s="7">
        <v>2.9748806032615677E-2</v>
      </c>
      <c r="G397" s="7">
        <v>1574089920</v>
      </c>
      <c r="H397" s="7">
        <v>0</v>
      </c>
      <c r="I397" s="3">
        <f t="shared" si="6"/>
        <v>1821.8633333333332</v>
      </c>
      <c r="L397" s="1">
        <v>48114</v>
      </c>
      <c r="M397" s="3">
        <v>2.3034000000000001E-9</v>
      </c>
      <c r="N397" s="1" t="s">
        <v>423</v>
      </c>
      <c r="O397" s="1">
        <v>66</v>
      </c>
      <c r="P397" s="1">
        <v>48</v>
      </c>
      <c r="Q397" s="3">
        <v>6.627096E+25</v>
      </c>
      <c r="R397" s="3">
        <v>1.045928986934768E-26</v>
      </c>
      <c r="S397" s="3">
        <v>0</v>
      </c>
      <c r="T397" s="3">
        <v>0</v>
      </c>
    </row>
    <row r="398" spans="2:20" x14ac:dyDescent="0.2">
      <c r="B398">
        <v>49103</v>
      </c>
      <c r="C398" s="6">
        <v>5.5281600000000003E-8</v>
      </c>
      <c r="D398" s="1" t="s">
        <v>439</v>
      </c>
      <c r="E398" s="3">
        <v>65</v>
      </c>
      <c r="F398" s="7">
        <v>1.0663802777845312E-2</v>
      </c>
      <c r="G398" s="7">
        <v>689914368</v>
      </c>
      <c r="H398" s="7">
        <v>0</v>
      </c>
      <c r="I398" s="3">
        <f t="shared" si="6"/>
        <v>798.51199999999994</v>
      </c>
      <c r="L398" s="1">
        <v>48115</v>
      </c>
      <c r="M398" s="3">
        <v>1.05398E-8</v>
      </c>
      <c r="N398" s="1" t="s">
        <v>424</v>
      </c>
      <c r="O398" s="1">
        <v>67</v>
      </c>
      <c r="P398" s="1">
        <v>48</v>
      </c>
      <c r="Q398" s="3">
        <v>192456</v>
      </c>
      <c r="R398" s="3">
        <v>3.6015877944046708E-6</v>
      </c>
      <c r="S398" s="3">
        <v>125680427.0074733</v>
      </c>
      <c r="T398" s="3">
        <v>5.9189210125284106E-42</v>
      </c>
    </row>
    <row r="399" spans="2:20" x14ac:dyDescent="0.2">
      <c r="B399">
        <v>49104</v>
      </c>
      <c r="C399" s="6">
        <v>1.3052599999999999E-8</v>
      </c>
      <c r="D399" s="1" t="s">
        <v>440</v>
      </c>
      <c r="E399" s="3">
        <v>108</v>
      </c>
      <c r="F399" s="7">
        <v>6.4180294496291234E-3</v>
      </c>
      <c r="G399" s="7">
        <v>162896448</v>
      </c>
      <c r="H399" s="7">
        <v>0</v>
      </c>
      <c r="I399" s="3">
        <f t="shared" si="6"/>
        <v>188.53755555555557</v>
      </c>
      <c r="L399" s="1">
        <v>48116</v>
      </c>
      <c r="M399" s="3">
        <v>6.1005199999999994E-8</v>
      </c>
      <c r="N399" s="1" t="s">
        <v>425</v>
      </c>
      <c r="O399" s="1">
        <v>68</v>
      </c>
      <c r="P399" s="1">
        <v>48</v>
      </c>
      <c r="Q399" s="3">
        <v>1.0414008E+27</v>
      </c>
      <c r="R399" s="3">
        <v>6.6559117350394328E-28</v>
      </c>
      <c r="S399" s="3">
        <v>0</v>
      </c>
      <c r="T399" s="3">
        <v>0</v>
      </c>
    </row>
    <row r="400" spans="2:20" x14ac:dyDescent="0.2">
      <c r="B400">
        <v>49105</v>
      </c>
      <c r="C400" s="6">
        <v>3.4201999999999998E-9</v>
      </c>
      <c r="D400" s="1" t="s">
        <v>441</v>
      </c>
      <c r="E400" s="3">
        <v>304.2</v>
      </c>
      <c r="F400" s="7">
        <v>2.2785903371464341E-3</v>
      </c>
      <c r="G400" s="7">
        <v>42684096</v>
      </c>
      <c r="H400" s="7">
        <v>0</v>
      </c>
      <c r="I400" s="3">
        <f t="shared" si="6"/>
        <v>49.402888888888889</v>
      </c>
      <c r="L400" s="1">
        <v>48117</v>
      </c>
      <c r="M400" s="3">
        <v>1.35203E-7</v>
      </c>
      <c r="N400" s="1" t="s">
        <v>426</v>
      </c>
      <c r="O400" s="1">
        <v>69</v>
      </c>
      <c r="P400" s="1">
        <v>48</v>
      </c>
      <c r="Q400" s="3">
        <v>8964</v>
      </c>
      <c r="R400" s="3">
        <v>7.7325656019627993E-5</v>
      </c>
      <c r="S400" s="3">
        <v>1687333440</v>
      </c>
      <c r="T400" s="3">
        <v>0</v>
      </c>
    </row>
    <row r="401" spans="2:20" x14ac:dyDescent="0.2">
      <c r="B401">
        <v>49106</v>
      </c>
      <c r="C401" s="6">
        <v>6.2819999999999996E-10</v>
      </c>
      <c r="D401" s="1" t="s">
        <v>442</v>
      </c>
      <c r="E401" s="3">
        <v>372</v>
      </c>
      <c r="F401" s="7">
        <v>1.8632988724729713E-3</v>
      </c>
      <c r="G401" s="7">
        <v>7839935.9999999991</v>
      </c>
      <c r="H401" s="7">
        <v>0</v>
      </c>
      <c r="I401" s="3">
        <f t="shared" si="6"/>
        <v>9.0739999999999981</v>
      </c>
      <c r="L401" s="1">
        <v>48118</v>
      </c>
      <c r="M401" s="3">
        <v>4.9048500000000001E-7</v>
      </c>
      <c r="N401" s="1" t="s">
        <v>427</v>
      </c>
      <c r="O401" s="1">
        <v>70</v>
      </c>
      <c r="P401" s="1">
        <v>48</v>
      </c>
      <c r="Q401" s="3">
        <v>3018</v>
      </c>
      <c r="R401" s="3">
        <v>2.2967103398275192E-4</v>
      </c>
      <c r="S401" s="3">
        <v>6121252800</v>
      </c>
      <c r="T401" s="3">
        <v>0</v>
      </c>
    </row>
    <row r="402" spans="2:20" x14ac:dyDescent="0.2">
      <c r="B402">
        <v>49107</v>
      </c>
      <c r="C402" s="6">
        <v>1.3959999999999999E-10</v>
      </c>
      <c r="D402" s="1" t="s">
        <v>443</v>
      </c>
      <c r="E402" s="3">
        <v>1944</v>
      </c>
      <c r="F402" s="7">
        <v>3.5655719164606238E-4</v>
      </c>
      <c r="G402" s="7">
        <v>1742207.9999999998</v>
      </c>
      <c r="H402" s="7">
        <v>0</v>
      </c>
      <c r="I402" s="3">
        <f t="shared" si="6"/>
        <v>2.0164444444444443</v>
      </c>
      <c r="L402" s="1">
        <v>48119</v>
      </c>
      <c r="M402" s="3">
        <v>6.4481199999999996E-7</v>
      </c>
      <c r="N402" s="1" t="s">
        <v>428</v>
      </c>
      <c r="O402" s="1">
        <v>71</v>
      </c>
      <c r="P402" s="1">
        <v>48</v>
      </c>
      <c r="Q402" s="3">
        <v>161.4</v>
      </c>
      <c r="R402" s="3">
        <v>4.2945921967778517E-3</v>
      </c>
      <c r="S402" s="3">
        <v>8047253760</v>
      </c>
      <c r="T402" s="3">
        <v>0</v>
      </c>
    </row>
    <row r="403" spans="2:20" x14ac:dyDescent="0.2">
      <c r="B403">
        <v>49108</v>
      </c>
      <c r="C403" s="6">
        <v>6.9799999999999994E-11</v>
      </c>
      <c r="D403" s="1" t="s">
        <v>444</v>
      </c>
      <c r="E403" s="3">
        <v>3480</v>
      </c>
      <c r="F403" s="7">
        <v>1.9918022429883485E-4</v>
      </c>
      <c r="G403" s="7">
        <v>871103.99999999988</v>
      </c>
      <c r="H403" s="7">
        <v>0</v>
      </c>
      <c r="I403" s="3">
        <f t="shared" si="6"/>
        <v>1.0082222222222221</v>
      </c>
      <c r="L403" s="1">
        <v>48120</v>
      </c>
      <c r="M403" s="3">
        <v>1.5927E-6</v>
      </c>
      <c r="N403" s="1" t="s">
        <v>429</v>
      </c>
      <c r="O403" s="1">
        <v>72</v>
      </c>
      <c r="P403" s="1">
        <v>48</v>
      </c>
      <c r="Q403" s="3">
        <v>50.8</v>
      </c>
      <c r="R403" s="3">
        <v>1.3644629538581601E-2</v>
      </c>
      <c r="S403" s="3">
        <v>19876896000</v>
      </c>
      <c r="T403" s="3">
        <v>0</v>
      </c>
    </row>
    <row r="404" spans="2:20" x14ac:dyDescent="0.2">
      <c r="B404">
        <v>49116</v>
      </c>
      <c r="C404" s="6">
        <v>5.5839999999999995E-10</v>
      </c>
      <c r="D404" s="1" t="s">
        <v>445</v>
      </c>
      <c r="E404" s="3">
        <v>14.1</v>
      </c>
      <c r="F404" s="7">
        <v>4.9159374507797539E-2</v>
      </c>
      <c r="G404" s="7">
        <v>6968831.9999999991</v>
      </c>
      <c r="H404" s="7">
        <v>0</v>
      </c>
      <c r="I404" s="3">
        <f t="shared" si="6"/>
        <v>8.065777777777777</v>
      </c>
      <c r="L404" s="1">
        <v>48121</v>
      </c>
      <c r="M404" s="3">
        <v>1.5565400000000001E-6</v>
      </c>
      <c r="N404" s="1" t="s">
        <v>430</v>
      </c>
      <c r="O404" s="1">
        <v>73</v>
      </c>
      <c r="P404" s="1">
        <v>48</v>
      </c>
      <c r="Q404" s="3">
        <v>13.5</v>
      </c>
      <c r="R404" s="3">
        <v>5.1344235597032988E-2</v>
      </c>
      <c r="S404" s="3">
        <v>19425619200</v>
      </c>
      <c r="T404" s="3">
        <v>0</v>
      </c>
    </row>
    <row r="405" spans="2:20" x14ac:dyDescent="0.2">
      <c r="B405">
        <v>49117</v>
      </c>
      <c r="C405" s="6">
        <v>4.0484000000000002E-9</v>
      </c>
      <c r="D405" s="1" t="s">
        <v>446</v>
      </c>
      <c r="E405" s="3">
        <v>2592</v>
      </c>
      <c r="F405" s="7">
        <v>2.6741789373454681E-4</v>
      </c>
      <c r="G405" s="7">
        <v>50524032</v>
      </c>
      <c r="H405" s="7">
        <v>0</v>
      </c>
      <c r="I405" s="3">
        <f t="shared" si="6"/>
        <v>58.476888888888894</v>
      </c>
      <c r="L405" s="1">
        <v>48122</v>
      </c>
      <c r="M405" s="3">
        <v>2.84798E-6</v>
      </c>
      <c r="N405" s="1" t="s">
        <v>431</v>
      </c>
      <c r="O405" s="1">
        <v>74</v>
      </c>
      <c r="P405" s="1">
        <v>48</v>
      </c>
      <c r="Q405" s="3">
        <v>5.24</v>
      </c>
      <c r="R405" s="3">
        <v>0.1322799962900659</v>
      </c>
      <c r="S405" s="3">
        <v>35542790400</v>
      </c>
      <c r="T405" s="3">
        <v>0</v>
      </c>
    </row>
    <row r="406" spans="2:20" x14ac:dyDescent="0.2">
      <c r="B406">
        <v>49118</v>
      </c>
      <c r="C406" s="6">
        <v>1.3820400000000001E-8</v>
      </c>
      <c r="D406" s="1" t="s">
        <v>447</v>
      </c>
      <c r="E406" s="3">
        <v>5</v>
      </c>
      <c r="F406" s="7">
        <v>0.13862943611198905</v>
      </c>
      <c r="G406" s="7">
        <v>172478592</v>
      </c>
      <c r="H406" s="7">
        <v>0</v>
      </c>
      <c r="I406" s="3">
        <f t="shared" si="6"/>
        <v>199.62799999999999</v>
      </c>
      <c r="L406" s="1">
        <v>48123</v>
      </c>
      <c r="M406" s="3">
        <v>2.0535899999999998E-6</v>
      </c>
      <c r="N406" s="1" t="s">
        <v>432</v>
      </c>
      <c r="O406" s="1">
        <v>75</v>
      </c>
      <c r="P406" s="1">
        <v>48</v>
      </c>
      <c r="Q406" s="3">
        <v>2.1</v>
      </c>
      <c r="R406" s="3">
        <v>0.3300700859809263</v>
      </c>
      <c r="S406" s="3">
        <v>25628803200</v>
      </c>
      <c r="T406" s="3">
        <v>0</v>
      </c>
    </row>
    <row r="407" spans="2:20" x14ac:dyDescent="0.2">
      <c r="B407">
        <v>49119</v>
      </c>
      <c r="C407" s="6">
        <v>5.8911200000000001E-8</v>
      </c>
      <c r="D407" s="1" t="s">
        <v>448</v>
      </c>
      <c r="E407" s="3">
        <v>144</v>
      </c>
      <c r="F407" s="7">
        <v>4.8135220872218424E-3</v>
      </c>
      <c r="G407" s="7">
        <v>735211776</v>
      </c>
      <c r="H407" s="7">
        <v>0</v>
      </c>
      <c r="I407" s="3">
        <f t="shared" si="6"/>
        <v>850.93955555555556</v>
      </c>
      <c r="L407" s="1">
        <v>48124</v>
      </c>
      <c r="M407" s="3">
        <v>2.6906499999999998E-6</v>
      </c>
      <c r="N407" s="1" t="s">
        <v>433</v>
      </c>
      <c r="O407" s="1">
        <v>76</v>
      </c>
      <c r="P407" s="1">
        <v>48</v>
      </c>
      <c r="Q407" s="3">
        <v>1.25</v>
      </c>
      <c r="R407" s="3">
        <v>0.55451774444795621</v>
      </c>
      <c r="S407" s="3">
        <v>33579311999.999996</v>
      </c>
      <c r="T407" s="3">
        <v>0</v>
      </c>
    </row>
    <row r="408" spans="2:20" x14ac:dyDescent="0.2">
      <c r="B408">
        <v>49120</v>
      </c>
      <c r="C408" s="6">
        <v>1.2466300000000001E-7</v>
      </c>
      <c r="D408" s="1" t="s">
        <v>449</v>
      </c>
      <c r="E408" s="3">
        <v>3.08</v>
      </c>
      <c r="F408" s="7">
        <v>0.22504778589608612</v>
      </c>
      <c r="G408" s="7">
        <v>1555794240</v>
      </c>
      <c r="H408" s="7">
        <v>0</v>
      </c>
      <c r="I408" s="3">
        <f t="shared" si="6"/>
        <v>1800.6877777777777</v>
      </c>
      <c r="L408" s="1">
        <v>48125</v>
      </c>
      <c r="M408" s="3">
        <v>1.3319900000000001E-6</v>
      </c>
      <c r="N408" s="1" t="s">
        <v>434</v>
      </c>
      <c r="O408" s="1">
        <v>77</v>
      </c>
      <c r="P408" s="1">
        <v>48</v>
      </c>
      <c r="Q408" s="3">
        <v>0.68</v>
      </c>
      <c r="R408" s="3">
        <v>1.019334089058743</v>
      </c>
      <c r="S408" s="3">
        <v>16623235200</v>
      </c>
      <c r="T408" s="3">
        <v>0</v>
      </c>
    </row>
    <row r="409" spans="2:20" x14ac:dyDescent="0.2">
      <c r="B409">
        <v>49121</v>
      </c>
      <c r="C409" s="6">
        <v>3.4516099999999998E-7</v>
      </c>
      <c r="D409" s="1" t="s">
        <v>450</v>
      </c>
      <c r="E409" s="3">
        <v>23.1</v>
      </c>
      <c r="F409" s="7">
        <v>3.0006371452811483E-2</v>
      </c>
      <c r="G409" s="7">
        <v>4307609280</v>
      </c>
      <c r="H409" s="7">
        <v>0</v>
      </c>
      <c r="I409" s="3">
        <f t="shared" si="6"/>
        <v>4985.6588888888891</v>
      </c>
      <c r="L409" s="1">
        <v>48126</v>
      </c>
      <c r="M409" s="3">
        <v>1.1639800000000001E-6</v>
      </c>
      <c r="N409" s="1" t="s">
        <v>435</v>
      </c>
      <c r="O409" s="1">
        <v>78</v>
      </c>
      <c r="P409" s="1">
        <v>48</v>
      </c>
      <c r="Q409" s="3">
        <v>0.51500000000000001</v>
      </c>
      <c r="R409" s="3">
        <v>1.3459168554562044</v>
      </c>
      <c r="S409" s="3">
        <v>14526470400.000002</v>
      </c>
      <c r="T409" s="3">
        <v>0</v>
      </c>
    </row>
    <row r="410" spans="2:20" x14ac:dyDescent="0.2">
      <c r="B410">
        <v>49122</v>
      </c>
      <c r="C410" s="6">
        <v>4.7289499999999997E-7</v>
      </c>
      <c r="D410" s="1" t="s">
        <v>451</v>
      </c>
      <c r="E410" s="3">
        <v>1.5</v>
      </c>
      <c r="F410" s="7">
        <v>0.46209812037329684</v>
      </c>
      <c r="G410" s="7">
        <v>5901729600</v>
      </c>
      <c r="H410" s="7">
        <v>0</v>
      </c>
      <c r="I410" s="3">
        <f t="shared" si="6"/>
        <v>6830.7055555555553</v>
      </c>
      <c r="L410" s="1">
        <v>49100</v>
      </c>
      <c r="M410" s="3">
        <v>4.0358400000000002E-7</v>
      </c>
      <c r="N410" s="1" t="s">
        <v>436</v>
      </c>
      <c r="O410" s="1">
        <v>51</v>
      </c>
      <c r="P410" s="1">
        <v>49</v>
      </c>
      <c r="Q410" s="3">
        <v>5.8</v>
      </c>
      <c r="R410" s="3">
        <v>0.11950813457930091</v>
      </c>
      <c r="S410" s="3">
        <v>5036728320</v>
      </c>
      <c r="T410" s="3">
        <v>0</v>
      </c>
    </row>
    <row r="411" spans="2:20" x14ac:dyDescent="0.2">
      <c r="B411">
        <v>49123</v>
      </c>
      <c r="C411" s="6">
        <v>9.5437500000000007E-7</v>
      </c>
      <c r="D411" s="1" t="s">
        <v>452</v>
      </c>
      <c r="E411" s="3">
        <v>6.17</v>
      </c>
      <c r="F411" s="7">
        <v>0.11234152035007217</v>
      </c>
      <c r="G411" s="7">
        <v>11910600000</v>
      </c>
      <c r="H411" s="7">
        <v>0</v>
      </c>
      <c r="I411" s="3">
        <f t="shared" si="6"/>
        <v>13785.416666666666</v>
      </c>
      <c r="L411" s="1">
        <v>49101</v>
      </c>
      <c r="M411" s="3">
        <v>2.4960499999999999E-7</v>
      </c>
      <c r="N411" s="1" t="s">
        <v>437</v>
      </c>
      <c r="O411" s="1">
        <v>52</v>
      </c>
      <c r="P411" s="1">
        <v>49</v>
      </c>
      <c r="Q411" s="3">
        <v>15.1</v>
      </c>
      <c r="R411" s="3">
        <v>4.5903786792049359E-2</v>
      </c>
      <c r="S411" s="3">
        <v>3115070400</v>
      </c>
      <c r="T411" s="3">
        <v>0</v>
      </c>
    </row>
    <row r="412" spans="2:20" x14ac:dyDescent="0.2">
      <c r="B412">
        <v>49124</v>
      </c>
      <c r="C412" s="6">
        <v>9.8082999999999998E-7</v>
      </c>
      <c r="D412" s="1" t="s">
        <v>453</v>
      </c>
      <c r="E412" s="3">
        <v>3.12</v>
      </c>
      <c r="F412" s="7">
        <v>0.22216255787177733</v>
      </c>
      <c r="G412" s="7">
        <v>12240758400</v>
      </c>
      <c r="H412" s="7">
        <v>0</v>
      </c>
      <c r="I412" s="3">
        <f t="shared" si="6"/>
        <v>14167.544444444444</v>
      </c>
      <c r="L412" s="1">
        <v>49102</v>
      </c>
      <c r="M412" s="3">
        <v>4.12518E-8</v>
      </c>
      <c r="N412" s="1" t="s">
        <v>438</v>
      </c>
      <c r="O412" s="1">
        <v>53</v>
      </c>
      <c r="P412" s="1">
        <v>49</v>
      </c>
      <c r="Q412" s="3">
        <v>23.3</v>
      </c>
      <c r="R412" s="3">
        <v>2.9748806032615677E-2</v>
      </c>
      <c r="S412" s="3">
        <v>514822464</v>
      </c>
      <c r="T412" s="3">
        <v>0</v>
      </c>
    </row>
    <row r="413" spans="2:20" x14ac:dyDescent="0.2">
      <c r="B413">
        <v>49125</v>
      </c>
      <c r="C413" s="6">
        <v>1.4791299999999999E-6</v>
      </c>
      <c r="D413" s="1" t="s">
        <v>454</v>
      </c>
      <c r="E413" s="3">
        <v>2.36</v>
      </c>
      <c r="F413" s="7">
        <v>0.29370643244065481</v>
      </c>
      <c r="G413" s="7">
        <v>18459542400</v>
      </c>
      <c r="H413" s="7">
        <v>0</v>
      </c>
      <c r="I413" s="3">
        <f t="shared" si="6"/>
        <v>21365.211111111112</v>
      </c>
      <c r="L413" s="1">
        <v>49104</v>
      </c>
      <c r="M413" s="3">
        <v>6.3518000000000003E-9</v>
      </c>
      <c r="N413" s="1" t="s">
        <v>440</v>
      </c>
      <c r="O413" s="1">
        <v>55</v>
      </c>
      <c r="P413" s="1">
        <v>49</v>
      </c>
      <c r="Q413" s="3">
        <v>108</v>
      </c>
      <c r="R413" s="3">
        <v>6.4180294496291234E-3</v>
      </c>
      <c r="S413" s="3">
        <v>79270464</v>
      </c>
      <c r="T413" s="3">
        <v>0</v>
      </c>
    </row>
    <row r="414" spans="2:20" x14ac:dyDescent="0.2">
      <c r="B414">
        <v>49126</v>
      </c>
      <c r="C414" s="6">
        <v>1.58404E-6</v>
      </c>
      <c r="D414" s="1" t="s">
        <v>455</v>
      </c>
      <c r="E414" s="3">
        <v>1.53</v>
      </c>
      <c r="F414" s="7">
        <v>0.45303737291499691</v>
      </c>
      <c r="G414" s="7">
        <v>19768819200</v>
      </c>
      <c r="H414" s="7">
        <v>0</v>
      </c>
      <c r="I414" s="3">
        <f t="shared" si="6"/>
        <v>22880.577777777777</v>
      </c>
      <c r="L414" s="1">
        <v>49105</v>
      </c>
      <c r="M414" s="3">
        <v>2.4429999999999999E-9</v>
      </c>
      <c r="N414" s="1" t="s">
        <v>441</v>
      </c>
      <c r="O414" s="1">
        <v>56</v>
      </c>
      <c r="P414" s="1">
        <v>49</v>
      </c>
      <c r="Q414" s="3">
        <v>304.2</v>
      </c>
      <c r="R414" s="3">
        <v>2.2785903371464341E-3</v>
      </c>
      <c r="S414" s="3">
        <v>30488640</v>
      </c>
      <c r="T414" s="3">
        <v>0</v>
      </c>
    </row>
    <row r="415" spans="2:20" x14ac:dyDescent="0.2">
      <c r="B415">
        <v>49127</v>
      </c>
      <c r="C415" s="6">
        <v>2.5987199999999999E-6</v>
      </c>
      <c r="D415" s="1" t="s">
        <v>456</v>
      </c>
      <c r="E415" s="3">
        <v>1.0900000000000001</v>
      </c>
      <c r="F415" s="7">
        <v>0.63591484455040848</v>
      </c>
      <c r="G415" s="7">
        <v>32432025600</v>
      </c>
      <c r="H415" s="7">
        <v>0</v>
      </c>
      <c r="I415" s="3">
        <f t="shared" si="6"/>
        <v>37537.066666666666</v>
      </c>
      <c r="L415" s="1">
        <v>49106</v>
      </c>
      <c r="M415" s="3">
        <v>3.4899999999999998E-10</v>
      </c>
      <c r="N415" s="1" t="s">
        <v>442</v>
      </c>
      <c r="O415" s="1">
        <v>57</v>
      </c>
      <c r="P415" s="1">
        <v>49</v>
      </c>
      <c r="Q415" s="3">
        <v>372</v>
      </c>
      <c r="R415" s="3">
        <v>1.8632988724729713E-3</v>
      </c>
      <c r="S415" s="3">
        <v>4355520</v>
      </c>
      <c r="T415" s="3">
        <v>0</v>
      </c>
    </row>
    <row r="416" spans="2:20" x14ac:dyDescent="0.2">
      <c r="B416">
        <v>49128</v>
      </c>
      <c r="C416" s="6">
        <v>2.9635699999999999E-6</v>
      </c>
      <c r="D416" s="1" t="s">
        <v>457</v>
      </c>
      <c r="E416" s="3">
        <v>0.84</v>
      </c>
      <c r="F416" s="7">
        <v>0.82517521495231583</v>
      </c>
      <c r="G416" s="7">
        <v>36985353600</v>
      </c>
      <c r="H416" s="7">
        <v>0</v>
      </c>
      <c r="I416" s="3">
        <f t="shared" si="6"/>
        <v>42807.12222222222</v>
      </c>
      <c r="L416" s="1">
        <v>49107</v>
      </c>
      <c r="M416" s="3">
        <v>2.094E-10</v>
      </c>
      <c r="N416" s="1" t="s">
        <v>443</v>
      </c>
      <c r="O416" s="1">
        <v>58</v>
      </c>
      <c r="P416" s="1">
        <v>49</v>
      </c>
      <c r="Q416" s="3">
        <v>1944</v>
      </c>
      <c r="R416" s="3">
        <v>3.5655719164606238E-4</v>
      </c>
      <c r="S416" s="3">
        <v>2613312</v>
      </c>
      <c r="T416" s="3">
        <v>0</v>
      </c>
    </row>
    <row r="417" spans="2:20" x14ac:dyDescent="0.2">
      <c r="B417">
        <v>49129</v>
      </c>
      <c r="C417" s="6">
        <v>3.9897000000000001E-6</v>
      </c>
      <c r="D417" s="1" t="s">
        <v>458</v>
      </c>
      <c r="E417" s="3">
        <v>0.61099999999999999</v>
      </c>
      <c r="F417" s="7">
        <v>1.1344471040260971</v>
      </c>
      <c r="G417" s="7">
        <v>49791456000</v>
      </c>
      <c r="H417" s="7">
        <v>0</v>
      </c>
      <c r="I417" s="3">
        <f t="shared" si="6"/>
        <v>57629</v>
      </c>
      <c r="L417" s="1">
        <v>49116</v>
      </c>
      <c r="M417" s="3">
        <v>2.7919999999999998E-10</v>
      </c>
      <c r="N417" s="1" t="s">
        <v>445</v>
      </c>
      <c r="O417" s="1">
        <v>67</v>
      </c>
      <c r="P417" s="1">
        <v>49</v>
      </c>
      <c r="Q417" s="3">
        <v>14.1</v>
      </c>
      <c r="R417" s="3">
        <v>4.9159374507797539E-2</v>
      </c>
      <c r="S417" s="3">
        <v>3484415.9999999995</v>
      </c>
      <c r="T417" s="3">
        <v>0</v>
      </c>
    </row>
    <row r="418" spans="2:20" x14ac:dyDescent="0.2">
      <c r="B418">
        <v>49130</v>
      </c>
      <c r="C418" s="6">
        <v>2.80645E-6</v>
      </c>
      <c r="D418" s="1" t="s">
        <v>459</v>
      </c>
      <c r="E418" s="3">
        <v>0.28999999999999998</v>
      </c>
      <c r="F418" s="7">
        <v>2.3901626915860184</v>
      </c>
      <c r="G418" s="7">
        <v>35024496000</v>
      </c>
      <c r="H418" s="7">
        <v>0</v>
      </c>
      <c r="I418" s="3">
        <f t="shared" si="6"/>
        <v>40537.611111111109</v>
      </c>
      <c r="L418" s="1">
        <v>49117</v>
      </c>
      <c r="M418" s="3">
        <v>4.9557999999999998E-9</v>
      </c>
      <c r="N418" s="1" t="s">
        <v>446</v>
      </c>
      <c r="O418" s="1">
        <v>68</v>
      </c>
      <c r="P418" s="1">
        <v>49</v>
      </c>
      <c r="Q418" s="3">
        <v>2592</v>
      </c>
      <c r="R418" s="3">
        <v>2.6741789373454681E-4</v>
      </c>
      <c r="S418" s="3">
        <v>61848384</v>
      </c>
      <c r="T418" s="3">
        <v>0</v>
      </c>
    </row>
    <row r="419" spans="2:20" x14ac:dyDescent="0.2">
      <c r="B419">
        <v>49131</v>
      </c>
      <c r="C419" s="6">
        <v>1.9545399999999999E-6</v>
      </c>
      <c r="D419" s="1" t="s">
        <v>460</v>
      </c>
      <c r="E419" s="3">
        <v>0.28000000000000003</v>
      </c>
      <c r="F419" s="7">
        <v>2.4755256448569471</v>
      </c>
      <c r="G419" s="7">
        <v>24392659200</v>
      </c>
      <c r="H419" s="7">
        <v>0</v>
      </c>
      <c r="I419" s="3">
        <f t="shared" si="6"/>
        <v>28232.244444444445</v>
      </c>
      <c r="L419" s="1">
        <v>49118</v>
      </c>
      <c r="M419" s="3">
        <v>1.8078199999999999E-8</v>
      </c>
      <c r="N419" s="1" t="s">
        <v>447</v>
      </c>
      <c r="O419" s="1">
        <v>69</v>
      </c>
      <c r="P419" s="1">
        <v>49</v>
      </c>
      <c r="Q419" s="3">
        <v>5</v>
      </c>
      <c r="R419" s="3">
        <v>0.13862943611198905</v>
      </c>
      <c r="S419" s="3">
        <v>225615936</v>
      </c>
      <c r="T419" s="3">
        <v>0</v>
      </c>
    </row>
    <row r="420" spans="2:20" x14ac:dyDescent="0.2">
      <c r="B420">
        <v>49132</v>
      </c>
      <c r="C420" s="6">
        <v>5.43114E-7</v>
      </c>
      <c r="D420" s="1" t="s">
        <v>461</v>
      </c>
      <c r="E420" s="3">
        <v>0.20699999999999999</v>
      </c>
      <c r="F420" s="7">
        <v>3.348537104154325</v>
      </c>
      <c r="G420" s="7">
        <v>6778062720</v>
      </c>
      <c r="H420" s="7">
        <v>0</v>
      </c>
      <c r="I420" s="3">
        <f t="shared" si="6"/>
        <v>7844.98</v>
      </c>
      <c r="L420" s="1">
        <v>49119</v>
      </c>
      <c r="M420" s="3">
        <v>8.8994999999999997E-8</v>
      </c>
      <c r="N420" s="1" t="s">
        <v>448</v>
      </c>
      <c r="O420" s="1">
        <v>70</v>
      </c>
      <c r="P420" s="1">
        <v>49</v>
      </c>
      <c r="Q420" s="3">
        <v>144</v>
      </c>
      <c r="R420" s="3">
        <v>4.8135220872218424E-3</v>
      </c>
      <c r="S420" s="3">
        <v>1110657600</v>
      </c>
      <c r="T420" s="3">
        <v>0</v>
      </c>
    </row>
    <row r="421" spans="2:20" x14ac:dyDescent="0.2">
      <c r="B421">
        <v>50103</v>
      </c>
      <c r="C421" s="6">
        <v>1.7791999999999999E-7</v>
      </c>
      <c r="D421" s="1" t="s">
        <v>462</v>
      </c>
      <c r="E421" s="3">
        <v>7</v>
      </c>
      <c r="F421" s="7">
        <v>9.9021025794277892E-2</v>
      </c>
      <c r="G421" s="7">
        <v>2220441600</v>
      </c>
      <c r="H421" s="7">
        <v>0</v>
      </c>
      <c r="I421" s="3">
        <f t="shared" si="6"/>
        <v>2569.9555555555557</v>
      </c>
      <c r="L421" s="1">
        <v>49120</v>
      </c>
      <c r="M421" s="3">
        <v>2.11983E-7</v>
      </c>
      <c r="N421" s="1" t="s">
        <v>449</v>
      </c>
      <c r="O421" s="1">
        <v>71</v>
      </c>
      <c r="P421" s="1">
        <v>49</v>
      </c>
      <c r="Q421" s="3">
        <v>3.08</v>
      </c>
      <c r="R421" s="3">
        <v>0.22504778589608612</v>
      </c>
      <c r="S421" s="3">
        <v>2645547840</v>
      </c>
      <c r="T421" s="3">
        <v>0</v>
      </c>
    </row>
    <row r="422" spans="2:20" x14ac:dyDescent="0.2">
      <c r="B422">
        <v>50104</v>
      </c>
      <c r="C422" s="6">
        <v>3.5458400000000001E-8</v>
      </c>
      <c r="D422" s="1" t="s">
        <v>463</v>
      </c>
      <c r="E422" s="3">
        <v>20.8</v>
      </c>
      <c r="F422" s="7">
        <v>3.3324383680766602E-2</v>
      </c>
      <c r="G422" s="7">
        <v>442520832</v>
      </c>
      <c r="H422" s="7">
        <v>0</v>
      </c>
      <c r="I422" s="3">
        <f t="shared" si="6"/>
        <v>512.17688888888893</v>
      </c>
      <c r="L422" s="1">
        <v>49121</v>
      </c>
      <c r="M422" s="3">
        <v>7.48745E-7</v>
      </c>
      <c r="N422" s="1" t="s">
        <v>450</v>
      </c>
      <c r="O422" s="1">
        <v>72</v>
      </c>
      <c r="P422" s="1">
        <v>49</v>
      </c>
      <c r="Q422" s="3">
        <v>23.1</v>
      </c>
      <c r="R422" s="3">
        <v>3.0006371452811483E-2</v>
      </c>
      <c r="S422" s="3">
        <v>9344337600</v>
      </c>
      <c r="T422" s="3">
        <v>0</v>
      </c>
    </row>
    <row r="423" spans="2:20" x14ac:dyDescent="0.2">
      <c r="B423">
        <v>50105</v>
      </c>
      <c r="C423" s="6">
        <v>5.6537999999999996E-9</v>
      </c>
      <c r="D423" s="1" t="s">
        <v>464</v>
      </c>
      <c r="E423" s="3">
        <v>32.700000000000003</v>
      </c>
      <c r="F423" s="7">
        <v>2.1197161485013615E-2</v>
      </c>
      <c r="G423" s="7">
        <v>70559424</v>
      </c>
      <c r="H423" s="7">
        <v>0</v>
      </c>
      <c r="I423" s="3">
        <f t="shared" si="6"/>
        <v>81.666000000000011</v>
      </c>
      <c r="L423" s="1">
        <v>49122</v>
      </c>
      <c r="M423" s="3">
        <v>1.18772E-6</v>
      </c>
      <c r="N423" s="1" t="s">
        <v>451</v>
      </c>
      <c r="O423" s="1">
        <v>73</v>
      </c>
      <c r="P423" s="1">
        <v>49</v>
      </c>
      <c r="Q423" s="3">
        <v>1.5</v>
      </c>
      <c r="R423" s="3">
        <v>0.46209812037329684</v>
      </c>
      <c r="S423" s="3">
        <v>14822745600</v>
      </c>
      <c r="T423" s="3">
        <v>0</v>
      </c>
    </row>
    <row r="424" spans="2:20" x14ac:dyDescent="0.2">
      <c r="B424">
        <v>50106</v>
      </c>
      <c r="C424" s="6">
        <v>6.9799999999999997E-10</v>
      </c>
      <c r="D424" s="1" t="s">
        <v>465</v>
      </c>
      <c r="E424" s="3">
        <v>115</v>
      </c>
      <c r="F424" s="7">
        <v>6.0273667874777854E-3</v>
      </c>
      <c r="G424" s="7">
        <v>8711040</v>
      </c>
      <c r="H424" s="7">
        <v>0</v>
      </c>
      <c r="I424" s="3">
        <f t="shared" si="6"/>
        <v>10.082222222222223</v>
      </c>
      <c r="L424" s="1">
        <v>49123</v>
      </c>
      <c r="M424" s="3">
        <v>2.8019799999999999E-6</v>
      </c>
      <c r="N424" s="1" t="s">
        <v>452</v>
      </c>
      <c r="O424" s="1">
        <v>74</v>
      </c>
      <c r="P424" s="1">
        <v>49</v>
      </c>
      <c r="Q424" s="3">
        <v>6.17</v>
      </c>
      <c r="R424" s="3">
        <v>0.11234152035007217</v>
      </c>
      <c r="S424" s="3">
        <v>34968710400</v>
      </c>
      <c r="T424" s="3">
        <v>0</v>
      </c>
    </row>
    <row r="425" spans="2:20" x14ac:dyDescent="0.2">
      <c r="B425">
        <v>50121</v>
      </c>
      <c r="C425" s="6">
        <v>3.3364400000000002E-8</v>
      </c>
      <c r="D425" s="1" t="s">
        <v>466</v>
      </c>
      <c r="E425" s="3">
        <v>97308</v>
      </c>
      <c r="F425" s="7">
        <v>7.1232291338835997E-6</v>
      </c>
      <c r="G425" s="7">
        <v>415503318.46976709</v>
      </c>
      <c r="H425" s="7">
        <v>1.1467369440271672E-89</v>
      </c>
      <c r="I425" s="3">
        <f t="shared" si="6"/>
        <v>480.90661859926746</v>
      </c>
      <c r="L425" s="1">
        <v>49124</v>
      </c>
      <c r="M425" s="3">
        <v>3.2506599999999998E-6</v>
      </c>
      <c r="N425" s="1" t="s">
        <v>453</v>
      </c>
      <c r="O425" s="1">
        <v>75</v>
      </c>
      <c r="P425" s="1">
        <v>49</v>
      </c>
      <c r="Q425" s="3">
        <v>3.12</v>
      </c>
      <c r="R425" s="3">
        <v>0.22216255787177733</v>
      </c>
      <c r="S425" s="3">
        <v>40568236800</v>
      </c>
      <c r="T425" s="3">
        <v>0</v>
      </c>
    </row>
    <row r="426" spans="2:20" x14ac:dyDescent="0.2">
      <c r="B426">
        <v>50123</v>
      </c>
      <c r="C426" s="6">
        <v>2.9993099999999999E-7</v>
      </c>
      <c r="D426" s="1" t="s">
        <v>467</v>
      </c>
      <c r="E426" s="3">
        <v>11162879.999999899</v>
      </c>
      <c r="F426" s="7">
        <v>6.2093938173656935E-8</v>
      </c>
      <c r="G426" s="7">
        <v>195524508.43366456</v>
      </c>
      <c r="H426" s="7">
        <v>27591046.009881824</v>
      </c>
      <c r="I426" s="3">
        <f t="shared" si="6"/>
        <v>226.30151439081544</v>
      </c>
      <c r="L426" s="1">
        <v>49125</v>
      </c>
      <c r="M426" s="3">
        <v>5.6286699999999996E-6</v>
      </c>
      <c r="N426" s="1" t="s">
        <v>454</v>
      </c>
      <c r="O426" s="1">
        <v>76</v>
      </c>
      <c r="P426" s="1">
        <v>49</v>
      </c>
      <c r="Q426" s="3">
        <v>2.36</v>
      </c>
      <c r="R426" s="3">
        <v>0.29370643244065481</v>
      </c>
      <c r="S426" s="3">
        <v>70245801600</v>
      </c>
      <c r="T426" s="3">
        <v>0</v>
      </c>
    </row>
    <row r="427" spans="2:20" x14ac:dyDescent="0.2">
      <c r="B427">
        <v>50124</v>
      </c>
      <c r="C427" s="6">
        <v>8.3606399999999999E-7</v>
      </c>
      <c r="D427" s="1" t="s">
        <v>468</v>
      </c>
      <c r="E427" s="3">
        <v>3.786912E+28</v>
      </c>
      <c r="F427" s="7">
        <v>1.8303757271358439E-29</v>
      </c>
      <c r="G427" s="7">
        <v>0</v>
      </c>
      <c r="H427" s="7">
        <v>0</v>
      </c>
      <c r="I427" s="3">
        <f t="shared" si="6"/>
        <v>0</v>
      </c>
      <c r="L427" s="1">
        <v>49126</v>
      </c>
      <c r="M427" s="3">
        <v>4.4563099999999999E-6</v>
      </c>
      <c r="N427" s="1" t="s">
        <v>455</v>
      </c>
      <c r="O427" s="1">
        <v>77</v>
      </c>
      <c r="P427" s="1">
        <v>49</v>
      </c>
      <c r="Q427" s="3">
        <v>1.53</v>
      </c>
      <c r="R427" s="3">
        <v>0.45303737291499691</v>
      </c>
      <c r="S427" s="3">
        <v>55614748800</v>
      </c>
      <c r="T427" s="3">
        <v>0</v>
      </c>
    </row>
    <row r="428" spans="2:20" x14ac:dyDescent="0.2">
      <c r="B428">
        <v>50125</v>
      </c>
      <c r="C428" s="6">
        <v>1.4695700000000001E-6</v>
      </c>
      <c r="D428" s="1" t="s">
        <v>469</v>
      </c>
      <c r="E428" s="3">
        <v>832896</v>
      </c>
      <c r="F428" s="7">
        <v>8.3221336224444019E-7</v>
      </c>
      <c r="G428" s="7">
        <v>9404440937.9263363</v>
      </c>
      <c r="H428" s="7">
        <v>3.7619500343174059E-2</v>
      </c>
      <c r="I428" s="3">
        <f t="shared" si="6"/>
        <v>10884.769604081408</v>
      </c>
      <c r="L428" s="1">
        <v>49127</v>
      </c>
      <c r="M428" s="3">
        <v>4.80734E-6</v>
      </c>
      <c r="N428" s="1" t="s">
        <v>456</v>
      </c>
      <c r="O428" s="1">
        <v>78</v>
      </c>
      <c r="P428" s="1">
        <v>49</v>
      </c>
      <c r="Q428" s="3">
        <v>1.0900000000000001</v>
      </c>
      <c r="R428" s="3">
        <v>0.63591484455040848</v>
      </c>
      <c r="S428" s="3">
        <v>59995603200</v>
      </c>
      <c r="T428" s="3">
        <v>0</v>
      </c>
    </row>
    <row r="429" spans="2:20" x14ac:dyDescent="0.2">
      <c r="B429">
        <v>50126</v>
      </c>
      <c r="C429" s="6">
        <v>3.19907E-6</v>
      </c>
      <c r="D429" s="1" t="s">
        <v>470</v>
      </c>
      <c r="E429" s="3">
        <v>7258248000000</v>
      </c>
      <c r="F429" s="7">
        <v>9.5497864024478811E-14</v>
      </c>
      <c r="G429" s="7">
        <v>3294.1677507436948</v>
      </c>
      <c r="H429" s="7">
        <v>3294.1578299750445</v>
      </c>
      <c r="I429" s="3">
        <f t="shared" si="6"/>
        <v>3.8126941559533502E-3</v>
      </c>
      <c r="L429" s="1">
        <v>49128</v>
      </c>
      <c r="M429" s="3">
        <v>2.69951E-6</v>
      </c>
      <c r="N429" s="1" t="s">
        <v>457</v>
      </c>
      <c r="O429" s="1">
        <v>79</v>
      </c>
      <c r="P429" s="1">
        <v>49</v>
      </c>
      <c r="Q429" s="3">
        <v>0.84</v>
      </c>
      <c r="R429" s="3">
        <v>0.82517521495231583</v>
      </c>
      <c r="S429" s="3">
        <v>33689884800</v>
      </c>
      <c r="T429" s="3">
        <v>0</v>
      </c>
    </row>
    <row r="430" spans="2:20" x14ac:dyDescent="0.2">
      <c r="B430">
        <v>50127</v>
      </c>
      <c r="C430" s="6">
        <v>5.3452799999999998E-6</v>
      </c>
      <c r="D430" s="1" t="s">
        <v>471</v>
      </c>
      <c r="E430" s="3">
        <v>7560</v>
      </c>
      <c r="F430" s="7">
        <v>9.1686134994701753E-5</v>
      </c>
      <c r="G430" s="7">
        <v>66709094400</v>
      </c>
      <c r="H430" s="7">
        <v>0</v>
      </c>
      <c r="I430" s="3">
        <f t="shared" si="6"/>
        <v>77209.600000000006</v>
      </c>
      <c r="L430" s="1">
        <v>49129</v>
      </c>
      <c r="M430" s="3">
        <v>1.7629399999999999E-6</v>
      </c>
      <c r="N430" s="1" t="s">
        <v>458</v>
      </c>
      <c r="O430" s="1">
        <v>80</v>
      </c>
      <c r="P430" s="1">
        <v>49</v>
      </c>
      <c r="Q430" s="3">
        <v>0.61099999999999999</v>
      </c>
      <c r="R430" s="3">
        <v>1.1344471040260971</v>
      </c>
      <c r="S430" s="3">
        <v>22001491200</v>
      </c>
      <c r="T430" s="3">
        <v>0</v>
      </c>
    </row>
    <row r="431" spans="2:20" x14ac:dyDescent="0.2">
      <c r="B431">
        <v>50128</v>
      </c>
      <c r="C431" s="6">
        <v>1.02392E-5</v>
      </c>
      <c r="D431" s="1" t="s">
        <v>472</v>
      </c>
      <c r="E431" s="3">
        <v>3544.2</v>
      </c>
      <c r="F431" s="7">
        <v>1.9557225341683464E-4</v>
      </c>
      <c r="G431" s="7">
        <v>127785216000</v>
      </c>
      <c r="H431" s="7">
        <v>0</v>
      </c>
      <c r="I431" s="3">
        <f t="shared" si="6"/>
        <v>147899.55555555556</v>
      </c>
      <c r="L431" s="1">
        <v>49130</v>
      </c>
      <c r="M431" s="3">
        <v>5.3222500000000002E-7</v>
      </c>
      <c r="N431" s="1" t="s">
        <v>459</v>
      </c>
      <c r="O431" s="1">
        <v>81</v>
      </c>
      <c r="P431" s="1">
        <v>49</v>
      </c>
      <c r="Q431" s="3">
        <v>0.28999999999999998</v>
      </c>
      <c r="R431" s="3">
        <v>2.3901626915860184</v>
      </c>
      <c r="S431" s="3">
        <v>6642168000</v>
      </c>
      <c r="T431" s="3">
        <v>0</v>
      </c>
    </row>
    <row r="432" spans="2:20" x14ac:dyDescent="0.2">
      <c r="B432">
        <v>50129</v>
      </c>
      <c r="C432" s="6">
        <v>1.5143000000000001E-5</v>
      </c>
      <c r="D432" s="1" t="s">
        <v>473</v>
      </c>
      <c r="E432" s="3">
        <v>133.80000000000001</v>
      </c>
      <c r="F432" s="7">
        <v>5.1804722014943587E-3</v>
      </c>
      <c r="G432" s="7">
        <v>188984640000</v>
      </c>
      <c r="H432" s="7">
        <v>0</v>
      </c>
      <c r="I432" s="3">
        <f t="shared" si="6"/>
        <v>218732.22222222222</v>
      </c>
      <c r="L432" s="1">
        <v>49131</v>
      </c>
      <c r="M432" s="3">
        <v>8.7459399999999998E-8</v>
      </c>
      <c r="N432" s="1" t="s">
        <v>460</v>
      </c>
      <c r="O432" s="1">
        <v>82</v>
      </c>
      <c r="P432" s="1">
        <v>49</v>
      </c>
      <c r="Q432" s="3">
        <v>0.28000000000000003</v>
      </c>
      <c r="R432" s="3">
        <v>2.4755256448569471</v>
      </c>
      <c r="S432" s="3">
        <v>1091493312</v>
      </c>
      <c r="T432" s="3">
        <v>0</v>
      </c>
    </row>
    <row r="433" spans="2:20" x14ac:dyDescent="0.2">
      <c r="B433">
        <v>50130</v>
      </c>
      <c r="C433" s="6">
        <v>2.2957200000000001E-5</v>
      </c>
      <c r="D433" s="1" t="s">
        <v>474</v>
      </c>
      <c r="E433" s="3">
        <v>223.2</v>
      </c>
      <c r="F433" s="7">
        <v>3.1054981207882856E-3</v>
      </c>
      <c r="G433" s="7">
        <v>286505856000</v>
      </c>
      <c r="H433" s="7">
        <v>0</v>
      </c>
      <c r="I433" s="3">
        <f t="shared" si="6"/>
        <v>331604</v>
      </c>
      <c r="L433" s="1">
        <v>50103</v>
      </c>
      <c r="M433" s="3">
        <v>4.8092200000000002E-8</v>
      </c>
      <c r="N433" s="1" t="s">
        <v>462</v>
      </c>
      <c r="O433" s="1">
        <v>53</v>
      </c>
      <c r="P433" s="1">
        <v>50</v>
      </c>
      <c r="Q433" s="3">
        <v>7</v>
      </c>
      <c r="R433" s="3">
        <v>9.9021025794277892E-2</v>
      </c>
      <c r="S433" s="3">
        <v>600190656</v>
      </c>
      <c r="T433" s="3">
        <v>0</v>
      </c>
    </row>
    <row r="434" spans="2:20" x14ac:dyDescent="0.2">
      <c r="B434">
        <v>50131</v>
      </c>
      <c r="C434" s="6">
        <v>2.2952800000000002E-5</v>
      </c>
      <c r="D434" s="1" t="s">
        <v>475</v>
      </c>
      <c r="E434" s="3">
        <v>56</v>
      </c>
      <c r="F434" s="7">
        <v>1.2377628224284737E-2</v>
      </c>
      <c r="G434" s="7">
        <v>286450944000</v>
      </c>
      <c r="H434" s="7">
        <v>0</v>
      </c>
      <c r="I434" s="3">
        <f t="shared" si="6"/>
        <v>331540.44444444444</v>
      </c>
      <c r="L434" s="1">
        <v>50104</v>
      </c>
      <c r="M434" s="3">
        <v>7.3987999999999997E-9</v>
      </c>
      <c r="N434" s="1" t="s">
        <v>463</v>
      </c>
      <c r="O434" s="1">
        <v>54</v>
      </c>
      <c r="P434" s="1">
        <v>50</v>
      </c>
      <c r="Q434" s="3">
        <v>20.8</v>
      </c>
      <c r="R434" s="3">
        <v>3.3324383680766602E-2</v>
      </c>
      <c r="S434" s="3">
        <v>92337024</v>
      </c>
      <c r="T434" s="3">
        <v>0</v>
      </c>
    </row>
    <row r="435" spans="2:20" x14ac:dyDescent="0.2">
      <c r="B435">
        <v>50132</v>
      </c>
      <c r="C435" s="6">
        <v>2.00485E-5</v>
      </c>
      <c r="D435" s="1" t="s">
        <v>476</v>
      </c>
      <c r="E435" s="3">
        <v>39.700000000000003</v>
      </c>
      <c r="F435" s="7">
        <v>1.7459626714356302E-2</v>
      </c>
      <c r="G435" s="7">
        <v>250205280000</v>
      </c>
      <c r="H435" s="7">
        <v>0</v>
      </c>
      <c r="I435" s="3">
        <f t="shared" si="6"/>
        <v>289589.44444444444</v>
      </c>
      <c r="L435" s="1">
        <v>50105</v>
      </c>
      <c r="M435" s="3">
        <v>3.3503999999999999E-9</v>
      </c>
      <c r="N435" s="1" t="s">
        <v>464</v>
      </c>
      <c r="O435" s="1">
        <v>55</v>
      </c>
      <c r="P435" s="1">
        <v>50</v>
      </c>
      <c r="Q435" s="3">
        <v>32.700000000000003</v>
      </c>
      <c r="R435" s="3">
        <v>2.1197161485013615E-2</v>
      </c>
      <c r="S435" s="3">
        <v>41812992</v>
      </c>
      <c r="T435" s="3">
        <v>0</v>
      </c>
    </row>
    <row r="436" spans="2:20" x14ac:dyDescent="0.2">
      <c r="B436">
        <v>50133</v>
      </c>
      <c r="C436" s="6">
        <v>7.7809599999999994E-6</v>
      </c>
      <c r="D436" s="1" t="s">
        <v>477</v>
      </c>
      <c r="E436" s="3">
        <v>1.46</v>
      </c>
      <c r="F436" s="7">
        <v>0.47475834284927759</v>
      </c>
      <c r="G436" s="7">
        <v>97106380800</v>
      </c>
      <c r="H436" s="7">
        <v>0</v>
      </c>
      <c r="I436" s="3">
        <f t="shared" si="6"/>
        <v>112391.64444444445</v>
      </c>
      <c r="L436" s="1">
        <v>50106</v>
      </c>
      <c r="M436" s="3">
        <v>2.7919999999999998E-10</v>
      </c>
      <c r="N436" s="1" t="s">
        <v>465</v>
      </c>
      <c r="O436" s="1">
        <v>56</v>
      </c>
      <c r="P436" s="1">
        <v>50</v>
      </c>
      <c r="Q436" s="3">
        <v>115</v>
      </c>
      <c r="R436" s="3">
        <v>6.0273667874777854E-3</v>
      </c>
      <c r="S436" s="3">
        <v>3484415.9999999995</v>
      </c>
      <c r="T436" s="3">
        <v>0</v>
      </c>
    </row>
    <row r="437" spans="2:20" x14ac:dyDescent="0.2">
      <c r="B437">
        <v>50134</v>
      </c>
      <c r="C437" s="6">
        <v>2.86354E-6</v>
      </c>
      <c r="D437" s="1" t="s">
        <v>478</v>
      </c>
      <c r="E437" s="3">
        <v>1.05</v>
      </c>
      <c r="F437" s="7">
        <v>0.6601401719618526</v>
      </c>
      <c r="G437" s="7">
        <v>35736979200</v>
      </c>
      <c r="H437" s="7">
        <v>0</v>
      </c>
      <c r="I437" s="3">
        <f t="shared" si="6"/>
        <v>41362.244444444441</v>
      </c>
      <c r="L437" s="1">
        <v>50107</v>
      </c>
      <c r="M437" s="3">
        <v>6.9799999999999994E-11</v>
      </c>
      <c r="N437" s="1" t="s">
        <v>479</v>
      </c>
      <c r="O437" s="1">
        <v>57</v>
      </c>
      <c r="P437" s="1">
        <v>50</v>
      </c>
      <c r="Q437" s="3">
        <v>174</v>
      </c>
      <c r="R437" s="3">
        <v>3.9836044859766972E-3</v>
      </c>
      <c r="S437" s="3">
        <v>871103.99999999988</v>
      </c>
      <c r="T437" s="3">
        <v>0</v>
      </c>
    </row>
    <row r="438" spans="2:20" x14ac:dyDescent="0.2">
      <c r="B438">
        <v>51108</v>
      </c>
      <c r="C438" s="6">
        <v>5.9937300000000003E-7</v>
      </c>
      <c r="D438" s="1" t="s">
        <v>480</v>
      </c>
      <c r="E438" s="3">
        <v>7.4</v>
      </c>
      <c r="F438" s="7">
        <v>9.3668537913506114E-2</v>
      </c>
      <c r="G438" s="7">
        <v>7480175040</v>
      </c>
      <c r="H438" s="7">
        <v>0</v>
      </c>
      <c r="I438" s="3">
        <f t="shared" si="6"/>
        <v>8657.61</v>
      </c>
      <c r="L438" s="1">
        <v>50108</v>
      </c>
      <c r="M438" s="3">
        <v>6.9799999999999994E-11</v>
      </c>
      <c r="N438" s="1" t="s">
        <v>481</v>
      </c>
      <c r="O438" s="1">
        <v>58</v>
      </c>
      <c r="P438" s="1">
        <v>50</v>
      </c>
      <c r="Q438" s="3">
        <v>618</v>
      </c>
      <c r="R438" s="3">
        <v>1.1215973795468371E-3</v>
      </c>
      <c r="S438" s="3">
        <v>871103.99999999988</v>
      </c>
      <c r="T438" s="3">
        <v>0</v>
      </c>
    </row>
    <row r="439" spans="2:20" x14ac:dyDescent="0.2">
      <c r="B439">
        <v>51109</v>
      </c>
      <c r="C439" s="6">
        <v>1.1126100000000001E-7</v>
      </c>
      <c r="D439" s="1" t="s">
        <v>482</v>
      </c>
      <c r="E439" s="3">
        <v>17</v>
      </c>
      <c r="F439" s="7">
        <v>4.0773363562349722E-2</v>
      </c>
      <c r="G439" s="7">
        <v>1388537280</v>
      </c>
      <c r="H439" s="7">
        <v>0</v>
      </c>
      <c r="I439" s="3">
        <f t="shared" si="6"/>
        <v>1607.1033333333332</v>
      </c>
      <c r="L439" s="1">
        <v>50121</v>
      </c>
      <c r="M439" s="3">
        <v>4.2647800000000002E-8</v>
      </c>
      <c r="N439" s="1" t="s">
        <v>466</v>
      </c>
      <c r="O439" s="1">
        <v>71</v>
      </c>
      <c r="P439" s="1">
        <v>50</v>
      </c>
      <c r="Q439" s="3">
        <v>97308</v>
      </c>
      <c r="R439" s="3">
        <v>7.1232291338835997E-6</v>
      </c>
      <c r="S439" s="3">
        <v>531114074.44566464</v>
      </c>
      <c r="T439" s="3">
        <v>1.4658081020933036E-89</v>
      </c>
    </row>
    <row r="440" spans="2:20" x14ac:dyDescent="0.2">
      <c r="B440">
        <v>51110</v>
      </c>
      <c r="C440" s="6">
        <v>1.34016E-8</v>
      </c>
      <c r="D440" s="1" t="s">
        <v>483</v>
      </c>
      <c r="E440" s="3">
        <v>23</v>
      </c>
      <c r="F440" s="7">
        <v>3.0136833937388925E-2</v>
      </c>
      <c r="G440" s="7">
        <v>167251968</v>
      </c>
      <c r="H440" s="7">
        <v>0</v>
      </c>
      <c r="I440" s="3">
        <f t="shared" si="6"/>
        <v>193.57866666666669</v>
      </c>
      <c r="L440" s="1">
        <v>50123</v>
      </c>
      <c r="M440" s="3">
        <v>5.71034E-7</v>
      </c>
      <c r="N440" s="1" t="s">
        <v>467</v>
      </c>
      <c r="O440" s="1">
        <v>73</v>
      </c>
      <c r="P440" s="1">
        <v>50</v>
      </c>
      <c r="Q440" s="3">
        <v>11162879.999999899</v>
      </c>
      <c r="R440" s="3">
        <v>6.2093938173656935E-8</v>
      </c>
      <c r="S440" s="3">
        <v>372256092.73102552</v>
      </c>
      <c r="T440" s="3">
        <v>52530166.495650195</v>
      </c>
    </row>
    <row r="441" spans="2:20" x14ac:dyDescent="0.2">
      <c r="B441">
        <v>51111</v>
      </c>
      <c r="C441" s="6">
        <v>1.6054000000000001E-9</v>
      </c>
      <c r="D441" s="1" t="s">
        <v>484</v>
      </c>
      <c r="E441" s="3">
        <v>75</v>
      </c>
      <c r="F441" s="7">
        <v>9.2419624074659371E-3</v>
      </c>
      <c r="G441" s="7">
        <v>20035392</v>
      </c>
      <c r="H441" s="7">
        <v>0</v>
      </c>
      <c r="I441" s="3">
        <f t="shared" si="6"/>
        <v>23.189111111111114</v>
      </c>
      <c r="L441" s="1">
        <v>50124</v>
      </c>
      <c r="M441" s="3">
        <v>2.1162000000000002E-6</v>
      </c>
      <c r="N441" s="1" t="s">
        <v>468</v>
      </c>
      <c r="O441" s="1">
        <v>74</v>
      </c>
      <c r="P441" s="1">
        <v>50</v>
      </c>
      <c r="Q441" s="3">
        <v>3.786912E+28</v>
      </c>
      <c r="R441" s="3">
        <v>1.8303757271358439E-29</v>
      </c>
      <c r="S441" s="3">
        <v>0</v>
      </c>
      <c r="T441" s="3">
        <v>0</v>
      </c>
    </row>
    <row r="442" spans="2:20" x14ac:dyDescent="0.2">
      <c r="B442">
        <v>51119</v>
      </c>
      <c r="C442" s="6">
        <v>1.3959999999999999E-10</v>
      </c>
      <c r="D442" s="1" t="s">
        <v>485</v>
      </c>
      <c r="E442" s="3">
        <v>137484</v>
      </c>
      <c r="F442" s="7">
        <v>5.0416570696222494E-6</v>
      </c>
      <c r="G442" s="7">
        <v>1719855.9766957629</v>
      </c>
      <c r="H442" s="7">
        <v>1.5325218122183738E-63</v>
      </c>
      <c r="I442" s="3">
        <f t="shared" si="6"/>
        <v>1.9905740471015776</v>
      </c>
      <c r="L442" s="1">
        <v>50125</v>
      </c>
      <c r="M442" s="3">
        <v>3.0897700000000001E-6</v>
      </c>
      <c r="N442" s="1" t="s">
        <v>469</v>
      </c>
      <c r="O442" s="1">
        <v>75</v>
      </c>
      <c r="P442" s="1">
        <v>50</v>
      </c>
      <c r="Q442" s="3">
        <v>832896</v>
      </c>
      <c r="R442" s="3">
        <v>8.3221336224444019E-7</v>
      </c>
      <c r="S442" s="3">
        <v>19772831152.498119</v>
      </c>
      <c r="T442" s="3">
        <v>7.9094975792462371E-2</v>
      </c>
    </row>
    <row r="443" spans="2:20" x14ac:dyDescent="0.2">
      <c r="B443">
        <v>51120</v>
      </c>
      <c r="C443" s="6">
        <v>4.8860000000000005E-10</v>
      </c>
      <c r="D443" s="1" t="s">
        <v>486</v>
      </c>
      <c r="E443" s="3">
        <v>953.4</v>
      </c>
      <c r="F443" s="7">
        <v>7.2702662110336197E-4</v>
      </c>
      <c r="G443" s="7">
        <v>6097728.0000000009</v>
      </c>
      <c r="H443" s="7">
        <v>0</v>
      </c>
      <c r="I443" s="3">
        <f t="shared" si="6"/>
        <v>7.057555555555556</v>
      </c>
      <c r="L443" s="1">
        <v>50126</v>
      </c>
      <c r="M443" s="3">
        <v>7.5391000000000004E-6</v>
      </c>
      <c r="N443" s="1" t="s">
        <v>470</v>
      </c>
      <c r="O443" s="1">
        <v>76</v>
      </c>
      <c r="P443" s="1">
        <v>50</v>
      </c>
      <c r="Q443" s="3">
        <v>7258248000000</v>
      </c>
      <c r="R443" s="3">
        <v>9.5497864024478811E-14</v>
      </c>
      <c r="S443" s="3">
        <v>7763.2124616315959</v>
      </c>
      <c r="T443" s="3">
        <v>7763.18908181592</v>
      </c>
    </row>
    <row r="444" spans="2:20" x14ac:dyDescent="0.2">
      <c r="B444">
        <v>51122</v>
      </c>
      <c r="C444" s="6">
        <v>5.3746E-9</v>
      </c>
      <c r="D444" s="1" t="s">
        <v>487</v>
      </c>
      <c r="E444" s="3">
        <v>235336.32000000001</v>
      </c>
      <c r="F444" s="7">
        <v>2.9453472398988192E-6</v>
      </c>
      <c r="G444" s="7">
        <v>61810269.375897221</v>
      </c>
      <c r="H444" s="7">
        <v>2.8303987169375437E-33</v>
      </c>
      <c r="I444" s="3">
        <f t="shared" si="6"/>
        <v>71.53966362951067</v>
      </c>
      <c r="L444" s="1">
        <v>50127</v>
      </c>
      <c r="M444" s="3">
        <v>7.5761600000000002E-6</v>
      </c>
      <c r="N444" s="1" t="s">
        <v>471</v>
      </c>
      <c r="O444" s="1">
        <v>77</v>
      </c>
      <c r="P444" s="1">
        <v>50</v>
      </c>
      <c r="Q444" s="3">
        <v>7560</v>
      </c>
      <c r="R444" s="3">
        <v>9.1686134994701753E-5</v>
      </c>
      <c r="S444" s="3">
        <v>94550476800</v>
      </c>
      <c r="T444" s="3">
        <v>0</v>
      </c>
    </row>
    <row r="445" spans="2:20" x14ac:dyDescent="0.2">
      <c r="B445">
        <v>51124</v>
      </c>
      <c r="C445" s="6">
        <v>7.28014E-8</v>
      </c>
      <c r="D445" s="1" t="s">
        <v>488</v>
      </c>
      <c r="E445" s="3">
        <v>5201280</v>
      </c>
      <c r="F445" s="7">
        <v>1.3326473109695023E-7</v>
      </c>
      <c r="G445" s="7">
        <v>98814498.02277568</v>
      </c>
      <c r="H445" s="7">
        <v>1477878.7390802731</v>
      </c>
      <c r="I445" s="3">
        <f t="shared" si="6"/>
        <v>114.3686319708052</v>
      </c>
      <c r="L445" s="1">
        <v>50128</v>
      </c>
      <c r="M445" s="3">
        <v>1.1311000000000001E-5</v>
      </c>
      <c r="N445" s="1" t="s">
        <v>472</v>
      </c>
      <c r="O445" s="1">
        <v>78</v>
      </c>
      <c r="P445" s="1">
        <v>50</v>
      </c>
      <c r="Q445" s="3">
        <v>3544.2</v>
      </c>
      <c r="R445" s="3">
        <v>1.9557225341683464E-4</v>
      </c>
      <c r="S445" s="3">
        <v>141161280000</v>
      </c>
      <c r="T445" s="3">
        <v>0</v>
      </c>
    </row>
    <row r="446" spans="2:20" x14ac:dyDescent="0.2">
      <c r="B446">
        <v>51125</v>
      </c>
      <c r="C446" s="6">
        <v>2.6831100000000003E-7</v>
      </c>
      <c r="D446" s="1" t="s">
        <v>489</v>
      </c>
      <c r="E446" s="3">
        <v>87053533.055999994</v>
      </c>
      <c r="F446" s="7">
        <v>7.9623095838517667E-9</v>
      </c>
      <c r="G446" s="7">
        <v>22956880.37273977</v>
      </c>
      <c r="H446" s="7">
        <v>17859191.308003314</v>
      </c>
      <c r="I446" s="3">
        <f t="shared" si="6"/>
        <v>26.570463394374734</v>
      </c>
      <c r="L446" s="1">
        <v>50129</v>
      </c>
      <c r="M446" s="3">
        <v>7.2390999999999999E-6</v>
      </c>
      <c r="N446" s="1" t="s">
        <v>473</v>
      </c>
      <c r="O446" s="1">
        <v>79</v>
      </c>
      <c r="P446" s="1">
        <v>50</v>
      </c>
      <c r="Q446" s="3">
        <v>133.80000000000001</v>
      </c>
      <c r="R446" s="3">
        <v>5.1804722014943587E-3</v>
      </c>
      <c r="S446" s="3">
        <v>90343968000</v>
      </c>
      <c r="T446" s="3">
        <v>0</v>
      </c>
    </row>
    <row r="447" spans="2:20" x14ac:dyDescent="0.2">
      <c r="B447">
        <v>51126</v>
      </c>
      <c r="C447" s="6">
        <v>5.6084300000000001E-7</v>
      </c>
      <c r="D447" s="1" t="s">
        <v>490</v>
      </c>
      <c r="E447" s="3">
        <v>1067040</v>
      </c>
      <c r="F447" s="7">
        <v>6.4959812243209751E-7</v>
      </c>
      <c r="G447" s="7">
        <v>3006250813.5807314</v>
      </c>
      <c r="H447" s="7">
        <v>3.8123018752263529</v>
      </c>
      <c r="I447" s="3">
        <f t="shared" si="6"/>
        <v>3479.4569601628832</v>
      </c>
      <c r="L447" s="1">
        <v>50130</v>
      </c>
      <c r="M447" s="3">
        <v>7.3581099999999998E-6</v>
      </c>
      <c r="N447" s="1" t="s">
        <v>474</v>
      </c>
      <c r="O447" s="1">
        <v>80</v>
      </c>
      <c r="P447" s="1">
        <v>50</v>
      </c>
      <c r="Q447" s="3">
        <v>223.2</v>
      </c>
      <c r="R447" s="3">
        <v>3.1054981207882856E-3</v>
      </c>
      <c r="S447" s="3">
        <v>91829212800</v>
      </c>
      <c r="T447" s="3">
        <v>0</v>
      </c>
    </row>
    <row r="448" spans="2:20" x14ac:dyDescent="0.2">
      <c r="B448">
        <v>51127</v>
      </c>
      <c r="C448" s="6">
        <v>1.5382500000000001E-6</v>
      </c>
      <c r="D448" s="1" t="s">
        <v>491</v>
      </c>
      <c r="E448" s="3">
        <v>332640</v>
      </c>
      <c r="F448" s="7">
        <v>2.083775795334131E-6</v>
      </c>
      <c r="G448" s="7">
        <v>16025270616.099474</v>
      </c>
      <c r="H448" s="7">
        <v>4.6301812396293282E-19</v>
      </c>
      <c r="I448" s="3">
        <f t="shared" si="6"/>
        <v>18547.766916781798</v>
      </c>
      <c r="L448" s="1">
        <v>50131</v>
      </c>
      <c r="M448" s="3">
        <v>2.7944400000000001E-6</v>
      </c>
      <c r="N448" s="1" t="s">
        <v>475</v>
      </c>
      <c r="O448" s="1">
        <v>81</v>
      </c>
      <c r="P448" s="1">
        <v>50</v>
      </c>
      <c r="Q448" s="3">
        <v>56</v>
      </c>
      <c r="R448" s="3">
        <v>1.2377628224284737E-2</v>
      </c>
      <c r="S448" s="3">
        <v>34874611200</v>
      </c>
      <c r="T448" s="3">
        <v>0</v>
      </c>
    </row>
    <row r="449" spans="2:20" x14ac:dyDescent="0.2">
      <c r="B449">
        <v>51128</v>
      </c>
      <c r="C449" s="6">
        <v>2.82515E-6</v>
      </c>
      <c r="D449" s="1" t="s">
        <v>492</v>
      </c>
      <c r="E449" s="3">
        <v>32580</v>
      </c>
      <c r="F449" s="7">
        <v>2.1275235744626926E-5</v>
      </c>
      <c r="G449" s="7">
        <v>35257871633.444122</v>
      </c>
      <c r="H449" s="7">
        <v>1.4572212062685626E-281</v>
      </c>
      <c r="I449" s="3">
        <f t="shared" si="6"/>
        <v>40807.721797967737</v>
      </c>
      <c r="L449" s="1">
        <v>50132</v>
      </c>
      <c r="M449" s="3">
        <v>1.12671E-6</v>
      </c>
      <c r="N449" s="1" t="s">
        <v>476</v>
      </c>
      <c r="O449" s="1">
        <v>82</v>
      </c>
      <c r="P449" s="1">
        <v>50</v>
      </c>
      <c r="Q449" s="3">
        <v>39.700000000000003</v>
      </c>
      <c r="R449" s="3">
        <v>1.7459626714356302E-2</v>
      </c>
      <c r="S449" s="3">
        <v>14061340800</v>
      </c>
      <c r="T449" s="3">
        <v>0</v>
      </c>
    </row>
    <row r="450" spans="2:20" x14ac:dyDescent="0.2">
      <c r="B450">
        <v>51129</v>
      </c>
      <c r="C450" s="6">
        <v>6.9429400000000003E-6</v>
      </c>
      <c r="D450" s="1" t="s">
        <v>493</v>
      </c>
      <c r="E450" s="3">
        <v>15717.5999999999</v>
      </c>
      <c r="F450" s="7">
        <v>4.4100064931029528E-5</v>
      </c>
      <c r="G450" s="7">
        <v>86647891200</v>
      </c>
      <c r="H450" s="7">
        <v>0</v>
      </c>
      <c r="I450" s="3">
        <f t="shared" si="6"/>
        <v>100286.91111111111</v>
      </c>
      <c r="L450" s="1">
        <v>50133</v>
      </c>
      <c r="M450" s="3">
        <v>2.6872999999999999E-8</v>
      </c>
      <c r="N450" s="1" t="s">
        <v>477</v>
      </c>
      <c r="O450" s="1">
        <v>83</v>
      </c>
      <c r="P450" s="1">
        <v>50</v>
      </c>
      <c r="Q450" s="3">
        <v>1.46</v>
      </c>
      <c r="R450" s="3">
        <v>0.47475834284927759</v>
      </c>
      <c r="S450" s="3">
        <v>335375040</v>
      </c>
      <c r="T450" s="3">
        <v>0</v>
      </c>
    </row>
    <row r="451" spans="2:20" x14ac:dyDescent="0.2">
      <c r="B451">
        <v>51130</v>
      </c>
      <c r="C451" s="6">
        <v>1.3030999999999999E-5</v>
      </c>
      <c r="D451" s="1" t="s">
        <v>494</v>
      </c>
      <c r="E451" s="3">
        <v>2370</v>
      </c>
      <c r="F451" s="7">
        <v>2.9246716479322586E-4</v>
      </c>
      <c r="G451" s="7">
        <v>162626880000</v>
      </c>
      <c r="H451" s="7">
        <v>0</v>
      </c>
      <c r="I451" s="3">
        <f t="shared" si="6"/>
        <v>188225.55555555556</v>
      </c>
      <c r="L451" s="1">
        <v>50134</v>
      </c>
      <c r="M451" s="3">
        <v>1.3959999999999999E-10</v>
      </c>
      <c r="N451" s="1" t="s">
        <v>478</v>
      </c>
      <c r="O451" s="1">
        <v>84</v>
      </c>
      <c r="P451" s="1">
        <v>50</v>
      </c>
      <c r="Q451" s="3">
        <v>1.05</v>
      </c>
      <c r="R451" s="3">
        <v>0.6601401719618526</v>
      </c>
      <c r="S451" s="3">
        <v>1742207.9999999998</v>
      </c>
      <c r="T451" s="3">
        <v>0</v>
      </c>
    </row>
    <row r="452" spans="2:20" x14ac:dyDescent="0.2">
      <c r="B452">
        <v>51131</v>
      </c>
      <c r="C452" s="6">
        <v>2.8943100000000001E-5</v>
      </c>
      <c r="D452" s="1" t="s">
        <v>495</v>
      </c>
      <c r="E452" s="3">
        <v>1381.8</v>
      </c>
      <c r="F452" s="7">
        <v>5.0162627048773E-4</v>
      </c>
      <c r="G452" s="7">
        <v>361209888000</v>
      </c>
      <c r="H452" s="7">
        <v>0</v>
      </c>
      <c r="I452" s="3">
        <f t="shared" ref="I452:I515" si="7">G452/10/24/3600</f>
        <v>418067</v>
      </c>
      <c r="L452" s="1">
        <v>51108</v>
      </c>
      <c r="M452" s="3">
        <v>8.0339800000000006E-8</v>
      </c>
      <c r="N452" s="1" t="s">
        <v>480</v>
      </c>
      <c r="O452" s="1">
        <v>57</v>
      </c>
      <c r="P452" s="1">
        <v>51</v>
      </c>
      <c r="Q452" s="3">
        <v>7.4</v>
      </c>
      <c r="R452" s="3">
        <v>9.3668537913506114E-2</v>
      </c>
      <c r="S452" s="3">
        <v>1002640704.0000001</v>
      </c>
      <c r="T452" s="3">
        <v>0</v>
      </c>
    </row>
    <row r="453" spans="2:20" x14ac:dyDescent="0.2">
      <c r="B453">
        <v>51132</v>
      </c>
      <c r="C453" s="6">
        <v>4.0145699999999997E-5</v>
      </c>
      <c r="D453" s="1" t="s">
        <v>496</v>
      </c>
      <c r="E453" s="3">
        <v>167.4</v>
      </c>
      <c r="F453" s="7">
        <v>4.1406641610510471E-3</v>
      </c>
      <c r="G453" s="7">
        <v>501018335999.99994</v>
      </c>
      <c r="H453" s="7">
        <v>0</v>
      </c>
      <c r="I453" s="3">
        <f t="shared" si="7"/>
        <v>579882.33333333326</v>
      </c>
      <c r="L453" s="1">
        <v>51109</v>
      </c>
      <c r="M453" s="3">
        <v>3.7063800000000003E-8</v>
      </c>
      <c r="N453" s="1" t="s">
        <v>482</v>
      </c>
      <c r="O453" s="1">
        <v>58</v>
      </c>
      <c r="P453" s="1">
        <v>51</v>
      </c>
      <c r="Q453" s="3">
        <v>17</v>
      </c>
      <c r="R453" s="3">
        <v>4.0773363562349722E-2</v>
      </c>
      <c r="S453" s="3">
        <v>462556224.00000006</v>
      </c>
      <c r="T453" s="3">
        <v>0</v>
      </c>
    </row>
    <row r="454" spans="2:20" x14ac:dyDescent="0.2">
      <c r="B454">
        <v>51133</v>
      </c>
      <c r="C454" s="6">
        <v>5.31325E-5</v>
      </c>
      <c r="D454" s="1" t="s">
        <v>497</v>
      </c>
      <c r="E454" s="3">
        <v>140.39999999999901</v>
      </c>
      <c r="F454" s="7">
        <v>4.9369457304839753E-3</v>
      </c>
      <c r="G454" s="7">
        <v>663093600000</v>
      </c>
      <c r="H454" s="7">
        <v>0</v>
      </c>
      <c r="I454" s="3">
        <f t="shared" si="7"/>
        <v>767469.4444444445</v>
      </c>
      <c r="L454" s="1">
        <v>51110</v>
      </c>
      <c r="M454" s="3">
        <v>5.7236000000000004E-9</v>
      </c>
      <c r="N454" s="1" t="s">
        <v>483</v>
      </c>
      <c r="O454" s="1">
        <v>59</v>
      </c>
      <c r="P454" s="1">
        <v>51</v>
      </c>
      <c r="Q454" s="3">
        <v>23</v>
      </c>
      <c r="R454" s="3">
        <v>3.0136833937388925E-2</v>
      </c>
      <c r="S454" s="3">
        <v>71430528</v>
      </c>
      <c r="T454" s="3">
        <v>0</v>
      </c>
    </row>
    <row r="455" spans="2:20" x14ac:dyDescent="0.2">
      <c r="B455">
        <v>51134</v>
      </c>
      <c r="C455" s="6">
        <v>2.96874E-5</v>
      </c>
      <c r="D455" s="1" t="s">
        <v>498</v>
      </c>
      <c r="E455" s="3">
        <v>0.78</v>
      </c>
      <c r="F455" s="7">
        <v>0.88865023148710931</v>
      </c>
      <c r="G455" s="7">
        <v>370498752000</v>
      </c>
      <c r="H455" s="7">
        <v>0</v>
      </c>
      <c r="I455" s="3">
        <f t="shared" si="7"/>
        <v>428818</v>
      </c>
      <c r="L455" s="1">
        <v>51111</v>
      </c>
      <c r="M455" s="3">
        <v>1.8148E-9</v>
      </c>
      <c r="N455" s="1" t="s">
        <v>484</v>
      </c>
      <c r="O455" s="1">
        <v>60</v>
      </c>
      <c r="P455" s="1">
        <v>51</v>
      </c>
      <c r="Q455" s="3">
        <v>75</v>
      </c>
      <c r="R455" s="3">
        <v>9.2419624074659371E-3</v>
      </c>
      <c r="S455" s="3">
        <v>22648704</v>
      </c>
      <c r="T455" s="3">
        <v>0</v>
      </c>
    </row>
    <row r="456" spans="2:20" x14ac:dyDescent="0.2">
      <c r="B456">
        <v>51135</v>
      </c>
      <c r="C456" s="6">
        <v>1.80646E-5</v>
      </c>
      <c r="D456" s="1" t="s">
        <v>499</v>
      </c>
      <c r="E456" s="3">
        <v>1.679</v>
      </c>
      <c r="F456" s="7">
        <v>0.41283334160806745</v>
      </c>
      <c r="G456" s="7">
        <v>225446208000</v>
      </c>
      <c r="H456" s="7">
        <v>0</v>
      </c>
      <c r="I456" s="3">
        <f t="shared" si="7"/>
        <v>260933.11111111112</v>
      </c>
      <c r="L456" s="1">
        <v>51112</v>
      </c>
      <c r="M456" s="3">
        <v>6.9799999999999994E-11</v>
      </c>
      <c r="N456" s="1" t="s">
        <v>500</v>
      </c>
      <c r="O456" s="1">
        <v>61</v>
      </c>
      <c r="P456" s="1">
        <v>51</v>
      </c>
      <c r="Q456" s="3">
        <v>53.5</v>
      </c>
      <c r="R456" s="3">
        <v>1.2956022066541034E-2</v>
      </c>
      <c r="S456" s="3">
        <v>871103.99999999988</v>
      </c>
      <c r="T456" s="3">
        <v>0</v>
      </c>
    </row>
    <row r="457" spans="2:20" x14ac:dyDescent="0.2">
      <c r="B457">
        <v>51136</v>
      </c>
      <c r="C457" s="6">
        <v>5.6405399999999999E-6</v>
      </c>
      <c r="D457" s="1" t="s">
        <v>501</v>
      </c>
      <c r="E457" s="3">
        <v>0.92300000000000004</v>
      </c>
      <c r="F457" s="7">
        <v>0.75097202660882478</v>
      </c>
      <c r="G457" s="7">
        <v>70393939200</v>
      </c>
      <c r="H457" s="7">
        <v>0</v>
      </c>
      <c r="I457" s="3">
        <f t="shared" si="7"/>
        <v>81474.46666666666</v>
      </c>
      <c r="L457" s="1">
        <v>51122</v>
      </c>
      <c r="M457" s="3">
        <v>2.3034000000000001E-9</v>
      </c>
      <c r="N457" s="1" t="s">
        <v>487</v>
      </c>
      <c r="O457" s="1">
        <v>71</v>
      </c>
      <c r="P457" s="1">
        <v>51</v>
      </c>
      <c r="Q457" s="3">
        <v>235336.32000000001</v>
      </c>
      <c r="R457" s="3">
        <v>2.9453472398988192E-6</v>
      </c>
      <c r="S457" s="3">
        <v>26490115.446813095</v>
      </c>
      <c r="T457" s="3">
        <v>1.2130280215446616E-33</v>
      </c>
    </row>
    <row r="458" spans="2:20" x14ac:dyDescent="0.2">
      <c r="B458">
        <v>52106</v>
      </c>
      <c r="C458" s="6">
        <v>1.8392300000000001E-6</v>
      </c>
      <c r="D458" s="1" t="s">
        <v>502</v>
      </c>
      <c r="E458" s="3">
        <v>6.9999999999999994E-5</v>
      </c>
      <c r="F458" s="7">
        <v>9902.1025794277903</v>
      </c>
      <c r="G458" s="7">
        <v>22953590400</v>
      </c>
      <c r="H458" s="7">
        <v>0</v>
      </c>
      <c r="I458" s="3">
        <f t="shared" si="7"/>
        <v>26566.655555555557</v>
      </c>
      <c r="L458" s="1">
        <v>51124</v>
      </c>
      <c r="M458" s="3">
        <v>9.5207199999999998E-8</v>
      </c>
      <c r="N458" s="1" t="s">
        <v>488</v>
      </c>
      <c r="O458" s="1">
        <v>73</v>
      </c>
      <c r="P458" s="1">
        <v>51</v>
      </c>
      <c r="Q458" s="3">
        <v>5201280</v>
      </c>
      <c r="R458" s="3">
        <v>1.3326473109695023E-7</v>
      </c>
      <c r="S458" s="3">
        <v>129226246.69517356</v>
      </c>
      <c r="T458" s="3">
        <v>1932719.6549429456</v>
      </c>
    </row>
    <row r="459" spans="2:20" x14ac:dyDescent="0.2">
      <c r="B459">
        <v>52107</v>
      </c>
      <c r="C459" s="6">
        <v>3.4209000000000001E-7</v>
      </c>
      <c r="D459" s="1" t="s">
        <v>503</v>
      </c>
      <c r="E459" s="3">
        <v>3.0999999999999999E-3</v>
      </c>
      <c r="F459" s="7">
        <v>223.59586469675656</v>
      </c>
      <c r="G459" s="7">
        <v>4269283200</v>
      </c>
      <c r="H459" s="7">
        <v>0</v>
      </c>
      <c r="I459" s="3">
        <f t="shared" si="7"/>
        <v>4941.3</v>
      </c>
      <c r="L459" s="1">
        <v>51125</v>
      </c>
      <c r="M459" s="3">
        <v>5.4576600000000004E-7</v>
      </c>
      <c r="N459" s="1" t="s">
        <v>489</v>
      </c>
      <c r="O459" s="1">
        <v>74</v>
      </c>
      <c r="P459" s="1">
        <v>51</v>
      </c>
      <c r="Q459" s="3">
        <v>87053533.055999994</v>
      </c>
      <c r="R459" s="3">
        <v>7.9623095838517667E-9</v>
      </c>
      <c r="S459" s="3">
        <v>46696127.901982009</v>
      </c>
      <c r="T459" s="3">
        <v>36327021.267871007</v>
      </c>
    </row>
    <row r="460" spans="2:20" x14ac:dyDescent="0.2">
      <c r="B460">
        <v>52108</v>
      </c>
      <c r="C460" s="6">
        <v>6.2122000000000005E-8</v>
      </c>
      <c r="D460" s="1" t="s">
        <v>504</v>
      </c>
      <c r="E460" s="3">
        <v>2.1</v>
      </c>
      <c r="F460" s="7">
        <v>0.3300700859809263</v>
      </c>
      <c r="G460" s="7">
        <v>775282560.00000012</v>
      </c>
      <c r="H460" s="7">
        <v>0</v>
      </c>
      <c r="I460" s="3">
        <f t="shared" si="7"/>
        <v>897.31777777777791</v>
      </c>
      <c r="L460" s="1">
        <v>51126</v>
      </c>
      <c r="M460" s="3">
        <v>1.3797399999999999E-6</v>
      </c>
      <c r="N460" s="1" t="s">
        <v>490</v>
      </c>
      <c r="O460" s="1">
        <v>75</v>
      </c>
      <c r="P460" s="1">
        <v>51</v>
      </c>
      <c r="Q460" s="3">
        <v>1067040</v>
      </c>
      <c r="R460" s="3">
        <v>6.4959812243209751E-7</v>
      </c>
      <c r="S460" s="3">
        <v>7395731956.2335243</v>
      </c>
      <c r="T460" s="3">
        <v>9.3787127401515367</v>
      </c>
    </row>
    <row r="461" spans="2:20" x14ac:dyDescent="0.2">
      <c r="B461">
        <v>52109</v>
      </c>
      <c r="C461" s="6">
        <v>7.1196000000000001E-9</v>
      </c>
      <c r="D461" s="1" t="s">
        <v>505</v>
      </c>
      <c r="E461" s="3">
        <v>4.5999999999999996</v>
      </c>
      <c r="F461" s="7">
        <v>0.15068416968694465</v>
      </c>
      <c r="G461" s="7">
        <v>88852608</v>
      </c>
      <c r="H461" s="7">
        <v>0</v>
      </c>
      <c r="I461" s="3">
        <f t="shared" si="7"/>
        <v>102.83866666666667</v>
      </c>
      <c r="L461" s="1">
        <v>51127</v>
      </c>
      <c r="M461" s="3">
        <v>4.6081300000000004E-6</v>
      </c>
      <c r="N461" s="1" t="s">
        <v>491</v>
      </c>
      <c r="O461" s="1">
        <v>76</v>
      </c>
      <c r="P461" s="1">
        <v>51</v>
      </c>
      <c r="Q461" s="3">
        <v>332640</v>
      </c>
      <c r="R461" s="3">
        <v>2.083775795334131E-6</v>
      </c>
      <c r="S461" s="3">
        <v>48006845625.981781</v>
      </c>
      <c r="T461" s="3">
        <v>1.3870617309132519E-18</v>
      </c>
    </row>
    <row r="462" spans="2:20" x14ac:dyDescent="0.2">
      <c r="B462">
        <v>52110</v>
      </c>
      <c r="C462" s="6">
        <v>7.6779999999999997E-10</v>
      </c>
      <c r="D462" s="1" t="s">
        <v>506</v>
      </c>
      <c r="E462" s="3">
        <v>18.600000000000001</v>
      </c>
      <c r="F462" s="7">
        <v>3.726597744945942E-2</v>
      </c>
      <c r="G462" s="7">
        <v>9582144</v>
      </c>
      <c r="H462" s="7">
        <v>0</v>
      </c>
      <c r="I462" s="3">
        <f t="shared" si="7"/>
        <v>11.090444444444444</v>
      </c>
      <c r="L462" s="1">
        <v>51128</v>
      </c>
      <c r="M462" s="3">
        <v>6.5655299999999996E-6</v>
      </c>
      <c r="N462" s="1" t="s">
        <v>492</v>
      </c>
      <c r="O462" s="1">
        <v>77</v>
      </c>
      <c r="P462" s="1">
        <v>51</v>
      </c>
      <c r="Q462" s="3">
        <v>32580</v>
      </c>
      <c r="R462" s="3">
        <v>2.1275235744626926E-5</v>
      </c>
      <c r="S462" s="3">
        <v>81937813548.139526</v>
      </c>
      <c r="T462" s="3">
        <v>3.3865209091171918E-281</v>
      </c>
    </row>
    <row r="463" spans="2:20" x14ac:dyDescent="0.2">
      <c r="B463">
        <v>52121</v>
      </c>
      <c r="C463" s="6">
        <v>1.3959999999999999E-10</v>
      </c>
      <c r="D463" s="1" t="s">
        <v>507</v>
      </c>
      <c r="E463" s="3">
        <v>1656288</v>
      </c>
      <c r="F463" s="7">
        <v>4.1849435639209198E-7</v>
      </c>
      <c r="G463" s="7">
        <v>528628.62943185691</v>
      </c>
      <c r="H463" s="7">
        <v>0.98059418224695105</v>
      </c>
      <c r="I463" s="3">
        <f t="shared" si="7"/>
        <v>0.61183869147205661</v>
      </c>
      <c r="L463" s="1">
        <v>51129</v>
      </c>
      <c r="M463" s="3">
        <v>1.40092E-5</v>
      </c>
      <c r="N463" s="1" t="s">
        <v>493</v>
      </c>
      <c r="O463" s="1">
        <v>78</v>
      </c>
      <c r="P463" s="1">
        <v>51</v>
      </c>
      <c r="Q463" s="3">
        <v>15717.5999999999</v>
      </c>
      <c r="R463" s="3">
        <v>4.4100064931029528E-5</v>
      </c>
      <c r="S463" s="3">
        <v>174834816000</v>
      </c>
      <c r="T463" s="3">
        <v>0</v>
      </c>
    </row>
    <row r="464" spans="2:20" x14ac:dyDescent="0.2">
      <c r="B464">
        <v>52123</v>
      </c>
      <c r="C464" s="6">
        <v>3.4899999999999998E-10</v>
      </c>
      <c r="D464" s="1" t="s">
        <v>508</v>
      </c>
      <c r="E464" s="3">
        <v>2.9032991999999999E+24</v>
      </c>
      <c r="F464" s="7">
        <v>2.3874466006119702E-25</v>
      </c>
      <c r="G464" s="7">
        <v>0</v>
      </c>
      <c r="H464" s="7">
        <v>0</v>
      </c>
      <c r="I464" s="3">
        <f t="shared" si="7"/>
        <v>0</v>
      </c>
      <c r="L464" s="1">
        <v>51130</v>
      </c>
      <c r="M464" s="3">
        <v>1.4266200000000001E-5</v>
      </c>
      <c r="N464" s="1" t="s">
        <v>494</v>
      </c>
      <c r="O464" s="1">
        <v>79</v>
      </c>
      <c r="P464" s="1">
        <v>51</v>
      </c>
      <c r="Q464" s="3">
        <v>2370</v>
      </c>
      <c r="R464" s="3">
        <v>2.9246716479322586E-4</v>
      </c>
      <c r="S464" s="3">
        <v>178042176000</v>
      </c>
      <c r="T464" s="3">
        <v>0</v>
      </c>
    </row>
    <row r="465" spans="2:20" x14ac:dyDescent="0.2">
      <c r="B465">
        <v>52127</v>
      </c>
      <c r="C465" s="6">
        <v>1.2982799999999999E-7</v>
      </c>
      <c r="D465" s="1" t="s">
        <v>509</v>
      </c>
      <c r="E465" s="3">
        <v>33660</v>
      </c>
      <c r="F465" s="7">
        <v>2.0592607859772586E-5</v>
      </c>
      <c r="G465" s="7">
        <v>1620253409.6184585</v>
      </c>
      <c r="H465" s="7">
        <v>1.4964525211832479E-273</v>
      </c>
      <c r="I465" s="3">
        <f t="shared" si="7"/>
        <v>1875.2932981695121</v>
      </c>
      <c r="L465" s="1">
        <v>51131</v>
      </c>
      <c r="M465" s="3">
        <v>1.8558100000000001E-5</v>
      </c>
      <c r="N465" s="1" t="s">
        <v>495</v>
      </c>
      <c r="O465" s="1">
        <v>80</v>
      </c>
      <c r="P465" s="1">
        <v>51</v>
      </c>
      <c r="Q465" s="3">
        <v>1381.8</v>
      </c>
      <c r="R465" s="3">
        <v>5.0162627048773E-4</v>
      </c>
      <c r="S465" s="3">
        <v>231605088000</v>
      </c>
      <c r="T465" s="3">
        <v>0</v>
      </c>
    </row>
    <row r="466" spans="2:20" x14ac:dyDescent="0.2">
      <c r="B466">
        <v>52128</v>
      </c>
      <c r="C466" s="6">
        <v>5.3620399999999995E-7</v>
      </c>
      <c r="D466" s="1" t="s">
        <v>510</v>
      </c>
      <c r="E466" s="3">
        <v>7.6053815999999996E+31</v>
      </c>
      <c r="F466" s="7">
        <v>9.1139040355311737E-33</v>
      </c>
      <c r="G466" s="7">
        <v>0</v>
      </c>
      <c r="H466" s="7">
        <v>0</v>
      </c>
      <c r="I466" s="3">
        <f t="shared" si="7"/>
        <v>0</v>
      </c>
      <c r="L466" s="1">
        <v>51132</v>
      </c>
      <c r="M466" s="3">
        <v>1.19459E-5</v>
      </c>
      <c r="N466" s="1" t="s">
        <v>496</v>
      </c>
      <c r="O466" s="1">
        <v>81</v>
      </c>
      <c r="P466" s="1">
        <v>51</v>
      </c>
      <c r="Q466" s="3">
        <v>167.4</v>
      </c>
      <c r="R466" s="3">
        <v>4.1406641610510471E-3</v>
      </c>
      <c r="S466" s="3">
        <v>149084832000</v>
      </c>
      <c r="T466" s="3">
        <v>0</v>
      </c>
    </row>
    <row r="467" spans="2:20" x14ac:dyDescent="0.2">
      <c r="B467">
        <v>52129</v>
      </c>
      <c r="C467" s="6">
        <v>1.3836500000000001E-6</v>
      </c>
      <c r="D467" s="1" t="s">
        <v>511</v>
      </c>
      <c r="E467" s="3">
        <v>4194</v>
      </c>
      <c r="F467" s="7">
        <v>1.6527114462564266E-4</v>
      </c>
      <c r="G467" s="7">
        <v>17267952000</v>
      </c>
      <c r="H467" s="7">
        <v>0</v>
      </c>
      <c r="I467" s="3">
        <f t="shared" si="7"/>
        <v>19986.055555555555</v>
      </c>
      <c r="L467" s="1">
        <v>51133</v>
      </c>
      <c r="M467" s="3">
        <v>8.0660899999999999E-6</v>
      </c>
      <c r="N467" s="1" t="s">
        <v>497</v>
      </c>
      <c r="O467" s="1">
        <v>82</v>
      </c>
      <c r="P467" s="1">
        <v>51</v>
      </c>
      <c r="Q467" s="3">
        <v>140.39999999999901</v>
      </c>
      <c r="R467" s="3">
        <v>4.9369457304839753E-3</v>
      </c>
      <c r="S467" s="3">
        <v>100664803200</v>
      </c>
      <c r="T467" s="3">
        <v>0</v>
      </c>
    </row>
    <row r="468" spans="2:20" x14ac:dyDescent="0.2">
      <c r="B468">
        <v>52130</v>
      </c>
      <c r="C468" s="6">
        <v>4.09768E-6</v>
      </c>
      <c r="D468" s="1" t="s">
        <v>512</v>
      </c>
      <c r="E468" s="3">
        <v>9.46728E+31</v>
      </c>
      <c r="F468" s="7">
        <v>7.321502908543376E-33</v>
      </c>
      <c r="G468" s="7">
        <v>0</v>
      </c>
      <c r="H468" s="7">
        <v>0</v>
      </c>
      <c r="I468" s="3">
        <f t="shared" si="7"/>
        <v>0</v>
      </c>
      <c r="L468" s="1">
        <v>51134</v>
      </c>
      <c r="M468" s="3">
        <v>1.8650600000000001E-6</v>
      </c>
      <c r="N468" s="1" t="s">
        <v>498</v>
      </c>
      <c r="O468" s="1">
        <v>83</v>
      </c>
      <c r="P468" s="1">
        <v>51</v>
      </c>
      <c r="Q468" s="3">
        <v>0.78</v>
      </c>
      <c r="R468" s="3">
        <v>0.88865023148710931</v>
      </c>
      <c r="S468" s="3">
        <v>23275948800</v>
      </c>
      <c r="T468" s="3">
        <v>0</v>
      </c>
    </row>
    <row r="469" spans="2:20" x14ac:dyDescent="0.2">
      <c r="B469">
        <v>52131</v>
      </c>
      <c r="C469" s="6">
        <v>9.6286999999999998E-6</v>
      </c>
      <c r="D469" s="1" t="s">
        <v>513</v>
      </c>
      <c r="E469" s="3">
        <v>1500</v>
      </c>
      <c r="F469" s="7">
        <v>4.6209812037329687E-4</v>
      </c>
      <c r="G469" s="7">
        <v>120166176000</v>
      </c>
      <c r="H469" s="7">
        <v>0</v>
      </c>
      <c r="I469" s="3">
        <f t="shared" si="7"/>
        <v>139081.22222222222</v>
      </c>
      <c r="L469" s="1">
        <v>51135</v>
      </c>
      <c r="M469" s="3">
        <v>1.02096E-6</v>
      </c>
      <c r="N469" s="1" t="s">
        <v>499</v>
      </c>
      <c r="O469" s="1">
        <v>84</v>
      </c>
      <c r="P469" s="1">
        <v>51</v>
      </c>
      <c r="Q469" s="3">
        <v>1.679</v>
      </c>
      <c r="R469" s="3">
        <v>0.41283334160806745</v>
      </c>
      <c r="S469" s="3">
        <v>12741580800</v>
      </c>
      <c r="T469" s="3">
        <v>0</v>
      </c>
    </row>
    <row r="470" spans="2:20" x14ac:dyDescent="0.2">
      <c r="B470">
        <v>52132</v>
      </c>
      <c r="C470" s="6">
        <v>2.2436400000000001E-5</v>
      </c>
      <c r="D470" s="1" t="s">
        <v>514</v>
      </c>
      <c r="E470" s="3">
        <v>276825.59999999998</v>
      </c>
      <c r="F470" s="7">
        <v>2.5039128626830225E-6</v>
      </c>
      <c r="G470" s="7">
        <v>247823499638.07358</v>
      </c>
      <c r="H470" s="7">
        <v>1.2611748863918894E-23</v>
      </c>
      <c r="I470" s="3">
        <f t="shared" si="7"/>
        <v>286832.75421073328</v>
      </c>
      <c r="L470" s="1">
        <v>51136</v>
      </c>
      <c r="M470" s="3">
        <v>2.5714300000000001E-7</v>
      </c>
      <c r="N470" s="1" t="s">
        <v>501</v>
      </c>
      <c r="O470" s="1">
        <v>85</v>
      </c>
      <c r="P470" s="1">
        <v>51</v>
      </c>
      <c r="Q470" s="3">
        <v>0.92300000000000004</v>
      </c>
      <c r="R470" s="3">
        <v>0.75097202660882478</v>
      </c>
      <c r="S470" s="3">
        <v>3209144640</v>
      </c>
      <c r="T470" s="3">
        <v>0</v>
      </c>
    </row>
    <row r="471" spans="2:20" x14ac:dyDescent="0.2">
      <c r="B471">
        <v>52133</v>
      </c>
      <c r="C471" s="6">
        <v>4.2425999999999997E-5</v>
      </c>
      <c r="D471" s="1" t="s">
        <v>515</v>
      </c>
      <c r="E471" s="3">
        <v>750</v>
      </c>
      <c r="F471" s="7">
        <v>9.2419624074659373E-4</v>
      </c>
      <c r="G471" s="7">
        <v>529476479999.99994</v>
      </c>
      <c r="H471" s="7">
        <v>0</v>
      </c>
      <c r="I471" s="3">
        <f t="shared" si="7"/>
        <v>612819.99999999988</v>
      </c>
      <c r="L471" s="1">
        <v>52106</v>
      </c>
      <c r="M471" s="3">
        <v>2.7919999999999998E-10</v>
      </c>
      <c r="N471" s="1" t="s">
        <v>502</v>
      </c>
      <c r="O471" s="1">
        <v>54</v>
      </c>
      <c r="P471" s="1">
        <v>52</v>
      </c>
      <c r="Q471" s="3">
        <v>6.9999999999999994E-5</v>
      </c>
      <c r="R471" s="3">
        <v>9902.1025794277903</v>
      </c>
      <c r="S471" s="3">
        <v>3484415.9999999995</v>
      </c>
      <c r="T471" s="3">
        <v>0</v>
      </c>
    </row>
    <row r="472" spans="2:20" x14ac:dyDescent="0.2">
      <c r="B472">
        <v>52134</v>
      </c>
      <c r="C472" s="6">
        <v>7.2801799999999998E-5</v>
      </c>
      <c r="D472" s="1" t="s">
        <v>516</v>
      </c>
      <c r="E472" s="3">
        <v>2508</v>
      </c>
      <c r="F472" s="7">
        <v>2.7637447390747421E-4</v>
      </c>
      <c r="G472" s="7">
        <v>908566464000</v>
      </c>
      <c r="H472" s="7">
        <v>0</v>
      </c>
      <c r="I472" s="3">
        <f t="shared" si="7"/>
        <v>1051581.5555555555</v>
      </c>
      <c r="L472" s="1">
        <v>52107</v>
      </c>
      <c r="M472" s="3">
        <v>8.1875400000000005E-8</v>
      </c>
      <c r="N472" s="1" t="s">
        <v>503</v>
      </c>
      <c r="O472" s="1">
        <v>55</v>
      </c>
      <c r="P472" s="1">
        <v>52</v>
      </c>
      <c r="Q472" s="3">
        <v>3.0999999999999999E-3</v>
      </c>
      <c r="R472" s="3">
        <v>223.59586469675656</v>
      </c>
      <c r="S472" s="3">
        <v>1021804992.0000001</v>
      </c>
      <c r="T472" s="3">
        <v>0</v>
      </c>
    </row>
    <row r="473" spans="2:20" x14ac:dyDescent="0.2">
      <c r="B473">
        <v>52135</v>
      </c>
      <c r="C473" s="6">
        <v>6.9629100000000001E-5</v>
      </c>
      <c r="D473" s="1" t="s">
        <v>517</v>
      </c>
      <c r="E473" s="3">
        <v>19</v>
      </c>
      <c r="F473" s="7">
        <v>3.6481430555786593E-2</v>
      </c>
      <c r="G473" s="7">
        <v>868971168000</v>
      </c>
      <c r="H473" s="7">
        <v>0</v>
      </c>
      <c r="I473" s="3">
        <f t="shared" si="7"/>
        <v>1005753.6666666666</v>
      </c>
      <c r="L473" s="1">
        <v>52108</v>
      </c>
      <c r="M473" s="3">
        <v>2.9176400000000001E-8</v>
      </c>
      <c r="N473" s="1" t="s">
        <v>504</v>
      </c>
      <c r="O473" s="1">
        <v>56</v>
      </c>
      <c r="P473" s="1">
        <v>52</v>
      </c>
      <c r="Q473" s="3">
        <v>2.1</v>
      </c>
      <c r="R473" s="3">
        <v>0.3300700859809263</v>
      </c>
      <c r="S473" s="3">
        <v>364121472</v>
      </c>
      <c r="T473" s="3">
        <v>0</v>
      </c>
    </row>
    <row r="474" spans="2:20" x14ac:dyDescent="0.2">
      <c r="B474">
        <v>52136</v>
      </c>
      <c r="C474" s="6">
        <v>5.66803E-5</v>
      </c>
      <c r="D474" s="1" t="s">
        <v>518</v>
      </c>
      <c r="E474" s="3">
        <v>17.63</v>
      </c>
      <c r="F474" s="7">
        <v>3.9316346032895369E-2</v>
      </c>
      <c r="G474" s="7">
        <v>707370144000</v>
      </c>
      <c r="H474" s="7">
        <v>0</v>
      </c>
      <c r="I474" s="3">
        <f t="shared" si="7"/>
        <v>818715.4444444445</v>
      </c>
      <c r="L474" s="1">
        <v>52109</v>
      </c>
      <c r="M474" s="3">
        <v>3.9786000000000003E-9</v>
      </c>
      <c r="N474" s="1" t="s">
        <v>505</v>
      </c>
      <c r="O474" s="1">
        <v>57</v>
      </c>
      <c r="P474" s="1">
        <v>52</v>
      </c>
      <c r="Q474" s="3">
        <v>4.5999999999999996</v>
      </c>
      <c r="R474" s="3">
        <v>0.15068416968694465</v>
      </c>
      <c r="S474" s="3">
        <v>49652928.000000007</v>
      </c>
      <c r="T474" s="3">
        <v>0</v>
      </c>
    </row>
    <row r="475" spans="2:20" x14ac:dyDescent="0.2">
      <c r="B475">
        <v>52137</v>
      </c>
      <c r="C475" s="6">
        <v>2.8348200000000001E-5</v>
      </c>
      <c r="D475" s="1" t="s">
        <v>519</v>
      </c>
      <c r="E475" s="3">
        <v>2.4900000000000002</v>
      </c>
      <c r="F475" s="7">
        <v>0.27837236167066071</v>
      </c>
      <c r="G475" s="7">
        <v>353785536000</v>
      </c>
      <c r="H475" s="7">
        <v>0</v>
      </c>
      <c r="I475" s="3">
        <f t="shared" si="7"/>
        <v>409474</v>
      </c>
      <c r="L475" s="1">
        <v>52110</v>
      </c>
      <c r="M475" s="3">
        <v>6.9799999999999997E-10</v>
      </c>
      <c r="N475" s="1" t="s">
        <v>506</v>
      </c>
      <c r="O475" s="1">
        <v>58</v>
      </c>
      <c r="P475" s="1">
        <v>52</v>
      </c>
      <c r="Q475" s="3">
        <v>18.600000000000001</v>
      </c>
      <c r="R475" s="3">
        <v>3.726597744945942E-2</v>
      </c>
      <c r="S475" s="3">
        <v>8711040</v>
      </c>
      <c r="T475" s="3">
        <v>0</v>
      </c>
    </row>
    <row r="476" spans="2:20" x14ac:dyDescent="0.2">
      <c r="B476">
        <v>52138</v>
      </c>
      <c r="C476" s="6">
        <v>1.2497099999999999E-5</v>
      </c>
      <c r="D476" s="1" t="s">
        <v>520</v>
      </c>
      <c r="E476" s="3">
        <v>1.4</v>
      </c>
      <c r="F476" s="7">
        <v>0.49510512897138953</v>
      </c>
      <c r="G476" s="7">
        <v>155963808000</v>
      </c>
      <c r="H476" s="7">
        <v>0</v>
      </c>
      <c r="I476" s="3">
        <f t="shared" si="7"/>
        <v>180513.66666666666</v>
      </c>
      <c r="L476" s="1">
        <v>52123</v>
      </c>
      <c r="M476" s="3">
        <v>2.094E-10</v>
      </c>
      <c r="N476" s="1" t="s">
        <v>508</v>
      </c>
      <c r="O476" s="1">
        <v>71</v>
      </c>
      <c r="P476" s="1">
        <v>52</v>
      </c>
      <c r="Q476" s="3">
        <v>2.9032991999999999E+24</v>
      </c>
      <c r="R476" s="3">
        <v>2.3874466006119702E-25</v>
      </c>
      <c r="S476" s="3">
        <v>0</v>
      </c>
      <c r="T476" s="3">
        <v>0</v>
      </c>
    </row>
    <row r="477" spans="2:20" x14ac:dyDescent="0.2">
      <c r="B477">
        <v>53110</v>
      </c>
      <c r="C477" s="6">
        <v>2.92804E-6</v>
      </c>
      <c r="D477" s="1" t="s">
        <v>521</v>
      </c>
      <c r="E477" s="3">
        <v>0.65</v>
      </c>
      <c r="F477" s="7">
        <v>1.0663802777845313</v>
      </c>
      <c r="G477" s="7">
        <v>36541939200</v>
      </c>
      <c r="H477" s="7">
        <v>0</v>
      </c>
      <c r="I477" s="3">
        <f t="shared" si="7"/>
        <v>42293.911111111112</v>
      </c>
      <c r="L477" s="1">
        <v>52127</v>
      </c>
      <c r="M477" s="3">
        <v>3.3915800000000003E-7</v>
      </c>
      <c r="N477" s="1" t="s">
        <v>509</v>
      </c>
      <c r="O477" s="1">
        <v>75</v>
      </c>
      <c r="P477" s="1">
        <v>52</v>
      </c>
      <c r="Q477" s="3">
        <v>33660</v>
      </c>
      <c r="R477" s="3">
        <v>2.0592607859772586E-5</v>
      </c>
      <c r="S477" s="3">
        <v>4232691760.6323543</v>
      </c>
      <c r="T477" s="3">
        <v>3.9092787702149626E-273</v>
      </c>
    </row>
    <row r="478" spans="2:20" x14ac:dyDescent="0.2">
      <c r="B478">
        <v>53111</v>
      </c>
      <c r="C478" s="6">
        <v>7.1195999999999998E-7</v>
      </c>
      <c r="D478" s="1" t="s">
        <v>522</v>
      </c>
      <c r="E478" s="3">
        <v>2.5</v>
      </c>
      <c r="F478" s="7">
        <v>0.2772588722239781</v>
      </c>
      <c r="G478" s="7">
        <v>8885260800</v>
      </c>
      <c r="H478" s="7">
        <v>0</v>
      </c>
      <c r="I478" s="3">
        <f t="shared" si="7"/>
        <v>10283.866666666667</v>
      </c>
      <c r="L478" s="1">
        <v>52128</v>
      </c>
      <c r="M478" s="3">
        <v>1.87532E-6</v>
      </c>
      <c r="N478" s="1" t="s">
        <v>510</v>
      </c>
      <c r="O478" s="1">
        <v>76</v>
      </c>
      <c r="P478" s="1">
        <v>52</v>
      </c>
      <c r="Q478" s="3">
        <v>7.6053815999999996E+31</v>
      </c>
      <c r="R478" s="3">
        <v>9.1139040355311737E-33</v>
      </c>
      <c r="S478" s="3">
        <v>0</v>
      </c>
      <c r="T478" s="3">
        <v>0</v>
      </c>
    </row>
    <row r="479" spans="2:20" x14ac:dyDescent="0.2">
      <c r="B479">
        <v>53112</v>
      </c>
      <c r="C479" s="6">
        <v>9.6742799999999997E-8</v>
      </c>
      <c r="D479" s="1" t="s">
        <v>523</v>
      </c>
      <c r="E479" s="3">
        <v>3.34</v>
      </c>
      <c r="F479" s="7">
        <v>0.20752909597603153</v>
      </c>
      <c r="G479" s="7">
        <v>1207350144</v>
      </c>
      <c r="H479" s="7">
        <v>0</v>
      </c>
      <c r="I479" s="3">
        <f t="shared" si="7"/>
        <v>1397.3960000000002</v>
      </c>
      <c r="L479" s="1">
        <v>52129</v>
      </c>
      <c r="M479" s="3">
        <v>3.9155699999999998E-6</v>
      </c>
      <c r="N479" s="1" t="s">
        <v>511</v>
      </c>
      <c r="O479" s="1">
        <v>77</v>
      </c>
      <c r="P479" s="1">
        <v>52</v>
      </c>
      <c r="Q479" s="3">
        <v>4194</v>
      </c>
      <c r="R479" s="3">
        <v>1.6527114462564266E-4</v>
      </c>
      <c r="S479" s="3">
        <v>48866313600</v>
      </c>
      <c r="T479" s="3">
        <v>0</v>
      </c>
    </row>
    <row r="480" spans="2:20" x14ac:dyDescent="0.2">
      <c r="B480">
        <v>53113</v>
      </c>
      <c r="C480" s="6">
        <v>1.1167999999999999E-8</v>
      </c>
      <c r="D480" s="1" t="s">
        <v>524</v>
      </c>
      <c r="E480" s="3">
        <v>6.6</v>
      </c>
      <c r="F480" s="7">
        <v>0.1050223000848402</v>
      </c>
      <c r="G480" s="7">
        <v>139376640</v>
      </c>
      <c r="H480" s="7">
        <v>0</v>
      </c>
      <c r="I480" s="3">
        <f t="shared" si="7"/>
        <v>161.31555555555556</v>
      </c>
      <c r="L480" s="1">
        <v>52130</v>
      </c>
      <c r="M480" s="3">
        <v>1.12652E-5</v>
      </c>
      <c r="N480" s="1" t="s">
        <v>512</v>
      </c>
      <c r="O480" s="1">
        <v>78</v>
      </c>
      <c r="P480" s="1">
        <v>52</v>
      </c>
      <c r="Q480" s="3">
        <v>9.46728E+31</v>
      </c>
      <c r="R480" s="3">
        <v>7.321502908543376E-33</v>
      </c>
      <c r="S480" s="3">
        <v>0</v>
      </c>
      <c r="T480" s="3">
        <v>0</v>
      </c>
    </row>
    <row r="481" spans="2:20" x14ac:dyDescent="0.2">
      <c r="B481">
        <v>53114</v>
      </c>
      <c r="C481" s="6">
        <v>5.5839999999999995E-10</v>
      </c>
      <c r="D481" s="1" t="s">
        <v>525</v>
      </c>
      <c r="E481" s="3">
        <v>2.1</v>
      </c>
      <c r="F481" s="7">
        <v>0.3300700859809263</v>
      </c>
      <c r="G481" s="7">
        <v>6968831.9999999991</v>
      </c>
      <c r="H481" s="7">
        <v>0</v>
      </c>
      <c r="I481" s="3">
        <f t="shared" si="7"/>
        <v>8.065777777777777</v>
      </c>
      <c r="L481" s="1">
        <v>52131</v>
      </c>
      <c r="M481" s="3">
        <v>1.4110900000000001E-5</v>
      </c>
      <c r="N481" s="1" t="s">
        <v>513</v>
      </c>
      <c r="O481" s="1">
        <v>79</v>
      </c>
      <c r="P481" s="1">
        <v>52</v>
      </c>
      <c r="Q481" s="3">
        <v>1500</v>
      </c>
      <c r="R481" s="3">
        <v>4.6209812037329687E-4</v>
      </c>
      <c r="S481" s="3">
        <v>176104032000</v>
      </c>
      <c r="T481" s="3">
        <v>0</v>
      </c>
    </row>
    <row r="482" spans="2:20" x14ac:dyDescent="0.2">
      <c r="B482">
        <v>53126</v>
      </c>
      <c r="C482" s="6">
        <v>2.094E-10</v>
      </c>
      <c r="D482" s="1" t="s">
        <v>526</v>
      </c>
      <c r="E482" s="3">
        <v>1117152</v>
      </c>
      <c r="F482" s="7">
        <v>6.2045915019616423E-7</v>
      </c>
      <c r="G482" s="7">
        <v>1084422.4667498721</v>
      </c>
      <c r="H482" s="7">
        <v>3.4470322137172596E-3</v>
      </c>
      <c r="I482" s="3">
        <f t="shared" si="7"/>
        <v>1.255118595775315</v>
      </c>
      <c r="L482" s="1">
        <v>52132</v>
      </c>
      <c r="M482" s="3">
        <v>2.69122E-5</v>
      </c>
      <c r="N482" s="1" t="s">
        <v>514</v>
      </c>
      <c r="O482" s="1">
        <v>80</v>
      </c>
      <c r="P482" s="1">
        <v>52</v>
      </c>
      <c r="Q482" s="3">
        <v>276825.59999999998</v>
      </c>
      <c r="R482" s="3">
        <v>2.5039128626830225E-6</v>
      </c>
      <c r="S482" s="3">
        <v>297261396077.79163</v>
      </c>
      <c r="T482" s="3">
        <v>1.5127645601591971E-23</v>
      </c>
    </row>
    <row r="483" spans="2:20" x14ac:dyDescent="0.2">
      <c r="B483">
        <v>53128</v>
      </c>
      <c r="C483" s="6">
        <v>1.2424399999999999E-8</v>
      </c>
      <c r="D483" s="1" t="s">
        <v>527</v>
      </c>
      <c r="E483" s="3">
        <v>1499.3999999999901</v>
      </c>
      <c r="F483" s="7">
        <v>4.622830335867346E-4</v>
      </c>
      <c r="G483" s="7">
        <v>155056512</v>
      </c>
      <c r="H483" s="7">
        <v>0</v>
      </c>
      <c r="I483" s="3">
        <f t="shared" si="7"/>
        <v>179.46355555555553</v>
      </c>
      <c r="L483" s="1">
        <v>52133</v>
      </c>
      <c r="M483" s="3">
        <v>2.2688999999999999E-5</v>
      </c>
      <c r="N483" s="1" t="s">
        <v>515</v>
      </c>
      <c r="O483" s="1">
        <v>81</v>
      </c>
      <c r="P483" s="1">
        <v>52</v>
      </c>
      <c r="Q483" s="3">
        <v>750</v>
      </c>
      <c r="R483" s="3">
        <v>9.2419624074659373E-4</v>
      </c>
      <c r="S483" s="3">
        <v>283158720000</v>
      </c>
      <c r="T483" s="3">
        <v>0</v>
      </c>
    </row>
    <row r="484" spans="2:20" x14ac:dyDescent="0.2">
      <c r="B484">
        <v>53129</v>
      </c>
      <c r="C484" s="6">
        <v>6.9800000000000003E-8</v>
      </c>
      <c r="D484" s="1" t="s">
        <v>528</v>
      </c>
      <c r="E484" s="3">
        <v>495454320000000</v>
      </c>
      <c r="F484" s="7">
        <v>1.3990132946261228E-15</v>
      </c>
      <c r="G484" s="7">
        <v>1.0529447260338998</v>
      </c>
      <c r="H484" s="7">
        <v>1.0529446795787341</v>
      </c>
      <c r="I484" s="3">
        <f t="shared" si="7"/>
        <v>1.2186860255021987E-6</v>
      </c>
      <c r="L484" s="1">
        <v>52134</v>
      </c>
      <c r="M484" s="3">
        <v>2.2263799999999998E-5</v>
      </c>
      <c r="N484" s="1" t="s">
        <v>516</v>
      </c>
      <c r="O484" s="1">
        <v>82</v>
      </c>
      <c r="P484" s="1">
        <v>52</v>
      </c>
      <c r="Q484" s="3">
        <v>2508</v>
      </c>
      <c r="R484" s="3">
        <v>2.7637447390747421E-4</v>
      </c>
      <c r="S484" s="3">
        <v>277852224000</v>
      </c>
      <c r="T484" s="3">
        <v>0</v>
      </c>
    </row>
    <row r="485" spans="2:20" x14ac:dyDescent="0.2">
      <c r="B485">
        <v>53130</v>
      </c>
      <c r="C485" s="6">
        <v>2.2838599999999999E-7</v>
      </c>
      <c r="D485" s="1" t="s">
        <v>529</v>
      </c>
      <c r="E485" s="3">
        <v>44496</v>
      </c>
      <c r="F485" s="7">
        <v>1.5577741382594957E-5</v>
      </c>
      <c r="G485" s="7">
        <v>2850253209.5593257</v>
      </c>
      <c r="H485" s="7">
        <v>1.2691919041590231E-204</v>
      </c>
      <c r="I485" s="3">
        <f t="shared" si="7"/>
        <v>3298.9041777307007</v>
      </c>
      <c r="L485" s="1">
        <v>52135</v>
      </c>
      <c r="M485" s="3">
        <v>7.4746000000000004E-6</v>
      </c>
      <c r="N485" s="1" t="s">
        <v>517</v>
      </c>
      <c r="O485" s="1">
        <v>83</v>
      </c>
      <c r="P485" s="1">
        <v>52</v>
      </c>
      <c r="Q485" s="3">
        <v>19</v>
      </c>
      <c r="R485" s="3">
        <v>3.6481430555786593E-2</v>
      </c>
      <c r="S485" s="3">
        <v>93283008000</v>
      </c>
      <c r="T485" s="3">
        <v>0</v>
      </c>
    </row>
    <row r="486" spans="2:20" x14ac:dyDescent="0.2">
      <c r="B486">
        <v>53131</v>
      </c>
      <c r="C486" s="6">
        <v>9.0132699999999996E-7</v>
      </c>
      <c r="D486" s="1" t="s">
        <v>530</v>
      </c>
      <c r="E486" s="3">
        <v>693377.28</v>
      </c>
      <c r="F486" s="7">
        <v>9.9966814684199819E-7</v>
      </c>
      <c r="G486" s="7">
        <v>6506238780.9555178</v>
      </c>
      <c r="H486" s="7">
        <v>1.3242325169718531E-4</v>
      </c>
      <c r="I486" s="3">
        <f t="shared" si="7"/>
        <v>7530.3689594392563</v>
      </c>
      <c r="L486" s="1">
        <v>52136</v>
      </c>
      <c r="M486" s="3">
        <v>5.4134800000000002E-6</v>
      </c>
      <c r="N486" s="1" t="s">
        <v>518</v>
      </c>
      <c r="O486" s="1">
        <v>84</v>
      </c>
      <c r="P486" s="1">
        <v>52</v>
      </c>
      <c r="Q486" s="3">
        <v>17.63</v>
      </c>
      <c r="R486" s="3">
        <v>3.9316346032895369E-2</v>
      </c>
      <c r="S486" s="3">
        <v>67560230400</v>
      </c>
      <c r="T486" s="3">
        <v>0</v>
      </c>
    </row>
    <row r="487" spans="2:20" x14ac:dyDescent="0.2">
      <c r="B487">
        <v>53132</v>
      </c>
      <c r="C487" s="6">
        <v>2.3850699999999998E-6</v>
      </c>
      <c r="D487" s="1" t="s">
        <v>531</v>
      </c>
      <c r="E487" s="3">
        <v>8262</v>
      </c>
      <c r="F487" s="7">
        <v>8.389580979907351E-5</v>
      </c>
      <c r="G487" s="7">
        <v>29765673600</v>
      </c>
      <c r="H487" s="7">
        <v>0</v>
      </c>
      <c r="I487" s="3">
        <f t="shared" si="7"/>
        <v>34451.011111111111</v>
      </c>
      <c r="L487" s="1">
        <v>52137</v>
      </c>
      <c r="M487" s="3">
        <v>1.8727300000000001E-6</v>
      </c>
      <c r="N487" s="1" t="s">
        <v>519</v>
      </c>
      <c r="O487" s="1">
        <v>85</v>
      </c>
      <c r="P487" s="1">
        <v>52</v>
      </c>
      <c r="Q487" s="3">
        <v>2.4900000000000002</v>
      </c>
      <c r="R487" s="3">
        <v>0.27837236167066071</v>
      </c>
      <c r="S487" s="3">
        <v>23371670400</v>
      </c>
      <c r="T487" s="3">
        <v>0</v>
      </c>
    </row>
    <row r="488" spans="2:20" x14ac:dyDescent="0.2">
      <c r="B488">
        <v>53133</v>
      </c>
      <c r="C488" s="6">
        <v>7.7290899999999996E-6</v>
      </c>
      <c r="D488" s="1" t="s">
        <v>532</v>
      </c>
      <c r="E488" s="3">
        <v>74988</v>
      </c>
      <c r="F488" s="7">
        <v>9.2434413580832301E-6</v>
      </c>
      <c r="G488" s="7">
        <v>96426239528.632813</v>
      </c>
      <c r="H488" s="7">
        <v>2.4369525763407833E-116</v>
      </c>
      <c r="I488" s="3">
        <f t="shared" si="7"/>
        <v>111604.44389888056</v>
      </c>
      <c r="L488" s="1">
        <v>52138</v>
      </c>
      <c r="M488" s="3">
        <v>9.1075000000000003E-7</v>
      </c>
      <c r="N488" s="1" t="s">
        <v>520</v>
      </c>
      <c r="O488" s="1">
        <v>86</v>
      </c>
      <c r="P488" s="1">
        <v>52</v>
      </c>
      <c r="Q488" s="3">
        <v>1.4</v>
      </c>
      <c r="R488" s="3">
        <v>0.49510512897138953</v>
      </c>
      <c r="S488" s="3">
        <v>11366160000</v>
      </c>
      <c r="T488" s="3">
        <v>0</v>
      </c>
    </row>
    <row r="489" spans="2:20" x14ac:dyDescent="0.2">
      <c r="B489">
        <v>53134</v>
      </c>
      <c r="C489" s="6">
        <v>1.9100700000000002E-5</v>
      </c>
      <c r="D489" s="1" t="s">
        <v>533</v>
      </c>
      <c r="E489" s="3">
        <v>3150</v>
      </c>
      <c r="F489" s="7">
        <v>2.2004672398728421E-4</v>
      </c>
      <c r="G489" s="7">
        <v>238376736000.00003</v>
      </c>
      <c r="H489" s="7">
        <v>0</v>
      </c>
      <c r="I489" s="3">
        <f t="shared" si="7"/>
        <v>275899.00000000006</v>
      </c>
      <c r="L489" s="1">
        <v>53110</v>
      </c>
      <c r="M489" s="3">
        <v>2.7919999999999998E-10</v>
      </c>
      <c r="N489" s="1" t="s">
        <v>521</v>
      </c>
      <c r="O489" s="1">
        <v>57</v>
      </c>
      <c r="P489" s="1">
        <v>53</v>
      </c>
      <c r="Q489" s="3">
        <v>0.65</v>
      </c>
      <c r="R489" s="3">
        <v>1.0663802777845313</v>
      </c>
      <c r="S489" s="3">
        <v>3484415.9999999995</v>
      </c>
      <c r="T489" s="3">
        <v>0</v>
      </c>
    </row>
    <row r="490" spans="2:20" x14ac:dyDescent="0.2">
      <c r="B490">
        <v>53135</v>
      </c>
      <c r="C490" s="6">
        <v>4.9772399999999998E-5</v>
      </c>
      <c r="D490" s="1" t="s">
        <v>534</v>
      </c>
      <c r="E490" s="3">
        <v>23688</v>
      </c>
      <c r="F490" s="7">
        <v>2.9261532445117581E-5</v>
      </c>
      <c r="G490" s="7">
        <v>621159551993.49292</v>
      </c>
      <c r="H490" s="7">
        <v>0</v>
      </c>
      <c r="I490" s="3">
        <f t="shared" si="7"/>
        <v>718934.66665913526</v>
      </c>
      <c r="L490" s="1">
        <v>53111</v>
      </c>
      <c r="M490" s="3">
        <v>2.25733E-7</v>
      </c>
      <c r="N490" s="1" t="s">
        <v>522</v>
      </c>
      <c r="O490" s="1">
        <v>58</v>
      </c>
      <c r="P490" s="1">
        <v>53</v>
      </c>
      <c r="Q490" s="3">
        <v>2.5</v>
      </c>
      <c r="R490" s="3">
        <v>0.2772588722239781</v>
      </c>
      <c r="S490" s="3">
        <v>2817147840</v>
      </c>
      <c r="T490" s="3">
        <v>0</v>
      </c>
    </row>
    <row r="491" spans="2:20" x14ac:dyDescent="0.2">
      <c r="B491">
        <v>53136</v>
      </c>
      <c r="C491" s="6">
        <v>5.83337E-5</v>
      </c>
      <c r="D491" s="1" t="s">
        <v>535</v>
      </c>
      <c r="E491" s="3">
        <v>83.4</v>
      </c>
      <c r="F491" s="7">
        <v>8.3111172729010228E-3</v>
      </c>
      <c r="G491" s="7">
        <v>728004576000</v>
      </c>
      <c r="H491" s="7">
        <v>0</v>
      </c>
      <c r="I491" s="3">
        <f t="shared" si="7"/>
        <v>842597.88888888888</v>
      </c>
      <c r="L491" s="1">
        <v>53112</v>
      </c>
      <c r="M491" s="3">
        <v>3.4551000000000003E-8</v>
      </c>
      <c r="N491" s="1" t="s">
        <v>523</v>
      </c>
      <c r="O491" s="1">
        <v>59</v>
      </c>
      <c r="P491" s="1">
        <v>53</v>
      </c>
      <c r="Q491" s="3">
        <v>3.34</v>
      </c>
      <c r="R491" s="3">
        <v>0.20752909597603153</v>
      </c>
      <c r="S491" s="3">
        <v>431196480.00000006</v>
      </c>
      <c r="T491" s="3">
        <v>0</v>
      </c>
    </row>
    <row r="492" spans="2:20" x14ac:dyDescent="0.2">
      <c r="B492">
        <v>53137</v>
      </c>
      <c r="C492" s="6">
        <v>7.1020700000000003E-5</v>
      </c>
      <c r="D492" s="1" t="s">
        <v>536</v>
      </c>
      <c r="E492" s="3">
        <v>24.5</v>
      </c>
      <c r="F492" s="7">
        <v>2.829172165550797E-2</v>
      </c>
      <c r="G492" s="7">
        <v>886338336000</v>
      </c>
      <c r="H492" s="7">
        <v>0</v>
      </c>
      <c r="I492" s="3">
        <f t="shared" si="7"/>
        <v>1025854.5555555555</v>
      </c>
      <c r="L492" s="1">
        <v>53113</v>
      </c>
      <c r="M492" s="3">
        <v>1.4937200000000001E-8</v>
      </c>
      <c r="N492" s="1" t="s">
        <v>524</v>
      </c>
      <c r="O492" s="1">
        <v>60</v>
      </c>
      <c r="P492" s="1">
        <v>53</v>
      </c>
      <c r="Q492" s="3">
        <v>6.6</v>
      </c>
      <c r="R492" s="3">
        <v>0.1050223000848402</v>
      </c>
      <c r="S492" s="3">
        <v>186416256</v>
      </c>
      <c r="T492" s="3">
        <v>0</v>
      </c>
    </row>
    <row r="493" spans="2:20" x14ac:dyDescent="0.2">
      <c r="B493">
        <v>53138</v>
      </c>
      <c r="C493" s="6">
        <v>4.5197200000000002E-5</v>
      </c>
      <c r="D493" s="1" t="s">
        <v>537</v>
      </c>
      <c r="E493" s="3">
        <v>6.23</v>
      </c>
      <c r="F493" s="7">
        <v>0.11125957954413246</v>
      </c>
      <c r="G493" s="7">
        <v>564061056000</v>
      </c>
      <c r="H493" s="7">
        <v>0</v>
      </c>
      <c r="I493" s="3">
        <f t="shared" si="7"/>
        <v>652848.4444444445</v>
      </c>
      <c r="L493" s="1">
        <v>53114</v>
      </c>
      <c r="M493" s="3">
        <v>7.6779999999999997E-10</v>
      </c>
      <c r="N493" s="1" t="s">
        <v>525</v>
      </c>
      <c r="O493" s="1">
        <v>61</v>
      </c>
      <c r="P493" s="1">
        <v>53</v>
      </c>
      <c r="Q493" s="3">
        <v>2.1</v>
      </c>
      <c r="R493" s="3">
        <v>0.3300700859809263</v>
      </c>
      <c r="S493" s="3">
        <v>9582144</v>
      </c>
      <c r="T493" s="3">
        <v>0</v>
      </c>
    </row>
    <row r="494" spans="2:20" x14ac:dyDescent="0.2">
      <c r="B494">
        <v>53139</v>
      </c>
      <c r="C494" s="6">
        <v>3.6078300000000003E-5</v>
      </c>
      <c r="D494" s="1" t="s">
        <v>538</v>
      </c>
      <c r="E494" s="3">
        <v>2.2799999999999998</v>
      </c>
      <c r="F494" s="7">
        <v>0.30401192129822163</v>
      </c>
      <c r="G494" s="7">
        <v>450257184000.00006</v>
      </c>
      <c r="H494" s="7">
        <v>0</v>
      </c>
      <c r="I494" s="3">
        <f t="shared" si="7"/>
        <v>521131.00000000006</v>
      </c>
      <c r="L494" s="1">
        <v>53115</v>
      </c>
      <c r="M494" s="3">
        <v>3.4899999999999998E-10</v>
      </c>
      <c r="N494" s="1" t="s">
        <v>539</v>
      </c>
      <c r="O494" s="1">
        <v>62</v>
      </c>
      <c r="P494" s="1">
        <v>53</v>
      </c>
      <c r="Q494" s="3">
        <v>78</v>
      </c>
      <c r="R494" s="3">
        <v>8.8865023148710937E-3</v>
      </c>
      <c r="S494" s="3">
        <v>4355520</v>
      </c>
      <c r="T494" s="3">
        <v>0</v>
      </c>
    </row>
    <row r="495" spans="2:20" x14ac:dyDescent="0.2">
      <c r="B495">
        <v>53140</v>
      </c>
      <c r="C495" s="6">
        <v>1.4052299999999999E-5</v>
      </c>
      <c r="D495" s="1" t="s">
        <v>540</v>
      </c>
      <c r="E495" s="3">
        <v>0.86</v>
      </c>
      <c r="F495" s="7">
        <v>0.805985093674355</v>
      </c>
      <c r="G495" s="7">
        <v>175372704000</v>
      </c>
      <c r="H495" s="7">
        <v>0</v>
      </c>
      <c r="I495" s="3">
        <f t="shared" si="7"/>
        <v>202977.66666666666</v>
      </c>
      <c r="L495" s="1">
        <v>53116</v>
      </c>
      <c r="M495" s="3">
        <v>6.9799999999999994E-11</v>
      </c>
      <c r="N495" s="1" t="s">
        <v>541</v>
      </c>
      <c r="O495" s="1">
        <v>63</v>
      </c>
      <c r="P495" s="1">
        <v>53</v>
      </c>
      <c r="Q495" s="3">
        <v>2.91</v>
      </c>
      <c r="R495" s="3">
        <v>0.23819490740891588</v>
      </c>
      <c r="S495" s="3">
        <v>871103.99999999988</v>
      </c>
      <c r="T495" s="3">
        <v>0</v>
      </c>
    </row>
    <row r="496" spans="2:20" x14ac:dyDescent="0.2">
      <c r="B496">
        <v>53141</v>
      </c>
      <c r="C496" s="6">
        <v>5.9477300000000002E-6</v>
      </c>
      <c r="D496" s="1" t="s">
        <v>542</v>
      </c>
      <c r="E496" s="3">
        <v>0.43</v>
      </c>
      <c r="F496" s="7">
        <v>1.61197018734871</v>
      </c>
      <c r="G496" s="7">
        <v>74227670400</v>
      </c>
      <c r="H496" s="7">
        <v>0</v>
      </c>
      <c r="I496" s="3">
        <f t="shared" si="7"/>
        <v>85911.655555555553</v>
      </c>
      <c r="L496" s="1">
        <v>53125</v>
      </c>
      <c r="M496" s="3">
        <v>1.3959999999999999E-10</v>
      </c>
      <c r="N496" s="1" t="s">
        <v>543</v>
      </c>
      <c r="O496" s="1">
        <v>72</v>
      </c>
      <c r="P496" s="1">
        <v>53</v>
      </c>
      <c r="Q496" s="3">
        <v>5132764.8</v>
      </c>
      <c r="R496" s="3">
        <v>1.3504362805791244E-7</v>
      </c>
      <c r="S496" s="3">
        <v>191865.95675863815</v>
      </c>
      <c r="T496" s="3">
        <v>2713.0165445214116</v>
      </c>
    </row>
    <row r="497" spans="2:20" x14ac:dyDescent="0.2">
      <c r="B497">
        <v>53142</v>
      </c>
      <c r="C497" s="6">
        <v>1.31119E-6</v>
      </c>
      <c r="D497" s="1" t="s">
        <v>544</v>
      </c>
      <c r="E497" s="3">
        <v>0.222</v>
      </c>
      <c r="F497" s="7">
        <v>3.1222845971168707</v>
      </c>
      <c r="G497" s="7">
        <v>16363651200</v>
      </c>
      <c r="H497" s="7">
        <v>0</v>
      </c>
      <c r="I497" s="3">
        <f t="shared" si="7"/>
        <v>18939.411111111112</v>
      </c>
      <c r="L497" s="1">
        <v>53126</v>
      </c>
      <c r="M497" s="3">
        <v>2.7919999999999998E-10</v>
      </c>
      <c r="N497" s="1" t="s">
        <v>526</v>
      </c>
      <c r="O497" s="1">
        <v>73</v>
      </c>
      <c r="P497" s="1">
        <v>53</v>
      </c>
      <c r="Q497" s="3">
        <v>1117152</v>
      </c>
      <c r="R497" s="3">
        <v>6.2045915019616423E-7</v>
      </c>
      <c r="S497" s="3">
        <v>1445896.6223331625</v>
      </c>
      <c r="T497" s="3">
        <v>4.596042951623012E-3</v>
      </c>
    </row>
    <row r="498" spans="2:20" x14ac:dyDescent="0.2">
      <c r="B498">
        <v>54110</v>
      </c>
      <c r="C498" s="6">
        <v>3.0872500000000001E-7</v>
      </c>
      <c r="D498" s="1" t="s">
        <v>545</v>
      </c>
      <c r="E498" s="3">
        <v>9.2999999999999999E-2</v>
      </c>
      <c r="F498" s="7">
        <v>7.4531954898918853</v>
      </c>
      <c r="G498" s="7">
        <v>3852888000</v>
      </c>
      <c r="H498" s="7">
        <v>0</v>
      </c>
      <c r="I498" s="3">
        <f t="shared" si="7"/>
        <v>4459.3611111111113</v>
      </c>
      <c r="L498" s="1">
        <v>53128</v>
      </c>
      <c r="M498" s="3">
        <v>2.6105199999999999E-8</v>
      </c>
      <c r="N498" s="1" t="s">
        <v>527</v>
      </c>
      <c r="O498" s="1">
        <v>75</v>
      </c>
      <c r="P498" s="1">
        <v>53</v>
      </c>
      <c r="Q498" s="3">
        <v>1499.3999999999901</v>
      </c>
      <c r="R498" s="3">
        <v>4.622830335867346E-4</v>
      </c>
      <c r="S498" s="3">
        <v>325792896</v>
      </c>
      <c r="T498" s="3">
        <v>0</v>
      </c>
    </row>
    <row r="499" spans="2:20" x14ac:dyDescent="0.2">
      <c r="B499">
        <v>54111</v>
      </c>
      <c r="C499" s="6">
        <v>4.2577999999999999E-8</v>
      </c>
      <c r="D499" s="1" t="s">
        <v>546</v>
      </c>
      <c r="E499" s="3">
        <v>0.81</v>
      </c>
      <c r="F499" s="7">
        <v>0.85573725995054972</v>
      </c>
      <c r="G499" s="7">
        <v>531373440</v>
      </c>
      <c r="H499" s="7">
        <v>0</v>
      </c>
      <c r="I499" s="3">
        <f t="shared" si="7"/>
        <v>615.01555555555558</v>
      </c>
      <c r="L499" s="1">
        <v>53129</v>
      </c>
      <c r="M499" s="3">
        <v>2.12681E-7</v>
      </c>
      <c r="N499" s="1" t="s">
        <v>528</v>
      </c>
      <c r="O499" s="1">
        <v>76</v>
      </c>
      <c r="P499" s="1">
        <v>53</v>
      </c>
      <c r="Q499" s="3">
        <v>495454320000000</v>
      </c>
      <c r="R499" s="3">
        <v>1.3990132946261228E-15</v>
      </c>
      <c r="S499" s="3">
        <v>3.2083286142924905</v>
      </c>
      <c r="T499" s="3">
        <v>3.2083284727433345</v>
      </c>
    </row>
    <row r="500" spans="2:20" x14ac:dyDescent="0.2">
      <c r="B500">
        <v>54112</v>
      </c>
      <c r="C500" s="6">
        <v>5.1652000000000003E-9</v>
      </c>
      <c r="D500" s="1" t="s">
        <v>547</v>
      </c>
      <c r="E500" s="3">
        <v>2.7</v>
      </c>
      <c r="F500" s="7">
        <v>0.25672117798516492</v>
      </c>
      <c r="G500" s="7">
        <v>64461696.000000007</v>
      </c>
      <c r="H500" s="7">
        <v>0</v>
      </c>
      <c r="I500" s="3">
        <f t="shared" si="7"/>
        <v>74.608444444444444</v>
      </c>
      <c r="L500" s="1">
        <v>53130</v>
      </c>
      <c r="M500" s="3">
        <v>7.3073599999999999E-7</v>
      </c>
      <c r="N500" s="1" t="s">
        <v>529</v>
      </c>
      <c r="O500" s="1">
        <v>77</v>
      </c>
      <c r="P500" s="1">
        <v>53</v>
      </c>
      <c r="Q500" s="3">
        <v>44496</v>
      </c>
      <c r="R500" s="3">
        <v>1.5577741382594957E-5</v>
      </c>
      <c r="S500" s="3">
        <v>9119572256.3578491</v>
      </c>
      <c r="T500" s="3">
        <v>4.0608628167994012E-204</v>
      </c>
    </row>
    <row r="501" spans="2:20" x14ac:dyDescent="0.2">
      <c r="B501">
        <v>54113</v>
      </c>
      <c r="C501" s="6">
        <v>4.1879999999999999E-10</v>
      </c>
      <c r="D501" s="1" t="s">
        <v>548</v>
      </c>
      <c r="E501" s="3">
        <v>2.74</v>
      </c>
      <c r="F501" s="7">
        <v>0.25297342356202379</v>
      </c>
      <c r="G501" s="7">
        <v>5226624</v>
      </c>
      <c r="H501" s="7">
        <v>0</v>
      </c>
      <c r="I501" s="3">
        <f t="shared" si="7"/>
        <v>6.0493333333333341</v>
      </c>
      <c r="L501" s="1">
        <v>53131</v>
      </c>
      <c r="M501" s="3">
        <v>3.51171E-6</v>
      </c>
      <c r="N501" s="1" t="s">
        <v>530</v>
      </c>
      <c r="O501" s="1">
        <v>78</v>
      </c>
      <c r="P501" s="1">
        <v>53</v>
      </c>
      <c r="Q501" s="3">
        <v>693377.28</v>
      </c>
      <c r="R501" s="3">
        <v>9.9966814684199819E-7</v>
      </c>
      <c r="S501" s="3">
        <v>25349316939.877872</v>
      </c>
      <c r="T501" s="3">
        <v>5.1594155863246376E-4</v>
      </c>
    </row>
    <row r="502" spans="2:20" x14ac:dyDescent="0.2">
      <c r="B502">
        <v>54114</v>
      </c>
      <c r="C502" s="6">
        <v>6.9799999999999994E-11</v>
      </c>
      <c r="D502" s="1" t="s">
        <v>549</v>
      </c>
      <c r="E502" s="3">
        <v>10</v>
      </c>
      <c r="F502" s="7">
        <v>6.9314718055994526E-2</v>
      </c>
      <c r="G502" s="7">
        <v>871103.99999999988</v>
      </c>
      <c r="H502" s="7">
        <v>0</v>
      </c>
      <c r="I502" s="3">
        <f t="shared" si="7"/>
        <v>1.0082222222222221</v>
      </c>
      <c r="L502" s="1">
        <v>53132</v>
      </c>
      <c r="M502" s="3">
        <v>7.0228599999999999E-6</v>
      </c>
      <c r="N502" s="1" t="s">
        <v>531</v>
      </c>
      <c r="O502" s="1">
        <v>79</v>
      </c>
      <c r="P502" s="1">
        <v>53</v>
      </c>
      <c r="Q502" s="3">
        <v>8262</v>
      </c>
      <c r="R502" s="3">
        <v>8.389580979907351E-5</v>
      </c>
      <c r="S502" s="3">
        <v>87645292800</v>
      </c>
      <c r="T502" s="3">
        <v>0</v>
      </c>
    </row>
    <row r="503" spans="2:20" x14ac:dyDescent="0.2">
      <c r="B503">
        <v>54133</v>
      </c>
      <c r="C503" s="6">
        <v>7.68917E-7</v>
      </c>
      <c r="D503" s="1" t="s">
        <v>550</v>
      </c>
      <c r="E503" s="3">
        <v>453383.99999999901</v>
      </c>
      <c r="F503" s="7">
        <v>1.5288302643232817E-6</v>
      </c>
      <c r="G503" s="7">
        <v>7034961332.3468037</v>
      </c>
      <c r="H503" s="7">
        <v>8.101003405747985E-12</v>
      </c>
      <c r="I503" s="3">
        <f t="shared" si="7"/>
        <v>8142.316356882875</v>
      </c>
      <c r="L503" s="1">
        <v>53133</v>
      </c>
      <c r="M503" s="3">
        <v>1.8415099999999999E-5</v>
      </c>
      <c r="N503" s="1" t="s">
        <v>532</v>
      </c>
      <c r="O503" s="1">
        <v>80</v>
      </c>
      <c r="P503" s="1">
        <v>53</v>
      </c>
      <c r="Q503" s="3">
        <v>74988</v>
      </c>
      <c r="R503" s="3">
        <v>9.2434413580832301E-6</v>
      </c>
      <c r="S503" s="3">
        <v>229742290948.05807</v>
      </c>
      <c r="T503" s="3">
        <v>5.8062107426065888E-116</v>
      </c>
    </row>
    <row r="504" spans="2:20" x14ac:dyDescent="0.2">
      <c r="B504">
        <v>54134</v>
      </c>
      <c r="C504" s="6">
        <v>2.70922E-6</v>
      </c>
      <c r="D504" s="1" t="s">
        <v>551</v>
      </c>
      <c r="E504" s="3">
        <v>1.8303407999999899E+30</v>
      </c>
      <c r="F504" s="7">
        <v>3.7869842630396979E-31</v>
      </c>
      <c r="G504" s="7">
        <v>0</v>
      </c>
      <c r="H504" s="7">
        <v>0</v>
      </c>
      <c r="I504" s="3">
        <f t="shared" si="7"/>
        <v>0</v>
      </c>
      <c r="L504" s="1">
        <v>53134</v>
      </c>
      <c r="M504" s="3">
        <v>2.4316900000000001E-5</v>
      </c>
      <c r="N504" s="1" t="s">
        <v>533</v>
      </c>
      <c r="O504" s="1">
        <v>81</v>
      </c>
      <c r="P504" s="1">
        <v>53</v>
      </c>
      <c r="Q504" s="3">
        <v>3150</v>
      </c>
      <c r="R504" s="3">
        <v>2.2004672398728421E-4</v>
      </c>
      <c r="S504" s="3">
        <v>303474912000</v>
      </c>
      <c r="T504" s="3">
        <v>0</v>
      </c>
    </row>
    <row r="505" spans="2:20" x14ac:dyDescent="0.2">
      <c r="B505">
        <v>54135</v>
      </c>
      <c r="C505" s="6">
        <v>7.2907499999999996E-6</v>
      </c>
      <c r="D505" s="1" t="s">
        <v>552</v>
      </c>
      <c r="E505" s="3">
        <v>32904</v>
      </c>
      <c r="F505" s="7">
        <v>2.1065742176025568E-5</v>
      </c>
      <c r="G505" s="7">
        <v>90988558866.349335</v>
      </c>
      <c r="H505" s="7">
        <v>2.7826680509633579E-278</v>
      </c>
      <c r="I505" s="3">
        <f t="shared" si="7"/>
        <v>105310.83202123766</v>
      </c>
      <c r="L505" s="1">
        <v>53135</v>
      </c>
      <c r="M505" s="3">
        <v>3.85706E-5</v>
      </c>
      <c r="N505" s="1" t="s">
        <v>534</v>
      </c>
      <c r="O505" s="1">
        <v>82</v>
      </c>
      <c r="P505" s="1">
        <v>53</v>
      </c>
      <c r="Q505" s="3">
        <v>23688</v>
      </c>
      <c r="R505" s="3">
        <v>2.9261532445117581E-5</v>
      </c>
      <c r="S505" s="3">
        <v>481361087994.9574</v>
      </c>
      <c r="T505" s="3">
        <v>0</v>
      </c>
    </row>
    <row r="506" spans="2:20" x14ac:dyDescent="0.2">
      <c r="B506">
        <v>54136</v>
      </c>
      <c r="C506" s="6">
        <v>2.0393800000000001E-5</v>
      </c>
      <c r="D506" s="1" t="s">
        <v>553</v>
      </c>
      <c r="E506" s="3">
        <v>7.573824E+28</v>
      </c>
      <c r="F506" s="7">
        <v>9.1518786356792195E-30</v>
      </c>
      <c r="G506" s="7">
        <v>0</v>
      </c>
      <c r="H506" s="7">
        <v>0</v>
      </c>
      <c r="I506" s="3">
        <f t="shared" si="7"/>
        <v>0</v>
      </c>
      <c r="L506" s="1">
        <v>53136</v>
      </c>
      <c r="M506" s="3">
        <v>1.92375E-5</v>
      </c>
      <c r="N506" s="1" t="s">
        <v>535</v>
      </c>
      <c r="O506" s="1">
        <v>83</v>
      </c>
      <c r="P506" s="1">
        <v>53</v>
      </c>
      <c r="Q506" s="3">
        <v>83.4</v>
      </c>
      <c r="R506" s="3">
        <v>8.3111172729010228E-3</v>
      </c>
      <c r="S506" s="3">
        <v>240084000000</v>
      </c>
      <c r="T506" s="3">
        <v>0</v>
      </c>
    </row>
    <row r="507" spans="2:20" x14ac:dyDescent="0.2">
      <c r="B507">
        <v>54137</v>
      </c>
      <c r="C507" s="6">
        <v>3.7379000000000002E-5</v>
      </c>
      <c r="D507" s="1" t="s">
        <v>554</v>
      </c>
      <c r="E507" s="3">
        <v>229.08</v>
      </c>
      <c r="F507" s="7">
        <v>3.0257865398984865E-3</v>
      </c>
      <c r="G507" s="7">
        <v>466489920000.00006</v>
      </c>
      <c r="H507" s="7">
        <v>0</v>
      </c>
      <c r="I507" s="3">
        <f t="shared" si="7"/>
        <v>539918.88888888899</v>
      </c>
      <c r="L507" s="1">
        <v>53137</v>
      </c>
      <c r="M507" s="3">
        <v>1.8481499999999999E-5</v>
      </c>
      <c r="N507" s="1" t="s">
        <v>536</v>
      </c>
      <c r="O507" s="1">
        <v>84</v>
      </c>
      <c r="P507" s="1">
        <v>53</v>
      </c>
      <c r="Q507" s="3">
        <v>24.5</v>
      </c>
      <c r="R507" s="3">
        <v>2.829172165550797E-2</v>
      </c>
      <c r="S507" s="3">
        <v>230649120000</v>
      </c>
      <c r="T507" s="3">
        <v>0</v>
      </c>
    </row>
    <row r="508" spans="2:20" x14ac:dyDescent="0.2">
      <c r="B508">
        <v>54138</v>
      </c>
      <c r="C508" s="6">
        <v>5.9450799999999997E-5</v>
      </c>
      <c r="D508" s="1" t="s">
        <v>555</v>
      </c>
      <c r="E508" s="3">
        <v>848.4</v>
      </c>
      <c r="F508" s="7">
        <v>8.170051633191246E-4</v>
      </c>
      <c r="G508" s="7">
        <v>741945984000</v>
      </c>
      <c r="H508" s="7">
        <v>0</v>
      </c>
      <c r="I508" s="3">
        <f t="shared" si="7"/>
        <v>858733.77777777775</v>
      </c>
      <c r="L508" s="1">
        <v>53138</v>
      </c>
      <c r="M508" s="3">
        <v>9.4235599999999996E-6</v>
      </c>
      <c r="N508" s="1" t="s">
        <v>537</v>
      </c>
      <c r="O508" s="1">
        <v>85</v>
      </c>
      <c r="P508" s="1">
        <v>53</v>
      </c>
      <c r="Q508" s="3">
        <v>6.23</v>
      </c>
      <c r="R508" s="3">
        <v>0.11125957954413246</v>
      </c>
      <c r="S508" s="3">
        <v>117606028800</v>
      </c>
      <c r="T508" s="3">
        <v>0</v>
      </c>
    </row>
    <row r="509" spans="2:20" x14ac:dyDescent="0.2">
      <c r="B509">
        <v>54139</v>
      </c>
      <c r="C509" s="6">
        <v>6.5991100000000006E-5</v>
      </c>
      <c r="D509" s="1" t="s">
        <v>556</v>
      </c>
      <c r="E509" s="3">
        <v>39.68</v>
      </c>
      <c r="F509" s="7">
        <v>1.7468426929434105E-2</v>
      </c>
      <c r="G509" s="7">
        <v>823568928000.00012</v>
      </c>
      <c r="H509" s="7">
        <v>0</v>
      </c>
      <c r="I509" s="3">
        <f t="shared" si="7"/>
        <v>953204.77777777787</v>
      </c>
      <c r="L509" s="1">
        <v>53139</v>
      </c>
      <c r="M509" s="3">
        <v>5.6522599999999998E-6</v>
      </c>
      <c r="N509" s="1" t="s">
        <v>538</v>
      </c>
      <c r="O509" s="1">
        <v>86</v>
      </c>
      <c r="P509" s="1">
        <v>53</v>
      </c>
      <c r="Q509" s="3">
        <v>2.2799999999999998</v>
      </c>
      <c r="R509" s="3">
        <v>0.30401192129822163</v>
      </c>
      <c r="S509" s="3">
        <v>70540204800</v>
      </c>
      <c r="T509" s="3">
        <v>0</v>
      </c>
    </row>
    <row r="510" spans="2:20" x14ac:dyDescent="0.2">
      <c r="B510">
        <v>54140</v>
      </c>
      <c r="C510" s="6">
        <v>6.6065399999999999E-5</v>
      </c>
      <c r="D510" s="1" t="s">
        <v>557</v>
      </c>
      <c r="E510" s="3">
        <v>13.6</v>
      </c>
      <c r="F510" s="7">
        <v>5.0966704452937155E-2</v>
      </c>
      <c r="G510" s="7">
        <v>824496192000</v>
      </c>
      <c r="H510" s="7">
        <v>0</v>
      </c>
      <c r="I510" s="3">
        <f t="shared" si="7"/>
        <v>954278</v>
      </c>
      <c r="L510" s="1">
        <v>53140</v>
      </c>
      <c r="M510" s="3">
        <v>1.6166399999999999E-6</v>
      </c>
      <c r="N510" s="1" t="s">
        <v>540</v>
      </c>
      <c r="O510" s="1">
        <v>87</v>
      </c>
      <c r="P510" s="1">
        <v>53</v>
      </c>
      <c r="Q510" s="3">
        <v>0.86</v>
      </c>
      <c r="R510" s="3">
        <v>0.805985093674355</v>
      </c>
      <c r="S510" s="3">
        <v>20175667200</v>
      </c>
      <c r="T510" s="3">
        <v>0</v>
      </c>
    </row>
    <row r="511" spans="2:20" x14ac:dyDescent="0.2">
      <c r="B511">
        <v>54141</v>
      </c>
      <c r="C511" s="6">
        <v>4.4573300000000002E-5</v>
      </c>
      <c r="D511" s="1" t="s">
        <v>558</v>
      </c>
      <c r="E511" s="3">
        <v>1.73</v>
      </c>
      <c r="F511" s="7">
        <v>0.40066311015025741</v>
      </c>
      <c r="G511" s="7">
        <v>556274784000</v>
      </c>
      <c r="H511" s="7">
        <v>0</v>
      </c>
      <c r="I511" s="3">
        <f t="shared" si="7"/>
        <v>643836.5555555555</v>
      </c>
      <c r="L511" s="1">
        <v>53141</v>
      </c>
      <c r="M511" s="3">
        <v>7.4895400000000005E-7</v>
      </c>
      <c r="N511" s="1" t="s">
        <v>542</v>
      </c>
      <c r="O511" s="1">
        <v>88</v>
      </c>
      <c r="P511" s="1">
        <v>53</v>
      </c>
      <c r="Q511" s="3">
        <v>0.43</v>
      </c>
      <c r="R511" s="3">
        <v>1.61197018734871</v>
      </c>
      <c r="S511" s="3">
        <v>9346945920</v>
      </c>
      <c r="T511" s="3">
        <v>0</v>
      </c>
    </row>
    <row r="512" spans="2:20" x14ac:dyDescent="0.2">
      <c r="B512">
        <v>54142</v>
      </c>
      <c r="C512" s="6">
        <v>2.5604899999999999E-5</v>
      </c>
      <c r="D512" s="1" t="s">
        <v>559</v>
      </c>
      <c r="E512" s="3">
        <v>1.23</v>
      </c>
      <c r="F512" s="7">
        <v>0.56353429313816694</v>
      </c>
      <c r="G512" s="7">
        <v>319549152000</v>
      </c>
      <c r="H512" s="7">
        <v>0</v>
      </c>
      <c r="I512" s="3">
        <f t="shared" si="7"/>
        <v>369848.55555555556</v>
      </c>
      <c r="L512" s="1">
        <v>53142</v>
      </c>
      <c r="M512" s="3">
        <v>3.6379800000000001E-7</v>
      </c>
      <c r="N512" s="1" t="s">
        <v>544</v>
      </c>
      <c r="O512" s="1">
        <v>89</v>
      </c>
      <c r="P512" s="1">
        <v>53</v>
      </c>
      <c r="Q512" s="3">
        <v>0.222</v>
      </c>
      <c r="R512" s="3">
        <v>3.1222845971168707</v>
      </c>
      <c r="S512" s="3">
        <v>4540199040</v>
      </c>
      <c r="T512" s="3">
        <v>0</v>
      </c>
    </row>
    <row r="513" spans="2:20" x14ac:dyDescent="0.2">
      <c r="B513">
        <v>54143</v>
      </c>
      <c r="C513" s="6">
        <v>8.9868199999999998E-6</v>
      </c>
      <c r="D513" s="1" t="s">
        <v>560</v>
      </c>
      <c r="E513" s="3">
        <v>0.51100000000000001</v>
      </c>
      <c r="F513" s="7">
        <v>1.3564524081407932</v>
      </c>
      <c r="G513" s="7">
        <v>112155513600</v>
      </c>
      <c r="H513" s="7">
        <v>0</v>
      </c>
      <c r="I513" s="3">
        <f t="shared" si="7"/>
        <v>129809.62222222223</v>
      </c>
      <c r="L513" s="1">
        <v>54110</v>
      </c>
      <c r="M513" s="3">
        <v>1.47906E-7</v>
      </c>
      <c r="N513" s="1" t="s">
        <v>545</v>
      </c>
      <c r="O513" s="1">
        <v>56</v>
      </c>
      <c r="P513" s="1">
        <v>54</v>
      </c>
      <c r="Q513" s="3">
        <v>9.2999999999999999E-2</v>
      </c>
      <c r="R513" s="3">
        <v>7.4531954898918853</v>
      </c>
      <c r="S513" s="3">
        <v>1845866880</v>
      </c>
      <c r="T513" s="3">
        <v>0</v>
      </c>
    </row>
    <row r="514" spans="2:20" x14ac:dyDescent="0.2">
      <c r="B514">
        <v>54144</v>
      </c>
      <c r="C514" s="6">
        <v>2.85636E-6</v>
      </c>
      <c r="D514" s="1" t="s">
        <v>561</v>
      </c>
      <c r="E514" s="3">
        <v>0.38800000000000001</v>
      </c>
      <c r="F514" s="7">
        <v>1.7864618055668693</v>
      </c>
      <c r="G514" s="7">
        <v>35647372800</v>
      </c>
      <c r="H514" s="7">
        <v>0</v>
      </c>
      <c r="I514" s="3">
        <f t="shared" si="7"/>
        <v>41258.533333333333</v>
      </c>
      <c r="L514" s="1">
        <v>54111</v>
      </c>
      <c r="M514" s="3">
        <v>2.3103799999999999E-8</v>
      </c>
      <c r="N514" s="1" t="s">
        <v>546</v>
      </c>
      <c r="O514" s="1">
        <v>57</v>
      </c>
      <c r="P514" s="1">
        <v>54</v>
      </c>
      <c r="Q514" s="3">
        <v>0.81</v>
      </c>
      <c r="R514" s="3">
        <v>0.85573725995054972</v>
      </c>
      <c r="S514" s="3">
        <v>288335424</v>
      </c>
      <c r="T514" s="3">
        <v>0</v>
      </c>
    </row>
    <row r="515" spans="2:20" x14ac:dyDescent="0.2">
      <c r="B515">
        <v>54145</v>
      </c>
      <c r="C515" s="6">
        <v>5.0577100000000004E-7</v>
      </c>
      <c r="D515" s="1" t="s">
        <v>562</v>
      </c>
      <c r="E515" s="3">
        <v>0.188</v>
      </c>
      <c r="F515" s="7">
        <v>3.6869530880848154</v>
      </c>
      <c r="G515" s="7">
        <v>6312022080</v>
      </c>
      <c r="H515" s="7">
        <v>0</v>
      </c>
      <c r="I515" s="3">
        <f t="shared" si="7"/>
        <v>7305.5811111111107</v>
      </c>
      <c r="L515" s="1">
        <v>54112</v>
      </c>
      <c r="M515" s="3">
        <v>7.9572000000000006E-9</v>
      </c>
      <c r="N515" s="1" t="s">
        <v>547</v>
      </c>
      <c r="O515" s="1">
        <v>58</v>
      </c>
      <c r="P515" s="1">
        <v>54</v>
      </c>
      <c r="Q515" s="3">
        <v>2.7</v>
      </c>
      <c r="R515" s="3">
        <v>0.25672117798516492</v>
      </c>
      <c r="S515" s="3">
        <v>99305856.000000015</v>
      </c>
      <c r="T515" s="3">
        <v>0</v>
      </c>
    </row>
    <row r="516" spans="2:20" x14ac:dyDescent="0.2">
      <c r="B516">
        <v>55114</v>
      </c>
      <c r="C516" s="6">
        <v>9.3601799999999996E-8</v>
      </c>
      <c r="D516" s="1" t="s">
        <v>563</v>
      </c>
      <c r="E516" s="3">
        <v>0.56999999999999995</v>
      </c>
      <c r="F516" s="7">
        <v>1.2160476851928865</v>
      </c>
      <c r="G516" s="7">
        <v>1168150464</v>
      </c>
      <c r="H516" s="7">
        <v>0</v>
      </c>
      <c r="I516" s="3">
        <f t="shared" ref="I516:I579" si="8">G516/10/24/3600</f>
        <v>1352.0260000000001</v>
      </c>
      <c r="L516" s="1">
        <v>54113</v>
      </c>
      <c r="M516" s="3">
        <v>5.5839999999999995E-10</v>
      </c>
      <c r="N516" s="1" t="s">
        <v>548</v>
      </c>
      <c r="O516" s="1">
        <v>59</v>
      </c>
      <c r="P516" s="1">
        <v>54</v>
      </c>
      <c r="Q516" s="3">
        <v>2.74</v>
      </c>
      <c r="R516" s="3">
        <v>0.25297342356202379</v>
      </c>
      <c r="S516" s="3">
        <v>6968831.9999999991</v>
      </c>
      <c r="T516" s="3">
        <v>0</v>
      </c>
    </row>
    <row r="517" spans="2:20" x14ac:dyDescent="0.2">
      <c r="B517">
        <v>55115</v>
      </c>
      <c r="C517" s="6">
        <v>7.2591999999999999E-9</v>
      </c>
      <c r="D517" s="1" t="s">
        <v>564</v>
      </c>
      <c r="E517" s="3">
        <v>1.4</v>
      </c>
      <c r="F517" s="7">
        <v>0.49510512897138953</v>
      </c>
      <c r="G517" s="7">
        <v>90594816</v>
      </c>
      <c r="H517" s="7">
        <v>0</v>
      </c>
      <c r="I517" s="3">
        <f t="shared" si="8"/>
        <v>104.8551111111111</v>
      </c>
      <c r="L517" s="1">
        <v>54114</v>
      </c>
      <c r="M517" s="3">
        <v>6.9799999999999994E-11</v>
      </c>
      <c r="N517" s="1" t="s">
        <v>549</v>
      </c>
      <c r="O517" s="1">
        <v>60</v>
      </c>
      <c r="P517" s="1">
        <v>54</v>
      </c>
      <c r="Q517" s="3">
        <v>10</v>
      </c>
      <c r="R517" s="3">
        <v>6.9314718055994526E-2</v>
      </c>
      <c r="S517" s="3">
        <v>871103.99999999988</v>
      </c>
      <c r="T517" s="3">
        <v>0</v>
      </c>
    </row>
    <row r="518" spans="2:20" x14ac:dyDescent="0.2">
      <c r="B518">
        <v>55116</v>
      </c>
      <c r="C518" s="6">
        <v>7.6779999999999997E-10</v>
      </c>
      <c r="D518" s="1" t="s">
        <v>565</v>
      </c>
      <c r="E518" s="3">
        <v>0.7</v>
      </c>
      <c r="F518" s="7">
        <v>0.99021025794277906</v>
      </c>
      <c r="G518" s="7">
        <v>9582144</v>
      </c>
      <c r="H518" s="7">
        <v>0</v>
      </c>
      <c r="I518" s="3">
        <f t="shared" si="8"/>
        <v>11.090444444444444</v>
      </c>
      <c r="L518" s="1">
        <v>54115</v>
      </c>
      <c r="M518" s="3">
        <v>1.3959999999999999E-10</v>
      </c>
      <c r="N518" s="1" t="s">
        <v>566</v>
      </c>
      <c r="O518" s="1">
        <v>61</v>
      </c>
      <c r="P518" s="1">
        <v>54</v>
      </c>
      <c r="Q518" s="3">
        <v>18</v>
      </c>
      <c r="R518" s="3">
        <v>3.8508176697774739E-2</v>
      </c>
      <c r="S518" s="3">
        <v>1742207.9999999998</v>
      </c>
      <c r="T518" s="3">
        <v>0</v>
      </c>
    </row>
    <row r="519" spans="2:20" x14ac:dyDescent="0.2">
      <c r="B519">
        <v>55130</v>
      </c>
      <c r="C519" s="6">
        <v>6.9799999999999994E-11</v>
      </c>
      <c r="D519" s="1" t="s">
        <v>567</v>
      </c>
      <c r="E519" s="3">
        <v>1752.6</v>
      </c>
      <c r="F519" s="7">
        <v>3.9549650836468407E-4</v>
      </c>
      <c r="G519" s="7">
        <v>871103.99999999988</v>
      </c>
      <c r="H519" s="7">
        <v>0</v>
      </c>
      <c r="I519" s="3">
        <f t="shared" si="8"/>
        <v>1.0082222222222221</v>
      </c>
      <c r="L519" s="1">
        <v>54133</v>
      </c>
      <c r="M519" s="3">
        <v>1.9443499999999999E-6</v>
      </c>
      <c r="N519" s="1" t="s">
        <v>550</v>
      </c>
      <c r="O519" s="1">
        <v>79</v>
      </c>
      <c r="P519" s="1">
        <v>54</v>
      </c>
      <c r="Q519" s="3">
        <v>453383.99999999901</v>
      </c>
      <c r="R519" s="3">
        <v>1.5288302643232817E-6</v>
      </c>
      <c r="S519" s="3">
        <v>17789211405.845505</v>
      </c>
      <c r="T519" s="3">
        <v>2.0484897553267901E-11</v>
      </c>
    </row>
    <row r="520" spans="2:20" x14ac:dyDescent="0.2">
      <c r="B520">
        <v>55131</v>
      </c>
      <c r="C520" s="6">
        <v>3.4899999999999998E-10</v>
      </c>
      <c r="D520" s="1" t="s">
        <v>568</v>
      </c>
      <c r="E520" s="3">
        <v>837129.6</v>
      </c>
      <c r="F520" s="7">
        <v>8.2800462504246091E-7</v>
      </c>
      <c r="G520" s="7">
        <v>2225677.5494134296</v>
      </c>
      <c r="H520" s="7">
        <v>1.0166811557918511E-5</v>
      </c>
      <c r="I520" s="3">
        <f t="shared" si="8"/>
        <v>2.5760156821914695</v>
      </c>
      <c r="L520" s="1">
        <v>54134</v>
      </c>
      <c r="M520" s="3">
        <v>7.86311E-6</v>
      </c>
      <c r="N520" s="1" t="s">
        <v>551</v>
      </c>
      <c r="O520" s="1">
        <v>80</v>
      </c>
      <c r="P520" s="1">
        <v>54</v>
      </c>
      <c r="Q520" s="3">
        <v>1.8303407999999899E+30</v>
      </c>
      <c r="R520" s="3">
        <v>3.7869842630396979E-31</v>
      </c>
      <c r="S520" s="3">
        <v>0</v>
      </c>
      <c r="T520" s="3">
        <v>0</v>
      </c>
    </row>
    <row r="521" spans="2:20" x14ac:dyDescent="0.2">
      <c r="B521">
        <v>55132</v>
      </c>
      <c r="C521" s="6">
        <v>2.5127999999999998E-9</v>
      </c>
      <c r="D521" s="1" t="s">
        <v>569</v>
      </c>
      <c r="E521" s="3">
        <v>559872</v>
      </c>
      <c r="F521" s="7">
        <v>1.2380458043266055E-6</v>
      </c>
      <c r="G521" s="7">
        <v>20599551.367249206</v>
      </c>
      <c r="H521" s="7">
        <v>2.278730067677876E-10</v>
      </c>
      <c r="I521" s="3">
        <f t="shared" si="8"/>
        <v>23.842073341723619</v>
      </c>
      <c r="L521" s="1">
        <v>54135</v>
      </c>
      <c r="M521" s="3">
        <v>1.42142E-5</v>
      </c>
      <c r="N521" s="1" t="s">
        <v>552</v>
      </c>
      <c r="O521" s="1">
        <v>81</v>
      </c>
      <c r="P521" s="1">
        <v>54</v>
      </c>
      <c r="Q521" s="3">
        <v>32904</v>
      </c>
      <c r="R521" s="3">
        <v>2.1065742176025568E-5</v>
      </c>
      <c r="S521" s="3">
        <v>177393213789.81073</v>
      </c>
      <c r="T521" s="3">
        <v>5.4251483331623443E-278</v>
      </c>
    </row>
    <row r="522" spans="2:20" x14ac:dyDescent="0.2">
      <c r="B522">
        <v>55134</v>
      </c>
      <c r="C522" s="6">
        <v>6.6868399999999995E-8</v>
      </c>
      <c r="D522" s="1" t="s">
        <v>570</v>
      </c>
      <c r="E522" s="3">
        <v>65172755.519999899</v>
      </c>
      <c r="F522" s="7">
        <v>1.0635535892712647E-8</v>
      </c>
      <c r="G522" s="7">
        <v>7633342.9847244862</v>
      </c>
      <c r="H522" s="7">
        <v>5458224.8964306451</v>
      </c>
      <c r="I522" s="3">
        <f t="shared" si="8"/>
        <v>8.8348877138014892</v>
      </c>
      <c r="L522" s="1">
        <v>54136</v>
      </c>
      <c r="M522" s="3">
        <v>3.2630599999999999E-5</v>
      </c>
      <c r="N522" s="1" t="s">
        <v>553</v>
      </c>
      <c r="O522" s="1">
        <v>82</v>
      </c>
      <c r="P522" s="1">
        <v>54</v>
      </c>
      <c r="Q522" s="3">
        <v>7.573824E+28</v>
      </c>
      <c r="R522" s="3">
        <v>9.1518786356792195E-30</v>
      </c>
      <c r="S522" s="3">
        <v>0</v>
      </c>
      <c r="T522" s="3">
        <v>0</v>
      </c>
    </row>
    <row r="523" spans="2:20" x14ac:dyDescent="0.2">
      <c r="B523">
        <v>55135</v>
      </c>
      <c r="C523" s="6">
        <v>3.3322499999999999E-7</v>
      </c>
      <c r="D523" s="1" t="s">
        <v>571</v>
      </c>
      <c r="E523" s="3">
        <v>72582480000000</v>
      </c>
      <c r="F523" s="7">
        <v>9.5497864024478811E-15</v>
      </c>
      <c r="G523" s="7">
        <v>34.31306880118612</v>
      </c>
      <c r="H523" s="7">
        <v>34.313058467393056</v>
      </c>
      <c r="I523" s="3">
        <f t="shared" si="8"/>
        <v>3.9714200001372824E-5</v>
      </c>
      <c r="L523" s="1">
        <v>54137</v>
      </c>
      <c r="M523" s="3">
        <v>2.42532E-5</v>
      </c>
      <c r="N523" s="1" t="s">
        <v>554</v>
      </c>
      <c r="O523" s="1">
        <v>83</v>
      </c>
      <c r="P523" s="1">
        <v>54</v>
      </c>
      <c r="Q523" s="3">
        <v>229.08</v>
      </c>
      <c r="R523" s="3">
        <v>3.0257865398984865E-3</v>
      </c>
      <c r="S523" s="3">
        <v>302679936000</v>
      </c>
      <c r="T523" s="3">
        <v>0</v>
      </c>
    </row>
    <row r="524" spans="2:20" x14ac:dyDescent="0.2">
      <c r="B524">
        <v>55136</v>
      </c>
      <c r="C524" s="6">
        <v>1.18297E-6</v>
      </c>
      <c r="D524" s="1" t="s">
        <v>572</v>
      </c>
      <c r="E524" s="3">
        <v>1126656</v>
      </c>
      <c r="F524" s="7">
        <v>6.1522521564696349E-7</v>
      </c>
      <c r="G524" s="7">
        <v>6087115003.7708931</v>
      </c>
      <c r="H524" s="7">
        <v>22.821376875849577</v>
      </c>
      <c r="I524" s="3">
        <f t="shared" si="8"/>
        <v>7045.2719951052004</v>
      </c>
      <c r="L524" s="1">
        <v>54138</v>
      </c>
      <c r="M524" s="3">
        <v>3.17471E-5</v>
      </c>
      <c r="N524" s="1" t="s">
        <v>555</v>
      </c>
      <c r="O524" s="1">
        <v>84</v>
      </c>
      <c r="P524" s="1">
        <v>54</v>
      </c>
      <c r="Q524" s="3">
        <v>848.4</v>
      </c>
      <c r="R524" s="3">
        <v>8.170051633191246E-4</v>
      </c>
      <c r="S524" s="3">
        <v>396203808000</v>
      </c>
      <c r="T524" s="3">
        <v>0</v>
      </c>
    </row>
    <row r="525" spans="2:20" x14ac:dyDescent="0.2">
      <c r="B525">
        <v>55137</v>
      </c>
      <c r="C525" s="6">
        <v>4.9134999999999996E-6</v>
      </c>
      <c r="D525" s="1" t="s">
        <v>573</v>
      </c>
      <c r="E525" s="3">
        <v>949252608</v>
      </c>
      <c r="F525" s="7">
        <v>7.3020308263398025E-10</v>
      </c>
      <c r="G525" s="7">
        <v>38674611.54396601</v>
      </c>
      <c r="H525" s="7">
        <v>37794200.611645043</v>
      </c>
      <c r="I525" s="3">
        <f t="shared" si="8"/>
        <v>44.76228187959029</v>
      </c>
      <c r="L525" s="1">
        <v>54139</v>
      </c>
      <c r="M525" s="3">
        <v>1.7910800000000001E-5</v>
      </c>
      <c r="N525" s="1" t="s">
        <v>556</v>
      </c>
      <c r="O525" s="1">
        <v>85</v>
      </c>
      <c r="P525" s="1">
        <v>54</v>
      </c>
      <c r="Q525" s="3">
        <v>39.68</v>
      </c>
      <c r="R525" s="3">
        <v>1.7468426929434105E-2</v>
      </c>
      <c r="S525" s="3">
        <v>223526784000.00003</v>
      </c>
      <c r="T525" s="3">
        <v>0</v>
      </c>
    </row>
    <row r="526" spans="2:20" x14ac:dyDescent="0.2">
      <c r="B526">
        <v>55138</v>
      </c>
      <c r="C526" s="6">
        <v>1.07027E-5</v>
      </c>
      <c r="D526" s="1" t="s">
        <v>574</v>
      </c>
      <c r="E526" s="3">
        <v>2004.6</v>
      </c>
      <c r="F526" s="7">
        <v>3.4577830018953673E-4</v>
      </c>
      <c r="G526" s="7">
        <v>133569696000</v>
      </c>
      <c r="H526" s="7">
        <v>0</v>
      </c>
      <c r="I526" s="3">
        <f t="shared" si="8"/>
        <v>154594.55555555556</v>
      </c>
      <c r="L526" s="1">
        <v>54140</v>
      </c>
      <c r="M526" s="3">
        <v>1.61934E-5</v>
      </c>
      <c r="N526" s="1" t="s">
        <v>557</v>
      </c>
      <c r="O526" s="1">
        <v>86</v>
      </c>
      <c r="P526" s="1">
        <v>54</v>
      </c>
      <c r="Q526" s="3">
        <v>13.6</v>
      </c>
      <c r="R526" s="3">
        <v>5.0966704452937155E-2</v>
      </c>
      <c r="S526" s="3">
        <v>202093632000</v>
      </c>
      <c r="T526" s="3">
        <v>0</v>
      </c>
    </row>
    <row r="527" spans="2:20" x14ac:dyDescent="0.2">
      <c r="B527">
        <v>55139</v>
      </c>
      <c r="C527" s="6">
        <v>2.4928700000000001E-5</v>
      </c>
      <c r="D527" s="1" t="s">
        <v>575</v>
      </c>
      <c r="E527" s="3">
        <v>556.19999999999902</v>
      </c>
      <c r="F527" s="7">
        <v>1.2462193106075989E-3</v>
      </c>
      <c r="G527" s="7">
        <v>311110176000</v>
      </c>
      <c r="H527" s="7">
        <v>0</v>
      </c>
      <c r="I527" s="3">
        <f t="shared" si="8"/>
        <v>360081.22222222225</v>
      </c>
      <c r="L527" s="1">
        <v>54141</v>
      </c>
      <c r="M527" s="3">
        <v>6.4096600000000004E-6</v>
      </c>
      <c r="N527" s="1" t="s">
        <v>558</v>
      </c>
      <c r="O527" s="1">
        <v>87</v>
      </c>
      <c r="P527" s="1">
        <v>54</v>
      </c>
      <c r="Q527" s="3">
        <v>1.73</v>
      </c>
      <c r="R527" s="3">
        <v>0.40066311015025741</v>
      </c>
      <c r="S527" s="3">
        <v>79992556800</v>
      </c>
      <c r="T527" s="3">
        <v>0</v>
      </c>
    </row>
    <row r="528" spans="2:20" x14ac:dyDescent="0.2">
      <c r="B528">
        <v>55140</v>
      </c>
      <c r="C528" s="6">
        <v>3.4020899999999998E-5</v>
      </c>
      <c r="D528" s="1" t="s">
        <v>576</v>
      </c>
      <c r="E528" s="3">
        <v>63.7</v>
      </c>
      <c r="F528" s="7">
        <v>1.0881431405964604E-2</v>
      </c>
      <c r="G528" s="7">
        <v>424580832000</v>
      </c>
      <c r="H528" s="7">
        <v>0</v>
      </c>
      <c r="I528" s="3">
        <f t="shared" si="8"/>
        <v>491413</v>
      </c>
      <c r="L528" s="1">
        <v>54142</v>
      </c>
      <c r="M528" s="3">
        <v>4.2274399999999998E-6</v>
      </c>
      <c r="N528" s="1" t="s">
        <v>559</v>
      </c>
      <c r="O528" s="1">
        <v>88</v>
      </c>
      <c r="P528" s="1">
        <v>54</v>
      </c>
      <c r="Q528" s="3">
        <v>1.23</v>
      </c>
      <c r="R528" s="3">
        <v>0.56353429313816694</v>
      </c>
      <c r="S528" s="3">
        <v>52758451200</v>
      </c>
      <c r="T528" s="3">
        <v>0</v>
      </c>
    </row>
    <row r="529" spans="2:20" x14ac:dyDescent="0.2">
      <c r="B529">
        <v>55141</v>
      </c>
      <c r="C529" s="6">
        <v>5.3979900000000001E-5</v>
      </c>
      <c r="D529" s="1" t="s">
        <v>577</v>
      </c>
      <c r="E529" s="3">
        <v>24.84</v>
      </c>
      <c r="F529" s="7">
        <v>2.7904475867952708E-2</v>
      </c>
      <c r="G529" s="7">
        <v>673669152000</v>
      </c>
      <c r="H529" s="7">
        <v>0</v>
      </c>
      <c r="I529" s="3">
        <f t="shared" si="8"/>
        <v>779709.66666666663</v>
      </c>
      <c r="L529" s="1">
        <v>54143</v>
      </c>
      <c r="M529" s="3">
        <v>8.5114099999999996E-7</v>
      </c>
      <c r="N529" s="1" t="s">
        <v>560</v>
      </c>
      <c r="O529" s="1">
        <v>89</v>
      </c>
      <c r="P529" s="1">
        <v>54</v>
      </c>
      <c r="Q529" s="3">
        <v>0.51100000000000001</v>
      </c>
      <c r="R529" s="3">
        <v>1.3564524081407932</v>
      </c>
      <c r="S529" s="3">
        <v>10622239680</v>
      </c>
      <c r="T529" s="3">
        <v>0</v>
      </c>
    </row>
    <row r="530" spans="2:20" x14ac:dyDescent="0.2">
      <c r="B530">
        <v>55142</v>
      </c>
      <c r="C530" s="6">
        <v>4.7759999999999997E-5</v>
      </c>
      <c r="D530" s="1" t="s">
        <v>578</v>
      </c>
      <c r="E530" s="3">
        <v>1.6839999999999999</v>
      </c>
      <c r="F530" s="7">
        <v>0.41160758940614328</v>
      </c>
      <c r="G530" s="7">
        <v>596044800000</v>
      </c>
      <c r="H530" s="7">
        <v>0</v>
      </c>
      <c r="I530" s="3">
        <f t="shared" si="8"/>
        <v>689866.66666666663</v>
      </c>
      <c r="L530" s="1">
        <v>54144</v>
      </c>
      <c r="M530" s="3">
        <v>7.7261600000000004E-7</v>
      </c>
      <c r="N530" s="1" t="s">
        <v>561</v>
      </c>
      <c r="O530" s="1">
        <v>90</v>
      </c>
      <c r="P530" s="1">
        <v>54</v>
      </c>
      <c r="Q530" s="3">
        <v>0.38800000000000001</v>
      </c>
      <c r="R530" s="3">
        <v>1.7864618055668693</v>
      </c>
      <c r="S530" s="3">
        <v>9642247680</v>
      </c>
      <c r="T530" s="3">
        <v>0</v>
      </c>
    </row>
    <row r="531" spans="2:20" x14ac:dyDescent="0.2">
      <c r="B531">
        <v>55143</v>
      </c>
      <c r="C531" s="6">
        <v>4.1903899999999997E-5</v>
      </c>
      <c r="D531" s="1" t="s">
        <v>579</v>
      </c>
      <c r="E531" s="3">
        <v>1.7909999999999999</v>
      </c>
      <c r="F531" s="7">
        <v>0.38701685123391699</v>
      </c>
      <c r="G531" s="7">
        <v>522960671999.99994</v>
      </c>
      <c r="H531" s="7">
        <v>0</v>
      </c>
      <c r="I531" s="3">
        <f t="shared" si="8"/>
        <v>605278.55555555539</v>
      </c>
      <c r="L531" s="1">
        <v>54145</v>
      </c>
      <c r="M531" s="3">
        <v>1.56422E-7</v>
      </c>
      <c r="N531" s="1" t="s">
        <v>562</v>
      </c>
      <c r="O531" s="1">
        <v>91</v>
      </c>
      <c r="P531" s="1">
        <v>54</v>
      </c>
      <c r="Q531" s="3">
        <v>0.188</v>
      </c>
      <c r="R531" s="3">
        <v>3.6869530880848154</v>
      </c>
      <c r="S531" s="3">
        <v>1952146560</v>
      </c>
      <c r="T531" s="3">
        <v>0</v>
      </c>
    </row>
    <row r="532" spans="2:20" x14ac:dyDescent="0.2">
      <c r="B532">
        <v>55144</v>
      </c>
      <c r="C532" s="6">
        <v>2.15569E-5</v>
      </c>
      <c r="D532" s="1" t="s">
        <v>580</v>
      </c>
      <c r="E532" s="3">
        <v>0.99399999999999999</v>
      </c>
      <c r="F532" s="7">
        <v>0.69733116756533731</v>
      </c>
      <c r="G532" s="7">
        <v>269030112000</v>
      </c>
      <c r="H532" s="7">
        <v>0</v>
      </c>
      <c r="I532" s="3">
        <f t="shared" si="8"/>
        <v>311377.44444444444</v>
      </c>
      <c r="L532" s="1">
        <v>55114</v>
      </c>
      <c r="M532" s="3">
        <v>5.8562200000000003E-8</v>
      </c>
      <c r="N532" s="1" t="s">
        <v>563</v>
      </c>
      <c r="O532" s="1">
        <v>59</v>
      </c>
      <c r="P532" s="1">
        <v>55</v>
      </c>
      <c r="Q532" s="3">
        <v>0.56999999999999995</v>
      </c>
      <c r="R532" s="3">
        <v>1.2160476851928865</v>
      </c>
      <c r="S532" s="3">
        <v>730856256</v>
      </c>
      <c r="T532" s="3">
        <v>0</v>
      </c>
    </row>
    <row r="533" spans="2:20" x14ac:dyDescent="0.2">
      <c r="B533">
        <v>55145</v>
      </c>
      <c r="C533" s="6">
        <v>1.1148000000000001E-5</v>
      </c>
      <c r="D533" s="1" t="s">
        <v>581</v>
      </c>
      <c r="E533" s="3">
        <v>0.58699999999999997</v>
      </c>
      <c r="F533" s="7">
        <v>1.1808299498465848</v>
      </c>
      <c r="G533" s="7">
        <v>139127040000</v>
      </c>
      <c r="H533" s="7">
        <v>0</v>
      </c>
      <c r="I533" s="3">
        <f t="shared" si="8"/>
        <v>161026.66666666666</v>
      </c>
      <c r="L533" s="1">
        <v>55115</v>
      </c>
      <c r="M533" s="3">
        <v>6.631E-9</v>
      </c>
      <c r="N533" s="1" t="s">
        <v>564</v>
      </c>
      <c r="O533" s="1">
        <v>60</v>
      </c>
      <c r="P533" s="1">
        <v>55</v>
      </c>
      <c r="Q533" s="3">
        <v>1.4</v>
      </c>
      <c r="R533" s="3">
        <v>0.49510512897138953</v>
      </c>
      <c r="S533" s="3">
        <v>82754880</v>
      </c>
      <c r="T533" s="3">
        <v>0</v>
      </c>
    </row>
    <row r="534" spans="2:20" x14ac:dyDescent="0.2">
      <c r="B534">
        <v>55146</v>
      </c>
      <c r="C534" s="6">
        <v>3.2069600000000001E-6</v>
      </c>
      <c r="D534" s="1" t="s">
        <v>582</v>
      </c>
      <c r="E534" s="3">
        <v>0.32200000000000001</v>
      </c>
      <c r="F534" s="7">
        <v>2.1526309955277805</v>
      </c>
      <c r="G534" s="7">
        <v>40022860800</v>
      </c>
      <c r="H534" s="7">
        <v>0</v>
      </c>
      <c r="I534" s="3">
        <f t="shared" si="8"/>
        <v>46322.755555555559</v>
      </c>
      <c r="L534" s="1">
        <v>55116</v>
      </c>
      <c r="M534" s="3">
        <v>1.8845999999999999E-9</v>
      </c>
      <c r="N534" s="1" t="s">
        <v>565</v>
      </c>
      <c r="O534" s="1">
        <v>61</v>
      </c>
      <c r="P534" s="1">
        <v>55</v>
      </c>
      <c r="Q534" s="3">
        <v>0.7</v>
      </c>
      <c r="R534" s="3">
        <v>0.99021025794277906</v>
      </c>
      <c r="S534" s="3">
        <v>23519808</v>
      </c>
      <c r="T534" s="3">
        <v>0</v>
      </c>
    </row>
    <row r="535" spans="2:20" x14ac:dyDescent="0.2">
      <c r="B535">
        <v>55147</v>
      </c>
      <c r="C535" s="6">
        <v>1.0100799999999999E-6</v>
      </c>
      <c r="D535" s="1" t="s">
        <v>583</v>
      </c>
      <c r="E535" s="3">
        <v>0.23</v>
      </c>
      <c r="F535" s="7">
        <v>3.0136833937388925</v>
      </c>
      <c r="G535" s="7">
        <v>12605798400</v>
      </c>
      <c r="H535" s="7">
        <v>0</v>
      </c>
      <c r="I535" s="3">
        <f t="shared" si="8"/>
        <v>14590.044444444444</v>
      </c>
      <c r="L535" s="1">
        <v>55117</v>
      </c>
      <c r="M535" s="3">
        <v>4.1879999999999999E-10</v>
      </c>
      <c r="N535" s="1" t="s">
        <v>584</v>
      </c>
      <c r="O535" s="1">
        <v>62</v>
      </c>
      <c r="P535" s="1">
        <v>55</v>
      </c>
      <c r="Q535" s="3">
        <v>8.4</v>
      </c>
      <c r="R535" s="3">
        <v>8.2517521495231574E-2</v>
      </c>
      <c r="S535" s="3">
        <v>5226624</v>
      </c>
      <c r="T535" s="3">
        <v>0</v>
      </c>
    </row>
    <row r="536" spans="2:20" x14ac:dyDescent="0.2">
      <c r="B536">
        <v>55148</v>
      </c>
      <c r="C536" s="6">
        <v>1.6102900000000001E-7</v>
      </c>
      <c r="D536" s="1" t="s">
        <v>585</v>
      </c>
      <c r="E536" s="3">
        <v>0.14599999999999999</v>
      </c>
      <c r="F536" s="7">
        <v>4.747583428492776</v>
      </c>
      <c r="G536" s="7">
        <v>2009641920</v>
      </c>
      <c r="H536" s="7">
        <v>0</v>
      </c>
      <c r="I536" s="3">
        <f t="shared" si="8"/>
        <v>2325.9744444444445</v>
      </c>
      <c r="L536" s="1">
        <v>55131</v>
      </c>
      <c r="M536" s="3">
        <v>2.094E-10</v>
      </c>
      <c r="N536" s="1" t="s">
        <v>568</v>
      </c>
      <c r="O536" s="1">
        <v>76</v>
      </c>
      <c r="P536" s="1">
        <v>55</v>
      </c>
      <c r="Q536" s="3">
        <v>837129.6</v>
      </c>
      <c r="R536" s="3">
        <v>8.2800462504246091E-7</v>
      </c>
      <c r="S536" s="3">
        <v>1335406.5296480577</v>
      </c>
      <c r="T536" s="3">
        <v>6.1000869347511061E-6</v>
      </c>
    </row>
    <row r="537" spans="2:20" x14ac:dyDescent="0.2">
      <c r="B537">
        <v>56117</v>
      </c>
      <c r="C537" s="6">
        <v>2.52676E-8</v>
      </c>
      <c r="D537" s="1" t="s">
        <v>586</v>
      </c>
      <c r="E537" s="3">
        <v>1.75</v>
      </c>
      <c r="F537" s="7">
        <v>0.39608410317711157</v>
      </c>
      <c r="G537" s="7">
        <v>315339648</v>
      </c>
      <c r="H537" s="7">
        <v>0</v>
      </c>
      <c r="I537" s="3">
        <f t="shared" si="8"/>
        <v>364.97644444444444</v>
      </c>
      <c r="L537" s="1">
        <v>55132</v>
      </c>
      <c r="M537" s="3">
        <v>2.5826000000000002E-9</v>
      </c>
      <c r="N537" s="1" t="s">
        <v>569</v>
      </c>
      <c r="O537" s="1">
        <v>77</v>
      </c>
      <c r="P537" s="1">
        <v>55</v>
      </c>
      <c r="Q537" s="3">
        <v>559872</v>
      </c>
      <c r="R537" s="3">
        <v>1.2380458043266055E-6</v>
      </c>
      <c r="S537" s="3">
        <v>21171761.127450578</v>
      </c>
      <c r="T537" s="3">
        <v>2.3420281251133728E-10</v>
      </c>
    </row>
    <row r="538" spans="2:20" x14ac:dyDescent="0.2">
      <c r="B538">
        <v>56118</v>
      </c>
      <c r="C538" s="6">
        <v>2.4429999999999999E-9</v>
      </c>
      <c r="D538" s="1" t="s">
        <v>587</v>
      </c>
      <c r="E538" s="3">
        <v>5.5</v>
      </c>
      <c r="F538" s="7">
        <v>0.12602676010180824</v>
      </c>
      <c r="G538" s="7">
        <v>30488640</v>
      </c>
      <c r="H538" s="7">
        <v>0</v>
      </c>
      <c r="I538" s="3">
        <f t="shared" si="8"/>
        <v>35.287777777777777</v>
      </c>
      <c r="L538" s="1">
        <v>55134</v>
      </c>
      <c r="M538" s="3">
        <v>1.47767E-7</v>
      </c>
      <c r="N538" s="1" t="s">
        <v>570</v>
      </c>
      <c r="O538" s="1">
        <v>79</v>
      </c>
      <c r="P538" s="1">
        <v>55</v>
      </c>
      <c r="Q538" s="3">
        <v>65172755.519999899</v>
      </c>
      <c r="R538" s="3">
        <v>1.0635535892712647E-8</v>
      </c>
      <c r="S538" s="3">
        <v>16868299.418316919</v>
      </c>
      <c r="T538" s="3">
        <v>12061684.117922174</v>
      </c>
    </row>
    <row r="539" spans="2:20" x14ac:dyDescent="0.2">
      <c r="B539">
        <v>56119</v>
      </c>
      <c r="C539" s="6">
        <v>4.1879999999999999E-10</v>
      </c>
      <c r="D539" s="1" t="s">
        <v>588</v>
      </c>
      <c r="E539" s="3">
        <v>5.4</v>
      </c>
      <c r="F539" s="7">
        <v>0.12836058899258246</v>
      </c>
      <c r="G539" s="7">
        <v>5226624</v>
      </c>
      <c r="H539" s="7">
        <v>0</v>
      </c>
      <c r="I539" s="3">
        <f t="shared" si="8"/>
        <v>6.0493333333333341</v>
      </c>
      <c r="L539" s="1">
        <v>55135</v>
      </c>
      <c r="M539" s="3">
        <v>9.9255600000000009E-7</v>
      </c>
      <c r="N539" s="1" t="s">
        <v>571</v>
      </c>
      <c r="O539" s="1">
        <v>80</v>
      </c>
      <c r="P539" s="1">
        <v>55</v>
      </c>
      <c r="Q539" s="3">
        <v>72582480000000</v>
      </c>
      <c r="R539" s="3">
        <v>9.5497864024478811E-15</v>
      </c>
      <c r="S539" s="3">
        <v>102.20614394787334</v>
      </c>
      <c r="T539" s="3">
        <v>102.20611316726472</v>
      </c>
    </row>
    <row r="540" spans="2:20" x14ac:dyDescent="0.2">
      <c r="B540">
        <v>56133</v>
      </c>
      <c r="C540" s="6">
        <v>1.3959999999999999E-10</v>
      </c>
      <c r="D540" s="1" t="s">
        <v>589</v>
      </c>
      <c r="E540" s="3">
        <v>332964237.60000002</v>
      </c>
      <c r="F540" s="7">
        <v>2.0817466330802885E-9</v>
      </c>
      <c r="G540" s="7">
        <v>3130.7696006793399</v>
      </c>
      <c r="H540" s="7">
        <v>2931.8361271682984</v>
      </c>
      <c r="I540" s="3">
        <f t="shared" si="8"/>
        <v>3.6235759267121991E-3</v>
      </c>
      <c r="L540" s="1">
        <v>55136</v>
      </c>
      <c r="M540" s="3">
        <v>3.0998200000000001E-6</v>
      </c>
      <c r="N540" s="1" t="s">
        <v>572</v>
      </c>
      <c r="O540" s="1">
        <v>81</v>
      </c>
      <c r="P540" s="1">
        <v>55</v>
      </c>
      <c r="Q540" s="3">
        <v>1126656</v>
      </c>
      <c r="R540" s="3">
        <v>6.1522521564696349E-7</v>
      </c>
      <c r="S540" s="3">
        <v>15950498179.150011</v>
      </c>
      <c r="T540" s="3">
        <v>59.800468707825246</v>
      </c>
    </row>
    <row r="541" spans="2:20" x14ac:dyDescent="0.2">
      <c r="B541">
        <v>56139</v>
      </c>
      <c r="C541" s="6">
        <v>2.3648199999999999E-6</v>
      </c>
      <c r="D541" s="1" t="s">
        <v>590</v>
      </c>
      <c r="E541" s="3">
        <v>4983.6000000000004</v>
      </c>
      <c r="F541" s="7">
        <v>1.3908563700135349E-4</v>
      </c>
      <c r="G541" s="7">
        <v>29512953600</v>
      </c>
      <c r="H541" s="7">
        <v>0</v>
      </c>
      <c r="I541" s="3">
        <f t="shared" si="8"/>
        <v>34158.511111111111</v>
      </c>
      <c r="L541" s="1">
        <v>55137</v>
      </c>
      <c r="M541" s="3">
        <v>1.1737599999999999E-5</v>
      </c>
      <c r="N541" s="1" t="s">
        <v>573</v>
      </c>
      <c r="O541" s="1">
        <v>82</v>
      </c>
      <c r="P541" s="1">
        <v>55</v>
      </c>
      <c r="Q541" s="3">
        <v>949252608</v>
      </c>
      <c r="R541" s="3">
        <v>7.3020308263398025E-10</v>
      </c>
      <c r="S541" s="3">
        <v>92387731.852743566</v>
      </c>
      <c r="T541" s="3">
        <v>90284564.790728584</v>
      </c>
    </row>
    <row r="542" spans="2:20" x14ac:dyDescent="0.2">
      <c r="B542">
        <v>56140</v>
      </c>
      <c r="C542" s="6">
        <v>6.5803299999999999E-6</v>
      </c>
      <c r="D542" s="1" t="s">
        <v>591</v>
      </c>
      <c r="E542" s="3">
        <v>1101833.28</v>
      </c>
      <c r="F542" s="7">
        <v>6.2908535541778636E-7</v>
      </c>
      <c r="G542" s="7">
        <v>34434388783.933792</v>
      </c>
      <c r="H542" s="7">
        <v>83.386448443986609</v>
      </c>
      <c r="I542" s="3">
        <f t="shared" si="8"/>
        <v>39854.616648071518</v>
      </c>
      <c r="L542" s="1">
        <v>55138</v>
      </c>
      <c r="M542" s="3">
        <v>1.4260800000000001E-5</v>
      </c>
      <c r="N542" s="1" t="s">
        <v>574</v>
      </c>
      <c r="O542" s="1">
        <v>83</v>
      </c>
      <c r="P542" s="1">
        <v>55</v>
      </c>
      <c r="Q542" s="3">
        <v>2004.6</v>
      </c>
      <c r="R542" s="3">
        <v>3.4577830018953673E-4</v>
      </c>
      <c r="S542" s="3">
        <v>177974784000</v>
      </c>
      <c r="T542" s="3">
        <v>0</v>
      </c>
    </row>
    <row r="543" spans="2:20" x14ac:dyDescent="0.2">
      <c r="B543">
        <v>56141</v>
      </c>
      <c r="C543" s="6">
        <v>1.33224E-5</v>
      </c>
      <c r="D543" s="1" t="s">
        <v>592</v>
      </c>
      <c r="E543" s="3">
        <v>1096.2</v>
      </c>
      <c r="F543" s="7">
        <v>6.3231817237725352E-4</v>
      </c>
      <c r="G543" s="7">
        <v>166263552000</v>
      </c>
      <c r="H543" s="7">
        <v>0</v>
      </c>
      <c r="I543" s="3">
        <f t="shared" si="8"/>
        <v>192434.66666666666</v>
      </c>
      <c r="L543" s="1">
        <v>55139</v>
      </c>
      <c r="M543" s="3">
        <v>2.6011199999999999E-5</v>
      </c>
      <c r="N543" s="1" t="s">
        <v>575</v>
      </c>
      <c r="O543" s="1">
        <v>84</v>
      </c>
      <c r="P543" s="1">
        <v>55</v>
      </c>
      <c r="Q543" s="3">
        <v>556.19999999999902</v>
      </c>
      <c r="R543" s="3">
        <v>1.2462193106075989E-3</v>
      </c>
      <c r="S543" s="3">
        <v>324619776000</v>
      </c>
      <c r="T543" s="3">
        <v>0</v>
      </c>
    </row>
    <row r="544" spans="2:20" x14ac:dyDescent="0.2">
      <c r="B544">
        <v>56142</v>
      </c>
      <c r="C544" s="6">
        <v>2.6614600000000001E-5</v>
      </c>
      <c r="D544" s="1" t="s">
        <v>593</v>
      </c>
      <c r="E544" s="3">
        <v>636</v>
      </c>
      <c r="F544" s="7">
        <v>1.0898540574841907E-3</v>
      </c>
      <c r="G544" s="7">
        <v>332150208000</v>
      </c>
      <c r="H544" s="7">
        <v>0</v>
      </c>
      <c r="I544" s="3">
        <f t="shared" si="8"/>
        <v>384433.11111111112</v>
      </c>
      <c r="L544" s="1">
        <v>55140</v>
      </c>
      <c r="M544" s="3">
        <v>2.4516799999999999E-5</v>
      </c>
      <c r="N544" s="1" t="s">
        <v>576</v>
      </c>
      <c r="O544" s="1">
        <v>85</v>
      </c>
      <c r="P544" s="1">
        <v>55</v>
      </c>
      <c r="Q544" s="3">
        <v>63.7</v>
      </c>
      <c r="R544" s="3">
        <v>1.0881431405964604E-2</v>
      </c>
      <c r="S544" s="3">
        <v>305969664000</v>
      </c>
      <c r="T544" s="3">
        <v>0</v>
      </c>
    </row>
    <row r="545" spans="2:20" x14ac:dyDescent="0.2">
      <c r="B545">
        <v>56143</v>
      </c>
      <c r="C545" s="6">
        <v>3.7416200000000003E-5</v>
      </c>
      <c r="D545" s="1" t="s">
        <v>594</v>
      </c>
      <c r="E545" s="3">
        <v>14.5</v>
      </c>
      <c r="F545" s="7">
        <v>4.7803253831720363E-2</v>
      </c>
      <c r="G545" s="7">
        <v>466954176000.00006</v>
      </c>
      <c r="H545" s="7">
        <v>0</v>
      </c>
      <c r="I545" s="3">
        <f t="shared" si="8"/>
        <v>540456.22222222225</v>
      </c>
      <c r="L545" s="1">
        <v>55141</v>
      </c>
      <c r="M545" s="3">
        <v>2.7565200000000002E-5</v>
      </c>
      <c r="N545" s="1" t="s">
        <v>577</v>
      </c>
      <c r="O545" s="1">
        <v>86</v>
      </c>
      <c r="P545" s="1">
        <v>55</v>
      </c>
      <c r="Q545" s="3">
        <v>24.84</v>
      </c>
      <c r="R545" s="3">
        <v>2.7904475867952708E-2</v>
      </c>
      <c r="S545" s="3">
        <v>344013696000</v>
      </c>
      <c r="T545" s="3">
        <v>0</v>
      </c>
    </row>
    <row r="546" spans="2:20" x14ac:dyDescent="0.2">
      <c r="B546">
        <v>56144</v>
      </c>
      <c r="C546" s="6">
        <v>4.4557600000000002E-5</v>
      </c>
      <c r="D546" s="1" t="s">
        <v>595</v>
      </c>
      <c r="E546" s="3">
        <v>11.5</v>
      </c>
      <c r="F546" s="7">
        <v>6.027366787477785E-2</v>
      </c>
      <c r="G546" s="7">
        <v>556078848000</v>
      </c>
      <c r="H546" s="7">
        <v>0</v>
      </c>
      <c r="I546" s="3">
        <f t="shared" si="8"/>
        <v>643609.77777777775</v>
      </c>
      <c r="L546" s="1">
        <v>55142</v>
      </c>
      <c r="M546" s="3">
        <v>1.6966400000000001E-5</v>
      </c>
      <c r="N546" s="1" t="s">
        <v>578</v>
      </c>
      <c r="O546" s="1">
        <v>87</v>
      </c>
      <c r="P546" s="1">
        <v>55</v>
      </c>
      <c r="Q546" s="3">
        <v>1.6839999999999999</v>
      </c>
      <c r="R546" s="3">
        <v>0.41160758940614328</v>
      </c>
      <c r="S546" s="3">
        <v>211740672000</v>
      </c>
      <c r="T546" s="3">
        <v>0</v>
      </c>
    </row>
    <row r="547" spans="2:20" x14ac:dyDescent="0.2">
      <c r="B547">
        <v>56145</v>
      </c>
      <c r="C547" s="6">
        <v>3.6569200000000002E-5</v>
      </c>
      <c r="D547" s="1" t="s">
        <v>596</v>
      </c>
      <c r="E547" s="3">
        <v>4.3099999999999996</v>
      </c>
      <c r="F547" s="7">
        <v>0.16082301173084579</v>
      </c>
      <c r="G547" s="7">
        <v>456383616000</v>
      </c>
      <c r="H547" s="7">
        <v>0</v>
      </c>
      <c r="I547" s="3">
        <f t="shared" si="8"/>
        <v>528221.77777777775</v>
      </c>
      <c r="L547" s="1">
        <v>55143</v>
      </c>
      <c r="M547" s="3">
        <v>1.31636E-5</v>
      </c>
      <c r="N547" s="1" t="s">
        <v>579</v>
      </c>
      <c r="O547" s="1">
        <v>88</v>
      </c>
      <c r="P547" s="1">
        <v>55</v>
      </c>
      <c r="Q547" s="3">
        <v>1.7909999999999999</v>
      </c>
      <c r="R547" s="3">
        <v>0.38701685123391699</v>
      </c>
      <c r="S547" s="3">
        <v>164281728000</v>
      </c>
      <c r="T547" s="3">
        <v>0</v>
      </c>
    </row>
    <row r="548" spans="2:20" x14ac:dyDescent="0.2">
      <c r="B548">
        <v>56146</v>
      </c>
      <c r="C548" s="6">
        <v>2.5329599999999999E-5</v>
      </c>
      <c r="D548" s="1" t="s">
        <v>597</v>
      </c>
      <c r="E548" s="3">
        <v>2.2200000000000002</v>
      </c>
      <c r="F548" s="7">
        <v>0.31222845971168706</v>
      </c>
      <c r="G548" s="7">
        <v>316113408000</v>
      </c>
      <c r="H548" s="7">
        <v>0</v>
      </c>
      <c r="I548" s="3">
        <f t="shared" si="8"/>
        <v>365872</v>
      </c>
      <c r="L548" s="1">
        <v>55144</v>
      </c>
      <c r="M548" s="3">
        <v>5.37823E-6</v>
      </c>
      <c r="N548" s="1" t="s">
        <v>580</v>
      </c>
      <c r="O548" s="1">
        <v>89</v>
      </c>
      <c r="P548" s="1">
        <v>55</v>
      </c>
      <c r="Q548" s="3">
        <v>0.99399999999999999</v>
      </c>
      <c r="R548" s="3">
        <v>0.69733116756533731</v>
      </c>
      <c r="S548" s="3">
        <v>67120310400</v>
      </c>
      <c r="T548" s="3">
        <v>0</v>
      </c>
    </row>
    <row r="549" spans="2:20" x14ac:dyDescent="0.2">
      <c r="B549">
        <v>56147</v>
      </c>
      <c r="C549" s="6">
        <v>1.22515E-5</v>
      </c>
      <c r="D549" s="1" t="s">
        <v>598</v>
      </c>
      <c r="E549" s="3">
        <v>0.89400000000000002</v>
      </c>
      <c r="F549" s="7">
        <v>0.77533241673371955</v>
      </c>
      <c r="G549" s="7">
        <v>152898720000</v>
      </c>
      <c r="H549" s="7">
        <v>0</v>
      </c>
      <c r="I549" s="3">
        <f t="shared" si="8"/>
        <v>176966.11111111112</v>
      </c>
      <c r="L549" s="1">
        <v>55145</v>
      </c>
      <c r="M549" s="3">
        <v>3.20947E-6</v>
      </c>
      <c r="N549" s="1" t="s">
        <v>581</v>
      </c>
      <c r="O549" s="1">
        <v>90</v>
      </c>
      <c r="P549" s="1">
        <v>55</v>
      </c>
      <c r="Q549" s="3">
        <v>0.58699999999999997</v>
      </c>
      <c r="R549" s="3">
        <v>1.1808299498465848</v>
      </c>
      <c r="S549" s="3">
        <v>40054185600</v>
      </c>
      <c r="T549" s="3">
        <v>0</v>
      </c>
    </row>
    <row r="550" spans="2:20" x14ac:dyDescent="0.2">
      <c r="B550">
        <v>56148</v>
      </c>
      <c r="C550" s="6">
        <v>4.9977499999999997E-6</v>
      </c>
      <c r="D550" s="1" t="s">
        <v>599</v>
      </c>
      <c r="E550" s="3">
        <v>0.61199999999999999</v>
      </c>
      <c r="F550" s="7">
        <v>1.1325934322874924</v>
      </c>
      <c r="G550" s="7">
        <v>62371920000</v>
      </c>
      <c r="H550" s="7">
        <v>0</v>
      </c>
      <c r="I550" s="3">
        <f t="shared" si="8"/>
        <v>72189.722222222219</v>
      </c>
      <c r="L550" s="1">
        <v>55146</v>
      </c>
      <c r="M550" s="3">
        <v>1.0418299999999999E-6</v>
      </c>
      <c r="N550" s="1" t="s">
        <v>582</v>
      </c>
      <c r="O550" s="1">
        <v>91</v>
      </c>
      <c r="P550" s="1">
        <v>55</v>
      </c>
      <c r="Q550" s="3">
        <v>0.32200000000000001</v>
      </c>
      <c r="R550" s="3">
        <v>2.1526309955277805</v>
      </c>
      <c r="S550" s="3">
        <v>13002038399.999998</v>
      </c>
      <c r="T550" s="3">
        <v>0</v>
      </c>
    </row>
    <row r="551" spans="2:20" x14ac:dyDescent="0.2">
      <c r="B551">
        <v>57123</v>
      </c>
      <c r="C551" s="6">
        <v>1.16559E-6</v>
      </c>
      <c r="D551" s="1" t="s">
        <v>600</v>
      </c>
      <c r="E551" s="3">
        <v>17</v>
      </c>
      <c r="F551" s="7">
        <v>4.0773363562349722E-2</v>
      </c>
      <c r="G551" s="7">
        <v>14546563200</v>
      </c>
      <c r="H551" s="7">
        <v>0</v>
      </c>
      <c r="I551" s="3">
        <f t="shared" si="8"/>
        <v>16836.3</v>
      </c>
      <c r="L551" s="1">
        <v>55147</v>
      </c>
      <c r="M551" s="3">
        <v>4.52862E-7</v>
      </c>
      <c r="N551" s="1" t="s">
        <v>583</v>
      </c>
      <c r="O551" s="1">
        <v>92</v>
      </c>
      <c r="P551" s="1">
        <v>55</v>
      </c>
      <c r="Q551" s="3">
        <v>0.23</v>
      </c>
      <c r="R551" s="3">
        <v>3.0136833937388925</v>
      </c>
      <c r="S551" s="3">
        <v>5651717760</v>
      </c>
      <c r="T551" s="3">
        <v>0</v>
      </c>
    </row>
    <row r="552" spans="2:20" x14ac:dyDescent="0.2">
      <c r="B552">
        <v>57124</v>
      </c>
      <c r="C552" s="6">
        <v>2.5239699999999998E-7</v>
      </c>
      <c r="D552" s="1" t="s">
        <v>601</v>
      </c>
      <c r="E552" s="3">
        <v>29.21</v>
      </c>
      <c r="F552" s="7">
        <v>2.3729790501881044E-2</v>
      </c>
      <c r="G552" s="7">
        <v>3149914559.9999995</v>
      </c>
      <c r="H552" s="7">
        <v>0</v>
      </c>
      <c r="I552" s="3">
        <f t="shared" si="8"/>
        <v>3645.7344444444439</v>
      </c>
      <c r="L552" s="1">
        <v>55148</v>
      </c>
      <c r="M552" s="3">
        <v>8.5853999999999996E-8</v>
      </c>
      <c r="N552" s="1" t="s">
        <v>585</v>
      </c>
      <c r="O552" s="1">
        <v>93</v>
      </c>
      <c r="P552" s="1">
        <v>55</v>
      </c>
      <c r="Q552" s="3">
        <v>0.14599999999999999</v>
      </c>
      <c r="R552" s="3">
        <v>4.747583428492776</v>
      </c>
      <c r="S552" s="3">
        <v>1071457920</v>
      </c>
      <c r="T552" s="3">
        <v>0</v>
      </c>
    </row>
    <row r="553" spans="2:20" x14ac:dyDescent="0.2">
      <c r="B553">
        <v>57125</v>
      </c>
      <c r="C553" s="6">
        <v>2.7361599999999999E-8</v>
      </c>
      <c r="D553" s="1" t="s">
        <v>602</v>
      </c>
      <c r="E553" s="3">
        <v>64.8</v>
      </c>
      <c r="F553" s="7">
        <v>1.0696715749381872E-2</v>
      </c>
      <c r="G553" s="7">
        <v>341472768</v>
      </c>
      <c r="H553" s="7">
        <v>0</v>
      </c>
      <c r="I553" s="3">
        <f t="shared" si="8"/>
        <v>395.22311111111111</v>
      </c>
      <c r="L553" s="1">
        <v>56117</v>
      </c>
      <c r="M553" s="3">
        <v>2.5895800000000002E-8</v>
      </c>
      <c r="N553" s="1" t="s">
        <v>586</v>
      </c>
      <c r="O553" s="1">
        <v>61</v>
      </c>
      <c r="P553" s="1">
        <v>56</v>
      </c>
      <c r="Q553" s="3">
        <v>1.75</v>
      </c>
      <c r="R553" s="3">
        <v>0.39608410317711157</v>
      </c>
      <c r="S553" s="3">
        <v>323179584</v>
      </c>
      <c r="T553" s="3">
        <v>0</v>
      </c>
    </row>
    <row r="554" spans="2:20" x14ac:dyDescent="0.2">
      <c r="B554">
        <v>57126</v>
      </c>
      <c r="C554" s="6">
        <v>3.3503999999999999E-9</v>
      </c>
      <c r="D554" s="1" t="s">
        <v>603</v>
      </c>
      <c r="E554" s="3">
        <v>54</v>
      </c>
      <c r="F554" s="7">
        <v>1.2836058899258247E-2</v>
      </c>
      <c r="G554" s="7">
        <v>41812992</v>
      </c>
      <c r="H554" s="7">
        <v>0</v>
      </c>
      <c r="I554" s="3">
        <f t="shared" si="8"/>
        <v>48.394666666666673</v>
      </c>
      <c r="L554" s="1">
        <v>56118</v>
      </c>
      <c r="M554" s="3">
        <v>4.1182000000000001E-9</v>
      </c>
      <c r="N554" s="1" t="s">
        <v>587</v>
      </c>
      <c r="O554" s="1">
        <v>62</v>
      </c>
      <c r="P554" s="1">
        <v>56</v>
      </c>
      <c r="Q554" s="3">
        <v>5.5</v>
      </c>
      <c r="R554" s="3">
        <v>0.12602676010180824</v>
      </c>
      <c r="S554" s="3">
        <v>51395136</v>
      </c>
      <c r="T554" s="3">
        <v>0</v>
      </c>
    </row>
    <row r="555" spans="2:20" x14ac:dyDescent="0.2">
      <c r="B555">
        <v>57127</v>
      </c>
      <c r="C555" s="6">
        <v>1.3959999999999999E-10</v>
      </c>
      <c r="D555" s="1" t="s">
        <v>604</v>
      </c>
      <c r="E555" s="3">
        <v>306</v>
      </c>
      <c r="F555" s="7">
        <v>2.2651868645749847E-3</v>
      </c>
      <c r="G555" s="7">
        <v>1742207.9999999998</v>
      </c>
      <c r="H555" s="7">
        <v>0</v>
      </c>
      <c r="I555" s="3">
        <f t="shared" si="8"/>
        <v>2.0164444444444443</v>
      </c>
      <c r="L555" s="1">
        <v>56119</v>
      </c>
      <c r="M555" s="3">
        <v>1.1167999999999999E-9</v>
      </c>
      <c r="N555" s="1" t="s">
        <v>588</v>
      </c>
      <c r="O555" s="1">
        <v>63</v>
      </c>
      <c r="P555" s="1">
        <v>56</v>
      </c>
      <c r="Q555" s="3">
        <v>5.4</v>
      </c>
      <c r="R555" s="3">
        <v>0.12836058899258246</v>
      </c>
      <c r="S555" s="3">
        <v>13937663.999999998</v>
      </c>
      <c r="T555" s="3">
        <v>0</v>
      </c>
    </row>
    <row r="556" spans="2:20" x14ac:dyDescent="0.2">
      <c r="B556">
        <v>57136</v>
      </c>
      <c r="C556" s="6">
        <v>2.7919999999999998E-10</v>
      </c>
      <c r="D556" s="1" t="s">
        <v>605</v>
      </c>
      <c r="E556" s="3">
        <v>592.19999999999902</v>
      </c>
      <c r="F556" s="7">
        <v>1.1704612978047052E-3</v>
      </c>
      <c r="G556" s="7">
        <v>3484415.9999999995</v>
      </c>
      <c r="H556" s="7">
        <v>0</v>
      </c>
      <c r="I556" s="3">
        <f t="shared" si="8"/>
        <v>4.0328888888888885</v>
      </c>
      <c r="L556" s="1">
        <v>56133</v>
      </c>
      <c r="M556" s="3">
        <v>6.9799999999999994E-11</v>
      </c>
      <c r="N556" s="1" t="s">
        <v>589</v>
      </c>
      <c r="O556" s="1">
        <v>77</v>
      </c>
      <c r="P556" s="1">
        <v>56</v>
      </c>
      <c r="Q556" s="3">
        <v>332964237.60000002</v>
      </c>
      <c r="R556" s="3">
        <v>2.0817466330802885E-9</v>
      </c>
      <c r="S556" s="3">
        <v>1565.3848003396699</v>
      </c>
      <c r="T556" s="3">
        <v>1465.9180635841492</v>
      </c>
    </row>
    <row r="557" spans="2:20" x14ac:dyDescent="0.2">
      <c r="B557">
        <v>57137</v>
      </c>
      <c r="C557" s="6">
        <v>1.5355999999999999E-9</v>
      </c>
      <c r="D557" s="1" t="s">
        <v>606</v>
      </c>
      <c r="E557" s="3">
        <v>1893456000000</v>
      </c>
      <c r="F557" s="7">
        <v>3.6607514542716879E-13</v>
      </c>
      <c r="G557" s="7">
        <v>6.0614511040729013</v>
      </c>
      <c r="H557" s="7">
        <v>6.0613811277770226</v>
      </c>
      <c r="I557" s="3">
        <f t="shared" si="8"/>
        <v>7.0155684074917836E-6</v>
      </c>
      <c r="L557" s="1">
        <v>56139</v>
      </c>
      <c r="M557" s="3">
        <v>4.9483300000000001E-6</v>
      </c>
      <c r="N557" s="1" t="s">
        <v>590</v>
      </c>
      <c r="O557" s="1">
        <v>83</v>
      </c>
      <c r="P557" s="1">
        <v>56</v>
      </c>
      <c r="Q557" s="3">
        <v>4983.6000000000004</v>
      </c>
      <c r="R557" s="3">
        <v>1.3908563700135349E-4</v>
      </c>
      <c r="S557" s="3">
        <v>61755158400</v>
      </c>
      <c r="T557" s="3">
        <v>0</v>
      </c>
    </row>
    <row r="558" spans="2:20" x14ac:dyDescent="0.2">
      <c r="B558">
        <v>57138</v>
      </c>
      <c r="C558" s="6">
        <v>9.9814000000000003E-9</v>
      </c>
      <c r="D558" s="1" t="s">
        <v>607</v>
      </c>
      <c r="E558" s="3">
        <v>3.2188752E+18</v>
      </c>
      <c r="F558" s="7">
        <v>2.1533832083951104E-19</v>
      </c>
      <c r="G558" s="7">
        <v>2.3178764848807987E-5</v>
      </c>
      <c r="H558" s="7">
        <v>2.3178764848650581E-5</v>
      </c>
      <c r="I558" s="3">
        <f t="shared" si="8"/>
        <v>2.6827274130564801E-11</v>
      </c>
      <c r="L558" s="1">
        <v>56140</v>
      </c>
      <c r="M558" s="3">
        <v>1.1966E-5</v>
      </c>
      <c r="N558" s="1" t="s">
        <v>591</v>
      </c>
      <c r="O558" s="1">
        <v>84</v>
      </c>
      <c r="P558" s="1">
        <v>56</v>
      </c>
      <c r="Q558" s="3">
        <v>1101833.28</v>
      </c>
      <c r="R558" s="3">
        <v>6.2908535541778636E-7</v>
      </c>
      <c r="S558" s="3">
        <v>62617208588.102982</v>
      </c>
      <c r="T558" s="3">
        <v>151.6340733794116</v>
      </c>
    </row>
    <row r="559" spans="2:20" x14ac:dyDescent="0.2">
      <c r="B559">
        <v>57140</v>
      </c>
      <c r="C559" s="6">
        <v>2.2007899999999999E-7</v>
      </c>
      <c r="D559" s="1" t="s">
        <v>608</v>
      </c>
      <c r="E559" s="3">
        <v>145026.72</v>
      </c>
      <c r="F559" s="7">
        <v>4.77944464688952E-6</v>
      </c>
      <c r="G559" s="7">
        <v>2702388175.3911572</v>
      </c>
      <c r="H559" s="7">
        <v>9.3950752721036124E-57</v>
      </c>
      <c r="I559" s="3">
        <f t="shared" si="8"/>
        <v>3127.7640918879133</v>
      </c>
      <c r="L559" s="1">
        <v>56141</v>
      </c>
      <c r="M559" s="3">
        <v>1.4184499999999999E-5</v>
      </c>
      <c r="N559" s="1" t="s">
        <v>592</v>
      </c>
      <c r="O559" s="1">
        <v>85</v>
      </c>
      <c r="P559" s="1">
        <v>56</v>
      </c>
      <c r="Q559" s="3">
        <v>1096.2</v>
      </c>
      <c r="R559" s="3">
        <v>6.3231817237725352E-4</v>
      </c>
      <c r="S559" s="3">
        <v>177022560000</v>
      </c>
      <c r="T559" s="3">
        <v>0</v>
      </c>
    </row>
    <row r="560" spans="2:20" x14ac:dyDescent="0.2">
      <c r="B560">
        <v>57141</v>
      </c>
      <c r="C560" s="6">
        <v>8.3725100000000004E-7</v>
      </c>
      <c r="D560" s="1" t="s">
        <v>609</v>
      </c>
      <c r="E560" s="3">
        <v>14112</v>
      </c>
      <c r="F560" s="7">
        <v>4.9117572318590229E-5</v>
      </c>
      <c r="G560" s="7">
        <v>10448892480</v>
      </c>
      <c r="H560" s="7">
        <v>0</v>
      </c>
      <c r="I560" s="3">
        <f t="shared" si="8"/>
        <v>12093.625555555556</v>
      </c>
      <c r="L560" s="1">
        <v>56142</v>
      </c>
      <c r="M560" s="3">
        <v>2.3874199999999999E-5</v>
      </c>
      <c r="N560" s="1" t="s">
        <v>593</v>
      </c>
      <c r="O560" s="1">
        <v>86</v>
      </c>
      <c r="P560" s="1">
        <v>56</v>
      </c>
      <c r="Q560" s="3">
        <v>636</v>
      </c>
      <c r="R560" s="3">
        <v>1.0898540574841907E-3</v>
      </c>
      <c r="S560" s="3">
        <v>297950016000</v>
      </c>
      <c r="T560" s="3">
        <v>0</v>
      </c>
    </row>
    <row r="561" spans="2:20" x14ac:dyDescent="0.2">
      <c r="B561">
        <v>57142</v>
      </c>
      <c r="C561" s="6">
        <v>2.1142399999999999E-6</v>
      </c>
      <c r="D561" s="1" t="s">
        <v>610</v>
      </c>
      <c r="E561" s="3">
        <v>5466</v>
      </c>
      <c r="F561" s="7">
        <v>1.2681068067324283E-4</v>
      </c>
      <c r="G561" s="7">
        <v>26385715200</v>
      </c>
      <c r="H561" s="7">
        <v>0</v>
      </c>
      <c r="I561" s="3">
        <f t="shared" si="8"/>
        <v>30539.022222222222</v>
      </c>
      <c r="L561" s="1">
        <v>56143</v>
      </c>
      <c r="M561" s="3">
        <v>1.8289999999999999E-5</v>
      </c>
      <c r="N561" s="1" t="s">
        <v>594</v>
      </c>
      <c r="O561" s="1">
        <v>87</v>
      </c>
      <c r="P561" s="1">
        <v>56</v>
      </c>
      <c r="Q561" s="3">
        <v>14.5</v>
      </c>
      <c r="R561" s="3">
        <v>4.7803253831720363E-2</v>
      </c>
      <c r="S561" s="3">
        <v>228259200000</v>
      </c>
      <c r="T561" s="3">
        <v>0</v>
      </c>
    </row>
    <row r="562" spans="2:20" x14ac:dyDescent="0.2">
      <c r="B562">
        <v>57143</v>
      </c>
      <c r="C562" s="6">
        <v>6.0190600000000003E-6</v>
      </c>
      <c r="D562" s="1" t="s">
        <v>611</v>
      </c>
      <c r="E562" s="3">
        <v>852</v>
      </c>
      <c r="F562" s="7">
        <v>8.1355302882622684E-4</v>
      </c>
      <c r="G562" s="7">
        <v>75117868800</v>
      </c>
      <c r="H562" s="7">
        <v>0</v>
      </c>
      <c r="I562" s="3">
        <f t="shared" si="8"/>
        <v>86941.977777777778</v>
      </c>
      <c r="L562" s="1">
        <v>56144</v>
      </c>
      <c r="M562" s="3">
        <v>2.0009399999999999E-5</v>
      </c>
      <c r="N562" s="1" t="s">
        <v>595</v>
      </c>
      <c r="O562" s="1">
        <v>88</v>
      </c>
      <c r="P562" s="1">
        <v>56</v>
      </c>
      <c r="Q562" s="3">
        <v>11.5</v>
      </c>
      <c r="R562" s="3">
        <v>6.027366787477785E-2</v>
      </c>
      <c r="S562" s="3">
        <v>249717311999.99997</v>
      </c>
      <c r="T562" s="3">
        <v>0</v>
      </c>
    </row>
    <row r="563" spans="2:20" x14ac:dyDescent="0.2">
      <c r="B563">
        <v>57144</v>
      </c>
      <c r="C563" s="6">
        <v>1.06554E-5</v>
      </c>
      <c r="D563" s="1" t="s">
        <v>612</v>
      </c>
      <c r="E563" s="3">
        <v>40.799999999999997</v>
      </c>
      <c r="F563" s="7">
        <v>1.6988901484312386E-2</v>
      </c>
      <c r="G563" s="7">
        <v>132979392000</v>
      </c>
      <c r="H563" s="7">
        <v>0</v>
      </c>
      <c r="I563" s="3">
        <f t="shared" si="8"/>
        <v>153911.33333333334</v>
      </c>
      <c r="L563" s="1">
        <v>56145</v>
      </c>
      <c r="M563" s="3">
        <v>1.04223E-5</v>
      </c>
      <c r="N563" s="1" t="s">
        <v>596</v>
      </c>
      <c r="O563" s="1">
        <v>89</v>
      </c>
      <c r="P563" s="1">
        <v>56</v>
      </c>
      <c r="Q563" s="3">
        <v>4.3099999999999996</v>
      </c>
      <c r="R563" s="3">
        <v>0.16082301173084579</v>
      </c>
      <c r="S563" s="3">
        <v>130070304000</v>
      </c>
      <c r="T563" s="3">
        <v>0</v>
      </c>
    </row>
    <row r="564" spans="2:20" x14ac:dyDescent="0.2">
      <c r="B564">
        <v>57145</v>
      </c>
      <c r="C564" s="6">
        <v>1.9298899999999999E-5</v>
      </c>
      <c r="D564" s="1" t="s">
        <v>613</v>
      </c>
      <c r="E564" s="3">
        <v>24.8</v>
      </c>
      <c r="F564" s="7">
        <v>2.7949483087094568E-2</v>
      </c>
      <c r="G564" s="7">
        <v>240850272000</v>
      </c>
      <c r="H564" s="7">
        <v>0</v>
      </c>
      <c r="I564" s="3">
        <f t="shared" si="8"/>
        <v>278761.88888888888</v>
      </c>
      <c r="L564" s="1">
        <v>56146</v>
      </c>
      <c r="M564" s="3">
        <v>6.8142900000000003E-6</v>
      </c>
      <c r="N564" s="1" t="s">
        <v>597</v>
      </c>
      <c r="O564" s="1">
        <v>90</v>
      </c>
      <c r="P564" s="1">
        <v>56</v>
      </c>
      <c r="Q564" s="3">
        <v>2.2200000000000002</v>
      </c>
      <c r="R564" s="3">
        <v>0.31222845971168706</v>
      </c>
      <c r="S564" s="3">
        <v>85042339200</v>
      </c>
      <c r="T564" s="3">
        <v>0</v>
      </c>
    </row>
    <row r="565" spans="2:20" x14ac:dyDescent="0.2">
      <c r="B565">
        <v>57146</v>
      </c>
      <c r="C565" s="6">
        <v>1.9771599999999999E-5</v>
      </c>
      <c r="D565" s="1" t="s">
        <v>614</v>
      </c>
      <c r="E565" s="3">
        <v>6.27</v>
      </c>
      <c r="F565" s="7">
        <v>0.11054978956298969</v>
      </c>
      <c r="G565" s="7">
        <v>246749568000</v>
      </c>
      <c r="H565" s="7">
        <v>0</v>
      </c>
      <c r="I565" s="3">
        <f t="shared" si="8"/>
        <v>285589.77777777775</v>
      </c>
      <c r="L565" s="1">
        <v>56147</v>
      </c>
      <c r="M565" s="3">
        <v>3.00196E-6</v>
      </c>
      <c r="N565" s="1" t="s">
        <v>598</v>
      </c>
      <c r="O565" s="1">
        <v>91</v>
      </c>
      <c r="P565" s="1">
        <v>56</v>
      </c>
      <c r="Q565" s="3">
        <v>0.89400000000000002</v>
      </c>
      <c r="R565" s="3">
        <v>0.77533241673371955</v>
      </c>
      <c r="S565" s="3">
        <v>37464460800</v>
      </c>
      <c r="T565" s="3">
        <v>0</v>
      </c>
    </row>
    <row r="566" spans="2:20" x14ac:dyDescent="0.2">
      <c r="B566">
        <v>57147</v>
      </c>
      <c r="C566" s="6">
        <v>2.1732299999999999E-5</v>
      </c>
      <c r="D566" s="1" t="s">
        <v>615</v>
      </c>
      <c r="E566" s="3">
        <v>4.0599999999999996</v>
      </c>
      <c r="F566" s="7">
        <v>0.17072590654185846</v>
      </c>
      <c r="G566" s="7">
        <v>271219103999.99997</v>
      </c>
      <c r="H566" s="7">
        <v>0</v>
      </c>
      <c r="I566" s="3">
        <f t="shared" si="8"/>
        <v>313910.99999999994</v>
      </c>
      <c r="L566" s="1">
        <v>56148</v>
      </c>
      <c r="M566" s="3">
        <v>1.4886199999999999E-6</v>
      </c>
      <c r="N566" s="1" t="s">
        <v>599</v>
      </c>
      <c r="O566" s="1">
        <v>92</v>
      </c>
      <c r="P566" s="1">
        <v>56</v>
      </c>
      <c r="Q566" s="3">
        <v>0.61199999999999999</v>
      </c>
      <c r="R566" s="3">
        <v>1.1325934322874924</v>
      </c>
      <c r="S566" s="3">
        <v>18577977600</v>
      </c>
      <c r="T566" s="3">
        <v>0</v>
      </c>
    </row>
    <row r="567" spans="2:20" x14ac:dyDescent="0.2">
      <c r="B567">
        <v>57148</v>
      </c>
      <c r="C567" s="6">
        <v>1.40988E-5</v>
      </c>
      <c r="D567" s="1" t="s">
        <v>616</v>
      </c>
      <c r="E567" s="3">
        <v>1.26</v>
      </c>
      <c r="F567" s="7">
        <v>0.55011680996821055</v>
      </c>
      <c r="G567" s="7">
        <v>175953024000</v>
      </c>
      <c r="H567" s="7">
        <v>0</v>
      </c>
      <c r="I567" s="3">
        <f t="shared" si="8"/>
        <v>203649.33333333334</v>
      </c>
      <c r="L567" s="1">
        <v>57123</v>
      </c>
      <c r="M567" s="3">
        <v>3.3413300000000002E-7</v>
      </c>
      <c r="N567" s="1" t="s">
        <v>600</v>
      </c>
      <c r="O567" s="1">
        <v>66</v>
      </c>
      <c r="P567" s="1">
        <v>57</v>
      </c>
      <c r="Q567" s="3">
        <v>17</v>
      </c>
      <c r="R567" s="3">
        <v>4.0773363562349722E-2</v>
      </c>
      <c r="S567" s="3">
        <v>4169979840</v>
      </c>
      <c r="T567" s="3">
        <v>0</v>
      </c>
    </row>
    <row r="568" spans="2:20" x14ac:dyDescent="0.2">
      <c r="B568">
        <v>57149</v>
      </c>
      <c r="C568" s="6">
        <v>8.7177400000000007E-6</v>
      </c>
      <c r="D568" s="1" t="s">
        <v>617</v>
      </c>
      <c r="E568" s="3">
        <v>1.05</v>
      </c>
      <c r="F568" s="7">
        <v>0.6601401719618526</v>
      </c>
      <c r="G568" s="7">
        <v>108797395200.00002</v>
      </c>
      <c r="H568" s="7">
        <v>0</v>
      </c>
      <c r="I568" s="3">
        <f t="shared" si="8"/>
        <v>125922.91111111113</v>
      </c>
      <c r="L568" s="1">
        <v>57124</v>
      </c>
      <c r="M568" s="3">
        <v>1.5020999999999999E-7</v>
      </c>
      <c r="N568" s="1" t="s">
        <v>601</v>
      </c>
      <c r="O568" s="1">
        <v>67</v>
      </c>
      <c r="P568" s="1">
        <v>57</v>
      </c>
      <c r="Q568" s="3">
        <v>29.21</v>
      </c>
      <c r="R568" s="3">
        <v>2.3729790501881044E-2</v>
      </c>
      <c r="S568" s="3">
        <v>1874620800</v>
      </c>
      <c r="T568" s="3">
        <v>0</v>
      </c>
    </row>
    <row r="569" spans="2:20" x14ac:dyDescent="0.2">
      <c r="B569">
        <v>58124</v>
      </c>
      <c r="C569" s="6">
        <v>3.02562E-6</v>
      </c>
      <c r="D569" s="1" t="s">
        <v>618</v>
      </c>
      <c r="E569" s="3">
        <v>6</v>
      </c>
      <c r="F569" s="7">
        <v>0.11552453009332421</v>
      </c>
      <c r="G569" s="7">
        <v>37759737600</v>
      </c>
      <c r="H569" s="7">
        <v>0</v>
      </c>
      <c r="I569" s="3">
        <f t="shared" si="8"/>
        <v>43703.4</v>
      </c>
      <c r="L569" s="1">
        <v>57125</v>
      </c>
      <c r="M569" s="3">
        <v>2.4220600000000001E-8</v>
      </c>
      <c r="N569" s="1" t="s">
        <v>602</v>
      </c>
      <c r="O569" s="1">
        <v>68</v>
      </c>
      <c r="P569" s="1">
        <v>57</v>
      </c>
      <c r="Q569" s="3">
        <v>64.8</v>
      </c>
      <c r="R569" s="3">
        <v>1.0696715749381872E-2</v>
      </c>
      <c r="S569" s="3">
        <v>302273088</v>
      </c>
      <c r="T569" s="3">
        <v>0</v>
      </c>
    </row>
    <row r="570" spans="2:20" x14ac:dyDescent="0.2">
      <c r="B570">
        <v>58125</v>
      </c>
      <c r="C570" s="6">
        <v>1.04623E-6</v>
      </c>
      <c r="D570" s="1" t="s">
        <v>619</v>
      </c>
      <c r="E570" s="3">
        <v>9.6999999999999993</v>
      </c>
      <c r="F570" s="7">
        <v>7.1458472222674776E-2</v>
      </c>
      <c r="G570" s="7">
        <v>13056950400</v>
      </c>
      <c r="H570" s="7">
        <v>0</v>
      </c>
      <c r="I570" s="3">
        <f t="shared" si="8"/>
        <v>15112.211111111112</v>
      </c>
      <c r="L570" s="1">
        <v>57126</v>
      </c>
      <c r="M570" s="3">
        <v>7.6779999999999993E-9</v>
      </c>
      <c r="N570" s="1" t="s">
        <v>603</v>
      </c>
      <c r="O570" s="1">
        <v>69</v>
      </c>
      <c r="P570" s="1">
        <v>57</v>
      </c>
      <c r="Q570" s="3">
        <v>54</v>
      </c>
      <c r="R570" s="3">
        <v>1.2836058899258247E-2</v>
      </c>
      <c r="S570" s="3">
        <v>95821439.999999985</v>
      </c>
      <c r="T570" s="3">
        <v>0</v>
      </c>
    </row>
    <row r="571" spans="2:20" x14ac:dyDescent="0.2">
      <c r="B571">
        <v>58126</v>
      </c>
      <c r="C571" s="6">
        <v>1.83155E-7</v>
      </c>
      <c r="D571" s="1" t="s">
        <v>620</v>
      </c>
      <c r="E571" s="3">
        <v>51</v>
      </c>
      <c r="F571" s="7">
        <v>1.3591121187449907E-2</v>
      </c>
      <c r="G571" s="7">
        <v>2285774400</v>
      </c>
      <c r="H571" s="7">
        <v>0</v>
      </c>
      <c r="I571" s="3">
        <f t="shared" si="8"/>
        <v>2645.5722222222221</v>
      </c>
      <c r="L571" s="1">
        <v>57127</v>
      </c>
      <c r="M571" s="3">
        <v>9.0739999999999999E-10</v>
      </c>
      <c r="N571" s="1" t="s">
        <v>604</v>
      </c>
      <c r="O571" s="1">
        <v>70</v>
      </c>
      <c r="P571" s="1">
        <v>57</v>
      </c>
      <c r="Q571" s="3">
        <v>306</v>
      </c>
      <c r="R571" s="3">
        <v>2.2651868645749847E-3</v>
      </c>
      <c r="S571" s="3">
        <v>11324352</v>
      </c>
      <c r="T571" s="3">
        <v>0</v>
      </c>
    </row>
    <row r="572" spans="2:20" x14ac:dyDescent="0.2">
      <c r="B572">
        <v>58127</v>
      </c>
      <c r="C572" s="6">
        <v>3.1689199999999998E-8</v>
      </c>
      <c r="D572" s="1" t="s">
        <v>621</v>
      </c>
      <c r="E572" s="3">
        <v>34</v>
      </c>
      <c r="F572" s="7">
        <v>2.0386681781174861E-2</v>
      </c>
      <c r="G572" s="7">
        <v>395481216</v>
      </c>
      <c r="H572" s="7">
        <v>0</v>
      </c>
      <c r="I572" s="3">
        <f t="shared" si="8"/>
        <v>457.73288888888891</v>
      </c>
      <c r="L572" s="1">
        <v>57128</v>
      </c>
      <c r="M572" s="3">
        <v>1.3959999999999999E-10</v>
      </c>
      <c r="N572" s="1" t="s">
        <v>622</v>
      </c>
      <c r="O572" s="1">
        <v>71</v>
      </c>
      <c r="P572" s="1">
        <v>57</v>
      </c>
      <c r="Q572" s="3">
        <v>310.79999999999899</v>
      </c>
      <c r="R572" s="3">
        <v>2.2302032836549147E-3</v>
      </c>
      <c r="S572" s="3">
        <v>1742207.9999999998</v>
      </c>
      <c r="T572" s="3">
        <v>0</v>
      </c>
    </row>
    <row r="573" spans="2:20" x14ac:dyDescent="0.2">
      <c r="B573">
        <v>58128</v>
      </c>
      <c r="C573" s="6">
        <v>2.8618000000000002E-9</v>
      </c>
      <c r="D573" s="1" t="s">
        <v>623</v>
      </c>
      <c r="E573" s="3">
        <v>235.8</v>
      </c>
      <c r="F573" s="7">
        <v>2.9395554731125751E-3</v>
      </c>
      <c r="G573" s="7">
        <v>35715264</v>
      </c>
      <c r="H573" s="7">
        <v>0</v>
      </c>
      <c r="I573" s="3">
        <f t="shared" si="8"/>
        <v>41.337111111111113</v>
      </c>
      <c r="L573" s="1">
        <v>57136</v>
      </c>
      <c r="M573" s="3">
        <v>4.1879999999999999E-10</v>
      </c>
      <c r="N573" s="1" t="s">
        <v>605</v>
      </c>
      <c r="O573" s="1">
        <v>79</v>
      </c>
      <c r="P573" s="1">
        <v>57</v>
      </c>
      <c r="Q573" s="3">
        <v>592.19999999999902</v>
      </c>
      <c r="R573" s="3">
        <v>1.1704612978047052E-3</v>
      </c>
      <c r="S573" s="3">
        <v>5226624</v>
      </c>
      <c r="T573" s="3">
        <v>0</v>
      </c>
    </row>
    <row r="574" spans="2:20" x14ac:dyDescent="0.2">
      <c r="B574">
        <v>58129</v>
      </c>
      <c r="C574" s="6">
        <v>1.3959999999999999E-10</v>
      </c>
      <c r="D574" s="1" t="s">
        <v>624</v>
      </c>
      <c r="E574" s="3">
        <v>210</v>
      </c>
      <c r="F574" s="7">
        <v>3.3007008598092634E-3</v>
      </c>
      <c r="G574" s="7">
        <v>1742207.9999999998</v>
      </c>
      <c r="H574" s="7">
        <v>0</v>
      </c>
      <c r="I574" s="3">
        <f t="shared" si="8"/>
        <v>2.0164444444444443</v>
      </c>
      <c r="L574" s="1">
        <v>57137</v>
      </c>
      <c r="M574" s="3">
        <v>3.2108000000000001E-9</v>
      </c>
      <c r="N574" s="1" t="s">
        <v>606</v>
      </c>
      <c r="O574" s="1">
        <v>80</v>
      </c>
      <c r="P574" s="1">
        <v>57</v>
      </c>
      <c r="Q574" s="3">
        <v>1893456000000</v>
      </c>
      <c r="R574" s="3">
        <v>3.6607514542716879E-13</v>
      </c>
      <c r="S574" s="3">
        <v>12.673943217606976</v>
      </c>
      <c r="T574" s="3">
        <v>12.673796903533775</v>
      </c>
    </row>
    <row r="575" spans="2:20" x14ac:dyDescent="0.2">
      <c r="B575">
        <v>58138</v>
      </c>
      <c r="C575" s="6">
        <v>6.9799999999999994E-11</v>
      </c>
      <c r="D575" s="1" t="s">
        <v>625</v>
      </c>
      <c r="E575" s="3">
        <v>2.8401840000000003E+21</v>
      </c>
      <c r="F575" s="7">
        <v>2.4405009695144583E-22</v>
      </c>
      <c r="G575" s="7">
        <v>1.9342394352861445E-10</v>
      </c>
      <c r="H575" s="7">
        <v>1.9342394352861297E-10</v>
      </c>
      <c r="I575" s="3">
        <f t="shared" si="8"/>
        <v>2.2387030500997043E-16</v>
      </c>
      <c r="L575" s="1">
        <v>57138</v>
      </c>
      <c r="M575" s="3">
        <v>2.1428600000000001E-8</v>
      </c>
      <c r="N575" s="1" t="s">
        <v>607</v>
      </c>
      <c r="O575" s="1">
        <v>81</v>
      </c>
      <c r="P575" s="1">
        <v>57</v>
      </c>
      <c r="Q575" s="3">
        <v>3.2188752E+18</v>
      </c>
      <c r="R575" s="3">
        <v>2.1533832083951104E-19</v>
      </c>
      <c r="S575" s="3">
        <v>4.9761404255832531E-5</v>
      </c>
      <c r="T575" s="3">
        <v>4.9761404255494605E-5</v>
      </c>
    </row>
    <row r="576" spans="2:20" x14ac:dyDescent="0.2">
      <c r="B576">
        <v>58139</v>
      </c>
      <c r="C576" s="6">
        <v>6.9799999999999997E-10</v>
      </c>
      <c r="D576" s="1" t="s">
        <v>626</v>
      </c>
      <c r="E576" s="3">
        <v>11892182.3999999</v>
      </c>
      <c r="F576" s="7">
        <v>5.8285952674250198E-8</v>
      </c>
      <c r="G576" s="7">
        <v>427817.16777945613</v>
      </c>
      <c r="H576" s="7">
        <v>68073.644240982961</v>
      </c>
      <c r="I576" s="3">
        <f t="shared" si="8"/>
        <v>0.49515875900400014</v>
      </c>
      <c r="L576" s="1">
        <v>57140</v>
      </c>
      <c r="M576" s="3">
        <v>5.8625E-7</v>
      </c>
      <c r="N576" s="1" t="s">
        <v>608</v>
      </c>
      <c r="O576" s="1">
        <v>83</v>
      </c>
      <c r="P576" s="1">
        <v>57</v>
      </c>
      <c r="Q576" s="3">
        <v>145026.72</v>
      </c>
      <c r="R576" s="3">
        <v>4.77944464688952E-6</v>
      </c>
      <c r="S576" s="3">
        <v>7198665333.0079918</v>
      </c>
      <c r="T576" s="3">
        <v>2.5026753476118768E-56</v>
      </c>
    </row>
    <row r="577" spans="2:20" x14ac:dyDescent="0.2">
      <c r="B577">
        <v>58141</v>
      </c>
      <c r="C577" s="6">
        <v>2.3313199999999999E-8</v>
      </c>
      <c r="D577" s="1" t="s">
        <v>627</v>
      </c>
      <c r="E577" s="3">
        <v>2808950.4</v>
      </c>
      <c r="F577" s="7">
        <v>2.4676376648015759E-7</v>
      </c>
      <c r="G577" s="7">
        <v>55864666.560516477</v>
      </c>
      <c r="H577" s="7">
        <v>23306.801703576402</v>
      </c>
      <c r="I577" s="3">
        <f t="shared" si="8"/>
        <v>64.658178889486663</v>
      </c>
      <c r="L577" s="1">
        <v>57141</v>
      </c>
      <c r="M577" s="3">
        <v>2.1732900000000002E-6</v>
      </c>
      <c r="N577" s="1" t="s">
        <v>609</v>
      </c>
      <c r="O577" s="1">
        <v>84</v>
      </c>
      <c r="P577" s="1">
        <v>57</v>
      </c>
      <c r="Q577" s="3">
        <v>14112</v>
      </c>
      <c r="R577" s="3">
        <v>4.9117572318590229E-5</v>
      </c>
      <c r="S577" s="3">
        <v>27122659200.000004</v>
      </c>
      <c r="T577" s="3">
        <v>0</v>
      </c>
    </row>
    <row r="578" spans="2:20" x14ac:dyDescent="0.2">
      <c r="B578">
        <v>58142</v>
      </c>
      <c r="C578" s="6">
        <v>1.0742199999999999E-7</v>
      </c>
      <c r="D578" s="1" t="s">
        <v>628</v>
      </c>
      <c r="E578" s="3">
        <v>1.57788E+24</v>
      </c>
      <c r="F578" s="7">
        <v>4.3929017451260252E-25</v>
      </c>
      <c r="G578" s="7">
        <v>0</v>
      </c>
      <c r="H578" s="7">
        <v>0</v>
      </c>
      <c r="I578" s="3">
        <f t="shared" si="8"/>
        <v>0</v>
      </c>
      <c r="L578" s="1">
        <v>57142</v>
      </c>
      <c r="M578" s="3">
        <v>4.0859500000000002E-6</v>
      </c>
      <c r="N578" s="1" t="s">
        <v>610</v>
      </c>
      <c r="O578" s="1">
        <v>85</v>
      </c>
      <c r="P578" s="1">
        <v>57</v>
      </c>
      <c r="Q578" s="3">
        <v>5466</v>
      </c>
      <c r="R578" s="3">
        <v>1.2681068067324283E-4</v>
      </c>
      <c r="S578" s="3">
        <v>50992656000</v>
      </c>
      <c r="T578" s="3">
        <v>0</v>
      </c>
    </row>
    <row r="579" spans="2:20" x14ac:dyDescent="0.2">
      <c r="B579">
        <v>58143</v>
      </c>
      <c r="C579" s="6">
        <v>3.0963299999999998E-7</v>
      </c>
      <c r="D579" s="1" t="s">
        <v>629</v>
      </c>
      <c r="E579" s="3">
        <v>118940.4</v>
      </c>
      <c r="F579" s="7">
        <v>5.8276849628885168E-6</v>
      </c>
      <c r="G579" s="7">
        <v>3839081472.1105809</v>
      </c>
      <c r="H579" s="7">
        <v>5.8718373277400887E-71</v>
      </c>
      <c r="I579" s="3">
        <f t="shared" si="8"/>
        <v>4443.3813334613205</v>
      </c>
      <c r="L579" s="1">
        <v>57143</v>
      </c>
      <c r="M579" s="3">
        <v>9.0913099999999995E-6</v>
      </c>
      <c r="N579" s="1" t="s">
        <v>611</v>
      </c>
      <c r="O579" s="1">
        <v>86</v>
      </c>
      <c r="P579" s="1">
        <v>57</v>
      </c>
      <c r="Q579" s="3">
        <v>852</v>
      </c>
      <c r="R579" s="3">
        <v>8.1355302882622684E-4</v>
      </c>
      <c r="S579" s="3">
        <v>113459548800</v>
      </c>
      <c r="T579" s="3">
        <v>0</v>
      </c>
    </row>
    <row r="580" spans="2:20" x14ac:dyDescent="0.2">
      <c r="B580">
        <v>58144</v>
      </c>
      <c r="C580" s="6">
        <v>1.01657E-6</v>
      </c>
      <c r="D580" s="1" t="s">
        <v>630</v>
      </c>
      <c r="E580" s="3">
        <v>24616224</v>
      </c>
      <c r="F580" s="7">
        <v>2.8158144017536781E-8</v>
      </c>
      <c r="G580" s="7">
        <v>304928106.46447033</v>
      </c>
      <c r="H580" s="7">
        <v>125471771.1976269</v>
      </c>
      <c r="I580" s="3">
        <f t="shared" ref="I580:I643" si="9">G580/10/24/3600</f>
        <v>352.92604914869253</v>
      </c>
      <c r="L580" s="1">
        <v>57144</v>
      </c>
      <c r="M580" s="3">
        <v>1.13531E-5</v>
      </c>
      <c r="N580" s="1" t="s">
        <v>612</v>
      </c>
      <c r="O580" s="1">
        <v>87</v>
      </c>
      <c r="P580" s="1">
        <v>57</v>
      </c>
      <c r="Q580" s="3">
        <v>40.799999999999997</v>
      </c>
      <c r="R580" s="3">
        <v>1.6988901484312386E-2</v>
      </c>
      <c r="S580" s="3">
        <v>141686688000</v>
      </c>
      <c r="T580" s="3">
        <v>0</v>
      </c>
    </row>
    <row r="581" spans="2:20" x14ac:dyDescent="0.2">
      <c r="B581">
        <v>58145</v>
      </c>
      <c r="C581" s="6">
        <v>2.3251800000000001E-6</v>
      </c>
      <c r="D581" s="1" t="s">
        <v>631</v>
      </c>
      <c r="E581" s="3">
        <v>180.6</v>
      </c>
      <c r="F581" s="7">
        <v>3.8380242555921666E-3</v>
      </c>
      <c r="G581" s="7">
        <v>29018246400</v>
      </c>
      <c r="H581" s="7">
        <v>0</v>
      </c>
      <c r="I581" s="3">
        <f t="shared" si="9"/>
        <v>33585.933333333334</v>
      </c>
      <c r="L581" s="1">
        <v>57145</v>
      </c>
      <c r="M581" s="3">
        <v>1.72596E-5</v>
      </c>
      <c r="N581" s="1" t="s">
        <v>613</v>
      </c>
      <c r="O581" s="1">
        <v>88</v>
      </c>
      <c r="P581" s="1">
        <v>57</v>
      </c>
      <c r="Q581" s="3">
        <v>24.8</v>
      </c>
      <c r="R581" s="3">
        <v>2.7949483087094568E-2</v>
      </c>
      <c r="S581" s="3">
        <v>215399808000</v>
      </c>
      <c r="T581" s="3">
        <v>0</v>
      </c>
    </row>
    <row r="582" spans="2:20" x14ac:dyDescent="0.2">
      <c r="B582">
        <v>58146</v>
      </c>
      <c r="C582" s="6">
        <v>5.2133599999999997E-6</v>
      </c>
      <c r="D582" s="1" t="s">
        <v>632</v>
      </c>
      <c r="E582" s="3">
        <v>809.4</v>
      </c>
      <c r="F582" s="7">
        <v>8.5637160929076517E-4</v>
      </c>
      <c r="G582" s="7">
        <v>65062732799.999992</v>
      </c>
      <c r="H582" s="7">
        <v>0</v>
      </c>
      <c r="I582" s="3">
        <f t="shared" si="9"/>
        <v>75304.088888888873</v>
      </c>
      <c r="L582" s="1">
        <v>57146</v>
      </c>
      <c r="M582" s="3">
        <v>1.2153200000000001E-5</v>
      </c>
      <c r="N582" s="1" t="s">
        <v>614</v>
      </c>
      <c r="O582" s="1">
        <v>89</v>
      </c>
      <c r="P582" s="1">
        <v>57</v>
      </c>
      <c r="Q582" s="3">
        <v>6.27</v>
      </c>
      <c r="R582" s="3">
        <v>0.11054978956298969</v>
      </c>
      <c r="S582" s="3">
        <v>151671936000</v>
      </c>
      <c r="T582" s="3">
        <v>0</v>
      </c>
    </row>
    <row r="583" spans="2:20" x14ac:dyDescent="0.2">
      <c r="B583">
        <v>58147</v>
      </c>
      <c r="C583" s="6">
        <v>8.1946600000000002E-6</v>
      </c>
      <c r="D583" s="1" t="s">
        <v>633</v>
      </c>
      <c r="E583" s="3">
        <v>56.4</v>
      </c>
      <c r="F583" s="7">
        <v>1.2289843626949385E-2</v>
      </c>
      <c r="G583" s="7">
        <v>102269356800</v>
      </c>
      <c r="H583" s="7">
        <v>0</v>
      </c>
      <c r="I583" s="3">
        <f t="shared" si="9"/>
        <v>118367.31111111111</v>
      </c>
      <c r="L583" s="1">
        <v>57147</v>
      </c>
      <c r="M583" s="3">
        <v>1.2774E-5</v>
      </c>
      <c r="N583" s="1" t="s">
        <v>615</v>
      </c>
      <c r="O583" s="1">
        <v>90</v>
      </c>
      <c r="P583" s="1">
        <v>57</v>
      </c>
      <c r="Q583" s="3">
        <v>4.0599999999999996</v>
      </c>
      <c r="R583" s="3">
        <v>0.17072590654185846</v>
      </c>
      <c r="S583" s="3">
        <v>159419520000</v>
      </c>
      <c r="T583" s="3">
        <v>0</v>
      </c>
    </row>
    <row r="584" spans="2:20" x14ac:dyDescent="0.2">
      <c r="B584">
        <v>58148</v>
      </c>
      <c r="C584" s="6">
        <v>1.21451E-5</v>
      </c>
      <c r="D584" s="1" t="s">
        <v>634</v>
      </c>
      <c r="E584" s="3">
        <v>56.8</v>
      </c>
      <c r="F584" s="7">
        <v>1.2203295432393403E-2</v>
      </c>
      <c r="G584" s="7">
        <v>151570848000</v>
      </c>
      <c r="H584" s="7">
        <v>0</v>
      </c>
      <c r="I584" s="3">
        <f t="shared" si="9"/>
        <v>175429.22222222222</v>
      </c>
      <c r="L584" s="1">
        <v>57148</v>
      </c>
      <c r="M584" s="3">
        <v>5.8163599999999997E-6</v>
      </c>
      <c r="N584" s="1" t="s">
        <v>616</v>
      </c>
      <c r="O584" s="1">
        <v>91</v>
      </c>
      <c r="P584" s="1">
        <v>57</v>
      </c>
      <c r="Q584" s="3">
        <v>1.26</v>
      </c>
      <c r="R584" s="3">
        <v>0.55011680996821055</v>
      </c>
      <c r="S584" s="3">
        <v>72588172800</v>
      </c>
      <c r="T584" s="3">
        <v>0</v>
      </c>
    </row>
    <row r="585" spans="2:20" x14ac:dyDescent="0.2">
      <c r="B585">
        <v>58149</v>
      </c>
      <c r="C585" s="6">
        <v>1.27654E-5</v>
      </c>
      <c r="D585" s="1" t="s">
        <v>635</v>
      </c>
      <c r="E585" s="3">
        <v>5.3</v>
      </c>
      <c r="F585" s="7">
        <v>0.1307824868981029</v>
      </c>
      <c r="G585" s="7">
        <v>159312192000</v>
      </c>
      <c r="H585" s="7">
        <v>0</v>
      </c>
      <c r="I585" s="3">
        <f t="shared" si="9"/>
        <v>184389.11111111112</v>
      </c>
      <c r="L585" s="1">
        <v>57149</v>
      </c>
      <c r="M585" s="3">
        <v>4.5715500000000003E-6</v>
      </c>
      <c r="N585" s="1" t="s">
        <v>617</v>
      </c>
      <c r="O585" s="1">
        <v>92</v>
      </c>
      <c r="P585" s="1">
        <v>57</v>
      </c>
      <c r="Q585" s="3">
        <v>1.05</v>
      </c>
      <c r="R585" s="3">
        <v>0.6601401719618526</v>
      </c>
      <c r="S585" s="3">
        <v>57052944000</v>
      </c>
      <c r="T585" s="3">
        <v>0</v>
      </c>
    </row>
    <row r="586" spans="2:20" x14ac:dyDescent="0.2">
      <c r="B586">
        <v>58150</v>
      </c>
      <c r="C586" s="6">
        <v>1.07713E-5</v>
      </c>
      <c r="D586" s="1" t="s">
        <v>636</v>
      </c>
      <c r="E586" s="3">
        <v>4</v>
      </c>
      <c r="F586" s="7">
        <v>0.17328679513998632</v>
      </c>
      <c r="G586" s="7">
        <v>134425824000</v>
      </c>
      <c r="H586" s="7">
        <v>0</v>
      </c>
      <c r="I586" s="3">
        <f t="shared" si="9"/>
        <v>155585.44444444444</v>
      </c>
      <c r="L586" s="1">
        <v>58124</v>
      </c>
      <c r="M586" s="3">
        <v>1.6613099999999999E-6</v>
      </c>
      <c r="N586" s="1" t="s">
        <v>618</v>
      </c>
      <c r="O586" s="1">
        <v>66</v>
      </c>
      <c r="P586" s="1">
        <v>58</v>
      </c>
      <c r="Q586" s="3">
        <v>6</v>
      </c>
      <c r="R586" s="3">
        <v>0.11552453009332421</v>
      </c>
      <c r="S586" s="3">
        <v>20733148800</v>
      </c>
      <c r="T586" s="3">
        <v>0</v>
      </c>
    </row>
    <row r="587" spans="2:20" x14ac:dyDescent="0.2">
      <c r="B587">
        <v>58151</v>
      </c>
      <c r="C587" s="6">
        <v>6.23279E-6</v>
      </c>
      <c r="D587" s="1" t="s">
        <v>637</v>
      </c>
      <c r="E587" s="3">
        <v>1.76</v>
      </c>
      <c r="F587" s="7">
        <v>0.39383362531815075</v>
      </c>
      <c r="G587" s="7">
        <v>77785219200</v>
      </c>
      <c r="H587" s="7">
        <v>0</v>
      </c>
      <c r="I587" s="3">
        <f t="shared" si="9"/>
        <v>90029.188888888893</v>
      </c>
      <c r="L587" s="1">
        <v>58125</v>
      </c>
      <c r="M587" s="3">
        <v>7.0728300000000005E-7</v>
      </c>
      <c r="N587" s="1" t="s">
        <v>619</v>
      </c>
      <c r="O587" s="1">
        <v>67</v>
      </c>
      <c r="P587" s="1">
        <v>58</v>
      </c>
      <c r="Q587" s="3">
        <v>9.6999999999999993</v>
      </c>
      <c r="R587" s="3">
        <v>7.1458472222674776E-2</v>
      </c>
      <c r="S587" s="3">
        <v>8826891840</v>
      </c>
      <c r="T587" s="3">
        <v>0</v>
      </c>
    </row>
    <row r="588" spans="2:20" x14ac:dyDescent="0.2">
      <c r="B588">
        <v>59129</v>
      </c>
      <c r="C588" s="6">
        <v>2.8427400000000002E-6</v>
      </c>
      <c r="D588" s="1" t="s">
        <v>638</v>
      </c>
      <c r="E588" s="3">
        <v>30</v>
      </c>
      <c r="F588" s="7">
        <v>2.3104906018664842E-2</v>
      </c>
      <c r="G588" s="7">
        <v>35477395200</v>
      </c>
      <c r="H588" s="7">
        <v>0</v>
      </c>
      <c r="I588" s="3">
        <f t="shared" si="9"/>
        <v>41061.800000000003</v>
      </c>
      <c r="L588" s="1">
        <v>58126</v>
      </c>
      <c r="M588" s="3">
        <v>1.54467E-7</v>
      </c>
      <c r="N588" s="1" t="s">
        <v>620</v>
      </c>
      <c r="O588" s="1">
        <v>68</v>
      </c>
      <c r="P588" s="1">
        <v>58</v>
      </c>
      <c r="Q588" s="3">
        <v>51</v>
      </c>
      <c r="R588" s="3">
        <v>1.3591121187449907E-2</v>
      </c>
      <c r="S588" s="3">
        <v>1927748160</v>
      </c>
      <c r="T588" s="3">
        <v>0</v>
      </c>
    </row>
    <row r="589" spans="2:20" x14ac:dyDescent="0.2">
      <c r="B589">
        <v>59130</v>
      </c>
      <c r="C589" s="6">
        <v>8.9099700000000005E-7</v>
      </c>
      <c r="D589" s="1" t="s">
        <v>639</v>
      </c>
      <c r="E589" s="3">
        <v>40</v>
      </c>
      <c r="F589" s="7">
        <v>1.7328679513998631E-2</v>
      </c>
      <c r="G589" s="7">
        <v>11119642560</v>
      </c>
      <c r="H589" s="7">
        <v>0</v>
      </c>
      <c r="I589" s="3">
        <f t="shared" si="9"/>
        <v>12869.956666666667</v>
      </c>
      <c r="L589" s="1">
        <v>58127</v>
      </c>
      <c r="M589" s="3">
        <v>6.0865600000000002E-8</v>
      </c>
      <c r="N589" s="1" t="s">
        <v>621</v>
      </c>
      <c r="O589" s="1">
        <v>69</v>
      </c>
      <c r="P589" s="1">
        <v>58</v>
      </c>
      <c r="Q589" s="3">
        <v>34</v>
      </c>
      <c r="R589" s="3">
        <v>2.0386681781174861E-2</v>
      </c>
      <c r="S589" s="3">
        <v>759602688</v>
      </c>
      <c r="T589" s="3">
        <v>0</v>
      </c>
    </row>
    <row r="590" spans="2:20" x14ac:dyDescent="0.2">
      <c r="B590">
        <v>59131</v>
      </c>
      <c r="C590" s="6">
        <v>2.4409099999999999E-7</v>
      </c>
      <c r="D590" s="1" t="s">
        <v>640</v>
      </c>
      <c r="E590" s="3">
        <v>90.6</v>
      </c>
      <c r="F590" s="7">
        <v>7.650631132008227E-3</v>
      </c>
      <c r="G590" s="7">
        <v>3046255680</v>
      </c>
      <c r="H590" s="7">
        <v>0</v>
      </c>
      <c r="I590" s="3">
        <f t="shared" si="9"/>
        <v>3525.758888888889</v>
      </c>
      <c r="L590" s="1">
        <v>58128</v>
      </c>
      <c r="M590" s="3">
        <v>8.8646000000000002E-9</v>
      </c>
      <c r="N590" s="1" t="s">
        <v>623</v>
      </c>
      <c r="O590" s="1">
        <v>70</v>
      </c>
      <c r="P590" s="1">
        <v>58</v>
      </c>
      <c r="Q590" s="3">
        <v>235.8</v>
      </c>
      <c r="R590" s="3">
        <v>2.9395554731125751E-3</v>
      </c>
      <c r="S590" s="3">
        <v>110630208</v>
      </c>
      <c r="T590" s="3">
        <v>0</v>
      </c>
    </row>
    <row r="591" spans="2:20" x14ac:dyDescent="0.2">
      <c r="B591">
        <v>59132</v>
      </c>
      <c r="C591" s="6">
        <v>3.3783200000000003E-8</v>
      </c>
      <c r="D591" s="1" t="s">
        <v>641</v>
      </c>
      <c r="E591" s="3">
        <v>96</v>
      </c>
      <c r="F591" s="7">
        <v>7.2202831308327631E-3</v>
      </c>
      <c r="G591" s="7">
        <v>421614336.00000006</v>
      </c>
      <c r="H591" s="7">
        <v>0</v>
      </c>
      <c r="I591" s="3">
        <f t="shared" si="9"/>
        <v>487.97955555555563</v>
      </c>
      <c r="L591" s="1">
        <v>58129</v>
      </c>
      <c r="M591" s="3">
        <v>2.7222E-9</v>
      </c>
      <c r="N591" s="1" t="s">
        <v>624</v>
      </c>
      <c r="O591" s="1">
        <v>71</v>
      </c>
      <c r="P591" s="1">
        <v>58</v>
      </c>
      <c r="Q591" s="3">
        <v>210</v>
      </c>
      <c r="R591" s="3">
        <v>3.3007008598092634E-3</v>
      </c>
      <c r="S591" s="3">
        <v>33973056</v>
      </c>
      <c r="T591" s="3">
        <v>0</v>
      </c>
    </row>
    <row r="592" spans="2:20" x14ac:dyDescent="0.2">
      <c r="B592">
        <v>59133</v>
      </c>
      <c r="C592" s="6">
        <v>6.4216000000000002E-9</v>
      </c>
      <c r="D592" s="1" t="s">
        <v>642</v>
      </c>
      <c r="E592" s="3">
        <v>390</v>
      </c>
      <c r="F592" s="7">
        <v>1.7773004629742187E-3</v>
      </c>
      <c r="G592" s="7">
        <v>80141568</v>
      </c>
      <c r="H592" s="7">
        <v>0</v>
      </c>
      <c r="I592" s="3">
        <f t="shared" si="9"/>
        <v>92.756444444444455</v>
      </c>
      <c r="L592" s="1">
        <v>58130</v>
      </c>
      <c r="M592" s="3">
        <v>6.9799999999999994E-11</v>
      </c>
      <c r="N592" s="1" t="s">
        <v>643</v>
      </c>
      <c r="O592" s="1">
        <v>72</v>
      </c>
      <c r="P592" s="1">
        <v>58</v>
      </c>
      <c r="Q592" s="3">
        <v>1374</v>
      </c>
      <c r="R592" s="3">
        <v>5.0447393053853367E-4</v>
      </c>
      <c r="S592" s="3">
        <v>871103.99999999988</v>
      </c>
      <c r="T592" s="3">
        <v>0</v>
      </c>
    </row>
    <row r="593" spans="2:20" x14ac:dyDescent="0.2">
      <c r="B593">
        <v>59134</v>
      </c>
      <c r="C593" s="6">
        <v>4.8860000000000005E-10</v>
      </c>
      <c r="D593" s="1" t="s">
        <v>644</v>
      </c>
      <c r="E593" s="3">
        <v>660</v>
      </c>
      <c r="F593" s="7">
        <v>1.0502230008484019E-3</v>
      </c>
      <c r="G593" s="7">
        <v>6097728.0000000009</v>
      </c>
      <c r="H593" s="7">
        <v>0</v>
      </c>
      <c r="I593" s="3">
        <f t="shared" si="9"/>
        <v>7.057555555555556</v>
      </c>
      <c r="L593" s="1">
        <v>58139</v>
      </c>
      <c r="M593" s="3">
        <v>4.8860000000000005E-10</v>
      </c>
      <c r="N593" s="1" t="s">
        <v>626</v>
      </c>
      <c r="O593" s="1">
        <v>81</v>
      </c>
      <c r="P593" s="1">
        <v>58</v>
      </c>
      <c r="Q593" s="3">
        <v>11892182.3999999</v>
      </c>
      <c r="R593" s="3">
        <v>5.8285952674250198E-8</v>
      </c>
      <c r="S593" s="3">
        <v>299472.01744561933</v>
      </c>
      <c r="T593" s="3">
        <v>47651.550968688083</v>
      </c>
    </row>
    <row r="594" spans="2:20" x14ac:dyDescent="0.2">
      <c r="B594">
        <v>59142</v>
      </c>
      <c r="C594" s="6">
        <v>5.5839999999999995E-10</v>
      </c>
      <c r="D594" s="1" t="s">
        <v>645</v>
      </c>
      <c r="E594" s="3">
        <v>68832</v>
      </c>
      <c r="F594" s="7">
        <v>1.0070129889585444E-5</v>
      </c>
      <c r="G594" s="7">
        <v>6967671.7787846923</v>
      </c>
      <c r="H594" s="7">
        <v>8.3846928991238835E-132</v>
      </c>
      <c r="I594" s="3">
        <f t="shared" si="9"/>
        <v>8.0644349291489483</v>
      </c>
      <c r="L594" s="1">
        <v>58141</v>
      </c>
      <c r="M594" s="3">
        <v>4.7464000000000001E-8</v>
      </c>
      <c r="N594" s="1" t="s">
        <v>627</v>
      </c>
      <c r="O594" s="1">
        <v>83</v>
      </c>
      <c r="P594" s="1">
        <v>58</v>
      </c>
      <c r="Q594" s="3">
        <v>2808950.4</v>
      </c>
      <c r="R594" s="3">
        <v>2.4676376648015759E-7</v>
      </c>
      <c r="S594" s="3">
        <v>113736446.88967426</v>
      </c>
      <c r="T594" s="3">
        <v>47450.973528239381</v>
      </c>
    </row>
    <row r="595" spans="2:20" x14ac:dyDescent="0.2">
      <c r="B595">
        <v>59143</v>
      </c>
      <c r="C595" s="6">
        <v>4.0484000000000002E-9</v>
      </c>
      <c r="D595" s="1" t="s">
        <v>646</v>
      </c>
      <c r="E595" s="3">
        <v>1172448</v>
      </c>
      <c r="F595" s="7">
        <v>5.9119652262611673E-7</v>
      </c>
      <c r="G595" s="7">
        <v>20208647.930731736</v>
      </c>
      <c r="H595" s="7">
        <v>0.1616450573701835</v>
      </c>
      <c r="I595" s="3">
        <f t="shared" si="9"/>
        <v>23.389638808717287</v>
      </c>
      <c r="L595" s="1">
        <v>58142</v>
      </c>
      <c r="M595" s="3">
        <v>2.8422599999999999E-7</v>
      </c>
      <c r="N595" s="1" t="s">
        <v>628</v>
      </c>
      <c r="O595" s="1">
        <v>84</v>
      </c>
      <c r="P595" s="1">
        <v>58</v>
      </c>
      <c r="Q595" s="3">
        <v>1.57788E+24</v>
      </c>
      <c r="R595" s="3">
        <v>4.3929017451260252E-25</v>
      </c>
      <c r="S595" s="3">
        <v>0</v>
      </c>
      <c r="T595" s="3">
        <v>0</v>
      </c>
    </row>
    <row r="596" spans="2:20" x14ac:dyDescent="0.2">
      <c r="B596">
        <v>59144</v>
      </c>
      <c r="C596" s="6">
        <v>1.26338E-8</v>
      </c>
      <c r="D596" s="1" t="s">
        <v>647</v>
      </c>
      <c r="E596" s="3">
        <v>1036.8</v>
      </c>
      <c r="F596" s="7">
        <v>6.6854473433636697E-4</v>
      </c>
      <c r="G596" s="7">
        <v>157669824</v>
      </c>
      <c r="H596" s="7">
        <v>0</v>
      </c>
      <c r="I596" s="3">
        <f t="shared" si="9"/>
        <v>182.48822222222222</v>
      </c>
      <c r="L596" s="1">
        <v>58143</v>
      </c>
      <c r="M596" s="3">
        <v>6.9953599999999997E-7</v>
      </c>
      <c r="N596" s="1" t="s">
        <v>629</v>
      </c>
      <c r="O596" s="1">
        <v>85</v>
      </c>
      <c r="P596" s="1">
        <v>58</v>
      </c>
      <c r="Q596" s="3">
        <v>118940.4</v>
      </c>
      <c r="R596" s="3">
        <v>5.8276849628885168E-6</v>
      </c>
      <c r="S596" s="3">
        <v>8673415613.5629845</v>
      </c>
      <c r="T596" s="3">
        <v>1.3265903818062E-70</v>
      </c>
    </row>
    <row r="597" spans="2:20" x14ac:dyDescent="0.2">
      <c r="B597">
        <v>59145</v>
      </c>
      <c r="C597" s="6">
        <v>6.8473799999999997E-8</v>
      </c>
      <c r="D597" s="1" t="s">
        <v>648</v>
      </c>
      <c r="E597" s="3">
        <v>21542.400000000001</v>
      </c>
      <c r="F597" s="7">
        <v>3.2175949780894669E-5</v>
      </c>
      <c r="G597" s="7">
        <v>854553023.99927831</v>
      </c>
      <c r="H597" s="7">
        <v>0</v>
      </c>
      <c r="I597" s="3">
        <f t="shared" si="9"/>
        <v>989.06599999916466</v>
      </c>
      <c r="L597" s="1">
        <v>58144</v>
      </c>
      <c r="M597" s="3">
        <v>2.4042600000000002E-6</v>
      </c>
      <c r="N597" s="1" t="s">
        <v>630</v>
      </c>
      <c r="O597" s="1">
        <v>86</v>
      </c>
      <c r="P597" s="1">
        <v>58</v>
      </c>
      <c r="Q597" s="3">
        <v>24616224</v>
      </c>
      <c r="R597" s="3">
        <v>2.8158144017536781E-8</v>
      </c>
      <c r="S597" s="3">
        <v>721176553.7525872</v>
      </c>
      <c r="T597" s="3">
        <v>296749619.4257223</v>
      </c>
    </row>
    <row r="598" spans="2:20" x14ac:dyDescent="0.2">
      <c r="B598">
        <v>59146</v>
      </c>
      <c r="C598" s="6">
        <v>1.8811100000000001E-7</v>
      </c>
      <c r="D598" s="1" t="s">
        <v>649</v>
      </c>
      <c r="E598" s="3">
        <v>1449</v>
      </c>
      <c r="F598" s="7">
        <v>4.7836244345061789E-4</v>
      </c>
      <c r="G598" s="7">
        <v>2347625280</v>
      </c>
      <c r="H598" s="7">
        <v>0</v>
      </c>
      <c r="I598" s="3">
        <f t="shared" si="9"/>
        <v>2717.1588888888887</v>
      </c>
      <c r="L598" s="1">
        <v>58145</v>
      </c>
      <c r="M598" s="3">
        <v>3.5895999999999999E-6</v>
      </c>
      <c r="N598" s="1" t="s">
        <v>631</v>
      </c>
      <c r="O598" s="1">
        <v>87</v>
      </c>
      <c r="P598" s="1">
        <v>58</v>
      </c>
      <c r="Q598" s="3">
        <v>180.6</v>
      </c>
      <c r="R598" s="3">
        <v>3.8380242555921666E-3</v>
      </c>
      <c r="S598" s="3">
        <v>44798208000</v>
      </c>
      <c r="T598" s="3">
        <v>0</v>
      </c>
    </row>
    <row r="599" spans="2:20" x14ac:dyDescent="0.2">
      <c r="B599">
        <v>59147</v>
      </c>
      <c r="C599" s="6">
        <v>5.9671999999999996E-7</v>
      </c>
      <c r="D599" s="1" t="s">
        <v>650</v>
      </c>
      <c r="E599" s="3">
        <v>804</v>
      </c>
      <c r="F599" s="7">
        <v>8.6212335890540454E-4</v>
      </c>
      <c r="G599" s="7">
        <v>7447065599.999999</v>
      </c>
      <c r="H599" s="7">
        <v>0</v>
      </c>
      <c r="I599" s="3">
        <f t="shared" si="9"/>
        <v>8619.2888888888883</v>
      </c>
      <c r="L599" s="1">
        <v>58146</v>
      </c>
      <c r="M599" s="3">
        <v>7.8511000000000001E-6</v>
      </c>
      <c r="N599" s="1" t="s">
        <v>632</v>
      </c>
      <c r="O599" s="1">
        <v>88</v>
      </c>
      <c r="P599" s="1">
        <v>58</v>
      </c>
      <c r="Q599" s="3">
        <v>809.4</v>
      </c>
      <c r="R599" s="3">
        <v>8.5637160929076517E-4</v>
      </c>
      <c r="S599" s="3">
        <v>97981728000</v>
      </c>
      <c r="T599" s="3">
        <v>0</v>
      </c>
    </row>
    <row r="600" spans="2:20" x14ac:dyDescent="0.2">
      <c r="B600">
        <v>59148</v>
      </c>
      <c r="C600" s="6">
        <v>1.20726E-6</v>
      </c>
      <c r="D600" s="1" t="s">
        <v>651</v>
      </c>
      <c r="E600" s="3">
        <v>137.4</v>
      </c>
      <c r="F600" s="7">
        <v>5.0447393053853363E-3</v>
      </c>
      <c r="G600" s="7">
        <v>15066604800</v>
      </c>
      <c r="H600" s="7">
        <v>0</v>
      </c>
      <c r="I600" s="3">
        <f t="shared" si="9"/>
        <v>17438.2</v>
      </c>
      <c r="L600" s="1">
        <v>58147</v>
      </c>
      <c r="M600" s="3">
        <v>7.1020799999999996E-6</v>
      </c>
      <c r="N600" s="1" t="s">
        <v>633</v>
      </c>
      <c r="O600" s="1">
        <v>89</v>
      </c>
      <c r="P600" s="1">
        <v>58</v>
      </c>
      <c r="Q600" s="3">
        <v>56.4</v>
      </c>
      <c r="R600" s="3">
        <v>1.2289843626949385E-2</v>
      </c>
      <c r="S600" s="3">
        <v>88633958400</v>
      </c>
      <c r="T600" s="3">
        <v>0</v>
      </c>
    </row>
    <row r="601" spans="2:20" x14ac:dyDescent="0.2">
      <c r="B601">
        <v>59149</v>
      </c>
      <c r="C601" s="6">
        <v>2.6309000000000001E-6</v>
      </c>
      <c r="D601" s="1" t="s">
        <v>652</v>
      </c>
      <c r="E601" s="3">
        <v>135.6</v>
      </c>
      <c r="F601" s="7">
        <v>5.1117048713860275E-3</v>
      </c>
      <c r="G601" s="7">
        <v>32833632000</v>
      </c>
      <c r="H601" s="7">
        <v>0</v>
      </c>
      <c r="I601" s="3">
        <f t="shared" si="9"/>
        <v>38001.888888888891</v>
      </c>
      <c r="L601" s="1">
        <v>58148</v>
      </c>
      <c r="M601" s="3">
        <v>9.7765399999999997E-6</v>
      </c>
      <c r="N601" s="1" t="s">
        <v>634</v>
      </c>
      <c r="O601" s="1">
        <v>90</v>
      </c>
      <c r="P601" s="1">
        <v>58</v>
      </c>
      <c r="Q601" s="3">
        <v>56.8</v>
      </c>
      <c r="R601" s="3">
        <v>1.2203295432393403E-2</v>
      </c>
      <c r="S601" s="3">
        <v>122011219200</v>
      </c>
      <c r="T601" s="3">
        <v>0</v>
      </c>
    </row>
    <row r="602" spans="2:20" x14ac:dyDescent="0.2">
      <c r="B602">
        <v>59150</v>
      </c>
      <c r="C602" s="6">
        <v>3.4937000000000001E-6</v>
      </c>
      <c r="D602" s="1" t="s">
        <v>653</v>
      </c>
      <c r="E602" s="3">
        <v>6.19</v>
      </c>
      <c r="F602" s="7">
        <v>0.11197854290144511</v>
      </c>
      <c r="G602" s="7">
        <v>43601376000</v>
      </c>
      <c r="H602" s="7">
        <v>0</v>
      </c>
      <c r="I602" s="3">
        <f t="shared" si="9"/>
        <v>50464.555555555555</v>
      </c>
      <c r="L602" s="1">
        <v>58149</v>
      </c>
      <c r="M602" s="3">
        <v>6.3781799999999996E-6</v>
      </c>
      <c r="N602" s="1" t="s">
        <v>635</v>
      </c>
      <c r="O602" s="1">
        <v>91</v>
      </c>
      <c r="P602" s="1">
        <v>58</v>
      </c>
      <c r="Q602" s="3">
        <v>5.3</v>
      </c>
      <c r="R602" s="3">
        <v>0.1307824868981029</v>
      </c>
      <c r="S602" s="3">
        <v>79599686400</v>
      </c>
      <c r="T602" s="3">
        <v>0</v>
      </c>
    </row>
    <row r="603" spans="2:20" x14ac:dyDescent="0.2">
      <c r="B603">
        <v>59151</v>
      </c>
      <c r="C603" s="6">
        <v>4.5314899999999999E-6</v>
      </c>
      <c r="D603" s="1" t="s">
        <v>654</v>
      </c>
      <c r="E603" s="3">
        <v>18.899999999999999</v>
      </c>
      <c r="F603" s="7">
        <v>3.6674453997880704E-2</v>
      </c>
      <c r="G603" s="7">
        <v>56552995200</v>
      </c>
      <c r="H603" s="7">
        <v>0</v>
      </c>
      <c r="I603" s="3">
        <f t="shared" si="9"/>
        <v>65454.855555555558</v>
      </c>
      <c r="L603" s="1">
        <v>58150</v>
      </c>
      <c r="M603" s="3">
        <v>6.0666700000000003E-6</v>
      </c>
      <c r="N603" s="1" t="s">
        <v>636</v>
      </c>
      <c r="O603" s="1">
        <v>92</v>
      </c>
      <c r="P603" s="1">
        <v>58</v>
      </c>
      <c r="Q603" s="3">
        <v>4</v>
      </c>
      <c r="R603" s="3">
        <v>0.17328679513998632</v>
      </c>
      <c r="S603" s="3">
        <v>75712041600</v>
      </c>
      <c r="T603" s="3">
        <v>0</v>
      </c>
    </row>
    <row r="604" spans="2:20" x14ac:dyDescent="0.2">
      <c r="B604">
        <v>59152</v>
      </c>
      <c r="C604" s="6">
        <v>3.4899299999999998E-6</v>
      </c>
      <c r="D604" s="1" t="s">
        <v>655</v>
      </c>
      <c r="E604" s="3">
        <v>3.57</v>
      </c>
      <c r="F604" s="7">
        <v>0.19415887410642726</v>
      </c>
      <c r="G604" s="7">
        <v>43554326400</v>
      </c>
      <c r="H604" s="7">
        <v>0</v>
      </c>
      <c r="I604" s="3">
        <f t="shared" si="9"/>
        <v>50410.1</v>
      </c>
      <c r="L604" s="1">
        <v>58151</v>
      </c>
      <c r="M604" s="3">
        <v>3.00566E-6</v>
      </c>
      <c r="N604" s="1" t="s">
        <v>637</v>
      </c>
      <c r="O604" s="1">
        <v>93</v>
      </c>
      <c r="P604" s="1">
        <v>58</v>
      </c>
      <c r="Q604" s="3">
        <v>1.76</v>
      </c>
      <c r="R604" s="3">
        <v>0.39383362531815075</v>
      </c>
      <c r="S604" s="3">
        <v>37510636800</v>
      </c>
      <c r="T604" s="3">
        <v>0</v>
      </c>
    </row>
    <row r="605" spans="2:20" x14ac:dyDescent="0.2">
      <c r="B605">
        <v>60129</v>
      </c>
      <c r="C605" s="6">
        <v>2.4384600000000002E-6</v>
      </c>
      <c r="D605" s="1" t="s">
        <v>656</v>
      </c>
      <c r="E605" s="3">
        <v>6.7</v>
      </c>
      <c r="F605" s="7">
        <v>0.10345480306864854</v>
      </c>
      <c r="G605" s="7">
        <v>30431980800.000004</v>
      </c>
      <c r="H605" s="7">
        <v>0</v>
      </c>
      <c r="I605" s="3">
        <f t="shared" si="9"/>
        <v>35222.200000000004</v>
      </c>
      <c r="L605" s="1">
        <v>59129</v>
      </c>
      <c r="M605" s="3">
        <v>1.5113799999999999E-6</v>
      </c>
      <c r="N605" s="1" t="s">
        <v>638</v>
      </c>
      <c r="O605" s="1">
        <v>70</v>
      </c>
      <c r="P605" s="1">
        <v>59</v>
      </c>
      <c r="Q605" s="3">
        <v>30</v>
      </c>
      <c r="R605" s="3">
        <v>2.3104906018664842E-2</v>
      </c>
      <c r="S605" s="3">
        <v>18862022400</v>
      </c>
      <c r="T605" s="3">
        <v>0</v>
      </c>
    </row>
    <row r="606" spans="2:20" x14ac:dyDescent="0.2">
      <c r="B606">
        <v>60130</v>
      </c>
      <c r="C606" s="6">
        <v>1.0072099999999999E-6</v>
      </c>
      <c r="D606" s="1" t="s">
        <v>657</v>
      </c>
      <c r="E606" s="3">
        <v>21</v>
      </c>
      <c r="F606" s="7">
        <v>3.3007008598092635E-2</v>
      </c>
      <c r="G606" s="7">
        <v>12569980800</v>
      </c>
      <c r="H606" s="7">
        <v>0</v>
      </c>
      <c r="I606" s="3">
        <f t="shared" si="9"/>
        <v>14548.588888888889</v>
      </c>
      <c r="L606" s="1">
        <v>59130</v>
      </c>
      <c r="M606" s="3">
        <v>4.7470999999999999E-7</v>
      </c>
      <c r="N606" s="1" t="s">
        <v>639</v>
      </c>
      <c r="O606" s="1">
        <v>71</v>
      </c>
      <c r="P606" s="1">
        <v>59</v>
      </c>
      <c r="Q606" s="3">
        <v>40</v>
      </c>
      <c r="R606" s="3">
        <v>1.7328679513998631E-2</v>
      </c>
      <c r="S606" s="3">
        <v>5924380800</v>
      </c>
      <c r="T606" s="3">
        <v>0</v>
      </c>
    </row>
    <row r="607" spans="2:20" x14ac:dyDescent="0.2">
      <c r="B607">
        <v>60131</v>
      </c>
      <c r="C607" s="6">
        <v>4.1349500000000001E-7</v>
      </c>
      <c r="D607" s="1" t="s">
        <v>658</v>
      </c>
      <c r="E607" s="3">
        <v>25.4</v>
      </c>
      <c r="F607" s="7">
        <v>2.7289259077163203E-2</v>
      </c>
      <c r="G607" s="7">
        <v>5160417600</v>
      </c>
      <c r="H607" s="7">
        <v>0</v>
      </c>
      <c r="I607" s="3">
        <f t="shared" si="9"/>
        <v>5972.7055555555553</v>
      </c>
      <c r="L607" s="1">
        <v>59131</v>
      </c>
      <c r="M607" s="3">
        <v>2.1009800000000001E-7</v>
      </c>
      <c r="N607" s="1" t="s">
        <v>640</v>
      </c>
      <c r="O607" s="1">
        <v>72</v>
      </c>
      <c r="P607" s="1">
        <v>59</v>
      </c>
      <c r="Q607" s="3">
        <v>90.6</v>
      </c>
      <c r="R607" s="3">
        <v>7.650631132008227E-3</v>
      </c>
      <c r="S607" s="3">
        <v>2622023040</v>
      </c>
      <c r="T607" s="3">
        <v>0</v>
      </c>
    </row>
    <row r="608" spans="2:20" x14ac:dyDescent="0.2">
      <c r="B608">
        <v>60132</v>
      </c>
      <c r="C608" s="6">
        <v>9.2694400000000004E-8</v>
      </c>
      <c r="D608" s="1" t="s">
        <v>659</v>
      </c>
      <c r="E608" s="3">
        <v>94</v>
      </c>
      <c r="F608" s="7">
        <v>7.3739061761696305E-3</v>
      </c>
      <c r="G608" s="7">
        <v>1156826112</v>
      </c>
      <c r="H608" s="7">
        <v>0</v>
      </c>
      <c r="I608" s="3">
        <f t="shared" si="9"/>
        <v>1338.9191111111111</v>
      </c>
      <c r="L608" s="1">
        <v>59132</v>
      </c>
      <c r="M608" s="3">
        <v>4.0972599999999997E-8</v>
      </c>
      <c r="N608" s="1" t="s">
        <v>641</v>
      </c>
      <c r="O608" s="1">
        <v>73</v>
      </c>
      <c r="P608" s="1">
        <v>59</v>
      </c>
      <c r="Q608" s="3">
        <v>96</v>
      </c>
      <c r="R608" s="3">
        <v>7.2202831308327631E-3</v>
      </c>
      <c r="S608" s="3">
        <v>511338047.99999994</v>
      </c>
      <c r="T608" s="3">
        <v>0</v>
      </c>
    </row>
    <row r="609" spans="2:20" x14ac:dyDescent="0.2">
      <c r="B609">
        <v>60133</v>
      </c>
      <c r="C609" s="6">
        <v>2.35226E-8</v>
      </c>
      <c r="D609" s="1" t="s">
        <v>660</v>
      </c>
      <c r="E609" s="3">
        <v>70</v>
      </c>
      <c r="F609" s="7">
        <v>9.9021025794277899E-3</v>
      </c>
      <c r="G609" s="7">
        <v>293562048</v>
      </c>
      <c r="H609" s="7">
        <v>0</v>
      </c>
      <c r="I609" s="3">
        <f t="shared" si="9"/>
        <v>339.77088888888886</v>
      </c>
      <c r="L609" s="1">
        <v>59133</v>
      </c>
      <c r="M609" s="3">
        <v>1.5146600000000001E-8</v>
      </c>
      <c r="N609" s="1" t="s">
        <v>642</v>
      </c>
      <c r="O609" s="1">
        <v>74</v>
      </c>
      <c r="P609" s="1">
        <v>59</v>
      </c>
      <c r="Q609" s="3">
        <v>390</v>
      </c>
      <c r="R609" s="3">
        <v>1.7773004629742187E-3</v>
      </c>
      <c r="S609" s="3">
        <v>189029568.00000003</v>
      </c>
      <c r="T609" s="3">
        <v>0</v>
      </c>
    </row>
    <row r="610" spans="2:20" x14ac:dyDescent="0.2">
      <c r="B610">
        <v>60134</v>
      </c>
      <c r="C610" s="6">
        <v>2.3732E-9</v>
      </c>
      <c r="D610" s="1" t="s">
        <v>661</v>
      </c>
      <c r="E610" s="3">
        <v>510</v>
      </c>
      <c r="F610" s="7">
        <v>1.3591121187449908E-3</v>
      </c>
      <c r="G610" s="7">
        <v>29617536</v>
      </c>
      <c r="H610" s="7">
        <v>0</v>
      </c>
      <c r="I610" s="3">
        <f t="shared" si="9"/>
        <v>34.279555555555561</v>
      </c>
      <c r="L610" s="1">
        <v>59134</v>
      </c>
      <c r="M610" s="3">
        <v>2.094E-9</v>
      </c>
      <c r="N610" s="1" t="s">
        <v>644</v>
      </c>
      <c r="O610" s="1">
        <v>75</v>
      </c>
      <c r="P610" s="1">
        <v>59</v>
      </c>
      <c r="Q610" s="3">
        <v>660</v>
      </c>
      <c r="R610" s="3">
        <v>1.0502230008484019E-3</v>
      </c>
      <c r="S610" s="3">
        <v>26133120</v>
      </c>
      <c r="T610" s="3">
        <v>0</v>
      </c>
    </row>
    <row r="611" spans="2:20" x14ac:dyDescent="0.2">
      <c r="B611">
        <v>60135</v>
      </c>
      <c r="C611" s="6">
        <v>5.5839999999999995E-10</v>
      </c>
      <c r="D611" s="1" t="s">
        <v>662</v>
      </c>
      <c r="E611" s="3">
        <v>744</v>
      </c>
      <c r="F611" s="7">
        <v>9.3164943623648563E-4</v>
      </c>
      <c r="G611" s="7">
        <v>6968831.9999999991</v>
      </c>
      <c r="H611" s="7">
        <v>0</v>
      </c>
      <c r="I611" s="3">
        <f t="shared" si="9"/>
        <v>8.065777777777777</v>
      </c>
      <c r="L611" s="1">
        <v>59135</v>
      </c>
      <c r="M611" s="3">
        <v>3.4899999999999998E-10</v>
      </c>
      <c r="N611" s="1" t="s">
        <v>663</v>
      </c>
      <c r="O611" s="1">
        <v>76</v>
      </c>
      <c r="P611" s="1">
        <v>59</v>
      </c>
      <c r="Q611" s="3">
        <v>1440</v>
      </c>
      <c r="R611" s="3">
        <v>4.8135220872218423E-4</v>
      </c>
      <c r="S611" s="3">
        <v>4355520</v>
      </c>
      <c r="T611" s="3">
        <v>0</v>
      </c>
    </row>
    <row r="612" spans="2:20" x14ac:dyDescent="0.2">
      <c r="B612">
        <v>60144</v>
      </c>
      <c r="C612" s="6">
        <v>2.7919999999999998E-10</v>
      </c>
      <c r="D612" s="1" t="s">
        <v>664</v>
      </c>
      <c r="E612" s="3">
        <v>7.2266904000000002E+22</v>
      </c>
      <c r="F612" s="7">
        <v>9.5914885264760378E-24</v>
      </c>
      <c r="G612" s="7">
        <v>0</v>
      </c>
      <c r="H612" s="7">
        <v>0</v>
      </c>
      <c r="I612" s="3">
        <f t="shared" si="9"/>
        <v>0</v>
      </c>
      <c r="L612" s="1">
        <v>59136</v>
      </c>
      <c r="M612" s="3">
        <v>1.3959999999999999E-10</v>
      </c>
      <c r="N612" s="1" t="s">
        <v>665</v>
      </c>
      <c r="O612" s="1">
        <v>77</v>
      </c>
      <c r="P612" s="1">
        <v>59</v>
      </c>
      <c r="Q612" s="3">
        <v>786</v>
      </c>
      <c r="R612" s="3">
        <v>8.8186664193377266E-4</v>
      </c>
      <c r="S612" s="3">
        <v>1742207.9999999998</v>
      </c>
      <c r="T612" s="3">
        <v>0</v>
      </c>
    </row>
    <row r="613" spans="2:20" x14ac:dyDescent="0.2">
      <c r="B613">
        <v>60147</v>
      </c>
      <c r="C613" s="6">
        <v>1.72406E-8</v>
      </c>
      <c r="D613" s="1" t="s">
        <v>666</v>
      </c>
      <c r="E613" s="3">
        <v>948672</v>
      </c>
      <c r="F613" s="7">
        <v>7.306499828812754E-7</v>
      </c>
      <c r="G613" s="7">
        <v>100715572.2470108</v>
      </c>
      <c r="H613" s="7">
        <v>9.9124188922988157E-3</v>
      </c>
      <c r="I613" s="3">
        <f t="shared" si="9"/>
        <v>116.56894935996621</v>
      </c>
      <c r="L613" s="1">
        <v>59142</v>
      </c>
      <c r="M613" s="3">
        <v>1.1866E-9</v>
      </c>
      <c r="N613" s="1" t="s">
        <v>645</v>
      </c>
      <c r="O613" s="1">
        <v>83</v>
      </c>
      <c r="P613" s="1">
        <v>59</v>
      </c>
      <c r="Q613" s="3">
        <v>68832</v>
      </c>
      <c r="R613" s="3">
        <v>1.0070129889585444E-5</v>
      </c>
      <c r="S613" s="3">
        <v>14806302.529917473</v>
      </c>
      <c r="T613" s="3">
        <v>1.7817472410638254E-131</v>
      </c>
    </row>
    <row r="614" spans="2:20" x14ac:dyDescent="0.2">
      <c r="B614">
        <v>60149</v>
      </c>
      <c r="C614" s="6">
        <v>1.6458799999999999E-7</v>
      </c>
      <c r="D614" s="1" t="s">
        <v>667</v>
      </c>
      <c r="E614" s="3">
        <v>6220.8</v>
      </c>
      <c r="F614" s="7">
        <v>1.114241223893945E-4</v>
      </c>
      <c r="G614" s="7">
        <v>2054058240</v>
      </c>
      <c r="H614" s="7">
        <v>0</v>
      </c>
      <c r="I614" s="3">
        <f t="shared" si="9"/>
        <v>2377.382222222222</v>
      </c>
      <c r="L614" s="1">
        <v>59143</v>
      </c>
      <c r="M614" s="3">
        <v>8.0968000000000004E-9</v>
      </c>
      <c r="N614" s="1" t="s">
        <v>646</v>
      </c>
      <c r="O614" s="1">
        <v>84</v>
      </c>
      <c r="P614" s="1">
        <v>59</v>
      </c>
      <c r="Q614" s="3">
        <v>1172448</v>
      </c>
      <c r="R614" s="3">
        <v>5.9119652262611673E-7</v>
      </c>
      <c r="S614" s="3">
        <v>40417295.861463472</v>
      </c>
      <c r="T614" s="3">
        <v>0.32329011474036701</v>
      </c>
    </row>
    <row r="615" spans="2:20" x14ac:dyDescent="0.2">
      <c r="B615">
        <v>60150</v>
      </c>
      <c r="C615" s="6">
        <v>4.5593399999999998E-7</v>
      </c>
      <c r="D615" s="1" t="s">
        <v>668</v>
      </c>
      <c r="E615" s="3">
        <v>2.8717416000000001E+26</v>
      </c>
      <c r="F615" s="7">
        <v>2.4136822775417722E-27</v>
      </c>
      <c r="G615" s="7">
        <v>0</v>
      </c>
      <c r="H615" s="7">
        <v>0</v>
      </c>
      <c r="I615" s="3">
        <f t="shared" si="9"/>
        <v>0</v>
      </c>
      <c r="L615" s="1">
        <v>59144</v>
      </c>
      <c r="M615" s="3">
        <v>3.2806000000000003E-8</v>
      </c>
      <c r="N615" s="1" t="s">
        <v>647</v>
      </c>
      <c r="O615" s="1">
        <v>85</v>
      </c>
      <c r="P615" s="1">
        <v>59</v>
      </c>
      <c r="Q615" s="3">
        <v>1036.8</v>
      </c>
      <c r="R615" s="3">
        <v>6.6854473433636697E-4</v>
      </c>
      <c r="S615" s="3">
        <v>409418880.00000006</v>
      </c>
      <c r="T615" s="3">
        <v>0</v>
      </c>
    </row>
    <row r="616" spans="2:20" x14ac:dyDescent="0.2">
      <c r="B616">
        <v>60151</v>
      </c>
      <c r="C616" s="6">
        <v>8.6831200000000003E-7</v>
      </c>
      <c r="D616" s="1" t="s">
        <v>669</v>
      </c>
      <c r="E616" s="3">
        <v>746.4</v>
      </c>
      <c r="F616" s="7">
        <v>9.2865377888524286E-4</v>
      </c>
      <c r="G616" s="7">
        <v>10836533760</v>
      </c>
      <c r="H616" s="7">
        <v>0</v>
      </c>
      <c r="I616" s="3">
        <f t="shared" si="9"/>
        <v>12542.284444444444</v>
      </c>
      <c r="L616" s="1">
        <v>59145</v>
      </c>
      <c r="M616" s="3">
        <v>1.84063E-7</v>
      </c>
      <c r="N616" s="1" t="s">
        <v>648</v>
      </c>
      <c r="O616" s="1">
        <v>86</v>
      </c>
      <c r="P616" s="1">
        <v>59</v>
      </c>
      <c r="Q616" s="3">
        <v>21542.400000000001</v>
      </c>
      <c r="R616" s="3">
        <v>3.2175949780894669E-5</v>
      </c>
      <c r="S616" s="3">
        <v>2297106239.9980597</v>
      </c>
      <c r="T616" s="3">
        <v>0</v>
      </c>
    </row>
    <row r="617" spans="2:20" x14ac:dyDescent="0.2">
      <c r="B617">
        <v>60152</v>
      </c>
      <c r="C617" s="6">
        <v>1.5264600000000001E-6</v>
      </c>
      <c r="D617" s="1" t="s">
        <v>670</v>
      </c>
      <c r="E617" s="3">
        <v>684</v>
      </c>
      <c r="F617" s="7">
        <v>1.0133730709940721E-3</v>
      </c>
      <c r="G617" s="7">
        <v>19050220800</v>
      </c>
      <c r="H617" s="7">
        <v>0</v>
      </c>
      <c r="I617" s="3">
        <f t="shared" si="9"/>
        <v>22048.866666666665</v>
      </c>
      <c r="L617" s="1">
        <v>59146</v>
      </c>
      <c r="M617" s="3">
        <v>4.3290000000000002E-7</v>
      </c>
      <c r="N617" s="1" t="s">
        <v>649</v>
      </c>
      <c r="O617" s="1">
        <v>87</v>
      </c>
      <c r="P617" s="1">
        <v>59</v>
      </c>
      <c r="Q617" s="3">
        <v>1449</v>
      </c>
      <c r="R617" s="3">
        <v>4.7836244345061789E-4</v>
      </c>
      <c r="S617" s="3">
        <v>5402592000</v>
      </c>
      <c r="T617" s="3">
        <v>0</v>
      </c>
    </row>
    <row r="618" spans="2:20" x14ac:dyDescent="0.2">
      <c r="B618">
        <v>60153</v>
      </c>
      <c r="C618" s="6">
        <v>1.8548E-6</v>
      </c>
      <c r="D618" s="1" t="s">
        <v>671</v>
      </c>
      <c r="E618" s="3">
        <v>31.6</v>
      </c>
      <c r="F618" s="7">
        <v>2.1935037359491937E-2</v>
      </c>
      <c r="G618" s="7">
        <v>23147904000</v>
      </c>
      <c r="H618" s="7">
        <v>0</v>
      </c>
      <c r="I618" s="3">
        <f t="shared" si="9"/>
        <v>26791.555555555555</v>
      </c>
      <c r="L618" s="1">
        <v>59147</v>
      </c>
      <c r="M618" s="3">
        <v>1.40528E-6</v>
      </c>
      <c r="N618" s="1" t="s">
        <v>650</v>
      </c>
      <c r="O618" s="1">
        <v>88</v>
      </c>
      <c r="P618" s="1">
        <v>59</v>
      </c>
      <c r="Q618" s="3">
        <v>804</v>
      </c>
      <c r="R618" s="3">
        <v>8.6212335890540454E-4</v>
      </c>
      <c r="S618" s="3">
        <v>17537894400</v>
      </c>
      <c r="T618" s="3">
        <v>0</v>
      </c>
    </row>
    <row r="619" spans="2:20" x14ac:dyDescent="0.2">
      <c r="B619">
        <v>60154</v>
      </c>
      <c r="C619" s="6">
        <v>1.9192900000000001E-6</v>
      </c>
      <c r="D619" s="1" t="s">
        <v>672</v>
      </c>
      <c r="E619" s="3">
        <v>25.9</v>
      </c>
      <c r="F619" s="7">
        <v>2.6762439403858893E-2</v>
      </c>
      <c r="G619" s="7">
        <v>23952739200</v>
      </c>
      <c r="H619" s="7">
        <v>0</v>
      </c>
      <c r="I619" s="3">
        <f t="shared" si="9"/>
        <v>27723.077777777777</v>
      </c>
      <c r="L619" s="1">
        <v>59148</v>
      </c>
      <c r="M619" s="3">
        <v>2.0761299999999999E-6</v>
      </c>
      <c r="N619" s="1" t="s">
        <v>651</v>
      </c>
      <c r="O619" s="1">
        <v>89</v>
      </c>
      <c r="P619" s="1">
        <v>59</v>
      </c>
      <c r="Q619" s="3">
        <v>137.4</v>
      </c>
      <c r="R619" s="3">
        <v>5.0447393053853363E-3</v>
      </c>
      <c r="S619" s="3">
        <v>25910102400</v>
      </c>
      <c r="T619" s="3">
        <v>0</v>
      </c>
    </row>
    <row r="620" spans="2:20" x14ac:dyDescent="0.2">
      <c r="B620">
        <v>61132</v>
      </c>
      <c r="C620" s="6">
        <v>1.3462999999999999E-6</v>
      </c>
      <c r="D620" s="1" t="s">
        <v>673</v>
      </c>
      <c r="E620" s="3">
        <v>6.2</v>
      </c>
      <c r="F620" s="7">
        <v>0.11179793234837827</v>
      </c>
      <c r="G620" s="7">
        <v>16801824000</v>
      </c>
      <c r="H620" s="7">
        <v>0</v>
      </c>
      <c r="I620" s="3">
        <f t="shared" si="9"/>
        <v>19446.555555555555</v>
      </c>
      <c r="L620" s="1">
        <v>59149</v>
      </c>
      <c r="M620" s="3">
        <v>3.99235E-6</v>
      </c>
      <c r="N620" s="1" t="s">
        <v>652</v>
      </c>
      <c r="O620" s="1">
        <v>90</v>
      </c>
      <c r="P620" s="1">
        <v>59</v>
      </c>
      <c r="Q620" s="3">
        <v>135.6</v>
      </c>
      <c r="R620" s="3">
        <v>5.1117048713860275E-3</v>
      </c>
      <c r="S620" s="3">
        <v>49824528000</v>
      </c>
      <c r="T620" s="3">
        <v>0</v>
      </c>
    </row>
    <row r="621" spans="2:20" x14ac:dyDescent="0.2">
      <c r="B621">
        <v>61133</v>
      </c>
      <c r="C621" s="6">
        <v>7.9571999999999998E-7</v>
      </c>
      <c r="D621" s="1" t="s">
        <v>674</v>
      </c>
      <c r="E621" s="3">
        <v>13.5</v>
      </c>
      <c r="F621" s="7">
        <v>5.1344235597032988E-2</v>
      </c>
      <c r="G621" s="7">
        <v>9930585600</v>
      </c>
      <c r="H621" s="7">
        <v>0</v>
      </c>
      <c r="I621" s="3">
        <f t="shared" si="9"/>
        <v>11493.733333333334</v>
      </c>
      <c r="L621" s="1">
        <v>59150</v>
      </c>
      <c r="M621" s="3">
        <v>3.9568199999999997E-6</v>
      </c>
      <c r="N621" s="1" t="s">
        <v>653</v>
      </c>
      <c r="O621" s="1">
        <v>91</v>
      </c>
      <c r="P621" s="1">
        <v>59</v>
      </c>
      <c r="Q621" s="3">
        <v>6.19</v>
      </c>
      <c r="R621" s="3">
        <v>0.11197854290144511</v>
      </c>
      <c r="S621" s="3">
        <v>49381113599.999992</v>
      </c>
      <c r="T621" s="3">
        <v>0</v>
      </c>
    </row>
    <row r="622" spans="2:20" x14ac:dyDescent="0.2">
      <c r="B622">
        <v>61134</v>
      </c>
      <c r="C622" s="6">
        <v>3.2261600000000001E-7</v>
      </c>
      <c r="D622" s="1" t="s">
        <v>675</v>
      </c>
      <c r="E622" s="3">
        <v>5</v>
      </c>
      <c r="F622" s="7">
        <v>0.13862943611198905</v>
      </c>
      <c r="G622" s="7">
        <v>4026247680</v>
      </c>
      <c r="H622" s="7">
        <v>0</v>
      </c>
      <c r="I622" s="3">
        <f t="shared" si="9"/>
        <v>4660.0088888888886</v>
      </c>
      <c r="L622" s="1">
        <v>59151</v>
      </c>
      <c r="M622" s="3">
        <v>5.3140799999999999E-6</v>
      </c>
      <c r="N622" s="1" t="s">
        <v>654</v>
      </c>
      <c r="O622" s="1">
        <v>92</v>
      </c>
      <c r="P622" s="1">
        <v>59</v>
      </c>
      <c r="Q622" s="3">
        <v>18.899999999999999</v>
      </c>
      <c r="R622" s="3">
        <v>3.6674453997880704E-2</v>
      </c>
      <c r="S622" s="3">
        <v>66319718400</v>
      </c>
      <c r="T622" s="3">
        <v>0</v>
      </c>
    </row>
    <row r="623" spans="2:20" x14ac:dyDescent="0.2">
      <c r="B623">
        <v>61135</v>
      </c>
      <c r="C623" s="6">
        <v>1.02815E-7</v>
      </c>
      <c r="D623" s="1" t="s">
        <v>676</v>
      </c>
      <c r="E623" s="3">
        <v>49</v>
      </c>
      <c r="F623" s="7">
        <v>1.4145860827753985E-2</v>
      </c>
      <c r="G623" s="7">
        <v>1283131200</v>
      </c>
      <c r="H623" s="7">
        <v>0</v>
      </c>
      <c r="I623" s="3">
        <f t="shared" si="9"/>
        <v>1485.1055555555556</v>
      </c>
      <c r="L623" s="1">
        <v>59152</v>
      </c>
      <c r="M623" s="3">
        <v>3.8441000000000002E-6</v>
      </c>
      <c r="N623" s="1" t="s">
        <v>655</v>
      </c>
      <c r="O623" s="1">
        <v>93</v>
      </c>
      <c r="P623" s="1">
        <v>59</v>
      </c>
      <c r="Q623" s="3">
        <v>3.57</v>
      </c>
      <c r="R623" s="3">
        <v>0.19415887410642726</v>
      </c>
      <c r="S623" s="3">
        <v>47974368000</v>
      </c>
      <c r="T623" s="3">
        <v>0</v>
      </c>
    </row>
    <row r="624" spans="2:20" x14ac:dyDescent="0.2">
      <c r="B624">
        <v>61136</v>
      </c>
      <c r="C624" s="6">
        <v>2.42904E-8</v>
      </c>
      <c r="D624" s="1" t="s">
        <v>677</v>
      </c>
      <c r="E624" s="3">
        <v>107</v>
      </c>
      <c r="F624" s="7">
        <v>6.4780110332705171E-3</v>
      </c>
      <c r="G624" s="7">
        <v>303144192</v>
      </c>
      <c r="H624" s="7">
        <v>0</v>
      </c>
      <c r="I624" s="3">
        <f t="shared" si="9"/>
        <v>350.86133333333333</v>
      </c>
      <c r="L624" s="1">
        <v>60129</v>
      </c>
      <c r="M624" s="3">
        <v>2.47615E-6</v>
      </c>
      <c r="N624" s="1" t="s">
        <v>656</v>
      </c>
      <c r="O624" s="1">
        <v>69</v>
      </c>
      <c r="P624" s="1">
        <v>60</v>
      </c>
      <c r="Q624" s="3">
        <v>6.7</v>
      </c>
      <c r="R624" s="3">
        <v>0.10345480306864854</v>
      </c>
      <c r="S624" s="3">
        <v>30902352000</v>
      </c>
      <c r="T624" s="3">
        <v>0</v>
      </c>
    </row>
    <row r="625" spans="2:20" x14ac:dyDescent="0.2">
      <c r="B625">
        <v>61137</v>
      </c>
      <c r="C625" s="6">
        <v>5.0255999999999997E-9</v>
      </c>
      <c r="D625" s="1" t="s">
        <v>678</v>
      </c>
      <c r="E625" s="3">
        <v>144</v>
      </c>
      <c r="F625" s="7">
        <v>4.8135220872218424E-3</v>
      </c>
      <c r="G625" s="7">
        <v>62719487.999999993</v>
      </c>
      <c r="H625" s="7">
        <v>0</v>
      </c>
      <c r="I625" s="3">
        <f t="shared" si="9"/>
        <v>72.591999999999985</v>
      </c>
      <c r="L625" s="1">
        <v>60130</v>
      </c>
      <c r="M625" s="3">
        <v>1.0235499999999999E-6</v>
      </c>
      <c r="N625" s="1" t="s">
        <v>657</v>
      </c>
      <c r="O625" s="1">
        <v>70</v>
      </c>
      <c r="P625" s="1">
        <v>60</v>
      </c>
      <c r="Q625" s="3">
        <v>21</v>
      </c>
      <c r="R625" s="3">
        <v>3.3007008598092635E-2</v>
      </c>
      <c r="S625" s="3">
        <v>12773904000</v>
      </c>
      <c r="T625" s="3">
        <v>0</v>
      </c>
    </row>
    <row r="626" spans="2:20" x14ac:dyDescent="0.2">
      <c r="B626">
        <v>61138</v>
      </c>
      <c r="C626" s="6">
        <v>6.2819999999999996E-10</v>
      </c>
      <c r="D626" s="1" t="s">
        <v>679</v>
      </c>
      <c r="E626" s="3">
        <v>10</v>
      </c>
      <c r="F626" s="7">
        <v>6.9314718055994526E-2</v>
      </c>
      <c r="G626" s="7">
        <v>7839935.9999999991</v>
      </c>
      <c r="H626" s="7">
        <v>0</v>
      </c>
      <c r="I626" s="3">
        <f t="shared" si="9"/>
        <v>9.0739999999999981</v>
      </c>
      <c r="L626" s="1">
        <v>60131</v>
      </c>
      <c r="M626" s="3">
        <v>5.8799499999999999E-7</v>
      </c>
      <c r="N626" s="1" t="s">
        <v>658</v>
      </c>
      <c r="O626" s="1">
        <v>71</v>
      </c>
      <c r="P626" s="1">
        <v>60</v>
      </c>
      <c r="Q626" s="3">
        <v>25.4</v>
      </c>
      <c r="R626" s="3">
        <v>2.7289259077163203E-2</v>
      </c>
      <c r="S626" s="3">
        <v>7338177600</v>
      </c>
      <c r="T626" s="3">
        <v>0</v>
      </c>
    </row>
    <row r="627" spans="2:20" x14ac:dyDescent="0.2">
      <c r="B627">
        <v>61139</v>
      </c>
      <c r="C627" s="6">
        <v>1.3959999999999999E-10</v>
      </c>
      <c r="D627" s="1" t="s">
        <v>680</v>
      </c>
      <c r="E627" s="3">
        <v>249</v>
      </c>
      <c r="F627" s="7">
        <v>2.7837236167066078E-3</v>
      </c>
      <c r="G627" s="7">
        <v>1742207.9999999998</v>
      </c>
      <c r="H627" s="7">
        <v>0</v>
      </c>
      <c r="I627" s="3">
        <f t="shared" si="9"/>
        <v>2.0164444444444443</v>
      </c>
      <c r="L627" s="1">
        <v>60132</v>
      </c>
      <c r="M627" s="3">
        <v>1.61517E-7</v>
      </c>
      <c r="N627" s="1" t="s">
        <v>659</v>
      </c>
      <c r="O627" s="1">
        <v>72</v>
      </c>
      <c r="P627" s="1">
        <v>60</v>
      </c>
      <c r="Q627" s="3">
        <v>94</v>
      </c>
      <c r="R627" s="3">
        <v>7.3739061761696305E-3</v>
      </c>
      <c r="S627" s="3">
        <v>2015732160</v>
      </c>
      <c r="T627" s="3">
        <v>0</v>
      </c>
    </row>
    <row r="628" spans="2:20" x14ac:dyDescent="0.2">
      <c r="B628">
        <v>61147</v>
      </c>
      <c r="C628" s="6">
        <v>2.7919999999999998E-10</v>
      </c>
      <c r="D628" s="1" t="s">
        <v>681</v>
      </c>
      <c r="E628" s="3">
        <v>82788207.840000004</v>
      </c>
      <c r="F628" s="7">
        <v>8.3725351550011917E-9</v>
      </c>
      <c r="G628" s="7">
        <v>25114.865313444934</v>
      </c>
      <c r="H628" s="7">
        <v>19286.852492016151</v>
      </c>
      <c r="I628" s="3">
        <f t="shared" si="9"/>
        <v>2.9068131149820525E-2</v>
      </c>
      <c r="L628" s="1">
        <v>60133</v>
      </c>
      <c r="M628" s="3">
        <v>7.0707399999999994E-8</v>
      </c>
      <c r="N628" s="1" t="s">
        <v>660</v>
      </c>
      <c r="O628" s="1">
        <v>73</v>
      </c>
      <c r="P628" s="1">
        <v>60</v>
      </c>
      <c r="Q628" s="3">
        <v>70</v>
      </c>
      <c r="R628" s="3">
        <v>9.9021025794277899E-3</v>
      </c>
      <c r="S628" s="3">
        <v>882428351.99999988</v>
      </c>
      <c r="T628" s="3">
        <v>0</v>
      </c>
    </row>
    <row r="629" spans="2:20" x14ac:dyDescent="0.2">
      <c r="B629">
        <v>61148</v>
      </c>
      <c r="C629" s="6">
        <v>4.8860000000000005E-10</v>
      </c>
      <c r="D629" s="1" t="s">
        <v>682</v>
      </c>
      <c r="E629" s="3">
        <v>463795.20000000001</v>
      </c>
      <c r="F629" s="7">
        <v>1.4945113286207905E-6</v>
      </c>
      <c r="G629" s="7">
        <v>4421311.5413833568</v>
      </c>
      <c r="H629" s="7">
        <v>1.5026481447316558E-14</v>
      </c>
      <c r="I629" s="3">
        <f t="shared" si="9"/>
        <v>5.1172587284529589</v>
      </c>
      <c r="L629" s="1">
        <v>60134</v>
      </c>
      <c r="M629" s="3">
        <v>1.42392E-8</v>
      </c>
      <c r="N629" s="1" t="s">
        <v>661</v>
      </c>
      <c r="O629" s="1">
        <v>74</v>
      </c>
      <c r="P629" s="1">
        <v>60</v>
      </c>
      <c r="Q629" s="3">
        <v>510</v>
      </c>
      <c r="R629" s="3">
        <v>1.3591121187449908E-3</v>
      </c>
      <c r="S629" s="3">
        <v>177705216</v>
      </c>
      <c r="T629" s="3">
        <v>0</v>
      </c>
    </row>
    <row r="630" spans="2:20" x14ac:dyDescent="0.2">
      <c r="B630">
        <v>61149</v>
      </c>
      <c r="C630" s="6">
        <v>2.0242000000000001E-9</v>
      </c>
      <c r="D630" s="1" t="s">
        <v>683</v>
      </c>
      <c r="E630" s="3">
        <v>191088</v>
      </c>
      <c r="F630" s="7">
        <v>3.6273715804233928E-6</v>
      </c>
      <c r="G630" s="7">
        <v>24162079.029927935</v>
      </c>
      <c r="H630" s="7">
        <v>5.0463429791161798E-43</v>
      </c>
      <c r="I630" s="3">
        <f t="shared" si="9"/>
        <v>27.965369247601775</v>
      </c>
      <c r="L630" s="1">
        <v>60135</v>
      </c>
      <c r="M630" s="3">
        <v>3.8389999999999997E-9</v>
      </c>
      <c r="N630" s="1" t="s">
        <v>662</v>
      </c>
      <c r="O630" s="1">
        <v>75</v>
      </c>
      <c r="P630" s="1">
        <v>60</v>
      </c>
      <c r="Q630" s="3">
        <v>744</v>
      </c>
      <c r="R630" s="3">
        <v>9.3164943623648563E-4</v>
      </c>
      <c r="S630" s="3">
        <v>47910719.999999993</v>
      </c>
      <c r="T630" s="3">
        <v>0</v>
      </c>
    </row>
    <row r="631" spans="2:20" x14ac:dyDescent="0.2">
      <c r="B631">
        <v>61150</v>
      </c>
      <c r="C631" s="6">
        <v>7.2591999999999999E-9</v>
      </c>
      <c r="D631" s="1" t="s">
        <v>684</v>
      </c>
      <c r="E631" s="3">
        <v>9712.7999999999993</v>
      </c>
      <c r="F631" s="7">
        <v>7.1364300774230435E-5</v>
      </c>
      <c r="G631" s="7">
        <v>90594816</v>
      </c>
      <c r="H631" s="7">
        <v>0</v>
      </c>
      <c r="I631" s="3">
        <f t="shared" si="9"/>
        <v>104.8551111111111</v>
      </c>
      <c r="L631" s="1">
        <v>60136</v>
      </c>
      <c r="M631" s="3">
        <v>4.1879999999999999E-10</v>
      </c>
      <c r="N631" s="1" t="s">
        <v>685</v>
      </c>
      <c r="O631" s="1">
        <v>76</v>
      </c>
      <c r="P631" s="1">
        <v>60</v>
      </c>
      <c r="Q631" s="3">
        <v>3039</v>
      </c>
      <c r="R631" s="3">
        <v>2.2808396859491455E-4</v>
      </c>
      <c r="S631" s="3">
        <v>5226624</v>
      </c>
      <c r="T631" s="3">
        <v>0</v>
      </c>
    </row>
    <row r="632" spans="2:20" x14ac:dyDescent="0.2">
      <c r="B632">
        <v>61151</v>
      </c>
      <c r="C632" s="6">
        <v>2.8967000000000001E-8</v>
      </c>
      <c r="D632" s="1" t="s">
        <v>686</v>
      </c>
      <c r="E632" s="3">
        <v>102240</v>
      </c>
      <c r="F632" s="7">
        <v>6.7796085735518902E-6</v>
      </c>
      <c r="G632" s="7">
        <v>360474916.57971543</v>
      </c>
      <c r="H632" s="7">
        <v>5.0577911769561799E-85</v>
      </c>
      <c r="I632" s="3">
        <f t="shared" si="9"/>
        <v>417.21633863392992</v>
      </c>
      <c r="L632" s="1">
        <v>60137</v>
      </c>
      <c r="M632" s="3">
        <v>1.3959999999999999E-10</v>
      </c>
      <c r="N632" s="1" t="s">
        <v>687</v>
      </c>
      <c r="O632" s="1">
        <v>77</v>
      </c>
      <c r="P632" s="1">
        <v>60</v>
      </c>
      <c r="Q632" s="3">
        <v>2310</v>
      </c>
      <c r="R632" s="3">
        <v>3.0006371452811483E-4</v>
      </c>
      <c r="S632" s="3">
        <v>1742207.9999999998</v>
      </c>
      <c r="T632" s="3">
        <v>0</v>
      </c>
    </row>
    <row r="633" spans="2:20" x14ac:dyDescent="0.2">
      <c r="B633">
        <v>61152</v>
      </c>
      <c r="C633" s="6">
        <v>6.9660399999999998E-8</v>
      </c>
      <c r="D633" s="1" t="s">
        <v>688</v>
      </c>
      <c r="E633" s="3">
        <v>247.2</v>
      </c>
      <c r="F633" s="7">
        <v>2.8039934488670927E-3</v>
      </c>
      <c r="G633" s="7">
        <v>869361792</v>
      </c>
      <c r="H633" s="7">
        <v>0</v>
      </c>
      <c r="I633" s="3">
        <f t="shared" si="9"/>
        <v>1006.2057777777778</v>
      </c>
      <c r="L633" s="1">
        <v>60144</v>
      </c>
      <c r="M633" s="3">
        <v>6.9799999999999994E-11</v>
      </c>
      <c r="N633" s="1" t="s">
        <v>664</v>
      </c>
      <c r="O633" s="1">
        <v>84</v>
      </c>
      <c r="P633" s="1">
        <v>60</v>
      </c>
      <c r="Q633" s="3">
        <v>7.2266904000000002E+22</v>
      </c>
      <c r="R633" s="3">
        <v>9.5914885264760378E-24</v>
      </c>
      <c r="S633" s="3">
        <v>0</v>
      </c>
      <c r="T633" s="3">
        <v>0</v>
      </c>
    </row>
    <row r="634" spans="2:20" x14ac:dyDescent="0.2">
      <c r="B634">
        <v>61153</v>
      </c>
      <c r="C634" s="6">
        <v>1.68986E-7</v>
      </c>
      <c r="D634" s="1" t="s">
        <v>689</v>
      </c>
      <c r="E634" s="3">
        <v>315</v>
      </c>
      <c r="F634" s="7">
        <v>2.2004672398728423E-3</v>
      </c>
      <c r="G634" s="7">
        <v>2108945280</v>
      </c>
      <c r="H634" s="7">
        <v>0</v>
      </c>
      <c r="I634" s="3">
        <f t="shared" si="9"/>
        <v>2440.9088888888887</v>
      </c>
      <c r="L634" s="1">
        <v>60147</v>
      </c>
      <c r="M634" s="3">
        <v>3.1689199999999998E-8</v>
      </c>
      <c r="N634" s="1" t="s">
        <v>666</v>
      </c>
      <c r="O634" s="1">
        <v>87</v>
      </c>
      <c r="P634" s="1">
        <v>60</v>
      </c>
      <c r="Q634" s="3">
        <v>948672</v>
      </c>
      <c r="R634" s="3">
        <v>7.306499828812754E-7</v>
      </c>
      <c r="S634" s="3">
        <v>185120930.36495101</v>
      </c>
      <c r="T634" s="3">
        <v>1.8219587761553288E-2</v>
      </c>
    </row>
    <row r="635" spans="2:20" x14ac:dyDescent="0.2">
      <c r="B635">
        <v>61154</v>
      </c>
      <c r="C635" s="6">
        <v>2.7431399999999998E-7</v>
      </c>
      <c r="D635" s="1" t="s">
        <v>690</v>
      </c>
      <c r="E635" s="3">
        <v>160.80000000000001</v>
      </c>
      <c r="F635" s="7">
        <v>4.3106167945270229E-3</v>
      </c>
      <c r="G635" s="7">
        <v>3423438719.9999995</v>
      </c>
      <c r="H635" s="7">
        <v>0</v>
      </c>
      <c r="I635" s="3">
        <f t="shared" si="9"/>
        <v>3962.3133333333326</v>
      </c>
      <c r="L635" s="1">
        <v>60149</v>
      </c>
      <c r="M635" s="3">
        <v>2.9378799999999998E-7</v>
      </c>
      <c r="N635" s="1" t="s">
        <v>667</v>
      </c>
      <c r="O635" s="1">
        <v>89</v>
      </c>
      <c r="P635" s="1">
        <v>60</v>
      </c>
      <c r="Q635" s="3">
        <v>6220.8</v>
      </c>
      <c r="R635" s="3">
        <v>1.114241223893945E-4</v>
      </c>
      <c r="S635" s="3">
        <v>3666474240</v>
      </c>
      <c r="T635" s="3">
        <v>0</v>
      </c>
    </row>
    <row r="636" spans="2:20" x14ac:dyDescent="0.2">
      <c r="B636">
        <v>61155</v>
      </c>
      <c r="C636" s="6">
        <v>4.0218799999999997E-7</v>
      </c>
      <c r="D636" s="1" t="s">
        <v>691</v>
      </c>
      <c r="E636" s="3">
        <v>41.5</v>
      </c>
      <c r="F636" s="7">
        <v>1.6702341700239647E-2</v>
      </c>
      <c r="G636" s="7">
        <v>5019306240</v>
      </c>
      <c r="H636" s="7">
        <v>0</v>
      </c>
      <c r="I636" s="3">
        <f t="shared" si="9"/>
        <v>5809.3822222222225</v>
      </c>
      <c r="L636" s="1">
        <v>60150</v>
      </c>
      <c r="M636" s="3">
        <v>9.2966599999999998E-7</v>
      </c>
      <c r="N636" s="1" t="s">
        <v>668</v>
      </c>
      <c r="O636" s="1">
        <v>90</v>
      </c>
      <c r="P636" s="1">
        <v>60</v>
      </c>
      <c r="Q636" s="3">
        <v>2.8717416000000001E+26</v>
      </c>
      <c r="R636" s="3">
        <v>2.4136822775417722E-27</v>
      </c>
      <c r="S636" s="3">
        <v>0</v>
      </c>
      <c r="T636" s="3">
        <v>0</v>
      </c>
    </row>
    <row r="637" spans="2:20" x14ac:dyDescent="0.2">
      <c r="B637">
        <v>62133</v>
      </c>
      <c r="C637" s="6">
        <v>3.6854399999999999E-7</v>
      </c>
      <c r="D637" s="1" t="s">
        <v>692</v>
      </c>
      <c r="E637" s="3">
        <v>2.89</v>
      </c>
      <c r="F637" s="7">
        <v>0.23984331507264542</v>
      </c>
      <c r="G637" s="7">
        <v>4599429120</v>
      </c>
      <c r="H637" s="7">
        <v>0</v>
      </c>
      <c r="I637" s="3">
        <f t="shared" si="9"/>
        <v>5323.413333333333</v>
      </c>
      <c r="L637" s="1">
        <v>60151</v>
      </c>
      <c r="M637" s="3">
        <v>1.2463499999999999E-6</v>
      </c>
      <c r="N637" s="1" t="s">
        <v>669</v>
      </c>
      <c r="O637" s="1">
        <v>91</v>
      </c>
      <c r="P637" s="1">
        <v>60</v>
      </c>
      <c r="Q637" s="3">
        <v>746.4</v>
      </c>
      <c r="R637" s="3">
        <v>9.2865377888524286E-4</v>
      </c>
      <c r="S637" s="3">
        <v>15554448000</v>
      </c>
      <c r="T637" s="3">
        <v>0</v>
      </c>
    </row>
    <row r="638" spans="2:20" x14ac:dyDescent="0.2">
      <c r="B638">
        <v>62134</v>
      </c>
      <c r="C638" s="6">
        <v>3.3566799999999999E-7</v>
      </c>
      <c r="D638" s="1" t="s">
        <v>693</v>
      </c>
      <c r="E638" s="3">
        <v>9.5</v>
      </c>
      <c r="F638" s="7">
        <v>7.2962861111573185E-2</v>
      </c>
      <c r="G638" s="7">
        <v>4189136640</v>
      </c>
      <c r="H638" s="7">
        <v>0</v>
      </c>
      <c r="I638" s="3">
        <f t="shared" si="9"/>
        <v>4848.5377777777776</v>
      </c>
      <c r="L638" s="1">
        <v>60152</v>
      </c>
      <c r="M638" s="3">
        <v>2.3340399999999998E-6</v>
      </c>
      <c r="N638" s="1" t="s">
        <v>670</v>
      </c>
      <c r="O638" s="1">
        <v>92</v>
      </c>
      <c r="P638" s="1">
        <v>60</v>
      </c>
      <c r="Q638" s="3">
        <v>684</v>
      </c>
      <c r="R638" s="3">
        <v>1.0133730709940721E-3</v>
      </c>
      <c r="S638" s="3">
        <v>29128819200</v>
      </c>
      <c r="T638" s="3">
        <v>0</v>
      </c>
    </row>
    <row r="639" spans="2:20" x14ac:dyDescent="0.2">
      <c r="B639">
        <v>62135</v>
      </c>
      <c r="C639" s="6">
        <v>1.76664E-7</v>
      </c>
      <c r="D639" s="1" t="s">
        <v>694</v>
      </c>
      <c r="E639" s="3">
        <v>10.3</v>
      </c>
      <c r="F639" s="7">
        <v>6.7295842772810213E-2</v>
      </c>
      <c r="G639" s="7">
        <v>2204766720</v>
      </c>
      <c r="H639" s="7">
        <v>0</v>
      </c>
      <c r="I639" s="3">
        <f t="shared" si="9"/>
        <v>2551.8133333333335</v>
      </c>
      <c r="L639" s="1">
        <v>60153</v>
      </c>
      <c r="M639" s="3">
        <v>1.9652900000000002E-6</v>
      </c>
      <c r="N639" s="1" t="s">
        <v>671</v>
      </c>
      <c r="O639" s="1">
        <v>93</v>
      </c>
      <c r="P639" s="1">
        <v>60</v>
      </c>
      <c r="Q639" s="3">
        <v>31.6</v>
      </c>
      <c r="R639" s="3">
        <v>2.1935037359491937E-2</v>
      </c>
      <c r="S639" s="3">
        <v>24526819200.000004</v>
      </c>
      <c r="T639" s="3">
        <v>0</v>
      </c>
    </row>
    <row r="640" spans="2:20" x14ac:dyDescent="0.2">
      <c r="B640">
        <v>62136</v>
      </c>
      <c r="C640" s="6">
        <v>9.3531999999999993E-8</v>
      </c>
      <c r="D640" s="1" t="s">
        <v>695</v>
      </c>
      <c r="E640" s="3">
        <v>47</v>
      </c>
      <c r="F640" s="7">
        <v>1.4747812352339261E-2</v>
      </c>
      <c r="G640" s="7">
        <v>1167279360</v>
      </c>
      <c r="H640" s="7">
        <v>0</v>
      </c>
      <c r="I640" s="3">
        <f t="shared" si="9"/>
        <v>1351.0177777777778</v>
      </c>
      <c r="L640" s="1">
        <v>60154</v>
      </c>
      <c r="M640" s="3">
        <v>1.9971899999999998E-6</v>
      </c>
      <c r="N640" s="1" t="s">
        <v>672</v>
      </c>
      <c r="O640" s="1">
        <v>94</v>
      </c>
      <c r="P640" s="1">
        <v>60</v>
      </c>
      <c r="Q640" s="3">
        <v>25.9</v>
      </c>
      <c r="R640" s="3">
        <v>2.6762439403858893E-2</v>
      </c>
      <c r="S640" s="3">
        <v>24924931199.999996</v>
      </c>
      <c r="T640" s="3">
        <v>0</v>
      </c>
    </row>
    <row r="641" spans="2:20" x14ac:dyDescent="0.2">
      <c r="B641">
        <v>62137</v>
      </c>
      <c r="C641" s="6">
        <v>2.5895800000000002E-8</v>
      </c>
      <c r="D641" s="1" t="s">
        <v>696</v>
      </c>
      <c r="E641" s="3">
        <v>45</v>
      </c>
      <c r="F641" s="7">
        <v>1.5403270679109895E-2</v>
      </c>
      <c r="G641" s="7">
        <v>323179584</v>
      </c>
      <c r="H641" s="7">
        <v>0</v>
      </c>
      <c r="I641" s="3">
        <f t="shared" si="9"/>
        <v>374.05044444444439</v>
      </c>
      <c r="L641" s="1">
        <v>61132</v>
      </c>
      <c r="M641" s="3">
        <v>1.1575600000000001E-6</v>
      </c>
      <c r="N641" s="1" t="s">
        <v>673</v>
      </c>
      <c r="O641" s="1">
        <v>71</v>
      </c>
      <c r="P641" s="1">
        <v>61</v>
      </c>
      <c r="Q641" s="3">
        <v>6.2</v>
      </c>
      <c r="R641" s="3">
        <v>0.11179793234837827</v>
      </c>
      <c r="S641" s="3">
        <v>14446348800.000002</v>
      </c>
      <c r="T641" s="3">
        <v>0</v>
      </c>
    </row>
    <row r="642" spans="2:20" x14ac:dyDescent="0.2">
      <c r="B642">
        <v>62138</v>
      </c>
      <c r="C642" s="6">
        <v>8.3061999999999993E-9</v>
      </c>
      <c r="D642" s="1" t="s">
        <v>697</v>
      </c>
      <c r="E642" s="3">
        <v>186</v>
      </c>
      <c r="F642" s="7">
        <v>3.7265977449459425E-3</v>
      </c>
      <c r="G642" s="7">
        <v>103661375.99999999</v>
      </c>
      <c r="H642" s="7">
        <v>0</v>
      </c>
      <c r="I642" s="3">
        <f t="shared" si="9"/>
        <v>119.97844444444442</v>
      </c>
      <c r="L642" s="1">
        <v>61133</v>
      </c>
      <c r="M642" s="3">
        <v>7.98582E-7</v>
      </c>
      <c r="N642" s="1" t="s">
        <v>674</v>
      </c>
      <c r="O642" s="1">
        <v>72</v>
      </c>
      <c r="P642" s="1">
        <v>61</v>
      </c>
      <c r="Q642" s="3">
        <v>13.5</v>
      </c>
      <c r="R642" s="3">
        <v>5.1344235597032988E-2</v>
      </c>
      <c r="S642" s="3">
        <v>9966303360</v>
      </c>
      <c r="T642" s="3">
        <v>0</v>
      </c>
    </row>
    <row r="643" spans="2:20" x14ac:dyDescent="0.2">
      <c r="B643">
        <v>62139</v>
      </c>
      <c r="C643" s="6">
        <v>1.7450000000000001E-9</v>
      </c>
      <c r="D643" s="1" t="s">
        <v>698</v>
      </c>
      <c r="E643" s="3">
        <v>154.19999999999999</v>
      </c>
      <c r="F643" s="7">
        <v>4.4951179024639775E-3</v>
      </c>
      <c r="G643" s="7">
        <v>21777600</v>
      </c>
      <c r="H643" s="7">
        <v>0</v>
      </c>
      <c r="I643" s="3">
        <f t="shared" si="9"/>
        <v>25.205555555555556</v>
      </c>
      <c r="L643" s="1">
        <v>61134</v>
      </c>
      <c r="M643" s="3">
        <v>2.7054500000000002E-7</v>
      </c>
      <c r="N643" s="1" t="s">
        <v>675</v>
      </c>
      <c r="O643" s="1">
        <v>73</v>
      </c>
      <c r="P643" s="1">
        <v>61</v>
      </c>
      <c r="Q643" s="3">
        <v>5</v>
      </c>
      <c r="R643" s="3">
        <v>0.13862943611198905</v>
      </c>
      <c r="S643" s="3">
        <v>3376401600</v>
      </c>
      <c r="T643" s="3">
        <v>0</v>
      </c>
    </row>
    <row r="644" spans="2:20" x14ac:dyDescent="0.2">
      <c r="B644">
        <v>62140</v>
      </c>
      <c r="C644" s="6">
        <v>1.3959999999999999E-10</v>
      </c>
      <c r="D644" s="1" t="s">
        <v>699</v>
      </c>
      <c r="E644" s="3">
        <v>889.2</v>
      </c>
      <c r="F644" s="7">
        <v>7.7951774691851692E-4</v>
      </c>
      <c r="G644" s="7">
        <v>1742207.9999999998</v>
      </c>
      <c r="H644" s="7">
        <v>0</v>
      </c>
      <c r="I644" s="3">
        <f t="shared" ref="I644:I707" si="10">G644/10/24/3600</f>
        <v>2.0164444444444443</v>
      </c>
      <c r="L644" s="1">
        <v>61135</v>
      </c>
      <c r="M644" s="3">
        <v>1.5670099999999999E-7</v>
      </c>
      <c r="N644" s="1" t="s">
        <v>676</v>
      </c>
      <c r="O644" s="1">
        <v>74</v>
      </c>
      <c r="P644" s="1">
        <v>61</v>
      </c>
      <c r="Q644" s="3">
        <v>49</v>
      </c>
      <c r="R644" s="3">
        <v>1.4145860827753985E-2</v>
      </c>
      <c r="S644" s="3">
        <v>1955628480</v>
      </c>
      <c r="T644" s="3">
        <v>0</v>
      </c>
    </row>
    <row r="645" spans="2:20" x14ac:dyDescent="0.2">
      <c r="B645">
        <v>62151</v>
      </c>
      <c r="C645" s="6">
        <v>5.5839999999999995E-10</v>
      </c>
      <c r="D645" s="1" t="s">
        <v>700</v>
      </c>
      <c r="E645" s="3">
        <v>2840184000</v>
      </c>
      <c r="F645" s="7">
        <v>2.4405009695144584E-10</v>
      </c>
      <c r="G645" s="7">
        <v>1469.2880122532852</v>
      </c>
      <c r="H645" s="7">
        <v>1458.0232415912178</v>
      </c>
      <c r="I645" s="3">
        <f t="shared" si="10"/>
        <v>1.700564828996858E-3</v>
      </c>
      <c r="L645" s="1">
        <v>61136</v>
      </c>
      <c r="M645" s="3">
        <v>3.7203400000000001E-8</v>
      </c>
      <c r="N645" s="1" t="s">
        <v>677</v>
      </c>
      <c r="O645" s="1">
        <v>75</v>
      </c>
      <c r="P645" s="1">
        <v>61</v>
      </c>
      <c r="Q645" s="3">
        <v>107</v>
      </c>
      <c r="R645" s="3">
        <v>6.4780110332705171E-3</v>
      </c>
      <c r="S645" s="3">
        <v>464298432</v>
      </c>
      <c r="T645" s="3">
        <v>0</v>
      </c>
    </row>
    <row r="646" spans="2:20" x14ac:dyDescent="0.2">
      <c r="B646">
        <v>62153</v>
      </c>
      <c r="C646" s="6">
        <v>5.3048000000000001E-9</v>
      </c>
      <c r="D646" s="1" t="s">
        <v>701</v>
      </c>
      <c r="E646" s="3">
        <v>166622.39999999999</v>
      </c>
      <c r="F646" s="7">
        <v>4.1599879761661417E-6</v>
      </c>
      <c r="G646" s="7">
        <v>64384498.457734495</v>
      </c>
      <c r="H646" s="7">
        <v>6.8227136475339669E-50</v>
      </c>
      <c r="I646" s="3">
        <f t="shared" si="10"/>
        <v>74.519095437192703</v>
      </c>
      <c r="L646" s="1">
        <v>61137</v>
      </c>
      <c r="M646" s="3">
        <v>1.4588200000000001E-8</v>
      </c>
      <c r="N646" s="1" t="s">
        <v>678</v>
      </c>
      <c r="O646" s="1">
        <v>76</v>
      </c>
      <c r="P646" s="1">
        <v>61</v>
      </c>
      <c r="Q646" s="3">
        <v>144</v>
      </c>
      <c r="R646" s="3">
        <v>4.8135220872218424E-3</v>
      </c>
      <c r="S646" s="3">
        <v>182060736</v>
      </c>
      <c r="T646" s="3">
        <v>0</v>
      </c>
    </row>
    <row r="647" spans="2:20" x14ac:dyDescent="0.2">
      <c r="B647">
        <v>62155</v>
      </c>
      <c r="C647" s="6">
        <v>4.4113599999999999E-8</v>
      </c>
      <c r="D647" s="1" t="s">
        <v>702</v>
      </c>
      <c r="E647" s="3">
        <v>1338</v>
      </c>
      <c r="F647" s="7">
        <v>5.1804722014943589E-4</v>
      </c>
      <c r="G647" s="7">
        <v>550537728</v>
      </c>
      <c r="H647" s="7">
        <v>0</v>
      </c>
      <c r="I647" s="3">
        <f t="shared" si="10"/>
        <v>637.19644444444441</v>
      </c>
      <c r="L647" s="1">
        <v>61138</v>
      </c>
      <c r="M647" s="3">
        <v>2.6524000000000001E-9</v>
      </c>
      <c r="N647" s="1" t="s">
        <v>679</v>
      </c>
      <c r="O647" s="1">
        <v>77</v>
      </c>
      <c r="P647" s="1">
        <v>61</v>
      </c>
      <c r="Q647" s="3">
        <v>10</v>
      </c>
      <c r="R647" s="3">
        <v>6.9314718055994526E-2</v>
      </c>
      <c r="S647" s="3">
        <v>33101952</v>
      </c>
      <c r="T647" s="3">
        <v>0</v>
      </c>
    </row>
    <row r="648" spans="2:20" x14ac:dyDescent="0.2">
      <c r="B648">
        <v>62156</v>
      </c>
      <c r="C648" s="6">
        <v>9.0460799999999994E-8</v>
      </c>
      <c r="D648" s="1" t="s">
        <v>703</v>
      </c>
      <c r="E648" s="3">
        <v>33840</v>
      </c>
      <c r="F648" s="7">
        <v>2.0483072711582307E-5</v>
      </c>
      <c r="G648" s="7">
        <v>1128950760.7296572</v>
      </c>
      <c r="H648" s="7">
        <v>3.2986680636205109E-272</v>
      </c>
      <c r="I648" s="3">
        <f t="shared" si="10"/>
        <v>1306.6559730667329</v>
      </c>
      <c r="L648" s="1">
        <v>61139</v>
      </c>
      <c r="M648" s="3">
        <v>4.1879999999999999E-10</v>
      </c>
      <c r="N648" s="1" t="s">
        <v>680</v>
      </c>
      <c r="O648" s="1">
        <v>78</v>
      </c>
      <c r="P648" s="1">
        <v>61</v>
      </c>
      <c r="Q648" s="3">
        <v>249</v>
      </c>
      <c r="R648" s="3">
        <v>2.7837236167066078E-3</v>
      </c>
      <c r="S648" s="3">
        <v>5226624</v>
      </c>
      <c r="T648" s="3">
        <v>0</v>
      </c>
    </row>
    <row r="649" spans="2:20" x14ac:dyDescent="0.2">
      <c r="B649">
        <v>62157</v>
      </c>
      <c r="C649" s="6">
        <v>1.3206200000000001E-7</v>
      </c>
      <c r="D649" s="1" t="s">
        <v>704</v>
      </c>
      <c r="E649" s="3">
        <v>481.79999999999899</v>
      </c>
      <c r="F649" s="7">
        <v>1.438661644997814E-3</v>
      </c>
      <c r="G649" s="7">
        <v>1648133760</v>
      </c>
      <c r="H649" s="7">
        <v>0</v>
      </c>
      <c r="I649" s="3">
        <f t="shared" si="10"/>
        <v>1907.5622222222223</v>
      </c>
      <c r="L649" s="1">
        <v>61147</v>
      </c>
      <c r="M649" s="3">
        <v>6.9799999999999994E-11</v>
      </c>
      <c r="N649" s="1" t="s">
        <v>681</v>
      </c>
      <c r="O649" s="1">
        <v>86</v>
      </c>
      <c r="P649" s="1">
        <v>61</v>
      </c>
      <c r="Q649" s="3">
        <v>82788207.840000004</v>
      </c>
      <c r="R649" s="3">
        <v>8.3725351550011917E-9</v>
      </c>
      <c r="S649" s="3">
        <v>6278.7163283612335</v>
      </c>
      <c r="T649" s="3">
        <v>4821.7131230040377</v>
      </c>
    </row>
    <row r="650" spans="2:20" x14ac:dyDescent="0.2">
      <c r="B650">
        <v>62158</v>
      </c>
      <c r="C650" s="6">
        <v>1.7142899999999999E-7</v>
      </c>
      <c r="D650" s="1" t="s">
        <v>705</v>
      </c>
      <c r="E650" s="3">
        <v>318</v>
      </c>
      <c r="F650" s="7">
        <v>2.1797081149683814E-3</v>
      </c>
      <c r="G650" s="7">
        <v>2139433920</v>
      </c>
      <c r="H650" s="7">
        <v>0</v>
      </c>
      <c r="I650" s="3">
        <f t="shared" si="10"/>
        <v>2476.1966666666667</v>
      </c>
      <c r="L650" s="1">
        <v>61148</v>
      </c>
      <c r="M650" s="3">
        <v>4.8860000000000005E-10</v>
      </c>
      <c r="N650" s="1" t="s">
        <v>682</v>
      </c>
      <c r="O650" s="1">
        <v>87</v>
      </c>
      <c r="P650" s="1">
        <v>61</v>
      </c>
      <c r="Q650" s="3">
        <v>463795.20000000001</v>
      </c>
      <c r="R650" s="3">
        <v>1.4945113286207905E-6</v>
      </c>
      <c r="S650" s="3">
        <v>4421311.5413833568</v>
      </c>
      <c r="T650" s="3">
        <v>1.5026481447316558E-14</v>
      </c>
    </row>
    <row r="651" spans="2:20" x14ac:dyDescent="0.2">
      <c r="B651">
        <v>63138</v>
      </c>
      <c r="C651" s="6">
        <v>1.62215E-7</v>
      </c>
      <c r="D651" s="1" t="s">
        <v>706</v>
      </c>
      <c r="E651" s="3">
        <v>12.1</v>
      </c>
      <c r="F651" s="7">
        <v>5.728489095536738E-2</v>
      </c>
      <c r="G651" s="7">
        <v>2024443200</v>
      </c>
      <c r="H651" s="7">
        <v>0</v>
      </c>
      <c r="I651" s="3">
        <f t="shared" si="10"/>
        <v>2343.1055555555554</v>
      </c>
      <c r="L651" s="1">
        <v>61149</v>
      </c>
      <c r="M651" s="3">
        <v>4.4671999999999996E-9</v>
      </c>
      <c r="N651" s="1" t="s">
        <v>683</v>
      </c>
      <c r="O651" s="1">
        <v>88</v>
      </c>
      <c r="P651" s="1">
        <v>61</v>
      </c>
      <c r="Q651" s="3">
        <v>191088</v>
      </c>
      <c r="R651" s="3">
        <v>3.6273715804233928E-6</v>
      </c>
      <c r="S651" s="3">
        <v>53323208.893634059</v>
      </c>
      <c r="T651" s="3">
        <v>1.1136756919428809E-42</v>
      </c>
    </row>
    <row r="652" spans="2:20" x14ac:dyDescent="0.2">
      <c r="B652">
        <v>63139</v>
      </c>
      <c r="C652" s="6">
        <v>1.2152199999999999E-7</v>
      </c>
      <c r="D652" s="1" t="s">
        <v>707</v>
      </c>
      <c r="E652" s="3">
        <v>17.899999999999999</v>
      </c>
      <c r="F652" s="7">
        <v>3.8723306176533259E-2</v>
      </c>
      <c r="G652" s="7">
        <v>1516594560</v>
      </c>
      <c r="H652" s="7">
        <v>0</v>
      </c>
      <c r="I652" s="3">
        <f t="shared" si="10"/>
        <v>1755.3177777777778</v>
      </c>
      <c r="L652" s="1">
        <v>61150</v>
      </c>
      <c r="M652" s="3">
        <v>1.5216400000000001E-8</v>
      </c>
      <c r="N652" s="1" t="s">
        <v>684</v>
      </c>
      <c r="O652" s="1">
        <v>89</v>
      </c>
      <c r="P652" s="1">
        <v>61</v>
      </c>
      <c r="Q652" s="3">
        <v>9712.7999999999993</v>
      </c>
      <c r="R652" s="3">
        <v>7.1364300774230435E-5</v>
      </c>
      <c r="S652" s="3">
        <v>189900672</v>
      </c>
      <c r="T652" s="3">
        <v>0</v>
      </c>
    </row>
    <row r="653" spans="2:20" x14ac:dyDescent="0.2">
      <c r="B653">
        <v>63140</v>
      </c>
      <c r="C653" s="6">
        <v>6.3029399999999997E-8</v>
      </c>
      <c r="D653" s="1" t="s">
        <v>708</v>
      </c>
      <c r="E653" s="3">
        <v>1.51</v>
      </c>
      <c r="F653" s="7">
        <v>0.45903786792049356</v>
      </c>
      <c r="G653" s="7">
        <v>786606912</v>
      </c>
      <c r="H653" s="7">
        <v>0</v>
      </c>
      <c r="I653" s="3">
        <f t="shared" si="10"/>
        <v>910.42466666666678</v>
      </c>
      <c r="L653" s="1">
        <v>61151</v>
      </c>
      <c r="M653" s="3">
        <v>7.5034999999999997E-8</v>
      </c>
      <c r="N653" s="1" t="s">
        <v>686</v>
      </c>
      <c r="O653" s="1">
        <v>90</v>
      </c>
      <c r="P653" s="1">
        <v>61</v>
      </c>
      <c r="Q653" s="3">
        <v>102240</v>
      </c>
      <c r="R653" s="3">
        <v>6.7796085735518902E-6</v>
      </c>
      <c r="S653" s="3">
        <v>933760326.07998574</v>
      </c>
      <c r="T653" s="3">
        <v>1.3101507265609381E-84</v>
      </c>
    </row>
    <row r="654" spans="2:20" x14ac:dyDescent="0.2">
      <c r="B654">
        <v>63141</v>
      </c>
      <c r="C654" s="6">
        <v>3.1340199999999999E-8</v>
      </c>
      <c r="D654" s="1" t="s">
        <v>709</v>
      </c>
      <c r="E654" s="3">
        <v>40.700000000000003</v>
      </c>
      <c r="F654" s="7">
        <v>1.7030643257001113E-2</v>
      </c>
      <c r="G654" s="7">
        <v>391125696</v>
      </c>
      <c r="H654" s="7">
        <v>0</v>
      </c>
      <c r="I654" s="3">
        <f t="shared" si="10"/>
        <v>452.69177777777782</v>
      </c>
      <c r="L654" s="1">
        <v>61152</v>
      </c>
      <c r="M654" s="3">
        <v>1.7149899999999999E-7</v>
      </c>
      <c r="N654" s="1" t="s">
        <v>688</v>
      </c>
      <c r="O654" s="1">
        <v>91</v>
      </c>
      <c r="P654" s="1">
        <v>61</v>
      </c>
      <c r="Q654" s="3">
        <v>247.2</v>
      </c>
      <c r="R654" s="3">
        <v>2.8039934488670927E-3</v>
      </c>
      <c r="S654" s="3">
        <v>2140307520</v>
      </c>
      <c r="T654" s="3">
        <v>0</v>
      </c>
    </row>
    <row r="655" spans="2:20" x14ac:dyDescent="0.2">
      <c r="B655">
        <v>63142</v>
      </c>
      <c r="C655" s="6">
        <v>8.3061999999999993E-9</v>
      </c>
      <c r="D655" s="1" t="s">
        <v>710</v>
      </c>
      <c r="E655" s="3">
        <v>2.34</v>
      </c>
      <c r="F655" s="7">
        <v>0.29621674382903646</v>
      </c>
      <c r="G655" s="7">
        <v>103661375.99999999</v>
      </c>
      <c r="H655" s="7">
        <v>0</v>
      </c>
      <c r="I655" s="3">
        <f t="shared" si="10"/>
        <v>119.97844444444442</v>
      </c>
      <c r="L655" s="1">
        <v>61153</v>
      </c>
      <c r="M655" s="3">
        <v>4.65008E-7</v>
      </c>
      <c r="N655" s="1" t="s">
        <v>689</v>
      </c>
      <c r="O655" s="1">
        <v>92</v>
      </c>
      <c r="P655" s="1">
        <v>61</v>
      </c>
      <c r="Q655" s="3">
        <v>315</v>
      </c>
      <c r="R655" s="3">
        <v>2.2004672398728423E-3</v>
      </c>
      <c r="S655" s="3">
        <v>5803299840</v>
      </c>
      <c r="T655" s="3">
        <v>0</v>
      </c>
    </row>
    <row r="656" spans="2:20" x14ac:dyDescent="0.2">
      <c r="B656">
        <v>63143</v>
      </c>
      <c r="C656" s="6">
        <v>2.0242000000000001E-9</v>
      </c>
      <c r="D656" s="1" t="s">
        <v>711</v>
      </c>
      <c r="E656" s="3">
        <v>155.39999999999901</v>
      </c>
      <c r="F656" s="7">
        <v>4.4604065673098433E-3</v>
      </c>
      <c r="G656" s="7">
        <v>25262016</v>
      </c>
      <c r="H656" s="7">
        <v>0</v>
      </c>
      <c r="I656" s="3">
        <f t="shared" si="10"/>
        <v>29.238444444444447</v>
      </c>
      <c r="L656" s="1">
        <v>61154</v>
      </c>
      <c r="M656" s="3">
        <v>6.4229999999999997E-7</v>
      </c>
      <c r="N656" s="1" t="s">
        <v>690</v>
      </c>
      <c r="O656" s="1">
        <v>93</v>
      </c>
      <c r="P656" s="1">
        <v>61</v>
      </c>
      <c r="Q656" s="3">
        <v>160.80000000000001</v>
      </c>
      <c r="R656" s="3">
        <v>4.3106167945270229E-3</v>
      </c>
      <c r="S656" s="3">
        <v>8015904000</v>
      </c>
      <c r="T656" s="3">
        <v>0</v>
      </c>
    </row>
    <row r="657" spans="2:20" x14ac:dyDescent="0.2">
      <c r="B657">
        <v>63144</v>
      </c>
      <c r="C657" s="6">
        <v>2.094E-10</v>
      </c>
      <c r="D657" s="1" t="s">
        <v>712</v>
      </c>
      <c r="E657" s="3">
        <v>10.199999999999999</v>
      </c>
      <c r="F657" s="7">
        <v>6.7955605937249544E-2</v>
      </c>
      <c r="G657" s="7">
        <v>2613312</v>
      </c>
      <c r="H657" s="7">
        <v>0</v>
      </c>
      <c r="I657" s="3">
        <f t="shared" si="10"/>
        <v>3.0246666666666671</v>
      </c>
      <c r="L657" s="1">
        <v>61155</v>
      </c>
      <c r="M657" s="3">
        <v>8.9148599999999999E-7</v>
      </c>
      <c r="N657" s="1" t="s">
        <v>691</v>
      </c>
      <c r="O657" s="1">
        <v>94</v>
      </c>
      <c r="P657" s="1">
        <v>61</v>
      </c>
      <c r="Q657" s="3">
        <v>41.5</v>
      </c>
      <c r="R657" s="3">
        <v>1.6702341700239647E-2</v>
      </c>
      <c r="S657" s="3">
        <v>11125745280</v>
      </c>
      <c r="T657" s="3">
        <v>0</v>
      </c>
    </row>
    <row r="658" spans="2:20" x14ac:dyDescent="0.2">
      <c r="B658">
        <v>63154</v>
      </c>
      <c r="C658" s="6">
        <v>6.9799999999999994E-11</v>
      </c>
      <c r="D658" s="1" t="s">
        <v>713</v>
      </c>
      <c r="E658" s="3">
        <v>271426917.60000002</v>
      </c>
      <c r="F658" s="7">
        <v>2.5537156988292206E-9</v>
      </c>
      <c r="G658" s="7">
        <v>1919.8940775660553</v>
      </c>
      <c r="H658" s="7">
        <v>1771.3394969388437</v>
      </c>
      <c r="I658" s="3">
        <f t="shared" si="10"/>
        <v>2.222099626812564E-3</v>
      </c>
      <c r="L658" s="1">
        <v>62133</v>
      </c>
      <c r="M658" s="3">
        <v>7.1607800000000004E-7</v>
      </c>
      <c r="N658" s="1" t="s">
        <v>692</v>
      </c>
      <c r="O658" s="1">
        <v>71</v>
      </c>
      <c r="P658" s="1">
        <v>62</v>
      </c>
      <c r="Q658" s="3">
        <v>2.89</v>
      </c>
      <c r="R658" s="3">
        <v>0.23984331507264542</v>
      </c>
      <c r="S658" s="3">
        <v>8936653440</v>
      </c>
      <c r="T658" s="3">
        <v>0</v>
      </c>
    </row>
    <row r="659" spans="2:20" x14ac:dyDescent="0.2">
      <c r="B659">
        <v>63155</v>
      </c>
      <c r="C659" s="6">
        <v>6.9799999999999997E-10</v>
      </c>
      <c r="D659" s="1" t="s">
        <v>714</v>
      </c>
      <c r="E659" s="3">
        <v>149993272.80000001</v>
      </c>
      <c r="F659" s="7">
        <v>4.6211884547927889E-9</v>
      </c>
      <c r="G659" s="7">
        <v>34711.286751488951</v>
      </c>
      <c r="H659" s="7">
        <v>30004.011865410466</v>
      </c>
      <c r="I659" s="3">
        <f t="shared" si="10"/>
        <v>4.0175100406815913E-2</v>
      </c>
      <c r="L659" s="1">
        <v>62134</v>
      </c>
      <c r="M659" s="3">
        <v>7.1712500000000004E-7</v>
      </c>
      <c r="N659" s="1" t="s">
        <v>693</v>
      </c>
      <c r="O659" s="1">
        <v>72</v>
      </c>
      <c r="P659" s="1">
        <v>62</v>
      </c>
      <c r="Q659" s="3">
        <v>9.5</v>
      </c>
      <c r="R659" s="3">
        <v>7.2962861111573185E-2</v>
      </c>
      <c r="S659" s="3">
        <v>8949720000</v>
      </c>
      <c r="T659" s="3">
        <v>0</v>
      </c>
    </row>
    <row r="660" spans="2:20" x14ac:dyDescent="0.2">
      <c r="B660">
        <v>63156</v>
      </c>
      <c r="C660" s="6">
        <v>1.9544000000000002E-9</v>
      </c>
      <c r="D660" s="1" t="s">
        <v>715</v>
      </c>
      <c r="E660" s="3">
        <v>1312416</v>
      </c>
      <c r="F660" s="7">
        <v>5.2814593890957231E-7</v>
      </c>
      <c r="G660" s="7">
        <v>8936531.1597055458</v>
      </c>
      <c r="H660" s="7">
        <v>0.522070694049798</v>
      </c>
      <c r="I660" s="3">
        <f t="shared" si="10"/>
        <v>10.343207360770306</v>
      </c>
      <c r="L660" s="1">
        <v>62135</v>
      </c>
      <c r="M660" s="3">
        <v>3.5514199999999999E-7</v>
      </c>
      <c r="N660" s="1" t="s">
        <v>694</v>
      </c>
      <c r="O660" s="1">
        <v>73</v>
      </c>
      <c r="P660" s="1">
        <v>62</v>
      </c>
      <c r="Q660" s="3">
        <v>10.3</v>
      </c>
      <c r="R660" s="3">
        <v>6.7295842772810213E-2</v>
      </c>
      <c r="S660" s="3">
        <v>4432172160</v>
      </c>
      <c r="T660" s="3">
        <v>0</v>
      </c>
    </row>
    <row r="661" spans="2:20" x14ac:dyDescent="0.2">
      <c r="B661">
        <v>63157</v>
      </c>
      <c r="C661" s="6">
        <v>5.1652000000000003E-9</v>
      </c>
      <c r="D661" s="1" t="s">
        <v>716</v>
      </c>
      <c r="E661" s="3">
        <v>54648</v>
      </c>
      <c r="F661" s="7">
        <v>1.2683852667251232E-5</v>
      </c>
      <c r="G661" s="7">
        <v>64460574.151511043</v>
      </c>
      <c r="H661" s="7">
        <v>1.237028414928708E-166</v>
      </c>
      <c r="I661" s="3">
        <f t="shared" si="10"/>
        <v>74.607146008693334</v>
      </c>
      <c r="L661" s="1">
        <v>62136</v>
      </c>
      <c r="M661" s="3">
        <v>2.3054900000000001E-7</v>
      </c>
      <c r="N661" s="1" t="s">
        <v>695</v>
      </c>
      <c r="O661" s="1">
        <v>74</v>
      </c>
      <c r="P661" s="1">
        <v>62</v>
      </c>
      <c r="Q661" s="3">
        <v>47</v>
      </c>
      <c r="R661" s="3">
        <v>1.4747812352339261E-2</v>
      </c>
      <c r="S661" s="3">
        <v>2877251520</v>
      </c>
      <c r="T661" s="3">
        <v>0</v>
      </c>
    </row>
    <row r="662" spans="2:20" x14ac:dyDescent="0.2">
      <c r="B662">
        <v>63158</v>
      </c>
      <c r="C662" s="6">
        <v>8.7250000000000004E-9</v>
      </c>
      <c r="D662" s="1" t="s">
        <v>717</v>
      </c>
      <c r="E662" s="3">
        <v>2754</v>
      </c>
      <c r="F662" s="7">
        <v>2.5168742939722053E-4</v>
      </c>
      <c r="G662" s="7">
        <v>108888000</v>
      </c>
      <c r="H662" s="7">
        <v>0</v>
      </c>
      <c r="I662" s="3">
        <f t="shared" si="10"/>
        <v>126.02777777777777</v>
      </c>
      <c r="L662" s="1">
        <v>62137</v>
      </c>
      <c r="M662" s="3">
        <v>8.1665999999999998E-8</v>
      </c>
      <c r="N662" s="1" t="s">
        <v>696</v>
      </c>
      <c r="O662" s="1">
        <v>75</v>
      </c>
      <c r="P662" s="1">
        <v>62</v>
      </c>
      <c r="Q662" s="3">
        <v>45</v>
      </c>
      <c r="R662" s="3">
        <v>1.5403270679109895E-2</v>
      </c>
      <c r="S662" s="3">
        <v>1019191680</v>
      </c>
      <c r="T662" s="3">
        <v>0</v>
      </c>
    </row>
    <row r="663" spans="2:20" x14ac:dyDescent="0.2">
      <c r="B663">
        <v>63159</v>
      </c>
      <c r="C663" s="6">
        <v>1.89856E-8</v>
      </c>
      <c r="D663" s="1" t="s">
        <v>718</v>
      </c>
      <c r="E663" s="3">
        <v>1086</v>
      </c>
      <c r="F663" s="7">
        <v>6.3825707233880783E-4</v>
      </c>
      <c r="G663" s="7">
        <v>236940288</v>
      </c>
      <c r="H663" s="7">
        <v>0</v>
      </c>
      <c r="I663" s="3">
        <f t="shared" si="10"/>
        <v>274.23644444444449</v>
      </c>
      <c r="L663" s="1">
        <v>62138</v>
      </c>
      <c r="M663" s="3">
        <v>3.8041000000000003E-8</v>
      </c>
      <c r="N663" s="1" t="s">
        <v>697</v>
      </c>
      <c r="O663" s="1">
        <v>76</v>
      </c>
      <c r="P663" s="1">
        <v>62</v>
      </c>
      <c r="Q663" s="3">
        <v>186</v>
      </c>
      <c r="R663" s="3">
        <v>3.7265977449459425E-3</v>
      </c>
      <c r="S663" s="3">
        <v>474751680.00000006</v>
      </c>
      <c r="T663" s="3">
        <v>0</v>
      </c>
    </row>
    <row r="664" spans="2:20" x14ac:dyDescent="0.2">
      <c r="B664">
        <v>63160</v>
      </c>
      <c r="C664" s="6">
        <v>2.25454E-8</v>
      </c>
      <c r="D664" s="1" t="s">
        <v>719</v>
      </c>
      <c r="E664" s="3">
        <v>38</v>
      </c>
      <c r="F664" s="7">
        <v>1.8240715277893296E-2</v>
      </c>
      <c r="G664" s="7">
        <v>281366592</v>
      </c>
      <c r="H664" s="7">
        <v>0</v>
      </c>
      <c r="I664" s="3">
        <f t="shared" si="10"/>
        <v>325.65577777777781</v>
      </c>
      <c r="L664" s="1">
        <v>62139</v>
      </c>
      <c r="M664" s="3">
        <v>9.3532000000000003E-9</v>
      </c>
      <c r="N664" s="1" t="s">
        <v>698</v>
      </c>
      <c r="O664" s="1">
        <v>77</v>
      </c>
      <c r="P664" s="1">
        <v>62</v>
      </c>
      <c r="Q664" s="3">
        <v>154.19999999999999</v>
      </c>
      <c r="R664" s="3">
        <v>4.4951179024639775E-3</v>
      </c>
      <c r="S664" s="3">
        <v>116727936</v>
      </c>
      <c r="T664" s="3">
        <v>0</v>
      </c>
    </row>
    <row r="665" spans="2:20" x14ac:dyDescent="0.2">
      <c r="B665">
        <v>64142</v>
      </c>
      <c r="C665" s="6">
        <v>2.84784E-8</v>
      </c>
      <c r="D665" s="1" t="s">
        <v>720</v>
      </c>
      <c r="E665" s="3">
        <v>70.2</v>
      </c>
      <c r="F665" s="7">
        <v>9.8738914609678811E-3</v>
      </c>
      <c r="G665" s="7">
        <v>355410432</v>
      </c>
      <c r="H665" s="7">
        <v>0</v>
      </c>
      <c r="I665" s="3">
        <f t="shared" si="10"/>
        <v>411.35466666666667</v>
      </c>
      <c r="L665" s="1">
        <v>62140</v>
      </c>
      <c r="M665" s="3">
        <v>2.0242000000000001E-9</v>
      </c>
      <c r="N665" s="1" t="s">
        <v>699</v>
      </c>
      <c r="O665" s="1">
        <v>78</v>
      </c>
      <c r="P665" s="1">
        <v>62</v>
      </c>
      <c r="Q665" s="3">
        <v>889.2</v>
      </c>
      <c r="R665" s="3">
        <v>7.7951774691851692E-4</v>
      </c>
      <c r="S665" s="3">
        <v>25262016</v>
      </c>
      <c r="T665" s="3">
        <v>0</v>
      </c>
    </row>
    <row r="666" spans="2:20" x14ac:dyDescent="0.2">
      <c r="B666">
        <v>64143</v>
      </c>
      <c r="C666" s="6">
        <v>1.92648E-8</v>
      </c>
      <c r="D666" s="1" t="s">
        <v>721</v>
      </c>
      <c r="E666" s="3">
        <v>39</v>
      </c>
      <c r="F666" s="7">
        <v>1.7773004629742187E-2</v>
      </c>
      <c r="G666" s="7">
        <v>240424704</v>
      </c>
      <c r="H666" s="7">
        <v>0</v>
      </c>
      <c r="I666" s="3">
        <f t="shared" si="10"/>
        <v>278.26933333333335</v>
      </c>
      <c r="L666" s="1">
        <v>62141</v>
      </c>
      <c r="M666" s="3">
        <v>2.7919999999999998E-10</v>
      </c>
      <c r="N666" s="1" t="s">
        <v>722</v>
      </c>
      <c r="O666" s="1">
        <v>79</v>
      </c>
      <c r="P666" s="1">
        <v>62</v>
      </c>
      <c r="Q666" s="3">
        <v>612</v>
      </c>
      <c r="R666" s="3">
        <v>1.1325934322874924E-3</v>
      </c>
      <c r="S666" s="3">
        <v>3484415.9999999995</v>
      </c>
      <c r="T666" s="3">
        <v>0</v>
      </c>
    </row>
    <row r="667" spans="2:20" x14ac:dyDescent="0.2">
      <c r="B667">
        <v>64144</v>
      </c>
      <c r="C667" s="6">
        <v>1.3331800000000001E-8</v>
      </c>
      <c r="D667" s="1" t="s">
        <v>723</v>
      </c>
      <c r="E667" s="3">
        <v>268.2</v>
      </c>
      <c r="F667" s="7">
        <v>2.5844413891123988E-3</v>
      </c>
      <c r="G667" s="7">
        <v>166380864</v>
      </c>
      <c r="H667" s="7">
        <v>0</v>
      </c>
      <c r="I667" s="3">
        <f t="shared" si="10"/>
        <v>192.57044444444443</v>
      </c>
      <c r="L667" s="1">
        <v>62151</v>
      </c>
      <c r="M667" s="3">
        <v>4.8860000000000005E-10</v>
      </c>
      <c r="N667" s="1" t="s">
        <v>700</v>
      </c>
      <c r="O667" s="1">
        <v>89</v>
      </c>
      <c r="P667" s="1">
        <v>62</v>
      </c>
      <c r="Q667" s="3">
        <v>2840184000</v>
      </c>
      <c r="R667" s="3">
        <v>2.4405009695144584E-10</v>
      </c>
      <c r="S667" s="3">
        <v>1285.6270107216249</v>
      </c>
      <c r="T667" s="3">
        <v>1275.770336392316</v>
      </c>
    </row>
    <row r="668" spans="2:20" x14ac:dyDescent="0.2">
      <c r="B668">
        <v>64145</v>
      </c>
      <c r="C668" s="6">
        <v>4.6766000000000002E-9</v>
      </c>
      <c r="D668" s="1" t="s">
        <v>724</v>
      </c>
      <c r="E668" s="3">
        <v>1380</v>
      </c>
      <c r="F668" s="7">
        <v>5.0228056562314871E-4</v>
      </c>
      <c r="G668" s="7">
        <v>58363968</v>
      </c>
      <c r="H668" s="7">
        <v>0</v>
      </c>
      <c r="I668" s="3">
        <f t="shared" si="10"/>
        <v>67.550888888888878</v>
      </c>
      <c r="L668" s="1">
        <v>62153</v>
      </c>
      <c r="M668" s="3">
        <v>1.1866E-8</v>
      </c>
      <c r="N668" s="1" t="s">
        <v>701</v>
      </c>
      <c r="O668" s="1">
        <v>91</v>
      </c>
      <c r="P668" s="1">
        <v>62</v>
      </c>
      <c r="Q668" s="3">
        <v>166622.39999999999</v>
      </c>
      <c r="R668" s="3">
        <v>4.1599879761661417E-6</v>
      </c>
      <c r="S668" s="3">
        <v>144017957.07651138</v>
      </c>
      <c r="T668" s="3">
        <v>1.5261333158957558E-49</v>
      </c>
    </row>
    <row r="669" spans="2:20" x14ac:dyDescent="0.2">
      <c r="B669">
        <v>64146</v>
      </c>
      <c r="C669" s="6">
        <v>1.7450000000000001E-9</v>
      </c>
      <c r="D669" s="1" t="s">
        <v>725</v>
      </c>
      <c r="E669" s="3">
        <v>4170528</v>
      </c>
      <c r="F669" s="7">
        <v>1.6620130126447905E-7</v>
      </c>
      <c r="G669" s="7">
        <v>2913059.5290719662</v>
      </c>
      <c r="H669" s="7">
        <v>15419.531047875331</v>
      </c>
      <c r="I669" s="3">
        <f t="shared" si="10"/>
        <v>3.3715966771666275</v>
      </c>
      <c r="L669" s="1">
        <v>62155</v>
      </c>
      <c r="M669" s="3">
        <v>9.0391000000000005E-8</v>
      </c>
      <c r="N669" s="1" t="s">
        <v>702</v>
      </c>
      <c r="O669" s="1">
        <v>93</v>
      </c>
      <c r="P669" s="1">
        <v>62</v>
      </c>
      <c r="Q669" s="3">
        <v>1338</v>
      </c>
      <c r="R669" s="3">
        <v>5.1804722014943589E-4</v>
      </c>
      <c r="S669" s="3">
        <v>1128079680</v>
      </c>
      <c r="T669" s="3">
        <v>0</v>
      </c>
    </row>
    <row r="670" spans="2:20" x14ac:dyDescent="0.2">
      <c r="B670">
        <v>64147</v>
      </c>
      <c r="C670" s="6">
        <v>3.4899999999999998E-10</v>
      </c>
      <c r="D670" s="1" t="s">
        <v>726</v>
      </c>
      <c r="E670" s="3">
        <v>137016</v>
      </c>
      <c r="F670" s="7">
        <v>5.0588776534123408E-6</v>
      </c>
      <c r="G670" s="7">
        <v>4300465.2033160934</v>
      </c>
      <c r="H670" s="7">
        <v>2.2262731233356847E-63</v>
      </c>
      <c r="I670" s="3">
        <f t="shared" si="10"/>
        <v>4.9773902816158495</v>
      </c>
      <c r="L670" s="1">
        <v>62156</v>
      </c>
      <c r="M670" s="3">
        <v>2.11983E-7</v>
      </c>
      <c r="N670" s="1" t="s">
        <v>703</v>
      </c>
      <c r="O670" s="1">
        <v>94</v>
      </c>
      <c r="P670" s="1">
        <v>62</v>
      </c>
      <c r="Q670" s="3">
        <v>33840</v>
      </c>
      <c r="R670" s="3">
        <v>2.0483072711582307E-5</v>
      </c>
      <c r="S670" s="3">
        <v>2645547785.4690089</v>
      </c>
      <c r="T670" s="3">
        <v>7.7299952258930594E-272</v>
      </c>
    </row>
    <row r="671" spans="2:20" x14ac:dyDescent="0.2">
      <c r="B671">
        <v>64150</v>
      </c>
      <c r="C671" s="6">
        <v>6.9799999999999994E-11</v>
      </c>
      <c r="D671" s="1" t="s">
        <v>727</v>
      </c>
      <c r="E671" s="3">
        <v>56488104000000</v>
      </c>
      <c r="F671" s="7">
        <v>1.2270675265715155E-14</v>
      </c>
      <c r="G671" s="7">
        <v>9.2353256040382786E-3</v>
      </c>
      <c r="H671" s="7">
        <v>9.2353220302633515E-3</v>
      </c>
      <c r="I671" s="3">
        <f t="shared" si="10"/>
        <v>1.0689034263933191E-8</v>
      </c>
      <c r="L671" s="1">
        <v>62157</v>
      </c>
      <c r="M671" s="3">
        <v>2.26222E-7</v>
      </c>
      <c r="N671" s="1" t="s">
        <v>704</v>
      </c>
      <c r="O671" s="1">
        <v>95</v>
      </c>
      <c r="P671" s="1">
        <v>62</v>
      </c>
      <c r="Q671" s="3">
        <v>481.79999999999899</v>
      </c>
      <c r="R671" s="3">
        <v>1.438661644997814E-3</v>
      </c>
      <c r="S671" s="3">
        <v>2823250560</v>
      </c>
      <c r="T671" s="3">
        <v>0</v>
      </c>
    </row>
    <row r="672" spans="2:20" x14ac:dyDescent="0.2">
      <c r="B672">
        <v>64159</v>
      </c>
      <c r="C672" s="6">
        <v>5.5839999999999995E-10</v>
      </c>
      <c r="D672" s="1" t="s">
        <v>728</v>
      </c>
      <c r="E672" s="3">
        <v>66524.399999999994</v>
      </c>
      <c r="F672" s="7">
        <v>1.0419442799332956E-5</v>
      </c>
      <c r="G672" s="7">
        <v>6967974.0381670576</v>
      </c>
      <c r="H672" s="7">
        <v>1.3783120510113264E-136</v>
      </c>
      <c r="I672" s="3">
        <f t="shared" si="10"/>
        <v>8.0647847663970573</v>
      </c>
      <c r="L672" s="1">
        <v>62158</v>
      </c>
      <c r="M672" s="3">
        <v>2.90298E-7</v>
      </c>
      <c r="N672" s="1" t="s">
        <v>705</v>
      </c>
      <c r="O672" s="1">
        <v>96</v>
      </c>
      <c r="P672" s="1">
        <v>62</v>
      </c>
      <c r="Q672" s="3">
        <v>318</v>
      </c>
      <c r="R672" s="3">
        <v>2.1797081149683814E-3</v>
      </c>
      <c r="S672" s="3">
        <v>3622919040</v>
      </c>
      <c r="T672" s="3">
        <v>0</v>
      </c>
    </row>
    <row r="673" spans="2:20" x14ac:dyDescent="0.2">
      <c r="B673">
        <v>64160</v>
      </c>
      <c r="C673" s="6">
        <v>3.2806E-9</v>
      </c>
      <c r="D673" s="1" t="s">
        <v>729</v>
      </c>
      <c r="E673" s="3">
        <v>9.7828559999999996E+26</v>
      </c>
      <c r="F673" s="7">
        <v>7.0853253953645573E-28</v>
      </c>
      <c r="G673" s="7">
        <v>0</v>
      </c>
      <c r="H673" s="7">
        <v>0</v>
      </c>
      <c r="I673" s="3">
        <f t="shared" si="10"/>
        <v>0</v>
      </c>
      <c r="L673" s="1">
        <v>63138</v>
      </c>
      <c r="M673" s="3">
        <v>2.3850700000000001E-7</v>
      </c>
      <c r="N673" s="1" t="s">
        <v>706</v>
      </c>
      <c r="O673" s="1">
        <v>75</v>
      </c>
      <c r="P673" s="1">
        <v>63</v>
      </c>
      <c r="Q673" s="3">
        <v>12.1</v>
      </c>
      <c r="R673" s="3">
        <v>5.728489095536738E-2</v>
      </c>
      <c r="S673" s="3">
        <v>2976567360</v>
      </c>
      <c r="T673" s="3">
        <v>0</v>
      </c>
    </row>
    <row r="674" spans="2:20" x14ac:dyDescent="0.2">
      <c r="B674">
        <v>64161</v>
      </c>
      <c r="C674" s="6">
        <v>4.8162E-9</v>
      </c>
      <c r="D674" s="1" t="s">
        <v>730</v>
      </c>
      <c r="E674" s="3">
        <v>219.6</v>
      </c>
      <c r="F674" s="7">
        <v>3.1564079260471096E-3</v>
      </c>
      <c r="G674" s="7">
        <v>60106176</v>
      </c>
      <c r="H674" s="7">
        <v>0</v>
      </c>
      <c r="I674" s="3">
        <f t="shared" si="10"/>
        <v>69.567333333333337</v>
      </c>
      <c r="L674" s="1">
        <v>63139</v>
      </c>
      <c r="M674" s="3">
        <v>1.89926E-7</v>
      </c>
      <c r="N674" s="1" t="s">
        <v>707</v>
      </c>
      <c r="O674" s="1">
        <v>76</v>
      </c>
      <c r="P674" s="1">
        <v>63</v>
      </c>
      <c r="Q674" s="3">
        <v>17.899999999999999</v>
      </c>
      <c r="R674" s="3">
        <v>3.8723306176533259E-2</v>
      </c>
      <c r="S674" s="3">
        <v>2370276480</v>
      </c>
      <c r="T674" s="3">
        <v>0</v>
      </c>
    </row>
    <row r="675" spans="2:20" x14ac:dyDescent="0.2">
      <c r="B675">
        <v>64162</v>
      </c>
      <c r="C675" s="6">
        <v>8.0968000000000004E-9</v>
      </c>
      <c r="D675" s="1" t="s">
        <v>731</v>
      </c>
      <c r="E675" s="3">
        <v>504</v>
      </c>
      <c r="F675" s="7">
        <v>1.3752920249205263E-3</v>
      </c>
      <c r="G675" s="7">
        <v>101048064</v>
      </c>
      <c r="H675" s="7">
        <v>0</v>
      </c>
      <c r="I675" s="3">
        <f t="shared" si="10"/>
        <v>116.95377777777779</v>
      </c>
      <c r="L675" s="1">
        <v>63140</v>
      </c>
      <c r="M675" s="3">
        <v>8.4248599999999994E-8</v>
      </c>
      <c r="N675" s="1" t="s">
        <v>708</v>
      </c>
      <c r="O675" s="1">
        <v>77</v>
      </c>
      <c r="P675" s="1">
        <v>63</v>
      </c>
      <c r="Q675" s="3">
        <v>1.51</v>
      </c>
      <c r="R675" s="3">
        <v>0.45903786792049356</v>
      </c>
      <c r="S675" s="3">
        <v>1051422527.9999999</v>
      </c>
      <c r="T675" s="3">
        <v>0</v>
      </c>
    </row>
    <row r="676" spans="2:20" x14ac:dyDescent="0.2">
      <c r="B676">
        <v>64163</v>
      </c>
      <c r="C676" s="6">
        <v>1.29828E-8</v>
      </c>
      <c r="D676" s="1" t="s">
        <v>732</v>
      </c>
      <c r="E676" s="3">
        <v>68</v>
      </c>
      <c r="F676" s="7">
        <v>1.0193340890587431E-2</v>
      </c>
      <c r="G676" s="7">
        <v>162025344</v>
      </c>
      <c r="H676" s="7">
        <v>0</v>
      </c>
      <c r="I676" s="3">
        <f t="shared" si="10"/>
        <v>187.52933333333334</v>
      </c>
      <c r="L676" s="1">
        <v>63141</v>
      </c>
      <c r="M676" s="3">
        <v>5.3606399999999999E-8</v>
      </c>
      <c r="N676" s="1" t="s">
        <v>709</v>
      </c>
      <c r="O676" s="1">
        <v>78</v>
      </c>
      <c r="P676" s="1">
        <v>63</v>
      </c>
      <c r="Q676" s="3">
        <v>40.700000000000003</v>
      </c>
      <c r="R676" s="3">
        <v>1.7030643257001113E-2</v>
      </c>
      <c r="S676" s="3">
        <v>669007872</v>
      </c>
      <c r="T676" s="3">
        <v>0</v>
      </c>
    </row>
    <row r="677" spans="2:20" x14ac:dyDescent="0.2">
      <c r="B677">
        <v>65144</v>
      </c>
      <c r="C677" s="6">
        <v>1.0679399999999999E-8</v>
      </c>
      <c r="D677" s="1" t="s">
        <v>733</v>
      </c>
      <c r="E677" s="3">
        <v>1</v>
      </c>
      <c r="F677" s="7">
        <v>0.69314718055994529</v>
      </c>
      <c r="G677" s="7">
        <v>133278911.99999999</v>
      </c>
      <c r="H677" s="7">
        <v>0</v>
      </c>
      <c r="I677" s="3">
        <f t="shared" si="10"/>
        <v>154.25799999999998</v>
      </c>
      <c r="L677" s="1">
        <v>63142</v>
      </c>
      <c r="M677" s="3">
        <v>1.3960000000000001E-8</v>
      </c>
      <c r="N677" s="1" t="s">
        <v>710</v>
      </c>
      <c r="O677" s="1">
        <v>79</v>
      </c>
      <c r="P677" s="1">
        <v>63</v>
      </c>
      <c r="Q677" s="3">
        <v>2.34</v>
      </c>
      <c r="R677" s="3">
        <v>0.29621674382903646</v>
      </c>
      <c r="S677" s="3">
        <v>174220800</v>
      </c>
      <c r="T677" s="3">
        <v>0</v>
      </c>
    </row>
    <row r="678" spans="2:20" x14ac:dyDescent="0.2">
      <c r="B678">
        <v>65145</v>
      </c>
      <c r="C678" s="6">
        <v>7.0498000000000002E-9</v>
      </c>
      <c r="D678" s="1" t="s">
        <v>734</v>
      </c>
      <c r="E678" s="3">
        <v>30.9</v>
      </c>
      <c r="F678" s="7">
        <v>2.2431947590936741E-2</v>
      </c>
      <c r="G678" s="7">
        <v>87981504</v>
      </c>
      <c r="H678" s="7">
        <v>0</v>
      </c>
      <c r="I678" s="3">
        <f t="shared" si="10"/>
        <v>101.83044444444445</v>
      </c>
      <c r="L678" s="1">
        <v>63143</v>
      </c>
      <c r="M678" s="3">
        <v>7.0498000000000002E-9</v>
      </c>
      <c r="N678" s="1" t="s">
        <v>711</v>
      </c>
      <c r="O678" s="1">
        <v>80</v>
      </c>
      <c r="P678" s="1">
        <v>63</v>
      </c>
      <c r="Q678" s="3">
        <v>155.39999999999901</v>
      </c>
      <c r="R678" s="3">
        <v>4.4604065673098433E-3</v>
      </c>
      <c r="S678" s="3">
        <v>87981504</v>
      </c>
      <c r="T678" s="3">
        <v>0</v>
      </c>
    </row>
    <row r="679" spans="2:20" x14ac:dyDescent="0.2">
      <c r="B679">
        <v>65146</v>
      </c>
      <c r="C679" s="6">
        <v>5.0953999999999996E-9</v>
      </c>
      <c r="D679" s="1" t="s">
        <v>735</v>
      </c>
      <c r="E679" s="3">
        <v>8</v>
      </c>
      <c r="F679" s="7">
        <v>8.6643397569993161E-2</v>
      </c>
      <c r="G679" s="7">
        <v>63590591.999999993</v>
      </c>
      <c r="H679" s="7">
        <v>0</v>
      </c>
      <c r="I679" s="3">
        <f t="shared" si="10"/>
        <v>73.600222222222214</v>
      </c>
      <c r="L679" s="1">
        <v>63144</v>
      </c>
      <c r="M679" s="3">
        <v>9.0739999999999999E-10</v>
      </c>
      <c r="N679" s="1" t="s">
        <v>712</v>
      </c>
      <c r="O679" s="1">
        <v>81</v>
      </c>
      <c r="P679" s="1">
        <v>63</v>
      </c>
      <c r="Q679" s="3">
        <v>10.199999999999999</v>
      </c>
      <c r="R679" s="3">
        <v>6.7955605937249544E-2</v>
      </c>
      <c r="S679" s="3">
        <v>11324352</v>
      </c>
      <c r="T679" s="3">
        <v>0</v>
      </c>
    </row>
    <row r="680" spans="2:20" x14ac:dyDescent="0.2">
      <c r="B680">
        <v>65147</v>
      </c>
      <c r="C680" s="6">
        <v>9.0739999999999999E-10</v>
      </c>
      <c r="D680" s="1" t="s">
        <v>736</v>
      </c>
      <c r="E680" s="3">
        <v>5904</v>
      </c>
      <c r="F680" s="7">
        <v>1.174029777371181E-4</v>
      </c>
      <c r="G680" s="7">
        <v>11324352</v>
      </c>
      <c r="H680" s="7">
        <v>0</v>
      </c>
      <c r="I680" s="3">
        <f t="shared" si="10"/>
        <v>13.106888888888887</v>
      </c>
      <c r="L680" s="1">
        <v>63145</v>
      </c>
      <c r="M680" s="3">
        <v>4.1879999999999999E-10</v>
      </c>
      <c r="N680" s="1" t="s">
        <v>737</v>
      </c>
      <c r="O680" s="1">
        <v>82</v>
      </c>
      <c r="P680" s="1">
        <v>63</v>
      </c>
      <c r="Q680" s="3">
        <v>512352</v>
      </c>
      <c r="R680" s="3">
        <v>1.3528729868526819E-6</v>
      </c>
      <c r="S680" s="3">
        <v>3602638.5175607861</v>
      </c>
      <c r="T680" s="3">
        <v>1.0660877709257953E-12</v>
      </c>
    </row>
    <row r="681" spans="2:20" x14ac:dyDescent="0.2">
      <c r="B681">
        <v>65148</v>
      </c>
      <c r="C681" s="6">
        <v>2.094E-10</v>
      </c>
      <c r="D681" s="1" t="s">
        <v>738</v>
      </c>
      <c r="E681" s="3">
        <v>3600</v>
      </c>
      <c r="F681" s="7">
        <v>1.9254088348887369E-4</v>
      </c>
      <c r="G681" s="7">
        <v>2613312</v>
      </c>
      <c r="H681" s="7">
        <v>0</v>
      </c>
      <c r="I681" s="3">
        <f t="shared" si="10"/>
        <v>3.0246666666666671</v>
      </c>
      <c r="L681" s="1">
        <v>63146</v>
      </c>
      <c r="M681" s="3">
        <v>6.9799999999999994E-11</v>
      </c>
      <c r="N681" s="1" t="s">
        <v>739</v>
      </c>
      <c r="O681" s="1">
        <v>83</v>
      </c>
      <c r="P681" s="1">
        <v>63</v>
      </c>
      <c r="Q681" s="3">
        <v>398304</v>
      </c>
      <c r="R681" s="3">
        <v>1.7402465969710203E-6</v>
      </c>
      <c r="S681" s="3">
        <v>677427.67982754926</v>
      </c>
      <c r="T681" s="3">
        <v>9.9220362285245924E-19</v>
      </c>
    </row>
    <row r="682" spans="2:20" x14ac:dyDescent="0.2">
      <c r="B682">
        <v>65149</v>
      </c>
      <c r="C682" s="6">
        <v>1.3959999999999999E-10</v>
      </c>
      <c r="D682" s="1" t="s">
        <v>740</v>
      </c>
      <c r="E682" s="3">
        <v>14824.8</v>
      </c>
      <c r="F682" s="7">
        <v>4.6755921196909595E-5</v>
      </c>
      <c r="G682" s="7">
        <v>1742207.9999999998</v>
      </c>
      <c r="H682" s="7">
        <v>0</v>
      </c>
      <c r="I682" s="3">
        <f t="shared" si="10"/>
        <v>2.0164444444444443</v>
      </c>
      <c r="L682" s="1">
        <v>63147</v>
      </c>
      <c r="M682" s="3">
        <v>6.9799999999999994E-11</v>
      </c>
      <c r="N682" s="1" t="s">
        <v>741</v>
      </c>
      <c r="O682" s="1">
        <v>84</v>
      </c>
      <c r="P682" s="1">
        <v>63</v>
      </c>
      <c r="Q682" s="3">
        <v>2082240</v>
      </c>
      <c r="R682" s="3">
        <v>3.3288534489777611E-7</v>
      </c>
      <c r="S682" s="3">
        <v>217730.83096009956</v>
      </c>
      <c r="T682" s="3">
        <v>6.0083046574912027</v>
      </c>
    </row>
    <row r="683" spans="2:20" x14ac:dyDescent="0.2">
      <c r="B683">
        <v>65161</v>
      </c>
      <c r="C683" s="6">
        <v>1.3959999999999999E-10</v>
      </c>
      <c r="D683" s="1" t="s">
        <v>742</v>
      </c>
      <c r="E683" s="3">
        <v>595296</v>
      </c>
      <c r="F683" s="7">
        <v>1.1643739930386654E-6</v>
      </c>
      <c r="G683" s="7">
        <v>1105131.7033986228</v>
      </c>
      <c r="H683" s="7">
        <v>1.2481066960226325E-10</v>
      </c>
      <c r="I683" s="3">
        <f t="shared" si="10"/>
        <v>1.2790876196743319</v>
      </c>
      <c r="L683" s="1">
        <v>63154</v>
      </c>
      <c r="M683" s="3">
        <v>3.4899999999999998E-10</v>
      </c>
      <c r="N683" s="1" t="s">
        <v>713</v>
      </c>
      <c r="O683" s="1">
        <v>91</v>
      </c>
      <c r="P683" s="1">
        <v>63</v>
      </c>
      <c r="Q683" s="3">
        <v>271426917.60000002</v>
      </c>
      <c r="R683" s="3">
        <v>2.5537156988292206E-9</v>
      </c>
      <c r="S683" s="3">
        <v>9599.4703878302789</v>
      </c>
      <c r="T683" s="3">
        <v>8856.6974846942194</v>
      </c>
    </row>
    <row r="684" spans="2:20" x14ac:dyDescent="0.2">
      <c r="B684">
        <v>65162</v>
      </c>
      <c r="C684" s="6">
        <v>2.094E-10</v>
      </c>
      <c r="D684" s="1" t="s">
        <v>743</v>
      </c>
      <c r="E684" s="3">
        <v>456</v>
      </c>
      <c r="F684" s="7">
        <v>1.520059606491108E-3</v>
      </c>
      <c r="G684" s="7">
        <v>2613312</v>
      </c>
      <c r="H684" s="7">
        <v>0</v>
      </c>
      <c r="I684" s="3">
        <f t="shared" si="10"/>
        <v>3.0246666666666671</v>
      </c>
      <c r="L684" s="1">
        <v>63155</v>
      </c>
      <c r="M684" s="3">
        <v>1.7450000000000001E-9</v>
      </c>
      <c r="N684" s="1" t="s">
        <v>714</v>
      </c>
      <c r="O684" s="1">
        <v>92</v>
      </c>
      <c r="P684" s="1">
        <v>63</v>
      </c>
      <c r="Q684" s="3">
        <v>149993272.80000001</v>
      </c>
      <c r="R684" s="3">
        <v>4.6211884547927889E-9</v>
      </c>
      <c r="S684" s="3">
        <v>86778.216878722378</v>
      </c>
      <c r="T684" s="3">
        <v>75010.029663526162</v>
      </c>
    </row>
    <row r="685" spans="2:20" x14ac:dyDescent="0.2">
      <c r="B685">
        <v>65163</v>
      </c>
      <c r="C685" s="6">
        <v>5.5839999999999995E-10</v>
      </c>
      <c r="D685" s="1" t="s">
        <v>744</v>
      </c>
      <c r="E685" s="3">
        <v>1170</v>
      </c>
      <c r="F685" s="7">
        <v>5.9243348765807284E-4</v>
      </c>
      <c r="G685" s="7">
        <v>6968831.9999999991</v>
      </c>
      <c r="H685" s="7">
        <v>0</v>
      </c>
      <c r="I685" s="3">
        <f t="shared" si="10"/>
        <v>8.065777777777777</v>
      </c>
      <c r="L685" s="1">
        <v>63156</v>
      </c>
      <c r="M685" s="3">
        <v>4.8859999999999999E-9</v>
      </c>
      <c r="N685" s="1" t="s">
        <v>715</v>
      </c>
      <c r="O685" s="1">
        <v>93</v>
      </c>
      <c r="P685" s="1">
        <v>63</v>
      </c>
      <c r="Q685" s="3">
        <v>1312416</v>
      </c>
      <c r="R685" s="3">
        <v>5.2814593890957231E-7</v>
      </c>
      <c r="S685" s="3">
        <v>22341327.899263859</v>
      </c>
      <c r="T685" s="3">
        <v>1.3051767351244947</v>
      </c>
    </row>
    <row r="686" spans="2:20" x14ac:dyDescent="0.2">
      <c r="B686">
        <v>65164</v>
      </c>
      <c r="C686" s="6">
        <v>7.6779999999999997E-10</v>
      </c>
      <c r="D686" s="1" t="s">
        <v>745</v>
      </c>
      <c r="E686" s="3">
        <v>180</v>
      </c>
      <c r="F686" s="7">
        <v>3.8508176697774738E-3</v>
      </c>
      <c r="G686" s="7">
        <v>9582144</v>
      </c>
      <c r="H686" s="7">
        <v>0</v>
      </c>
      <c r="I686" s="3">
        <f t="shared" si="10"/>
        <v>11.090444444444444</v>
      </c>
      <c r="L686" s="1">
        <v>63157</v>
      </c>
      <c r="M686" s="3">
        <v>1.9683600000000001E-8</v>
      </c>
      <c r="N686" s="1" t="s">
        <v>716</v>
      </c>
      <c r="O686" s="1">
        <v>94</v>
      </c>
      <c r="P686" s="1">
        <v>63</v>
      </c>
      <c r="Q686" s="3">
        <v>54648</v>
      </c>
      <c r="R686" s="3">
        <v>1.2683852667251232E-5</v>
      </c>
      <c r="S686" s="3">
        <v>245647052.84765017</v>
      </c>
      <c r="T686" s="3">
        <v>4.7140812568904815E-166</v>
      </c>
    </row>
    <row r="687" spans="2:20" x14ac:dyDescent="0.2">
      <c r="B687">
        <v>65165</v>
      </c>
      <c r="C687" s="6">
        <v>1.1167999999999999E-9</v>
      </c>
      <c r="D687" s="1" t="s">
        <v>746</v>
      </c>
      <c r="E687" s="3">
        <v>126.6</v>
      </c>
      <c r="F687" s="7">
        <v>5.4750962129537541E-3</v>
      </c>
      <c r="G687" s="7">
        <v>13937663.999999998</v>
      </c>
      <c r="H687" s="7">
        <v>0</v>
      </c>
      <c r="I687" s="3">
        <f t="shared" si="10"/>
        <v>16.131555555555554</v>
      </c>
      <c r="L687" s="1">
        <v>63158</v>
      </c>
      <c r="M687" s="3">
        <v>3.3364400000000002E-8</v>
      </c>
      <c r="N687" s="1" t="s">
        <v>717</v>
      </c>
      <c r="O687" s="1">
        <v>95</v>
      </c>
      <c r="P687" s="1">
        <v>63</v>
      </c>
      <c r="Q687" s="3">
        <v>2754</v>
      </c>
      <c r="R687" s="3">
        <v>2.5168742939722053E-4</v>
      </c>
      <c r="S687" s="3">
        <v>416387712</v>
      </c>
      <c r="T687" s="3">
        <v>0</v>
      </c>
    </row>
    <row r="688" spans="2:20" x14ac:dyDescent="0.2">
      <c r="B688">
        <v>66145</v>
      </c>
      <c r="C688" s="6">
        <v>6.2819999999999996E-10</v>
      </c>
      <c r="D688" s="1" t="s">
        <v>747</v>
      </c>
      <c r="E688" s="3">
        <v>6</v>
      </c>
      <c r="F688" s="7">
        <v>0.11552453009332421</v>
      </c>
      <c r="G688" s="7">
        <v>7839935.9999999991</v>
      </c>
      <c r="H688" s="7">
        <v>0</v>
      </c>
      <c r="I688" s="3">
        <f t="shared" si="10"/>
        <v>9.0739999999999981</v>
      </c>
      <c r="L688" s="1">
        <v>63159</v>
      </c>
      <c r="M688" s="3">
        <v>6.6938199999999998E-8</v>
      </c>
      <c r="N688" s="1" t="s">
        <v>718</v>
      </c>
      <c r="O688" s="1">
        <v>96</v>
      </c>
      <c r="P688" s="1">
        <v>63</v>
      </c>
      <c r="Q688" s="3">
        <v>1086</v>
      </c>
      <c r="R688" s="3">
        <v>6.3825707233880783E-4</v>
      </c>
      <c r="S688" s="3">
        <v>835388736</v>
      </c>
      <c r="T688" s="3">
        <v>0</v>
      </c>
    </row>
    <row r="689" spans="2:20" x14ac:dyDescent="0.2">
      <c r="B689">
        <v>66146</v>
      </c>
      <c r="C689" s="6">
        <v>4.8860000000000005E-10</v>
      </c>
      <c r="D689" s="1" t="s">
        <v>748</v>
      </c>
      <c r="E689" s="3">
        <v>33.200000000000003</v>
      </c>
      <c r="F689" s="7">
        <v>2.0877927125299556E-2</v>
      </c>
      <c r="G689" s="7">
        <v>6097728.0000000009</v>
      </c>
      <c r="H689" s="7">
        <v>0</v>
      </c>
      <c r="I689" s="3">
        <f t="shared" si="10"/>
        <v>7.057555555555556</v>
      </c>
      <c r="L689" s="1">
        <v>63160</v>
      </c>
      <c r="M689" s="3">
        <v>7.8385400000000005E-8</v>
      </c>
      <c r="N689" s="1" t="s">
        <v>719</v>
      </c>
      <c r="O689" s="1">
        <v>97</v>
      </c>
      <c r="P689" s="1">
        <v>63</v>
      </c>
      <c r="Q689" s="3">
        <v>38</v>
      </c>
      <c r="R689" s="3">
        <v>1.8240715277893296E-2</v>
      </c>
      <c r="S689" s="3">
        <v>978249792.00000012</v>
      </c>
      <c r="T689" s="3">
        <v>0</v>
      </c>
    </row>
    <row r="690" spans="2:20" x14ac:dyDescent="0.2">
      <c r="B690">
        <v>66147</v>
      </c>
      <c r="C690" s="6">
        <v>4.1879999999999999E-10</v>
      </c>
      <c r="D690" s="1" t="s">
        <v>749</v>
      </c>
      <c r="E690" s="3">
        <v>67</v>
      </c>
      <c r="F690" s="7">
        <v>1.0345480306864855E-2</v>
      </c>
      <c r="G690" s="7">
        <v>5226624</v>
      </c>
      <c r="H690" s="7">
        <v>0</v>
      </c>
      <c r="I690" s="3">
        <f t="shared" si="10"/>
        <v>6.0493333333333341</v>
      </c>
      <c r="L690" s="1">
        <v>64142</v>
      </c>
      <c r="M690" s="3">
        <v>8.7668800000000005E-8</v>
      </c>
      <c r="N690" s="1" t="s">
        <v>720</v>
      </c>
      <c r="O690" s="1">
        <v>78</v>
      </c>
      <c r="P690" s="1">
        <v>64</v>
      </c>
      <c r="Q690" s="3">
        <v>70.2</v>
      </c>
      <c r="R690" s="3">
        <v>9.8738914609678811E-3</v>
      </c>
      <c r="S690" s="3">
        <v>1094106624</v>
      </c>
      <c r="T690" s="3">
        <v>0</v>
      </c>
    </row>
    <row r="691" spans="2:20" x14ac:dyDescent="0.2">
      <c r="B691">
        <v>66148</v>
      </c>
      <c r="C691" s="6">
        <v>2.7919999999999998E-10</v>
      </c>
      <c r="D691" s="1" t="s">
        <v>750</v>
      </c>
      <c r="E691" s="3">
        <v>198</v>
      </c>
      <c r="F691" s="7">
        <v>3.5007433361613398E-3</v>
      </c>
      <c r="G691" s="7">
        <v>3484415.9999999995</v>
      </c>
      <c r="H691" s="7">
        <v>0</v>
      </c>
      <c r="I691" s="3">
        <f t="shared" si="10"/>
        <v>4.0328888888888885</v>
      </c>
      <c r="L691" s="1">
        <v>64143</v>
      </c>
      <c r="M691" s="3">
        <v>6.0935400000000004E-8</v>
      </c>
      <c r="N691" s="1" t="s">
        <v>721</v>
      </c>
      <c r="O691" s="1">
        <v>79</v>
      </c>
      <c r="P691" s="1">
        <v>64</v>
      </c>
      <c r="Q691" s="3">
        <v>39</v>
      </c>
      <c r="R691" s="3">
        <v>1.7773004629742187E-2</v>
      </c>
      <c r="S691" s="3">
        <v>760473792</v>
      </c>
      <c r="T691" s="3">
        <v>0</v>
      </c>
    </row>
    <row r="692" spans="2:20" x14ac:dyDescent="0.2">
      <c r="B692">
        <v>66149</v>
      </c>
      <c r="C692" s="6">
        <v>6.9799999999999994E-11</v>
      </c>
      <c r="D692" s="1" t="s">
        <v>751</v>
      </c>
      <c r="E692" s="3">
        <v>252</v>
      </c>
      <c r="F692" s="7">
        <v>2.7505840498410527E-3</v>
      </c>
      <c r="G692" s="7">
        <v>871103.99999999988</v>
      </c>
      <c r="H692" s="7">
        <v>0</v>
      </c>
      <c r="I692" s="3">
        <f t="shared" si="10"/>
        <v>1.0082222222222221</v>
      </c>
      <c r="L692" s="1">
        <v>64144</v>
      </c>
      <c r="M692" s="3">
        <v>4.4951200000000001E-8</v>
      </c>
      <c r="N692" s="1" t="s">
        <v>723</v>
      </c>
      <c r="O692" s="1">
        <v>80</v>
      </c>
      <c r="P692" s="1">
        <v>64</v>
      </c>
      <c r="Q692" s="3">
        <v>268.2</v>
      </c>
      <c r="R692" s="3">
        <v>2.5844413891123988E-3</v>
      </c>
      <c r="S692" s="3">
        <v>560990976</v>
      </c>
      <c r="T692" s="3">
        <v>0</v>
      </c>
    </row>
    <row r="693" spans="2:20" x14ac:dyDescent="0.2">
      <c r="B693">
        <v>66166</v>
      </c>
      <c r="C693" s="6">
        <v>6.9799999999999994E-11</v>
      </c>
      <c r="D693" s="1" t="s">
        <v>752</v>
      </c>
      <c r="E693" s="3">
        <v>293760</v>
      </c>
      <c r="F693" s="7">
        <v>2.3595696505989421E-6</v>
      </c>
      <c r="G693" s="7">
        <v>757684.51583227911</v>
      </c>
      <c r="H693" s="7">
        <v>3.6562256842402625E-27</v>
      </c>
      <c r="I693" s="3">
        <f t="shared" si="10"/>
        <v>0.87694967110217492</v>
      </c>
      <c r="L693" s="1">
        <v>64145</v>
      </c>
      <c r="M693" s="3">
        <v>1.8845999999999999E-8</v>
      </c>
      <c r="N693" s="1" t="s">
        <v>724</v>
      </c>
      <c r="O693" s="1">
        <v>81</v>
      </c>
      <c r="P693" s="1">
        <v>64</v>
      </c>
      <c r="Q693" s="3">
        <v>1380</v>
      </c>
      <c r="R693" s="3">
        <v>5.0228056562314871E-4</v>
      </c>
      <c r="S693" s="3">
        <v>235198080</v>
      </c>
      <c r="T693" s="3">
        <v>0</v>
      </c>
    </row>
    <row r="694" spans="2:20" x14ac:dyDescent="0.2">
      <c r="B694">
        <v>66167</v>
      </c>
      <c r="C694" s="6">
        <v>2.7919999999999998E-10</v>
      </c>
      <c r="D694" s="1" t="s">
        <v>753</v>
      </c>
      <c r="E694" s="3">
        <v>372</v>
      </c>
      <c r="F694" s="7">
        <v>1.8632988724729713E-3</v>
      </c>
      <c r="G694" s="7">
        <v>3484415.9999999995</v>
      </c>
      <c r="H694" s="7">
        <v>0</v>
      </c>
      <c r="I694" s="3">
        <f t="shared" si="10"/>
        <v>4.0328888888888885</v>
      </c>
      <c r="L694" s="1">
        <v>64146</v>
      </c>
      <c r="M694" s="3">
        <v>9.7719999999999998E-9</v>
      </c>
      <c r="N694" s="1" t="s">
        <v>725</v>
      </c>
      <c r="O694" s="1">
        <v>82</v>
      </c>
      <c r="P694" s="1">
        <v>64</v>
      </c>
      <c r="Q694" s="3">
        <v>4170528</v>
      </c>
      <c r="R694" s="3">
        <v>1.6620130126447905E-7</v>
      </c>
      <c r="S694" s="3">
        <v>16313133.36280301</v>
      </c>
      <c r="T694" s="3">
        <v>86349.373868101859</v>
      </c>
    </row>
    <row r="695" spans="2:20" x14ac:dyDescent="0.2">
      <c r="B695">
        <v>66168</v>
      </c>
      <c r="C695" s="6">
        <v>2.7919999999999998E-10</v>
      </c>
      <c r="D695" s="1" t="s">
        <v>754</v>
      </c>
      <c r="E695" s="3">
        <v>522</v>
      </c>
      <c r="F695" s="7">
        <v>1.3278681619922324E-3</v>
      </c>
      <c r="G695" s="7">
        <v>3484415.9999999995</v>
      </c>
      <c r="H695" s="7">
        <v>0</v>
      </c>
      <c r="I695" s="3">
        <f t="shared" si="10"/>
        <v>4.0328888888888885</v>
      </c>
      <c r="L695" s="1">
        <v>64147</v>
      </c>
      <c r="M695" s="3">
        <v>2.8618000000000002E-9</v>
      </c>
      <c r="N695" s="1" t="s">
        <v>726</v>
      </c>
      <c r="O695" s="1">
        <v>83</v>
      </c>
      <c r="P695" s="1">
        <v>64</v>
      </c>
      <c r="Q695" s="3">
        <v>137016</v>
      </c>
      <c r="R695" s="3">
        <v>5.0588776534123408E-6</v>
      </c>
      <c r="S695" s="3">
        <v>35263814.667191967</v>
      </c>
      <c r="T695" s="3">
        <v>1.8255439611352616E-62</v>
      </c>
    </row>
    <row r="696" spans="2:20" x14ac:dyDescent="0.2">
      <c r="B696">
        <v>67147</v>
      </c>
      <c r="C696" s="6">
        <v>6.9799999999999994E-11</v>
      </c>
      <c r="D696" s="1" t="s">
        <v>755</v>
      </c>
      <c r="E696" s="3">
        <v>5.8</v>
      </c>
      <c r="F696" s="7">
        <v>0.11950813457930091</v>
      </c>
      <c r="G696" s="7">
        <v>871103.99999999988</v>
      </c>
      <c r="H696" s="7">
        <v>0</v>
      </c>
      <c r="I696" s="3">
        <f t="shared" si="10"/>
        <v>1.0082222222222221</v>
      </c>
      <c r="L696" s="1">
        <v>64148</v>
      </c>
      <c r="M696" s="3">
        <v>1.1167999999999999E-9</v>
      </c>
      <c r="N696" s="1" t="s">
        <v>756</v>
      </c>
      <c r="O696" s="1">
        <v>84</v>
      </c>
      <c r="P696" s="1">
        <v>64</v>
      </c>
      <c r="Q696" s="3">
        <v>2243745360</v>
      </c>
      <c r="R696" s="3">
        <v>3.0892417335626059E-10</v>
      </c>
      <c r="S696" s="3">
        <v>3719.6122450381076</v>
      </c>
      <c r="T696" s="3">
        <v>3683.5508612928743</v>
      </c>
    </row>
    <row r="697" spans="2:20" x14ac:dyDescent="0.2">
      <c r="B697">
        <v>67148</v>
      </c>
      <c r="C697" s="6">
        <v>6.9799999999999994E-11</v>
      </c>
      <c r="D697" s="1" t="s">
        <v>757</v>
      </c>
      <c r="E697" s="3">
        <v>2.2000000000000002</v>
      </c>
      <c r="F697" s="7">
        <v>0.31506690025452055</v>
      </c>
      <c r="G697" s="7">
        <v>871103.99999999988</v>
      </c>
      <c r="H697" s="7">
        <v>0</v>
      </c>
      <c r="I697" s="3">
        <f t="shared" si="10"/>
        <v>1.0082222222222221</v>
      </c>
      <c r="L697" s="1">
        <v>64149</v>
      </c>
      <c r="M697" s="3">
        <v>4.8860000000000005E-10</v>
      </c>
      <c r="N697" s="1" t="s">
        <v>758</v>
      </c>
      <c r="O697" s="1">
        <v>85</v>
      </c>
      <c r="P697" s="1">
        <v>64</v>
      </c>
      <c r="Q697" s="3">
        <v>801792</v>
      </c>
      <c r="R697" s="3">
        <v>8.6449750129702627E-7</v>
      </c>
      <c r="S697" s="3">
        <v>3208496.9280251316</v>
      </c>
      <c r="T697" s="3">
        <v>4.6368279258628917E-6</v>
      </c>
    </row>
    <row r="698" spans="2:20" x14ac:dyDescent="0.2">
      <c r="B698">
        <v>67149</v>
      </c>
      <c r="C698" s="6">
        <v>6.9799999999999994E-11</v>
      </c>
      <c r="D698" s="1" t="s">
        <v>759</v>
      </c>
      <c r="E698" s="3">
        <v>21.1</v>
      </c>
      <c r="F698" s="7">
        <v>3.2850577277722524E-2</v>
      </c>
      <c r="G698" s="7">
        <v>871103.99999999988</v>
      </c>
      <c r="H698" s="7">
        <v>0</v>
      </c>
      <c r="I698" s="3">
        <f t="shared" si="10"/>
        <v>1.0082222222222221</v>
      </c>
      <c r="L698" s="1">
        <v>64159</v>
      </c>
      <c r="M698" s="3">
        <v>1.6054000000000001E-9</v>
      </c>
      <c r="N698" s="1" t="s">
        <v>728</v>
      </c>
      <c r="O698" s="1">
        <v>95</v>
      </c>
      <c r="P698" s="1">
        <v>64</v>
      </c>
      <c r="Q698" s="3">
        <v>66524.399999999994</v>
      </c>
      <c r="R698" s="3">
        <v>1.0419442799332956E-5</v>
      </c>
      <c r="S698" s="3">
        <v>20032925.359730292</v>
      </c>
      <c r="T698" s="3">
        <v>3.9626471466575639E-136</v>
      </c>
    </row>
    <row r="699" spans="2:20" x14ac:dyDescent="0.2">
      <c r="B699">
        <v>67150</v>
      </c>
      <c r="C699" s="6">
        <v>2.094E-10</v>
      </c>
      <c r="D699" s="1" t="s">
        <v>760</v>
      </c>
      <c r="E699" s="3">
        <v>72</v>
      </c>
      <c r="F699" s="7">
        <v>9.6270441744436847E-3</v>
      </c>
      <c r="G699" s="7">
        <v>2613312</v>
      </c>
      <c r="H699" s="7">
        <v>0</v>
      </c>
      <c r="I699" s="3">
        <f t="shared" si="10"/>
        <v>3.0246666666666671</v>
      </c>
      <c r="L699" s="1">
        <v>64160</v>
      </c>
      <c r="M699" s="3">
        <v>7.3289999999999998E-9</v>
      </c>
      <c r="N699" s="1" t="s">
        <v>729</v>
      </c>
      <c r="O699" s="1">
        <v>96</v>
      </c>
      <c r="P699" s="1">
        <v>64</v>
      </c>
      <c r="Q699" s="3">
        <v>9.7828559999999996E+26</v>
      </c>
      <c r="R699" s="3">
        <v>7.0853253953645573E-28</v>
      </c>
      <c r="S699" s="3">
        <v>0</v>
      </c>
      <c r="T699" s="3">
        <v>0</v>
      </c>
    </row>
    <row r="700" spans="2:20" x14ac:dyDescent="0.2">
      <c r="B700">
        <v>67151</v>
      </c>
      <c r="C700" s="6">
        <v>6.9799999999999994E-11</v>
      </c>
      <c r="D700" s="1" t="s">
        <v>761</v>
      </c>
      <c r="E700" s="3">
        <v>35.200000000000003</v>
      </c>
      <c r="F700" s="7">
        <v>1.9691681265907535E-2</v>
      </c>
      <c r="G700" s="7">
        <v>871103.99999999988</v>
      </c>
      <c r="H700" s="7">
        <v>0</v>
      </c>
      <c r="I700" s="3">
        <f t="shared" si="10"/>
        <v>1.0082222222222221</v>
      </c>
      <c r="L700" s="1">
        <v>64161</v>
      </c>
      <c r="M700" s="3">
        <v>1.1307599999999999E-8</v>
      </c>
      <c r="N700" s="1" t="s">
        <v>730</v>
      </c>
      <c r="O700" s="1">
        <v>97</v>
      </c>
      <c r="P700" s="1">
        <v>64</v>
      </c>
      <c r="Q700" s="3">
        <v>219.6</v>
      </c>
      <c r="R700" s="3">
        <v>3.1564079260471096E-3</v>
      </c>
      <c r="S700" s="3">
        <v>141118848</v>
      </c>
      <c r="T700" s="3">
        <v>0</v>
      </c>
    </row>
    <row r="701" spans="2:20" x14ac:dyDescent="0.2">
      <c r="B701">
        <v>67169</v>
      </c>
      <c r="C701" s="6">
        <v>6.9799999999999994E-11</v>
      </c>
      <c r="D701" s="1" t="s">
        <v>762</v>
      </c>
      <c r="E701" s="3">
        <v>283.2</v>
      </c>
      <c r="F701" s="7">
        <v>2.4475536036721235E-3</v>
      </c>
      <c r="G701" s="7">
        <v>871103.99999999988</v>
      </c>
      <c r="H701" s="7">
        <v>0</v>
      </c>
      <c r="I701" s="3">
        <f t="shared" si="10"/>
        <v>1.0082222222222221</v>
      </c>
      <c r="L701" s="1">
        <v>64162</v>
      </c>
      <c r="M701" s="3">
        <v>1.77292E-8</v>
      </c>
      <c r="N701" s="1" t="s">
        <v>731</v>
      </c>
      <c r="O701" s="1">
        <v>98</v>
      </c>
      <c r="P701" s="1">
        <v>64</v>
      </c>
      <c r="Q701" s="3">
        <v>504</v>
      </c>
      <c r="R701" s="3">
        <v>1.3752920249205263E-3</v>
      </c>
      <c r="S701" s="3">
        <v>221260416</v>
      </c>
      <c r="T701" s="3">
        <v>0</v>
      </c>
    </row>
    <row r="702" spans="2:20" x14ac:dyDescent="0.2">
      <c r="B702">
        <v>68147</v>
      </c>
      <c r="C702" s="6">
        <v>1.3959999999999999E-10</v>
      </c>
      <c r="D702" s="1" t="s">
        <v>763</v>
      </c>
      <c r="E702" s="3">
        <v>2.5</v>
      </c>
      <c r="F702" s="7">
        <v>0.2772588722239781</v>
      </c>
      <c r="G702" s="7">
        <v>1742207.9999999998</v>
      </c>
      <c r="H702" s="7">
        <v>0</v>
      </c>
      <c r="I702" s="3">
        <f t="shared" si="10"/>
        <v>2.0164444444444443</v>
      </c>
      <c r="L702" s="1">
        <v>64163</v>
      </c>
      <c r="M702" s="3">
        <v>2.0660800000000001E-8</v>
      </c>
      <c r="N702" s="1" t="s">
        <v>732</v>
      </c>
      <c r="O702" s="1">
        <v>99</v>
      </c>
      <c r="P702" s="1">
        <v>64</v>
      </c>
      <c r="Q702" s="3">
        <v>68</v>
      </c>
      <c r="R702" s="3">
        <v>1.0193340890587431E-2</v>
      </c>
      <c r="S702" s="3">
        <v>257846784.00000003</v>
      </c>
      <c r="T702" s="3">
        <v>0</v>
      </c>
    </row>
    <row r="703" spans="2:20" x14ac:dyDescent="0.2">
      <c r="B703">
        <v>68148</v>
      </c>
      <c r="C703" s="6">
        <v>6.9799999999999994E-11</v>
      </c>
      <c r="D703" s="1" t="s">
        <v>764</v>
      </c>
      <c r="E703" s="3">
        <v>4.5999999999999996</v>
      </c>
      <c r="F703" s="7">
        <v>0.15068416968694465</v>
      </c>
      <c r="G703" s="7">
        <v>871103.99999999988</v>
      </c>
      <c r="H703" s="7">
        <v>0</v>
      </c>
      <c r="I703" s="3">
        <f t="shared" si="10"/>
        <v>1.0082222222222221</v>
      </c>
      <c r="L703" s="1">
        <v>65144</v>
      </c>
      <c r="M703" s="3">
        <v>1.8497E-8</v>
      </c>
      <c r="N703" s="1" t="s">
        <v>733</v>
      </c>
      <c r="O703" s="1">
        <v>79</v>
      </c>
      <c r="P703" s="1">
        <v>65</v>
      </c>
      <c r="Q703" s="3">
        <v>1</v>
      </c>
      <c r="R703" s="3">
        <v>0.69314718055994529</v>
      </c>
      <c r="S703" s="3">
        <v>230842560</v>
      </c>
      <c r="T703" s="3">
        <v>0</v>
      </c>
    </row>
    <row r="704" spans="2:20" x14ac:dyDescent="0.2">
      <c r="B704">
        <v>68173</v>
      </c>
      <c r="C704" s="6">
        <v>6.9799999999999994E-11</v>
      </c>
      <c r="D704" s="1" t="s">
        <v>765</v>
      </c>
      <c r="E704" s="3">
        <v>84</v>
      </c>
      <c r="F704" s="7">
        <v>8.2517521495231588E-3</v>
      </c>
      <c r="G704" s="7">
        <v>871103.99999999988</v>
      </c>
      <c r="H704" s="7">
        <v>0</v>
      </c>
      <c r="I704" s="3">
        <f t="shared" si="10"/>
        <v>1.0082222222222221</v>
      </c>
      <c r="L704" s="1">
        <v>65145</v>
      </c>
      <c r="M704" s="3">
        <v>1.1447200000000001E-8</v>
      </c>
      <c r="N704" s="1" t="s">
        <v>734</v>
      </c>
      <c r="O704" s="1">
        <v>80</v>
      </c>
      <c r="P704" s="1">
        <v>65</v>
      </c>
      <c r="Q704" s="3">
        <v>30.9</v>
      </c>
      <c r="R704" s="3">
        <v>2.2431947590936741E-2</v>
      </c>
      <c r="S704" s="3">
        <v>142861056</v>
      </c>
      <c r="T704" s="3">
        <v>0</v>
      </c>
    </row>
    <row r="705" spans="2:20" x14ac:dyDescent="0.2">
      <c r="B705">
        <v>69151</v>
      </c>
      <c r="C705" s="6">
        <v>6.9799999999999994E-11</v>
      </c>
      <c r="D705" s="1" t="s">
        <v>766</v>
      </c>
      <c r="E705" s="3">
        <v>4.17</v>
      </c>
      <c r="F705" s="7">
        <v>0.16622234545802045</v>
      </c>
      <c r="G705" s="7">
        <v>871103.99999999988</v>
      </c>
      <c r="H705" s="7">
        <v>0</v>
      </c>
      <c r="I705" s="3">
        <f t="shared" si="10"/>
        <v>1.0082222222222221</v>
      </c>
      <c r="L705" s="1">
        <v>65146</v>
      </c>
      <c r="M705" s="3">
        <v>8.376E-9</v>
      </c>
      <c r="N705" s="1" t="s">
        <v>735</v>
      </c>
      <c r="O705" s="1">
        <v>81</v>
      </c>
      <c r="P705" s="1">
        <v>65</v>
      </c>
      <c r="Q705" s="3">
        <v>8</v>
      </c>
      <c r="R705" s="3">
        <v>8.6643397569993161E-2</v>
      </c>
      <c r="S705" s="3">
        <v>104532480</v>
      </c>
      <c r="T705" s="3">
        <v>0</v>
      </c>
    </row>
    <row r="706" spans="2:20" x14ac:dyDescent="0.2">
      <c r="B706">
        <v>69175</v>
      </c>
      <c r="C706" s="6">
        <v>6.9799999999999994E-11</v>
      </c>
      <c r="D706" s="1" t="s">
        <v>767</v>
      </c>
      <c r="E706" s="3">
        <v>912</v>
      </c>
      <c r="F706" s="7">
        <v>7.6002980324555401E-4</v>
      </c>
      <c r="G706" s="7">
        <v>871103.99999999988</v>
      </c>
      <c r="H706" s="7">
        <v>0</v>
      </c>
      <c r="I706" s="3">
        <f t="shared" si="10"/>
        <v>1.0082222222222221</v>
      </c>
      <c r="L706" s="1">
        <v>65147</v>
      </c>
      <c r="M706" s="3">
        <v>3.0014E-9</v>
      </c>
      <c r="N706" s="1" t="s">
        <v>736</v>
      </c>
      <c r="O706" s="1">
        <v>82</v>
      </c>
      <c r="P706" s="1">
        <v>65</v>
      </c>
      <c r="Q706" s="3">
        <v>5904</v>
      </c>
      <c r="R706" s="3">
        <v>1.174029777371181E-4</v>
      </c>
      <c r="S706" s="3">
        <v>37457472</v>
      </c>
      <c r="T706" s="3">
        <v>0</v>
      </c>
    </row>
    <row r="707" spans="2:20" x14ac:dyDescent="0.2">
      <c r="B707">
        <v>90228</v>
      </c>
      <c r="C707" s="6">
        <v>6.9799999999999994E-11</v>
      </c>
      <c r="D707" s="1" t="s">
        <v>768</v>
      </c>
      <c r="E707" s="3">
        <v>60353910</v>
      </c>
      <c r="F707" s="7">
        <v>1.1484710444773922E-8</v>
      </c>
      <c r="G707" s="7">
        <v>8601.0381873294155</v>
      </c>
      <c r="H707" s="7">
        <v>5987.6624077928736</v>
      </c>
      <c r="I707" s="3">
        <f t="shared" si="10"/>
        <v>9.954905309409047E-3</v>
      </c>
      <c r="L707" s="1">
        <v>65148</v>
      </c>
      <c r="M707" s="3">
        <v>1.2563999999999999E-9</v>
      </c>
      <c r="N707" s="1" t="s">
        <v>738</v>
      </c>
      <c r="O707" s="1">
        <v>83</v>
      </c>
      <c r="P707" s="1">
        <v>65</v>
      </c>
      <c r="Q707" s="3">
        <v>3600</v>
      </c>
      <c r="R707" s="3">
        <v>1.9254088348887369E-4</v>
      </c>
      <c r="S707" s="3">
        <v>15679871.999999998</v>
      </c>
      <c r="T707" s="3">
        <v>0</v>
      </c>
    </row>
    <row r="708" spans="2:20" x14ac:dyDescent="0.2">
      <c r="B708">
        <v>90229</v>
      </c>
      <c r="C708" s="6">
        <v>1.3959999999999999E-10</v>
      </c>
      <c r="D708" s="1" t="s">
        <v>769</v>
      </c>
      <c r="E708" s="3">
        <v>250314883200</v>
      </c>
      <c r="F708" s="7">
        <v>2.7691009487682963E-12</v>
      </c>
      <c r="G708" s="7">
        <v>4.1682332632181689</v>
      </c>
      <c r="H708" s="7">
        <v>4.1678692824411057</v>
      </c>
      <c r="I708" s="3">
        <f t="shared" ref="I708:I729" si="11">G708/10/24/3600</f>
        <v>4.824344054650659E-6</v>
      </c>
      <c r="L708" s="1">
        <v>65149</v>
      </c>
      <c r="M708" s="3">
        <v>3.4899999999999998E-10</v>
      </c>
      <c r="N708" s="1" t="s">
        <v>740</v>
      </c>
      <c r="O708" s="1">
        <v>84</v>
      </c>
      <c r="P708" s="1">
        <v>65</v>
      </c>
      <c r="Q708" s="3">
        <v>14824.8</v>
      </c>
      <c r="R708" s="3">
        <v>4.6755921196909595E-5</v>
      </c>
      <c r="S708" s="3">
        <v>4355520</v>
      </c>
      <c r="T708" s="3">
        <v>0</v>
      </c>
    </row>
    <row r="709" spans="2:20" x14ac:dyDescent="0.2">
      <c r="B709">
        <v>90231</v>
      </c>
      <c r="C709" s="6">
        <v>4.1879999999999999E-10</v>
      </c>
      <c r="D709" s="1" t="s">
        <v>770</v>
      </c>
      <c r="E709" s="3">
        <v>91872</v>
      </c>
      <c r="F709" s="7">
        <v>7.5447054658649568E-6</v>
      </c>
      <c r="G709" s="7">
        <v>5218911.0917650377</v>
      </c>
      <c r="H709" s="7">
        <v>2.4320190178017043E-97</v>
      </c>
      <c r="I709" s="3">
        <f t="shared" si="11"/>
        <v>6.0404063562095347</v>
      </c>
      <c r="L709" s="1">
        <v>65150</v>
      </c>
      <c r="M709" s="3">
        <v>6.9799999999999994E-11</v>
      </c>
      <c r="N709" s="1" t="s">
        <v>771</v>
      </c>
      <c r="O709" s="1">
        <v>85</v>
      </c>
      <c r="P709" s="1">
        <v>65</v>
      </c>
      <c r="Q709" s="3">
        <v>12528</v>
      </c>
      <c r="R709" s="3">
        <v>5.5327840083009681E-5</v>
      </c>
      <c r="S709" s="3">
        <v>871103.99999999988</v>
      </c>
      <c r="T709" s="3">
        <v>0</v>
      </c>
    </row>
    <row r="710" spans="2:20" x14ac:dyDescent="0.2">
      <c r="B710">
        <v>90232</v>
      </c>
      <c r="C710" s="6">
        <v>4.8860000000000005E-10</v>
      </c>
      <c r="D710" s="1" t="s">
        <v>772</v>
      </c>
      <c r="E710" s="3">
        <v>4.418064E+17</v>
      </c>
      <c r="F710" s="7">
        <v>1.568893480402152E-18</v>
      </c>
      <c r="G710" s="7">
        <v>8.265295242892991E-6</v>
      </c>
      <c r="H710" s="7">
        <v>8.265295242484052E-6</v>
      </c>
      <c r="I710" s="3">
        <f t="shared" si="11"/>
        <v>9.566313938533555E-12</v>
      </c>
      <c r="L710" s="1">
        <v>65160</v>
      </c>
      <c r="M710" s="3">
        <v>6.9799999999999994E-11</v>
      </c>
      <c r="N710" s="1" t="s">
        <v>773</v>
      </c>
      <c r="O710" s="1">
        <v>95</v>
      </c>
      <c r="P710" s="1">
        <v>65</v>
      </c>
      <c r="Q710" s="3">
        <v>6246720</v>
      </c>
      <c r="R710" s="3">
        <v>1.1096178163259204E-7</v>
      </c>
      <c r="S710" s="3">
        <v>79635.252506085802</v>
      </c>
      <c r="T710" s="3">
        <v>2406.4824570762144</v>
      </c>
    </row>
    <row r="711" spans="2:20" x14ac:dyDescent="0.2">
      <c r="B711">
        <v>90233</v>
      </c>
      <c r="C711" s="6">
        <v>2.7919999999999998E-10</v>
      </c>
      <c r="D711" s="1" t="s">
        <v>774</v>
      </c>
      <c r="E711" s="3">
        <v>1309.8</v>
      </c>
      <c r="F711" s="7">
        <v>5.2920077917235095E-4</v>
      </c>
      <c r="G711" s="7">
        <v>3484415.9999999995</v>
      </c>
      <c r="H711" s="7">
        <v>0</v>
      </c>
      <c r="I711" s="3">
        <f t="shared" si="11"/>
        <v>4.0328888888888885</v>
      </c>
      <c r="L711" s="1">
        <v>65161</v>
      </c>
      <c r="M711" s="3">
        <v>2.094E-10</v>
      </c>
      <c r="N711" s="1" t="s">
        <v>742</v>
      </c>
      <c r="O711" s="1">
        <v>96</v>
      </c>
      <c r="P711" s="1">
        <v>65</v>
      </c>
      <c r="Q711" s="3">
        <v>595296</v>
      </c>
      <c r="R711" s="3">
        <v>1.1643739930386654E-6</v>
      </c>
      <c r="S711" s="3">
        <v>1657697.5550979346</v>
      </c>
      <c r="T711" s="3">
        <v>1.8721600440339491E-10</v>
      </c>
    </row>
    <row r="712" spans="2:20" x14ac:dyDescent="0.2">
      <c r="B712">
        <v>90234</v>
      </c>
      <c r="C712" s="6">
        <v>1.3959999999999999E-10</v>
      </c>
      <c r="D712" s="1" t="s">
        <v>775</v>
      </c>
      <c r="E712" s="3">
        <v>2082240</v>
      </c>
      <c r="F712" s="7">
        <v>3.3288534489777611E-7</v>
      </c>
      <c r="G712" s="7">
        <v>435461.66192019911</v>
      </c>
      <c r="H712" s="7">
        <v>12.016609314982405</v>
      </c>
      <c r="I712" s="3">
        <f t="shared" si="11"/>
        <v>0.50400655314837861</v>
      </c>
      <c r="L712" s="1">
        <v>65162</v>
      </c>
      <c r="M712" s="3">
        <v>8.3759999999999998E-10</v>
      </c>
      <c r="N712" s="1" t="s">
        <v>743</v>
      </c>
      <c r="O712" s="1">
        <v>97</v>
      </c>
      <c r="P712" s="1">
        <v>65</v>
      </c>
      <c r="Q712" s="3">
        <v>456</v>
      </c>
      <c r="R712" s="3">
        <v>1.520059606491108E-3</v>
      </c>
      <c r="S712" s="3">
        <v>10453248</v>
      </c>
      <c r="T712" s="3">
        <v>0</v>
      </c>
    </row>
    <row r="713" spans="2:20" x14ac:dyDescent="0.2">
      <c r="B713">
        <v>90236</v>
      </c>
      <c r="C713" s="6">
        <v>1.3959999999999999E-10</v>
      </c>
      <c r="D713" s="1" t="s">
        <v>776</v>
      </c>
      <c r="E713" s="3">
        <v>2238</v>
      </c>
      <c r="F713" s="7">
        <v>3.0971723885609711E-4</v>
      </c>
      <c r="G713" s="7">
        <v>1742207.9999999998</v>
      </c>
      <c r="H713" s="7">
        <v>0</v>
      </c>
      <c r="I713" s="3">
        <f t="shared" si="11"/>
        <v>2.0164444444444443</v>
      </c>
      <c r="L713" s="1">
        <v>65163</v>
      </c>
      <c r="M713" s="3">
        <v>1.6054000000000001E-9</v>
      </c>
      <c r="N713" s="1" t="s">
        <v>744</v>
      </c>
      <c r="O713" s="1">
        <v>98</v>
      </c>
      <c r="P713" s="1">
        <v>65</v>
      </c>
      <c r="Q713" s="3">
        <v>1170</v>
      </c>
      <c r="R713" s="3">
        <v>5.9243348765807284E-4</v>
      </c>
      <c r="S713" s="3">
        <v>20035392</v>
      </c>
      <c r="T713" s="3">
        <v>0</v>
      </c>
    </row>
    <row r="714" spans="2:20" x14ac:dyDescent="0.2">
      <c r="B714">
        <v>91230</v>
      </c>
      <c r="C714" s="6">
        <v>2.094E-10</v>
      </c>
      <c r="D714" s="1" t="s">
        <v>777</v>
      </c>
      <c r="E714" s="3">
        <v>1503359.99999999</v>
      </c>
      <c r="F714" s="7">
        <v>4.6106533402508377E-7</v>
      </c>
      <c r="G714" s="7">
        <v>858682.13103949127</v>
      </c>
      <c r="H714" s="7">
        <v>0.41602817747993098</v>
      </c>
      <c r="I714" s="3">
        <f t="shared" si="11"/>
        <v>0.99384505907348519</v>
      </c>
      <c r="L714" s="1">
        <v>65164</v>
      </c>
      <c r="M714" s="3">
        <v>2.5127999999999998E-9</v>
      </c>
      <c r="N714" s="1" t="s">
        <v>745</v>
      </c>
      <c r="O714" s="1">
        <v>99</v>
      </c>
      <c r="P714" s="1">
        <v>65</v>
      </c>
      <c r="Q714" s="3">
        <v>180</v>
      </c>
      <c r="R714" s="3">
        <v>3.8508176697774738E-3</v>
      </c>
      <c r="S714" s="3">
        <v>31359743.999999996</v>
      </c>
      <c r="T714" s="3">
        <v>0</v>
      </c>
    </row>
    <row r="715" spans="2:20" x14ac:dyDescent="0.2">
      <c r="B715">
        <v>91231</v>
      </c>
      <c r="C715" s="6">
        <v>3.5598000000000001E-9</v>
      </c>
      <c r="D715" s="1" t="s">
        <v>778</v>
      </c>
      <c r="E715" s="3">
        <v>1033826976000</v>
      </c>
      <c r="F715" s="7">
        <v>6.704672993171589E-13</v>
      </c>
      <c r="G715" s="7">
        <v>25.735428372738475</v>
      </c>
      <c r="H715" s="7">
        <v>25.734884232280166</v>
      </c>
      <c r="I715" s="3">
        <f t="shared" si="11"/>
        <v>2.978637543141027E-5</v>
      </c>
      <c r="L715" s="1">
        <v>65165</v>
      </c>
      <c r="M715" s="3">
        <v>5.0953999999999996E-9</v>
      </c>
      <c r="N715" s="1" t="s">
        <v>746</v>
      </c>
      <c r="O715" s="1">
        <v>100</v>
      </c>
      <c r="P715" s="1">
        <v>65</v>
      </c>
      <c r="Q715" s="3">
        <v>126.6</v>
      </c>
      <c r="R715" s="3">
        <v>5.4750962129537541E-3</v>
      </c>
      <c r="S715" s="3">
        <v>63590591.999999993</v>
      </c>
      <c r="T715" s="3">
        <v>0</v>
      </c>
    </row>
    <row r="716" spans="2:20" x14ac:dyDescent="0.2">
      <c r="B716">
        <v>91232</v>
      </c>
      <c r="C716" s="6">
        <v>9.9115999999999996E-9</v>
      </c>
      <c r="D716" s="1" t="s">
        <v>779</v>
      </c>
      <c r="E716" s="3">
        <v>114048</v>
      </c>
      <c r="F716" s="7">
        <v>6.0776794030578814E-6</v>
      </c>
      <c r="G716" s="7">
        <v>123048390.28110033</v>
      </c>
      <c r="H716" s="7">
        <v>7.0912218899404565E-76</v>
      </c>
      <c r="I716" s="3">
        <f t="shared" si="11"/>
        <v>142.41711838090316</v>
      </c>
      <c r="L716" s="1">
        <v>66145</v>
      </c>
      <c r="M716" s="3">
        <v>4.4671999999999996E-9</v>
      </c>
      <c r="N716" s="1" t="s">
        <v>747</v>
      </c>
      <c r="O716" s="1">
        <v>79</v>
      </c>
      <c r="P716" s="1">
        <v>66</v>
      </c>
      <c r="Q716" s="3">
        <v>6</v>
      </c>
      <c r="R716" s="3">
        <v>0.11552453009332421</v>
      </c>
      <c r="S716" s="3">
        <v>55750655.999999993</v>
      </c>
      <c r="T716" s="3">
        <v>0</v>
      </c>
    </row>
    <row r="717" spans="2:20" x14ac:dyDescent="0.2">
      <c r="B717">
        <v>91233</v>
      </c>
      <c r="C717" s="6">
        <v>4.8650600000000002E-8</v>
      </c>
      <c r="D717" s="1" t="s">
        <v>780</v>
      </c>
      <c r="E717" s="3">
        <v>2330640</v>
      </c>
      <c r="F717" s="7">
        <v>2.9740636930626152E-7</v>
      </c>
      <c r="G717" s="7">
        <v>137582435.43252122</v>
      </c>
      <c r="H717" s="7">
        <v>11622.830198005498</v>
      </c>
      <c r="I717" s="3">
        <f t="shared" si="11"/>
        <v>159.23892989875139</v>
      </c>
      <c r="L717" s="1">
        <v>66146</v>
      </c>
      <c r="M717" s="3">
        <v>3.4201999999999998E-9</v>
      </c>
      <c r="N717" s="1" t="s">
        <v>748</v>
      </c>
      <c r="O717" s="1">
        <v>80</v>
      </c>
      <c r="P717" s="1">
        <v>66</v>
      </c>
      <c r="Q717" s="3">
        <v>33.200000000000003</v>
      </c>
      <c r="R717" s="3">
        <v>2.0877927125299556E-2</v>
      </c>
      <c r="S717" s="3">
        <v>42684096</v>
      </c>
      <c r="T717" s="3">
        <v>0</v>
      </c>
    </row>
    <row r="718" spans="2:20" x14ac:dyDescent="0.2">
      <c r="B718">
        <v>91234</v>
      </c>
      <c r="C718" s="6">
        <v>1.2326699999999999E-7</v>
      </c>
      <c r="D718" s="1" t="s">
        <v>781</v>
      </c>
      <c r="E718" s="3">
        <v>24120</v>
      </c>
      <c r="F718" s="7">
        <v>2.873744529684682E-5</v>
      </c>
      <c r="G718" s="7">
        <v>1538372159.9746544</v>
      </c>
      <c r="H718" s="7">
        <v>0</v>
      </c>
      <c r="I718" s="3">
        <f t="shared" si="11"/>
        <v>1780.523333303998</v>
      </c>
      <c r="L718" s="1">
        <v>66147</v>
      </c>
      <c r="M718" s="3">
        <v>2.3732E-9</v>
      </c>
      <c r="N718" s="1" t="s">
        <v>749</v>
      </c>
      <c r="O718" s="1">
        <v>81</v>
      </c>
      <c r="P718" s="1">
        <v>66</v>
      </c>
      <c r="Q718" s="3">
        <v>67</v>
      </c>
      <c r="R718" s="3">
        <v>1.0345480306864855E-2</v>
      </c>
      <c r="S718" s="3">
        <v>29617536</v>
      </c>
      <c r="T718" s="3">
        <v>0</v>
      </c>
    </row>
    <row r="719" spans="2:20" x14ac:dyDescent="0.2">
      <c r="B719">
        <v>91235</v>
      </c>
      <c r="C719" s="6">
        <v>3.51932E-7</v>
      </c>
      <c r="D719" s="1" t="s">
        <v>782</v>
      </c>
      <c r="E719" s="3">
        <v>1464</v>
      </c>
      <c r="F719" s="7">
        <v>4.7346118890706648E-4</v>
      </c>
      <c r="G719" s="7">
        <v>4392111360</v>
      </c>
      <c r="H719" s="7">
        <v>0</v>
      </c>
      <c r="I719" s="3">
        <f t="shared" si="11"/>
        <v>5083.4622222222224</v>
      </c>
      <c r="L719" s="1">
        <v>66148</v>
      </c>
      <c r="M719" s="3">
        <v>1.7450000000000001E-9</v>
      </c>
      <c r="N719" s="1" t="s">
        <v>750</v>
      </c>
      <c r="O719" s="1">
        <v>82</v>
      </c>
      <c r="P719" s="1">
        <v>66</v>
      </c>
      <c r="Q719" s="3">
        <v>198</v>
      </c>
      <c r="R719" s="3">
        <v>3.5007433361613398E-3</v>
      </c>
      <c r="S719" s="3">
        <v>21777600</v>
      </c>
      <c r="T719" s="3">
        <v>0</v>
      </c>
    </row>
    <row r="720" spans="2:20" x14ac:dyDescent="0.2">
      <c r="B720">
        <v>91236</v>
      </c>
      <c r="C720" s="6">
        <v>6.3064299999999996E-7</v>
      </c>
      <c r="D720" s="1" t="s">
        <v>783</v>
      </c>
      <c r="E720" s="3">
        <v>546</v>
      </c>
      <c r="F720" s="7">
        <v>1.2695003306958704E-3</v>
      </c>
      <c r="G720" s="7">
        <v>7870424640</v>
      </c>
      <c r="H720" s="7">
        <v>0</v>
      </c>
      <c r="I720" s="3">
        <f t="shared" si="11"/>
        <v>9109.2877777777776</v>
      </c>
      <c r="L720" s="1">
        <v>66149</v>
      </c>
      <c r="M720" s="3">
        <v>4.8860000000000005E-10</v>
      </c>
      <c r="N720" s="1" t="s">
        <v>751</v>
      </c>
      <c r="O720" s="1">
        <v>83</v>
      </c>
      <c r="P720" s="1">
        <v>66</v>
      </c>
      <c r="Q720" s="3">
        <v>252</v>
      </c>
      <c r="R720" s="3">
        <v>2.7505840498410527E-3</v>
      </c>
      <c r="S720" s="3">
        <v>6097728.0000000009</v>
      </c>
      <c r="T720" s="3">
        <v>0</v>
      </c>
    </row>
    <row r="721" spans="2:20" x14ac:dyDescent="0.2">
      <c r="B721">
        <v>91237</v>
      </c>
      <c r="C721" s="6">
        <v>4.2710600000000001E-7</v>
      </c>
      <c r="D721" s="1" t="s">
        <v>784</v>
      </c>
      <c r="E721" s="3">
        <v>522</v>
      </c>
      <c r="F721" s="7">
        <v>1.3278681619922324E-3</v>
      </c>
      <c r="G721" s="7">
        <v>5330282880</v>
      </c>
      <c r="H721" s="7">
        <v>0</v>
      </c>
      <c r="I721" s="3">
        <f t="shared" si="11"/>
        <v>6169.3088888888888</v>
      </c>
      <c r="L721" s="1">
        <v>66150</v>
      </c>
      <c r="M721" s="3">
        <v>2.7919999999999998E-10</v>
      </c>
      <c r="N721" s="1" t="s">
        <v>785</v>
      </c>
      <c r="O721" s="1">
        <v>84</v>
      </c>
      <c r="P721" s="1">
        <v>66</v>
      </c>
      <c r="Q721" s="3">
        <v>430.2</v>
      </c>
      <c r="R721" s="3">
        <v>1.6112207823336712E-3</v>
      </c>
      <c r="S721" s="3">
        <v>3484415.9999999995</v>
      </c>
      <c r="T721" s="3">
        <v>0</v>
      </c>
    </row>
    <row r="722" spans="2:20" x14ac:dyDescent="0.2">
      <c r="B722">
        <v>92230</v>
      </c>
      <c r="C722" s="6">
        <v>1.7450000000000001E-9</v>
      </c>
      <c r="D722" s="1" t="s">
        <v>786</v>
      </c>
      <c r="E722" s="3">
        <v>1797120</v>
      </c>
      <c r="F722" s="7">
        <v>3.8569888519405789E-7</v>
      </c>
      <c r="G722" s="7">
        <v>6171871.1348304879</v>
      </c>
      <c r="H722" s="7">
        <v>32.204705318240961</v>
      </c>
      <c r="I722" s="3">
        <f t="shared" si="11"/>
        <v>7.1433693690167681</v>
      </c>
      <c r="L722" s="1">
        <v>66153</v>
      </c>
      <c r="M722" s="3">
        <v>6.9799999999999994E-11</v>
      </c>
      <c r="N722" s="1" t="s">
        <v>787</v>
      </c>
      <c r="O722" s="1">
        <v>87</v>
      </c>
      <c r="P722" s="1">
        <v>66</v>
      </c>
      <c r="Q722" s="3">
        <v>23040</v>
      </c>
      <c r="R722" s="3">
        <v>3.0084513045136514E-5</v>
      </c>
      <c r="S722" s="3">
        <v>871103.99999551813</v>
      </c>
      <c r="T722" s="3">
        <v>0</v>
      </c>
    </row>
    <row r="723" spans="2:20" x14ac:dyDescent="0.2">
      <c r="B723">
        <v>92231</v>
      </c>
      <c r="C723" s="6">
        <v>3.02234E-8</v>
      </c>
      <c r="D723" s="1" t="s">
        <v>788</v>
      </c>
      <c r="E723" s="3">
        <v>362880</v>
      </c>
      <c r="F723" s="7">
        <v>1.9101278123896201E-6</v>
      </c>
      <c r="G723" s="7">
        <v>304774485.24059451</v>
      </c>
      <c r="H723" s="7">
        <v>2.1039649811694775E-18</v>
      </c>
      <c r="I723" s="3">
        <f t="shared" si="11"/>
        <v>352.74824680624369</v>
      </c>
      <c r="L723" s="1">
        <v>66166</v>
      </c>
      <c r="M723" s="3">
        <v>2.7919999999999998E-10</v>
      </c>
      <c r="N723" s="1" t="s">
        <v>752</v>
      </c>
      <c r="O723" s="1">
        <v>100</v>
      </c>
      <c r="P723" s="1">
        <v>66</v>
      </c>
      <c r="Q723" s="3">
        <v>293760</v>
      </c>
      <c r="R723" s="3">
        <v>2.3595696505989421E-6</v>
      </c>
      <c r="S723" s="3">
        <v>3030738.0633291164</v>
      </c>
      <c r="T723" s="3">
        <v>1.462490273696105E-26</v>
      </c>
    </row>
    <row r="724" spans="2:20" x14ac:dyDescent="0.2">
      <c r="B724">
        <v>92232</v>
      </c>
      <c r="C724" s="6">
        <v>8.3955399999999998E-7</v>
      </c>
      <c r="D724" s="1" t="s">
        <v>789</v>
      </c>
      <c r="E724" s="3">
        <v>2174318640</v>
      </c>
      <c r="F724" s="7">
        <v>3.1878822533570577E-10</v>
      </c>
      <c r="G724" s="7">
        <v>2885489.0254063467</v>
      </c>
      <c r="H724" s="7">
        <v>2856625.6520450609</v>
      </c>
      <c r="I724" s="3">
        <f t="shared" si="11"/>
        <v>3.3396863719980865</v>
      </c>
      <c r="L724" s="1">
        <v>66167</v>
      </c>
      <c r="M724" s="3">
        <v>1.047E-9</v>
      </c>
      <c r="N724" s="1" t="s">
        <v>753</v>
      </c>
      <c r="O724" s="1">
        <v>101</v>
      </c>
      <c r="P724" s="1">
        <v>66</v>
      </c>
      <c r="Q724" s="3">
        <v>372</v>
      </c>
      <c r="R724" s="3">
        <v>1.8632988724729713E-3</v>
      </c>
      <c r="S724" s="3">
        <v>13066560</v>
      </c>
      <c r="T724" s="3">
        <v>0</v>
      </c>
    </row>
    <row r="725" spans="2:20" x14ac:dyDescent="0.2">
      <c r="B725">
        <v>92233</v>
      </c>
      <c r="C725" s="6">
        <v>9.0700900000000008E-6</v>
      </c>
      <c r="D725" s="1" t="s">
        <v>790</v>
      </c>
      <c r="E725" s="3">
        <v>5023969920000</v>
      </c>
      <c r="F725" s="7">
        <v>1.3796801963335507E-13</v>
      </c>
      <c r="G725" s="7">
        <v>13493.304741113865</v>
      </c>
      <c r="H725" s="7">
        <v>13493.246032419578</v>
      </c>
      <c r="I725" s="3">
        <f t="shared" si="11"/>
        <v>1.5617250857770678E-2</v>
      </c>
      <c r="L725" s="1">
        <v>66168</v>
      </c>
      <c r="M725" s="3">
        <v>1.4658E-9</v>
      </c>
      <c r="N725" s="1" t="s">
        <v>754</v>
      </c>
      <c r="O725" s="1">
        <v>102</v>
      </c>
      <c r="P725" s="1">
        <v>66</v>
      </c>
      <c r="Q725" s="3">
        <v>522</v>
      </c>
      <c r="R725" s="3">
        <v>1.3278681619922324E-3</v>
      </c>
      <c r="S725" s="3">
        <v>18293184</v>
      </c>
      <c r="T725" s="3">
        <v>0</v>
      </c>
    </row>
    <row r="726" spans="2:20" x14ac:dyDescent="0.2">
      <c r="B726">
        <v>92234</v>
      </c>
      <c r="C726" s="6">
        <v>7.2731599999999998E-6</v>
      </c>
      <c r="D726" s="1" t="s">
        <v>791</v>
      </c>
      <c r="E726" s="3">
        <v>7747390800000</v>
      </c>
      <c r="F726" s="7">
        <v>8.9468467314175671E-14</v>
      </c>
      <c r="G726" s="7">
        <v>7016.5148754592692</v>
      </c>
      <c r="H726" s="7">
        <v>7016.4950785477504</v>
      </c>
      <c r="I726" s="3">
        <f t="shared" si="11"/>
        <v>8.1209662910408202E-3</v>
      </c>
      <c r="L726" s="1">
        <v>67147</v>
      </c>
      <c r="M726" s="3">
        <v>4.8860000000000005E-10</v>
      </c>
      <c r="N726" s="1" t="s">
        <v>755</v>
      </c>
      <c r="O726" s="1">
        <v>80</v>
      </c>
      <c r="P726" s="1">
        <v>67</v>
      </c>
      <c r="Q726" s="3">
        <v>5.8</v>
      </c>
      <c r="R726" s="3">
        <v>0.11950813457930091</v>
      </c>
      <c r="S726" s="3">
        <v>6097728.0000000009</v>
      </c>
      <c r="T726" s="3">
        <v>0</v>
      </c>
    </row>
    <row r="727" spans="2:20" x14ac:dyDescent="0.2">
      <c r="B727">
        <v>92235</v>
      </c>
      <c r="C727" s="6">
        <v>3.9106800000000003E-5</v>
      </c>
      <c r="D727" s="1" t="s">
        <v>792</v>
      </c>
      <c r="E727" s="3">
        <v>2.22165504E+16</v>
      </c>
      <c r="F727" s="7">
        <v>3.1199586257997337E-17</v>
      </c>
      <c r="G727" s="7">
        <v>13.156166321351749</v>
      </c>
      <c r="H727" s="7">
        <v>13.156166308407263</v>
      </c>
      <c r="I727" s="3">
        <f t="shared" si="11"/>
        <v>1.5227044353416376E-5</v>
      </c>
      <c r="L727" s="1">
        <v>67148</v>
      </c>
      <c r="M727" s="3">
        <v>1.047E-9</v>
      </c>
      <c r="N727" s="1" t="s">
        <v>757</v>
      </c>
      <c r="O727" s="1">
        <v>81</v>
      </c>
      <c r="P727" s="1">
        <v>67</v>
      </c>
      <c r="Q727" s="3">
        <v>2.2000000000000002</v>
      </c>
      <c r="R727" s="3">
        <v>0.31506690025452055</v>
      </c>
      <c r="S727" s="3">
        <v>13066560</v>
      </c>
      <c r="T727" s="3">
        <v>0</v>
      </c>
    </row>
    <row r="728" spans="2:20" x14ac:dyDescent="0.2">
      <c r="B728">
        <v>92236</v>
      </c>
      <c r="C728" s="6">
        <v>1.4918500000000001E-3</v>
      </c>
      <c r="D728" s="1" t="s">
        <v>793</v>
      </c>
      <c r="E728" s="3">
        <v>739078992000000</v>
      </c>
      <c r="F728" s="7">
        <v>9.3785263559479616E-16</v>
      </c>
      <c r="G728" s="7">
        <v>15086.486499825469</v>
      </c>
      <c r="H728" s="7">
        <v>15086.486053625729</v>
      </c>
      <c r="I728" s="3">
        <f t="shared" si="11"/>
        <v>1.7461211226649849E-2</v>
      </c>
      <c r="L728" s="1">
        <v>67149</v>
      </c>
      <c r="M728" s="3">
        <v>4.8860000000000005E-10</v>
      </c>
      <c r="N728" s="1" t="s">
        <v>759</v>
      </c>
      <c r="O728" s="1">
        <v>82</v>
      </c>
      <c r="P728" s="1">
        <v>67</v>
      </c>
      <c r="Q728" s="3">
        <v>21.1</v>
      </c>
      <c r="R728" s="3">
        <v>3.2850577277722524E-2</v>
      </c>
      <c r="S728" s="3">
        <v>6097728.0000000009</v>
      </c>
      <c r="T728" s="3">
        <v>0</v>
      </c>
    </row>
    <row r="729" spans="2:20" x14ac:dyDescent="0.2">
      <c r="B729">
        <v>92237</v>
      </c>
      <c r="C729" s="6">
        <v>7.2702999999999997E-6</v>
      </c>
      <c r="D729" s="1" t="s">
        <v>794</v>
      </c>
      <c r="E729" s="3">
        <v>583200</v>
      </c>
      <c r="F729" s="7">
        <v>1.1885239721535413E-6</v>
      </c>
      <c r="G729" s="7">
        <v>58239839521.219711</v>
      </c>
      <c r="H729" s="7">
        <v>3.0711560599901852E-6</v>
      </c>
      <c r="I729" s="3">
        <f t="shared" si="11"/>
        <v>67407.221668078375</v>
      </c>
      <c r="L729" s="1">
        <v>67150</v>
      </c>
      <c r="M729" s="3">
        <v>2.7919999999999998E-10</v>
      </c>
      <c r="N729" s="1" t="s">
        <v>760</v>
      </c>
      <c r="O729" s="1">
        <v>83</v>
      </c>
      <c r="P729" s="1">
        <v>67</v>
      </c>
      <c r="Q729" s="3">
        <v>72</v>
      </c>
      <c r="R729" s="3">
        <v>9.6270441744436847E-3</v>
      </c>
      <c r="S729" s="3">
        <v>3484415.9999999995</v>
      </c>
      <c r="T729" s="3">
        <v>0</v>
      </c>
    </row>
    <row r="730" spans="2:20" x14ac:dyDescent="0.2">
      <c r="L730" s="1">
        <v>67153</v>
      </c>
      <c r="M730" s="3">
        <v>6.9799999999999994E-11</v>
      </c>
      <c r="N730" s="1" t="s">
        <v>795</v>
      </c>
      <c r="O730" s="1">
        <v>86</v>
      </c>
      <c r="P730" s="1">
        <v>67</v>
      </c>
      <c r="Q730" s="3">
        <v>120.6</v>
      </c>
      <c r="R730" s="3">
        <v>5.7474890593693642E-3</v>
      </c>
      <c r="S730" s="3">
        <v>871103.99999999988</v>
      </c>
      <c r="T730" s="3">
        <v>0</v>
      </c>
    </row>
    <row r="731" spans="2:20" x14ac:dyDescent="0.2">
      <c r="L731" s="1">
        <v>67168</v>
      </c>
      <c r="M731" s="3">
        <v>1.3959999999999999E-10</v>
      </c>
      <c r="N731" s="1" t="s">
        <v>796</v>
      </c>
      <c r="O731" s="1">
        <v>101</v>
      </c>
      <c r="P731" s="1">
        <v>67</v>
      </c>
      <c r="Q731" s="3">
        <v>179.4</v>
      </c>
      <c r="R731" s="3">
        <v>3.8636966586396058E-3</v>
      </c>
      <c r="S731" s="3">
        <v>1742207.9999999998</v>
      </c>
      <c r="T731" s="3">
        <v>0</v>
      </c>
    </row>
    <row r="732" spans="2:20" x14ac:dyDescent="0.2">
      <c r="F732" t="s">
        <v>797</v>
      </c>
      <c r="G732">
        <f>49300000000000/37000000000</f>
        <v>1332.4324324324325</v>
      </c>
      <c r="H732">
        <f>379000000/37000000000</f>
        <v>1.0243243243243244E-2</v>
      </c>
      <c r="L732" s="1">
        <v>67169</v>
      </c>
      <c r="M732" s="3">
        <v>2.094E-10</v>
      </c>
      <c r="N732" s="1" t="s">
        <v>762</v>
      </c>
      <c r="O732" s="1">
        <v>102</v>
      </c>
      <c r="P732" s="1">
        <v>67</v>
      </c>
      <c r="Q732" s="3">
        <v>283.2</v>
      </c>
      <c r="R732" s="3">
        <v>2.4475536036721235E-3</v>
      </c>
      <c r="S732" s="3">
        <v>2613312</v>
      </c>
      <c r="T732" s="3">
        <v>0</v>
      </c>
    </row>
    <row r="733" spans="2:20" x14ac:dyDescent="0.2">
      <c r="L733" s="1">
        <v>67170</v>
      </c>
      <c r="M733" s="3">
        <v>6.9799999999999994E-11</v>
      </c>
      <c r="N733" s="1" t="s">
        <v>798</v>
      </c>
      <c r="O733" s="1">
        <v>103</v>
      </c>
      <c r="P733" s="1">
        <v>67</v>
      </c>
      <c r="Q733" s="3">
        <v>165.6</v>
      </c>
      <c r="R733" s="3">
        <v>4.1856713801929069E-3</v>
      </c>
      <c r="S733" s="3">
        <v>871103.99999999988</v>
      </c>
      <c r="T733" s="3">
        <v>0</v>
      </c>
    </row>
    <row r="734" spans="2:20" x14ac:dyDescent="0.2">
      <c r="L734" s="1">
        <v>68147</v>
      </c>
      <c r="M734" s="3">
        <v>6.9799999999999994E-11</v>
      </c>
      <c r="N734" s="1" t="s">
        <v>763</v>
      </c>
      <c r="O734" s="1">
        <v>79</v>
      </c>
      <c r="P734" s="1">
        <v>68</v>
      </c>
      <c r="Q734" s="3">
        <v>2.5</v>
      </c>
      <c r="R734" s="3">
        <v>0.2772588722239781</v>
      </c>
      <c r="S734" s="3">
        <v>871103.99999999988</v>
      </c>
      <c r="T734" s="3">
        <v>0</v>
      </c>
    </row>
    <row r="735" spans="2:20" x14ac:dyDescent="0.2">
      <c r="L735" s="1">
        <v>68148</v>
      </c>
      <c r="M735" s="3">
        <v>6.9799999999999994E-11</v>
      </c>
      <c r="N735" s="1" t="s">
        <v>764</v>
      </c>
      <c r="O735" s="1">
        <v>80</v>
      </c>
      <c r="P735" s="1">
        <v>68</v>
      </c>
      <c r="Q735" s="3">
        <v>4.5999999999999996</v>
      </c>
      <c r="R735" s="3">
        <v>0.15068416968694465</v>
      </c>
      <c r="S735" s="3">
        <v>871103.99999999988</v>
      </c>
      <c r="T735" s="3">
        <v>0</v>
      </c>
    </row>
    <row r="736" spans="2:20" x14ac:dyDescent="0.2">
      <c r="L736" s="1">
        <v>68149</v>
      </c>
      <c r="M736" s="3">
        <v>1.3959999999999999E-10</v>
      </c>
      <c r="N736" s="1" t="s">
        <v>799</v>
      </c>
      <c r="O736" s="1">
        <v>81</v>
      </c>
      <c r="P736" s="1">
        <v>68</v>
      </c>
      <c r="Q736" s="3">
        <v>4</v>
      </c>
      <c r="R736" s="3">
        <v>0.17328679513998632</v>
      </c>
      <c r="S736" s="3">
        <v>1742207.9999999998</v>
      </c>
      <c r="T736" s="3">
        <v>0</v>
      </c>
    </row>
    <row r="737" spans="12:20" x14ac:dyDescent="0.2">
      <c r="L737" s="1">
        <v>68150</v>
      </c>
      <c r="M737" s="3">
        <v>6.9799999999999994E-11</v>
      </c>
      <c r="N737" s="1" t="s">
        <v>800</v>
      </c>
      <c r="O737" s="1">
        <v>82</v>
      </c>
      <c r="P737" s="1">
        <v>68</v>
      </c>
      <c r="Q737" s="3">
        <v>18.5</v>
      </c>
      <c r="R737" s="3">
        <v>3.7467415165402446E-2</v>
      </c>
      <c r="S737" s="3">
        <v>871103.99999999988</v>
      </c>
      <c r="T737" s="3">
        <v>0</v>
      </c>
    </row>
    <row r="738" spans="12:20" x14ac:dyDescent="0.2">
      <c r="L738" s="1">
        <v>68173</v>
      </c>
      <c r="M738" s="3">
        <v>6.9799999999999994E-11</v>
      </c>
      <c r="N738" s="1" t="s">
        <v>765</v>
      </c>
      <c r="O738" s="1">
        <v>105</v>
      </c>
      <c r="P738" s="1">
        <v>68</v>
      </c>
      <c r="Q738" s="3">
        <v>84</v>
      </c>
      <c r="R738" s="3">
        <v>8.2517521495231588E-3</v>
      </c>
      <c r="S738" s="3">
        <v>871103.99999999988</v>
      </c>
      <c r="T738" s="3">
        <v>0</v>
      </c>
    </row>
    <row r="739" spans="12:20" x14ac:dyDescent="0.2">
      <c r="L739" s="1">
        <v>69151</v>
      </c>
      <c r="M739" s="3">
        <v>1.3959999999999999E-10</v>
      </c>
      <c r="N739" s="1" t="s">
        <v>766</v>
      </c>
      <c r="O739" s="1">
        <v>82</v>
      </c>
      <c r="P739" s="1">
        <v>69</v>
      </c>
      <c r="Q739" s="3">
        <v>4.17</v>
      </c>
      <c r="R739" s="3">
        <v>0.16622234545802045</v>
      </c>
      <c r="S739" s="3">
        <v>1742207.9999999998</v>
      </c>
      <c r="T739" s="3">
        <v>0</v>
      </c>
    </row>
    <row r="740" spans="12:20" x14ac:dyDescent="0.2">
      <c r="L740" s="1">
        <v>69175</v>
      </c>
      <c r="M740" s="3">
        <v>1.3959999999999999E-10</v>
      </c>
      <c r="N740" s="1" t="s">
        <v>767</v>
      </c>
      <c r="O740" s="1">
        <v>106</v>
      </c>
      <c r="P740" s="1">
        <v>69</v>
      </c>
      <c r="Q740" s="3">
        <v>912</v>
      </c>
      <c r="R740" s="3">
        <v>7.6002980324555401E-4</v>
      </c>
      <c r="S740" s="3">
        <v>1742207.9999999998</v>
      </c>
      <c r="T740" s="3">
        <v>0</v>
      </c>
    </row>
    <row r="741" spans="12:20" x14ac:dyDescent="0.2">
      <c r="L741" s="1">
        <v>90230</v>
      </c>
      <c r="M741" s="3">
        <v>2.094E-10</v>
      </c>
      <c r="N741" s="1" t="s">
        <v>801</v>
      </c>
      <c r="O741" s="1">
        <v>140</v>
      </c>
      <c r="P741" s="1">
        <v>90</v>
      </c>
      <c r="Q741" s="3">
        <v>2379443040000</v>
      </c>
      <c r="R741" s="3">
        <v>2.9130648177228285E-13</v>
      </c>
      <c r="S741" s="3">
        <v>0.65774127925903514</v>
      </c>
      <c r="T741" s="3">
        <v>0.65773523685364887</v>
      </c>
    </row>
    <row r="742" spans="12:20" x14ac:dyDescent="0.2">
      <c r="L742" s="1">
        <v>90231</v>
      </c>
      <c r="M742" s="3">
        <v>4.1879999999999999E-10</v>
      </c>
      <c r="N742" s="1" t="s">
        <v>770</v>
      </c>
      <c r="O742" s="1">
        <v>141</v>
      </c>
      <c r="P742" s="1">
        <v>90</v>
      </c>
      <c r="Q742" s="3">
        <v>91872</v>
      </c>
      <c r="R742" s="3">
        <v>7.5447054658649568E-6</v>
      </c>
      <c r="S742" s="3">
        <v>5218911.0917650377</v>
      </c>
      <c r="T742" s="3">
        <v>2.4320190178017043E-97</v>
      </c>
    </row>
    <row r="743" spans="12:20" x14ac:dyDescent="0.2">
      <c r="L743" s="1">
        <v>90232</v>
      </c>
      <c r="M743" s="3">
        <v>7.6779999999999997E-10</v>
      </c>
      <c r="N743" s="1" t="s">
        <v>772</v>
      </c>
      <c r="O743" s="1">
        <v>142</v>
      </c>
      <c r="P743" s="1">
        <v>90</v>
      </c>
      <c r="Q743" s="3">
        <v>4.418064E+17</v>
      </c>
      <c r="R743" s="3">
        <v>1.568893480402152E-18</v>
      </c>
      <c r="S743" s="3">
        <v>1.2988321095974698E-5</v>
      </c>
      <c r="T743" s="3">
        <v>1.2988321095332079E-5</v>
      </c>
    </row>
    <row r="744" spans="12:20" x14ac:dyDescent="0.2">
      <c r="L744" s="1">
        <v>90233</v>
      </c>
      <c r="M744" s="3">
        <v>3.4899999999999998E-10</v>
      </c>
      <c r="N744" s="1" t="s">
        <v>774</v>
      </c>
      <c r="O744" s="1">
        <v>143</v>
      </c>
      <c r="P744" s="1">
        <v>90</v>
      </c>
      <c r="Q744" s="3">
        <v>1309.8</v>
      </c>
      <c r="R744" s="3">
        <v>5.2920077917235095E-4</v>
      </c>
      <c r="S744" s="3">
        <v>4355520</v>
      </c>
      <c r="T744" s="3">
        <v>0</v>
      </c>
    </row>
    <row r="745" spans="12:20" x14ac:dyDescent="0.2">
      <c r="L745" s="1">
        <v>90234</v>
      </c>
      <c r="M745" s="3">
        <v>2.094E-10</v>
      </c>
      <c r="N745" s="1" t="s">
        <v>775</v>
      </c>
      <c r="O745" s="1">
        <v>144</v>
      </c>
      <c r="P745" s="1">
        <v>90</v>
      </c>
      <c r="Q745" s="3">
        <v>2082240</v>
      </c>
      <c r="R745" s="3">
        <v>3.3288534489777611E-7</v>
      </c>
      <c r="S745" s="3">
        <v>653192.49288029876</v>
      </c>
      <c r="T745" s="3">
        <v>18.024913972473609</v>
      </c>
    </row>
    <row r="746" spans="12:20" x14ac:dyDescent="0.2">
      <c r="L746" s="1">
        <v>90236</v>
      </c>
      <c r="M746" s="3">
        <v>1.3959999999999999E-10</v>
      </c>
      <c r="N746" s="1" t="s">
        <v>776</v>
      </c>
      <c r="O746" s="1">
        <v>146</v>
      </c>
      <c r="P746" s="1">
        <v>90</v>
      </c>
      <c r="Q746" s="3">
        <v>2238</v>
      </c>
      <c r="R746" s="3">
        <v>3.0971723885609711E-4</v>
      </c>
      <c r="S746" s="3">
        <v>1742207.9999999998</v>
      </c>
      <c r="T746" s="3">
        <v>0</v>
      </c>
    </row>
    <row r="747" spans="12:20" x14ac:dyDescent="0.2">
      <c r="L747" s="1">
        <v>91230</v>
      </c>
      <c r="M747" s="3">
        <v>2.094E-10</v>
      </c>
      <c r="N747" s="1" t="s">
        <v>777</v>
      </c>
      <c r="O747" s="1">
        <v>139</v>
      </c>
      <c r="P747" s="1">
        <v>91</v>
      </c>
      <c r="Q747" s="3">
        <v>1503359.99999999</v>
      </c>
      <c r="R747" s="3">
        <v>4.6106533402508377E-7</v>
      </c>
      <c r="S747" s="3">
        <v>858682.13103949127</v>
      </c>
      <c r="T747" s="3">
        <v>0.41602817747993098</v>
      </c>
    </row>
    <row r="748" spans="12:20" x14ac:dyDescent="0.2">
      <c r="L748" s="1">
        <v>91231</v>
      </c>
      <c r="M748" s="3">
        <v>3.4201999999999998E-9</v>
      </c>
      <c r="N748" s="1" t="s">
        <v>778</v>
      </c>
      <c r="O748" s="1">
        <v>140</v>
      </c>
      <c r="P748" s="1">
        <v>91</v>
      </c>
      <c r="Q748" s="3">
        <v>1033826976000</v>
      </c>
      <c r="R748" s="3">
        <v>6.704672993171589E-13</v>
      </c>
      <c r="S748" s="3">
        <v>24.726195887533045</v>
      </c>
      <c r="T748" s="3">
        <v>24.725673085916238</v>
      </c>
    </row>
    <row r="749" spans="12:20" x14ac:dyDescent="0.2">
      <c r="L749" s="1">
        <v>91232</v>
      </c>
      <c r="M749" s="3">
        <v>1.1447200000000001E-8</v>
      </c>
      <c r="N749" s="1" t="s">
        <v>779</v>
      </c>
      <c r="O749" s="1">
        <v>141</v>
      </c>
      <c r="P749" s="1">
        <v>91</v>
      </c>
      <c r="Q749" s="3">
        <v>114048</v>
      </c>
      <c r="R749" s="3">
        <v>6.0776794030578814E-6</v>
      </c>
      <c r="S749" s="3">
        <v>142112225.39507362</v>
      </c>
      <c r="T749" s="3">
        <v>8.1898619010579922E-76</v>
      </c>
    </row>
    <row r="750" spans="12:20" x14ac:dyDescent="0.2">
      <c r="L750" s="1">
        <v>91233</v>
      </c>
      <c r="M750" s="3">
        <v>6.0935400000000004E-8</v>
      </c>
      <c r="N750" s="1" t="s">
        <v>780</v>
      </c>
      <c r="O750" s="1">
        <v>142</v>
      </c>
      <c r="P750" s="1">
        <v>91</v>
      </c>
      <c r="Q750" s="3">
        <v>2330640</v>
      </c>
      <c r="R750" s="3">
        <v>2.9740636930626152E-7</v>
      </c>
      <c r="S750" s="3">
        <v>172323480.82150793</v>
      </c>
      <c r="T750" s="3">
        <v>14557.71988932396</v>
      </c>
    </row>
    <row r="751" spans="12:20" x14ac:dyDescent="0.2">
      <c r="L751" s="1">
        <v>91234</v>
      </c>
      <c r="M751" s="3">
        <v>1.47557E-7</v>
      </c>
      <c r="N751" s="1" t="s">
        <v>781</v>
      </c>
      <c r="O751" s="1">
        <v>143</v>
      </c>
      <c r="P751" s="1">
        <v>91</v>
      </c>
      <c r="Q751" s="3">
        <v>24120</v>
      </c>
      <c r="R751" s="3">
        <v>2.873744529684682E-5</v>
      </c>
      <c r="S751" s="3">
        <v>1841511359.9696605</v>
      </c>
      <c r="T751" s="3">
        <v>0</v>
      </c>
    </row>
    <row r="752" spans="12:20" x14ac:dyDescent="0.2">
      <c r="L752" s="1">
        <v>91235</v>
      </c>
      <c r="M752" s="3">
        <v>4.2061499999999998E-7</v>
      </c>
      <c r="N752" s="1" t="s">
        <v>782</v>
      </c>
      <c r="O752" s="1">
        <v>144</v>
      </c>
      <c r="P752" s="1">
        <v>91</v>
      </c>
      <c r="Q752" s="3">
        <v>1464</v>
      </c>
      <c r="R752" s="3">
        <v>4.7346118890706648E-4</v>
      </c>
      <c r="S752" s="3">
        <v>5249275200</v>
      </c>
      <c r="T752" s="3">
        <v>0</v>
      </c>
    </row>
    <row r="753" spans="12:20" x14ac:dyDescent="0.2">
      <c r="L753" s="1">
        <v>91236</v>
      </c>
      <c r="M753" s="3">
        <v>7.5998199999999996E-7</v>
      </c>
      <c r="N753" s="1" t="s">
        <v>783</v>
      </c>
      <c r="O753" s="1">
        <v>145</v>
      </c>
      <c r="P753" s="1">
        <v>91</v>
      </c>
      <c r="Q753" s="3">
        <v>546</v>
      </c>
      <c r="R753" s="3">
        <v>1.2695003306958704E-3</v>
      </c>
      <c r="S753" s="3">
        <v>9484575360</v>
      </c>
      <c r="T753" s="3">
        <v>0</v>
      </c>
    </row>
    <row r="754" spans="12:20" x14ac:dyDescent="0.2">
      <c r="L754" s="1">
        <v>91237</v>
      </c>
      <c r="M754" s="3">
        <v>5.42765E-7</v>
      </c>
      <c r="N754" s="1" t="s">
        <v>784</v>
      </c>
      <c r="O754" s="1">
        <v>146</v>
      </c>
      <c r="P754" s="1">
        <v>91</v>
      </c>
      <c r="Q754" s="3">
        <v>522</v>
      </c>
      <c r="R754" s="3">
        <v>1.3278681619922324E-3</v>
      </c>
      <c r="S754" s="3">
        <v>6773707200</v>
      </c>
      <c r="T754" s="3">
        <v>0</v>
      </c>
    </row>
    <row r="755" spans="12:20" x14ac:dyDescent="0.2">
      <c r="L755" s="1">
        <v>92230</v>
      </c>
      <c r="M755" s="3">
        <v>2.6524000000000001E-9</v>
      </c>
      <c r="N755" s="1" t="s">
        <v>786</v>
      </c>
      <c r="O755" s="1">
        <v>138</v>
      </c>
      <c r="P755" s="1">
        <v>92</v>
      </c>
      <c r="Q755" s="3">
        <v>1797120</v>
      </c>
      <c r="R755" s="3">
        <v>3.8569888519405789E-7</v>
      </c>
      <c r="S755" s="3">
        <v>9381244.1249423418</v>
      </c>
      <c r="T755" s="3">
        <v>48.951152083726264</v>
      </c>
    </row>
    <row r="756" spans="12:20" x14ac:dyDescent="0.2">
      <c r="L756" s="1">
        <v>92231</v>
      </c>
      <c r="M756" s="3">
        <v>3.4201999999999997E-8</v>
      </c>
      <c r="N756" s="1" t="s">
        <v>788</v>
      </c>
      <c r="O756" s="1">
        <v>139</v>
      </c>
      <c r="P756" s="1">
        <v>92</v>
      </c>
      <c r="Q756" s="3">
        <v>362880</v>
      </c>
      <c r="R756" s="3">
        <v>1.9101278123896201E-6</v>
      </c>
      <c r="S756" s="3">
        <v>344894914.01360577</v>
      </c>
      <c r="T756" s="3">
        <v>2.3809303482056443E-18</v>
      </c>
    </row>
    <row r="757" spans="12:20" x14ac:dyDescent="0.2">
      <c r="L757" s="1">
        <v>92232</v>
      </c>
      <c r="M757" s="3">
        <v>1.1668500000000001E-6</v>
      </c>
      <c r="N757" s="1" t="s">
        <v>789</v>
      </c>
      <c r="O757" s="1">
        <v>140</v>
      </c>
      <c r="P757" s="1">
        <v>92</v>
      </c>
      <c r="Q757" s="3">
        <v>2174318640</v>
      </c>
      <c r="R757" s="3">
        <v>3.1878822533570577E-10</v>
      </c>
      <c r="S757" s="3">
        <v>4010382.7380911722</v>
      </c>
      <c r="T757" s="3">
        <v>3970267.120505387</v>
      </c>
    </row>
    <row r="758" spans="12:20" x14ac:dyDescent="0.2">
      <c r="L758" s="1">
        <v>92233</v>
      </c>
      <c r="M758" s="3">
        <v>2.3815399999999999E-5</v>
      </c>
      <c r="N758" s="1" t="s">
        <v>790</v>
      </c>
      <c r="O758" s="1">
        <v>141</v>
      </c>
      <c r="P758" s="1">
        <v>92</v>
      </c>
      <c r="Q758" s="3">
        <v>5023969920000</v>
      </c>
      <c r="R758" s="3">
        <v>1.3796801963335507E-13</v>
      </c>
      <c r="S758" s="3">
        <v>35429.466491680141</v>
      </c>
      <c r="T758" s="3">
        <v>35429.312339842851</v>
      </c>
    </row>
    <row r="759" spans="12:20" x14ac:dyDescent="0.2">
      <c r="L759" s="1">
        <v>92234</v>
      </c>
      <c r="M759" s="3">
        <v>1.3395599999999999E-4</v>
      </c>
      <c r="N759" s="1" t="s">
        <v>791</v>
      </c>
      <c r="O759" s="1">
        <v>142</v>
      </c>
      <c r="P759" s="1">
        <v>92</v>
      </c>
      <c r="Q759" s="3">
        <v>7747390800000</v>
      </c>
      <c r="R759" s="3">
        <v>8.9468467314175671E-14</v>
      </c>
      <c r="S759" s="3">
        <v>129229.14753106239</v>
      </c>
      <c r="T759" s="3">
        <v>129228.78291443366</v>
      </c>
    </row>
    <row r="760" spans="12:20" x14ac:dyDescent="0.2">
      <c r="L760" s="1">
        <v>92235</v>
      </c>
      <c r="M760" s="3">
        <v>4.66799E-5</v>
      </c>
      <c r="N760" s="1" t="s">
        <v>792</v>
      </c>
      <c r="O760" s="1">
        <v>143</v>
      </c>
      <c r="P760" s="1">
        <v>92</v>
      </c>
      <c r="Q760" s="3">
        <v>2.22165504E+16</v>
      </c>
      <c r="R760" s="3">
        <v>3.1199586257997337E-17</v>
      </c>
      <c r="S760" s="3">
        <v>15.70388086634722</v>
      </c>
      <c r="T760" s="3">
        <v>15.703880850896011</v>
      </c>
    </row>
    <row r="761" spans="12:20" x14ac:dyDescent="0.2">
      <c r="L761" s="1">
        <v>92236</v>
      </c>
      <c r="M761" s="3">
        <v>1.3475200000000001E-3</v>
      </c>
      <c r="N761" s="1" t="s">
        <v>793</v>
      </c>
      <c r="O761" s="1">
        <v>144</v>
      </c>
      <c r="P761" s="1">
        <v>92</v>
      </c>
      <c r="Q761" s="3">
        <v>739078992000000</v>
      </c>
      <c r="R761" s="3">
        <v>9.3785263559479616E-16</v>
      </c>
      <c r="S761" s="3">
        <v>13626.934536478075</v>
      </c>
      <c r="T761" s="3">
        <v>13626.934133446219</v>
      </c>
    </row>
    <row r="762" spans="12:20" x14ac:dyDescent="0.2">
      <c r="L762" s="1">
        <v>92237</v>
      </c>
      <c r="M762" s="3">
        <v>4.0387699999999997E-3</v>
      </c>
      <c r="N762" s="1" t="s">
        <v>794</v>
      </c>
      <c r="O762" s="1">
        <v>145</v>
      </c>
      <c r="P762" s="1">
        <v>92</v>
      </c>
      <c r="Q762" s="3">
        <v>583200</v>
      </c>
      <c r="R762" s="3">
        <v>1.1885239721535413E-6</v>
      </c>
      <c r="S762" s="3">
        <v>32353178914641.281</v>
      </c>
      <c r="T762" s="3">
        <v>1.7060771853165014E-3</v>
      </c>
    </row>
    <row r="763" spans="12:20" x14ac:dyDescent="0.2">
      <c r="L763" s="1">
        <v>92238</v>
      </c>
      <c r="M763" s="3">
        <v>1.95415E-4</v>
      </c>
      <c r="N763" s="1" t="s">
        <v>802</v>
      </c>
      <c r="O763" s="1">
        <v>146</v>
      </c>
      <c r="P763" s="1">
        <v>92</v>
      </c>
      <c r="Q763" s="3">
        <v>1.409993568E+17</v>
      </c>
      <c r="R763" s="3">
        <v>4.9159598759243794E-18</v>
      </c>
      <c r="S763" s="3">
        <v>10.358422547973589</v>
      </c>
      <c r="T763" s="3">
        <v>10.358422546367727</v>
      </c>
    </row>
    <row r="765" spans="12:20" x14ac:dyDescent="0.2">
      <c r="R765" s="3" t="s">
        <v>797</v>
      </c>
      <c r="S765" s="3">
        <f>57700000000000/37000000000</f>
        <v>1559.4594594594594</v>
      </c>
      <c r="T765" s="3">
        <f>604000000/37000000000</f>
        <v>1.6324324324324326E-2</v>
      </c>
    </row>
  </sheetData>
  <phoneticPr fontId="1" type="noConversion"/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HEISOL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2025-07-01T03:00:46Z</dcterms:created>
  <dcterms:modified xsi:type="dcterms:W3CDTF">2025-07-01T03:01:20Z</dcterms:modified>
</cp:coreProperties>
</file>